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USDA601/"/>
    </mc:Choice>
  </mc:AlternateContent>
  <xr:revisionPtr revIDLastSave="10" documentId="8_{A989AE45-4B93-4F1D-82F8-2C7DE3419C3D}" xr6:coauthVersionLast="47" xr6:coauthVersionMax="47" xr10:uidLastSave="{59BFF274-57DA-4467-9976-37B908461BF5}"/>
  <bookViews>
    <workbookView xWindow="5184" yWindow="2760" windowWidth="11862" windowHeight="10272" tabRatio="842" firstSheet="7" activeTab="7" xr2:uid="{00000000-000D-0000-FFFF-FFFF00000000}"/>
  </bookViews>
  <sheets>
    <sheet name="USDA Budget Summary" sheetId="28" r:id="rId1"/>
    <sheet name="Detailed Budget" sheetId="42" r:id="rId2"/>
    <sheet name="Sheet1" sheetId="48" r:id="rId3"/>
    <sheet name="Admin" sheetId="43" r:id="rId4"/>
    <sheet name="Activity 1" sheetId="44" r:id="rId5"/>
    <sheet name="Activity 2" sheetId="45" r:id="rId6"/>
    <sheet name="Activity 3" sheetId="46" r:id="rId7"/>
    <sheet name="Program Budget" sheetId="4" r:id="rId8"/>
    <sheet name="Activity 3 Sub Budget 6th Grain" sheetId="47" r:id="rId9"/>
    <sheet name="Indirect Calculations" sheetId="41" r:id="rId10"/>
    <sheet name="Personnel &amp; LOE Summary" sheetId="39" r:id="rId11"/>
    <sheet name="LOE Breakdown by Year" sheetId="30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\A" localSheetId="8">#REF!</definedName>
    <definedName name="\A">#REF!</definedName>
    <definedName name="\P" localSheetId="8">#REF!</definedName>
    <definedName name="\P">#REF!</definedName>
    <definedName name="\S" localSheetId="8">#REF!</definedName>
    <definedName name="\S">#REF!</definedName>
    <definedName name="_" localSheetId="8" hidden="1">[1]IPA!#REF!</definedName>
    <definedName name="_" hidden="1">[1]IPA!#REF!</definedName>
    <definedName name="__" localSheetId="8" hidden="1">[2]IPA!#REF!</definedName>
    <definedName name="__" hidden="1">[2]IPA!#REF!</definedName>
    <definedName name="___" localSheetId="8" hidden="1">[1]IPA!#REF!</definedName>
    <definedName name="___" hidden="1">[1]IPA!#REF!</definedName>
    <definedName name="_______sho1" localSheetId="8">'[3]Detailed Budget-SAVE'!#REF!</definedName>
    <definedName name="_______sho1">'[3]Detailed Budget-SAVE'!#REF!</definedName>
    <definedName name="__1_0__123Grap" localSheetId="4" hidden="1">#REF!</definedName>
    <definedName name="__1_0__123Grap" localSheetId="5" hidden="1">#REF!</definedName>
    <definedName name="__1_0__123Grap" localSheetId="6" hidden="1">#REF!</definedName>
    <definedName name="__1_0__123Grap" localSheetId="8" hidden="1">#REF!</definedName>
    <definedName name="__1_0__123Grap" localSheetId="3" hidden="1">#REF!</definedName>
    <definedName name="__1_0__123Grap" localSheetId="1" hidden="1">#REF!</definedName>
    <definedName name="__1_0__123Grap" hidden="1">#REF!</definedName>
    <definedName name="__123Graph_A" localSheetId="8" hidden="1">[2]IPA!#REF!</definedName>
    <definedName name="__123Graph_A" hidden="1">[2]IPA!#REF!</definedName>
    <definedName name="__123Graph_B" localSheetId="8" hidden="1">[2]IPA!#REF!</definedName>
    <definedName name="__123Graph_B" hidden="1">[2]IPA!#REF!</definedName>
    <definedName name="__123Graph_C" localSheetId="8" hidden="1">[2]IPA!#REF!</definedName>
    <definedName name="__123Graph_C" hidden="1">[2]IPA!#REF!</definedName>
    <definedName name="__2DAI_1">#N/A</definedName>
    <definedName name="__3FEE">#N/A</definedName>
    <definedName name="__AFP1">#N/A</definedName>
    <definedName name="__AFP2">#N/A</definedName>
    <definedName name="__AFP3">#N/A</definedName>
    <definedName name="__AFP4">#N/A</definedName>
    <definedName name="__AMP1">#N/A</definedName>
    <definedName name="__AMP2">#N/A</definedName>
    <definedName name="__AMP3">#N/A</definedName>
    <definedName name="__AMP4">#N/A</definedName>
    <definedName name="__B" localSheetId="8" hidden="1">[2]IPA!#REF!</definedName>
    <definedName name="__B" hidden="1">[2]IPA!#REF!</definedName>
    <definedName name="__C" hidden="1">[2]IPA!#REF!</definedName>
    <definedName name="__DAI4">#N/A</definedName>
    <definedName name="__EES1">#N/A</definedName>
    <definedName name="__EES2">#N/A</definedName>
    <definedName name="__EES3">#N/A</definedName>
    <definedName name="__EES4">#N/A</definedName>
    <definedName name="__EXT1">#N/A</definedName>
    <definedName name="__EXT2">#N/A</definedName>
    <definedName name="__EXT3">#N/A</definedName>
    <definedName name="__EXT4">#N/A</definedName>
    <definedName name="__FCP1">#N/A</definedName>
    <definedName name="__FCP2">#N/A</definedName>
    <definedName name="__FCP3">#N/A</definedName>
    <definedName name="__FCP4">#N/A</definedName>
    <definedName name="__FRI1">#N/A</definedName>
    <definedName name="__FRI4">#N/A</definedName>
    <definedName name="__HRA1">#N/A</definedName>
    <definedName name="__HRA2">#N/A</definedName>
    <definedName name="__HRA3">#N/A</definedName>
    <definedName name="__HRA4">#N/A</definedName>
    <definedName name="__inf1">#REF!</definedName>
    <definedName name="__KEY2" localSheetId="4" hidden="1">#REF!</definedName>
    <definedName name="__KEY2" localSheetId="5" hidden="1">#REF!</definedName>
    <definedName name="__KEY2" localSheetId="6" hidden="1">#REF!</definedName>
    <definedName name="__KEY2" localSheetId="8" hidden="1">#REF!</definedName>
    <definedName name="__KEY2" localSheetId="3" hidden="1">#REF!</definedName>
    <definedName name="__KEY2" localSheetId="1" hidden="1">#REF!</definedName>
    <definedName name="__KEY2" hidden="1">#REF!</definedName>
    <definedName name="__LT4">[4]Parameters!$B$40</definedName>
    <definedName name="__ODC1">#N/A</definedName>
    <definedName name="__ODC2">#N/A</definedName>
    <definedName name="__POL1">#N/A</definedName>
    <definedName name="__POL2">#N/A</definedName>
    <definedName name="__POL3">#N/A</definedName>
    <definedName name="__POL4">#N/A</definedName>
    <definedName name="__TOT1">#N/A</definedName>
    <definedName name="__TOT2">#N/A</definedName>
    <definedName name="__TRV1">#N/A</definedName>
    <definedName name="__TRV2">#N/A</definedName>
    <definedName name="_060">#REF!</definedName>
    <definedName name="_1_0__123Grap" localSheetId="4" hidden="1">#REF!</definedName>
    <definedName name="_1_0__123Grap" localSheetId="5" hidden="1">#REF!</definedName>
    <definedName name="_1_0__123Grap" localSheetId="6" hidden="1">#REF!</definedName>
    <definedName name="_1_0__123Grap" localSheetId="8" hidden="1">#REF!</definedName>
    <definedName name="_1_0__123Grap" localSheetId="3" hidden="1">#REF!</definedName>
    <definedName name="_1_0__123Grap" localSheetId="1" hidden="1">#REF!</definedName>
    <definedName name="_1_0__123Grap" hidden="1">#REF!</definedName>
    <definedName name="_1_1">#REF!</definedName>
    <definedName name="_13th_and_14th_month">[5]Parameters!$D$62</definedName>
    <definedName name="_2__123Graph_ACHART_3" hidden="1">[6]Rates!$C$3:$P$3</definedName>
    <definedName name="_2_0__123Grap" hidden="1">#REF!</definedName>
    <definedName name="_2_1034">#REF!</definedName>
    <definedName name="_2DAI_1">#N/A</definedName>
    <definedName name="_3_0__123Grap" hidden="1">#REF!</definedName>
    <definedName name="_3_1440">#REF!</definedName>
    <definedName name="_3FEE">#N/A</definedName>
    <definedName name="_4__123Graph_BCHART_3" hidden="1">[6]Rates!$C$4:$P$4</definedName>
    <definedName name="_4_0__123Grap" hidden="1">#REF!</definedName>
    <definedName name="_4_2">#REF!</definedName>
    <definedName name="_5_3">#REF!</definedName>
    <definedName name="_6__123Graph_XCHART_3" hidden="1">[6]Rates!$C$2:$P$2</definedName>
    <definedName name="_8_0__123Grap" hidden="1">#REF!</definedName>
    <definedName name="_AFP1">#N/A</definedName>
    <definedName name="_AFP2">#N/A</definedName>
    <definedName name="_AFP3">#N/A</definedName>
    <definedName name="_AFP4">#N/A</definedName>
    <definedName name="_AMP1">#N/A</definedName>
    <definedName name="_AMP2">#N/A</definedName>
    <definedName name="_AMP3">#N/A</definedName>
    <definedName name="_AMP4">#N/A</definedName>
    <definedName name="_DAI4">#N/A</definedName>
    <definedName name="_EES1">#N/A</definedName>
    <definedName name="_EES2">#N/A</definedName>
    <definedName name="_EES3">#N/A</definedName>
    <definedName name="_EES4">#N/A</definedName>
    <definedName name="_EXT1">#N/A</definedName>
    <definedName name="_EXT2">#N/A</definedName>
    <definedName name="_EXT3">#N/A</definedName>
    <definedName name="_EXT4">#N/A</definedName>
    <definedName name="_FCP1">#N/A</definedName>
    <definedName name="_FCP2">#N/A</definedName>
    <definedName name="_FCP3">#N/A</definedName>
    <definedName name="_FCP4">#N/A</definedName>
    <definedName name="_FRI1">#N/A</definedName>
    <definedName name="_FRI4">#N/A</definedName>
    <definedName name="_hos1">[7]Parameters!$A$433</definedName>
    <definedName name="_hos10">[7]Parameters!$A$442</definedName>
    <definedName name="_hos11">[7]Parameters!$A$443</definedName>
    <definedName name="_hos12">[7]Parameters!$A$444</definedName>
    <definedName name="_hos13">[7]Parameters!$A$445</definedName>
    <definedName name="_hos14">[7]Parameters!$A$446</definedName>
    <definedName name="_hos15">[7]Parameters!$A$447</definedName>
    <definedName name="_hos16">[7]Parameters!$A$448</definedName>
    <definedName name="_hos17">[7]Parameters!$A$449</definedName>
    <definedName name="_hos18">[7]Parameters!$A$450</definedName>
    <definedName name="_hos19">[7]Parameters!$A$451</definedName>
    <definedName name="_hos2">[7]Parameters!$A$434</definedName>
    <definedName name="_hos20">[7]Parameters!$A$452</definedName>
    <definedName name="_hos21">[7]Parameters!$A$453</definedName>
    <definedName name="_hos3">[7]Parameters!$A$435</definedName>
    <definedName name="_hos4">[7]Parameters!$A$436</definedName>
    <definedName name="_hos5">[7]Parameters!$A$437</definedName>
    <definedName name="_hos6">[7]Parameters!$A$438</definedName>
    <definedName name="_hos7">[7]Parameters!$A$439</definedName>
    <definedName name="_hos8">[7]Parameters!$A$440</definedName>
    <definedName name="_hos9">[7]Parameters!$A$441</definedName>
    <definedName name="_HRA1">#N/A</definedName>
    <definedName name="_HRA2">#N/A</definedName>
    <definedName name="_HRA3">#N/A</definedName>
    <definedName name="_HRA4">#N/A</definedName>
    <definedName name="_inf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8" hidden="1">#REF!</definedName>
    <definedName name="_Key1" localSheetId="3" hidden="1">#REF!</definedName>
    <definedName name="_Key1" localSheetId="1" hidden="1">#REF!</definedName>
    <definedName name="_Key1" hidden="1">#REF!</definedName>
    <definedName name="_key2" hidden="1">#REF!</definedName>
    <definedName name="_ldfkjañsdl" hidden="1">'[8]sample labor calc'!#REF!</definedName>
    <definedName name="_LT4">[4]Parameters!$B$40</definedName>
    <definedName name="_no1" localSheetId="4" hidden="1">{#N/A,#N/A,FALSE,"ManLoading"}</definedName>
    <definedName name="_no1" localSheetId="5" hidden="1">{#N/A,#N/A,FALSE,"ManLoading"}</definedName>
    <definedName name="_no1" localSheetId="6" hidden="1">{#N/A,#N/A,FALSE,"ManLoading"}</definedName>
    <definedName name="_no1" localSheetId="8" hidden="1">{#N/A,#N/A,FALSE,"ManLoading"}</definedName>
    <definedName name="_no1" localSheetId="3" hidden="1">{#N/A,#N/A,FALSE,"ManLoading"}</definedName>
    <definedName name="_no1" hidden="1">{#N/A,#N/A,FALSE,"ManLoading"}</definedName>
    <definedName name="_odc1" localSheetId="4" hidden="1">{#N/A,#N/A,FALSE,"ManLoading"}</definedName>
    <definedName name="_odc1" localSheetId="5" hidden="1">{#N/A,#N/A,FALSE,"ManLoading"}</definedName>
    <definedName name="_odc1" localSheetId="6" hidden="1">{#N/A,#N/A,FALSE,"ManLoading"}</definedName>
    <definedName name="_odc1" localSheetId="8" hidden="1">{#N/A,#N/A,FALSE,"ManLoading"}</definedName>
    <definedName name="_odc1" localSheetId="3" hidden="1">{#N/A,#N/A,FALSE,"ManLoading"}</definedName>
    <definedName name="_odc1" localSheetId="1" hidden="1">{#N/A,#N/A,FALSE,"ManLoading"}</definedName>
    <definedName name="_odc1" hidden="1">{#N/A,#N/A,FALSE,"ManLoading"}</definedName>
    <definedName name="_odc2" localSheetId="4" hidden="1">{#N/A,#N/A,FALSE,"ManLoading"}</definedName>
    <definedName name="_odc2" localSheetId="5" hidden="1">{#N/A,#N/A,FALSE,"ManLoading"}</definedName>
    <definedName name="_odc2" localSheetId="6" hidden="1">{#N/A,#N/A,FALSE,"ManLoading"}</definedName>
    <definedName name="_odc2" localSheetId="8" hidden="1">{#N/A,#N/A,FALSE,"ManLoading"}</definedName>
    <definedName name="_odc2" localSheetId="3" hidden="1">{#N/A,#N/A,FALSE,"ManLoading"}</definedName>
    <definedName name="_odc2" localSheetId="1" hidden="1">{#N/A,#N/A,FALSE,"ManLoading"}</definedName>
    <definedName name="_odc2" hidden="1">{#N/A,#N/A,FALSE,"ManLoading"}</definedName>
    <definedName name="_Order1" hidden="1">255</definedName>
    <definedName name="_Order2" hidden="1">255</definedName>
    <definedName name="_POL1">#N/A</definedName>
    <definedName name="_POL2">#N/A</definedName>
    <definedName name="_POL3">#N/A</definedName>
    <definedName name="_POL4">#N/A</definedName>
    <definedName name="_sho1">'[3]Detailed Budget-SAVE'!#REF!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8" hidden="1">#REF!</definedName>
    <definedName name="_Sort" localSheetId="3" hidden="1">#REF!</definedName>
    <definedName name="_Sort" localSheetId="1" hidden="1">#REF!</definedName>
    <definedName name="_Sort" hidden="1">#REF!</definedName>
    <definedName name="_sort1" localSheetId="4" hidden="1">#REF!</definedName>
    <definedName name="_sort1" localSheetId="5" hidden="1">#REF!</definedName>
    <definedName name="_sort1" localSheetId="6" hidden="1">#REF!</definedName>
    <definedName name="_sort1" localSheetId="8" hidden="1">#REF!</definedName>
    <definedName name="_sort1" localSheetId="3" hidden="1">#REF!</definedName>
    <definedName name="_sort1" localSheetId="1" hidden="1">#REF!</definedName>
    <definedName name="_sort1" hidden="1">#REF!</definedName>
    <definedName name="_sub10">[7]Parameters!$H$26</definedName>
    <definedName name="_tcn1">[7]Parameters!$A$117</definedName>
    <definedName name="_tcn10">[7]Parameters!$A$126</definedName>
    <definedName name="_tcn2">[7]Parameters!$A$118</definedName>
    <definedName name="_tcn3">[7]Parameters!$A$119</definedName>
    <definedName name="_tcn4">[7]Parameters!$A$120</definedName>
    <definedName name="_tcn5">[7]Parameters!$A$121</definedName>
    <definedName name="_tcn6">[7]Parameters!$A$122</definedName>
    <definedName name="_tcn7">[7]Parameters!$A$123</definedName>
    <definedName name="_tcn8">[7]Parameters!$A$124</definedName>
    <definedName name="_tcn9">[7]Parameters!$A$125</definedName>
    <definedName name="_TOT1">#N/A</definedName>
    <definedName name="_TOT2">#N/A</definedName>
    <definedName name="_TRV1">#N/A</definedName>
    <definedName name="_TRV2">#N/A</definedName>
    <definedName name="_us1">[7]Parameters!$A$39</definedName>
    <definedName name="_us10">[7]Parameters!$A$48</definedName>
    <definedName name="_us11">[7]Parameters!$A$49</definedName>
    <definedName name="_us12">[7]Parameters!$A$50</definedName>
    <definedName name="_us13">[7]Parameters!$A$51</definedName>
    <definedName name="_us14">[7]Parameters!$A$52</definedName>
    <definedName name="_us15">[7]Parameters!$A$53</definedName>
    <definedName name="_us16">[7]Parameters!$A$54</definedName>
    <definedName name="_us17">[7]Parameters!$A$55</definedName>
    <definedName name="_us18">[7]Parameters!$A$56</definedName>
    <definedName name="_us19">[7]Parameters!$A$57</definedName>
    <definedName name="_us2">[7]Parameters!$A$40</definedName>
    <definedName name="_us20">[7]Parameters!$A$58</definedName>
    <definedName name="_us21">[7]Parameters!$A$59</definedName>
    <definedName name="_us22">[7]Parameters!$A$60</definedName>
    <definedName name="_us23">[7]Parameters!$A$61</definedName>
    <definedName name="_us24">[7]Parameters!$A$62</definedName>
    <definedName name="_us25">[7]Parameters!$A$63</definedName>
    <definedName name="_us26">[7]Parameters!$A$64</definedName>
    <definedName name="_us27">[7]Parameters!$A$65</definedName>
    <definedName name="_us28">[7]Parameters!$A$66</definedName>
    <definedName name="_us29">[7]Parameters!$A$67</definedName>
    <definedName name="_us3">[7]Parameters!$A$41</definedName>
    <definedName name="_us30">[7]Parameters!$A$68</definedName>
    <definedName name="_us31">[7]Parameters!$A$69</definedName>
    <definedName name="_us32">[7]Parameters!$A$70</definedName>
    <definedName name="_us33">[7]Parameters!$A$71</definedName>
    <definedName name="_us34">[7]Parameters!$A$72</definedName>
    <definedName name="_us35">[7]Parameters!$A$73</definedName>
    <definedName name="_us36">[7]Parameters!$A$74</definedName>
    <definedName name="_us37">[7]Parameters!$A$75</definedName>
    <definedName name="_us38">[7]Parameters!$A$76</definedName>
    <definedName name="_us39">[7]Parameters!$A$77</definedName>
    <definedName name="_us4">[7]Parameters!$A$42</definedName>
    <definedName name="_us40">[7]Parameters!$A$78</definedName>
    <definedName name="_us41">[7]Parameters!$A$79</definedName>
    <definedName name="_us42">[7]Parameters!$A$80</definedName>
    <definedName name="_us43">[7]Parameters!$A$81</definedName>
    <definedName name="_us44">[7]Parameters!$A$82</definedName>
    <definedName name="_us45">[7]Parameters!$A$83</definedName>
    <definedName name="_us46">[7]Parameters!$A$84</definedName>
    <definedName name="_us47">[7]Parameters!$A$85</definedName>
    <definedName name="_us48">[7]Parameters!$A$86</definedName>
    <definedName name="_us49">[7]Parameters!$A$87</definedName>
    <definedName name="_us5">[7]Parameters!$A$43</definedName>
    <definedName name="_us50">[7]Parameters!$A$88</definedName>
    <definedName name="_us51">[7]Parameters!$A$89</definedName>
    <definedName name="_us52">[7]Parameters!$A$90</definedName>
    <definedName name="_us53">[7]Parameters!$A$91</definedName>
    <definedName name="_us54">[7]Parameters!$A$92</definedName>
    <definedName name="_us55">[7]Parameters!$A$93</definedName>
    <definedName name="_us56">[7]Parameters!$A$94</definedName>
    <definedName name="_us57">[7]Parameters!$A$95</definedName>
    <definedName name="_us58">[7]Parameters!$A$96</definedName>
    <definedName name="_us59">[7]Parameters!$A$97</definedName>
    <definedName name="_us6">[7]Parameters!$A$44</definedName>
    <definedName name="_us60">[7]Parameters!$A$98</definedName>
    <definedName name="_us61">[7]Parameters!$A$99</definedName>
    <definedName name="_us62">[7]Parameters!$A$100</definedName>
    <definedName name="_us63">[7]Parameters!$A$101</definedName>
    <definedName name="_us64">[7]Parameters!$A$102</definedName>
    <definedName name="_us65">[7]Parameters!$A$103</definedName>
    <definedName name="_us66">[7]Parameters!$A$104</definedName>
    <definedName name="_us67">[7]Parameters!$A$105</definedName>
    <definedName name="_us68">[7]Parameters!$A$106</definedName>
    <definedName name="_us69">[7]Parameters!$A$107</definedName>
    <definedName name="_us7">[7]Parameters!$A$45</definedName>
    <definedName name="_us70">[7]Parameters!$A$108</definedName>
    <definedName name="_us71">[7]Parameters!$A$109</definedName>
    <definedName name="_us72">[7]Parameters!$A$110</definedName>
    <definedName name="_us73">[7]Parameters!$A$111</definedName>
    <definedName name="_us74">[7]Parameters!$A$112</definedName>
    <definedName name="_us75">[7]Parameters!$A$113</definedName>
    <definedName name="_us8">[7]Parameters!$A$46</definedName>
    <definedName name="_us9">[7]Parameters!$A$47</definedName>
    <definedName name="a">'[9]PO 484CR'!#REF!</definedName>
    <definedName name="Abbiz51">[10]RATES!#REF!</definedName>
    <definedName name="Abbiz52">[10]RATES!#REF!</definedName>
    <definedName name="ABT">#N/A</definedName>
    <definedName name="ACC">[11]Sheet2!$B$2:$C$496</definedName>
    <definedName name="Access_Button" hidden="1">"FIGBUS_FIGBUS_List"</definedName>
    <definedName name="AccessDatabase" hidden="1">"W:\WPFILES\GB759\EXCEL\FIGBUS.mdb"</definedName>
    <definedName name="ACT">#N/A</definedName>
    <definedName name="adf" localSheetId="4" hidden="1">{"PAGE1",#N/A,FALSE,"CPFFMSTR";"PAGE2",#N/A,FALSE,"CPFFMSTR"}</definedName>
    <definedName name="adf" localSheetId="5" hidden="1">{"PAGE1",#N/A,FALSE,"CPFFMSTR";"PAGE2",#N/A,FALSE,"CPFFMSTR"}</definedName>
    <definedName name="adf" localSheetId="6" hidden="1">{"PAGE1",#N/A,FALSE,"CPFFMSTR";"PAGE2",#N/A,FALSE,"CPFFMSTR"}</definedName>
    <definedName name="adf" localSheetId="8" hidden="1">{"PAGE1",#N/A,FALSE,"CPFFMSTR";"PAGE2",#N/A,FALSE,"CPFFMSTR"}</definedName>
    <definedName name="adf" localSheetId="3" hidden="1">{"PAGE1",#N/A,FALSE,"CPFFMSTR";"PAGE2",#N/A,FALSE,"CPFFMSTR"}</definedName>
    <definedName name="adf" localSheetId="1" hidden="1">{"PAGE1",#N/A,FALSE,"CPFFMSTR";"PAGE2",#N/A,FALSE,"CPFFMSTR"}</definedName>
    <definedName name="adf" hidden="1">{"PAGE1",#N/A,FALSE,"CPFFMSTR";"PAGE2",#N/A,FALSE,"CPFFMSTR"}</definedName>
    <definedName name="adfsdaf" localSheetId="4" hidden="1">{"PAGE1",#N/A,FALSE,"CPFFMSTR";"PAGE2",#N/A,FALSE,"CPFFMSTR"}</definedName>
    <definedName name="adfsdaf" localSheetId="5" hidden="1">{"PAGE1",#N/A,FALSE,"CPFFMSTR";"PAGE2",#N/A,FALSE,"CPFFMSTR"}</definedName>
    <definedName name="adfsdaf" localSheetId="6" hidden="1">{"PAGE1",#N/A,FALSE,"CPFFMSTR";"PAGE2",#N/A,FALSE,"CPFFMSTR"}</definedName>
    <definedName name="adfsdaf" localSheetId="8" hidden="1">{"PAGE1",#N/A,FALSE,"CPFFMSTR";"PAGE2",#N/A,FALSE,"CPFFMSTR"}</definedName>
    <definedName name="adfsdaf" localSheetId="3" hidden="1">{"PAGE1",#N/A,FALSE,"CPFFMSTR";"PAGE2",#N/A,FALSE,"CPFFMSTR"}</definedName>
    <definedName name="adfsdaf" localSheetId="1" hidden="1">{"PAGE1",#N/A,FALSE,"CPFFMSTR";"PAGE2",#N/A,FALSE,"CPFFMSTR"}</definedName>
    <definedName name="adfsdaf" hidden="1">{"PAGE1",#N/A,FALSE,"CPFFMSTR";"PAGE2",#N/A,FALSE,"CPFFMSTR"}</definedName>
    <definedName name="aer" localSheetId="4" hidden="1">{"PAGE1",#N/A,FALSE,"CPFFMSTR";"PAGE2",#N/A,FALSE,"CPFFMSTR"}</definedName>
    <definedName name="aer" localSheetId="5" hidden="1">{"PAGE1",#N/A,FALSE,"CPFFMSTR";"PAGE2",#N/A,FALSE,"CPFFMSTR"}</definedName>
    <definedName name="aer" localSheetId="6" hidden="1">{"PAGE1",#N/A,FALSE,"CPFFMSTR";"PAGE2",#N/A,FALSE,"CPFFMSTR"}</definedName>
    <definedName name="aer" localSheetId="8" hidden="1">{"PAGE1",#N/A,FALSE,"CPFFMSTR";"PAGE2",#N/A,FALSE,"CPFFMSTR"}</definedName>
    <definedName name="aer" localSheetId="3" hidden="1">{"PAGE1",#N/A,FALSE,"CPFFMSTR";"PAGE2",#N/A,FALSE,"CPFFMSTR"}</definedName>
    <definedName name="aer" localSheetId="1" hidden="1">{"PAGE1",#N/A,FALSE,"CPFFMSTR";"PAGE2",#N/A,FALSE,"CPFFMSTR"}</definedName>
    <definedName name="aer" hidden="1">{"PAGE1",#N/A,FALSE,"CPFFMSTR";"PAGE2",#N/A,FALSE,"CPFFMSTR"}</definedName>
    <definedName name="aer3e" localSheetId="4" hidden="1">{"PAGE1",#N/A,FALSE,"CPFFMSTR";"PAGE2",#N/A,FALSE,"CPFFMSTR"}</definedName>
    <definedName name="aer3e" localSheetId="5" hidden="1">{"PAGE1",#N/A,FALSE,"CPFFMSTR";"PAGE2",#N/A,FALSE,"CPFFMSTR"}</definedName>
    <definedName name="aer3e" localSheetId="6" hidden="1">{"PAGE1",#N/A,FALSE,"CPFFMSTR";"PAGE2",#N/A,FALSE,"CPFFMSTR"}</definedName>
    <definedName name="aer3e" localSheetId="8" hidden="1">{"PAGE1",#N/A,FALSE,"CPFFMSTR";"PAGE2",#N/A,FALSE,"CPFFMSTR"}</definedName>
    <definedName name="aer3e" localSheetId="3" hidden="1">{"PAGE1",#N/A,FALSE,"CPFFMSTR";"PAGE2",#N/A,FALSE,"CPFFMSTR"}</definedName>
    <definedName name="aer3e" localSheetId="1" hidden="1">{"PAGE1",#N/A,FALSE,"CPFFMSTR";"PAGE2",#N/A,FALSE,"CPFFMSTR"}</definedName>
    <definedName name="aer3e" hidden="1">{"PAGE1",#N/A,FALSE,"CPFFMSTR";"PAGE2",#N/A,FALSE,"CPFFMSTR"}</definedName>
    <definedName name="aere" localSheetId="4" hidden="1">{"PAGE1",#N/A,FALSE,"CPFFMSTR";"PAGE2",#N/A,FALSE,"CPFFMSTR"}</definedName>
    <definedName name="aere" localSheetId="5" hidden="1">{"PAGE1",#N/A,FALSE,"CPFFMSTR";"PAGE2",#N/A,FALSE,"CPFFMSTR"}</definedName>
    <definedName name="aere" localSheetId="6" hidden="1">{"PAGE1",#N/A,FALSE,"CPFFMSTR";"PAGE2",#N/A,FALSE,"CPFFMSTR"}</definedName>
    <definedName name="aere" localSheetId="8" hidden="1">{"PAGE1",#N/A,FALSE,"CPFFMSTR";"PAGE2",#N/A,FALSE,"CPFFMSTR"}</definedName>
    <definedName name="aere" localSheetId="3" hidden="1">{"PAGE1",#N/A,FALSE,"CPFFMSTR";"PAGE2",#N/A,FALSE,"CPFFMSTR"}</definedName>
    <definedName name="aere" localSheetId="1" hidden="1">{"PAGE1",#N/A,FALSE,"CPFFMSTR";"PAGE2",#N/A,FALSE,"CPFFMSTR"}</definedName>
    <definedName name="aere" hidden="1">{"PAGE1",#N/A,FALSE,"CPFFMSTR";"PAGE2",#N/A,FALSE,"CPFFMSTR"}</definedName>
    <definedName name="aesre" localSheetId="4" hidden="1">{"PAGE1",#N/A,FALSE,"CPFFMSTR";"PAGE2",#N/A,FALSE,"CPFFMSTR"}</definedName>
    <definedName name="aesre" localSheetId="5" hidden="1">{"PAGE1",#N/A,FALSE,"CPFFMSTR";"PAGE2",#N/A,FALSE,"CPFFMSTR"}</definedName>
    <definedName name="aesre" localSheetId="6" hidden="1">{"PAGE1",#N/A,FALSE,"CPFFMSTR";"PAGE2",#N/A,FALSE,"CPFFMSTR"}</definedName>
    <definedName name="aesre" localSheetId="8" hidden="1">{"PAGE1",#N/A,FALSE,"CPFFMSTR";"PAGE2",#N/A,FALSE,"CPFFMSTR"}</definedName>
    <definedName name="aesre" localSheetId="3" hidden="1">{"PAGE1",#N/A,FALSE,"CPFFMSTR";"PAGE2",#N/A,FALSE,"CPFFMSTR"}</definedName>
    <definedName name="aesre" localSheetId="1" hidden="1">{"PAGE1",#N/A,FALSE,"CPFFMSTR";"PAGE2",#N/A,FALSE,"CPFFMSTR"}</definedName>
    <definedName name="aesre" hidden="1">{"PAGE1",#N/A,FALSE,"CPFFMSTR";"PAGE2",#N/A,FALSE,"CPFFMSTR"}</definedName>
    <definedName name="Agbiz11">[10]RATES!#REF!</definedName>
    <definedName name="Agbiz12">[10]RATES!#REF!</definedName>
    <definedName name="Agbiz13">[10]RATES!#REF!</definedName>
    <definedName name="Agbiz41">[10]RATES!#REF!</definedName>
    <definedName name="Agbiz42">[10]RATES!#REF!</definedName>
    <definedName name="Agbiz43">[10]RATES!#REF!</definedName>
    <definedName name="Agbiz51">[10]RATES!#REF!</definedName>
    <definedName name="Agbiz52">[10]RATES!#REF!</definedName>
    <definedName name="Agbiz53">[10]RATES!#REF!</definedName>
    <definedName name="AGCOSTS">#REF!</definedName>
    <definedName name="aidmax">[5]Parameters!$D$9</definedName>
    <definedName name="Airfare_Consultants">#REF!</definedName>
    <definedName name="Airfare_Homeleave">#REF!</definedName>
    <definedName name="airshipment">[12]Sheet1!$C$41</definedName>
    <definedName name="ALL">#REF!</definedName>
    <definedName name="Allowances">'[13]INPUTS Year 1'!$A$96:$A$96</definedName>
    <definedName name="ANAL">#REF!</definedName>
    <definedName name="Appointments">IF(LEN([14]calcs!$C$7:$N$43),COUNTIFS([14]!tblAppointments[DATE],[14]calcs!$C$7:$N$43,[14]!tblAppointments[DATE],"&gt;0"),0)</definedName>
    <definedName name="asd" hidden="1">[2]IPA!#REF!</definedName>
    <definedName name="asdf" localSheetId="4" hidden="1">{"PAGE1",#N/A,FALSE,"CPFFMSTR";"PAGE2",#N/A,FALSE,"CPFFMSTR"}</definedName>
    <definedName name="asdf" localSheetId="5" hidden="1">{"PAGE1",#N/A,FALSE,"CPFFMSTR";"PAGE2",#N/A,FALSE,"CPFFMSTR"}</definedName>
    <definedName name="asdf" localSheetId="6" hidden="1">{"PAGE1",#N/A,FALSE,"CPFFMSTR";"PAGE2",#N/A,FALSE,"CPFFMSTR"}</definedName>
    <definedName name="asdf" localSheetId="8" hidden="1">{"PAGE1",#N/A,FALSE,"CPFFMSTR";"PAGE2",#N/A,FALSE,"CPFFMSTR"}</definedName>
    <definedName name="asdf" localSheetId="3" hidden="1">{"PAGE1",#N/A,FALSE,"CPFFMSTR";"PAGE2",#N/A,FALSE,"CPFFMSTR"}</definedName>
    <definedName name="asdf" localSheetId="1" hidden="1">{"PAGE1",#N/A,FALSE,"CPFFMSTR";"PAGE2",#N/A,FALSE,"CPFFMSTR"}</definedName>
    <definedName name="asdf" hidden="1">{"PAGE1",#N/A,FALSE,"CPFFMSTR";"PAGE2",#N/A,FALSE,"CPFFMSTR"}</definedName>
    <definedName name="asf">#REF!</definedName>
    <definedName name="ASI_Dec_1">#REF!</definedName>
    <definedName name="ASI_Dec_2">#REF!</definedName>
    <definedName name="ASI_Dec_3">#REF!</definedName>
    <definedName name="ASI_Dec_4">#REF!</definedName>
    <definedName name="ASI_Dec_5">#REF!</definedName>
    <definedName name="ASI_May_1">#REF!</definedName>
    <definedName name="ASI_May_2">#REF!</definedName>
    <definedName name="ASI_May_3">#REF!</definedName>
    <definedName name="ASI_May_4">#REF!</definedName>
    <definedName name="ASI_May_5">#REF!</definedName>
    <definedName name="ASI_Nov_1">#REF!</definedName>
    <definedName name="ASI_Nov_2">#REF!</definedName>
    <definedName name="ASI_nov_3">#REF!</definedName>
    <definedName name="ASI_Nov_4">#REF!</definedName>
    <definedName name="ASI_Nov_5">#REF!</definedName>
    <definedName name="ASU">#N/A</definedName>
    <definedName name="awardfee">#REF!</definedName>
    <definedName name="AWI_FACTOR_OPTION_YR1">[15]INDIRECTS!#REF!</definedName>
    <definedName name="AWI_FACTOR_OPTION_YR2">[15]INDIRECTS!#REF!</definedName>
    <definedName name="AWI_FACTOR_OPTION_YR3">[15]INDIRECTS!#REF!</definedName>
    <definedName name="AWI_FACTOR_OPTION_YR4">[15]INDIRECTS!#REF!</definedName>
    <definedName name="AWI_FACTOR_TABLE">[15]INDIRECTS!#REF!</definedName>
    <definedName name="AWU_FACTOR_OPTION_YR1B">[15]INDIRECTS!#REF!</definedName>
    <definedName name="bank_transfer">#REF!</definedName>
    <definedName name="BASA">#REF!</definedName>
    <definedName name="BASA1">#REF!</definedName>
    <definedName name="basefee">#REF!</definedName>
    <definedName name="BI">[16]Assumptions!$H$12</definedName>
    <definedName name="big">#REF!</definedName>
    <definedName name="bkodc">[12]Sheet1!$C$32</definedName>
    <definedName name="BRANTRAV">#REF!</definedName>
    <definedName name="budget">#REF!</definedName>
    <definedName name="Budget_years">#REF!</definedName>
    <definedName name="bver" localSheetId="4" hidden="1">{"PAGE1",#N/A,FALSE,"CPFFMSTR";"PAGE2",#N/A,FALSE,"CPFFMSTR"}</definedName>
    <definedName name="bver" localSheetId="5" hidden="1">{"PAGE1",#N/A,FALSE,"CPFFMSTR";"PAGE2",#N/A,FALSE,"CPFFMSTR"}</definedName>
    <definedName name="bver" localSheetId="6" hidden="1">{"PAGE1",#N/A,FALSE,"CPFFMSTR";"PAGE2",#N/A,FALSE,"CPFFMSTR"}</definedName>
    <definedName name="bver" localSheetId="8" hidden="1">{"PAGE1",#N/A,FALSE,"CPFFMSTR";"PAGE2",#N/A,FALSE,"CPFFMSTR"}</definedName>
    <definedName name="bver" localSheetId="3" hidden="1">{"PAGE1",#N/A,FALSE,"CPFFMSTR";"PAGE2",#N/A,FALSE,"CPFFMSTR"}</definedName>
    <definedName name="bver" localSheetId="1" hidden="1">{"PAGE1",#N/A,FALSE,"CPFFMSTR";"PAGE2",#N/A,FALSE,"CPFFMSTR"}</definedName>
    <definedName name="bver" hidden="1">{"PAGE1",#N/A,FALSE,"CPFFMSTR";"PAGE2",#N/A,FALSE,"CPFFMSTR"}</definedName>
    <definedName name="capital">[17]Parameters!$B$35</definedName>
    <definedName name="Cash_Table">'[18]Cash Receipt by Project'!$A:$EA</definedName>
    <definedName name="CCN">#N/A</definedName>
    <definedName name="CCN_Disount">#REF!</definedName>
    <definedName name="CGHY" localSheetId="4" hidden="1">{"PAGE1",#N/A,FALSE,"CPFFMSTR";"PAGE2",#N/A,FALSE,"CPFFMSTR"}</definedName>
    <definedName name="CGHY" localSheetId="5" hidden="1">{"PAGE1",#N/A,FALSE,"CPFFMSTR";"PAGE2",#N/A,FALSE,"CPFFMSTR"}</definedName>
    <definedName name="CGHY" localSheetId="6" hidden="1">{"PAGE1",#N/A,FALSE,"CPFFMSTR";"PAGE2",#N/A,FALSE,"CPFFMSTR"}</definedName>
    <definedName name="CGHY" localSheetId="8" hidden="1">{"PAGE1",#N/A,FALSE,"CPFFMSTR";"PAGE2",#N/A,FALSE,"CPFFMSTR"}</definedName>
    <definedName name="CGHY" localSheetId="3" hidden="1">{"PAGE1",#N/A,FALSE,"CPFFMSTR";"PAGE2",#N/A,FALSE,"CPFFMSTR"}</definedName>
    <definedName name="CGHY" localSheetId="1" hidden="1">{"PAGE1",#N/A,FALSE,"CPFFMSTR";"PAGE2",#N/A,FALSE,"CPFFMSTR"}</definedName>
    <definedName name="CGHY" hidden="1">{"PAGE1",#N/A,FALSE,"CPFFMSTR";"PAGE2",#N/A,FALSE,"CPFFMSTR"}</definedName>
    <definedName name="Chart_of_accounts">#REF!</definedName>
    <definedName name="ci">[5]Parameters!$B$2</definedName>
    <definedName name="CII">[12]Sheet1!$C$13</definedName>
    <definedName name="CLASS">[19]Classes!$B$2:$C$29</definedName>
    <definedName name="clin1">[7]Parameters!$B$10</definedName>
    <definedName name="clin1base">#REF!</definedName>
    <definedName name="clin1factor">'[5]CLIN factor'!$E$73</definedName>
    <definedName name="clin1oy1">#REF!</definedName>
    <definedName name="clin1oy2">#REF!</definedName>
    <definedName name="clin1oy3">#REF!</definedName>
    <definedName name="clin1oy4">#REF!</definedName>
    <definedName name="clin2">[7]Parameters!$B$11</definedName>
    <definedName name="clin2base">#REF!</definedName>
    <definedName name="clin2factor">'[5]CLIN factor'!$H$73</definedName>
    <definedName name="clin2oy1">#REF!</definedName>
    <definedName name="clin2oy2">#REF!</definedName>
    <definedName name="clin2oy3">#REF!</definedName>
    <definedName name="clin2oy4">#REF!</definedName>
    <definedName name="clin3">[7]Parameters!$B$12</definedName>
    <definedName name="clin3base">#REF!</definedName>
    <definedName name="clin3factor">'[5]CLIN factor'!$K$73</definedName>
    <definedName name="clin3oy1">#REF!</definedName>
    <definedName name="clin3oy2">#REF!</definedName>
    <definedName name="clin3oy3">#REF!</definedName>
    <definedName name="clin3oy4">#REF!</definedName>
    <definedName name="clin4">[7]Parameters!$B$13</definedName>
    <definedName name="clin5">[7]Parameters!$B$14</definedName>
    <definedName name="CoLA">'[20]Payroll August '!#REF!</definedName>
    <definedName name="comm">[5]Parameters!#REF!</definedName>
    <definedName name="Composite_Indirect_Rates_Year_1">[15]INDIRECTS!$T$3:$Y$15</definedName>
    <definedName name="Composite_Indirect_Rates_Year_2">[15]INDIRECTS!#REF!</definedName>
    <definedName name="Composite_Indirect_Rates_Year_3">[15]INDIRECTS!#REF!</definedName>
    <definedName name="Composite_Indirect_Rates_Year_4">[15]INDIRECTS!#REF!</definedName>
    <definedName name="Composite_Indirect_Rates_Year_5">[15]INDIRECTS!#REF!</definedName>
    <definedName name="COMSO" localSheetId="4" hidden="1">{#N/A,#N/A,FALSE,"Proposal"}</definedName>
    <definedName name="COMSO" localSheetId="5" hidden="1">{#N/A,#N/A,FALSE,"Proposal"}</definedName>
    <definedName name="COMSO" localSheetId="6" hidden="1">{#N/A,#N/A,FALSE,"Proposal"}</definedName>
    <definedName name="COMSO" localSheetId="8" hidden="1">{#N/A,#N/A,FALSE,"Proposal"}</definedName>
    <definedName name="COMSO" localSheetId="3" hidden="1">{#N/A,#N/A,FALSE,"Proposal"}</definedName>
    <definedName name="COMSO" hidden="1">{#N/A,#N/A,FALSE,"Proposal"}</definedName>
    <definedName name="confperdiem">#REF!</definedName>
    <definedName name="Connscenario">'[21]Summary Budget'!$O$12:$V$12</definedName>
    <definedName name="Connscenariodata">'[21]Summary Budget'!$O$12:$V$13</definedName>
    <definedName name="Cons">[10]RATES!#REF!</definedName>
    <definedName name="ConsolidatedOld">#REF!</definedName>
    <definedName name="CONST">#REF!</definedName>
    <definedName name="CONSULT">#N/A</definedName>
    <definedName name="consumables">[12]Sheet1!$C$42</definedName>
    <definedName name="COOPERATIVE_LEAGUE_OF_THE_USA">#REF!</definedName>
    <definedName name="coptrip">[5]Parameters!$D$27</definedName>
    <definedName name="coptriplength">[5]Parameters!$D$28</definedName>
    <definedName name="Cost_Elements">[15]INDIRECTS!$T$2:$Y$2</definedName>
    <definedName name="COSTS">#N/A</definedName>
    <definedName name="COUNTRY">#N/A</definedName>
    <definedName name="countryinf">#REF!</definedName>
    <definedName name="cts">[5]Parameters!$D$63</definedName>
    <definedName name="currency2">#REF!</definedName>
    <definedName name="CurrencyCode">#REF!</definedName>
    <definedName name="Cut">#REF!</definedName>
    <definedName name="DAI">#N/A</definedName>
    <definedName name="daiInd">1.4*1.5*1.09</definedName>
    <definedName name="danger">[7]Parameters!$B$522</definedName>
    <definedName name="dangerpay">[5]Parameters!$D$57</definedName>
    <definedName name="Dartotalpd">[17]Parameters!$B$29</definedName>
    <definedName name="DATA">#REF!</definedName>
    <definedName name="_xlnm.Database">#REF!</definedName>
    <definedName name="dataI3R">#REF!</definedName>
    <definedName name="Date">#REF!</definedName>
    <definedName name="Days">[10]RATES!#REF!</definedName>
    <definedName name="daysinKabul">[7]Parameters!$B$512</definedName>
    <definedName name="daysinPeshawar">[7]Parameters!$B$514</definedName>
    <definedName name="daysinTravel">[7]Parameters!$B$515</definedName>
    <definedName name="daysoutKabul">[7]Parameters!$B$513</definedName>
    <definedName name="dayspertrip">#REF!</definedName>
    <definedName name="dba">[5]Parameters!$D$16</definedName>
    <definedName name="ddd">'[22]Data-in process'!$C$2:$K$60</definedName>
    <definedName name="dereje">'[3]Detailed Budget-SAVE'!#REF!</definedName>
    <definedName name="Dereje_123">#REF!</definedName>
    <definedName name="DETAIL">#REF!</definedName>
    <definedName name="DFTY" localSheetId="4" hidden="1">{"PAGE1",#N/A,FALSE,"CPFFMSTR";"PAGE2",#N/A,FALSE,"CPFFMSTR"}</definedName>
    <definedName name="DFTY" localSheetId="5" hidden="1">{"PAGE1",#N/A,FALSE,"CPFFMSTR";"PAGE2",#N/A,FALSE,"CPFFMSTR"}</definedName>
    <definedName name="DFTY" localSheetId="6" hidden="1">{"PAGE1",#N/A,FALSE,"CPFFMSTR";"PAGE2",#N/A,FALSE,"CPFFMSTR"}</definedName>
    <definedName name="DFTY" localSheetId="8" hidden="1">{"PAGE1",#N/A,FALSE,"CPFFMSTR";"PAGE2",#N/A,FALSE,"CPFFMSTR"}</definedName>
    <definedName name="DFTY" localSheetId="3" hidden="1">{"PAGE1",#N/A,FALSE,"CPFFMSTR";"PAGE2",#N/A,FALSE,"CPFFMSTR"}</definedName>
    <definedName name="DFTY" localSheetId="1" hidden="1">{"PAGE1",#N/A,FALSE,"CPFFMSTR";"PAGE2",#N/A,FALSE,"CPFFMSTR"}</definedName>
    <definedName name="DFTY" hidden="1">{"PAGE1",#N/A,FALSE,"CPFFMSTR";"PAGE2",#N/A,FALSE,"CPFFMSTR"}</definedName>
    <definedName name="differential">[23]formulas!#REF!</definedName>
    <definedName name="Dinominator">#REF!</definedName>
    <definedName name="discCCN">0.77</definedName>
    <definedName name="discCCNLT">(1-0)</definedName>
    <definedName name="discCCNst">(1-0.75)</definedName>
    <definedName name="discExpat">0.15</definedName>
    <definedName name="DON">#N/A</definedName>
    <definedName name="dpt">#REF!</definedName>
    <definedName name="dsfa" localSheetId="4" hidden="1">{"PAGE1",#N/A,FALSE,"CPFFMSTR";"PAGE2",#N/A,FALSE,"CPFFMSTR"}</definedName>
    <definedName name="dsfa" localSheetId="5" hidden="1">{"PAGE1",#N/A,FALSE,"CPFFMSTR";"PAGE2",#N/A,FALSE,"CPFFMSTR"}</definedName>
    <definedName name="dsfa" localSheetId="6" hidden="1">{"PAGE1",#N/A,FALSE,"CPFFMSTR";"PAGE2",#N/A,FALSE,"CPFFMSTR"}</definedName>
    <definedName name="dsfa" localSheetId="8" hidden="1">{"PAGE1",#N/A,FALSE,"CPFFMSTR";"PAGE2",#N/A,FALSE,"CPFFMSTR"}</definedName>
    <definedName name="dsfa" localSheetId="3" hidden="1">{"PAGE1",#N/A,FALSE,"CPFFMSTR";"PAGE2",#N/A,FALSE,"CPFFMSTR"}</definedName>
    <definedName name="dsfa" localSheetId="1" hidden="1">{"PAGE1",#N/A,FALSE,"CPFFMSTR";"PAGE2",#N/A,FALSE,"CPFFMSTR"}</definedName>
    <definedName name="dsfa" hidden="1">{"PAGE1",#N/A,FALSE,"CPFFMSTR";"PAGE2",#N/A,FALSE,"CPFFMSTR"}</definedName>
    <definedName name="dtys" localSheetId="4" hidden="1">{"PAGE1",#N/A,FALSE,"CPFFMSTR";"PAGE2",#N/A,FALSE,"CPFFMSTR"}</definedName>
    <definedName name="dtys" localSheetId="5" hidden="1">{"PAGE1",#N/A,FALSE,"CPFFMSTR";"PAGE2",#N/A,FALSE,"CPFFMSTR"}</definedName>
    <definedName name="dtys" localSheetId="6" hidden="1">{"PAGE1",#N/A,FALSE,"CPFFMSTR";"PAGE2",#N/A,FALSE,"CPFFMSTR"}</definedName>
    <definedName name="dtys" localSheetId="8" hidden="1">{"PAGE1",#N/A,FALSE,"CPFFMSTR";"PAGE2",#N/A,FALSE,"CPFFMSTR"}</definedName>
    <definedName name="dtys" localSheetId="3" hidden="1">{"PAGE1",#N/A,FALSE,"CPFFMSTR";"PAGE2",#N/A,FALSE,"CPFFMSTR"}</definedName>
    <definedName name="dtys" localSheetId="1" hidden="1">{"PAGE1",#N/A,FALSE,"CPFFMSTR";"PAGE2",#N/A,FALSE,"CPFFMSTR"}</definedName>
    <definedName name="dtys" hidden="1">{"PAGE1",#N/A,FALSE,"CPFFMSTR";"PAGE2",#N/A,FALSE,"CPFFMSTR"}</definedName>
    <definedName name="eafo" localSheetId="4" hidden="1">{"ACC_Cars_125K_PA",#N/A,FALSE,"ACC Cars Co1 125K ";"ACC_Cars_125K_Prop",#N/A,FALSE,"ACC Cars Co1 125K "}</definedName>
    <definedName name="eafo" localSheetId="5" hidden="1">{"ACC_Cars_125K_PA",#N/A,FALSE,"ACC Cars Co1 125K ";"ACC_Cars_125K_Prop",#N/A,FALSE,"ACC Cars Co1 125K "}</definedName>
    <definedName name="eafo" localSheetId="6" hidden="1">{"ACC_Cars_125K_PA",#N/A,FALSE,"ACC Cars Co1 125K ";"ACC_Cars_125K_Prop",#N/A,FALSE,"ACC Cars Co1 125K "}</definedName>
    <definedName name="eafo" localSheetId="8" hidden="1">{"ACC_Cars_125K_PA",#N/A,FALSE,"ACC Cars Co1 125K ";"ACC_Cars_125K_Prop",#N/A,FALSE,"ACC Cars Co1 125K "}</definedName>
    <definedName name="eafo" localSheetId="3" hidden="1">{"ACC_Cars_125K_PA",#N/A,FALSE,"ACC Cars Co1 125K ";"ACC_Cars_125K_Prop",#N/A,FALSE,"ACC Cars Co1 125K "}</definedName>
    <definedName name="eafo" localSheetId="1" hidden="1">{"ACC_Cars_125K_PA",#N/A,FALSE,"ACC Cars Co1 125K ";"ACC_Cars_125K_Prop",#N/A,FALSE,"ACC Cars Co1 125K "}</definedName>
    <definedName name="eafo" hidden="1">{"ACC_Cars_125K_PA",#N/A,FALSE,"ACC Cars Co1 125K ";"ACC_Cars_125K_Prop",#N/A,FALSE,"ACC Cars Co1 125K "}</definedName>
    <definedName name="eafo1" localSheetId="4" hidden="1">{"ACC_Cars_400K_PA",#N/A,FALSE,"ACC Cars Co1 400K";"ACC_Cars_400K_Prop",#N/A,FALSE,"ACC Cars Co1 400K"}</definedName>
    <definedName name="eafo1" localSheetId="5" hidden="1">{"ACC_Cars_400K_PA",#N/A,FALSE,"ACC Cars Co1 400K";"ACC_Cars_400K_Prop",#N/A,FALSE,"ACC Cars Co1 400K"}</definedName>
    <definedName name="eafo1" localSheetId="6" hidden="1">{"ACC_Cars_400K_PA",#N/A,FALSE,"ACC Cars Co1 400K";"ACC_Cars_400K_Prop",#N/A,FALSE,"ACC Cars Co1 400K"}</definedName>
    <definedName name="eafo1" localSheetId="8" hidden="1">{"ACC_Cars_400K_PA",#N/A,FALSE,"ACC Cars Co1 400K";"ACC_Cars_400K_Prop",#N/A,FALSE,"ACC Cars Co1 400K"}</definedName>
    <definedName name="eafo1" localSheetId="3" hidden="1">{"ACC_Cars_400K_PA",#N/A,FALSE,"ACC Cars Co1 400K";"ACC_Cars_400K_Prop",#N/A,FALSE,"ACC Cars Co1 400K"}</definedName>
    <definedName name="eafo1" localSheetId="1" hidden="1">{"ACC_Cars_400K_PA",#N/A,FALSE,"ACC Cars Co1 400K";"ACC_Cars_400K_Prop",#N/A,FALSE,"ACC Cars Co1 400K"}</definedName>
    <definedName name="eafo1" hidden="1">{"ACC_Cars_400K_PA",#N/A,FALSE,"ACC Cars Co1 400K";"ACC_Cars_400K_Prop",#N/A,FALSE,"ACC Cars Co1 400K"}</definedName>
    <definedName name="eafo10" localSheetId="4" hidden="1">{"PearsonCo1_Prop",#N/A,FALSE,"Pearsons Task Co1";"PearsonCo1_PA",#N/A,FALSE,"Pearsons Task Co1"}</definedName>
    <definedName name="eafo10" localSheetId="5" hidden="1">{"PearsonCo1_Prop",#N/A,FALSE,"Pearsons Task Co1";"PearsonCo1_PA",#N/A,FALSE,"Pearsons Task Co1"}</definedName>
    <definedName name="eafo10" localSheetId="6" hidden="1">{"PearsonCo1_Prop",#N/A,FALSE,"Pearsons Task Co1";"PearsonCo1_PA",#N/A,FALSE,"Pearsons Task Co1"}</definedName>
    <definedName name="eafo10" localSheetId="8" hidden="1">{"PearsonCo1_Prop",#N/A,FALSE,"Pearsons Task Co1";"PearsonCo1_PA",#N/A,FALSE,"Pearsons Task Co1"}</definedName>
    <definedName name="eafo10" localSheetId="3" hidden="1">{"PearsonCo1_Prop",#N/A,FALSE,"Pearsons Task Co1";"PearsonCo1_PA",#N/A,FALSE,"Pearsons Task Co1"}</definedName>
    <definedName name="eafo10" localSheetId="1" hidden="1">{"PearsonCo1_Prop",#N/A,FALSE,"Pearsons Task Co1";"PearsonCo1_PA",#N/A,FALSE,"Pearsons Task Co1"}</definedName>
    <definedName name="eafo10" hidden="1">{"PearsonCo1_Prop",#N/A,FALSE,"Pearsons Task Co1";"PearsonCo1_PA",#N/A,FALSE,"Pearsons Task Co1"}</definedName>
    <definedName name="eafo11" localSheetId="4" hidden="1">{"PearsonCo5_Prop",#N/A,FALSE,"Pearsons Task Co5";"PearsonCo5_PA",#N/A,FALSE,"Pearsons Task Co5"}</definedName>
    <definedName name="eafo11" localSheetId="5" hidden="1">{"PearsonCo5_Prop",#N/A,FALSE,"Pearsons Task Co5";"PearsonCo5_PA",#N/A,FALSE,"Pearsons Task Co5"}</definedName>
    <definedName name="eafo11" localSheetId="6" hidden="1">{"PearsonCo5_Prop",#N/A,FALSE,"Pearsons Task Co5";"PearsonCo5_PA",#N/A,FALSE,"Pearsons Task Co5"}</definedName>
    <definedName name="eafo11" localSheetId="8" hidden="1">{"PearsonCo5_Prop",#N/A,FALSE,"Pearsons Task Co5";"PearsonCo5_PA",#N/A,FALSE,"Pearsons Task Co5"}</definedName>
    <definedName name="eafo11" localSheetId="3" hidden="1">{"PearsonCo5_Prop",#N/A,FALSE,"Pearsons Task Co5";"PearsonCo5_PA",#N/A,FALSE,"Pearsons Task Co5"}</definedName>
    <definedName name="eafo11" localSheetId="1" hidden="1">{"PearsonCo5_Prop",#N/A,FALSE,"Pearsons Task Co5";"PearsonCo5_PA",#N/A,FALSE,"Pearsons Task Co5"}</definedName>
    <definedName name="eafo11" hidden="1">{"PearsonCo5_Prop",#N/A,FALSE,"Pearsons Task Co5";"PearsonCo5_PA",#N/A,FALSE,"Pearsons Task Co5"}</definedName>
    <definedName name="eafo12" localSheetId="4" hidden="1">{"Seal Team J6 Sum",#N/A,FALSE,"Seal Team Summary";"Seal Team J6",#N/A,FALSE,"Seal Team ";"Seal Team ODC J6",#N/A,FALSE,"Seal Team ODCs";"Seal Team Trvl J6",#N/A,FALSE," Seal Team Trvl"}</definedName>
    <definedName name="eafo12" localSheetId="5" hidden="1">{"Seal Team J6 Sum",#N/A,FALSE,"Seal Team Summary";"Seal Team J6",#N/A,FALSE,"Seal Team ";"Seal Team ODC J6",#N/A,FALSE,"Seal Team ODCs";"Seal Team Trvl J6",#N/A,FALSE," Seal Team Trvl"}</definedName>
    <definedName name="eafo12" localSheetId="6" hidden="1">{"Seal Team J6 Sum",#N/A,FALSE,"Seal Team Summary";"Seal Team J6",#N/A,FALSE,"Seal Team ";"Seal Team ODC J6",#N/A,FALSE,"Seal Team ODCs";"Seal Team Trvl J6",#N/A,FALSE," Seal Team Trvl"}</definedName>
    <definedName name="eafo12" localSheetId="8" hidden="1">{"Seal Team J6 Sum",#N/A,FALSE,"Seal Team Summary";"Seal Team J6",#N/A,FALSE,"Seal Team ";"Seal Team ODC J6",#N/A,FALSE,"Seal Team ODCs";"Seal Team Trvl J6",#N/A,FALSE," Seal Team Trvl"}</definedName>
    <definedName name="eafo12" localSheetId="3" hidden="1">{"Seal Team J6 Sum",#N/A,FALSE,"Seal Team Summary";"Seal Team J6",#N/A,FALSE,"Seal Team ";"Seal Team ODC J6",#N/A,FALSE,"Seal Team ODCs";"Seal Team Trvl J6",#N/A,FALSE," Seal Team Trvl"}</definedName>
    <definedName name="eafo12" localSheetId="1" hidden="1">{"Seal Team J6 Sum",#N/A,FALSE,"Seal Team Summary";"Seal Team J6",#N/A,FALSE,"Seal Team ";"Seal Team ODC J6",#N/A,FALSE,"Seal Team ODCs";"Seal Team Trvl J6",#N/A,FALSE," Seal Team Trvl"}</definedName>
    <definedName name="eafo12" hidden="1">{"Seal Team J6 Sum",#N/A,FALSE,"Seal Team Summary";"Seal Team J6",#N/A,FALSE,"Seal Team ";"Seal Team ODC J6",#N/A,FALSE,"Seal Team ODCs";"Seal Team Trvl J6",#N/A,FALSE," Seal Team Trvl"}</definedName>
    <definedName name="eafo15" localSheetId="4" hidden="1">{"ACC_Cars_125K_PA",#N/A,FALSE,"ACC Cars Co1 125K ";"ACC_Cars_125K_Prop",#N/A,FALSE,"ACC Cars Co1 125K "}</definedName>
    <definedName name="eafo15" localSheetId="5" hidden="1">{"ACC_Cars_125K_PA",#N/A,FALSE,"ACC Cars Co1 125K ";"ACC_Cars_125K_Prop",#N/A,FALSE,"ACC Cars Co1 125K "}</definedName>
    <definedName name="eafo15" localSheetId="6" hidden="1">{"ACC_Cars_125K_PA",#N/A,FALSE,"ACC Cars Co1 125K ";"ACC_Cars_125K_Prop",#N/A,FALSE,"ACC Cars Co1 125K "}</definedName>
    <definedName name="eafo15" localSheetId="8" hidden="1">{"ACC_Cars_125K_PA",#N/A,FALSE,"ACC Cars Co1 125K ";"ACC_Cars_125K_Prop",#N/A,FALSE,"ACC Cars Co1 125K "}</definedName>
    <definedName name="eafo15" localSheetId="3" hidden="1">{"ACC_Cars_125K_PA",#N/A,FALSE,"ACC Cars Co1 125K ";"ACC_Cars_125K_Prop",#N/A,FALSE,"ACC Cars Co1 125K "}</definedName>
    <definedName name="eafo15" localSheetId="1" hidden="1">{"ACC_Cars_125K_PA",#N/A,FALSE,"ACC Cars Co1 125K ";"ACC_Cars_125K_Prop",#N/A,FALSE,"ACC Cars Co1 125K "}</definedName>
    <definedName name="eafo15" hidden="1">{"ACC_Cars_125K_PA",#N/A,FALSE,"ACC Cars Co1 125K ";"ACC_Cars_125K_Prop",#N/A,FALSE,"ACC Cars Co1 125K "}</definedName>
    <definedName name="eafo16" localSheetId="4" hidden="1">{"ACC_Cars_400K_PA",#N/A,FALSE,"ACC Cars Co1 400K";"ACC_Cars_400K_Prop",#N/A,FALSE,"ACC Cars Co1 400K"}</definedName>
    <definedName name="eafo16" localSheetId="5" hidden="1">{"ACC_Cars_400K_PA",#N/A,FALSE,"ACC Cars Co1 400K";"ACC_Cars_400K_Prop",#N/A,FALSE,"ACC Cars Co1 400K"}</definedName>
    <definedName name="eafo16" localSheetId="6" hidden="1">{"ACC_Cars_400K_PA",#N/A,FALSE,"ACC Cars Co1 400K";"ACC_Cars_400K_Prop",#N/A,FALSE,"ACC Cars Co1 400K"}</definedName>
    <definedName name="eafo16" localSheetId="8" hidden="1">{"ACC_Cars_400K_PA",#N/A,FALSE,"ACC Cars Co1 400K";"ACC_Cars_400K_Prop",#N/A,FALSE,"ACC Cars Co1 400K"}</definedName>
    <definedName name="eafo16" localSheetId="3" hidden="1">{"ACC_Cars_400K_PA",#N/A,FALSE,"ACC Cars Co1 400K";"ACC_Cars_400K_Prop",#N/A,FALSE,"ACC Cars Co1 400K"}</definedName>
    <definedName name="eafo16" localSheetId="1" hidden="1">{"ACC_Cars_400K_PA",#N/A,FALSE,"ACC Cars Co1 400K";"ACC_Cars_400K_Prop",#N/A,FALSE,"ACC Cars Co1 400K"}</definedName>
    <definedName name="eafo16" hidden="1">{"ACC_Cars_400K_PA",#N/A,FALSE,"ACC Cars Co1 400K";"ACC_Cars_400K_Prop",#N/A,FALSE,"ACC Cars Co1 400K"}</definedName>
    <definedName name="eafo17" localSheetId="4" hidden="1">{"PAGE1",#N/A,FALSE,"ACC_CARS Travel 125K";"PAGE2",#N/A,FALSE,"ACC_CARS Travel 125K"}</definedName>
    <definedName name="eafo17" localSheetId="5" hidden="1">{"PAGE1",#N/A,FALSE,"ACC_CARS Travel 125K";"PAGE2",#N/A,FALSE,"ACC_CARS Travel 125K"}</definedName>
    <definedName name="eafo17" localSheetId="6" hidden="1">{"PAGE1",#N/A,FALSE,"ACC_CARS Travel 125K";"PAGE2",#N/A,FALSE,"ACC_CARS Travel 125K"}</definedName>
    <definedName name="eafo17" localSheetId="8" hidden="1">{"PAGE1",#N/A,FALSE,"ACC_CARS Travel 125K";"PAGE2",#N/A,FALSE,"ACC_CARS Travel 125K"}</definedName>
    <definedName name="eafo17" localSheetId="3" hidden="1">{"PAGE1",#N/A,FALSE,"ACC_CARS Travel 125K";"PAGE2",#N/A,FALSE,"ACC_CARS Travel 125K"}</definedName>
    <definedName name="eafo17" localSheetId="1" hidden="1">{"PAGE1",#N/A,FALSE,"ACC_CARS Travel 125K";"PAGE2",#N/A,FALSE,"ACC_CARS Travel 125K"}</definedName>
    <definedName name="eafo17" hidden="1">{"PAGE1",#N/A,FALSE,"ACC_CARS Travel 125K";"PAGE2",#N/A,FALSE,"ACC_CARS Travel 125K"}</definedName>
    <definedName name="eafo18" localSheetId="4" hidden="1">{"Page1",#N/A,FALSE,"ACC_CARS Travel 400K";"Page2",#N/A,FALSE,"ACC_CARS Travel 400K"}</definedName>
    <definedName name="eafo18" localSheetId="5" hidden="1">{"Page1",#N/A,FALSE,"ACC_CARS Travel 400K";"Page2",#N/A,FALSE,"ACC_CARS Travel 400K"}</definedName>
    <definedName name="eafo18" localSheetId="6" hidden="1">{"Page1",#N/A,FALSE,"ACC_CARS Travel 400K";"Page2",#N/A,FALSE,"ACC_CARS Travel 400K"}</definedName>
    <definedName name="eafo18" localSheetId="8" hidden="1">{"Page1",#N/A,FALSE,"ACC_CARS Travel 400K";"Page2",#N/A,FALSE,"ACC_CARS Travel 400K"}</definedName>
    <definedName name="eafo18" localSheetId="3" hidden="1">{"Page1",#N/A,FALSE,"ACC_CARS Travel 400K";"Page2",#N/A,FALSE,"ACC_CARS Travel 400K"}</definedName>
    <definedName name="eafo18" localSheetId="1" hidden="1">{"Page1",#N/A,FALSE,"ACC_CARS Travel 400K";"Page2",#N/A,FALSE,"ACC_CARS Travel 400K"}</definedName>
    <definedName name="eafo18" hidden="1">{"Page1",#N/A,FALSE,"ACC_CARS Travel 400K";"Page2",#N/A,FALSE,"ACC_CARS Travel 400K"}</definedName>
    <definedName name="eafo19" localSheetId="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5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6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8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3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1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2" localSheetId="4" hidden="1">{"PAGE1",#N/A,FALSE,"ACC_CARS Travel 125K";"PAGE2",#N/A,FALSE,"ACC_CARS Travel 125K"}</definedName>
    <definedName name="eafo2" localSheetId="5" hidden="1">{"PAGE1",#N/A,FALSE,"ACC_CARS Travel 125K";"PAGE2",#N/A,FALSE,"ACC_CARS Travel 125K"}</definedName>
    <definedName name="eafo2" localSheetId="6" hidden="1">{"PAGE1",#N/A,FALSE,"ACC_CARS Travel 125K";"PAGE2",#N/A,FALSE,"ACC_CARS Travel 125K"}</definedName>
    <definedName name="eafo2" localSheetId="8" hidden="1">{"PAGE1",#N/A,FALSE,"ACC_CARS Travel 125K";"PAGE2",#N/A,FALSE,"ACC_CARS Travel 125K"}</definedName>
    <definedName name="eafo2" localSheetId="3" hidden="1">{"PAGE1",#N/A,FALSE,"ACC_CARS Travel 125K";"PAGE2",#N/A,FALSE,"ACC_CARS Travel 125K"}</definedName>
    <definedName name="eafo2" localSheetId="1" hidden="1">{"PAGE1",#N/A,FALSE,"ACC_CARS Travel 125K";"PAGE2",#N/A,FALSE,"ACC_CARS Travel 125K"}</definedName>
    <definedName name="eafo2" hidden="1">{"PAGE1",#N/A,FALSE,"ACC_CARS Travel 125K";"PAGE2",#N/A,FALSE,"ACC_CARS Travel 125K"}</definedName>
    <definedName name="eafo20" localSheetId="4" hidden="1">{"DolanCo1_PA",#N/A,FALSE,"Tina Dolan";"DolanCo1_Prop",#N/A,FALSE,"Tina Dolan"}</definedName>
    <definedName name="eafo20" localSheetId="5" hidden="1">{"DolanCo1_PA",#N/A,FALSE,"Tina Dolan";"DolanCo1_Prop",#N/A,FALSE,"Tina Dolan"}</definedName>
    <definedName name="eafo20" localSheetId="6" hidden="1">{"DolanCo1_PA",#N/A,FALSE,"Tina Dolan";"DolanCo1_Prop",#N/A,FALSE,"Tina Dolan"}</definedName>
    <definedName name="eafo20" localSheetId="8" hidden="1">{"DolanCo1_PA",#N/A,FALSE,"Tina Dolan";"DolanCo1_Prop",#N/A,FALSE,"Tina Dolan"}</definedName>
    <definedName name="eafo20" localSheetId="3" hidden="1">{"DolanCo1_PA",#N/A,FALSE,"Tina Dolan";"DolanCo1_Prop",#N/A,FALSE,"Tina Dolan"}</definedName>
    <definedName name="eafo20" localSheetId="1" hidden="1">{"DolanCo1_PA",#N/A,FALSE,"Tina Dolan";"DolanCo1_Prop",#N/A,FALSE,"Tina Dolan"}</definedName>
    <definedName name="eafo20" hidden="1">{"DolanCo1_PA",#N/A,FALSE,"Tina Dolan";"DolanCo1_Prop",#N/A,FALSE,"Tina Dolan"}</definedName>
    <definedName name="eafo21" localSheetId="4" hidden="1">{"Prop_350K",#N/A,FALSE,"Ebron-350K";"PA_350K",#N/A,FALSE,"Ebron-350K";"Ebron350KTrvl",#N/A,FALSE,"Ebrons Travel 350k"}</definedName>
    <definedName name="eafo21" localSheetId="5" hidden="1">{"Prop_350K",#N/A,FALSE,"Ebron-350K";"PA_350K",#N/A,FALSE,"Ebron-350K";"Ebron350KTrvl",#N/A,FALSE,"Ebrons Travel 350k"}</definedName>
    <definedName name="eafo21" localSheetId="6" hidden="1">{"Prop_350K",#N/A,FALSE,"Ebron-350K";"PA_350K",#N/A,FALSE,"Ebron-350K";"Ebron350KTrvl",#N/A,FALSE,"Ebrons Travel 350k"}</definedName>
    <definedName name="eafo21" localSheetId="8" hidden="1">{"Prop_350K",#N/A,FALSE,"Ebron-350K";"PA_350K",#N/A,FALSE,"Ebron-350K";"Ebron350KTrvl",#N/A,FALSE,"Ebrons Travel 350k"}</definedName>
    <definedName name="eafo21" localSheetId="3" hidden="1">{"Prop_350K",#N/A,FALSE,"Ebron-350K";"PA_350K",#N/A,FALSE,"Ebron-350K";"Ebron350KTrvl",#N/A,FALSE,"Ebrons Travel 350k"}</definedName>
    <definedName name="eafo21" localSheetId="1" hidden="1">{"Prop_350K",#N/A,FALSE,"Ebron-350K";"PA_350K",#N/A,FALSE,"Ebron-350K";"Ebron350KTrvl",#N/A,FALSE,"Ebrons Travel 350k"}</definedName>
    <definedName name="eafo21" hidden="1">{"Prop_350K",#N/A,FALSE,"Ebron-350K";"PA_350K",#N/A,FALSE,"Ebron-350K";"Ebron350KTrvl",#N/A,FALSE,"Ebrons Travel 350k"}</definedName>
    <definedName name="eafo22" localSheetId="4" hidden="1">{"EbronCo1_PA",#N/A,FALSE,"Ebrons Task Co1";"EbronCo1_Prop",#N/A,FALSE,"Ebrons Task Co1";"Ebron316KTrvl",#N/A,FALSE,"Ebrons Travel 316k"}</definedName>
    <definedName name="eafo22" localSheetId="5" hidden="1">{"EbronCo1_PA",#N/A,FALSE,"Ebrons Task Co1";"EbronCo1_Prop",#N/A,FALSE,"Ebrons Task Co1";"Ebron316KTrvl",#N/A,FALSE,"Ebrons Travel 316k"}</definedName>
    <definedName name="eafo22" localSheetId="6" hidden="1">{"EbronCo1_PA",#N/A,FALSE,"Ebrons Task Co1";"EbronCo1_Prop",#N/A,FALSE,"Ebrons Task Co1";"Ebron316KTrvl",#N/A,FALSE,"Ebrons Travel 316k"}</definedName>
    <definedName name="eafo22" localSheetId="8" hidden="1">{"EbronCo1_PA",#N/A,FALSE,"Ebrons Task Co1";"EbronCo1_Prop",#N/A,FALSE,"Ebrons Task Co1";"Ebron316KTrvl",#N/A,FALSE,"Ebrons Travel 316k"}</definedName>
    <definedName name="eafo22" localSheetId="3" hidden="1">{"EbronCo1_PA",#N/A,FALSE,"Ebrons Task Co1";"EbronCo1_Prop",#N/A,FALSE,"Ebrons Task Co1";"Ebron316KTrvl",#N/A,FALSE,"Ebrons Travel 316k"}</definedName>
    <definedName name="eafo22" localSheetId="1" hidden="1">{"EbronCo1_PA",#N/A,FALSE,"Ebrons Task Co1";"EbronCo1_Prop",#N/A,FALSE,"Ebrons Task Co1";"Ebron316KTrvl",#N/A,FALSE,"Ebrons Travel 316k"}</definedName>
    <definedName name="eafo22" hidden="1">{"EbronCo1_PA",#N/A,FALSE,"Ebrons Task Co1";"EbronCo1_Prop",#N/A,FALSE,"Ebrons Task Co1";"Ebron316KTrvl",#N/A,FALSE,"Ebrons Travel 316k"}</definedName>
    <definedName name="eafo23" localSheetId="4" hidden="1">{"EbronCo5_PA",#N/A,FALSE,"Ebrons Task Co5";"EbronCo5_Prop",#N/A,FALSE,"Ebrons Task Co5"}</definedName>
    <definedName name="eafo23" localSheetId="5" hidden="1">{"EbronCo5_PA",#N/A,FALSE,"Ebrons Task Co5";"EbronCo5_Prop",#N/A,FALSE,"Ebrons Task Co5"}</definedName>
    <definedName name="eafo23" localSheetId="6" hidden="1">{"EbronCo5_PA",#N/A,FALSE,"Ebrons Task Co5";"EbronCo5_Prop",#N/A,FALSE,"Ebrons Task Co5"}</definedName>
    <definedName name="eafo23" localSheetId="8" hidden="1">{"EbronCo5_PA",#N/A,FALSE,"Ebrons Task Co5";"EbronCo5_Prop",#N/A,FALSE,"Ebrons Task Co5"}</definedName>
    <definedName name="eafo23" localSheetId="3" hidden="1">{"EbronCo5_PA",#N/A,FALSE,"Ebrons Task Co5";"EbronCo5_Prop",#N/A,FALSE,"Ebrons Task Co5"}</definedName>
    <definedName name="eafo23" localSheetId="1" hidden="1">{"EbronCo5_PA",#N/A,FALSE,"Ebrons Task Co5";"EbronCo5_Prop",#N/A,FALSE,"Ebrons Task Co5"}</definedName>
    <definedName name="eafo23" hidden="1">{"EbronCo5_PA",#N/A,FALSE,"Ebrons Task Co5";"EbronCo5_Prop",#N/A,FALSE,"Ebrons Task Co5"}</definedName>
    <definedName name="eafo24" localSheetId="4" hidden="1">{"JDISS_Co1",#N/A,FALSE,"JDISS_Co1";"JDISSCo1_PA",#N/A,FALSE,"JDISS_Co1"}</definedName>
    <definedName name="eafo24" localSheetId="5" hidden="1">{"JDISS_Co1",#N/A,FALSE,"JDISS_Co1";"JDISSCo1_PA",#N/A,FALSE,"JDISS_Co1"}</definedName>
    <definedName name="eafo24" localSheetId="6" hidden="1">{"JDISS_Co1",#N/A,FALSE,"JDISS_Co1";"JDISSCo1_PA",#N/A,FALSE,"JDISS_Co1"}</definedName>
    <definedName name="eafo24" localSheetId="8" hidden="1">{"JDISS_Co1",#N/A,FALSE,"JDISS_Co1";"JDISSCo1_PA",#N/A,FALSE,"JDISS_Co1"}</definedName>
    <definedName name="eafo24" localSheetId="3" hidden="1">{"JDISS_Co1",#N/A,FALSE,"JDISS_Co1";"JDISSCo1_PA",#N/A,FALSE,"JDISS_Co1"}</definedName>
    <definedName name="eafo24" localSheetId="1" hidden="1">{"JDISS_Co1",#N/A,FALSE,"JDISS_Co1";"JDISSCo1_PA",#N/A,FALSE,"JDISS_Co1"}</definedName>
    <definedName name="eafo24" hidden="1">{"JDISS_Co1",#N/A,FALSE,"JDISS_Co1";"JDISSCo1_PA",#N/A,FALSE,"JDISS_Co1"}</definedName>
    <definedName name="eafo26" localSheetId="4" hidden="1">{"PearsonCo5_Prop",#N/A,FALSE,"Pearsons Task Co5";"PearsonCo5_PA",#N/A,FALSE,"Pearsons Task Co5"}</definedName>
    <definedName name="eafo26" localSheetId="5" hidden="1">{"PearsonCo5_Prop",#N/A,FALSE,"Pearsons Task Co5";"PearsonCo5_PA",#N/A,FALSE,"Pearsons Task Co5"}</definedName>
    <definedName name="eafo26" localSheetId="6" hidden="1">{"PearsonCo5_Prop",#N/A,FALSE,"Pearsons Task Co5";"PearsonCo5_PA",#N/A,FALSE,"Pearsons Task Co5"}</definedName>
    <definedName name="eafo26" localSheetId="8" hidden="1">{"PearsonCo5_Prop",#N/A,FALSE,"Pearsons Task Co5";"PearsonCo5_PA",#N/A,FALSE,"Pearsons Task Co5"}</definedName>
    <definedName name="eafo26" localSheetId="3" hidden="1">{"PearsonCo5_Prop",#N/A,FALSE,"Pearsons Task Co5";"PearsonCo5_PA",#N/A,FALSE,"Pearsons Task Co5"}</definedName>
    <definedName name="eafo26" localSheetId="1" hidden="1">{"PearsonCo5_Prop",#N/A,FALSE,"Pearsons Task Co5";"PearsonCo5_PA",#N/A,FALSE,"Pearsons Task Co5"}</definedName>
    <definedName name="eafo26" hidden="1">{"PearsonCo5_Prop",#N/A,FALSE,"Pearsons Task Co5";"PearsonCo5_PA",#N/A,FALSE,"Pearsons Task Co5"}</definedName>
    <definedName name="eafo27" localSheetId="4" hidden="1">{"Seal Team J6 Sum",#N/A,FALSE,"Seal Team Summary";"Seal Team J6",#N/A,FALSE,"Seal Team ";"Seal Team ODC J6",#N/A,FALSE,"Seal Team ODCs";"Seal Team Trvl J6",#N/A,FALSE," Seal Team Trvl"}</definedName>
    <definedName name="eafo27" localSheetId="5" hidden="1">{"Seal Team J6 Sum",#N/A,FALSE,"Seal Team Summary";"Seal Team J6",#N/A,FALSE,"Seal Team ";"Seal Team ODC J6",#N/A,FALSE,"Seal Team ODCs";"Seal Team Trvl J6",#N/A,FALSE," Seal Team Trvl"}</definedName>
    <definedName name="eafo27" localSheetId="6" hidden="1">{"Seal Team J6 Sum",#N/A,FALSE,"Seal Team Summary";"Seal Team J6",#N/A,FALSE,"Seal Team ";"Seal Team ODC J6",#N/A,FALSE,"Seal Team ODCs";"Seal Team Trvl J6",#N/A,FALSE," Seal Team Trvl"}</definedName>
    <definedName name="eafo27" localSheetId="8" hidden="1">{"Seal Team J6 Sum",#N/A,FALSE,"Seal Team Summary";"Seal Team J6",#N/A,FALSE,"Seal Team ";"Seal Team ODC J6",#N/A,FALSE,"Seal Team ODCs";"Seal Team Trvl J6",#N/A,FALSE," Seal Team Trvl"}</definedName>
    <definedName name="eafo27" localSheetId="3" hidden="1">{"Seal Team J6 Sum",#N/A,FALSE,"Seal Team Summary";"Seal Team J6",#N/A,FALSE,"Seal Team ";"Seal Team ODC J6",#N/A,FALSE,"Seal Team ODCs";"Seal Team Trvl J6",#N/A,FALSE," Seal Team Trvl"}</definedName>
    <definedName name="eafo27" localSheetId="1" hidden="1">{"Seal Team J6 Sum",#N/A,FALSE,"Seal Team Summary";"Seal Team J6",#N/A,FALSE,"Seal Team ";"Seal Team ODC J6",#N/A,FALSE,"Seal Team ODCs";"Seal Team Trvl J6",#N/A,FALSE," Seal Team Trvl"}</definedName>
    <definedName name="eafo27" hidden="1">{"Seal Team J6 Sum",#N/A,FALSE,"Seal Team Summary";"Seal Team J6",#N/A,FALSE,"Seal Team ";"Seal Team ODC J6",#N/A,FALSE,"Seal Team ODCs";"Seal Team Trvl J6",#N/A,FALSE," Seal Team Trvl"}</definedName>
    <definedName name="eafo3" localSheetId="4" hidden="1">{"Page1",#N/A,FALSE,"ACC_CARS Travel 400K";"Page2",#N/A,FALSE,"ACC_CARS Travel 400K"}</definedName>
    <definedName name="eafo3" localSheetId="5" hidden="1">{"Page1",#N/A,FALSE,"ACC_CARS Travel 400K";"Page2",#N/A,FALSE,"ACC_CARS Travel 400K"}</definedName>
    <definedName name="eafo3" localSheetId="6" hidden="1">{"Page1",#N/A,FALSE,"ACC_CARS Travel 400K";"Page2",#N/A,FALSE,"ACC_CARS Travel 400K"}</definedName>
    <definedName name="eafo3" localSheetId="8" hidden="1">{"Page1",#N/A,FALSE,"ACC_CARS Travel 400K";"Page2",#N/A,FALSE,"ACC_CARS Travel 400K"}</definedName>
    <definedName name="eafo3" localSheetId="3" hidden="1">{"Page1",#N/A,FALSE,"ACC_CARS Travel 400K";"Page2",#N/A,FALSE,"ACC_CARS Travel 400K"}</definedName>
    <definedName name="eafo3" localSheetId="1" hidden="1">{"Page1",#N/A,FALSE,"ACC_CARS Travel 400K";"Page2",#N/A,FALSE,"ACC_CARS Travel 400K"}</definedName>
    <definedName name="eafo3" hidden="1">{"Page1",#N/A,FALSE,"ACC_CARS Travel 400K";"Page2",#N/A,FALSE,"ACC_CARS Travel 400K"}</definedName>
    <definedName name="eafo4" localSheetId="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5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6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8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3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1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5" localSheetId="4" hidden="1">{"DolanCo1_PA",#N/A,FALSE,"Tina Dolan";"DolanCo1_Prop",#N/A,FALSE,"Tina Dolan"}</definedName>
    <definedName name="eafo5" localSheetId="5" hidden="1">{"DolanCo1_PA",#N/A,FALSE,"Tina Dolan";"DolanCo1_Prop",#N/A,FALSE,"Tina Dolan"}</definedName>
    <definedName name="eafo5" localSheetId="6" hidden="1">{"DolanCo1_PA",#N/A,FALSE,"Tina Dolan";"DolanCo1_Prop",#N/A,FALSE,"Tina Dolan"}</definedName>
    <definedName name="eafo5" localSheetId="8" hidden="1">{"DolanCo1_PA",#N/A,FALSE,"Tina Dolan";"DolanCo1_Prop",#N/A,FALSE,"Tina Dolan"}</definedName>
    <definedName name="eafo5" localSheetId="3" hidden="1">{"DolanCo1_PA",#N/A,FALSE,"Tina Dolan";"DolanCo1_Prop",#N/A,FALSE,"Tina Dolan"}</definedName>
    <definedName name="eafo5" localSheetId="1" hidden="1">{"DolanCo1_PA",#N/A,FALSE,"Tina Dolan";"DolanCo1_Prop",#N/A,FALSE,"Tina Dolan"}</definedName>
    <definedName name="eafo5" hidden="1">{"DolanCo1_PA",#N/A,FALSE,"Tina Dolan";"DolanCo1_Prop",#N/A,FALSE,"Tina Dolan"}</definedName>
    <definedName name="eafo6" localSheetId="4" hidden="1">{"Prop_350K",#N/A,FALSE,"Ebron-350K";"PA_350K",#N/A,FALSE,"Ebron-350K";"Ebron350KTrvl",#N/A,FALSE,"Ebrons Travel 350k"}</definedName>
    <definedName name="eafo6" localSheetId="5" hidden="1">{"Prop_350K",#N/A,FALSE,"Ebron-350K";"PA_350K",#N/A,FALSE,"Ebron-350K";"Ebron350KTrvl",#N/A,FALSE,"Ebrons Travel 350k"}</definedName>
    <definedName name="eafo6" localSheetId="6" hidden="1">{"Prop_350K",#N/A,FALSE,"Ebron-350K";"PA_350K",#N/A,FALSE,"Ebron-350K";"Ebron350KTrvl",#N/A,FALSE,"Ebrons Travel 350k"}</definedName>
    <definedName name="eafo6" localSheetId="8" hidden="1">{"Prop_350K",#N/A,FALSE,"Ebron-350K";"PA_350K",#N/A,FALSE,"Ebron-350K";"Ebron350KTrvl",#N/A,FALSE,"Ebrons Travel 350k"}</definedName>
    <definedName name="eafo6" localSheetId="3" hidden="1">{"Prop_350K",#N/A,FALSE,"Ebron-350K";"PA_350K",#N/A,FALSE,"Ebron-350K";"Ebron350KTrvl",#N/A,FALSE,"Ebrons Travel 350k"}</definedName>
    <definedName name="eafo6" localSheetId="1" hidden="1">{"Prop_350K",#N/A,FALSE,"Ebron-350K";"PA_350K",#N/A,FALSE,"Ebron-350K";"Ebron350KTrvl",#N/A,FALSE,"Ebrons Travel 350k"}</definedName>
    <definedName name="eafo6" hidden="1">{"Prop_350K",#N/A,FALSE,"Ebron-350K";"PA_350K",#N/A,FALSE,"Ebron-350K";"Ebron350KTrvl",#N/A,FALSE,"Ebrons Travel 350k"}</definedName>
    <definedName name="eafo7" localSheetId="4" hidden="1">{"EbronCo1_PA",#N/A,FALSE,"Ebrons Task Co1";"EbronCo1_Prop",#N/A,FALSE,"Ebrons Task Co1";"Ebron316KTrvl",#N/A,FALSE,"Ebrons Travel 316k"}</definedName>
    <definedName name="eafo7" localSheetId="5" hidden="1">{"EbronCo1_PA",#N/A,FALSE,"Ebrons Task Co1";"EbronCo1_Prop",#N/A,FALSE,"Ebrons Task Co1";"Ebron316KTrvl",#N/A,FALSE,"Ebrons Travel 316k"}</definedName>
    <definedName name="eafo7" localSheetId="6" hidden="1">{"EbronCo1_PA",#N/A,FALSE,"Ebrons Task Co1";"EbronCo1_Prop",#N/A,FALSE,"Ebrons Task Co1";"Ebron316KTrvl",#N/A,FALSE,"Ebrons Travel 316k"}</definedName>
    <definedName name="eafo7" localSheetId="8" hidden="1">{"EbronCo1_PA",#N/A,FALSE,"Ebrons Task Co1";"EbronCo1_Prop",#N/A,FALSE,"Ebrons Task Co1";"Ebron316KTrvl",#N/A,FALSE,"Ebrons Travel 316k"}</definedName>
    <definedName name="eafo7" localSheetId="3" hidden="1">{"EbronCo1_PA",#N/A,FALSE,"Ebrons Task Co1";"EbronCo1_Prop",#N/A,FALSE,"Ebrons Task Co1";"Ebron316KTrvl",#N/A,FALSE,"Ebrons Travel 316k"}</definedName>
    <definedName name="eafo7" localSheetId="1" hidden="1">{"EbronCo1_PA",#N/A,FALSE,"Ebrons Task Co1";"EbronCo1_Prop",#N/A,FALSE,"Ebrons Task Co1";"Ebron316KTrvl",#N/A,FALSE,"Ebrons Travel 316k"}</definedName>
    <definedName name="eafo7" hidden="1">{"EbronCo1_PA",#N/A,FALSE,"Ebrons Task Co1";"EbronCo1_Prop",#N/A,FALSE,"Ebrons Task Co1";"Ebron316KTrvl",#N/A,FALSE,"Ebrons Travel 316k"}</definedName>
    <definedName name="eafo8" localSheetId="4" hidden="1">{"EbronCo5_PA",#N/A,FALSE,"Ebrons Task Co5";"EbronCo5_Prop",#N/A,FALSE,"Ebrons Task Co5"}</definedName>
    <definedName name="eafo8" localSheetId="5" hidden="1">{"EbronCo5_PA",#N/A,FALSE,"Ebrons Task Co5";"EbronCo5_Prop",#N/A,FALSE,"Ebrons Task Co5"}</definedName>
    <definedName name="eafo8" localSheetId="6" hidden="1">{"EbronCo5_PA",#N/A,FALSE,"Ebrons Task Co5";"EbronCo5_Prop",#N/A,FALSE,"Ebrons Task Co5"}</definedName>
    <definedName name="eafo8" localSheetId="8" hidden="1">{"EbronCo5_PA",#N/A,FALSE,"Ebrons Task Co5";"EbronCo5_Prop",#N/A,FALSE,"Ebrons Task Co5"}</definedName>
    <definedName name="eafo8" localSheetId="3" hidden="1">{"EbronCo5_PA",#N/A,FALSE,"Ebrons Task Co5";"EbronCo5_Prop",#N/A,FALSE,"Ebrons Task Co5"}</definedName>
    <definedName name="eafo8" localSheetId="1" hidden="1">{"EbronCo5_PA",#N/A,FALSE,"Ebrons Task Co5";"EbronCo5_Prop",#N/A,FALSE,"Ebrons Task Co5"}</definedName>
    <definedName name="eafo8" hidden="1">{"EbronCo5_PA",#N/A,FALSE,"Ebrons Task Co5";"EbronCo5_Prop",#N/A,FALSE,"Ebrons Task Co5"}</definedName>
    <definedName name="eafo9" localSheetId="4" hidden="1">{"JDISS_Co1",#N/A,FALSE,"JDISS_Co1";"JDISSCo1_PA",#N/A,FALSE,"JDISS_Co1"}</definedName>
    <definedName name="eafo9" localSheetId="5" hidden="1">{"JDISS_Co1",#N/A,FALSE,"JDISS_Co1";"JDISSCo1_PA",#N/A,FALSE,"JDISS_Co1"}</definedName>
    <definedName name="eafo9" localSheetId="6" hidden="1">{"JDISS_Co1",#N/A,FALSE,"JDISS_Co1";"JDISSCo1_PA",#N/A,FALSE,"JDISS_Co1"}</definedName>
    <definedName name="eafo9" localSheetId="8" hidden="1">{"JDISS_Co1",#N/A,FALSE,"JDISS_Co1";"JDISSCo1_PA",#N/A,FALSE,"JDISS_Co1"}</definedName>
    <definedName name="eafo9" localSheetId="3" hidden="1">{"JDISS_Co1",#N/A,FALSE,"JDISS_Co1";"JDISSCo1_PA",#N/A,FALSE,"JDISS_Co1"}</definedName>
    <definedName name="eafo9" localSheetId="1" hidden="1">{"JDISS_Co1",#N/A,FALSE,"JDISS_Co1";"JDISSCo1_PA",#N/A,FALSE,"JDISS_Co1"}</definedName>
    <definedName name="eafo9" hidden="1">{"JDISS_Co1",#N/A,FALSE,"JDISS_Co1";"JDISSCo1_PA",#N/A,FALSE,"JDISS_Co1"}</definedName>
    <definedName name="earo25" localSheetId="4" hidden="1">{"PearsonCo1_Prop",#N/A,FALSE,"Pearsons Task Co1";"PearsonCo1_PA",#N/A,FALSE,"Pearsons Task Co1"}</definedName>
    <definedName name="earo25" localSheetId="5" hidden="1">{"PearsonCo1_Prop",#N/A,FALSE,"Pearsons Task Co1";"PearsonCo1_PA",#N/A,FALSE,"Pearsons Task Co1"}</definedName>
    <definedName name="earo25" localSheetId="6" hidden="1">{"PearsonCo1_Prop",#N/A,FALSE,"Pearsons Task Co1";"PearsonCo1_PA",#N/A,FALSE,"Pearsons Task Co1"}</definedName>
    <definedName name="earo25" localSheetId="8" hidden="1">{"PearsonCo1_Prop",#N/A,FALSE,"Pearsons Task Co1";"PearsonCo1_PA",#N/A,FALSE,"Pearsons Task Co1"}</definedName>
    <definedName name="earo25" localSheetId="3" hidden="1">{"PearsonCo1_Prop",#N/A,FALSE,"Pearsons Task Co1";"PearsonCo1_PA",#N/A,FALSE,"Pearsons Task Co1"}</definedName>
    <definedName name="earo25" localSheetId="1" hidden="1">{"PearsonCo1_Prop",#N/A,FALSE,"Pearsons Task Co1";"PearsonCo1_PA",#N/A,FALSE,"Pearsons Task Co1"}</definedName>
    <definedName name="earo25" hidden="1">{"PearsonCo1_Prop",#N/A,FALSE,"Pearsons Task Co1";"PearsonCo1_PA",#N/A,FALSE,"Pearsons Task Co1"}</definedName>
    <definedName name="ed6_8">[7]Parameters!$B$526</definedName>
    <definedName name="ed9_12">[7]Parameters!$B$527</definedName>
    <definedName name="edk_5">[7]Parameters!$B$525</definedName>
    <definedName name="EETYPE">#REF!</definedName>
    <definedName name="EEwithAmounts">#REF!</definedName>
    <definedName name="EMPLOYEECURRENTSTATUS">#REF!</definedName>
    <definedName name="END">#N/A</definedName>
    <definedName name="eras" localSheetId="4" hidden="1">{"PAGE1",#N/A,FALSE,"CPFFMSTR";"PAGE2",#N/A,FALSE,"CPFFMSTR"}</definedName>
    <definedName name="eras" localSheetId="5" hidden="1">{"PAGE1",#N/A,FALSE,"CPFFMSTR";"PAGE2",#N/A,FALSE,"CPFFMSTR"}</definedName>
    <definedName name="eras" localSheetId="6" hidden="1">{"PAGE1",#N/A,FALSE,"CPFFMSTR";"PAGE2",#N/A,FALSE,"CPFFMSTR"}</definedName>
    <definedName name="eras" localSheetId="8" hidden="1">{"PAGE1",#N/A,FALSE,"CPFFMSTR";"PAGE2",#N/A,FALSE,"CPFFMSTR"}</definedName>
    <definedName name="eras" localSheetId="3" hidden="1">{"PAGE1",#N/A,FALSE,"CPFFMSTR";"PAGE2",#N/A,FALSE,"CPFFMSTR"}</definedName>
    <definedName name="eras" localSheetId="1" hidden="1">{"PAGE1",#N/A,FALSE,"CPFFMSTR";"PAGE2",#N/A,FALSE,"CPFFMSTR"}</definedName>
    <definedName name="eras" hidden="1">{"PAGE1",#N/A,FALSE,"CPFFMSTR";"PAGE2",#N/A,FALSE,"CPFFMSTR"}</definedName>
    <definedName name="erwe" localSheetId="4" hidden="1">{"PAGE1",#N/A,FALSE,"CPFFMSTR";"PAGE2",#N/A,FALSE,"CPFFMSTR"}</definedName>
    <definedName name="erwe" localSheetId="5" hidden="1">{"PAGE1",#N/A,FALSE,"CPFFMSTR";"PAGE2",#N/A,FALSE,"CPFFMSTR"}</definedName>
    <definedName name="erwe" localSheetId="6" hidden="1">{"PAGE1",#N/A,FALSE,"CPFFMSTR";"PAGE2",#N/A,FALSE,"CPFFMSTR"}</definedName>
    <definedName name="erwe" localSheetId="8" hidden="1">{"PAGE1",#N/A,FALSE,"CPFFMSTR";"PAGE2",#N/A,FALSE,"CPFFMSTR"}</definedName>
    <definedName name="erwe" localSheetId="3" hidden="1">{"PAGE1",#N/A,FALSE,"CPFFMSTR";"PAGE2",#N/A,FALSE,"CPFFMSTR"}</definedName>
    <definedName name="erwe" localSheetId="1" hidden="1">{"PAGE1",#N/A,FALSE,"CPFFMSTR";"PAGE2",#N/A,FALSE,"CPFFMSTR"}</definedName>
    <definedName name="erwe" hidden="1">{"PAGE1",#N/A,FALSE,"CPFFMSTR";"PAGE2",#N/A,FALSE,"CPFFMSTR"}</definedName>
    <definedName name="esc">0.035</definedName>
    <definedName name="ETHNICID">#REF!</definedName>
    <definedName name="EXC">#REF!</definedName>
    <definedName name="exch">[5]Parameters!$D$19</definedName>
    <definedName name="Exchange">#REF!</definedName>
    <definedName name="ExchangeRate">#REF!</definedName>
    <definedName name="Expat_Discount">#REF!</definedName>
    <definedName name="Expat_Fringe">#REF!</definedName>
    <definedName name="expatsalinc">[12]Sheet1!$C$7</definedName>
    <definedName name="expatsttasal">[12]Sheet1!$C$29</definedName>
    <definedName name="Expense">'[24]Drp Down Menu lists '!$B$1:$B$10</definedName>
    <definedName name="fasdf" localSheetId="4" hidden="1">{"PAGE1",#N/A,FALSE,"CPFFMSTR";"PAGE2",#N/A,FALSE,"CPFFMSTR"}</definedName>
    <definedName name="fasdf" localSheetId="5" hidden="1">{"PAGE1",#N/A,FALSE,"CPFFMSTR";"PAGE2",#N/A,FALSE,"CPFFMSTR"}</definedName>
    <definedName name="fasdf" localSheetId="6" hidden="1">{"PAGE1",#N/A,FALSE,"CPFFMSTR";"PAGE2",#N/A,FALSE,"CPFFMSTR"}</definedName>
    <definedName name="fasdf" localSheetId="8" hidden="1">{"PAGE1",#N/A,FALSE,"CPFFMSTR";"PAGE2",#N/A,FALSE,"CPFFMSTR"}</definedName>
    <definedName name="fasdf" localSheetId="3" hidden="1">{"PAGE1",#N/A,FALSE,"CPFFMSTR";"PAGE2",#N/A,FALSE,"CPFFMSTR"}</definedName>
    <definedName name="fasdf" localSheetId="1" hidden="1">{"PAGE1",#N/A,FALSE,"CPFFMSTR";"PAGE2",#N/A,FALSE,"CPFFMSTR"}</definedName>
    <definedName name="fasdf" hidden="1">{"PAGE1",#N/A,FALSE,"CPFFMSTR";"PAGE2",#N/A,FALSE,"CPFFMSTR"}</definedName>
    <definedName name="fasfas" hidden="1">[2]IPA!#REF!</definedName>
    <definedName name="FB">#REF!</definedName>
    <definedName name="FB_T">#REF!</definedName>
    <definedName name="FCCM_GA">#REF!</definedName>
    <definedName name="FCCM_lab">#REF!</definedName>
    <definedName name="FCCM_MSE">#REF!</definedName>
    <definedName name="FCCM_Office">#REF!</definedName>
    <definedName name="FCCM_OfficeOther">#REF!</definedName>
    <definedName name="fdfdf" hidden="1">#REF!</definedName>
    <definedName name="fdfdfdfddfdfdfdf">#REF!</definedName>
    <definedName name="fdfdfdfdf">#REF!</definedName>
    <definedName name="fdfdfdfdfd" hidden="1">#REF!</definedName>
    <definedName name="FDRs">#REF!</definedName>
    <definedName name="FEDEX">#REF!</definedName>
    <definedName name="fee">[5]Parameters!$D$15</definedName>
    <definedName name="FGH" localSheetId="4" hidden="1">{"PAGE1",#N/A,FALSE,"CPFFMSTR";"PAGE2",#N/A,FALSE,"CPFFMSTR"}</definedName>
    <definedName name="FGH" localSheetId="5" hidden="1">{"PAGE1",#N/A,FALSE,"CPFFMSTR";"PAGE2",#N/A,FALSE,"CPFFMSTR"}</definedName>
    <definedName name="FGH" localSheetId="6" hidden="1">{"PAGE1",#N/A,FALSE,"CPFFMSTR";"PAGE2",#N/A,FALSE,"CPFFMSTR"}</definedName>
    <definedName name="FGH" localSheetId="8" hidden="1">{"PAGE1",#N/A,FALSE,"CPFFMSTR";"PAGE2",#N/A,FALSE,"CPFFMSTR"}</definedName>
    <definedName name="FGH" localSheetId="3" hidden="1">{"PAGE1",#N/A,FALSE,"CPFFMSTR";"PAGE2",#N/A,FALSE,"CPFFMSTR"}</definedName>
    <definedName name="FGH" localSheetId="1" hidden="1">{"PAGE1",#N/A,FALSE,"CPFFMSTR";"PAGE2",#N/A,FALSE,"CPFFMSTR"}</definedName>
    <definedName name="FGH" hidden="1">{"PAGE1",#N/A,FALSE,"CPFFMSTR";"PAGE2",#N/A,FALSE,"CPFFMSTR"}</definedName>
    <definedName name="field_fringe">#REF!</definedName>
    <definedName name="fieldfringe">#REF!</definedName>
    <definedName name="Firms">#REF!</definedName>
    <definedName name="Fixed_Fee">#REF!</definedName>
    <definedName name="FMI">#N/A</definedName>
    <definedName name="fo">[25]Training!$N$3</definedName>
    <definedName name="fooh">[5]Parameters!$D$13</definedName>
    <definedName name="FORM">#REF!</definedName>
    <definedName name="FORM1">#REF!</definedName>
    <definedName name="FORM3">#REF!</definedName>
    <definedName name="FPMSA">#N/A</definedName>
    <definedName name="fr">[5]Parameters!$D$10</definedName>
    <definedName name="fringe">0.405</definedName>
    <definedName name="fringedir">[7]Parameters!$B$488</definedName>
    <definedName name="fsnmax">[5]Parameters!#REF!</definedName>
    <definedName name="FTE_All">#REF!</definedName>
    <definedName name="FTE_M">#REF!</definedName>
    <definedName name="FTE_Y">#REF!</definedName>
    <definedName name="FTE_Year1">#REF!</definedName>
    <definedName name="FTE_Year2">#REF!</definedName>
    <definedName name="FTE_Year3">#REF!</definedName>
    <definedName name="FTE_Year4">#REF!</definedName>
    <definedName name="FTE_Year5">#REF!</definedName>
    <definedName name="Full_time_Regular_Query">#REF!</definedName>
    <definedName name="FULLORPARTTIME">#REF!</definedName>
    <definedName name="g_a">#REF!</definedName>
    <definedName name="ga">[5]Parameters!$D$14</definedName>
    <definedName name="GandA_by_firm">#REF!</definedName>
    <definedName name="gandamult">[26]formulas!$B$6</definedName>
    <definedName name="GENDER">#REF!</definedName>
    <definedName name="ghghghtghg" hidden="1">#REF!</definedName>
    <definedName name="GR">'[19]Tx-Acc'!$D$2:$E$483</definedName>
    <definedName name="Grand_Total">'[27]Schedule Items-Labor'!#REF!</definedName>
    <definedName name="grantfee">0.02</definedName>
    <definedName name="GRP">#REF!</definedName>
    <definedName name="GSDFG" localSheetId="4" hidden="1">{"PAGE1",#N/A,FALSE,"CPFFMSTR";"PAGE2",#N/A,FALSE,"CPFFMSTR"}</definedName>
    <definedName name="GSDFG" localSheetId="5" hidden="1">{"PAGE1",#N/A,FALSE,"CPFFMSTR";"PAGE2",#N/A,FALSE,"CPFFMSTR"}</definedName>
    <definedName name="GSDFG" localSheetId="6" hidden="1">{"PAGE1",#N/A,FALSE,"CPFFMSTR";"PAGE2",#N/A,FALSE,"CPFFMSTR"}</definedName>
    <definedName name="GSDFG" localSheetId="8" hidden="1">{"PAGE1",#N/A,FALSE,"CPFFMSTR";"PAGE2",#N/A,FALSE,"CPFFMSTR"}</definedName>
    <definedName name="GSDFG" localSheetId="3" hidden="1">{"PAGE1",#N/A,FALSE,"CPFFMSTR";"PAGE2",#N/A,FALSE,"CPFFMSTR"}</definedName>
    <definedName name="GSDFG" localSheetId="1" hidden="1">{"PAGE1",#N/A,FALSE,"CPFFMSTR";"PAGE2",#N/A,FALSE,"CPFFMSTR"}</definedName>
    <definedName name="GSDFG" hidden="1">{"PAGE1",#N/A,FALSE,"CPFFMSTR";"PAGE2",#N/A,FALSE,"CPFFMSTR"}</definedName>
    <definedName name="guard">[12]Sheet1!$C$46</definedName>
    <definedName name="guatemala">#REF!</definedName>
    <definedName name="HEAD">#REF!</definedName>
    <definedName name="heading">#N/A</definedName>
    <definedName name="health_insurance">[5]Parameters!$D$60</definedName>
    <definedName name="HGJ" localSheetId="4" hidden="1">{"PAGE1",#N/A,FALSE,"CPFFMSTR";"PAGE2",#N/A,FALSE,"CPFFMSTR"}</definedName>
    <definedName name="HGJ" localSheetId="5" hidden="1">{"PAGE1",#N/A,FALSE,"CPFFMSTR";"PAGE2",#N/A,FALSE,"CPFFMSTR"}</definedName>
    <definedName name="HGJ" localSheetId="6" hidden="1">{"PAGE1",#N/A,FALSE,"CPFFMSTR";"PAGE2",#N/A,FALSE,"CPFFMSTR"}</definedName>
    <definedName name="HGJ" localSheetId="8" hidden="1">{"PAGE1",#N/A,FALSE,"CPFFMSTR";"PAGE2",#N/A,FALSE,"CPFFMSTR"}</definedName>
    <definedName name="HGJ" localSheetId="3" hidden="1">{"PAGE1",#N/A,FALSE,"CPFFMSTR";"PAGE2",#N/A,FALSE,"CPFFMSTR"}</definedName>
    <definedName name="HGJ" localSheetId="1" hidden="1">{"PAGE1",#N/A,FALSE,"CPFFMSTR";"PAGE2",#N/A,FALSE,"CPFFMSTR"}</definedName>
    <definedName name="HGJ" hidden="1">{"PAGE1",#N/A,FALSE,"CPFFMSTR";"PAGE2",#N/A,FALSE,"CPFFMSTR"}</definedName>
    <definedName name="hhehandling">[12]Sheet1!$C$40</definedName>
    <definedName name="hheorigin">[12]Sheet1!$C$39</definedName>
    <definedName name="hheshipment">[12]Sheet1!$C$37</definedName>
    <definedName name="hhestorage">[12]Sheet1!$C$38</definedName>
    <definedName name="HIID1">#N/A</definedName>
    <definedName name="HIID4">#N/A</definedName>
    <definedName name="HISTORY">#REF!</definedName>
    <definedName name="ho">[7]Parameters!$A$431</definedName>
    <definedName name="hofa">[5]Parameters!#REF!</definedName>
    <definedName name="Hola" hidden="1">'[8]sample labor calc'!#REF!</definedName>
    <definedName name="hooh">[5]Parameters!$D$12</definedName>
    <definedName name="Horas">#REF!</definedName>
    <definedName name="hos10co">[7]Parameters!$G$442</definedName>
    <definedName name="hos10name">[7]Parameters!$C$442</definedName>
    <definedName name="hos10sal1">[7]Parameters!$E$442</definedName>
    <definedName name="hos1co">[7]Parameters!$G$433</definedName>
    <definedName name="hos1name">[7]Parameters!$C$433</definedName>
    <definedName name="hos1sal1">[7]Parameters!$E$433</definedName>
    <definedName name="hos2co">[7]Parameters!$G$434</definedName>
    <definedName name="hos2name">[7]Parameters!$C$434</definedName>
    <definedName name="hos2sal1">[7]Parameters!$E$434</definedName>
    <definedName name="hos3co">[7]Parameters!$G$435</definedName>
    <definedName name="hos3name">[7]Parameters!$C$435</definedName>
    <definedName name="hos3sal1">[7]Parameters!$E$435</definedName>
    <definedName name="hos4co">[7]Parameters!$G$436</definedName>
    <definedName name="hos4name">[7]Parameters!$C$436</definedName>
    <definedName name="hos4sal1">[7]Parameters!$E$436</definedName>
    <definedName name="hos5co">[7]Parameters!$G$437</definedName>
    <definedName name="hos5name">[7]Parameters!$C$437</definedName>
    <definedName name="hos5sal1">[7]Parameters!$E$437</definedName>
    <definedName name="hos6co">[7]Parameters!$G$438</definedName>
    <definedName name="hos6name">[7]Parameters!$C$438</definedName>
    <definedName name="hos6sal1">[7]Parameters!$E$438</definedName>
    <definedName name="hos7co">[7]Parameters!$G$439</definedName>
    <definedName name="hos7name">[7]Parameters!$C$439</definedName>
    <definedName name="hos7sal1">[7]Parameters!$E$439</definedName>
    <definedName name="hos8co">[7]Parameters!$G$440</definedName>
    <definedName name="hos8name">[7]Parameters!$C$440</definedName>
    <definedName name="hos8sal1">[7]Parameters!$E$440</definedName>
    <definedName name="hos9co">[7]Parameters!$G$441</definedName>
    <definedName name="hos9name">[7]Parameters!$C$441</definedName>
    <definedName name="hos9sal1">[7]Parameters!$E$441</definedName>
    <definedName name="hosco11">[7]Parameters!$G$443</definedName>
    <definedName name="hosco12">[7]Parameters!$G$444</definedName>
    <definedName name="hosco13">[7]Parameters!$G$445</definedName>
    <definedName name="hosco14">[7]Parameters!$G$446</definedName>
    <definedName name="hosco15">[7]Parameters!$G$447</definedName>
    <definedName name="hosco16">[7]Parameters!$G$448</definedName>
    <definedName name="hosco17">[7]Parameters!$G$449</definedName>
    <definedName name="hosco18">[7]Parameters!$G$450</definedName>
    <definedName name="hosco19">[7]Parameters!$G$451</definedName>
    <definedName name="hosco20">[7]Parameters!$G$452</definedName>
    <definedName name="hosco21">[7]Parameters!$G$453</definedName>
    <definedName name="hosjob1">[7]Parameters!$I$433</definedName>
    <definedName name="hosjob10">[7]Parameters!$I$442</definedName>
    <definedName name="hosjob2">[7]Parameters!$I$434</definedName>
    <definedName name="hosjob3">[7]Parameters!$I$435</definedName>
    <definedName name="hosjob4">[7]Parameters!$I$436</definedName>
    <definedName name="hosjob5">[7]Parameters!$I$437</definedName>
    <definedName name="hosjob6">[7]Parameters!$I$438</definedName>
    <definedName name="hosjob7">[7]Parameters!$I$439</definedName>
    <definedName name="hosjob8">[7]Parameters!$I$440</definedName>
    <definedName name="hosjob9">[7]Parameters!$I$441</definedName>
    <definedName name="hosname11">[7]Parameters!$C$443</definedName>
    <definedName name="hosname12">[7]Parameters!$C$444</definedName>
    <definedName name="hosname13">[7]Parameters!$C$445</definedName>
    <definedName name="hosname14">[7]Parameters!$C$446</definedName>
    <definedName name="hosname15">[7]Parameters!$C$447</definedName>
    <definedName name="hosname16">[7]Parameters!$C$448</definedName>
    <definedName name="hosname17">[7]Parameters!$C$449</definedName>
    <definedName name="hosname18">[7]Parameters!$C$450</definedName>
    <definedName name="hosname19">[7]Parameters!$C$451</definedName>
    <definedName name="hosname20">[7]Parameters!$C$452</definedName>
    <definedName name="hosname21">[7]Parameters!$C$453</definedName>
    <definedName name="hossal11">[7]Parameters!$E$443</definedName>
    <definedName name="hossal12">[7]Parameters!$E$444</definedName>
    <definedName name="hossal13">[7]Parameters!$E$445</definedName>
    <definedName name="hossal14">[7]Parameters!$E$446</definedName>
    <definedName name="hossal15">[7]Parameters!$E$447</definedName>
    <definedName name="hossal16">[7]Parameters!$E$448</definedName>
    <definedName name="hossal17">[7]Parameters!$E$449</definedName>
    <definedName name="hossal18">[7]Parameters!$E$450</definedName>
    <definedName name="hossal19">[7]Parameters!$E$451</definedName>
    <definedName name="hossal20">[7]Parameters!$E$452</definedName>
    <definedName name="hossal21">[7]Parameters!$E$453</definedName>
    <definedName name="hours_m">166.67</definedName>
    <definedName name="hours_y">1833</definedName>
    <definedName name="HQ_Fringe">#REF!</definedName>
    <definedName name="huehuetenango">#REF!</definedName>
    <definedName name="iff">0.0075</definedName>
    <definedName name="IIEclin1">#REF!</definedName>
    <definedName name="iieclin2">#REF!</definedName>
    <definedName name="iieclin3">#REF!</definedName>
    <definedName name="IMCC">#N/A</definedName>
    <definedName name="IN">'[25]DETAIL Burkina Faso'!$R$3</definedName>
    <definedName name="Indirect1">#REF!</definedName>
    <definedName name="inf" localSheetId="4">#REF!</definedName>
    <definedName name="inf" localSheetId="5">#REF!</definedName>
    <definedName name="inf" localSheetId="6">#REF!</definedName>
    <definedName name="inf" localSheetId="8">#REF!</definedName>
    <definedName name="inf" localSheetId="3">#REF!</definedName>
    <definedName name="inf" localSheetId="1">#REF!</definedName>
    <definedName name="inf">#REF!</definedName>
    <definedName name="infl">[5]Parameters!$D$8</definedName>
    <definedName name="INFLATE">[10]RATES!#REF!</definedName>
    <definedName name="Inflation">'[28]Detail-1'!$J$2</definedName>
    <definedName name="Inflation_factor_year_1">#REF!</definedName>
    <definedName name="Inflation_factor_year_2">#REF!</definedName>
    <definedName name="Inflation_factor_year_3">#REF!</definedName>
    <definedName name="Inflation_factor_year_4">#REF!</definedName>
    <definedName name="Inflation_factor_year_5">#REF!</definedName>
    <definedName name="INODC">'[25]DETAIL Burkina Faso'!$R$4</definedName>
    <definedName name="Insti11">[10]RATES!#REF!</definedName>
    <definedName name="Insti12">[10]RATES!#REF!</definedName>
    <definedName name="Insti13">[10]RATES!#REF!</definedName>
    <definedName name="Insti41">[10]RATES!#REF!</definedName>
    <definedName name="Insti42">[10]RATES!#REF!</definedName>
    <definedName name="Insti43">[10]RATES!#REF!</definedName>
    <definedName name="Insti51">[10]RATES!#REF!</definedName>
    <definedName name="Insti52">[10]RATES!#REF!</definedName>
    <definedName name="Insti53">[10]RATES!#REF!</definedName>
    <definedName name="INSTRUCT">#REF!</definedName>
    <definedName name="INTERMIT">#N/A</definedName>
    <definedName name="interregion">[5]Parameters!$D$42</definedName>
    <definedName name="intlrtecon">[5]Parameters!$D$26</definedName>
    <definedName name="intraregion">[5]Parameters!$D$43</definedName>
    <definedName name="ird">#REF!</definedName>
    <definedName name="ISTI1">#N/A</definedName>
    <definedName name="ISTI4">#N/A</definedName>
    <definedName name="ITE_Client">#REF!</definedName>
    <definedName name="ITE_Int">#REF!</definedName>
    <definedName name="ITE_lab">#REF!</definedName>
    <definedName name="ITE_Off">#REF!</definedName>
    <definedName name="ITE_OffOther">#REF!</definedName>
    <definedName name="ITE_on">#REF!</definedName>
    <definedName name="ITE_OnOther">#REF!</definedName>
    <definedName name="ITSH">'[24]Drp Down Menu lists '!$C$1:$C$3</definedName>
    <definedName name="JAAscenariodata">'[21]Summary Budget'!$O$6:$V$7</definedName>
    <definedName name="jea" localSheetId="4" hidden="1">{#N/A,#N/A,FALSE,"ManLoading"}</definedName>
    <definedName name="jea" localSheetId="5" hidden="1">{#N/A,#N/A,FALSE,"ManLoading"}</definedName>
    <definedName name="jea" localSheetId="6" hidden="1">{#N/A,#N/A,FALSE,"ManLoading"}</definedName>
    <definedName name="jea" localSheetId="8" hidden="1">{#N/A,#N/A,FALSE,"ManLoading"}</definedName>
    <definedName name="jea" localSheetId="3" hidden="1">{#N/A,#N/A,FALSE,"ManLoading"}</definedName>
    <definedName name="jea" hidden="1">{#N/A,#N/A,FALSE,"ManLoading"}</definedName>
    <definedName name="JH" localSheetId="4" hidden="1">{"PAGE1",#N/A,FALSE,"CPFFMSTR";"PAGE2",#N/A,FALSE,"CPFFMSTR"}</definedName>
    <definedName name="JH" localSheetId="5" hidden="1">{"PAGE1",#N/A,FALSE,"CPFFMSTR";"PAGE2",#N/A,FALSE,"CPFFMSTR"}</definedName>
    <definedName name="JH" localSheetId="6" hidden="1">{"PAGE1",#N/A,FALSE,"CPFFMSTR";"PAGE2",#N/A,FALSE,"CPFFMSTR"}</definedName>
    <definedName name="JH" localSheetId="8" hidden="1">{"PAGE1",#N/A,FALSE,"CPFFMSTR";"PAGE2",#N/A,FALSE,"CPFFMSTR"}</definedName>
    <definedName name="JH" localSheetId="3" hidden="1">{"PAGE1",#N/A,FALSE,"CPFFMSTR";"PAGE2",#N/A,FALSE,"CPFFMSTR"}</definedName>
    <definedName name="JH" localSheetId="1" hidden="1">{"PAGE1",#N/A,FALSE,"CPFFMSTR";"PAGE2",#N/A,FALSE,"CPFFMSTR"}</definedName>
    <definedName name="JH" hidden="1">{"PAGE1",#N/A,FALSE,"CPFFMSTR";"PAGE2",#N/A,FALSE,"CPFFMSTR"}</definedName>
    <definedName name="JKHJ" localSheetId="4" hidden="1">{"PAGE1",#N/A,FALSE,"CPFFMSTR";"PAGE2",#N/A,FALSE,"CPFFMSTR"}</definedName>
    <definedName name="JKHJ" localSheetId="5" hidden="1">{"PAGE1",#N/A,FALSE,"CPFFMSTR";"PAGE2",#N/A,FALSE,"CPFFMSTR"}</definedName>
    <definedName name="JKHJ" localSheetId="6" hidden="1">{"PAGE1",#N/A,FALSE,"CPFFMSTR";"PAGE2",#N/A,FALSE,"CPFFMSTR"}</definedName>
    <definedName name="JKHJ" localSheetId="8" hidden="1">{"PAGE1",#N/A,FALSE,"CPFFMSTR";"PAGE2",#N/A,FALSE,"CPFFMSTR"}</definedName>
    <definedName name="JKHJ" localSheetId="3" hidden="1">{"PAGE1",#N/A,FALSE,"CPFFMSTR";"PAGE2",#N/A,FALSE,"CPFFMSTR"}</definedName>
    <definedName name="JKHJ" localSheetId="1" hidden="1">{"PAGE1",#N/A,FALSE,"CPFFMSTR";"PAGE2",#N/A,FALSE,"CPFFMSTR"}</definedName>
    <definedName name="JKHJ" hidden="1">{"PAGE1",#N/A,FALSE,"CPFFMSTR";"PAGE2",#N/A,FALSE,"CPFFMSTR"}</definedName>
    <definedName name="kkk">'[9]Data-in process'!$C$3:$C$67</definedName>
    <definedName name="Labor">'[29]DAI Budget '!$A$12:$Y$63</definedName>
    <definedName name="Labor_Categories">#REF!</definedName>
    <definedName name="Labor_categories_and_levels">'[30]AMAP-MF'!$K$9:$K$33</definedName>
    <definedName name="Labor_category_and_level">'[31]AMAP-MF'!#REF!</definedName>
    <definedName name="Labor_Escalation">#REF!</definedName>
    <definedName name="Labor_Escalation_DPK">[32]Assumptions!$B$9</definedName>
    <definedName name="LABOR1">#N/A</definedName>
    <definedName name="LABOR2">#N/A</definedName>
    <definedName name="LBI">[16]Assumptions!$H$13</definedName>
    <definedName name="Lease" hidden="1">#REF!</definedName>
    <definedName name="lieclin4">#REF!</definedName>
    <definedName name="limaregion">[5]Parameters!$D$41</definedName>
    <definedName name="Local_Fringe">#REF!</definedName>
    <definedName name="Localclin1">#REF!</definedName>
    <definedName name="localclin2">#REF!</definedName>
    <definedName name="localclin3">#REF!</definedName>
    <definedName name="localfr">[5]Parameters!$D$11</definedName>
    <definedName name="localperdiem">#REF!</definedName>
    <definedName name="localsalinc">[12]Sheet1!$C$9</definedName>
    <definedName name="localsalincrease">#REF!</definedName>
    <definedName name="localsstpercent">[5]Parameters!$D$32</definedName>
    <definedName name="localsttrip">[5]Parameters!$D$33</definedName>
    <definedName name="localtravel">[16]Assumptions!$G$36:$J$46</definedName>
    <definedName name="localtripfactor">[12]Sheet1!$C$20</definedName>
    <definedName name="LOE">#N/A</definedName>
    <definedName name="lqa">[5]Parameters!$D$48</definedName>
    <definedName name="LQA2wf">[17]Parameters!$B$15</definedName>
    <definedName name="LRA">#REF!</definedName>
    <definedName name="ltlp">[7]Parameters!$A$128</definedName>
    <definedName name="ltlp1">[7]Parameters!$A$130</definedName>
    <definedName name="ltlp10">[7]Parameters!$A$139</definedName>
    <definedName name="ltlp10co">[7]Parameters!$G$139</definedName>
    <definedName name="ltlp10name">[7]Parameters!$C$139</definedName>
    <definedName name="ltlp10sal1">[7]Parameters!$E$139</definedName>
    <definedName name="ltlp11">[7]Parameters!$A$140</definedName>
    <definedName name="ltlp11co">[7]Parameters!$G$140</definedName>
    <definedName name="ltlp11name">[7]Parameters!$C$140</definedName>
    <definedName name="ltlp11sal1">[7]Parameters!$E$140</definedName>
    <definedName name="ltlp12">[7]Parameters!$A$141</definedName>
    <definedName name="ltlp12co">[7]Parameters!$G$141</definedName>
    <definedName name="ltlp12name">[7]Parameters!$C$141</definedName>
    <definedName name="ltlp12sal1">[7]Parameters!$E$141</definedName>
    <definedName name="ltlp13">[7]Parameters!$A$142</definedName>
    <definedName name="ltlp13co">[7]Parameters!$G$142</definedName>
    <definedName name="ltlp13name">[7]Parameters!$C$142</definedName>
    <definedName name="ltlp13sal1">[7]Parameters!$E$142</definedName>
    <definedName name="ltlp14">[7]Parameters!$A$143</definedName>
    <definedName name="ltlp14co">[7]Parameters!$G$143</definedName>
    <definedName name="ltlp14name">[7]Parameters!$C$143</definedName>
    <definedName name="ltlp14sal1">[7]Parameters!$E$143</definedName>
    <definedName name="ltlp15">[7]Parameters!$A$144</definedName>
    <definedName name="ltlp15co">[7]Parameters!$G$144</definedName>
    <definedName name="ltlp15name">[7]Parameters!$C$144</definedName>
    <definedName name="ltlp15sal1">[7]Parameters!$E$144</definedName>
    <definedName name="ltlp16">[7]Parameters!$A$145</definedName>
    <definedName name="ltlp16co">[7]Parameters!$G$145</definedName>
    <definedName name="ltlp16name">[7]Parameters!$C$145</definedName>
    <definedName name="ltlp16sal1">[7]Parameters!$E$145</definedName>
    <definedName name="ltlp17">[7]Parameters!$A$146</definedName>
    <definedName name="ltlp17co">[7]Parameters!$G$146</definedName>
    <definedName name="ltlp17name">[7]Parameters!$C$146</definedName>
    <definedName name="ltlp17sal1">[7]Parameters!$E$146</definedName>
    <definedName name="ltlp18">[7]Parameters!$A$147</definedName>
    <definedName name="ltlp18co">[7]Parameters!$G$147</definedName>
    <definedName name="ltlp18name">[7]Parameters!$C$147</definedName>
    <definedName name="ltlp18sal1">[7]Parameters!$E$147</definedName>
    <definedName name="ltlp19">[7]Parameters!$A$148</definedName>
    <definedName name="ltlp19co">[7]Parameters!$G$148</definedName>
    <definedName name="ltlp19name">[7]Parameters!$C$148</definedName>
    <definedName name="ltlp19sal1">[7]Parameters!$E$148</definedName>
    <definedName name="ltlp1co">[7]Parameters!$G$130</definedName>
    <definedName name="ltlp1name">[7]Parameters!$C$130</definedName>
    <definedName name="ltlp1sal1">[7]Parameters!$E$130</definedName>
    <definedName name="ltlp2">[7]Parameters!$A$131</definedName>
    <definedName name="ltlp20">[7]Parameters!$A$149</definedName>
    <definedName name="ltlp20co">[7]Parameters!$G$149</definedName>
    <definedName name="ltlp20name">[7]Parameters!$C$149</definedName>
    <definedName name="ltlp20sal1">[7]Parameters!$E$149</definedName>
    <definedName name="ltlp21">[7]Parameters!$A$150</definedName>
    <definedName name="ltlp21co">[7]Parameters!$G$150</definedName>
    <definedName name="ltlp21name">[7]Parameters!$C$150</definedName>
    <definedName name="ltlp21sal1">[7]Parameters!$E$150</definedName>
    <definedName name="ltlp22">[7]Parameters!$A$151</definedName>
    <definedName name="ltlp22co">[7]Parameters!$G$151</definedName>
    <definedName name="ltlp22name">[7]Parameters!$C$151</definedName>
    <definedName name="ltlp22sal1">[7]Parameters!$E$151</definedName>
    <definedName name="ltlp23">[7]Parameters!$A$152</definedName>
    <definedName name="ltlp23co">[7]Parameters!$G$152</definedName>
    <definedName name="ltlp23name">[7]Parameters!$C$152</definedName>
    <definedName name="ltlp23sal1">[7]Parameters!$E$152</definedName>
    <definedName name="ltlp24">[7]Parameters!$A$153</definedName>
    <definedName name="ltlp24co">[7]Parameters!$G$153</definedName>
    <definedName name="ltlp24name">[7]Parameters!$C$153</definedName>
    <definedName name="ltlp24sal1">[7]Parameters!$E$153</definedName>
    <definedName name="ltlp25">[7]Parameters!$A$154</definedName>
    <definedName name="ltlp26">[7]Parameters!$A$155</definedName>
    <definedName name="ltlp27">[7]Parameters!$A$156</definedName>
    <definedName name="ltlp28">[7]Parameters!$A$157</definedName>
    <definedName name="ltlp29">[7]Parameters!$A$158</definedName>
    <definedName name="ltlp2co">[7]Parameters!$G$131</definedName>
    <definedName name="ltlp2name">[7]Parameters!$C$131</definedName>
    <definedName name="ltlp2sal1">[7]Parameters!$E$131</definedName>
    <definedName name="ltlp3">[7]Parameters!$A$132</definedName>
    <definedName name="ltlp30">[7]Parameters!$A$159</definedName>
    <definedName name="ltlp31">[7]Parameters!$A$160</definedName>
    <definedName name="ltlp32">[7]Parameters!$A$161</definedName>
    <definedName name="ltlp33">[7]Parameters!$A$162</definedName>
    <definedName name="ltlp34">[7]Parameters!$A$163</definedName>
    <definedName name="ltlp35">[7]Parameters!$A$164</definedName>
    <definedName name="ltlp36">[7]Parameters!$A$165</definedName>
    <definedName name="ltlp37">[7]Parameters!$A$166</definedName>
    <definedName name="ltlp38">[7]Parameters!$A$167</definedName>
    <definedName name="ltlp39">[7]Parameters!$A$168</definedName>
    <definedName name="ltlp3co">[7]Parameters!$G$132</definedName>
    <definedName name="ltlp3name">[7]Parameters!$C$132</definedName>
    <definedName name="ltlp3sal1">[7]Parameters!$E$132</definedName>
    <definedName name="ltlp4">[7]Parameters!$A$133</definedName>
    <definedName name="ltlp40">[7]Parameters!$A$169</definedName>
    <definedName name="ltlp41">[7]Parameters!$A$170</definedName>
    <definedName name="ltlp42">[7]Parameters!$A$171</definedName>
    <definedName name="ltlp43">[7]Parameters!$A$172</definedName>
    <definedName name="ltlp44">[7]Parameters!$A$173</definedName>
    <definedName name="ltlp45">[7]Parameters!$A$174</definedName>
    <definedName name="ltlp46">[7]Parameters!$A$175</definedName>
    <definedName name="ltlp47">[7]Parameters!$A$176</definedName>
    <definedName name="ltlp48">[7]Parameters!$A$177</definedName>
    <definedName name="ltlp49">[7]Parameters!$A$178</definedName>
    <definedName name="ltlp4co">[7]Parameters!$G$133</definedName>
    <definedName name="ltlp4name">[7]Parameters!$C$133</definedName>
    <definedName name="ltlp4sal1">[7]Parameters!$E$133</definedName>
    <definedName name="ltlp5">[7]Parameters!$A$134</definedName>
    <definedName name="ltlp50">[7]Parameters!$A$179</definedName>
    <definedName name="ltlp51">[7]Parameters!$A$180</definedName>
    <definedName name="ltlp52">[7]Parameters!$A$181</definedName>
    <definedName name="ltlp53">[7]Parameters!$A$182</definedName>
    <definedName name="ltlp54">[7]Parameters!$A$183</definedName>
    <definedName name="ltlp55">[7]Parameters!$A$184</definedName>
    <definedName name="ltlp56">[7]Parameters!$A$185</definedName>
    <definedName name="ltlp57">[7]Parameters!$A$186</definedName>
    <definedName name="ltlp58">[7]Parameters!$A$187</definedName>
    <definedName name="ltlp59">[7]Parameters!$A$188</definedName>
    <definedName name="ltlp5co">[7]Parameters!$G$134</definedName>
    <definedName name="ltlp5name">[7]Parameters!$C$134</definedName>
    <definedName name="ltlp5sal1">[7]Parameters!$E$134</definedName>
    <definedName name="ltlp6">[7]Parameters!$A$135</definedName>
    <definedName name="ltlp60">[7]Parameters!$A$189</definedName>
    <definedName name="ltlp61">[7]Parameters!$A$190</definedName>
    <definedName name="ltlp62">[7]Parameters!$A$191</definedName>
    <definedName name="ltlp63">[7]Parameters!$A$192</definedName>
    <definedName name="ltlp64">[7]Parameters!$A$193</definedName>
    <definedName name="ltlp65">[7]Parameters!$A$194</definedName>
    <definedName name="ltlp66">[7]Parameters!$A$195</definedName>
    <definedName name="ltlp67">[7]Parameters!$A$196</definedName>
    <definedName name="ltlp68">[7]Parameters!$A$197</definedName>
    <definedName name="ltlp69">[7]Parameters!$A$198</definedName>
    <definedName name="ltlp6co">[7]Parameters!$G$135</definedName>
    <definedName name="ltlp6name">[7]Parameters!$C$135</definedName>
    <definedName name="ltlp6sal1">[7]Parameters!$E$135</definedName>
    <definedName name="ltlp7">[7]Parameters!$A$136</definedName>
    <definedName name="ltlp70">[7]Parameters!$A$199</definedName>
    <definedName name="ltlp71">[7]Parameters!$A$200</definedName>
    <definedName name="ltlp72">[7]Parameters!$A$201</definedName>
    <definedName name="ltlp73">[7]Parameters!$A$202</definedName>
    <definedName name="ltlp74">[7]Parameters!$A$203</definedName>
    <definedName name="ltlp75">[7]Parameters!$A$204</definedName>
    <definedName name="ltlp76">[7]Parameters!$A$205</definedName>
    <definedName name="ltlp7co">[7]Parameters!$G$136</definedName>
    <definedName name="ltlp7name">[7]Parameters!$C$136</definedName>
    <definedName name="ltlp7sal1">[7]Parameters!$E$136</definedName>
    <definedName name="ltlp8">[7]Parameters!$A$137</definedName>
    <definedName name="ltlp8co">[7]Parameters!$G$137</definedName>
    <definedName name="ltlp8name">[7]Parameters!$C$137</definedName>
    <definedName name="ltlp8sal1">[7]Parameters!$E$137</definedName>
    <definedName name="ltlp9">[7]Parameters!$A$138</definedName>
    <definedName name="ltlp9co">[7]Parameters!$G$138</definedName>
    <definedName name="ltlp9name">[7]Parameters!$C$138</definedName>
    <definedName name="ltlp9sal1">[7]Parameters!$E$138</definedName>
    <definedName name="ltlpco25">[7]Parameters!$G$154</definedName>
    <definedName name="ltlpco26">[7]Parameters!$G$155</definedName>
    <definedName name="ltlpco27">[7]Parameters!$G$156</definedName>
    <definedName name="ltlpco28">[7]Parameters!$G$157</definedName>
    <definedName name="ltlpco29">[7]Parameters!$G$158</definedName>
    <definedName name="ltlpco30">[7]Parameters!$G$159</definedName>
    <definedName name="ltlpco31">[7]Parameters!$G$160</definedName>
    <definedName name="ltlpco32">[7]Parameters!$G$161</definedName>
    <definedName name="ltlpco33">[7]Parameters!$G$162</definedName>
    <definedName name="ltlpco34">[7]Parameters!$G$163</definedName>
    <definedName name="ltlpco35">[7]Parameters!$G$164</definedName>
    <definedName name="ltlpco36">[7]Parameters!$G$165</definedName>
    <definedName name="ltlpco37">[7]Parameters!$G$166</definedName>
    <definedName name="ltlpco38">[7]Parameters!$G$167</definedName>
    <definedName name="ltlpco39">[7]Parameters!$G$168</definedName>
    <definedName name="ltlpco40">[7]Parameters!$G$169</definedName>
    <definedName name="ltlpco41">[7]Parameters!$G$170</definedName>
    <definedName name="ltlpco42">[7]Parameters!$G$171</definedName>
    <definedName name="ltlpco43">[7]Parameters!$G$172</definedName>
    <definedName name="ltlpco44">[7]Parameters!$G$173</definedName>
    <definedName name="ltlpco45">[7]Parameters!$G$174</definedName>
    <definedName name="ltlpco46">[7]Parameters!$G$175</definedName>
    <definedName name="ltlpco47">[7]Parameters!$G$176</definedName>
    <definedName name="ltlpco48">[7]Parameters!$G$177</definedName>
    <definedName name="ltlpco49">[7]Parameters!$G$178</definedName>
    <definedName name="ltlpco50">[7]Parameters!$G$179</definedName>
    <definedName name="ltlpco51">[7]Parameters!$G$180</definedName>
    <definedName name="ltlpco52">[7]Parameters!$G$181</definedName>
    <definedName name="ltlpco53">[7]Parameters!$G$182</definedName>
    <definedName name="ltlpco54">[7]Parameters!$G$183</definedName>
    <definedName name="ltlpco55">[7]Parameters!$G$184</definedName>
    <definedName name="ltlpco56">[7]Parameters!$G$185</definedName>
    <definedName name="ltlpco57">[7]Parameters!$G$186</definedName>
    <definedName name="ltlpco58">[7]Parameters!$G$187</definedName>
    <definedName name="ltlpco59">[7]Parameters!$G$188</definedName>
    <definedName name="ltlpco60">[7]Parameters!$G$189</definedName>
    <definedName name="ltlpco61">[7]Parameters!$G$190</definedName>
    <definedName name="ltlpco62">[7]Parameters!$G$191</definedName>
    <definedName name="ltlpco63">[7]Parameters!$G$192</definedName>
    <definedName name="ltlpco64">[7]Parameters!$G$193</definedName>
    <definedName name="ltlpco65">[7]Parameters!$G$194</definedName>
    <definedName name="ltlpco66">[7]Parameters!$G$195</definedName>
    <definedName name="ltlpco67">[7]Parameters!$G$196</definedName>
    <definedName name="ltlpco68">[7]Parameters!$G$197</definedName>
    <definedName name="ltlpco69">[7]Parameters!$G$198</definedName>
    <definedName name="ltlpco70">[7]Parameters!$G$199</definedName>
    <definedName name="ltlpco71">[7]Parameters!$G$200</definedName>
    <definedName name="ltlpco72">[7]Parameters!$G$201</definedName>
    <definedName name="ltlpco73">[7]Parameters!$G$202</definedName>
    <definedName name="ltlpco74">[7]Parameters!$G$203</definedName>
    <definedName name="ltlpco75">[7]Parameters!$G$204</definedName>
    <definedName name="ltlpjob1">[7]Parameters!$I$130</definedName>
    <definedName name="ltlpjob10">[7]Parameters!$I$139</definedName>
    <definedName name="ltlpjob11">[7]Parameters!$I$140</definedName>
    <definedName name="ltlpjob12">[7]Parameters!$I$141</definedName>
    <definedName name="ltlpjob13">[7]Parameters!$I$142</definedName>
    <definedName name="ltlpjob14">[7]Parameters!$I$143</definedName>
    <definedName name="ltlpjob15">[7]Parameters!$I$144</definedName>
    <definedName name="ltlpjob16">[7]Parameters!$I$145</definedName>
    <definedName name="ltlpjob17">[7]Parameters!$I$146</definedName>
    <definedName name="ltlpjob18">[7]Parameters!$I$147</definedName>
    <definedName name="ltlpjob19">[7]Parameters!$I$148</definedName>
    <definedName name="ltlpjob2">[7]Parameters!$I$131</definedName>
    <definedName name="ltlpjob20">[7]Parameters!$I$149</definedName>
    <definedName name="ltlpjob21">[7]Parameters!$I$150</definedName>
    <definedName name="ltlpjob22">[7]Parameters!$I$151</definedName>
    <definedName name="ltlpjob23">[7]Parameters!$I$152</definedName>
    <definedName name="ltlpjob24">[7]Parameters!$I$153</definedName>
    <definedName name="ltlpjob25">[7]Parameters!$I$154</definedName>
    <definedName name="ltlpjob26">[7]Parameters!$I$155</definedName>
    <definedName name="ltlpjob27">[7]Parameters!$I$156</definedName>
    <definedName name="ltlpjob28">[7]Parameters!$I$157</definedName>
    <definedName name="ltlpjob29">[7]Parameters!$I$158</definedName>
    <definedName name="ltlpjob3">[7]Parameters!$I$132</definedName>
    <definedName name="ltlpjob30">[7]Parameters!$I$159</definedName>
    <definedName name="ltlpjob31">[7]Parameters!$I$160</definedName>
    <definedName name="ltlpjob32">[7]Parameters!$I$161</definedName>
    <definedName name="ltlpjob33">[7]Parameters!$I$162</definedName>
    <definedName name="ltlpjob34">[7]Parameters!$I$163</definedName>
    <definedName name="ltlpjob35">[7]Parameters!$I$164</definedName>
    <definedName name="ltlpjob36">[7]Parameters!$I$165</definedName>
    <definedName name="ltlpjob37">[7]Parameters!$I$166</definedName>
    <definedName name="ltlpjob38">[7]Parameters!$I$167</definedName>
    <definedName name="ltlpjob39">[7]Parameters!$I$168</definedName>
    <definedName name="ltlpjob4">[7]Parameters!$I$133</definedName>
    <definedName name="ltlpjob40">[7]Parameters!$I$169</definedName>
    <definedName name="ltlpjob41">[7]Parameters!$I$170</definedName>
    <definedName name="ltlpjob42">[7]Parameters!$I$171</definedName>
    <definedName name="ltlpjob43">[7]Parameters!$I$172</definedName>
    <definedName name="ltlpjob44">[7]Parameters!$I$173</definedName>
    <definedName name="ltlpjob45">[7]Parameters!$I$174</definedName>
    <definedName name="ltlpjob46">[7]Parameters!$I$175</definedName>
    <definedName name="ltlpjob47">[7]Parameters!$I$176</definedName>
    <definedName name="ltlpjob48">[7]Parameters!$I$177</definedName>
    <definedName name="ltlpjob49">[7]Parameters!$I$178</definedName>
    <definedName name="ltlpjob5">[7]Parameters!$I$134</definedName>
    <definedName name="ltlpjob50">[7]Parameters!$I$179</definedName>
    <definedName name="ltlpjob51">[7]Parameters!$I$180</definedName>
    <definedName name="ltlpjob52">[7]Parameters!$I$181</definedName>
    <definedName name="ltlpjob53">[7]Parameters!$I$182</definedName>
    <definedName name="ltlpjob54">[7]Parameters!$I$183</definedName>
    <definedName name="ltlpjob55">[7]Parameters!$I$184</definedName>
    <definedName name="ltlpjob56">[7]Parameters!$I$185</definedName>
    <definedName name="ltlpjob57">[7]Parameters!$I$186</definedName>
    <definedName name="ltlpjob58">[7]Parameters!$I$187</definedName>
    <definedName name="ltlpjob59">[7]Parameters!$I$188</definedName>
    <definedName name="ltlpjob6">[7]Parameters!$I$135</definedName>
    <definedName name="ltlpjob60">[7]Parameters!$I$189</definedName>
    <definedName name="ltlpjob61">[7]Parameters!$I$190</definedName>
    <definedName name="ltlpjob62">[7]Parameters!$I$191</definedName>
    <definedName name="ltlpjob63">[7]Parameters!$I$192</definedName>
    <definedName name="ltlpjob64">[7]Parameters!$I$193</definedName>
    <definedName name="ltlpjob65">[7]Parameters!$I$194</definedName>
    <definedName name="ltlpjob66">[7]Parameters!$I$195</definedName>
    <definedName name="ltlpjob67">[7]Parameters!$I$196</definedName>
    <definedName name="ltlpjob68">[7]Parameters!$I$197</definedName>
    <definedName name="ltlpjob69">[7]Parameters!$I$198</definedName>
    <definedName name="ltlpjob7">[7]Parameters!$I$136</definedName>
    <definedName name="ltlpjob70">[7]Parameters!$I$199</definedName>
    <definedName name="ltlpjob71">[7]Parameters!$I$200</definedName>
    <definedName name="ltlpjob72">[7]Parameters!$I$201</definedName>
    <definedName name="ltlpjob73">[7]Parameters!$I$202</definedName>
    <definedName name="ltlpjob74">[7]Parameters!$I$203</definedName>
    <definedName name="ltlpjob75">[7]Parameters!$I$204</definedName>
    <definedName name="ltlpjob8">[7]Parameters!$I$137</definedName>
    <definedName name="ltlpjob9">[7]Parameters!$I$138</definedName>
    <definedName name="ltlpname25">[7]Parameters!$C$154</definedName>
    <definedName name="ltlpname26">[7]Parameters!$C$155</definedName>
    <definedName name="ltlpname27">[7]Parameters!$C$156</definedName>
    <definedName name="ltlpname28">[7]Parameters!$C$157</definedName>
    <definedName name="ltlpname29">[7]Parameters!$C$158</definedName>
    <definedName name="ltlpname30">[7]Parameters!$C$159</definedName>
    <definedName name="ltlpname31">[7]Parameters!$C$160</definedName>
    <definedName name="ltlpname32">[7]Parameters!$C$161</definedName>
    <definedName name="ltlpname33">[7]Parameters!$C$162</definedName>
    <definedName name="ltlpname34">[7]Parameters!$C$163</definedName>
    <definedName name="ltlpname35">[7]Parameters!$C$164</definedName>
    <definedName name="ltlpname36">[7]Parameters!$C$165</definedName>
    <definedName name="ltlpname37">[7]Parameters!$C$166</definedName>
    <definedName name="ltlpname38">[7]Parameters!$C$167</definedName>
    <definedName name="ltlpname39">[7]Parameters!$C$168</definedName>
    <definedName name="ltlpname40">[7]Parameters!$C$169</definedName>
    <definedName name="ltlpname41">[7]Parameters!$C$170</definedName>
    <definedName name="ltlpname42">[7]Parameters!$C$171</definedName>
    <definedName name="ltlpname43">[7]Parameters!$C$172</definedName>
    <definedName name="ltlpname44">[7]Parameters!$C$173</definedName>
    <definedName name="ltlpname45">[7]Parameters!$C$174</definedName>
    <definedName name="ltlpname46">[7]Parameters!$C$175</definedName>
    <definedName name="ltlpname47">[7]Parameters!$C$176</definedName>
    <definedName name="ltlpname48">[7]Parameters!$C$177</definedName>
    <definedName name="ltlpname49">[7]Parameters!$C$178</definedName>
    <definedName name="ltlpname50">[7]Parameters!$C$179</definedName>
    <definedName name="ltlpname51">[7]Parameters!$C$180</definedName>
    <definedName name="ltlpname52">[7]Parameters!$C$181</definedName>
    <definedName name="ltlpname53">[7]Parameters!$C$182</definedName>
    <definedName name="ltlpname54">[7]Parameters!$C$183</definedName>
    <definedName name="ltlpname55">[7]Parameters!$C$184</definedName>
    <definedName name="ltlpname56">[7]Parameters!$C$185</definedName>
    <definedName name="ltlpname57">[7]Parameters!$C$186</definedName>
    <definedName name="ltlpname58">[7]Parameters!$C$187</definedName>
    <definedName name="ltlpname59">[7]Parameters!$C$188</definedName>
    <definedName name="ltlpname60">[7]Parameters!$C$189</definedName>
    <definedName name="ltlpname61">[7]Parameters!$C$190</definedName>
    <definedName name="ltlpname62">[7]Parameters!$C$191</definedName>
    <definedName name="ltlpname63">[7]Parameters!$C$192</definedName>
    <definedName name="ltlpname64">[7]Parameters!$C$193</definedName>
    <definedName name="ltlpname65">[7]Parameters!$C$194</definedName>
    <definedName name="ltlpname66">[7]Parameters!$C$195</definedName>
    <definedName name="ltlpname67">[7]Parameters!$C$196</definedName>
    <definedName name="ltlpname68">[7]Parameters!$C$197</definedName>
    <definedName name="ltlpname69">[7]Parameters!$C$198</definedName>
    <definedName name="ltlpname70">[7]Parameters!$C$199</definedName>
    <definedName name="ltlpname71">[7]Parameters!$C$200</definedName>
    <definedName name="ltlpname72">[7]Parameters!$C$201</definedName>
    <definedName name="ltlpname73">[7]Parameters!$C$202</definedName>
    <definedName name="ltlpname74">[7]Parameters!$C$203</definedName>
    <definedName name="ltlpname75">[7]Parameters!$C$204</definedName>
    <definedName name="ltlpsal25">[7]Parameters!$E$154</definedName>
    <definedName name="ltlpsal26">[7]Parameters!$E$155</definedName>
    <definedName name="ltlpsal27">[7]Parameters!$E$156</definedName>
    <definedName name="ltlpsal28">[7]Parameters!$E$157</definedName>
    <definedName name="ltlpsal29">[7]Parameters!$E$158</definedName>
    <definedName name="ltlpsal30">[7]Parameters!$E$159</definedName>
    <definedName name="ltlpsal31">[7]Parameters!$E$160</definedName>
    <definedName name="ltlpsal32">[7]Parameters!$E$161</definedName>
    <definedName name="ltlpsal33">[7]Parameters!$E$162</definedName>
    <definedName name="ltlpsal34">[7]Parameters!$E$163</definedName>
    <definedName name="ltlpsal35">[7]Parameters!$E$164</definedName>
    <definedName name="ltlpsal36">[7]Parameters!$E$165</definedName>
    <definedName name="ltlpsal37">[7]Parameters!$E$166</definedName>
    <definedName name="ltlpsal38">[7]Parameters!$E$167</definedName>
    <definedName name="ltlpsal39">[7]Parameters!$E$168</definedName>
    <definedName name="ltlpsal40">[7]Parameters!$E$169</definedName>
    <definedName name="ltlpsal41">[7]Parameters!$E$170</definedName>
    <definedName name="ltlpsal42">[7]Parameters!$E$171</definedName>
    <definedName name="ltlpsal43">[7]Parameters!$E$172</definedName>
    <definedName name="ltlpsal44">[7]Parameters!$E$173</definedName>
    <definedName name="ltlpsal45">[7]Parameters!$E$174</definedName>
    <definedName name="ltlpsal46">[7]Parameters!$E$175</definedName>
    <definedName name="ltlpsal47">[7]Parameters!$E$176</definedName>
    <definedName name="ltlpsal48">[7]Parameters!$E$177</definedName>
    <definedName name="ltlpsal49">[7]Parameters!$E$178</definedName>
    <definedName name="ltlpsal50">[7]Parameters!$E$179</definedName>
    <definedName name="ltlpsal51">[7]Parameters!$E$180</definedName>
    <definedName name="ltlpsal52">[7]Parameters!$E$181</definedName>
    <definedName name="ltlpsal53">[7]Parameters!$E$182</definedName>
    <definedName name="ltlpsal54">[7]Parameters!$E$183</definedName>
    <definedName name="ltlpsal55">[7]Parameters!$E$184</definedName>
    <definedName name="ltlpsal56">[7]Parameters!$E$185</definedName>
    <definedName name="ltlpsal57">[7]Parameters!$E$186</definedName>
    <definedName name="ltlpsal58">[7]Parameters!$E$187</definedName>
    <definedName name="ltlpsal59">[7]Parameters!$E$188</definedName>
    <definedName name="ltlpsal60">[7]Parameters!$E$189</definedName>
    <definedName name="ltlpsal61">[7]Parameters!$E$190</definedName>
    <definedName name="ltlpsal62">[7]Parameters!$E$191</definedName>
    <definedName name="ltlpsal63">[7]Parameters!$E$192</definedName>
    <definedName name="ltlpsal64">[7]Parameters!$E$193</definedName>
    <definedName name="ltlpsal65">[7]Parameters!$E$194</definedName>
    <definedName name="ltlpsal66">[7]Parameters!$E$195</definedName>
    <definedName name="ltlpsal67">[7]Parameters!$E$196</definedName>
    <definedName name="ltlpsal68">[7]Parameters!$E$197</definedName>
    <definedName name="ltlpsal69">[7]Parameters!$E$198</definedName>
    <definedName name="ltlpsal70">[7]Parameters!$E$199</definedName>
    <definedName name="ltlpsal71">[7]Parameters!$E$200</definedName>
    <definedName name="ltlpsal72">[7]Parameters!$E$201</definedName>
    <definedName name="ltlpsal73">[7]Parameters!$E$202</definedName>
    <definedName name="ltlpsal74">[7]Parameters!$E$203</definedName>
    <definedName name="ltlpsal75">[7]Parameters!$E$204</definedName>
    <definedName name="ltls">[7]Parameters!$A$376</definedName>
    <definedName name="ltls1">[7]Parameters!$A$378</definedName>
    <definedName name="ltls10">[7]Parameters!$A$387</definedName>
    <definedName name="ltls10co">[7]Parameters!$G$387</definedName>
    <definedName name="ltls10name">[7]Parameters!$C$387</definedName>
    <definedName name="ltls10sal1">[7]Parameters!$E$387</definedName>
    <definedName name="ltls11">[7]Parameters!$A$388</definedName>
    <definedName name="ltls11co">[7]Parameters!$G$388</definedName>
    <definedName name="ltls11name">[7]Parameters!$C$388</definedName>
    <definedName name="ltls11sal1">[7]Parameters!$E$388</definedName>
    <definedName name="ltls12">[7]Parameters!$A$389</definedName>
    <definedName name="ltls12co">[7]Parameters!$G$389</definedName>
    <definedName name="ltls12name">[7]Parameters!$C$389</definedName>
    <definedName name="ltls12sal1">[7]Parameters!$E$389</definedName>
    <definedName name="ltls13">[7]Parameters!$A$390</definedName>
    <definedName name="ltls13co">[7]Parameters!$G$390</definedName>
    <definedName name="ltls13name">[7]Parameters!$C$390</definedName>
    <definedName name="ltls13sal1">[7]Parameters!$E$390</definedName>
    <definedName name="ltls14">[7]Parameters!$A$391</definedName>
    <definedName name="ltls14co">[7]Parameters!$G$391</definedName>
    <definedName name="ltls14name">[7]Parameters!$C$391</definedName>
    <definedName name="ltls14sal1">[7]Parameters!$E$391</definedName>
    <definedName name="ltls15">[7]Parameters!$A$392</definedName>
    <definedName name="ltls16">[7]Parameters!$A$393</definedName>
    <definedName name="ltls17">[7]Parameters!$A$394</definedName>
    <definedName name="ltls18">[7]Parameters!$A$395</definedName>
    <definedName name="ltls19">[7]Parameters!$A$396</definedName>
    <definedName name="ltls1co">[7]Parameters!$G$378</definedName>
    <definedName name="ltls1name">[7]Parameters!$C$378</definedName>
    <definedName name="ltls1sal1">[7]Parameters!$E$378</definedName>
    <definedName name="ltls2">[7]Parameters!$A$379</definedName>
    <definedName name="ltls20">[7]Parameters!$A$397</definedName>
    <definedName name="ltls21">[7]Parameters!$A$398</definedName>
    <definedName name="ltls22">[7]Parameters!$A$399</definedName>
    <definedName name="ltls23">[7]Parameters!$A$400</definedName>
    <definedName name="ltls24">[7]Parameters!$A$401</definedName>
    <definedName name="ltls25">[7]Parameters!$A$402</definedName>
    <definedName name="ltls26">[7]Parameters!$A$403</definedName>
    <definedName name="ltls27">[7]Parameters!$A$404</definedName>
    <definedName name="ltls28">[7]Parameters!$A$405</definedName>
    <definedName name="ltls29">[7]Parameters!$A$406</definedName>
    <definedName name="ltls2co">[7]Parameters!$G$379</definedName>
    <definedName name="ltls2name">[7]Parameters!$C$379</definedName>
    <definedName name="ltls2sal1">[7]Parameters!$E$379</definedName>
    <definedName name="ltls3">[7]Parameters!$A$380</definedName>
    <definedName name="ltls30">[7]Parameters!$A$407</definedName>
    <definedName name="ltls31">[7]Parameters!$A$408</definedName>
    <definedName name="ltls32">[7]Parameters!$A$409</definedName>
    <definedName name="ltls33">[7]Parameters!$A$410</definedName>
    <definedName name="ltls34">[7]Parameters!$A$411</definedName>
    <definedName name="ltls35">[7]Parameters!$A$412</definedName>
    <definedName name="ltls36">[7]Parameters!$A$413</definedName>
    <definedName name="ltls37">[7]Parameters!$A$414</definedName>
    <definedName name="ltls38">[7]Parameters!$A$415</definedName>
    <definedName name="ltls39">[7]Parameters!$A$416</definedName>
    <definedName name="ltls3co">[7]Parameters!$G$380</definedName>
    <definedName name="ltls3name">[7]Parameters!$C$380</definedName>
    <definedName name="ltls3sal1">[7]Parameters!$E$380</definedName>
    <definedName name="ltls4">[7]Parameters!$A$381</definedName>
    <definedName name="ltls40">[7]Parameters!$A$417</definedName>
    <definedName name="ltls41">[7]Parameters!$A$418</definedName>
    <definedName name="ltls42">[7]Parameters!$A$419</definedName>
    <definedName name="ltls43">[7]Parameters!$A$420</definedName>
    <definedName name="ltls44">[7]Parameters!$A$421</definedName>
    <definedName name="ltls45">[7]Parameters!$A$422</definedName>
    <definedName name="ltls46">[7]Parameters!$A$423</definedName>
    <definedName name="ltls47">[7]Parameters!$A$424</definedName>
    <definedName name="ltls48">[7]Parameters!$A$425</definedName>
    <definedName name="ltls49">[7]Parameters!$A$426</definedName>
    <definedName name="ltls4co">[7]Parameters!$G$381</definedName>
    <definedName name="ltls4name">[7]Parameters!$C$381</definedName>
    <definedName name="ltls4sal1">[7]Parameters!$E$381</definedName>
    <definedName name="ltls5">[7]Parameters!$A$382</definedName>
    <definedName name="ltls50">[7]Parameters!$A$427</definedName>
    <definedName name="ltls51">[7]Parameters!$A$428</definedName>
    <definedName name="ltls52">[7]Parameters!$A$429</definedName>
    <definedName name="ltls5co">[7]Parameters!$G$382</definedName>
    <definedName name="ltls5name">[7]Parameters!$C$382</definedName>
    <definedName name="ltls5sal1">[7]Parameters!$E$382</definedName>
    <definedName name="ltls6">[7]Parameters!$A$383</definedName>
    <definedName name="ltls6co">[7]Parameters!$G$383</definedName>
    <definedName name="ltls6name">[7]Parameters!$C$383</definedName>
    <definedName name="ltls6sal1">[7]Parameters!$E$383</definedName>
    <definedName name="ltls7">[7]Parameters!$A$384</definedName>
    <definedName name="ltls7co">[7]Parameters!$G$384</definedName>
    <definedName name="ltls7name">[7]Parameters!$C$384</definedName>
    <definedName name="ltls7sal1">[7]Parameters!$E$384</definedName>
    <definedName name="ltls8">[7]Parameters!$A$385</definedName>
    <definedName name="ltls8co">[7]Parameters!$G$385</definedName>
    <definedName name="ltls8name">[7]Parameters!$C$385</definedName>
    <definedName name="ltls8sal1">[7]Parameters!$E$385</definedName>
    <definedName name="ltls9">[7]Parameters!$A$386</definedName>
    <definedName name="ltls9co">[7]Parameters!$G$386</definedName>
    <definedName name="ltls9name">[7]Parameters!$C$386</definedName>
    <definedName name="ltls9sal1">[7]Parameters!$E$386</definedName>
    <definedName name="ltlsco15">[7]Parameters!$G$392</definedName>
    <definedName name="ltlsco16">[7]Parameters!$G$393</definedName>
    <definedName name="ltlsco17">[7]Parameters!$G$394</definedName>
    <definedName name="ltlsco18">[7]Parameters!$G$395</definedName>
    <definedName name="ltlsco19">[7]Parameters!$G$396</definedName>
    <definedName name="ltlsco20">[7]Parameters!$G$397</definedName>
    <definedName name="ltlsco21">[7]Parameters!$G$398</definedName>
    <definedName name="ltlsco22">[7]Parameters!$G$399</definedName>
    <definedName name="ltlsco23">[7]Parameters!$G$400</definedName>
    <definedName name="ltlsco24">[7]Parameters!$G$401</definedName>
    <definedName name="ltlsco25">[7]Parameters!$G$402</definedName>
    <definedName name="ltlsco26">[7]Parameters!$G$403</definedName>
    <definedName name="ltlsco27">[7]Parameters!$G$404</definedName>
    <definedName name="ltlsco28">[7]Parameters!$G$405</definedName>
    <definedName name="ltlsco29">[7]Parameters!$G$406</definedName>
    <definedName name="ltlsco30">[7]Parameters!$G$407</definedName>
    <definedName name="ltlsco31">[7]Parameters!$G$408</definedName>
    <definedName name="ltlsco32">[7]Parameters!$G$409</definedName>
    <definedName name="ltlsco33">[7]Parameters!$G$410</definedName>
    <definedName name="ltlsco34">[7]Parameters!$G$411</definedName>
    <definedName name="ltlsco35">[7]Parameters!$G$412</definedName>
    <definedName name="ltlsco36">[7]Parameters!$G$413</definedName>
    <definedName name="ltlsco37">[7]Parameters!$G$414</definedName>
    <definedName name="ltlsco38">[7]Parameters!$G$415</definedName>
    <definedName name="ltlsco39">[7]Parameters!$G$416</definedName>
    <definedName name="ltlsco40">[7]Parameters!$G$417</definedName>
    <definedName name="ltlsco41">[7]Parameters!$G$418</definedName>
    <definedName name="ltlsco42">[7]Parameters!$G$419</definedName>
    <definedName name="ltlsco43">[7]Parameters!$G$420</definedName>
    <definedName name="ltlsco44">[7]Parameters!$G$421</definedName>
    <definedName name="ltlsco45">[7]Parameters!$G$422</definedName>
    <definedName name="ltlsco46">[7]Parameters!$G$423</definedName>
    <definedName name="ltlsco47">[7]Parameters!$G$424</definedName>
    <definedName name="ltlsco48">[7]Parameters!$G$425</definedName>
    <definedName name="ltlsco49">[7]Parameters!$G$426</definedName>
    <definedName name="ltlsco50">[7]Parameters!$G$427</definedName>
    <definedName name="ltlsco51">[7]Parameters!$G$428</definedName>
    <definedName name="ltlsjob1">[7]Parameters!$I$378</definedName>
    <definedName name="ltlsjob10">[7]Parameters!$I$387</definedName>
    <definedName name="ltlsjob11">[7]Parameters!$I$388</definedName>
    <definedName name="ltlsjob12">[7]Parameters!$I$389</definedName>
    <definedName name="ltlsjob13">[7]Parameters!$I$390</definedName>
    <definedName name="ltlsjob14">[7]Parameters!$I$391</definedName>
    <definedName name="ltlsjob15">[7]Parameters!$I$392</definedName>
    <definedName name="ltlsjob16">[7]Parameters!$I$393</definedName>
    <definedName name="ltlsjob17">[7]Parameters!$I$394</definedName>
    <definedName name="ltlsjob18">[7]Parameters!$I$395</definedName>
    <definedName name="ltlsjob19">[7]Parameters!$I$396</definedName>
    <definedName name="ltlsjob2">[7]Parameters!$I$379</definedName>
    <definedName name="ltlsjob20">[7]Parameters!$I$397</definedName>
    <definedName name="ltlsjob21">[7]Parameters!$I$398</definedName>
    <definedName name="ltlsjob22">[7]Parameters!$I$399</definedName>
    <definedName name="ltlsjob23">[7]Parameters!$I$400</definedName>
    <definedName name="ltlsjob24">[7]Parameters!$I$401</definedName>
    <definedName name="ltlsjob25">[7]Parameters!$I$402</definedName>
    <definedName name="ltlsjob26">[7]Parameters!$I$403</definedName>
    <definedName name="ltlsjob27">[7]Parameters!$I$404</definedName>
    <definedName name="ltlsjob28">[7]Parameters!$I$405</definedName>
    <definedName name="ltlsjob29">[7]Parameters!$I$406</definedName>
    <definedName name="ltlsjob3">[7]Parameters!$I$380</definedName>
    <definedName name="ltlsjob30">[7]Parameters!$I$407</definedName>
    <definedName name="ltlsjob31">[7]Parameters!$I$408</definedName>
    <definedName name="ltlsjob32">[7]Parameters!$I$409</definedName>
    <definedName name="ltlsjob33">[7]Parameters!$I$410</definedName>
    <definedName name="ltlsjob34">[7]Parameters!$I$411</definedName>
    <definedName name="ltlsjob35">[7]Parameters!$I$412</definedName>
    <definedName name="ltlsjob36">[7]Parameters!$I$413</definedName>
    <definedName name="ltlsjob37">[7]Parameters!$I$414</definedName>
    <definedName name="ltlsjob38">[7]Parameters!$I$415</definedName>
    <definedName name="ltlsjob39">[7]Parameters!$I$416</definedName>
    <definedName name="ltlsjob4">[7]Parameters!$I$381</definedName>
    <definedName name="ltlsjob40">[7]Parameters!$I$417</definedName>
    <definedName name="ltlsjob41">[7]Parameters!$I$418</definedName>
    <definedName name="ltlsjob42">[7]Parameters!$I$419</definedName>
    <definedName name="ltlsjob43">[7]Parameters!$I$420</definedName>
    <definedName name="ltlsjob44">[7]Parameters!$I$421</definedName>
    <definedName name="ltlsjob45">[7]Parameters!$I$422</definedName>
    <definedName name="ltlsjob46">[7]Parameters!$I$423</definedName>
    <definedName name="ltlsjob47">[7]Parameters!$I$424</definedName>
    <definedName name="ltlsjob48">[7]Parameters!$I$425</definedName>
    <definedName name="ltlsjob49">[7]Parameters!$I$426</definedName>
    <definedName name="ltlsjob5">[7]Parameters!$I$382</definedName>
    <definedName name="ltlsjob50">[7]Parameters!$I$427</definedName>
    <definedName name="ltlsjob51">[7]Parameters!$I$428</definedName>
    <definedName name="ltlsjob6">[7]Parameters!$I$383</definedName>
    <definedName name="ltlsjob7">[7]Parameters!$I$384</definedName>
    <definedName name="ltlsjob8">[7]Parameters!$I$385</definedName>
    <definedName name="ltlsjob9">[7]Parameters!$I$386</definedName>
    <definedName name="ltlsname15">[7]Parameters!$C$392</definedName>
    <definedName name="ltlsname16">[7]Parameters!$C$393</definedName>
    <definedName name="ltlsname17">[7]Parameters!$C$394</definedName>
    <definedName name="ltlsname18">[7]Parameters!$C$395</definedName>
    <definedName name="ltlsname19">[7]Parameters!$C$396</definedName>
    <definedName name="ltlsname20">[7]Parameters!$C$397</definedName>
    <definedName name="ltlsname21">[7]Parameters!$C$398</definedName>
    <definedName name="ltlsname22">[7]Parameters!$C$399</definedName>
    <definedName name="ltlsname23">[7]Parameters!$C$400</definedName>
    <definedName name="ltlsname24">[7]Parameters!$C$401</definedName>
    <definedName name="ltlsname25">[7]Parameters!$C$402</definedName>
    <definedName name="ltlsname26">[7]Parameters!$C$403</definedName>
    <definedName name="ltlsname27">[7]Parameters!$C$404</definedName>
    <definedName name="ltlsname28">[7]Parameters!$C$405</definedName>
    <definedName name="ltlsname29">[7]Parameters!$C$406</definedName>
    <definedName name="ltlsname30">[7]Parameters!$C$407</definedName>
    <definedName name="ltlsname31">[7]Parameters!$C$408</definedName>
    <definedName name="ltlsname32">[7]Parameters!$C$409</definedName>
    <definedName name="ltlsname33">[7]Parameters!$C$410</definedName>
    <definedName name="ltlsname34">[7]Parameters!$C$411</definedName>
    <definedName name="ltlsname35">[7]Parameters!$C$412</definedName>
    <definedName name="ltlsname36">[7]Parameters!$C$413</definedName>
    <definedName name="ltlsname37">[7]Parameters!$C$414</definedName>
    <definedName name="ltlsname38">[7]Parameters!$C$415</definedName>
    <definedName name="ltlsname39">[7]Parameters!$C$416</definedName>
    <definedName name="ltlsname40">[7]Parameters!$C$417</definedName>
    <definedName name="ltlsname41">[7]Parameters!$C$418</definedName>
    <definedName name="ltlsname42">[7]Parameters!$C$419</definedName>
    <definedName name="ltlsname43">[7]Parameters!$C$420</definedName>
    <definedName name="ltlsname44">[7]Parameters!$C$421</definedName>
    <definedName name="ltlsname45">[7]Parameters!$C$422</definedName>
    <definedName name="ltlsname46">[7]Parameters!$C$423</definedName>
    <definedName name="ltlsname47">[7]Parameters!$C$424</definedName>
    <definedName name="ltlsname48">[7]Parameters!$C$425</definedName>
    <definedName name="ltlsname49">[7]Parameters!$C$426</definedName>
    <definedName name="ltlsname50">[7]Parameters!$C$427</definedName>
    <definedName name="ltlsname51">[7]Parameters!$C$428</definedName>
    <definedName name="ltlssal15">[7]Parameters!$E$392</definedName>
    <definedName name="ltlssal16">[7]Parameters!$E$393</definedName>
    <definedName name="ltlssal17">[7]Parameters!$E$394</definedName>
    <definedName name="ltlssal18">[7]Parameters!$E$395</definedName>
    <definedName name="ltlssal19">[7]Parameters!$E$396</definedName>
    <definedName name="ltlssal20">[7]Parameters!$E$397</definedName>
    <definedName name="ltlssal21">[7]Parameters!$E$398</definedName>
    <definedName name="ltlssal22">[7]Parameters!$E$399</definedName>
    <definedName name="ltlssal23">[7]Parameters!$E$400</definedName>
    <definedName name="ltlssal24">[7]Parameters!$E$401</definedName>
    <definedName name="ltlssal25">[7]Parameters!$E$402</definedName>
    <definedName name="ltlssal26">[7]Parameters!$E$403</definedName>
    <definedName name="ltlssal27">[7]Parameters!$E$404</definedName>
    <definedName name="ltlssal28">[7]Parameters!$E$405</definedName>
    <definedName name="ltlssal29">[7]Parameters!$E$406</definedName>
    <definedName name="ltlssal30">[7]Parameters!$E$407</definedName>
    <definedName name="ltlssal31">[7]Parameters!$E$408</definedName>
    <definedName name="ltlssal32">[7]Parameters!$E$409</definedName>
    <definedName name="ltlssal33">[7]Parameters!$E$410</definedName>
    <definedName name="ltlssal34">[7]Parameters!$E$411</definedName>
    <definedName name="ltlssal35">[7]Parameters!$E$412</definedName>
    <definedName name="ltlssal36">[7]Parameters!$E$413</definedName>
    <definedName name="ltlssal37">[7]Parameters!$E$414</definedName>
    <definedName name="ltlssal38">[7]Parameters!$E$415</definedName>
    <definedName name="ltlssal39">[7]Parameters!$E$416</definedName>
    <definedName name="ltlssal40">[7]Parameters!$E$417</definedName>
    <definedName name="ltlssal41">[7]Parameters!$E$418</definedName>
    <definedName name="ltlssal42">[7]Parameters!$E$419</definedName>
    <definedName name="ltlssal43">[7]Parameters!$E$420</definedName>
    <definedName name="ltlssal44">[7]Parameters!$E$421</definedName>
    <definedName name="ltlssal45">[7]Parameters!$E$422</definedName>
    <definedName name="ltlssal46">[7]Parameters!$E$423</definedName>
    <definedName name="ltlssal47">[7]Parameters!$E$424</definedName>
    <definedName name="ltlssal48">[7]Parameters!$E$425</definedName>
    <definedName name="ltlssal49">[7]Parameters!$E$426</definedName>
    <definedName name="ltlssal50">[7]Parameters!$E$427</definedName>
    <definedName name="ltlssal51">[7]Parameters!$E$428</definedName>
    <definedName name="ltstravel">[33]Parameters!$C$53</definedName>
    <definedName name="LTTA">#REF!</definedName>
    <definedName name="lttravel">[33]Parameters!$C$52</definedName>
    <definedName name="Lttripfactor">[12]Sheet1!$C$17</definedName>
    <definedName name="mac_lg_UI_List">#REF!</definedName>
    <definedName name="MACROS">#REF!</definedName>
    <definedName name="MADAC">[23]formulas!#REF!</definedName>
    <definedName name="makeready">[12]Sheet1!$C$47</definedName>
    <definedName name="maliinflation">#REF!</definedName>
    <definedName name="malitravel">[12]Sheet1!$C$34</definedName>
    <definedName name="mapping">[34]mapping!$A$8:$I$532</definedName>
    <definedName name="MaritalStatus">#REF!</definedName>
    <definedName name="match">'[3]Detailed Budget-SAVE'!#REF!</definedName>
    <definedName name="maybe" localSheetId="4" hidden="1">{#N/A,#N/A,FALSE,"ManLoading"}</definedName>
    <definedName name="maybe" localSheetId="5" hidden="1">{#N/A,#N/A,FALSE,"ManLoading"}</definedName>
    <definedName name="maybe" localSheetId="6" hidden="1">{#N/A,#N/A,FALSE,"ManLoading"}</definedName>
    <definedName name="maybe" localSheetId="8" hidden="1">{#N/A,#N/A,FALSE,"ManLoading"}</definedName>
    <definedName name="maybe" localSheetId="3" hidden="1">{#N/A,#N/A,FALSE,"ManLoading"}</definedName>
    <definedName name="maybe" hidden="1">{#N/A,#N/A,FALSE,"ManLoading"}</definedName>
    <definedName name="ME">[5]Parameters!#REF!</definedName>
    <definedName name="med">#REF!</definedName>
    <definedName name="medevac">[5]Parameters!$D$17</definedName>
    <definedName name="medex">232</definedName>
    <definedName name="Merit">'[28]Detail-1'!$J$1</definedName>
    <definedName name="mh">#REF!</definedName>
    <definedName name="Mid_Level_CCNRate">[32]Assumptions!$B$15</definedName>
    <definedName name="Mid_Level_TCNRate">[32]Assumptions!$B$13</definedName>
    <definedName name="mie">#REF!</definedName>
    <definedName name="mielima">[5]Parameters!#REF!</definedName>
    <definedName name="mieother">[5]Parameters!#REF!</definedName>
    <definedName name="MOBIS_Schedule">#REF!</definedName>
    <definedName name="Moldova">#REF!</definedName>
    <definedName name="Moldova_F2F">#REF!</definedName>
    <definedName name="MonthHeader_Values" localSheetId="4">EOMONTH(DATE('[14]Yearly Planner'!StartYear,8,1),{0,1,2,3,4,5,6,7,8,9,10,11})+1</definedName>
    <definedName name="MonthHeader_Values" localSheetId="5">EOMONTH(DATE('[14]Yearly Planner'!StartYear,8,1),{0,1,2,3,4,5,6,7,8,9,10,11})+1</definedName>
    <definedName name="MonthHeader_Values" localSheetId="6">EOMONTH(DATE('[14]Yearly Planner'!StartYear,8,1),{0,1,2,3,4,5,6,7,8,9,10,11})+1</definedName>
    <definedName name="MonthHeader_Values" localSheetId="8">EOMONTH(DATE('[14]Yearly Planner'!StartYear,8,1),{0,1,2,3,4,5,6,7,8,9,10,11})+1</definedName>
    <definedName name="MonthHeader_Values" localSheetId="3">EOMONTH(DATE('[14]Yearly Planner'!StartYear,8,1),{0,1,2,3,4,5,6,7,8,9,10,11})+1</definedName>
    <definedName name="MonthHeader_Values" localSheetId="1">EOMONTH(DATE('[14]Yearly Planner'!StartYear,8,1),{0,1,2,3,4,5,6,7,8,9,10,11})+1</definedName>
    <definedName name="MonthHeader_Values">EOMONTH(DATE('[14]Yearly Planner'!StartYear,8,1),{0,1,2,3,4,5,6,7,8,9,10,11})+1</definedName>
    <definedName name="MSE">#REF!</definedName>
    <definedName name="msicoreclin1">#REF!</definedName>
    <definedName name="msicoreclin2">#REF!</definedName>
    <definedName name="msicoreclin3">#REF!</definedName>
    <definedName name="msitaclin1">#REF!</definedName>
    <definedName name="msitaclin2">#REF!</definedName>
    <definedName name="msitaclin3">#REF!</definedName>
    <definedName name="Mult_Yr1to3">#REF!</definedName>
    <definedName name="Mult_Yr4">#REF!</definedName>
    <definedName name="Mult_Yr5">#REF!</definedName>
    <definedName name="Multipliers_by_AMAP_year">#REF!</definedName>
    <definedName name="Multiply4">[10]RATES!#REF!</definedName>
    <definedName name="Multiply5">[10]RATES!#REF!</definedName>
    <definedName name="name" localSheetId="4" hidden="1">{#N/A,#N/A,FALSE,"ManLoading"}</definedName>
    <definedName name="name" localSheetId="5" hidden="1">{#N/A,#N/A,FALSE,"ManLoading"}</definedName>
    <definedName name="name" localSheetId="6" hidden="1">{#N/A,#N/A,FALSE,"ManLoading"}</definedName>
    <definedName name="name" localSheetId="8" hidden="1">{#N/A,#N/A,FALSE,"ManLoading"}</definedName>
    <definedName name="name" localSheetId="3" hidden="1">{#N/A,#N/A,FALSE,"ManLoading"}</definedName>
    <definedName name="name" hidden="1">{#N/A,#N/A,FALSE,"ManLoading"}</definedName>
    <definedName name="NAMEA">#REF!</definedName>
    <definedName name="napsa">#REF!</definedName>
    <definedName name="National_factor_year1">#REF!</definedName>
    <definedName name="National_factor_year2">#REF!</definedName>
    <definedName name="National_factor_year3">#REF!</definedName>
    <definedName name="National_factor_year4">#REF!</definedName>
    <definedName name="National_factor_year5">#REF!</definedName>
    <definedName name="NativeTimeline_Date">#N/A</definedName>
    <definedName name="NativeTimeline_Date1">#N/A</definedName>
    <definedName name="NatRes11">[10]RATES!#REF!</definedName>
    <definedName name="NAWGA">#N/A</definedName>
    <definedName name="New">[35]Sheet1!$M$3:$M$8</definedName>
    <definedName name="NFPA">#N/A</definedName>
    <definedName name="NICRA_GA">#REF!</definedName>
    <definedName name="NICRA_Overhead">#REF!</definedName>
    <definedName name="no" localSheetId="4" hidden="1">{#N/A,#N/A,FALSE,"ManLoading"}</definedName>
    <definedName name="no" localSheetId="5" hidden="1">{#N/A,#N/A,FALSE,"ManLoading"}</definedName>
    <definedName name="no" localSheetId="6" hidden="1">{#N/A,#N/A,FALSE,"ManLoading"}</definedName>
    <definedName name="no" localSheetId="8" hidden="1">{#N/A,#N/A,FALSE,"ManLoading"}</definedName>
    <definedName name="no" localSheetId="3" hidden="1">{#N/A,#N/A,FALSE,"ManLoading"}</definedName>
    <definedName name="no" hidden="1">{#N/A,#N/A,FALSE,"ManLoading"}</definedName>
    <definedName name="none" localSheetId="4" hidden="1">{#N/A,#N/A,FALSE,"ManLoading"}</definedName>
    <definedName name="none" localSheetId="5" hidden="1">{#N/A,#N/A,FALSE,"ManLoading"}</definedName>
    <definedName name="none" localSheetId="6" hidden="1">{#N/A,#N/A,FALSE,"ManLoading"}</definedName>
    <definedName name="none" localSheetId="8" hidden="1">{#N/A,#N/A,FALSE,"ManLoading"}</definedName>
    <definedName name="none" localSheetId="3" hidden="1">{#N/A,#N/A,FALSE,"ManLoading"}</definedName>
    <definedName name="none" localSheetId="1" hidden="1">{#N/A,#N/A,FALSE,"ManLoading"}</definedName>
    <definedName name="none" hidden="1">{#N/A,#N/A,FALSE,"ManLoading"}</definedName>
    <definedName name="none1" localSheetId="4" hidden="1">{#N/A,#N/A,FALSE,"ManLoading"}</definedName>
    <definedName name="none1" localSheetId="5" hidden="1">{#N/A,#N/A,FALSE,"ManLoading"}</definedName>
    <definedName name="none1" localSheetId="6" hidden="1">{#N/A,#N/A,FALSE,"ManLoading"}</definedName>
    <definedName name="none1" localSheetId="8" hidden="1">{#N/A,#N/A,FALSE,"ManLoading"}</definedName>
    <definedName name="none1" localSheetId="3" hidden="1">{#N/A,#N/A,FALSE,"ManLoading"}</definedName>
    <definedName name="none1" hidden="1">{#N/A,#N/A,FALSE,"ManLoading"}</definedName>
    <definedName name="ODC">[10]RATES!#REF!</definedName>
    <definedName name="ODC_Escalation">#REF!</definedName>
    <definedName name="ODC_Escalation_DPK">[32]Assumptions!$B$10</definedName>
    <definedName name="ODCesc">[16]Assumptions!$H$14</definedName>
    <definedName name="OH">#REF!</definedName>
    <definedName name="OnCNFA">#REF!</definedName>
    <definedName name="Other_Direct_Costs">'[13]INPUTS Year 1'!#REF!</definedName>
    <definedName name="Other11">[10]RATES!#REF!</definedName>
    <definedName name="Other13">[10]RATES!#REF!</definedName>
    <definedName name="Othertotalpd">[17]Parameters!$B$32</definedName>
    <definedName name="overhead">#REF!</definedName>
    <definedName name="PAGE4" localSheetId="4" hidden="1">{"actuals_1",#N/A,FALSE,"CO 1 YRS";"burden_1",#N/A,FALSE,"CO 1 YRS";"input",#N/A,FALSE,"INPUT"}</definedName>
    <definedName name="PAGE4" localSheetId="5" hidden="1">{"actuals_1",#N/A,FALSE,"CO 1 YRS";"burden_1",#N/A,FALSE,"CO 1 YRS";"input",#N/A,FALSE,"INPUT"}</definedName>
    <definedName name="PAGE4" localSheetId="6" hidden="1">{"actuals_1",#N/A,FALSE,"CO 1 YRS";"burden_1",#N/A,FALSE,"CO 1 YRS";"input",#N/A,FALSE,"INPUT"}</definedName>
    <definedName name="PAGE4" localSheetId="8" hidden="1">{"actuals_1",#N/A,FALSE,"CO 1 YRS";"burden_1",#N/A,FALSE,"CO 1 YRS";"input",#N/A,FALSE,"INPUT"}</definedName>
    <definedName name="PAGE4" localSheetId="3" hidden="1">{"actuals_1",#N/A,FALSE,"CO 1 YRS";"burden_1",#N/A,FALSE,"CO 1 YRS";"input",#N/A,FALSE,"INPUT"}</definedName>
    <definedName name="PAGE4" localSheetId="1" hidden="1">{"actuals_1",#N/A,FALSE,"CO 1 YRS";"burden_1",#N/A,FALSE,"CO 1 YRS";"input",#N/A,FALSE,"INPUT"}</definedName>
    <definedName name="PAGE4" hidden="1">{"actuals_1",#N/A,FALSE,"CO 1 YRS";"burden_1",#N/A,FALSE,"CO 1 YRS";"input",#N/A,FALSE,"INPUT"}</definedName>
    <definedName name="PATTA">#REF!</definedName>
    <definedName name="paye">#REF!</definedName>
    <definedName name="payroll">#REF!</definedName>
    <definedName name="payslips">#REF!</definedName>
    <definedName name="pd">[5]Parameters!$D$49</definedName>
    <definedName name="PDDAYS">#N/A</definedName>
    <definedName name="pdintl">[7]Parameters!$B$534</definedName>
    <definedName name="pdloc">[7]Parameters!$B$535</definedName>
    <definedName name="pdother">[5]Parameters!$D$50</definedName>
    <definedName name="pdotherdos">[5]Parameters!$D$54</definedName>
    <definedName name="pdpesh">[7]Parameters!$B$537</definedName>
    <definedName name="Per_Diem1">#REF!</definedName>
    <definedName name="Per_Diem2">#REF!</definedName>
    <definedName name="Per_Diem3">#REF!</definedName>
    <definedName name="Perdiem">[16]Assumptions!$B$23:$F$25</definedName>
    <definedName name="perdiembko">[12]Sheet1!$C$22</definedName>
    <definedName name="perdiemdays">[36]Info!$C$14</definedName>
    <definedName name="perdieme">[33]Parameters!$C$33</definedName>
    <definedName name="perdiemfactor">[12]Sheet1!$C$26</definedName>
    <definedName name="perdiemintl">[12]Sheet1!$C$24</definedName>
    <definedName name="perdiemoth">[12]Sheet1!$C$25</definedName>
    <definedName name="Person_Days">#REF!</definedName>
    <definedName name="Person_Year">#REF!</definedName>
    <definedName name="PIP">#N/A</definedName>
    <definedName name="PM">[10]RATES!#REF!</definedName>
    <definedName name="pmperdiem">#REF!</definedName>
    <definedName name="Policy11">[10]RATES!#REF!</definedName>
    <definedName name="Policy12">[10]RATES!#REF!</definedName>
    <definedName name="Policy13">[10]RATES!#REF!</definedName>
    <definedName name="Post_Differential">#REF!</definedName>
    <definedName name="postdiff">[5]Parameters!$D$55</definedName>
    <definedName name="_xlnm.Print_Area" localSheetId="4">'Activity 1'!$A$2:$W$98</definedName>
    <definedName name="_xlnm.Print_Area" localSheetId="5">'Activity 2'!$A$2:$W$94</definedName>
    <definedName name="_xlnm.Print_Area" localSheetId="6">'Activity 3'!$A$2:$W$114</definedName>
    <definedName name="_xlnm.Print_Area" localSheetId="8">'Activity 3 Sub Budget 6th Grain'!$A$3:$W$62</definedName>
    <definedName name="_xlnm.Print_Area" localSheetId="3">Admin!$A$2:$W$140</definedName>
    <definedName name="_xlnm.Print_Area" localSheetId="1">'Detailed Budget'!$A$2:$W$219</definedName>
    <definedName name="_xlnm.Print_Area" localSheetId="9">'Indirect Calculations'!$B$6:$I$60</definedName>
    <definedName name="_xlnm.Print_Area" localSheetId="7">'Program Budget'!$D$6:$X$391</definedName>
    <definedName name="_xlnm.Print_Area" localSheetId="0">'USDA Budget Summary'!$A$1:$F$62</definedName>
    <definedName name="_xlnm.Print_Area">#REF!</definedName>
    <definedName name="Print_Area_MI" localSheetId="4">#REF!</definedName>
    <definedName name="Print_Area_MI" localSheetId="5">#REF!</definedName>
    <definedName name="Print_Area_MI" localSheetId="6">#REF!</definedName>
    <definedName name="Print_Area_MI" localSheetId="8">#REF!</definedName>
    <definedName name="Print_Area_MI" localSheetId="3">#REF!</definedName>
    <definedName name="Print_Area_MI" localSheetId="1">#REF!</definedName>
    <definedName name="Print_Area_MI">#REF!</definedName>
    <definedName name="Print_Area2">#REF!</definedName>
    <definedName name="_xlnm.Print_Titles" localSheetId="4">'Activity 1'!$2:$3</definedName>
    <definedName name="_xlnm.Print_Titles" localSheetId="5">'Activity 2'!$2:$3</definedName>
    <definedName name="_xlnm.Print_Titles" localSheetId="6">'Activity 3'!$2:$3</definedName>
    <definedName name="_xlnm.Print_Titles" localSheetId="8">'Activity 3 Sub Budget 6th Grain'!$3:$4</definedName>
    <definedName name="_xlnm.Print_Titles" localSheetId="3">Admin!$2:$3</definedName>
    <definedName name="_xlnm.Print_Titles" localSheetId="1">'Detailed Budget'!$2:$3</definedName>
    <definedName name="_xlnm.Print_Titles">#N/A</definedName>
    <definedName name="Print_Titles_MI" localSheetId="4">#REF!</definedName>
    <definedName name="Print_Titles_MI" localSheetId="5">#REF!</definedName>
    <definedName name="Print_Titles_MI" localSheetId="6">#REF!</definedName>
    <definedName name="Print_Titles_MI" localSheetId="8">#REF!</definedName>
    <definedName name="Print_Titles_MI" localSheetId="3">#REF!</definedName>
    <definedName name="Print_Titles_MI" localSheetId="1">#REF!</definedName>
    <definedName name="Print_Titles_MI">#REF!</definedName>
    <definedName name="Profit" localSheetId="8">#REF!</definedName>
    <definedName name="Profit">#REF!</definedName>
    <definedName name="project">[7]Parameters!$B$5</definedName>
    <definedName name="Project_support_costs">#REF!</definedName>
    <definedName name="proposed" localSheetId="4" hidden="1">{#N/A,#N/A,FALSE,"ManLoading"}</definedName>
    <definedName name="proposed" localSheetId="5" hidden="1">{#N/A,#N/A,FALSE,"ManLoading"}</definedName>
    <definedName name="proposed" localSheetId="6" hidden="1">{#N/A,#N/A,FALSE,"ManLoading"}</definedName>
    <definedName name="proposed" localSheetId="8" hidden="1">{#N/A,#N/A,FALSE,"ManLoading"}</definedName>
    <definedName name="proposed" localSheetId="3" hidden="1">{#N/A,#N/A,FALSE,"ManLoading"}</definedName>
    <definedName name="proposed" localSheetId="1" hidden="1">{#N/A,#N/A,FALSE,"ManLoading"}</definedName>
    <definedName name="proposed" hidden="1">{#N/A,#N/A,FALSE,"ManLoading"}</definedName>
    <definedName name="PURD">#N/A</definedName>
    <definedName name="PURD1">#N/A</definedName>
    <definedName name="PURD4">#N/A</definedName>
    <definedName name="q">#REF!</definedName>
    <definedName name="quetzaltenango">#REF!</definedName>
    <definedName name="quiche">#REF!</definedName>
    <definedName name="Raises_Expat">#REF!</definedName>
    <definedName name="Raises_HCN">#REF!</definedName>
    <definedName name="Raises_TCN">#REF!</definedName>
    <definedName name="Rate1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atecos">#REF!</definedName>
    <definedName name="regina" hidden="1">[2]IPA!#REF!</definedName>
    <definedName name="Regional_Offices">'[37] Program Support Costs'!#REF!</definedName>
    <definedName name="remit_zra" localSheetId="8">#REF!</definedName>
    <definedName name="remit_zra">#REF!</definedName>
    <definedName name="RETdirectdeposit" localSheetId="8">#REF!</definedName>
    <definedName name="RETdirectdeposit">#REF!</definedName>
    <definedName name="rfp">[5]Parameters!$B$4</definedName>
    <definedName name="RFPNo">[4]Parameters!$B$2</definedName>
    <definedName name="room">#REF!</definedName>
    <definedName name="rovercost">[5]Parameters!$H$30</definedName>
    <definedName name="rr">[5]Parameters!$D$25</definedName>
    <definedName name="rrair">[17]Parameters!$B$40</definedName>
    <definedName name="rrrrr">'[38]05TRANS'!$B$7:$L$34</definedName>
    <definedName name="rsa_inflation" localSheetId="8">#REF!</definedName>
    <definedName name="rsa_inflation">#REF!</definedName>
    <definedName name="rtecon">[5]Parameters!$D$24</definedName>
    <definedName name="RYUK" localSheetId="4" hidden="1">{"PAGE1",#N/A,FALSE,"CPFFMSTR";"PAGE2",#N/A,FALSE,"CPFFMSTR"}</definedName>
    <definedName name="RYUK" localSheetId="5" hidden="1">{"PAGE1",#N/A,FALSE,"CPFFMSTR";"PAGE2",#N/A,FALSE,"CPFFMSTR"}</definedName>
    <definedName name="RYUK" localSheetId="6" hidden="1">{"PAGE1",#N/A,FALSE,"CPFFMSTR";"PAGE2",#N/A,FALSE,"CPFFMSTR"}</definedName>
    <definedName name="RYUK" localSheetId="8" hidden="1">{"PAGE1",#N/A,FALSE,"CPFFMSTR";"PAGE2",#N/A,FALSE,"CPFFMSTR"}</definedName>
    <definedName name="RYUK" localSheetId="3" hidden="1">{"PAGE1",#N/A,FALSE,"CPFFMSTR";"PAGE2",#N/A,FALSE,"CPFFMSTR"}</definedName>
    <definedName name="RYUK" localSheetId="1" hidden="1">{"PAGE1",#N/A,FALSE,"CPFFMSTR";"PAGE2",#N/A,FALSE,"CPFFMSTR"}</definedName>
    <definedName name="RYUK" hidden="1">{"PAGE1",#N/A,FALSE,"CPFFMSTR";"PAGE2",#N/A,FALSE,"CPFFMSTR"}</definedName>
    <definedName name="sa">#REF!</definedName>
    <definedName name="SAL">#REF!</definedName>
    <definedName name="salary_inflation">'[39]Formula Values'!$B$4</definedName>
    <definedName name="SALARYORHOURLY" localSheetId="8">#REF!</definedName>
    <definedName name="SALARYORHOURLY">#REF!</definedName>
    <definedName name="salesc">0.05</definedName>
    <definedName name="salinc">#REF!</definedName>
    <definedName name="salincr">[5]Parameters!$D$7</definedName>
    <definedName name="salincrease">[36]Info!$C$5</definedName>
    <definedName name="salincrloc">[7]Parameters!$B$503</definedName>
    <definedName name="salmaxes6">[7]Parameters!$B$559</definedName>
    <definedName name="salmaxfsn">[7]Parameters!$B$560</definedName>
    <definedName name="sanmarcos">#REF!</definedName>
    <definedName name="sc">[40]Sheet1!$M$3:$M$8</definedName>
    <definedName name="sda" localSheetId="4" hidden="1">{#N/A,#N/A,FALSE,"ManLoading"}</definedName>
    <definedName name="sda" localSheetId="5" hidden="1">{#N/A,#N/A,FALSE,"ManLoading"}</definedName>
    <definedName name="sda" localSheetId="6" hidden="1">{#N/A,#N/A,FALSE,"ManLoading"}</definedName>
    <definedName name="sda" localSheetId="8" hidden="1">{#N/A,#N/A,FALSE,"ManLoading"}</definedName>
    <definedName name="sda" localSheetId="3" hidden="1">{#N/A,#N/A,FALSE,"ManLoading"}</definedName>
    <definedName name="sda" hidden="1">{#N/A,#N/A,FALSE,"ManLoading"}</definedName>
    <definedName name="sdfg" localSheetId="4" hidden="1">{"PAGE1",#N/A,FALSE,"CPFFMSTR";"PAGE2",#N/A,FALSE,"CPFFMSTR"}</definedName>
    <definedName name="sdfg" localSheetId="5" hidden="1">{"PAGE1",#N/A,FALSE,"CPFFMSTR";"PAGE2",#N/A,FALSE,"CPFFMSTR"}</definedName>
    <definedName name="sdfg" localSheetId="6" hidden="1">{"PAGE1",#N/A,FALSE,"CPFFMSTR";"PAGE2",#N/A,FALSE,"CPFFMSTR"}</definedName>
    <definedName name="sdfg" localSheetId="8" hidden="1">{"PAGE1",#N/A,FALSE,"CPFFMSTR";"PAGE2",#N/A,FALSE,"CPFFMSTR"}</definedName>
    <definedName name="sdfg" localSheetId="3" hidden="1">{"PAGE1",#N/A,FALSE,"CPFFMSTR";"PAGE2",#N/A,FALSE,"CPFFMSTR"}</definedName>
    <definedName name="sdfg" localSheetId="1" hidden="1">{"PAGE1",#N/A,FALSE,"CPFFMSTR";"PAGE2",#N/A,FALSE,"CPFFMSTR"}</definedName>
    <definedName name="sdfg" hidden="1">{"PAGE1",#N/A,FALSE,"CPFFMSTR";"PAGE2",#N/A,FALSE,"CPFFMSTR"}</definedName>
    <definedName name="Senior_CCNRate">[32]Assumptions!$B$14</definedName>
    <definedName name="Senior_TCNRate">[32]Assumptions!$B$12</definedName>
    <definedName name="SEV">#REF!</definedName>
    <definedName name="severance">[5]Parameters!$D$64</definedName>
    <definedName name="severancedata">'[21]Summary Budget'!$O$34:$R$35</definedName>
    <definedName name="SEVPA">#REF!</definedName>
    <definedName name="SFG" localSheetId="4" hidden="1">{"PAGE1",#N/A,FALSE,"CPFFMSTR";"PAGE2",#N/A,FALSE,"CPFFMSTR"}</definedName>
    <definedName name="SFG" localSheetId="5" hidden="1">{"PAGE1",#N/A,FALSE,"CPFFMSTR";"PAGE2",#N/A,FALSE,"CPFFMSTR"}</definedName>
    <definedName name="SFG" localSheetId="6" hidden="1">{"PAGE1",#N/A,FALSE,"CPFFMSTR";"PAGE2",#N/A,FALSE,"CPFFMSTR"}</definedName>
    <definedName name="SFG" localSheetId="8" hidden="1">{"PAGE1",#N/A,FALSE,"CPFFMSTR";"PAGE2",#N/A,FALSE,"CPFFMSTR"}</definedName>
    <definedName name="SFG" localSheetId="3" hidden="1">{"PAGE1",#N/A,FALSE,"CPFFMSTR";"PAGE2",#N/A,FALSE,"CPFFMSTR"}</definedName>
    <definedName name="SFG" localSheetId="1" hidden="1">{"PAGE1",#N/A,FALSE,"CPFFMSTR";"PAGE2",#N/A,FALSE,"CPFFMSTR"}</definedName>
    <definedName name="SFG" hidden="1">{"PAGE1",#N/A,FALSE,"CPFFMSTR";"PAGE2",#N/A,FALSE,"CPFFMSTR"}</definedName>
    <definedName name="sho">'[3]Detailed Budget-SAVE'!#REF!</definedName>
    <definedName name="Site">[10]RATES!#REF!</definedName>
    <definedName name="small">#REF!</definedName>
    <definedName name="staff">[41]Sheet1!$M$3:$M$8</definedName>
    <definedName name="staff_fringe" localSheetId="8">#REF!</definedName>
    <definedName name="staff_fringe">#REF!</definedName>
    <definedName name="stafffringe" localSheetId="8">#REF!</definedName>
    <definedName name="stafffringe">#REF!</definedName>
    <definedName name="staffperdiem" localSheetId="8">#REF!</definedName>
    <definedName name="staffperdiem">#REF!</definedName>
    <definedName name="START">#N/A</definedName>
    <definedName name="startdate">#REF!</definedName>
    <definedName name="stexpercent">[5]Parameters!$D$30</definedName>
    <definedName name="stlp">[7]Parameters!$A$298</definedName>
    <definedName name="stlp1">[7]Parameters!$A$300</definedName>
    <definedName name="stlp10">[7]Parameters!$A$309</definedName>
    <definedName name="stlp10co">[7]Parameters!$G$309</definedName>
    <definedName name="stlp10name">[7]Parameters!$C$309</definedName>
    <definedName name="stlp10sal1">[7]Parameters!$E$309</definedName>
    <definedName name="stlp11">[7]Parameters!$A$310</definedName>
    <definedName name="stlp12">[7]Parameters!$A$311</definedName>
    <definedName name="stlp13">[7]Parameters!$A$312</definedName>
    <definedName name="stlp14">[7]Parameters!$A$313</definedName>
    <definedName name="stlp15">[7]Parameters!$A$314</definedName>
    <definedName name="stlp16">[7]Parameters!$A$315</definedName>
    <definedName name="stlp17">[7]Parameters!$A$316</definedName>
    <definedName name="stlp18">[7]Parameters!$A$317</definedName>
    <definedName name="stlp19">[7]Parameters!$A$318</definedName>
    <definedName name="stlp1co">[7]Parameters!$G$300</definedName>
    <definedName name="stlp1name">[7]Parameters!$C$300</definedName>
    <definedName name="stlp1sal1">[7]Parameters!$E$300</definedName>
    <definedName name="stlp2">[7]Parameters!$A$301</definedName>
    <definedName name="stlp20">[7]Parameters!$A$319</definedName>
    <definedName name="stlp21">[7]Parameters!$A$320</definedName>
    <definedName name="stlp22">[7]Parameters!$A$321</definedName>
    <definedName name="stlp23">[7]Parameters!$A$322</definedName>
    <definedName name="stlp24">[7]Parameters!$A$323</definedName>
    <definedName name="stlp25">[7]Parameters!$A$324</definedName>
    <definedName name="stlp26">[7]Parameters!$A$325</definedName>
    <definedName name="stlp27">[7]Parameters!$A$326</definedName>
    <definedName name="stlp28">[7]Parameters!$A$327</definedName>
    <definedName name="stlp29">[7]Parameters!$A$328</definedName>
    <definedName name="stlp2co">[7]Parameters!$G$301</definedName>
    <definedName name="stlp2name">[7]Parameters!$C$301</definedName>
    <definedName name="stlp2sal1">[7]Parameters!$E$301</definedName>
    <definedName name="stlp3">[7]Parameters!$A$302</definedName>
    <definedName name="stlp30">[7]Parameters!$A$329</definedName>
    <definedName name="stlp31">[7]Parameters!$A$330</definedName>
    <definedName name="stlp32">[7]Parameters!$A$331</definedName>
    <definedName name="stlp33">[7]Parameters!$A$332</definedName>
    <definedName name="stlp34">[7]Parameters!$A$333</definedName>
    <definedName name="stlp35">[7]Parameters!$A$334</definedName>
    <definedName name="stlp36">[7]Parameters!$A$335</definedName>
    <definedName name="stlp37">[7]Parameters!$A$336</definedName>
    <definedName name="stlp38">[7]Parameters!$A$337</definedName>
    <definedName name="stlp39">[7]Parameters!$A$338</definedName>
    <definedName name="stlp3co">[7]Parameters!$G$302</definedName>
    <definedName name="stlp3name">[7]Parameters!$C$302</definedName>
    <definedName name="stlp3sal1">[7]Parameters!$E$302</definedName>
    <definedName name="stlp4">[7]Parameters!$A$303</definedName>
    <definedName name="stlp40">[7]Parameters!$A$339</definedName>
    <definedName name="stlp41">[7]Parameters!$A$340</definedName>
    <definedName name="stlp42">[7]Parameters!$A$341</definedName>
    <definedName name="stlp43">[7]Parameters!$A$342</definedName>
    <definedName name="stlp44">[7]Parameters!$A$343</definedName>
    <definedName name="stlp45">[7]Parameters!$A$344</definedName>
    <definedName name="stlp46">[7]Parameters!$A$345</definedName>
    <definedName name="stlp47">[7]Parameters!$A$346</definedName>
    <definedName name="stlp48">[7]Parameters!$A$347</definedName>
    <definedName name="stlp49">[7]Parameters!$A$348</definedName>
    <definedName name="stlp4co">[7]Parameters!$G$303</definedName>
    <definedName name="stlp4name">[7]Parameters!$C$303</definedName>
    <definedName name="stlp4sal1">[7]Parameters!$E$303</definedName>
    <definedName name="stlp5">[7]Parameters!$A$304</definedName>
    <definedName name="stlp50">[7]Parameters!$A$349</definedName>
    <definedName name="stlp51">[7]Parameters!$A$350</definedName>
    <definedName name="stlp52">[7]Parameters!$A$351</definedName>
    <definedName name="stlp53">[7]Parameters!$A$352</definedName>
    <definedName name="stlp54">[7]Parameters!$A$353</definedName>
    <definedName name="stlp55">[7]Parameters!$A$354</definedName>
    <definedName name="stlp56">[7]Parameters!$A$355</definedName>
    <definedName name="stlp57">[7]Parameters!$A$356</definedName>
    <definedName name="stlp58">[7]Parameters!$A$357</definedName>
    <definedName name="stlp59">[7]Parameters!$A$358</definedName>
    <definedName name="stlp5co">[7]Parameters!$G$304</definedName>
    <definedName name="stlp5name">[7]Parameters!$C$304</definedName>
    <definedName name="stlp5sal1">[7]Parameters!$E$304</definedName>
    <definedName name="stlp6">[7]Parameters!$A$305</definedName>
    <definedName name="stlp60">[7]Parameters!$A$359</definedName>
    <definedName name="stlp61">[7]Parameters!$A$360</definedName>
    <definedName name="stlp62">[7]Parameters!$A$361</definedName>
    <definedName name="stlp63">[7]Parameters!$A$362</definedName>
    <definedName name="stlp64">[7]Parameters!$A$363</definedName>
    <definedName name="stlp65">[7]Parameters!$A$364</definedName>
    <definedName name="stlp66">[7]Parameters!$A$365</definedName>
    <definedName name="stlp67">[7]Parameters!$A$366</definedName>
    <definedName name="stlp68">[7]Parameters!$A$367</definedName>
    <definedName name="stlp69">[7]Parameters!$A$368</definedName>
    <definedName name="stlp6co">[7]Parameters!$G$305</definedName>
    <definedName name="stlp6name">[7]Parameters!$C$305</definedName>
    <definedName name="stlp6sal1">[7]Parameters!$E$305</definedName>
    <definedName name="stlp7">[7]Parameters!$A$306</definedName>
    <definedName name="stlp70">[7]Parameters!$A$369</definedName>
    <definedName name="stlp71">[7]Parameters!$A$370</definedName>
    <definedName name="stlp72">[7]Parameters!$A$371</definedName>
    <definedName name="stlp73">[7]Parameters!$A$372</definedName>
    <definedName name="stlp74">[7]Parameters!$A$373</definedName>
    <definedName name="stlp75">[7]Parameters!$A$374</definedName>
    <definedName name="stlp7co">[7]Parameters!$G$306</definedName>
    <definedName name="stlp7name">[7]Parameters!$C$306</definedName>
    <definedName name="stlp7sal1">[7]Parameters!$E$306</definedName>
    <definedName name="stlp8">[7]Parameters!$A$307</definedName>
    <definedName name="stlp8co">[7]Parameters!$G$307</definedName>
    <definedName name="stlp8name">[7]Parameters!$C$307</definedName>
    <definedName name="stlp8sal1">[7]Parameters!$E$307</definedName>
    <definedName name="stlp9">[7]Parameters!$A$308</definedName>
    <definedName name="stlp9co">[7]Parameters!$G$308</definedName>
    <definedName name="stlp9name">[7]Parameters!$C$308</definedName>
    <definedName name="stlp9sal1">[7]Parameters!$E$308</definedName>
    <definedName name="stlpco11">[7]Parameters!$G$310</definedName>
    <definedName name="stlpco12">[7]Parameters!$G$311</definedName>
    <definedName name="stlpco13">[7]Parameters!$G$312</definedName>
    <definedName name="stlpco14">[7]Parameters!$G$313</definedName>
    <definedName name="stlpco15">[7]Parameters!$G$314</definedName>
    <definedName name="stlpco16">[7]Parameters!$G$315</definedName>
    <definedName name="stlpco17">[7]Parameters!$G$316</definedName>
    <definedName name="stlpco18">[7]Parameters!$G$317</definedName>
    <definedName name="stlpco19">[7]Parameters!$G$318</definedName>
    <definedName name="stlpco20">[7]Parameters!$G$319</definedName>
    <definedName name="stlpco21">[7]Parameters!$G$320</definedName>
    <definedName name="stlpco22">[7]Parameters!$G$321</definedName>
    <definedName name="stlpco23">[7]Parameters!$G$322</definedName>
    <definedName name="stlpco24">[7]Parameters!$G$323</definedName>
    <definedName name="stlpco25">[7]Parameters!$G$324</definedName>
    <definedName name="stlpco26">[7]Parameters!$G$325</definedName>
    <definedName name="stlpco27">[7]Parameters!$G$326</definedName>
    <definedName name="stlpco28">[7]Parameters!$G$327</definedName>
    <definedName name="stlpco29">[7]Parameters!$G$328</definedName>
    <definedName name="stlpco30">[7]Parameters!$G$329</definedName>
    <definedName name="stlpco31">[7]Parameters!$G$330</definedName>
    <definedName name="stlpco32">[7]Parameters!$G$331</definedName>
    <definedName name="stlpco33">[7]Parameters!$G$332</definedName>
    <definedName name="stlpco34">[7]Parameters!$G$333</definedName>
    <definedName name="stlpco35">[7]Parameters!$G$334</definedName>
    <definedName name="stlpco36">[7]Parameters!$G$335</definedName>
    <definedName name="stlpco37">[7]Parameters!$G$336</definedName>
    <definedName name="stlpco38">[7]Parameters!$G$337</definedName>
    <definedName name="stlpco39">[7]Parameters!$G$338</definedName>
    <definedName name="stlpco40">[7]Parameters!$G$339</definedName>
    <definedName name="stlpco41">[7]Parameters!$G$340</definedName>
    <definedName name="stlpco42">[7]Parameters!$G$341</definedName>
    <definedName name="stlpco43">[7]Parameters!$G$342</definedName>
    <definedName name="stlpco44">[7]Parameters!$G$343</definedName>
    <definedName name="stlpco45">[7]Parameters!$G$344</definedName>
    <definedName name="stlpco46">[7]Parameters!$G$345</definedName>
    <definedName name="stlpco47">[7]Parameters!$G$346</definedName>
    <definedName name="stlpco48">[7]Parameters!$G$347</definedName>
    <definedName name="stlpco49">[7]Parameters!$G$348</definedName>
    <definedName name="stlpco50">[7]Parameters!$G$349</definedName>
    <definedName name="stlpco51">[7]Parameters!$G$350</definedName>
    <definedName name="stlpco52">[7]Parameters!$G$351</definedName>
    <definedName name="stlpco53">[7]Parameters!$G$352</definedName>
    <definedName name="stlpco54">[7]Parameters!$G$353</definedName>
    <definedName name="stlpco55">[7]Parameters!$G$354</definedName>
    <definedName name="stlpco56">[7]Parameters!$G$355</definedName>
    <definedName name="stlpco57">[7]Parameters!$G$356</definedName>
    <definedName name="stlpco58">[7]Parameters!$G$357</definedName>
    <definedName name="stlpco59">[7]Parameters!$G$358</definedName>
    <definedName name="stlpco60">[7]Parameters!$G$359</definedName>
    <definedName name="stlpco61">[7]Parameters!$G$360</definedName>
    <definedName name="stlpco62">[7]Parameters!$G$361</definedName>
    <definedName name="stlpco63">[7]Parameters!$G$362</definedName>
    <definedName name="stlpco64">[7]Parameters!$G$363</definedName>
    <definedName name="stlpco65">[7]Parameters!$G$364</definedName>
    <definedName name="stlpco66">[7]Parameters!$G$365</definedName>
    <definedName name="stlpco67">[7]Parameters!$G$366</definedName>
    <definedName name="stlpco68">[7]Parameters!$G$367</definedName>
    <definedName name="stlpco69">[7]Parameters!$G$368</definedName>
    <definedName name="stlpco70">[7]Parameters!$G$369</definedName>
    <definedName name="stlpco71">[7]Parameters!$G$370</definedName>
    <definedName name="stlpco72">[7]Parameters!$G$371</definedName>
    <definedName name="stlpco73">[7]Parameters!$G$372</definedName>
    <definedName name="stlpco74">[7]Parameters!$G$373</definedName>
    <definedName name="stlpco75">[7]Parameters!$G$374</definedName>
    <definedName name="stlpjob1">[7]Parameters!$I$300</definedName>
    <definedName name="stlpjob10">[7]Parameters!$I$309</definedName>
    <definedName name="stlpjob11">[7]Parameters!$I$310</definedName>
    <definedName name="stlpjob12">[7]Parameters!$I$311</definedName>
    <definedName name="stlpjob13">[7]Parameters!$I$312</definedName>
    <definedName name="stlpjob14">[7]Parameters!$I$313</definedName>
    <definedName name="stlpjob15">[7]Parameters!$I$314</definedName>
    <definedName name="stlpjob16">[7]Parameters!$I$315</definedName>
    <definedName name="stlpjob17">[7]Parameters!$I$316</definedName>
    <definedName name="stlpjob18">[7]Parameters!$I$317</definedName>
    <definedName name="stlpjob19">[7]Parameters!$I$318</definedName>
    <definedName name="stlpjob2">[7]Parameters!$I$301</definedName>
    <definedName name="stlpjob20">[7]Parameters!$I$319</definedName>
    <definedName name="stlpjob21">[7]Parameters!$I$320</definedName>
    <definedName name="stlpjob22">[7]Parameters!$I$321</definedName>
    <definedName name="stlpjob23">[7]Parameters!$I$322</definedName>
    <definedName name="stlpjob24">[7]Parameters!$I$323</definedName>
    <definedName name="stlpjob25">[7]Parameters!$I$324</definedName>
    <definedName name="stlpjob26">[7]Parameters!$I$325</definedName>
    <definedName name="stlpjob27">[7]Parameters!$I$326</definedName>
    <definedName name="stlpjob28">[7]Parameters!$I$327</definedName>
    <definedName name="stlpjob29">[7]Parameters!$I$328</definedName>
    <definedName name="stlpjob3">[7]Parameters!$I$302</definedName>
    <definedName name="stlpjob30">[7]Parameters!$I$329</definedName>
    <definedName name="stlpjob31">[7]Parameters!$I$330</definedName>
    <definedName name="stlpjob32">[7]Parameters!$I$331</definedName>
    <definedName name="stlpjob33">[7]Parameters!$I$332</definedName>
    <definedName name="stlpjob34">[7]Parameters!$I$333</definedName>
    <definedName name="stlpjob35">[7]Parameters!$I$334</definedName>
    <definedName name="stlpjob36">[7]Parameters!$I$335</definedName>
    <definedName name="stlpjob37">[7]Parameters!$I$336</definedName>
    <definedName name="stlpjob38">[7]Parameters!$I$337</definedName>
    <definedName name="stlpjob39">[7]Parameters!$I$338</definedName>
    <definedName name="stlpjob4">[7]Parameters!$I$303</definedName>
    <definedName name="stlpjob40">[7]Parameters!$I$339</definedName>
    <definedName name="stlpjob41">[7]Parameters!$I$340</definedName>
    <definedName name="stlpjob42">[7]Parameters!$I$341</definedName>
    <definedName name="stlpjob43">[7]Parameters!$I$342</definedName>
    <definedName name="stlpjob44">[7]Parameters!$I$343</definedName>
    <definedName name="stlpjob45">[7]Parameters!$I$344</definedName>
    <definedName name="stlpjob46">[7]Parameters!$I$345</definedName>
    <definedName name="stlpjob47">[7]Parameters!$I$346</definedName>
    <definedName name="stlpjob48">[7]Parameters!$I$347</definedName>
    <definedName name="stlpjob49">[7]Parameters!$I$348</definedName>
    <definedName name="stlpjob5">[7]Parameters!$I$304</definedName>
    <definedName name="stlpjob50">[7]Parameters!$I$349</definedName>
    <definedName name="stlpjob51">[7]Parameters!$I$350</definedName>
    <definedName name="stlpjob52">[7]Parameters!$I$351</definedName>
    <definedName name="stlpjob53">[7]Parameters!$I$352</definedName>
    <definedName name="stlpjob54">[7]Parameters!$I$353</definedName>
    <definedName name="stlpjob55">[7]Parameters!$I$354</definedName>
    <definedName name="stlpjob56">[7]Parameters!$I$355</definedName>
    <definedName name="stlpjob57">[7]Parameters!$I$356</definedName>
    <definedName name="stlpjob58">[7]Parameters!$I$357</definedName>
    <definedName name="stlpjob59">[7]Parameters!$I$358</definedName>
    <definedName name="stlpjob6">[7]Parameters!$I$305</definedName>
    <definedName name="stlpjob60">[7]Parameters!$I$359</definedName>
    <definedName name="stlpjob61">[7]Parameters!$I$360</definedName>
    <definedName name="stlpjob62">[7]Parameters!$I$361</definedName>
    <definedName name="stlpjob63">[7]Parameters!$I$362</definedName>
    <definedName name="stlpjob64">[7]Parameters!$I$363</definedName>
    <definedName name="stlpjob65">[7]Parameters!$I$364</definedName>
    <definedName name="stlpjob66">[7]Parameters!$I$365</definedName>
    <definedName name="stlpjob67">[7]Parameters!$I$366</definedName>
    <definedName name="stlpjob68">[7]Parameters!$I$367</definedName>
    <definedName name="stlpjob69">[7]Parameters!$I$368</definedName>
    <definedName name="stlpjob7">[7]Parameters!$I$306</definedName>
    <definedName name="stlpjob70">[7]Parameters!$I$369</definedName>
    <definedName name="stlpjob71">[7]Parameters!$I$370</definedName>
    <definedName name="stlpjob72">[7]Parameters!$I$371</definedName>
    <definedName name="stlpjob73">[7]Parameters!$I$372</definedName>
    <definedName name="stlpjob74">[7]Parameters!$I$373</definedName>
    <definedName name="stlpjob75">[7]Parameters!$I$374</definedName>
    <definedName name="stlpjob8">[7]Parameters!$I$307</definedName>
    <definedName name="stlpjob9">[7]Parameters!$I$308</definedName>
    <definedName name="stlpname11">[7]Parameters!$C$310</definedName>
    <definedName name="stlpname12">[7]Parameters!$C$311</definedName>
    <definedName name="stlpname13">[7]Parameters!$C$312</definedName>
    <definedName name="stlpname14">[7]Parameters!$C$313</definedName>
    <definedName name="stlpname15">[7]Parameters!$C$314</definedName>
    <definedName name="stlpname16">[7]Parameters!$C$315</definedName>
    <definedName name="stlpname17">[7]Parameters!$C$316</definedName>
    <definedName name="stlpname18">[7]Parameters!$C$317</definedName>
    <definedName name="stlpname19">[7]Parameters!$C$318</definedName>
    <definedName name="stlpname20">[7]Parameters!$C$319</definedName>
    <definedName name="stlpname21">[7]Parameters!$C$320</definedName>
    <definedName name="stlpname22">[7]Parameters!$C$321</definedName>
    <definedName name="stlpname23">[7]Parameters!$C$322</definedName>
    <definedName name="stlpname24">[7]Parameters!$C$323</definedName>
    <definedName name="stlpname25">[7]Parameters!$C$324</definedName>
    <definedName name="stlpname26">[7]Parameters!$C$325</definedName>
    <definedName name="stlpname27">[7]Parameters!$C$326</definedName>
    <definedName name="stlpname28">[7]Parameters!$C$327</definedName>
    <definedName name="stlpname29">[7]Parameters!$C$328</definedName>
    <definedName name="stlpname30">[7]Parameters!$C$329</definedName>
    <definedName name="stlpname31">[7]Parameters!$C$330</definedName>
    <definedName name="stlpname32">[7]Parameters!$C$331</definedName>
    <definedName name="stlpname33">[7]Parameters!$C$332</definedName>
    <definedName name="stlpname34">[7]Parameters!$C$333</definedName>
    <definedName name="stlpname35">[7]Parameters!$C$334</definedName>
    <definedName name="stlpname36">[7]Parameters!$C$335</definedName>
    <definedName name="stlpname37">[7]Parameters!$C$336</definedName>
    <definedName name="stlpname38">[7]Parameters!$C$337</definedName>
    <definedName name="stlpname39">[7]Parameters!$C$338</definedName>
    <definedName name="stlpname40">[7]Parameters!$C$339</definedName>
    <definedName name="stlpname41">[7]Parameters!$C$340</definedName>
    <definedName name="stlpname42">[7]Parameters!$C$341</definedName>
    <definedName name="stlpname43">[7]Parameters!$C$342</definedName>
    <definedName name="stlpname44">[7]Parameters!$C$343</definedName>
    <definedName name="stlpname45">[7]Parameters!$C$344</definedName>
    <definedName name="stlpname46">[7]Parameters!$C$345</definedName>
    <definedName name="stlpname47">[7]Parameters!$C$346</definedName>
    <definedName name="stlpname48">[7]Parameters!$C$347</definedName>
    <definedName name="stlpname49">[7]Parameters!$C$348</definedName>
    <definedName name="stlpname50">[7]Parameters!$C$349</definedName>
    <definedName name="stlpname51">[7]Parameters!$C$350</definedName>
    <definedName name="stlpname52">[7]Parameters!$C$351</definedName>
    <definedName name="stlpname53">[7]Parameters!$C$352</definedName>
    <definedName name="stlpname54">[7]Parameters!$C$353</definedName>
    <definedName name="stlpname55">[7]Parameters!$C$354</definedName>
    <definedName name="stlpname56">[7]Parameters!$C$355</definedName>
    <definedName name="stlpname57">[7]Parameters!$C$356</definedName>
    <definedName name="stlpname58">[7]Parameters!$C$357</definedName>
    <definedName name="stlpname59">[7]Parameters!$C$358</definedName>
    <definedName name="stlpname60">[7]Parameters!$C$359</definedName>
    <definedName name="stlpname61">[7]Parameters!$C$360</definedName>
    <definedName name="stlpname62">[7]Parameters!$C$361</definedName>
    <definedName name="stlpname63">[7]Parameters!$C$362</definedName>
    <definedName name="stlpname64">[7]Parameters!$C$363</definedName>
    <definedName name="stlpname65">[7]Parameters!$C$364</definedName>
    <definedName name="stlpname66">[7]Parameters!$C$365</definedName>
    <definedName name="stlpname67">[7]Parameters!$C$366</definedName>
    <definedName name="stlpname68">[7]Parameters!$C$367</definedName>
    <definedName name="stlpname69">[7]Parameters!$C$368</definedName>
    <definedName name="stlpname70">[7]Parameters!$C$369</definedName>
    <definedName name="stlpname71">[7]Parameters!$C$370</definedName>
    <definedName name="stlpname72">[7]Parameters!$C$371</definedName>
    <definedName name="stlpname73">[7]Parameters!$C$372</definedName>
    <definedName name="stlpname74">[7]Parameters!$C$373</definedName>
    <definedName name="stlpname75">[7]Parameters!$C$374</definedName>
    <definedName name="stlpsal11">[7]Parameters!$E$310</definedName>
    <definedName name="stlpsal12">[7]Parameters!$E$311</definedName>
    <definedName name="stlpsal13">[7]Parameters!$E$312</definedName>
    <definedName name="stlpsal14">[7]Parameters!$E$313</definedName>
    <definedName name="stlpsal15">[7]Parameters!$E$314</definedName>
    <definedName name="stlpsal16">[7]Parameters!$E$315</definedName>
    <definedName name="stlpsal17">[7]Parameters!$E$316</definedName>
    <definedName name="stlpsal18">[7]Parameters!$E$317</definedName>
    <definedName name="stlpsal19">[7]Parameters!$E$318</definedName>
    <definedName name="stlpsal20">[7]Parameters!$E$319</definedName>
    <definedName name="stlpsal21">[7]Parameters!$E$320</definedName>
    <definedName name="stlpsal22">[7]Parameters!$E$321</definedName>
    <definedName name="stlpsal23">[7]Parameters!$E$322</definedName>
    <definedName name="stlpsal24">[7]Parameters!$E$323</definedName>
    <definedName name="stlpsal25">[7]Parameters!$E$324</definedName>
    <definedName name="stlpsal26">[7]Parameters!$E$325</definedName>
    <definedName name="stlpsal27">[7]Parameters!$E$326</definedName>
    <definedName name="stlpsal28">[7]Parameters!$E$327</definedName>
    <definedName name="stlpsal29">[7]Parameters!$E$328</definedName>
    <definedName name="stlpsal30">[7]Parameters!$E$329</definedName>
    <definedName name="stlpsal31">[7]Parameters!$E$330</definedName>
    <definedName name="stlpsal32">[7]Parameters!$E$331</definedName>
    <definedName name="stlpsal33">[7]Parameters!$E$332</definedName>
    <definedName name="stlpsal34">[7]Parameters!$E$333</definedName>
    <definedName name="stlpsal35">[7]Parameters!$E$334</definedName>
    <definedName name="stlpsal36">[7]Parameters!$E$335</definedName>
    <definedName name="stlpsal37">[7]Parameters!$E$336</definedName>
    <definedName name="stlpsal38">[7]Parameters!$E$337</definedName>
    <definedName name="stlpsal39">[7]Parameters!$E$338</definedName>
    <definedName name="stlpsal40">[7]Parameters!$E$339</definedName>
    <definedName name="stlpsal41">[7]Parameters!$E$340</definedName>
    <definedName name="stlpsal42">[7]Parameters!$E$341</definedName>
    <definedName name="stlpsal43">[7]Parameters!$E$342</definedName>
    <definedName name="stlpsal44">[7]Parameters!$E$343</definedName>
    <definedName name="stlpsal45">[7]Parameters!$E$344</definedName>
    <definedName name="stlpsal46">[7]Parameters!$E$345</definedName>
    <definedName name="stlpsal47">[7]Parameters!$E$346</definedName>
    <definedName name="stlpsal48">[7]Parameters!$E$347</definedName>
    <definedName name="stlpsal49">[7]Parameters!$E$348</definedName>
    <definedName name="stlpsal50">[7]Parameters!$E$349</definedName>
    <definedName name="stlpsal51">[7]Parameters!$E$350</definedName>
    <definedName name="stlpsal52">[7]Parameters!$E$351</definedName>
    <definedName name="stlpsal53">[7]Parameters!$E$352</definedName>
    <definedName name="stlpsal54">[7]Parameters!$E$353</definedName>
    <definedName name="stlpsal55">[7]Parameters!$E$354</definedName>
    <definedName name="stlpsal56">[7]Parameters!$E$355</definedName>
    <definedName name="stlpsal57">[7]Parameters!$E$356</definedName>
    <definedName name="stlpsal58">[7]Parameters!$E$357</definedName>
    <definedName name="stlpsal59">[7]Parameters!$E$358</definedName>
    <definedName name="stlpsal60">[7]Parameters!$E$359</definedName>
    <definedName name="stlpsal61">[7]Parameters!$E$360</definedName>
    <definedName name="stlpsal62">[7]Parameters!$E$361</definedName>
    <definedName name="stlpsal63">[7]Parameters!$E$362</definedName>
    <definedName name="stlpsal64">[7]Parameters!$E$363</definedName>
    <definedName name="stlpsal65">[7]Parameters!$E$364</definedName>
    <definedName name="stlpsal66">[7]Parameters!$E$365</definedName>
    <definedName name="stlpsal67">[7]Parameters!$E$366</definedName>
    <definedName name="stlpsal68">[7]Parameters!$E$367</definedName>
    <definedName name="stlpsal69">[7]Parameters!$E$368</definedName>
    <definedName name="stlpsal70">[7]Parameters!$E$369</definedName>
    <definedName name="stlpsal71">[7]Parameters!$E$370</definedName>
    <definedName name="stlpsal72">[7]Parameters!$E$371</definedName>
    <definedName name="stlpsal73">[7]Parameters!$E$372</definedName>
    <definedName name="stlpsal74">[7]Parameters!$E$373</definedName>
    <definedName name="stlpsal75">[7]Parameters!$E$374</definedName>
    <definedName name="stmedevac">[5]Parameters!$D$18</definedName>
    <definedName name="STTA_Accra">[42]Assumptions!#REF!</definedName>
    <definedName name="STTA_Dayspertrip">[32]Assumptions!$B$25</definedName>
    <definedName name="STTA_Field">[42]Assumptions!#REF!</definedName>
    <definedName name="sttaperdiembam" localSheetId="8">#REF!</definedName>
    <definedName name="sttaperdiembam">#REF!</definedName>
    <definedName name="sttaperdiemother" localSheetId="8">#REF!</definedName>
    <definedName name="sttaperdiemother">#REF!</definedName>
    <definedName name="sttcn">[7]Parameters!$A$285</definedName>
    <definedName name="sttcn1">[7]Parameters!$A$287</definedName>
    <definedName name="sttcn10">[7]Parameters!$A$296</definedName>
    <definedName name="sttcn10co">[7]Parameters!$G$296</definedName>
    <definedName name="sttcn10name">[7]Parameters!$C$296</definedName>
    <definedName name="sttcn10sal1">[7]Parameters!$E$296</definedName>
    <definedName name="sttcn1co">[7]Parameters!$G$287</definedName>
    <definedName name="sttcn1name">[7]Parameters!$C$287</definedName>
    <definedName name="sttcn1sal1">[7]Parameters!$E$287</definedName>
    <definedName name="sttcn2">[7]Parameters!$A$288</definedName>
    <definedName name="sttcn2co">[7]Parameters!$G$288</definedName>
    <definedName name="sttcn2name">[7]Parameters!$C$288</definedName>
    <definedName name="sttcn2sal1">[7]Parameters!$E$288</definedName>
    <definedName name="sttcn3">[7]Parameters!$A$289</definedName>
    <definedName name="sttcn3co">[7]Parameters!$G$289</definedName>
    <definedName name="sttcn3name">[7]Parameters!$C$289</definedName>
    <definedName name="sttcn3sal1">[7]Parameters!$E$289</definedName>
    <definedName name="sttcn4">[7]Parameters!$A$290</definedName>
    <definedName name="sttcn4co">[7]Parameters!$G$290</definedName>
    <definedName name="sttcn4name">[7]Parameters!$C$290</definedName>
    <definedName name="sttcn4sal1">[7]Parameters!$E$290</definedName>
    <definedName name="sttcn5">[7]Parameters!$A$291</definedName>
    <definedName name="sttcn5co">[7]Parameters!$G$291</definedName>
    <definedName name="sttcn5name">[7]Parameters!$C$291</definedName>
    <definedName name="sttcn5sal1">[7]Parameters!$E$291</definedName>
    <definedName name="sttcn6">[7]Parameters!$A$292</definedName>
    <definedName name="sttcn6co">[7]Parameters!$G$292</definedName>
    <definedName name="sttcn6name">[7]Parameters!$C$292</definedName>
    <definedName name="sttcn6sal1">[7]Parameters!$E$292</definedName>
    <definedName name="sttcn7">[7]Parameters!$A$293</definedName>
    <definedName name="sttcn7co">[7]Parameters!$G$293</definedName>
    <definedName name="sttcn7name">[7]Parameters!$C$293</definedName>
    <definedName name="sttcn7sal1">[7]Parameters!$E$293</definedName>
    <definedName name="sttcn8">[7]Parameters!$A$294</definedName>
    <definedName name="sttcn8co">[7]Parameters!$G$294</definedName>
    <definedName name="sttcn8name">[7]Parameters!$C$294</definedName>
    <definedName name="sttcn8sal1">[7]Parameters!$E$294</definedName>
    <definedName name="sttcn9">[7]Parameters!$A$295</definedName>
    <definedName name="sttcn9co">[7]Parameters!$G$295</definedName>
    <definedName name="sttcn9name">[7]Parameters!$C$295</definedName>
    <definedName name="sttcn9sal1">[7]Parameters!$E$295</definedName>
    <definedName name="sttcnjob1">[7]Parameters!$I$287</definedName>
    <definedName name="sttcnjob10">[7]Parameters!$I$296</definedName>
    <definedName name="sttcnjob2">[7]Parameters!$I$288</definedName>
    <definedName name="sttcnjob3">[7]Parameters!$I$289</definedName>
    <definedName name="sttcnjob4">[7]Parameters!$I$290</definedName>
    <definedName name="sttcnjob5">[7]Parameters!$I$291</definedName>
    <definedName name="sttcnjob6">[7]Parameters!$I$292</definedName>
    <definedName name="sttcnjob7">[7]Parameters!$I$293</definedName>
    <definedName name="sttcnjob8">[7]Parameters!$I$294</definedName>
    <definedName name="sttcnjob9">[7]Parameters!$I$295</definedName>
    <definedName name="sttrip">[5]Parameters!$D$29</definedName>
    <definedName name="Sttripfactor">[12]Sheet1!$C$18</definedName>
    <definedName name="stus">[7]Parameters!$A$207</definedName>
    <definedName name="stus1">[7]Parameters!$A$209</definedName>
    <definedName name="stus10">[7]Parameters!$A$218</definedName>
    <definedName name="stus10co">[7]Parameters!$G$218</definedName>
    <definedName name="stus10name">[7]Parameters!$C$218</definedName>
    <definedName name="stus10sal1">[7]Parameters!$E$218</definedName>
    <definedName name="stus11">[7]Parameters!$A$219</definedName>
    <definedName name="stus12">[7]Parameters!$A$220</definedName>
    <definedName name="stus13">[7]Parameters!$A$221</definedName>
    <definedName name="stus14">[7]Parameters!$A$222</definedName>
    <definedName name="stus15">[7]Parameters!$A$223</definedName>
    <definedName name="stus16">[7]Parameters!$A$224</definedName>
    <definedName name="stus17">[7]Parameters!$A$225</definedName>
    <definedName name="stus18">[7]Parameters!$A$226</definedName>
    <definedName name="stus19">[7]Parameters!$A$227</definedName>
    <definedName name="stus1co">[7]Parameters!$G$209</definedName>
    <definedName name="stus1name">[7]Parameters!$C$209</definedName>
    <definedName name="stus1sal1">[7]Parameters!$E$209</definedName>
    <definedName name="stus2">[7]Parameters!$A$210</definedName>
    <definedName name="stus20">[7]Parameters!$A$228</definedName>
    <definedName name="stus21">[7]Parameters!$A$229</definedName>
    <definedName name="stus22">[7]Parameters!$A$230</definedName>
    <definedName name="stus23">[7]Parameters!$A$231</definedName>
    <definedName name="stus24">[7]Parameters!$A$232</definedName>
    <definedName name="stus25">[7]Parameters!$A$233</definedName>
    <definedName name="stus26">[7]Parameters!$A$234</definedName>
    <definedName name="stus27">[7]Parameters!$A$235</definedName>
    <definedName name="stus28">[7]Parameters!$A$236</definedName>
    <definedName name="stus29">[7]Parameters!$A$237</definedName>
    <definedName name="stus2co">[7]Parameters!$G$210</definedName>
    <definedName name="stus2name">[7]Parameters!$C$210</definedName>
    <definedName name="stus2sal1">[7]Parameters!$E$210</definedName>
    <definedName name="stus3">[7]Parameters!$A$211</definedName>
    <definedName name="stus30">[7]Parameters!$A$238</definedName>
    <definedName name="stus31">[7]Parameters!$A$239</definedName>
    <definedName name="stus32">[7]Parameters!$A$240</definedName>
    <definedName name="stus33">[7]Parameters!$A$241</definedName>
    <definedName name="stus34">[7]Parameters!$A$242</definedName>
    <definedName name="stus35">[7]Parameters!$A$243</definedName>
    <definedName name="stus36">[7]Parameters!$A$244</definedName>
    <definedName name="stus37">[7]Parameters!$A$245</definedName>
    <definedName name="stus38">[7]Parameters!$A$246</definedName>
    <definedName name="stus39">[7]Parameters!$A$247</definedName>
    <definedName name="stus3co">[7]Parameters!$G$211</definedName>
    <definedName name="stus3name">[7]Parameters!$C$211</definedName>
    <definedName name="stus3sal1">[7]Parameters!$E$211</definedName>
    <definedName name="stus4">[7]Parameters!$A$212</definedName>
    <definedName name="stus40">[7]Parameters!$A$248</definedName>
    <definedName name="stus41">[7]Parameters!$A$249</definedName>
    <definedName name="stus42">[7]Parameters!$A$250</definedName>
    <definedName name="stus43">[7]Parameters!$A$251</definedName>
    <definedName name="stus44">[7]Parameters!$A$252</definedName>
    <definedName name="stus45">[7]Parameters!$A$253</definedName>
    <definedName name="stus46">[7]Parameters!$A$254</definedName>
    <definedName name="stus47">[7]Parameters!$A$255</definedName>
    <definedName name="stus48">[7]Parameters!$A$256</definedName>
    <definedName name="stus49">[7]Parameters!$A$257</definedName>
    <definedName name="stus4co">[7]Parameters!$G$212</definedName>
    <definedName name="stus4name">[7]Parameters!$C$212</definedName>
    <definedName name="stus4sal1">[7]Parameters!$E$212</definedName>
    <definedName name="stus5">[7]Parameters!$A$213</definedName>
    <definedName name="stus50">[7]Parameters!$A$258</definedName>
    <definedName name="stus51">[7]Parameters!$A$259</definedName>
    <definedName name="stus52">[7]Parameters!$A$260</definedName>
    <definedName name="stus53">[7]Parameters!$A$261</definedName>
    <definedName name="stus54">[7]Parameters!$A$262</definedName>
    <definedName name="stus55">[7]Parameters!$A$263</definedName>
    <definedName name="stus56">[7]Parameters!$A$264</definedName>
    <definedName name="stus57">[7]Parameters!$A$265</definedName>
    <definedName name="stus58">[7]Parameters!$A$266</definedName>
    <definedName name="stus59">[7]Parameters!$A$267</definedName>
    <definedName name="stus5co">[7]Parameters!$G$213</definedName>
    <definedName name="stus5name">[7]Parameters!$C$213</definedName>
    <definedName name="stus5sal1">[7]Parameters!$E$213</definedName>
    <definedName name="stus6">[7]Parameters!$A$214</definedName>
    <definedName name="stus60">[7]Parameters!$A$268</definedName>
    <definedName name="stus61">[7]Parameters!$A$269</definedName>
    <definedName name="stus62">[7]Parameters!$A$270</definedName>
    <definedName name="stus63">[7]Parameters!$A$271</definedName>
    <definedName name="stus64">[7]Parameters!$A$272</definedName>
    <definedName name="stus65">[7]Parameters!$A$273</definedName>
    <definedName name="stus66">[7]Parameters!$A$274</definedName>
    <definedName name="stus67">[7]Parameters!$A$275</definedName>
    <definedName name="stus68">[7]Parameters!$A$276</definedName>
    <definedName name="stus69">[7]Parameters!$A$277</definedName>
    <definedName name="stus6co">[7]Parameters!$G$214</definedName>
    <definedName name="stus6name">[7]Parameters!$C$214</definedName>
    <definedName name="stus6sal1">[7]Parameters!$E$214</definedName>
    <definedName name="stus7">[7]Parameters!$A$215</definedName>
    <definedName name="stus70">[7]Parameters!$A$278</definedName>
    <definedName name="stus71">[7]Parameters!$A$279</definedName>
    <definedName name="stus72">[7]Parameters!$A$280</definedName>
    <definedName name="stus73">[7]Parameters!$A$281</definedName>
    <definedName name="stus74">[7]Parameters!$A$282</definedName>
    <definedName name="stus75">[7]Parameters!$A$283</definedName>
    <definedName name="stus7co">[7]Parameters!$G$215</definedName>
    <definedName name="stus7name">[7]Parameters!$C$215</definedName>
    <definedName name="stus7sal1">[7]Parameters!$E$215</definedName>
    <definedName name="stus8">[7]Parameters!$A$216</definedName>
    <definedName name="stus8co">[7]Parameters!$G$216</definedName>
    <definedName name="stus8name">[7]Parameters!$C$216</definedName>
    <definedName name="stus8sal1">[7]Parameters!$E$216</definedName>
    <definedName name="stus9">[7]Parameters!$A$217</definedName>
    <definedName name="stus9co">[7]Parameters!$G$217</definedName>
    <definedName name="stus9name">[7]Parameters!$C$217</definedName>
    <definedName name="stus9sal1">[7]Parameters!$E$217</definedName>
    <definedName name="stusco11">[7]Parameters!$G$219</definedName>
    <definedName name="stusco12">[7]Parameters!$G$220</definedName>
    <definedName name="stusco13">[7]Parameters!$G$221</definedName>
    <definedName name="stusco14">[7]Parameters!$G$222</definedName>
    <definedName name="stusco15">[7]Parameters!$G$223</definedName>
    <definedName name="stusco16">[7]Parameters!$G$224</definedName>
    <definedName name="stusco17">[7]Parameters!$G$225</definedName>
    <definedName name="stusco18">[7]Parameters!$G$226</definedName>
    <definedName name="stusco19">[7]Parameters!$G$227</definedName>
    <definedName name="stusco20">[7]Parameters!$G$228</definedName>
    <definedName name="stusco21">[7]Parameters!$G$229</definedName>
    <definedName name="stusco22">[7]Parameters!$G$230</definedName>
    <definedName name="stusco23">[7]Parameters!$G$231</definedName>
    <definedName name="stusco24">[7]Parameters!$G$232</definedName>
    <definedName name="stusco25">[7]Parameters!$G$233</definedName>
    <definedName name="stusco26">[7]Parameters!$G$234</definedName>
    <definedName name="stusco27">[7]Parameters!$G$235</definedName>
    <definedName name="stusco28">[7]Parameters!$G$236</definedName>
    <definedName name="stusco29">[7]Parameters!$G$237</definedName>
    <definedName name="stusco30">[7]Parameters!$G$238</definedName>
    <definedName name="stusco31">[7]Parameters!$G$239</definedName>
    <definedName name="stusco32">[7]Parameters!$G$240</definedName>
    <definedName name="stusco33">[7]Parameters!$G$241</definedName>
    <definedName name="stusco34">[7]Parameters!$G$242</definedName>
    <definedName name="stusco35">[7]Parameters!$G$243</definedName>
    <definedName name="stusco36">[7]Parameters!$G$244</definedName>
    <definedName name="stusco37">[7]Parameters!$G$245</definedName>
    <definedName name="stusco38">[7]Parameters!$G$246</definedName>
    <definedName name="stusco39">[7]Parameters!$G$247</definedName>
    <definedName name="stusco40">[7]Parameters!$G$248</definedName>
    <definedName name="stusco41">[7]Parameters!$G$249</definedName>
    <definedName name="stusco42">[7]Parameters!$G$250</definedName>
    <definedName name="stusco43">[7]Parameters!$G$251</definedName>
    <definedName name="stusco44">[7]Parameters!$G$252</definedName>
    <definedName name="stusco45">[7]Parameters!$G$253</definedName>
    <definedName name="stusco46">[7]Parameters!$G$254</definedName>
    <definedName name="stusco47">[7]Parameters!$G$255</definedName>
    <definedName name="stusco48">[7]Parameters!$G$256</definedName>
    <definedName name="stusco49">[7]Parameters!$G$257</definedName>
    <definedName name="stusco50">[7]Parameters!$G$258</definedName>
    <definedName name="stusco51">[7]Parameters!$G$259</definedName>
    <definedName name="stusco52">[7]Parameters!$G$260</definedName>
    <definedName name="stusco53">[7]Parameters!$G$261</definedName>
    <definedName name="stusco54">[7]Parameters!$G$262</definedName>
    <definedName name="stusco55">[7]Parameters!$G$263</definedName>
    <definedName name="stusco56">[7]Parameters!$G$264</definedName>
    <definedName name="stusco57">[7]Parameters!$G$265</definedName>
    <definedName name="stusco58">[7]Parameters!$G$266</definedName>
    <definedName name="stusco59">[7]Parameters!$G$267</definedName>
    <definedName name="stusco60">[7]Parameters!$G$268</definedName>
    <definedName name="stusco61">[7]Parameters!$G$269</definedName>
    <definedName name="stusco62">[7]Parameters!$G$270</definedName>
    <definedName name="stusco63">[7]Parameters!$G$271</definedName>
    <definedName name="stusco64">[7]Parameters!$G$272</definedName>
    <definedName name="stusco65">[7]Parameters!$G$273</definedName>
    <definedName name="stusco66">[7]Parameters!$G$274</definedName>
    <definedName name="stusco67">[7]Parameters!$G$275</definedName>
    <definedName name="stusco68">[7]Parameters!$G$276</definedName>
    <definedName name="stusco69">[7]Parameters!$G$277</definedName>
    <definedName name="stusco70">[7]Parameters!$G$278</definedName>
    <definedName name="stusco71">[7]Parameters!$G$279</definedName>
    <definedName name="stusco72">[7]Parameters!$G$280</definedName>
    <definedName name="stusco73">[7]Parameters!$G$281</definedName>
    <definedName name="stusco74">[7]Parameters!$G$282</definedName>
    <definedName name="stusco75">[7]Parameters!$G$283</definedName>
    <definedName name="stusjob1">[7]Parameters!$I$209</definedName>
    <definedName name="stusjob10">[7]Parameters!$I$218</definedName>
    <definedName name="stusjob11">[7]Parameters!$I$219</definedName>
    <definedName name="stusjob12">[7]Parameters!$I$220</definedName>
    <definedName name="stusjob13">[7]Parameters!$I$221</definedName>
    <definedName name="stusjob14">[7]Parameters!$I$222</definedName>
    <definedName name="stusjob15">[7]Parameters!$I$223</definedName>
    <definedName name="stusjob16">[7]Parameters!$I$224</definedName>
    <definedName name="stusjob17">[7]Parameters!$I$225</definedName>
    <definedName name="stusjob18">[7]Parameters!$I$226</definedName>
    <definedName name="stusjob19">[7]Parameters!$I$227</definedName>
    <definedName name="stusjob2">[7]Parameters!$I$210</definedName>
    <definedName name="stusjob20">[7]Parameters!$I$228</definedName>
    <definedName name="stusjob21">[7]Parameters!$I$229</definedName>
    <definedName name="stusjob22">[7]Parameters!$I$230</definedName>
    <definedName name="stusjob23">[7]Parameters!$I$231</definedName>
    <definedName name="stusjob24">[7]Parameters!$I$232</definedName>
    <definedName name="stusjob25">[7]Parameters!$I$233</definedName>
    <definedName name="stusjob26">[7]Parameters!$I$234</definedName>
    <definedName name="stusjob27">[7]Parameters!$I$235</definedName>
    <definedName name="stusjob28">[7]Parameters!$I$236</definedName>
    <definedName name="stusjob29">[7]Parameters!$I$237</definedName>
    <definedName name="stusjob3">[7]Parameters!$I$211</definedName>
    <definedName name="stusjob30">[7]Parameters!$I$238</definedName>
    <definedName name="stusjob31">[7]Parameters!$I$239</definedName>
    <definedName name="stusjob32">[7]Parameters!$I$240</definedName>
    <definedName name="stusjob33">[7]Parameters!$I$241</definedName>
    <definedName name="stusjob34">[7]Parameters!$I$242</definedName>
    <definedName name="stusjob35">[7]Parameters!$I$243</definedName>
    <definedName name="stusjob36">[7]Parameters!$I$244</definedName>
    <definedName name="stusjob37">[7]Parameters!$I$245</definedName>
    <definedName name="stusjob38">[7]Parameters!$I$246</definedName>
    <definedName name="stusjob39">[7]Parameters!$I$247</definedName>
    <definedName name="stusjob4">[7]Parameters!$I$212</definedName>
    <definedName name="stusjob40">[7]Parameters!$I$248</definedName>
    <definedName name="stusjob41">[7]Parameters!$I$249</definedName>
    <definedName name="stusjob42">[7]Parameters!$I$250</definedName>
    <definedName name="stusjob43">[7]Parameters!$I$251</definedName>
    <definedName name="stusjob44">[7]Parameters!$I$252</definedName>
    <definedName name="stusjob45">[7]Parameters!$I$253</definedName>
    <definedName name="stusjob46">[7]Parameters!$I$254</definedName>
    <definedName name="stusjob47">[7]Parameters!$I$255</definedName>
    <definedName name="stusjob48">[7]Parameters!$I$256</definedName>
    <definedName name="stusjob49">[7]Parameters!$I$257</definedName>
    <definedName name="stusjob5">[7]Parameters!$I$213</definedName>
    <definedName name="stusjob51">[7]Parameters!$I$259</definedName>
    <definedName name="stusjob52">[7]Parameters!$I$260</definedName>
    <definedName name="stusjob53">[7]Parameters!$I$261</definedName>
    <definedName name="stusjob54">[7]Parameters!$I$262</definedName>
    <definedName name="stusjob55">[7]Parameters!$I$263</definedName>
    <definedName name="stusjob56">[7]Parameters!$I$264</definedName>
    <definedName name="stusjob57">[7]Parameters!$I$265</definedName>
    <definedName name="stusjob58">[7]Parameters!$I$266</definedName>
    <definedName name="stusjob59">[7]Parameters!$I$267</definedName>
    <definedName name="stusjob6">[7]Parameters!$I$214</definedName>
    <definedName name="stusjob60">[7]Parameters!$I$268</definedName>
    <definedName name="stusjob61">[7]Parameters!$I$269</definedName>
    <definedName name="stusjob62">[7]Parameters!$I$270</definedName>
    <definedName name="stusjob63">[7]Parameters!$I$271</definedName>
    <definedName name="stusjob64">[7]Parameters!$I$272</definedName>
    <definedName name="stusjob65">[7]Parameters!$I$273</definedName>
    <definedName name="stusjob66">[7]Parameters!$I$274</definedName>
    <definedName name="stusjob67">[7]Parameters!$I$275</definedName>
    <definedName name="stusjob68">[7]Parameters!$I$276</definedName>
    <definedName name="stusjob69">[7]Parameters!$I$277</definedName>
    <definedName name="stusjob7">[7]Parameters!$I$215</definedName>
    <definedName name="stusjob70">[7]Parameters!$I$278</definedName>
    <definedName name="stusjob71">[7]Parameters!$I$279</definedName>
    <definedName name="stusjob72">[7]Parameters!$I$280</definedName>
    <definedName name="stusjob73">[7]Parameters!$I$281</definedName>
    <definedName name="stusjob74">[7]Parameters!$I$282</definedName>
    <definedName name="stusjob75">[7]Parameters!$I$283</definedName>
    <definedName name="stusjob8">[7]Parameters!$I$216</definedName>
    <definedName name="stusjob9">[7]Parameters!$I$217</definedName>
    <definedName name="stusname11">[7]Parameters!$C$219</definedName>
    <definedName name="stusname12">[7]Parameters!$C$220</definedName>
    <definedName name="stusname13">[7]Parameters!$C$221</definedName>
    <definedName name="stusname14">[7]Parameters!$C$222</definedName>
    <definedName name="stusname15">[7]Parameters!$C$223</definedName>
    <definedName name="stusname16">[7]Parameters!$C$224</definedName>
    <definedName name="stusname17">[7]Parameters!$C$225</definedName>
    <definedName name="stusname18">[7]Parameters!$C$226</definedName>
    <definedName name="stusname19">[7]Parameters!$C$227</definedName>
    <definedName name="stusname20">[7]Parameters!$C$228</definedName>
    <definedName name="stusname21">[7]Parameters!$C$229</definedName>
    <definedName name="stusname22">[7]Parameters!$C$230</definedName>
    <definedName name="stusname23">[7]Parameters!$C$231</definedName>
    <definedName name="stusname24">[7]Parameters!$C$232</definedName>
    <definedName name="stusname25">[7]Parameters!$C$233</definedName>
    <definedName name="stusname26">[7]Parameters!$C$234</definedName>
    <definedName name="stusname27">[7]Parameters!$C$235</definedName>
    <definedName name="stusname28">[7]Parameters!$C$236</definedName>
    <definedName name="stusname29">[7]Parameters!$C$237</definedName>
    <definedName name="stusname30">[7]Parameters!$C$238</definedName>
    <definedName name="stusname31">[7]Parameters!$C$239</definedName>
    <definedName name="stusname32">[7]Parameters!$C$240</definedName>
    <definedName name="stusname33">[7]Parameters!$C$241</definedName>
    <definedName name="stusname34">[7]Parameters!$C$242</definedName>
    <definedName name="stusname35">[7]Parameters!$C$243</definedName>
    <definedName name="stusname36">[7]Parameters!$C$244</definedName>
    <definedName name="stusname37">[7]Parameters!$C$245</definedName>
    <definedName name="stusname38">[7]Parameters!$C$246</definedName>
    <definedName name="stusname39">[7]Parameters!$C$247</definedName>
    <definedName name="stusname40">[7]Parameters!$C$248</definedName>
    <definedName name="stusname41">[7]Parameters!$C$249</definedName>
    <definedName name="stusname42">[7]Parameters!$C$250</definedName>
    <definedName name="stusname43">[7]Parameters!$C$251</definedName>
    <definedName name="stusname44">[7]Parameters!$C$252</definedName>
    <definedName name="stusname45">[7]Parameters!$C$253</definedName>
    <definedName name="stusname46">[7]Parameters!$C$254</definedName>
    <definedName name="stusname47">[7]Parameters!$C$255</definedName>
    <definedName name="stusname48">[7]Parameters!$C$256</definedName>
    <definedName name="stusname49">[7]Parameters!$C$257</definedName>
    <definedName name="stusname50">[7]Parameters!$C$258</definedName>
    <definedName name="stusname51">[7]Parameters!$C$259</definedName>
    <definedName name="stusname52">[7]Parameters!$C$260</definedName>
    <definedName name="stusname53">[7]Parameters!$C$261</definedName>
    <definedName name="stusname54">[7]Parameters!$C$262</definedName>
    <definedName name="stusname55">[7]Parameters!$C$263</definedName>
    <definedName name="stusname56">[7]Parameters!$C$264</definedName>
    <definedName name="stusname57">[7]Parameters!$C$265</definedName>
    <definedName name="stusname58">[7]Parameters!$C$266</definedName>
    <definedName name="stusname59">[7]Parameters!$C$267</definedName>
    <definedName name="stusname60">[7]Parameters!$C$268</definedName>
    <definedName name="stusname61">[7]Parameters!$C$269</definedName>
    <definedName name="stusname62">[7]Parameters!$C$270</definedName>
    <definedName name="stusname63">[7]Parameters!$C$271</definedName>
    <definedName name="stusname64">[7]Parameters!$C$272</definedName>
    <definedName name="stusname65">[7]Parameters!$C$273</definedName>
    <definedName name="stusname66">[7]Parameters!$C$274</definedName>
    <definedName name="stusname67">[7]Parameters!$C$275</definedName>
    <definedName name="stusname68">[7]Parameters!$C$276</definedName>
    <definedName name="stusname69">[7]Parameters!$C$277</definedName>
    <definedName name="stusname70">[7]Parameters!$C$278</definedName>
    <definedName name="stusname71">[7]Parameters!$C$279</definedName>
    <definedName name="stusname72">[7]Parameters!$C$280</definedName>
    <definedName name="stusname73">[7]Parameters!$C$281</definedName>
    <definedName name="stusname74">[7]Parameters!$C$282</definedName>
    <definedName name="stusname75">[7]Parameters!$C$283</definedName>
    <definedName name="stussal11">[7]Parameters!$E$219</definedName>
    <definedName name="stussal12">[7]Parameters!$E$220</definedName>
    <definedName name="stussal13">[7]Parameters!$E$221</definedName>
    <definedName name="stussal14">[7]Parameters!$E$222</definedName>
    <definedName name="stussal15">[7]Parameters!$E$223</definedName>
    <definedName name="stussal16">[7]Parameters!$E$224</definedName>
    <definedName name="stussal17">[7]Parameters!$E$225</definedName>
    <definedName name="stussal18">[7]Parameters!$E$226</definedName>
    <definedName name="stussal19">[7]Parameters!$E$227</definedName>
    <definedName name="stussal20">[7]Parameters!$E$228</definedName>
    <definedName name="stussal21">[7]Parameters!$E$229</definedName>
    <definedName name="stussal22">[7]Parameters!$E$230</definedName>
    <definedName name="stussal23">[7]Parameters!$E$231</definedName>
    <definedName name="stussal24">[7]Parameters!$E$232</definedName>
    <definedName name="stussal25">[7]Parameters!$E$233</definedName>
    <definedName name="stussal26">[7]Parameters!$E$234</definedName>
    <definedName name="stussal27">[7]Parameters!$E$235</definedName>
    <definedName name="stussal28">[7]Parameters!$E$236</definedName>
    <definedName name="stussal29">[7]Parameters!$E$237</definedName>
    <definedName name="stussal30">[7]Parameters!$E$238</definedName>
    <definedName name="stussal31">[7]Parameters!$E$239</definedName>
    <definedName name="stussal32">[7]Parameters!$E$240</definedName>
    <definedName name="stussal33">[7]Parameters!$E$241</definedName>
    <definedName name="stussal34">[7]Parameters!$E$242</definedName>
    <definedName name="stussal35">[7]Parameters!$E$243</definedName>
    <definedName name="stussal36">[7]Parameters!$E$244</definedName>
    <definedName name="stussal37">[7]Parameters!$E$245</definedName>
    <definedName name="stussal38">[7]Parameters!$E$246</definedName>
    <definedName name="stussal39">[7]Parameters!$E$247</definedName>
    <definedName name="stussal40">[7]Parameters!$E$248</definedName>
    <definedName name="stussal41">[7]Parameters!$E$249</definedName>
    <definedName name="stussal42">[7]Parameters!$E$250</definedName>
    <definedName name="stussal43">[7]Parameters!$E$251</definedName>
    <definedName name="stussal44">[7]Parameters!$E$252</definedName>
    <definedName name="stussal45">[7]Parameters!$E$253</definedName>
    <definedName name="stussal46">[7]Parameters!$E$254</definedName>
    <definedName name="stussal47">[7]Parameters!$E$255</definedName>
    <definedName name="stussal48">[7]Parameters!$E$256</definedName>
    <definedName name="stussal49">[7]Parameters!$E$257</definedName>
    <definedName name="stussal50">[7]Parameters!$E$258</definedName>
    <definedName name="stussal51">[7]Parameters!$E$259</definedName>
    <definedName name="stussal52">[7]Parameters!$E$260</definedName>
    <definedName name="stussal53">[7]Parameters!$E$261</definedName>
    <definedName name="stussal54">[7]Parameters!$E$262</definedName>
    <definedName name="stussal55">[7]Parameters!$E$263</definedName>
    <definedName name="stussal56">[7]Parameters!$E$264</definedName>
    <definedName name="stussal57">[7]Parameters!$E$265</definedName>
    <definedName name="stussal58">[7]Parameters!$E$266</definedName>
    <definedName name="stussal59">[7]Parameters!$E$267</definedName>
    <definedName name="stussal60">[7]Parameters!$E$268</definedName>
    <definedName name="stussal61">[7]Parameters!$E$269</definedName>
    <definedName name="stussal62">[7]Parameters!$E$270</definedName>
    <definedName name="stussal63">[7]Parameters!$E$271</definedName>
    <definedName name="stussal64">[7]Parameters!$E$272</definedName>
    <definedName name="stussal65">[7]Parameters!$E$273</definedName>
    <definedName name="stussal66">[7]Parameters!$E$274</definedName>
    <definedName name="stussal67">[7]Parameters!$E$275</definedName>
    <definedName name="stussal68">[7]Parameters!$E$276</definedName>
    <definedName name="stussal69">[7]Parameters!$E$277</definedName>
    <definedName name="stussal70">[7]Parameters!$E$278</definedName>
    <definedName name="stussal71">[7]Parameters!$E$279</definedName>
    <definedName name="stussal72">[7]Parameters!$E$280</definedName>
    <definedName name="stussal73">[7]Parameters!$E$281</definedName>
    <definedName name="stussal74">[7]Parameters!$E$282</definedName>
    <definedName name="stussal75">[7]Parameters!$E$283</definedName>
    <definedName name="Sub">[10]RATES!#REF!</definedName>
    <definedName name="sub10fee">[7]Parameters!$V$497</definedName>
    <definedName name="sub10fringeexp">[7]Parameters!$V$486</definedName>
    <definedName name="sub10fringeloc">[7]Parameters!$V$487</definedName>
    <definedName name="sub10ga">[7]Parameters!$V$494</definedName>
    <definedName name="sub10ohfo">[7]Parameters!$V$491</definedName>
    <definedName name="sub1name">[7]Parameters!$B$17</definedName>
    <definedName name="sub2name">[7]Parameters!$B$18</definedName>
    <definedName name="sub3name">[7]Parameters!$B$19</definedName>
    <definedName name="sub4name">[7]Parameters!$B$20</definedName>
    <definedName name="sub5name">[7]Parameters!$B$21</definedName>
    <definedName name="SUBCONTRACOR_IDs">#REF!</definedName>
    <definedName name="subcontractor">#REF!</definedName>
    <definedName name="subfee">#REF!</definedName>
    <definedName name="subho">[7]Parameters!$A$455</definedName>
    <definedName name="subho1">[7]Parameters!$A$457</definedName>
    <definedName name="subho10">[7]Parameters!$A$466</definedName>
    <definedName name="subho10co">[7]Parameters!$G$466</definedName>
    <definedName name="subho10name">[7]Parameters!$C$466</definedName>
    <definedName name="subho10sal1">[7]Parameters!$E$466</definedName>
    <definedName name="subho1co">[7]Parameters!$G$457</definedName>
    <definedName name="subho1name">[7]Parameters!$C$457</definedName>
    <definedName name="subho1sal1">[7]Parameters!$E$457</definedName>
    <definedName name="subho2">[7]Parameters!$A$458</definedName>
    <definedName name="subho2co">[7]Parameters!$G$458</definedName>
    <definedName name="subho2name">[7]Parameters!$C$458</definedName>
    <definedName name="subho2sal1">[7]Parameters!$E$458</definedName>
    <definedName name="subho3">[7]Parameters!$A$459</definedName>
    <definedName name="subho3co">[7]Parameters!$G$459</definedName>
    <definedName name="subho3name">[7]Parameters!$C$459</definedName>
    <definedName name="subho3sal1">[7]Parameters!$E$459</definedName>
    <definedName name="subho4">[7]Parameters!$A$460</definedName>
    <definedName name="subho4co">[7]Parameters!$G$460</definedName>
    <definedName name="subho4name">[7]Parameters!$C$460</definedName>
    <definedName name="subho4sal1">[7]Parameters!$E$460</definedName>
    <definedName name="subho5">[7]Parameters!$A$461</definedName>
    <definedName name="subho5co">[7]Parameters!$G$461</definedName>
    <definedName name="subho5name">[7]Parameters!$C$461</definedName>
    <definedName name="subho5sal1">[7]Parameters!$E$461</definedName>
    <definedName name="subho6">[7]Parameters!$A$462</definedName>
    <definedName name="subho6co">[7]Parameters!$G$462</definedName>
    <definedName name="subho6name">[7]Parameters!$C$462</definedName>
    <definedName name="subho6sal1">[7]Parameters!$E$462</definedName>
    <definedName name="subho7">[7]Parameters!$A$463</definedName>
    <definedName name="subho7co">[7]Parameters!$G$463</definedName>
    <definedName name="subho7name">[7]Parameters!$C$463</definedName>
    <definedName name="subho7sal1">[7]Parameters!$E$463</definedName>
    <definedName name="subho8">[7]Parameters!$A$464</definedName>
    <definedName name="subho8co">[7]Parameters!$G$464</definedName>
    <definedName name="subho8name">[7]Parameters!$C$464</definedName>
    <definedName name="subho8sal1">[7]Parameters!$E$464</definedName>
    <definedName name="subho9">[7]Parameters!$A$465</definedName>
    <definedName name="subho9co">[7]Parameters!$G$465</definedName>
    <definedName name="subho9name">[7]Parameters!$C$465</definedName>
    <definedName name="subho9sal1">[7]Parameters!$E$465</definedName>
    <definedName name="subhojob1">[7]Parameters!$I$457</definedName>
    <definedName name="subhojob10">[7]Parameters!$I$466</definedName>
    <definedName name="subhojob2">[7]Parameters!$I$458</definedName>
    <definedName name="subhojob3">[7]Parameters!$I$459</definedName>
    <definedName name="subhojob4">[7]Parameters!$I$460</definedName>
    <definedName name="subhojob5">[7]Parameters!$I$461</definedName>
    <definedName name="subhojob6">[7]Parameters!$I$462</definedName>
    <definedName name="subhojob7">[7]Parameters!$I$463</definedName>
    <definedName name="subhojob8">[7]Parameters!$I$464</definedName>
    <definedName name="subhojob9">[7]Parameters!$I$465</definedName>
    <definedName name="submulti">1.09*1.12</definedName>
    <definedName name="subname10">[7]Parameters!$B$26</definedName>
    <definedName name="subname11">[7]Parameters!$B$27</definedName>
    <definedName name="subname12">[7]Parameters!$B$28</definedName>
    <definedName name="subname13">[7]Parameters!$B$29</definedName>
    <definedName name="subname14">[7]Parameters!$B$30</definedName>
    <definedName name="subname15">[7]Parameters!$B$31</definedName>
    <definedName name="subname6">[7]Parameters!$B$22</definedName>
    <definedName name="subname7">[7]Parameters!$B$23</definedName>
    <definedName name="subname8">[7]Parameters!$B$24</definedName>
    <definedName name="subname9">[7]Parameters!$B$25</definedName>
    <definedName name="SUMMARY">#REF!</definedName>
    <definedName name="SUMSHELL">#REF!</definedName>
    <definedName name="SV">[43]Sheet1!$M$3:$M$8</definedName>
    <definedName name="tcn">[7]Parameters!$A$115</definedName>
    <definedName name="TCN_CCN">#REF!</definedName>
    <definedName name="TCN_Fringe">#REF!</definedName>
    <definedName name="tcn10co">[7]Parameters!$G$126</definedName>
    <definedName name="tcn10name">[7]Parameters!$C$126</definedName>
    <definedName name="tcn10sal1">[7]Parameters!$E$126</definedName>
    <definedName name="tcn1co">[7]Parameters!$G$117</definedName>
    <definedName name="tcn1name">[7]Parameters!$C$117</definedName>
    <definedName name="tcn1sal1">[7]Parameters!$E$117</definedName>
    <definedName name="tcn2co">[7]Parameters!$G$118</definedName>
    <definedName name="tcn2name">[7]Parameters!$C$118</definedName>
    <definedName name="tcn2sal1">[7]Parameters!$E$118</definedName>
    <definedName name="tcn3co">[7]Parameters!$G$119</definedName>
    <definedName name="tcn3name">[7]Parameters!$C$119</definedName>
    <definedName name="tcn3sal1">[7]Parameters!$E$119</definedName>
    <definedName name="tcn4co">[7]Parameters!$G$120</definedName>
    <definedName name="tcn4name">[7]Parameters!$C$120</definedName>
    <definedName name="tcn4sal1">[7]Parameters!$E$120</definedName>
    <definedName name="tcn5co">[7]Parameters!$G$121</definedName>
    <definedName name="tcn5name">[7]Parameters!$C$121</definedName>
    <definedName name="tcn5sal1">[7]Parameters!$E$121</definedName>
    <definedName name="tcn6co">[7]Parameters!$G$122</definedName>
    <definedName name="tcn6name">[7]Parameters!$C$122</definedName>
    <definedName name="tcn6sal1">[7]Parameters!$E$122</definedName>
    <definedName name="tcn7co">[7]Parameters!$G$123</definedName>
    <definedName name="tcn7name">[7]Parameters!$C$123</definedName>
    <definedName name="tcn7sal1">[7]Parameters!$E$123</definedName>
    <definedName name="tcn8co">[7]Parameters!$G$124</definedName>
    <definedName name="tcn8name">[7]Parameters!$C$124</definedName>
    <definedName name="tcn8sal1">[7]Parameters!$E$124</definedName>
    <definedName name="tcn9co">[7]Parameters!$G$125</definedName>
    <definedName name="tcn9name">[7]Parameters!$C$125</definedName>
    <definedName name="tcn9sal1">[7]Parameters!$E$125</definedName>
    <definedName name="TCNCCNSTTA_DaysYr1">'[44]B. Local Hire and TCNs'!$I$20</definedName>
    <definedName name="TCNCCNSTTA_DaysYr2">'[44]B. Local Hire and TCNs'!$K$20</definedName>
    <definedName name="TCNCCNSTTA_DaysYr3">'[44]B. Local Hire and TCNs'!$M$20</definedName>
    <definedName name="TCNCCNSTTA_DaysYr4">'[44]B. Local Hire and TCNs'!$O$20</definedName>
    <definedName name="TCNCCNSTTA_DaysYr5">'[44]B. Local Hire and TCNs'!$Q$20</definedName>
    <definedName name="tcnjob1">[7]Parameters!$I$117</definedName>
    <definedName name="tcnjob10">[7]Parameters!$I$126</definedName>
    <definedName name="tcnjob2">[7]Parameters!$I$118</definedName>
    <definedName name="tcnjob3">[7]Parameters!$I$119</definedName>
    <definedName name="tcnjob4">[7]Parameters!$I$120</definedName>
    <definedName name="tcnjob5">[7]Parameters!$I$121</definedName>
    <definedName name="tcnjob6">[7]Parameters!$I$122</definedName>
    <definedName name="tcnjob7">[7]Parameters!$I$123</definedName>
    <definedName name="tcnjob8">[7]Parameters!$I$124</definedName>
    <definedName name="tcnjob9">[7]Parameters!$I$125</definedName>
    <definedName name="Telephone">#REF!</definedName>
    <definedName name="Temp" localSheetId="4" hidden="1">{#N/A,#N/A,FALSE,"ManLoading"}</definedName>
    <definedName name="Temp" localSheetId="5" hidden="1">{#N/A,#N/A,FALSE,"ManLoading"}</definedName>
    <definedName name="Temp" localSheetId="6" hidden="1">{#N/A,#N/A,FALSE,"ManLoading"}</definedName>
    <definedName name="Temp" localSheetId="8" hidden="1">{#N/A,#N/A,FALSE,"ManLoading"}</definedName>
    <definedName name="Temp" localSheetId="3" hidden="1">{#N/A,#N/A,FALSE,"ManLoading"}</definedName>
    <definedName name="Temp" localSheetId="1" hidden="1">{#N/A,#N/A,FALSE,"ManLoading"}</definedName>
    <definedName name="Temp" hidden="1">{#N/A,#N/A,FALSE,"ManLoading"}</definedName>
    <definedName name="Test">#REF!</definedName>
    <definedName name="Title">[12]Sheet1!$C$15</definedName>
    <definedName name="TOPA">'[45]SF 1411'!#REF!</definedName>
    <definedName name="topost">[5]Parameters!$D$23</definedName>
    <definedName name="totonicapan">#REF!</definedName>
    <definedName name="Trade11">[10]RATES!#REF!</definedName>
    <definedName name="Trade12">[10]RATES!#REF!</definedName>
    <definedName name="Trade13">[10]RATES!#REF!</definedName>
    <definedName name="Trade41">[10]RATES!#REF!</definedName>
    <definedName name="Trade42">[10]RATES!#REF!</definedName>
    <definedName name="Trade43">[10]RATES!#REF!</definedName>
    <definedName name="Trade51">[10]RATES!#REF!</definedName>
    <definedName name="Trade52">[10]RATES!#REF!</definedName>
    <definedName name="Trade53">[10]RATES!#REF!</definedName>
    <definedName name="Transit">#REF!</definedName>
    <definedName name="TRAVEL">#REF!</definedName>
    <definedName name="traveldays">[16]Assumptions!$D$28</definedName>
    <definedName name="TRG">#N/A</definedName>
    <definedName name="TRIPS">#N/A</definedName>
    <definedName name="TRM">#REF!</definedName>
    <definedName name="trsty" localSheetId="4" hidden="1">{"PAGE1",#N/A,FALSE,"CPFFMSTR";"PAGE2",#N/A,FALSE,"CPFFMSTR"}</definedName>
    <definedName name="trsty" localSheetId="5" hidden="1">{"PAGE1",#N/A,FALSE,"CPFFMSTR";"PAGE2",#N/A,FALSE,"CPFFMSTR"}</definedName>
    <definedName name="trsty" localSheetId="6" hidden="1">{"PAGE1",#N/A,FALSE,"CPFFMSTR";"PAGE2",#N/A,FALSE,"CPFFMSTR"}</definedName>
    <definedName name="trsty" localSheetId="8" hidden="1">{"PAGE1",#N/A,FALSE,"CPFFMSTR";"PAGE2",#N/A,FALSE,"CPFFMSTR"}</definedName>
    <definedName name="trsty" localSheetId="3" hidden="1">{"PAGE1",#N/A,FALSE,"CPFFMSTR";"PAGE2",#N/A,FALSE,"CPFFMSTR"}</definedName>
    <definedName name="trsty" localSheetId="1" hidden="1">{"PAGE1",#N/A,FALSE,"CPFFMSTR";"PAGE2",#N/A,FALSE,"CPFFMSTR"}</definedName>
    <definedName name="trsty" hidden="1">{"PAGE1",#N/A,FALSE,"CPFFMSTR";"PAGE2",#N/A,FALSE,"CPFFMSTR"}</definedName>
    <definedName name="Tulaneclin1">#REF!</definedName>
    <definedName name="tulaneclin2">#REF!</definedName>
    <definedName name="tulaneclin3">#REF!</definedName>
    <definedName name="UFFVA">#N/A</definedName>
    <definedName name="ULAB">#N/A</definedName>
    <definedName name="UNITS">#REF!</definedName>
    <definedName name="Unsure" localSheetId="4" hidden="1">{#N/A,#N/A,FALSE,"ManLoading"}</definedName>
    <definedName name="Unsure" localSheetId="5" hidden="1">{#N/A,#N/A,FALSE,"ManLoading"}</definedName>
    <definedName name="Unsure" localSheetId="6" hidden="1">{#N/A,#N/A,FALSE,"ManLoading"}</definedName>
    <definedName name="Unsure" localSheetId="8" hidden="1">{#N/A,#N/A,FALSE,"ManLoading"}</definedName>
    <definedName name="Unsure" localSheetId="3" hidden="1">{#N/A,#N/A,FALSE,"ManLoading"}</definedName>
    <definedName name="Unsure" hidden="1">{#N/A,#N/A,FALSE,"ManLoading"}</definedName>
    <definedName name="UODC">#N/A</definedName>
    <definedName name="us">[7]Parameters!$A$37</definedName>
    <definedName name="us10co">[7]Parameters!$G$48</definedName>
    <definedName name="us10name">[7]Parameters!$C$48</definedName>
    <definedName name="us10sal1">[7]Parameters!$E$48</definedName>
    <definedName name="us1co">[7]Parameters!$G$39</definedName>
    <definedName name="us1name">[7]Parameters!$C$39</definedName>
    <definedName name="us1sal1">[7]Parameters!$E$39</definedName>
    <definedName name="us2co">[7]Parameters!$G$40</definedName>
    <definedName name="us2name">[7]Parameters!$C$40</definedName>
    <definedName name="us2sal1">[7]Parameters!$E$40</definedName>
    <definedName name="us3co">[7]Parameters!$G$41</definedName>
    <definedName name="us3name">[7]Parameters!$C$41</definedName>
    <definedName name="us3sal1">[7]Parameters!$E$41</definedName>
    <definedName name="us4co">[7]Parameters!$G$42</definedName>
    <definedName name="us4name">[7]Parameters!$C$42</definedName>
    <definedName name="us4sal1">[7]Parameters!$E$42</definedName>
    <definedName name="us5co">[7]Parameters!$G$43</definedName>
    <definedName name="us5name">[7]Parameters!$C$43</definedName>
    <definedName name="us5sal1">[7]Parameters!$E$43</definedName>
    <definedName name="us6co">[7]Parameters!$G$44</definedName>
    <definedName name="us6name">[7]Parameters!$C$44</definedName>
    <definedName name="us6sal1">[7]Parameters!$E$44</definedName>
    <definedName name="us7co">[7]Parameters!$G$45</definedName>
    <definedName name="us7name">[7]Parameters!$C$45</definedName>
    <definedName name="us7sal1">[7]Parameters!$E$45</definedName>
    <definedName name="us8co">[7]Parameters!$G$46</definedName>
    <definedName name="us8name">[7]Parameters!$C$46</definedName>
    <definedName name="us8sal1">[7]Parameters!$E$46</definedName>
    <definedName name="us9co">[7]Parameters!$G$47</definedName>
    <definedName name="us9name">[7]Parameters!$C$47</definedName>
    <definedName name="us9sal1">[7]Parameters!$E$47</definedName>
    <definedName name="usco11">[7]Parameters!$G$49</definedName>
    <definedName name="usco12">[7]Parameters!$G$50</definedName>
    <definedName name="usco13">[7]Parameters!$G$51</definedName>
    <definedName name="usco14">[7]Parameters!$G$52</definedName>
    <definedName name="usco15">[7]Parameters!$G$53</definedName>
    <definedName name="usco16">[7]Parameters!$G$54</definedName>
    <definedName name="usco17">[7]Parameters!$G$55</definedName>
    <definedName name="usco18">[7]Parameters!$G$56</definedName>
    <definedName name="usco19">[7]Parameters!$G$57</definedName>
    <definedName name="usco20">[7]Parameters!$G$58</definedName>
    <definedName name="usco21">[7]Parameters!$G$59</definedName>
    <definedName name="usco22">[7]Parameters!$G$60</definedName>
    <definedName name="usco23">[7]Parameters!$G$61</definedName>
    <definedName name="usco24">[7]Parameters!$G$62</definedName>
    <definedName name="usco25">[7]Parameters!$G$63</definedName>
    <definedName name="usco26">[7]Parameters!$G$64</definedName>
    <definedName name="usco27">[7]Parameters!$G$65</definedName>
    <definedName name="usco28">[7]Parameters!$G$66</definedName>
    <definedName name="usco29">[7]Parameters!$G$67</definedName>
    <definedName name="usco30">[7]Parameters!$G$68</definedName>
    <definedName name="usco31">[7]Parameters!$G$69</definedName>
    <definedName name="usco32">[7]Parameters!$G$70</definedName>
    <definedName name="usco33">[7]Parameters!$G$71</definedName>
    <definedName name="usco34">[7]Parameters!$G$72</definedName>
    <definedName name="usco35">[7]Parameters!$G$73</definedName>
    <definedName name="usco36">[7]Parameters!$G$74</definedName>
    <definedName name="usco37">[7]Parameters!$G$75</definedName>
    <definedName name="usco38">[7]Parameters!$G$76</definedName>
    <definedName name="usco39">[7]Parameters!$G$77</definedName>
    <definedName name="usco40">[7]Parameters!$G$78</definedName>
    <definedName name="usco41">[7]Parameters!$G$79</definedName>
    <definedName name="usco42">[7]Parameters!$G$80</definedName>
    <definedName name="usco43">[7]Parameters!$G$81</definedName>
    <definedName name="usco44">[7]Parameters!$G$82</definedName>
    <definedName name="usco45">[7]Parameters!$G$83</definedName>
    <definedName name="usco46">[7]Parameters!$G$84</definedName>
    <definedName name="usco47">[7]Parameters!$G$85</definedName>
    <definedName name="usco48">[7]Parameters!$G$86</definedName>
    <definedName name="usco49">[7]Parameters!$G$87</definedName>
    <definedName name="usco50">[7]Parameters!$G$88</definedName>
    <definedName name="usco51">[7]Parameters!$G$89</definedName>
    <definedName name="usco52">[7]Parameters!$G$90</definedName>
    <definedName name="usco53">[7]Parameters!$G$91</definedName>
    <definedName name="usco54">[7]Parameters!$G$92</definedName>
    <definedName name="usco55">[7]Parameters!$G$93</definedName>
    <definedName name="usco56">[7]Parameters!$G$94</definedName>
    <definedName name="usco57">[7]Parameters!$G$95</definedName>
    <definedName name="usco58">[7]Parameters!$G$96</definedName>
    <definedName name="usco59">[7]Parameters!$G$97</definedName>
    <definedName name="usco60">[7]Parameters!$G$98</definedName>
    <definedName name="usco61">[7]Parameters!$G$99</definedName>
    <definedName name="usco62">[7]Parameters!$G$100</definedName>
    <definedName name="usco63">[7]Parameters!$G$101</definedName>
    <definedName name="usco64">[7]Parameters!$G$102</definedName>
    <definedName name="usco65">[7]Parameters!$G$103</definedName>
    <definedName name="usco66">[7]Parameters!$G$104</definedName>
    <definedName name="usco67">[7]Parameters!$G$105</definedName>
    <definedName name="usco68">[7]Parameters!$G$106</definedName>
    <definedName name="usco69">[7]Parameters!$G$107</definedName>
    <definedName name="usco70">[7]Parameters!$G$108</definedName>
    <definedName name="usco71">[7]Parameters!$G$109</definedName>
    <definedName name="usco72">[7]Parameters!$G$110</definedName>
    <definedName name="usco73">[7]Parameters!$G$111</definedName>
    <definedName name="usco74">[7]Parameters!$G$112</definedName>
    <definedName name="usco75">[7]Parameters!$G$113</definedName>
    <definedName name="usd">#REF!</definedName>
    <definedName name="usinf">0.035</definedName>
    <definedName name="usjob1">[7]Parameters!$I$39</definedName>
    <definedName name="usjob10">[7]Parameters!$I$48</definedName>
    <definedName name="usjob11">[7]Parameters!$I$49</definedName>
    <definedName name="usjob12">[7]Parameters!$I$50</definedName>
    <definedName name="usjob13">[7]Parameters!$I$51</definedName>
    <definedName name="usjob14">[7]Parameters!$I$52</definedName>
    <definedName name="usjob15">[7]Parameters!$I$53</definedName>
    <definedName name="usjob16">[7]Parameters!$I$54</definedName>
    <definedName name="usjob17">[7]Parameters!$I$55</definedName>
    <definedName name="usjob18">[7]Parameters!$I$56</definedName>
    <definedName name="usjob19">[7]Parameters!$I$57</definedName>
    <definedName name="usjob2">[7]Parameters!$I$40</definedName>
    <definedName name="usjob20">[7]Parameters!$I$58</definedName>
    <definedName name="usjob21">[7]Parameters!$I$59</definedName>
    <definedName name="usjob22">[7]Parameters!$I$60</definedName>
    <definedName name="usjob23">[7]Parameters!$I$61</definedName>
    <definedName name="usjob24">[7]Parameters!$I$62</definedName>
    <definedName name="usjob25">[7]Parameters!$I$63</definedName>
    <definedName name="usjob26">[7]Parameters!$I$64</definedName>
    <definedName name="usjob27">[7]Parameters!$I$65</definedName>
    <definedName name="usjob28">[7]Parameters!$I$66</definedName>
    <definedName name="usjob29">[7]Parameters!$I$67</definedName>
    <definedName name="usjob3">[7]Parameters!$I$41</definedName>
    <definedName name="usjob30">[7]Parameters!$I$68</definedName>
    <definedName name="usjob31">[7]Parameters!$I$69</definedName>
    <definedName name="usjob32">[7]Parameters!$I$70</definedName>
    <definedName name="usjob33">[7]Parameters!$I$71</definedName>
    <definedName name="usjob34">[7]Parameters!$I$72</definedName>
    <definedName name="usjob35">[7]Parameters!$I$73</definedName>
    <definedName name="usjob36">[7]Parameters!$I$74</definedName>
    <definedName name="usjob37">[7]Parameters!$I$75</definedName>
    <definedName name="usjob38">[7]Parameters!$I$76</definedName>
    <definedName name="usjob39">[7]Parameters!$I$77</definedName>
    <definedName name="usjob4">[7]Parameters!$I$42</definedName>
    <definedName name="usjob40">[7]Parameters!$I$78</definedName>
    <definedName name="usjob41">[7]Parameters!$I$79</definedName>
    <definedName name="usjob42">[7]Parameters!$I$80</definedName>
    <definedName name="usjob43">[7]Parameters!$I$81</definedName>
    <definedName name="usjob44">[7]Parameters!$I$82</definedName>
    <definedName name="usjob45">[7]Parameters!$I$83</definedName>
    <definedName name="usjob46">[7]Parameters!$I$84</definedName>
    <definedName name="usjob47">[7]Parameters!$I$85</definedName>
    <definedName name="usjob48">[7]Parameters!$I$86</definedName>
    <definedName name="usjob49">[7]Parameters!$I$87</definedName>
    <definedName name="usjob5">[7]Parameters!$I$43</definedName>
    <definedName name="usjob50">[7]Parameters!$I$88</definedName>
    <definedName name="usjob51">[7]Parameters!$I$89</definedName>
    <definedName name="usjob52">[7]Parameters!$I$90</definedName>
    <definedName name="usjob53">[7]Parameters!$I$91</definedName>
    <definedName name="usjob54">[7]Parameters!$I$92</definedName>
    <definedName name="usjob55">[7]Parameters!$I$93</definedName>
    <definedName name="usjob56">[7]Parameters!$I$94</definedName>
    <definedName name="usjob57">[7]Parameters!$I$95</definedName>
    <definedName name="usjob58">[7]Parameters!$I$96</definedName>
    <definedName name="usjob59">[7]Parameters!$I$97</definedName>
    <definedName name="usjob6">[7]Parameters!$I$44</definedName>
    <definedName name="usjob60">[7]Parameters!$I$98</definedName>
    <definedName name="usjob61">[7]Parameters!$I$99</definedName>
    <definedName name="usjob62">[7]Parameters!$I$100</definedName>
    <definedName name="usjob63">[7]Parameters!$I$101</definedName>
    <definedName name="usjob64">[7]Parameters!$I$102</definedName>
    <definedName name="usjob65">[7]Parameters!$I$103</definedName>
    <definedName name="usjob66">[7]Parameters!$I$104</definedName>
    <definedName name="usjob67">[7]Parameters!$I$105</definedName>
    <definedName name="usjob68">[7]Parameters!$I$106</definedName>
    <definedName name="usjob69">[7]Parameters!$I$107</definedName>
    <definedName name="usjob7">[7]Parameters!$I$45</definedName>
    <definedName name="usjob70">[7]Parameters!$I$108</definedName>
    <definedName name="usjob71">[7]Parameters!$I$109</definedName>
    <definedName name="usjob72">[7]Parameters!$I$110</definedName>
    <definedName name="usjob73">[7]Parameters!$I$111</definedName>
    <definedName name="usjob74">[7]Parameters!$I$112</definedName>
    <definedName name="usjob75">[7]Parameters!$I$113</definedName>
    <definedName name="usjob8">[7]Parameters!$I$46</definedName>
    <definedName name="usjob9">[7]Parameters!$I$47</definedName>
    <definedName name="usname11">[7]Parameters!$C$49</definedName>
    <definedName name="usname12">[7]Parameters!$C$50</definedName>
    <definedName name="usname13">[7]Parameters!$C$51</definedName>
    <definedName name="usname14">[7]Parameters!$C$52</definedName>
    <definedName name="usname15">[7]Parameters!$C$53</definedName>
    <definedName name="usname16">[7]Parameters!$C$54</definedName>
    <definedName name="usname17">[7]Parameters!$C$55</definedName>
    <definedName name="usname18">[7]Parameters!$C$56</definedName>
    <definedName name="usname19">[7]Parameters!$C$57</definedName>
    <definedName name="usname20">[7]Parameters!$C$58</definedName>
    <definedName name="usname21">[7]Parameters!$C$59</definedName>
    <definedName name="usname22">[7]Parameters!$C$60</definedName>
    <definedName name="usname23">[7]Parameters!$C$61</definedName>
    <definedName name="usname24">[7]Parameters!$C$62</definedName>
    <definedName name="usname25">[7]Parameters!$C$63</definedName>
    <definedName name="usname26">[7]Parameters!$C$64</definedName>
    <definedName name="usname27">[7]Parameters!$C$65</definedName>
    <definedName name="usname28">[7]Parameters!$C$66</definedName>
    <definedName name="usname29">[7]Parameters!$C$67</definedName>
    <definedName name="usname30">[7]Parameters!$C$68</definedName>
    <definedName name="usname31">[7]Parameters!$C$69</definedName>
    <definedName name="usname32">[7]Parameters!$C$70</definedName>
    <definedName name="usname33">[7]Parameters!$C$71</definedName>
    <definedName name="usname34">[7]Parameters!$C$72</definedName>
    <definedName name="usname35">[7]Parameters!$C$73</definedName>
    <definedName name="usname36">[7]Parameters!$C$74</definedName>
    <definedName name="usname37">[7]Parameters!$C$75</definedName>
    <definedName name="usname38">[7]Parameters!$C$76</definedName>
    <definedName name="usname39">[7]Parameters!$C$77</definedName>
    <definedName name="usname40">[7]Parameters!$C$78</definedName>
    <definedName name="usname41">[7]Parameters!$C$79</definedName>
    <definedName name="usname42">[7]Parameters!$C$80</definedName>
    <definedName name="usname43">[7]Parameters!$C$81</definedName>
    <definedName name="usname44">[7]Parameters!$C$82</definedName>
    <definedName name="usname45">[7]Parameters!$C$83</definedName>
    <definedName name="usname46">[7]Parameters!$C$84</definedName>
    <definedName name="usname47">[7]Parameters!$C$85</definedName>
    <definedName name="usname48">[7]Parameters!$C$86</definedName>
    <definedName name="usname49">[7]Parameters!$C$87</definedName>
    <definedName name="usname50">[7]Parameters!$C$88</definedName>
    <definedName name="usname51">[7]Parameters!$C$89</definedName>
    <definedName name="usname52">[7]Parameters!$C$90</definedName>
    <definedName name="usname53">[7]Parameters!$C$91</definedName>
    <definedName name="usname54">[7]Parameters!$C$92</definedName>
    <definedName name="usname55">[7]Parameters!$C$93</definedName>
    <definedName name="usname56">[7]Parameters!$C$94</definedName>
    <definedName name="usname57">[7]Parameters!$C$95</definedName>
    <definedName name="usname58">[7]Parameters!$C$96</definedName>
    <definedName name="usname59">[7]Parameters!$C$97</definedName>
    <definedName name="usname60">[7]Parameters!$C$98</definedName>
    <definedName name="usname61">[7]Parameters!$C$99</definedName>
    <definedName name="usname62">[7]Parameters!$C$100</definedName>
    <definedName name="usname63">[7]Parameters!$C$101</definedName>
    <definedName name="usname64">[7]Parameters!$C$102</definedName>
    <definedName name="usname65">[7]Parameters!$C$103</definedName>
    <definedName name="usname66">[7]Parameters!$C$104</definedName>
    <definedName name="usname67">[7]Parameters!$C$105</definedName>
    <definedName name="usname68">[7]Parameters!$C$106</definedName>
    <definedName name="usname69">[7]Parameters!$C$107</definedName>
    <definedName name="usname70">[7]Parameters!$C$108</definedName>
    <definedName name="usname71">[7]Parameters!$C$109</definedName>
    <definedName name="usname72">[7]Parameters!$C$110</definedName>
    <definedName name="usname73">[7]Parameters!$C$111</definedName>
    <definedName name="usname74">[7]Parameters!$C$112</definedName>
    <definedName name="usname75">[7]Parameters!$C$113</definedName>
    <definedName name="USperdiem">[16]Assumptions!$D$29</definedName>
    <definedName name="ussal11">[7]Parameters!$E$49</definedName>
    <definedName name="ussal12">[7]Parameters!$E$50</definedName>
    <definedName name="ussal13">[7]Parameters!$E$51</definedName>
    <definedName name="ussal14">[7]Parameters!$E$52</definedName>
    <definedName name="ussal15">[7]Parameters!$E$53</definedName>
    <definedName name="ussal16">[7]Parameters!$E$54</definedName>
    <definedName name="ussal17">[7]Parameters!$E$55</definedName>
    <definedName name="ussal18">[7]Parameters!$E$56</definedName>
    <definedName name="ussal19">[7]Parameters!$E$57</definedName>
    <definedName name="ussal20">[7]Parameters!$E$58</definedName>
    <definedName name="ussal21">[7]Parameters!$E$59</definedName>
    <definedName name="ussal22">[7]Parameters!$E$60</definedName>
    <definedName name="ussal23">[7]Parameters!$E$61</definedName>
    <definedName name="ussal24">[7]Parameters!$E$62</definedName>
    <definedName name="ussal25">[7]Parameters!$E$63</definedName>
    <definedName name="ussal26">[7]Parameters!$E$64</definedName>
    <definedName name="ussal27">[7]Parameters!$E$65</definedName>
    <definedName name="ussal28">[7]Parameters!$E$66</definedName>
    <definedName name="ussal29">[7]Parameters!$E$67</definedName>
    <definedName name="ussal30">[7]Parameters!$E$68</definedName>
    <definedName name="ussal31">[7]Parameters!$E$69</definedName>
    <definedName name="ussal32">[7]Parameters!$E$70</definedName>
    <definedName name="ussal33">[7]Parameters!$E$71</definedName>
    <definedName name="ussal34">[7]Parameters!$E$72</definedName>
    <definedName name="ussal35">[7]Parameters!$E$73</definedName>
    <definedName name="ussal36">[7]Parameters!$E$74</definedName>
    <definedName name="ussal37">[7]Parameters!$E$75</definedName>
    <definedName name="ussal38">[7]Parameters!$E$76</definedName>
    <definedName name="ussal39">[7]Parameters!$E$77</definedName>
    <definedName name="ussal40">[7]Parameters!$E$78</definedName>
    <definedName name="ussal41">[7]Parameters!$E$79</definedName>
    <definedName name="ussal42">[7]Parameters!$E$80</definedName>
    <definedName name="ussal43">[7]Parameters!$E$81</definedName>
    <definedName name="ussal44">[7]Parameters!$E$82</definedName>
    <definedName name="ussal45">[7]Parameters!$E$83</definedName>
    <definedName name="ussal46">[7]Parameters!$E$84</definedName>
    <definedName name="ussal47">[7]Parameters!$E$85</definedName>
    <definedName name="ussal48">[7]Parameters!$E$86</definedName>
    <definedName name="ussal49">[7]Parameters!$E$87</definedName>
    <definedName name="ussal50">[7]Parameters!$E$88</definedName>
    <definedName name="ussal51">[7]Parameters!$E$89</definedName>
    <definedName name="ussal52">[7]Parameters!$E$90</definedName>
    <definedName name="ussal53">[7]Parameters!$E$91</definedName>
    <definedName name="ussal54">[7]Parameters!$E$92</definedName>
    <definedName name="ussal55">[7]Parameters!$E$93</definedName>
    <definedName name="ussal56">[7]Parameters!$E$94</definedName>
    <definedName name="ussal57">[7]Parameters!$E$95</definedName>
    <definedName name="ussal58">[7]Parameters!$E$96</definedName>
    <definedName name="ussal59">[7]Parameters!$E$97</definedName>
    <definedName name="ussal60">[7]Parameters!$E$98</definedName>
    <definedName name="ussal61">[7]Parameters!$E$99</definedName>
    <definedName name="ussal62">[7]Parameters!$E$100</definedName>
    <definedName name="ussal63">[7]Parameters!$E$101</definedName>
    <definedName name="ussal64">[7]Parameters!$E$102</definedName>
    <definedName name="ussal65">[7]Parameters!$E$103</definedName>
    <definedName name="ussal66">[7]Parameters!$E$104</definedName>
    <definedName name="ussal67">[7]Parameters!$E$105</definedName>
    <definedName name="ussal68">[7]Parameters!$E$106</definedName>
    <definedName name="ussal69">[7]Parameters!$E$107</definedName>
    <definedName name="ussal70">[7]Parameters!$E$108</definedName>
    <definedName name="ussal71">[7]Parameters!$E$109</definedName>
    <definedName name="ussal72">[7]Parameters!$E$110</definedName>
    <definedName name="ussal73">[7]Parameters!$E$111</definedName>
    <definedName name="ussal74">[7]Parameters!$E$112</definedName>
    <definedName name="ussal75">[7]Parameters!$E$113</definedName>
    <definedName name="ustaxi">[12]Sheet1!$C$35</definedName>
    <definedName name="UTOT">#N/A</definedName>
    <definedName name="Vc_Days">#REF!</definedName>
    <definedName name="WD">#REF!</definedName>
    <definedName name="WDA">#N/A</definedName>
    <definedName name="WERT" localSheetId="4" hidden="1">{"PAGE1",#N/A,FALSE,"CPFFMSTR";"PAGE2",#N/A,FALSE,"CPFFMSTR"}</definedName>
    <definedName name="WERT" localSheetId="5" hidden="1">{"PAGE1",#N/A,FALSE,"CPFFMSTR";"PAGE2",#N/A,FALSE,"CPFFMSTR"}</definedName>
    <definedName name="WERT" localSheetId="6" hidden="1">{"PAGE1",#N/A,FALSE,"CPFFMSTR";"PAGE2",#N/A,FALSE,"CPFFMSTR"}</definedName>
    <definedName name="WERT" localSheetId="8" hidden="1">{"PAGE1",#N/A,FALSE,"CPFFMSTR";"PAGE2",#N/A,FALSE,"CPFFMSTR"}</definedName>
    <definedName name="WERT" localSheetId="3" hidden="1">{"PAGE1",#N/A,FALSE,"CPFFMSTR";"PAGE2",#N/A,FALSE,"CPFFMSTR"}</definedName>
    <definedName name="WERT" localSheetId="1" hidden="1">{"PAGE1",#N/A,FALSE,"CPFFMSTR";"PAGE2",#N/A,FALSE,"CPFFMSTR"}</definedName>
    <definedName name="WERT" hidden="1">{"PAGE1",#N/A,FALSE,"CPFFMSTR";"PAGE2",#N/A,FALSE,"CPFFMSTR"}</definedName>
    <definedName name="Wk_Days">#REF!</definedName>
    <definedName name="workdaysLT">[7]Parameters!$B$509</definedName>
    <definedName name="workdaysST">[7]Parameters!$B$510</definedName>
    <definedName name="Works">#REF!</definedName>
    <definedName name="WORKSHEET">#REF!</definedName>
    <definedName name="WORTH">#N/A</definedName>
    <definedName name="wrn.ACC_Cars_125K_Co1." localSheetId="4" hidden="1">{"ACC_Cars_125K_PA",#N/A,FALSE,"ACC Cars Co1 125K ";"ACC_Cars_125K_Prop",#N/A,FALSE,"ACC Cars Co1 125K "}</definedName>
    <definedName name="wrn.ACC_Cars_125K_Co1." localSheetId="5" hidden="1">{"ACC_Cars_125K_PA",#N/A,FALSE,"ACC Cars Co1 125K ";"ACC_Cars_125K_Prop",#N/A,FALSE,"ACC Cars Co1 125K "}</definedName>
    <definedName name="wrn.ACC_Cars_125K_Co1." localSheetId="6" hidden="1">{"ACC_Cars_125K_PA",#N/A,FALSE,"ACC Cars Co1 125K ";"ACC_Cars_125K_Prop",#N/A,FALSE,"ACC Cars Co1 125K "}</definedName>
    <definedName name="wrn.ACC_Cars_125K_Co1." localSheetId="8" hidden="1">{"ACC_Cars_125K_PA",#N/A,FALSE,"ACC Cars Co1 125K ";"ACC_Cars_125K_Prop",#N/A,FALSE,"ACC Cars Co1 125K "}</definedName>
    <definedName name="wrn.ACC_Cars_125K_Co1." localSheetId="3" hidden="1">{"ACC_Cars_125K_PA",#N/A,FALSE,"ACC Cars Co1 125K ";"ACC_Cars_125K_Prop",#N/A,FALSE,"ACC Cars Co1 125K "}</definedName>
    <definedName name="wrn.ACC_Cars_125K_Co1." localSheetId="1" hidden="1">{"ACC_Cars_125K_PA",#N/A,FALSE,"ACC Cars Co1 125K ";"ACC_Cars_125K_Prop",#N/A,FALSE,"ACC Cars Co1 125K "}</definedName>
    <definedName name="wrn.ACC_Cars_125K_Co1." hidden="1">{"ACC_Cars_125K_PA",#N/A,FALSE,"ACC Cars Co1 125K ";"ACC_Cars_125K_Prop",#N/A,FALSE,"ACC Cars Co1 125K "}</definedName>
    <definedName name="wrn.ACC_Cars_400K_Co1." localSheetId="4" hidden="1">{"ACC_Cars_400K_PA",#N/A,FALSE,"ACC Cars Co1 400K";"ACC_Cars_400K_Prop",#N/A,FALSE,"ACC Cars Co1 400K"}</definedName>
    <definedName name="wrn.ACC_Cars_400K_Co1." localSheetId="5" hidden="1">{"ACC_Cars_400K_PA",#N/A,FALSE,"ACC Cars Co1 400K";"ACC_Cars_400K_Prop",#N/A,FALSE,"ACC Cars Co1 400K"}</definedName>
    <definedName name="wrn.ACC_Cars_400K_Co1." localSheetId="6" hidden="1">{"ACC_Cars_400K_PA",#N/A,FALSE,"ACC Cars Co1 400K";"ACC_Cars_400K_Prop",#N/A,FALSE,"ACC Cars Co1 400K"}</definedName>
    <definedName name="wrn.ACC_Cars_400K_Co1." localSheetId="8" hidden="1">{"ACC_Cars_400K_PA",#N/A,FALSE,"ACC Cars Co1 400K";"ACC_Cars_400K_Prop",#N/A,FALSE,"ACC Cars Co1 400K"}</definedName>
    <definedName name="wrn.ACC_Cars_400K_Co1." localSheetId="3" hidden="1">{"ACC_Cars_400K_PA",#N/A,FALSE,"ACC Cars Co1 400K";"ACC_Cars_400K_Prop",#N/A,FALSE,"ACC Cars Co1 400K"}</definedName>
    <definedName name="wrn.ACC_Cars_400K_Co1." localSheetId="1" hidden="1">{"ACC_Cars_400K_PA",#N/A,FALSE,"ACC Cars Co1 400K";"ACC_Cars_400K_Prop",#N/A,FALSE,"ACC Cars Co1 400K"}</definedName>
    <definedName name="wrn.ACC_Cars_400K_Co1." hidden="1">{"ACC_Cars_400K_PA",#N/A,FALSE,"ACC Cars Co1 400K";"ACC_Cars_400K_Prop",#N/A,FALSE,"ACC Cars Co1 400K"}</definedName>
    <definedName name="wrn.ACC_Cars_Travel_125K." localSheetId="4" hidden="1">{"PAGE1",#N/A,FALSE,"ACC_CARS Travel 125K";"PAGE2",#N/A,FALSE,"ACC_CARS Travel 125K"}</definedName>
    <definedName name="wrn.ACC_Cars_Travel_125K." localSheetId="5" hidden="1">{"PAGE1",#N/A,FALSE,"ACC_CARS Travel 125K";"PAGE2",#N/A,FALSE,"ACC_CARS Travel 125K"}</definedName>
    <definedName name="wrn.ACC_Cars_Travel_125K." localSheetId="6" hidden="1">{"PAGE1",#N/A,FALSE,"ACC_CARS Travel 125K";"PAGE2",#N/A,FALSE,"ACC_CARS Travel 125K"}</definedName>
    <definedName name="wrn.ACC_Cars_Travel_125K." localSheetId="8" hidden="1">{"PAGE1",#N/A,FALSE,"ACC_CARS Travel 125K";"PAGE2",#N/A,FALSE,"ACC_CARS Travel 125K"}</definedName>
    <definedName name="wrn.ACC_Cars_Travel_125K." localSheetId="3" hidden="1">{"PAGE1",#N/A,FALSE,"ACC_CARS Travel 125K";"PAGE2",#N/A,FALSE,"ACC_CARS Travel 125K"}</definedName>
    <definedName name="wrn.ACC_Cars_Travel_125K." localSheetId="1" hidden="1">{"PAGE1",#N/A,FALSE,"ACC_CARS Travel 125K";"PAGE2",#N/A,FALSE,"ACC_CARS Travel 125K"}</definedName>
    <definedName name="wrn.ACC_Cars_Travel_125K." hidden="1">{"PAGE1",#N/A,FALSE,"ACC_CARS Travel 125K";"PAGE2",#N/A,FALSE,"ACC_CARS Travel 125K"}</definedName>
    <definedName name="wrn.ACC_CARS_Travel_400K." localSheetId="4" hidden="1">{"Page1",#N/A,FALSE,"ACC_CARS Travel 400K";"Page2",#N/A,FALSE,"ACC_CARS Travel 400K"}</definedName>
    <definedName name="wrn.ACC_CARS_Travel_400K." localSheetId="5" hidden="1">{"Page1",#N/A,FALSE,"ACC_CARS Travel 400K";"Page2",#N/A,FALSE,"ACC_CARS Travel 400K"}</definedName>
    <definedName name="wrn.ACC_CARS_Travel_400K." localSheetId="6" hidden="1">{"Page1",#N/A,FALSE,"ACC_CARS Travel 400K";"Page2",#N/A,FALSE,"ACC_CARS Travel 400K"}</definedName>
    <definedName name="wrn.ACC_CARS_Travel_400K." localSheetId="8" hidden="1">{"Page1",#N/A,FALSE,"ACC_CARS Travel 400K";"Page2",#N/A,FALSE,"ACC_CARS Travel 400K"}</definedName>
    <definedName name="wrn.ACC_CARS_Travel_400K." localSheetId="3" hidden="1">{"Page1",#N/A,FALSE,"ACC_CARS Travel 400K";"Page2",#N/A,FALSE,"ACC_CARS Travel 400K"}</definedName>
    <definedName name="wrn.ACC_CARS_Travel_400K." localSheetId="1" hidden="1">{"Page1",#N/A,FALSE,"ACC_CARS Travel 400K";"Page2",#N/A,FALSE,"ACC_CARS Travel 400K"}</definedName>
    <definedName name="wrn.ACC_CARS_Travel_400K." hidden="1">{"Page1",#N/A,FALSE,"ACC_CARS Travel 400K";"Page2",#N/A,FALSE,"ACC_CARS Travel 400K"}</definedName>
    <definedName name="wrn.All._.Grant._.Forms." localSheetId="4" hidden="1">{"Form DD",#N/A,FALSE,"DD";"EE",#N/A,FALSE,"EE";"Indirects",#N/A,FALSE,"DD"}</definedName>
    <definedName name="wrn.All._.Grant._.Forms." localSheetId="5" hidden="1">{"Form DD",#N/A,FALSE,"DD";"EE",#N/A,FALSE,"EE";"Indirects",#N/A,FALSE,"DD"}</definedName>
    <definedName name="wrn.All._.Grant._.Forms." localSheetId="6" hidden="1">{"Form DD",#N/A,FALSE,"DD";"EE",#N/A,FALSE,"EE";"Indirects",#N/A,FALSE,"DD"}</definedName>
    <definedName name="wrn.All._.Grant._.Forms." localSheetId="8" hidden="1">{"Form DD",#N/A,FALSE,"DD";"EE",#N/A,FALSE,"EE";"Indirects",#N/A,FALSE,"DD"}</definedName>
    <definedName name="wrn.All._.Grant._.Forms." localSheetId="3" hidden="1">{"Form DD",#N/A,FALSE,"DD";"EE",#N/A,FALSE,"EE";"Indirects",#N/A,FALSE,"DD"}</definedName>
    <definedName name="wrn.All._.Grant._.Forms." localSheetId="1" hidden="1">{"Form DD",#N/A,FALSE,"DD";"EE",#N/A,FALSE,"EE";"Indirects",#N/A,FALSE,"DD"}</definedName>
    <definedName name="wrn.All._.Grant._.Forms." hidden="1">{"Form DD",#N/A,FALSE,"DD";"EE",#N/A,FALSE,"EE";"Indirects",#N/A,FALSE,"DD"}</definedName>
    <definedName name="wrn.BACKUP." localSheetId="4" hidden="1">{"actuals_1",#N/A,FALSE,"CO 1 YRS";"burden_1",#N/A,FALSE,"CO 1 YRS";"input",#N/A,FALSE,"INPUT"}</definedName>
    <definedName name="wrn.BACKUP." localSheetId="5" hidden="1">{"actuals_1",#N/A,FALSE,"CO 1 YRS";"burden_1",#N/A,FALSE,"CO 1 YRS";"input",#N/A,FALSE,"INPUT"}</definedName>
    <definedName name="wrn.BACKUP." localSheetId="6" hidden="1">{"actuals_1",#N/A,FALSE,"CO 1 YRS";"burden_1",#N/A,FALSE,"CO 1 YRS";"input",#N/A,FALSE,"INPUT"}</definedName>
    <definedName name="wrn.BACKUP." localSheetId="8" hidden="1">{"actuals_1",#N/A,FALSE,"CO 1 YRS";"burden_1",#N/A,FALSE,"CO 1 YRS";"input",#N/A,FALSE,"INPUT"}</definedName>
    <definedName name="wrn.BACKUP." localSheetId="3" hidden="1">{"actuals_1",#N/A,FALSE,"CO 1 YRS";"burden_1",#N/A,FALSE,"CO 1 YRS";"input",#N/A,FALSE,"INPUT"}</definedName>
    <definedName name="wrn.BACKUP." localSheetId="1" hidden="1">{"actuals_1",#N/A,FALSE,"CO 1 YRS";"burden_1",#N/A,FALSE,"CO 1 YRS";"input",#N/A,FALSE,"INPUT"}</definedName>
    <definedName name="wrn.BACKUP." hidden="1">{"actuals_1",#N/A,FALSE,"CO 1 YRS";"burden_1",#N/A,FALSE,"CO 1 YRS";"input",#N/A,FALSE,"INPUT"}</definedName>
    <definedName name="wrn.BTables." localSheetId="4" hidden="1">{#N/A,#N/A,FALSE,"Proposal"}</definedName>
    <definedName name="wrn.BTables." localSheetId="5" hidden="1">{#N/A,#N/A,FALSE,"Proposal"}</definedName>
    <definedName name="wrn.BTables." localSheetId="6" hidden="1">{#N/A,#N/A,FALSE,"Proposal"}</definedName>
    <definedName name="wrn.BTables." localSheetId="8" hidden="1">{#N/A,#N/A,FALSE,"Proposal"}</definedName>
    <definedName name="wrn.BTables." localSheetId="3" hidden="1">{#N/A,#N/A,FALSE,"Proposal"}</definedName>
    <definedName name="wrn.BTables." hidden="1">{#N/A,#N/A,FALSE,"Proposal"}</definedName>
    <definedName name="wrn.CCB_JDISS." localSheetId="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5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6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8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3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1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Dolan_Co1." localSheetId="4" hidden="1">{"DolanCo1_PA",#N/A,FALSE,"Tina Dolan";"DolanCo1_Prop",#N/A,FALSE,"Tina Dolan"}</definedName>
    <definedName name="wrn.Dolan_Co1." localSheetId="5" hidden="1">{"DolanCo1_PA",#N/A,FALSE,"Tina Dolan";"DolanCo1_Prop",#N/A,FALSE,"Tina Dolan"}</definedName>
    <definedName name="wrn.Dolan_Co1." localSheetId="6" hidden="1">{"DolanCo1_PA",#N/A,FALSE,"Tina Dolan";"DolanCo1_Prop",#N/A,FALSE,"Tina Dolan"}</definedName>
    <definedName name="wrn.Dolan_Co1." localSheetId="8" hidden="1">{"DolanCo1_PA",#N/A,FALSE,"Tina Dolan";"DolanCo1_Prop",#N/A,FALSE,"Tina Dolan"}</definedName>
    <definedName name="wrn.Dolan_Co1." localSheetId="3" hidden="1">{"DolanCo1_PA",#N/A,FALSE,"Tina Dolan";"DolanCo1_Prop",#N/A,FALSE,"Tina Dolan"}</definedName>
    <definedName name="wrn.Dolan_Co1." localSheetId="1" hidden="1">{"DolanCo1_PA",#N/A,FALSE,"Tina Dolan";"DolanCo1_Prop",#N/A,FALSE,"Tina Dolan"}</definedName>
    <definedName name="wrn.Dolan_Co1." hidden="1">{"DolanCo1_PA",#N/A,FALSE,"Tina Dolan";"DolanCo1_Prop",#N/A,FALSE,"Tina Dolan"}</definedName>
    <definedName name="wrn.Ebron_350K." localSheetId="4" hidden="1">{"Prop_350K",#N/A,FALSE,"Ebron-350K";"PA_350K",#N/A,FALSE,"Ebron-350K";"Ebron350KTrvl",#N/A,FALSE,"Ebrons Travel 350k"}</definedName>
    <definedName name="wrn.Ebron_350K." localSheetId="5" hidden="1">{"Prop_350K",#N/A,FALSE,"Ebron-350K";"PA_350K",#N/A,FALSE,"Ebron-350K";"Ebron350KTrvl",#N/A,FALSE,"Ebrons Travel 350k"}</definedName>
    <definedName name="wrn.Ebron_350K." localSheetId="6" hidden="1">{"Prop_350K",#N/A,FALSE,"Ebron-350K";"PA_350K",#N/A,FALSE,"Ebron-350K";"Ebron350KTrvl",#N/A,FALSE,"Ebrons Travel 350k"}</definedName>
    <definedName name="wrn.Ebron_350K." localSheetId="8" hidden="1">{"Prop_350K",#N/A,FALSE,"Ebron-350K";"PA_350K",#N/A,FALSE,"Ebron-350K";"Ebron350KTrvl",#N/A,FALSE,"Ebrons Travel 350k"}</definedName>
    <definedName name="wrn.Ebron_350K." localSheetId="3" hidden="1">{"Prop_350K",#N/A,FALSE,"Ebron-350K";"PA_350K",#N/A,FALSE,"Ebron-350K";"Ebron350KTrvl",#N/A,FALSE,"Ebrons Travel 350k"}</definedName>
    <definedName name="wrn.Ebron_350K." localSheetId="1" hidden="1">{"Prop_350K",#N/A,FALSE,"Ebron-350K";"PA_350K",#N/A,FALSE,"Ebron-350K";"Ebron350KTrvl",#N/A,FALSE,"Ebrons Travel 350k"}</definedName>
    <definedName name="wrn.Ebron_350K." hidden="1">{"Prop_350K",#N/A,FALSE,"Ebron-350K";"PA_350K",#N/A,FALSE,"Ebron-350K";"Ebron350KTrvl",#N/A,FALSE,"Ebrons Travel 350k"}</definedName>
    <definedName name="wrn.Ebron_Co1." localSheetId="4" hidden="1">{"EbronCo1_PA",#N/A,FALSE,"Ebrons Task Co1";"EbronCo1_Prop",#N/A,FALSE,"Ebrons Task Co1";"Ebron316KTrvl",#N/A,FALSE,"Ebrons Travel 316k"}</definedName>
    <definedName name="wrn.Ebron_Co1." localSheetId="5" hidden="1">{"EbronCo1_PA",#N/A,FALSE,"Ebrons Task Co1";"EbronCo1_Prop",#N/A,FALSE,"Ebrons Task Co1";"Ebron316KTrvl",#N/A,FALSE,"Ebrons Travel 316k"}</definedName>
    <definedName name="wrn.Ebron_Co1." localSheetId="6" hidden="1">{"EbronCo1_PA",#N/A,FALSE,"Ebrons Task Co1";"EbronCo1_Prop",#N/A,FALSE,"Ebrons Task Co1";"Ebron316KTrvl",#N/A,FALSE,"Ebrons Travel 316k"}</definedName>
    <definedName name="wrn.Ebron_Co1." localSheetId="8" hidden="1">{"EbronCo1_PA",#N/A,FALSE,"Ebrons Task Co1";"EbronCo1_Prop",#N/A,FALSE,"Ebrons Task Co1";"Ebron316KTrvl",#N/A,FALSE,"Ebrons Travel 316k"}</definedName>
    <definedName name="wrn.Ebron_Co1." localSheetId="3" hidden="1">{"EbronCo1_PA",#N/A,FALSE,"Ebrons Task Co1";"EbronCo1_Prop",#N/A,FALSE,"Ebrons Task Co1";"Ebron316KTrvl",#N/A,FALSE,"Ebrons Travel 316k"}</definedName>
    <definedName name="wrn.Ebron_Co1." localSheetId="1" hidden="1">{"EbronCo1_PA",#N/A,FALSE,"Ebrons Task Co1";"EbronCo1_Prop",#N/A,FALSE,"Ebrons Task Co1";"Ebron316KTrvl",#N/A,FALSE,"Ebrons Travel 316k"}</definedName>
    <definedName name="wrn.Ebron_Co1." hidden="1">{"EbronCo1_PA",#N/A,FALSE,"Ebrons Task Co1";"EbronCo1_Prop",#N/A,FALSE,"Ebrons Task Co1";"Ebron316KTrvl",#N/A,FALSE,"Ebrons Travel 316k"}</definedName>
    <definedName name="wrn.Ebron_Co5." localSheetId="4" hidden="1">{"EbronCo5_PA",#N/A,FALSE,"Ebrons Task Co5";"EbronCo5_Prop",#N/A,FALSE,"Ebrons Task Co5"}</definedName>
    <definedName name="wrn.Ebron_Co5." localSheetId="5" hidden="1">{"EbronCo5_PA",#N/A,FALSE,"Ebrons Task Co5";"EbronCo5_Prop",#N/A,FALSE,"Ebrons Task Co5"}</definedName>
    <definedName name="wrn.Ebron_Co5." localSheetId="6" hidden="1">{"EbronCo5_PA",#N/A,FALSE,"Ebrons Task Co5";"EbronCo5_Prop",#N/A,FALSE,"Ebrons Task Co5"}</definedName>
    <definedName name="wrn.Ebron_Co5." localSheetId="8" hidden="1">{"EbronCo5_PA",#N/A,FALSE,"Ebrons Task Co5";"EbronCo5_Prop",#N/A,FALSE,"Ebrons Task Co5"}</definedName>
    <definedName name="wrn.Ebron_Co5." localSheetId="3" hidden="1">{"EbronCo5_PA",#N/A,FALSE,"Ebrons Task Co5";"EbronCo5_Prop",#N/A,FALSE,"Ebrons Task Co5"}</definedName>
    <definedName name="wrn.Ebron_Co5." localSheetId="1" hidden="1">{"EbronCo5_PA",#N/A,FALSE,"Ebrons Task Co5";"EbronCo5_Prop",#N/A,FALSE,"Ebrons Task Co5"}</definedName>
    <definedName name="wrn.Ebron_Co5." hidden="1">{"EbronCo5_PA",#N/A,FALSE,"Ebrons Task Co5";"EbronCo5_Prop",#N/A,FALSE,"Ebrons Task Co5"}</definedName>
    <definedName name="wrn.INVOICE." localSheetId="4" hidden="1">{"SF1034",#N/A,FALSE,"SF1034";"PAGE1",#N/A,FALSE,"SF1035-CO1-PG1";"PAGE2",#N/A,FALSE,"SF1035-CO1-PG2"}</definedName>
    <definedName name="wrn.INVOICE." localSheetId="5" hidden="1">{"SF1034",#N/A,FALSE,"SF1034";"PAGE1",#N/A,FALSE,"SF1035-CO1-PG1";"PAGE2",#N/A,FALSE,"SF1035-CO1-PG2"}</definedName>
    <definedName name="wrn.INVOICE." localSheetId="6" hidden="1">{"SF1034",#N/A,FALSE,"SF1034";"PAGE1",#N/A,FALSE,"SF1035-CO1-PG1";"PAGE2",#N/A,FALSE,"SF1035-CO1-PG2"}</definedName>
    <definedName name="wrn.INVOICE." localSheetId="8" hidden="1">{"SF1034",#N/A,FALSE,"SF1034";"PAGE1",#N/A,FALSE,"SF1035-CO1-PG1";"PAGE2",#N/A,FALSE,"SF1035-CO1-PG2"}</definedName>
    <definedName name="wrn.INVOICE." localSheetId="3" hidden="1">{"SF1034",#N/A,FALSE,"SF1034";"PAGE1",#N/A,FALSE,"SF1035-CO1-PG1";"PAGE2",#N/A,FALSE,"SF1035-CO1-PG2"}</definedName>
    <definedName name="wrn.INVOICE." localSheetId="1" hidden="1">{"SF1034",#N/A,FALSE,"SF1034";"PAGE1",#N/A,FALSE,"SF1035-CO1-PG1";"PAGE2",#N/A,FALSE,"SF1035-CO1-PG2"}</definedName>
    <definedName name="wrn.INVOICE." hidden="1">{"SF1034",#N/A,FALSE,"SF1034";"PAGE1",#N/A,FALSE,"SF1035-CO1-PG1";"PAGE2",#N/A,FALSE,"SF1035-CO1-PG2"}</definedName>
    <definedName name="wrn.JDISS_Co1." localSheetId="4" hidden="1">{"JDISS_Co1",#N/A,FALSE,"JDISS_Co1";"JDISSCo1_PA",#N/A,FALSE,"JDISS_Co1"}</definedName>
    <definedName name="wrn.JDISS_Co1." localSheetId="5" hidden="1">{"JDISS_Co1",#N/A,FALSE,"JDISS_Co1";"JDISSCo1_PA",#N/A,FALSE,"JDISS_Co1"}</definedName>
    <definedName name="wrn.JDISS_Co1." localSheetId="6" hidden="1">{"JDISS_Co1",#N/A,FALSE,"JDISS_Co1";"JDISSCo1_PA",#N/A,FALSE,"JDISS_Co1"}</definedName>
    <definedName name="wrn.JDISS_Co1." localSheetId="8" hidden="1">{"JDISS_Co1",#N/A,FALSE,"JDISS_Co1";"JDISSCo1_PA",#N/A,FALSE,"JDISS_Co1"}</definedName>
    <definedName name="wrn.JDISS_Co1." localSheetId="3" hidden="1">{"JDISS_Co1",#N/A,FALSE,"JDISS_Co1";"JDISSCo1_PA",#N/A,FALSE,"JDISS_Co1"}</definedName>
    <definedName name="wrn.JDISS_Co1." localSheetId="1" hidden="1">{"JDISS_Co1",#N/A,FALSE,"JDISS_Co1";"JDISSCo1_PA",#N/A,FALSE,"JDISS_Co1"}</definedName>
    <definedName name="wrn.JDISS_Co1." hidden="1">{"JDISS_Co1",#N/A,FALSE,"JDISS_Co1";"JDISSCo1_PA",#N/A,FALSE,"JDISS_Co1"}</definedName>
    <definedName name="wrn.Man._.Loading._.Sheet." localSheetId="4" hidden="1">{#N/A,#N/A,FALSE,"ManLoading"}</definedName>
    <definedName name="wrn.Man._.Loading._.Sheet." localSheetId="5" hidden="1">{#N/A,#N/A,FALSE,"ManLoading"}</definedName>
    <definedName name="wrn.Man._.Loading._.Sheet." localSheetId="6" hidden="1">{#N/A,#N/A,FALSE,"ManLoading"}</definedName>
    <definedName name="wrn.Man._.Loading._.Sheet." localSheetId="8" hidden="1">{#N/A,#N/A,FALSE,"ManLoading"}</definedName>
    <definedName name="wrn.Man._.Loading._.Sheet." localSheetId="3" hidden="1">{#N/A,#N/A,FALSE,"ManLoading"}</definedName>
    <definedName name="wrn.Man._.Loading._.Sheet." localSheetId="1" hidden="1">{#N/A,#N/A,FALSE,"ManLoading"}</definedName>
    <definedName name="wrn.Man._.Loading._.Sheet." hidden="1">{#N/A,#N/A,FALSE,"ManLoading"}</definedName>
    <definedName name="wrn.Pearson_Co1." localSheetId="4" hidden="1">{"PearsonCo1_Prop",#N/A,FALSE,"Pearsons Task Co1";"PearsonCo1_PA",#N/A,FALSE,"Pearsons Task Co1"}</definedName>
    <definedName name="wrn.Pearson_Co1." localSheetId="5" hidden="1">{"PearsonCo1_Prop",#N/A,FALSE,"Pearsons Task Co1";"PearsonCo1_PA",#N/A,FALSE,"Pearsons Task Co1"}</definedName>
    <definedName name="wrn.Pearson_Co1." localSheetId="6" hidden="1">{"PearsonCo1_Prop",#N/A,FALSE,"Pearsons Task Co1";"PearsonCo1_PA",#N/A,FALSE,"Pearsons Task Co1"}</definedName>
    <definedName name="wrn.Pearson_Co1." localSheetId="8" hidden="1">{"PearsonCo1_Prop",#N/A,FALSE,"Pearsons Task Co1";"PearsonCo1_PA",#N/A,FALSE,"Pearsons Task Co1"}</definedName>
    <definedName name="wrn.Pearson_Co1." localSheetId="3" hidden="1">{"PearsonCo1_Prop",#N/A,FALSE,"Pearsons Task Co1";"PearsonCo1_PA",#N/A,FALSE,"Pearsons Task Co1"}</definedName>
    <definedName name="wrn.Pearson_Co1." localSheetId="1" hidden="1">{"PearsonCo1_Prop",#N/A,FALSE,"Pearsons Task Co1";"PearsonCo1_PA",#N/A,FALSE,"Pearsons Task Co1"}</definedName>
    <definedName name="wrn.Pearson_Co1." hidden="1">{"PearsonCo1_Prop",#N/A,FALSE,"Pearsons Task Co1";"PearsonCo1_PA",#N/A,FALSE,"Pearsons Task Co1"}</definedName>
    <definedName name="wrn.Pearson_Co5." localSheetId="4" hidden="1">{"PearsonCo5_Prop",#N/A,FALSE,"Pearsons Task Co5";"PearsonCo5_PA",#N/A,FALSE,"Pearsons Task Co5"}</definedName>
    <definedName name="wrn.Pearson_Co5." localSheetId="5" hidden="1">{"PearsonCo5_Prop",#N/A,FALSE,"Pearsons Task Co5";"PearsonCo5_PA",#N/A,FALSE,"Pearsons Task Co5"}</definedName>
    <definedName name="wrn.Pearson_Co5." localSheetId="6" hidden="1">{"PearsonCo5_Prop",#N/A,FALSE,"Pearsons Task Co5";"PearsonCo5_PA",#N/A,FALSE,"Pearsons Task Co5"}</definedName>
    <definedName name="wrn.Pearson_Co5." localSheetId="8" hidden="1">{"PearsonCo5_Prop",#N/A,FALSE,"Pearsons Task Co5";"PearsonCo5_PA",#N/A,FALSE,"Pearsons Task Co5"}</definedName>
    <definedName name="wrn.Pearson_Co5." localSheetId="3" hidden="1">{"PearsonCo5_Prop",#N/A,FALSE,"Pearsons Task Co5";"PearsonCo5_PA",#N/A,FALSE,"Pearsons Task Co5"}</definedName>
    <definedName name="wrn.Pearson_Co5." localSheetId="1" hidden="1">{"PearsonCo5_Prop",#N/A,FALSE,"Pearsons Task Co5";"PearsonCo5_PA",#N/A,FALSE,"Pearsons Task Co5"}</definedName>
    <definedName name="wrn.Pearson_Co5." hidden="1">{"PearsonCo5_Prop",#N/A,FALSE,"Pearsons Task Co5";"PearsonCo5_PA",#N/A,FALSE,"Pearsons Task Co5"}</definedName>
    <definedName name="wrn.price." localSheetId="4" hidden="1">{"PAGE1",#N/A,FALSE,"CPFFMSTR";"PAGE2",#N/A,FALSE,"CPFFMSTR"}</definedName>
    <definedName name="wrn.price." localSheetId="5" hidden="1">{"PAGE1",#N/A,FALSE,"CPFFMSTR";"PAGE2",#N/A,FALSE,"CPFFMSTR"}</definedName>
    <definedName name="wrn.price." localSheetId="6" hidden="1">{"PAGE1",#N/A,FALSE,"CPFFMSTR";"PAGE2",#N/A,FALSE,"CPFFMSTR"}</definedName>
    <definedName name="wrn.price." localSheetId="8" hidden="1">{"PAGE1",#N/A,FALSE,"CPFFMSTR";"PAGE2",#N/A,FALSE,"CPFFMSTR"}</definedName>
    <definedName name="wrn.price." localSheetId="3" hidden="1">{"PAGE1",#N/A,FALSE,"CPFFMSTR";"PAGE2",#N/A,FALSE,"CPFFMSTR"}</definedName>
    <definedName name="wrn.price." localSheetId="1" hidden="1">{"PAGE1",#N/A,FALSE,"CPFFMSTR";"PAGE2",#N/A,FALSE,"CPFFMSTR"}</definedName>
    <definedName name="wrn.price." hidden="1">{"PAGE1",#N/A,FALSE,"CPFFMSTR";"PAGE2",#N/A,FALSE,"CPFFMSTR"}</definedName>
    <definedName name="wrn.PRINT._.ALL." localSheetId="4" hidden="1">{"ORIG",#N/A,FALSE,"Sheet1";"GOVT LABOR",#N/A,FALSE,"Sheet1";"INT LABOR",#N/A,FALSE,"Sheet1"}</definedName>
    <definedName name="wrn.PRINT._.ALL." localSheetId="5" hidden="1">{"ORIG",#N/A,FALSE,"Sheet1";"GOVT LABOR",#N/A,FALSE,"Sheet1";"INT LABOR",#N/A,FALSE,"Sheet1"}</definedName>
    <definedName name="wrn.PRINT._.ALL." localSheetId="6" hidden="1">{"ORIG",#N/A,FALSE,"Sheet1";"GOVT LABOR",#N/A,FALSE,"Sheet1";"INT LABOR",#N/A,FALSE,"Sheet1"}</definedName>
    <definedName name="wrn.PRINT._.ALL." localSheetId="8" hidden="1">{"ORIG",#N/A,FALSE,"Sheet1";"GOVT LABOR",#N/A,FALSE,"Sheet1";"INT LABOR",#N/A,FALSE,"Sheet1"}</definedName>
    <definedName name="wrn.PRINT._.ALL." localSheetId="3" hidden="1">{"ORIG",#N/A,FALSE,"Sheet1";"GOVT LABOR",#N/A,FALSE,"Sheet1";"INT LABOR",#N/A,FALSE,"Sheet1"}</definedName>
    <definedName name="wrn.PRINT._.ALL." localSheetId="1" hidden="1">{"ORIG",#N/A,FALSE,"Sheet1";"GOVT LABOR",#N/A,FALSE,"Sheet1";"INT LABOR",#N/A,FALSE,"Sheet1"}</definedName>
    <definedName name="wrn.PRINT._.ALL." hidden="1">{"ORIG",#N/A,FALSE,"Sheet1";"GOVT LABOR",#N/A,FALSE,"Sheet1";"INT LABOR",#N/A,FALSE,"Sheet1"}</definedName>
    <definedName name="wrn.Print_Detail_And_Summary." localSheetId="4" hidden="1">{"ViewPreCalc",#N/A,TRUE,"PreCalc";"ViewSummary",#N/A,TRUE,"Summary "}</definedName>
    <definedName name="wrn.Print_Detail_And_Summary." localSheetId="5" hidden="1">{"ViewPreCalc",#N/A,TRUE,"PreCalc";"ViewSummary",#N/A,TRUE,"Summary "}</definedName>
    <definedName name="wrn.Print_Detail_And_Summary." localSheetId="6" hidden="1">{"ViewPreCalc",#N/A,TRUE,"PreCalc";"ViewSummary",#N/A,TRUE,"Summary "}</definedName>
    <definedName name="wrn.Print_Detail_And_Summary." localSheetId="8" hidden="1">{"ViewPreCalc",#N/A,TRUE,"PreCalc";"ViewSummary",#N/A,TRUE,"Summary "}</definedName>
    <definedName name="wrn.Print_Detail_And_Summary." localSheetId="3" hidden="1">{"ViewPreCalc",#N/A,TRUE,"PreCalc";"ViewSummary",#N/A,TRUE,"Summary "}</definedName>
    <definedName name="wrn.Print_Detail_And_Summary." localSheetId="1" hidden="1">{"ViewPreCalc",#N/A,TRUE,"PreCalc";"ViewSummary",#N/A,TRUE,"Summary "}</definedName>
    <definedName name="wrn.Print_Detail_And_Summary." hidden="1">{"ViewPreCalc",#N/A,TRUE,"PreCalc";"ViewSummary",#N/A,TRUE,"Summary "}</definedName>
    <definedName name="wrn.Seal._.Team._.J6." localSheetId="4" hidden="1">{"Seal Team J6 Sum",#N/A,FALSE,"Seal Team Summary";"Seal Team J6",#N/A,FALSE,"Seal Team ";"Seal Team ODC J6",#N/A,FALSE,"Seal Team ODCs";"Seal Team Trvl J6",#N/A,FALSE," Seal Team Trvl"}</definedName>
    <definedName name="wrn.Seal._.Team._.J6." localSheetId="5" hidden="1">{"Seal Team J6 Sum",#N/A,FALSE,"Seal Team Summary";"Seal Team J6",#N/A,FALSE,"Seal Team ";"Seal Team ODC J6",#N/A,FALSE,"Seal Team ODCs";"Seal Team Trvl J6",#N/A,FALSE," Seal Team Trvl"}</definedName>
    <definedName name="wrn.Seal._.Team._.J6." localSheetId="6" hidden="1">{"Seal Team J6 Sum",#N/A,FALSE,"Seal Team Summary";"Seal Team J6",#N/A,FALSE,"Seal Team ";"Seal Team ODC J6",#N/A,FALSE,"Seal Team ODCs";"Seal Team Trvl J6",#N/A,FALSE," Seal Team Trvl"}</definedName>
    <definedName name="wrn.Seal._.Team._.J6." localSheetId="8" hidden="1">{"Seal Team J6 Sum",#N/A,FALSE,"Seal Team Summary";"Seal Team J6",#N/A,FALSE,"Seal Team ";"Seal Team ODC J6",#N/A,FALSE,"Seal Team ODCs";"Seal Team Trvl J6",#N/A,FALSE," Seal Team Trvl"}</definedName>
    <definedName name="wrn.Seal._.Team._.J6." localSheetId="3" hidden="1">{"Seal Team J6 Sum",#N/A,FALSE,"Seal Team Summary";"Seal Team J6",#N/A,FALSE,"Seal Team ";"Seal Team ODC J6",#N/A,FALSE,"Seal Team ODCs";"Seal Team Trvl J6",#N/A,FALSE," Seal Team Trvl"}</definedName>
    <definedName name="wrn.Seal._.Team._.J6." localSheetId="1" hidden="1">{"Seal Team J6 Sum",#N/A,FALSE,"Seal Team Summary";"Seal Team J6",#N/A,FALSE,"Seal Team ";"Seal Team ODC J6",#N/A,FALSE,"Seal Team ODCs";"Seal Team Trvl J6",#N/A,FALSE," Seal Team Trvl"}</definedName>
    <definedName name="wrn.Seal._.Team._.J6." hidden="1">{"Seal Team J6 Sum",#N/A,FALSE,"Seal Team Summary";"Seal Team J6",#N/A,FALSE,"Seal Team ";"Seal Team ODC J6",#N/A,FALSE,"Seal Team ODCs";"Seal Team Trvl J6",#N/A,FALSE," Seal Team Trvl"}</definedName>
    <definedName name="wrn.Summary._.1._.Year." localSheetId="4" hidden="1">{"One Year",#N/A,FALSE,"Summary"}</definedName>
    <definedName name="wrn.Summary._.1._.Year." localSheetId="5" hidden="1">{"One Year",#N/A,FALSE,"Summary"}</definedName>
    <definedName name="wrn.Summary._.1._.Year." localSheetId="6" hidden="1">{"One Year",#N/A,FALSE,"Summary"}</definedName>
    <definedName name="wrn.Summary._.1._.Year." localSheetId="8" hidden="1">{"One Year",#N/A,FALSE,"Summary"}</definedName>
    <definedName name="wrn.Summary._.1._.Year." localSheetId="3" hidden="1">{"One Year",#N/A,FALSE,"Summary"}</definedName>
    <definedName name="wrn.Summary._.1._.Year." localSheetId="1" hidden="1">{"One Year",#N/A,FALSE,"Summary"}</definedName>
    <definedName name="wrn.Summary._.1._.Year." hidden="1">{"One Year",#N/A,FALSE,"Summary"}</definedName>
    <definedName name="wrn.workpapers." localSheetId="4" hidden="1">{"dl",#N/A,FALSE,"Core";"indirects",#N/A,FALSE,"Core";"profit",#N/A,FALSE,"Core"}</definedName>
    <definedName name="wrn.workpapers." localSheetId="5" hidden="1">{"dl",#N/A,FALSE,"Core";"indirects",#N/A,FALSE,"Core";"profit",#N/A,FALSE,"Core"}</definedName>
    <definedName name="wrn.workpapers." localSheetId="6" hidden="1">{"dl",#N/A,FALSE,"Core";"indirects",#N/A,FALSE,"Core";"profit",#N/A,FALSE,"Core"}</definedName>
    <definedName name="wrn.workpapers." localSheetId="8" hidden="1">{"dl",#N/A,FALSE,"Core";"indirects",#N/A,FALSE,"Core";"profit",#N/A,FALSE,"Core"}</definedName>
    <definedName name="wrn.workpapers." localSheetId="3" hidden="1">{"dl",#N/A,FALSE,"Core";"indirects",#N/A,FALSE,"Core";"profit",#N/A,FALSE,"Core"}</definedName>
    <definedName name="wrn.workpapers." hidden="1">{"dl",#N/A,FALSE,"Core";"indirects",#N/A,FALSE,"Core";"profit",#N/A,FALSE,"Core"}</definedName>
    <definedName name="wrn1.price." localSheetId="4" hidden="1">{"PAGE1",#N/A,FALSE,"CPFFMSTR";"PAGE2",#N/A,FALSE,"CPFFMSTR"}</definedName>
    <definedName name="wrn1.price." localSheetId="5" hidden="1">{"PAGE1",#N/A,FALSE,"CPFFMSTR";"PAGE2",#N/A,FALSE,"CPFFMSTR"}</definedName>
    <definedName name="wrn1.price." localSheetId="6" hidden="1">{"PAGE1",#N/A,FALSE,"CPFFMSTR";"PAGE2",#N/A,FALSE,"CPFFMSTR"}</definedName>
    <definedName name="wrn1.price." localSheetId="8" hidden="1">{"PAGE1",#N/A,FALSE,"CPFFMSTR";"PAGE2",#N/A,FALSE,"CPFFMSTR"}</definedName>
    <definedName name="wrn1.price." localSheetId="3" hidden="1">{"PAGE1",#N/A,FALSE,"CPFFMSTR";"PAGE2",#N/A,FALSE,"CPFFMSTR"}</definedName>
    <definedName name="wrn1.price." localSheetId="1" hidden="1">{"PAGE1",#N/A,FALSE,"CPFFMSTR";"PAGE2",#N/A,FALSE,"CPFFMSTR"}</definedName>
    <definedName name="wrn1.price." hidden="1">{"PAGE1",#N/A,FALSE,"CPFFMSTR";"PAGE2",#N/A,FALSE,"CPFFMSTR"}</definedName>
    <definedName name="www">#REF!</definedName>
    <definedName name="x">#REF!</definedName>
    <definedName name="XC">[46]DETAIL!$R$2</definedName>
    <definedName name="XFDTGH" localSheetId="4" hidden="1">{"PAGE1",#N/A,FALSE,"CPFFMSTR";"PAGE2",#N/A,FALSE,"CPFFMSTR"}</definedName>
    <definedName name="XFDTGH" localSheetId="5" hidden="1">{"PAGE1",#N/A,FALSE,"CPFFMSTR";"PAGE2",#N/A,FALSE,"CPFFMSTR"}</definedName>
    <definedName name="XFDTGH" localSheetId="6" hidden="1">{"PAGE1",#N/A,FALSE,"CPFFMSTR";"PAGE2",#N/A,FALSE,"CPFFMSTR"}</definedName>
    <definedName name="XFDTGH" localSheetId="8" hidden="1">{"PAGE1",#N/A,FALSE,"CPFFMSTR";"PAGE2",#N/A,FALSE,"CPFFMSTR"}</definedName>
    <definedName name="XFDTGH" localSheetId="3" hidden="1">{"PAGE1",#N/A,FALSE,"CPFFMSTR";"PAGE2",#N/A,FALSE,"CPFFMSTR"}</definedName>
    <definedName name="XFDTGH" localSheetId="1" hidden="1">{"PAGE1",#N/A,FALSE,"CPFFMSTR";"PAGE2",#N/A,FALSE,"CPFFMSTR"}</definedName>
    <definedName name="XFDTGH" hidden="1">{"PAGE1",#N/A,FALSE,"CPFFMSTR";"PAGE2",#N/A,FALSE,"CPFFMSTR"}</definedName>
    <definedName name="XGH" localSheetId="4" hidden="1">{"PAGE1",#N/A,FALSE,"CPFFMSTR";"PAGE2",#N/A,FALSE,"CPFFMSTR"}</definedName>
    <definedName name="XGH" localSheetId="5" hidden="1">{"PAGE1",#N/A,FALSE,"CPFFMSTR";"PAGE2",#N/A,FALSE,"CPFFMSTR"}</definedName>
    <definedName name="XGH" localSheetId="6" hidden="1">{"PAGE1",#N/A,FALSE,"CPFFMSTR";"PAGE2",#N/A,FALSE,"CPFFMSTR"}</definedName>
    <definedName name="XGH" localSheetId="8" hidden="1">{"PAGE1",#N/A,FALSE,"CPFFMSTR";"PAGE2",#N/A,FALSE,"CPFFMSTR"}</definedName>
    <definedName name="XGH" localSheetId="3" hidden="1">{"PAGE1",#N/A,FALSE,"CPFFMSTR";"PAGE2",#N/A,FALSE,"CPFFMSTR"}</definedName>
    <definedName name="XGH" localSheetId="1" hidden="1">{"PAGE1",#N/A,FALSE,"CPFFMSTR";"PAGE2",#N/A,FALSE,"CPFFMSTR"}</definedName>
    <definedName name="XGH" hidden="1">{"PAGE1",#N/A,FALSE,"CPFFMSTR";"PAGE2",#N/A,FALSE,"CPFFMSTR"}</definedName>
    <definedName name="XGHXF" localSheetId="4" hidden="1">{"PAGE1",#N/A,FALSE,"CPFFMSTR";"PAGE2",#N/A,FALSE,"CPFFMSTR"}</definedName>
    <definedName name="XGHXF" localSheetId="5" hidden="1">{"PAGE1",#N/A,FALSE,"CPFFMSTR";"PAGE2",#N/A,FALSE,"CPFFMSTR"}</definedName>
    <definedName name="XGHXF" localSheetId="6" hidden="1">{"PAGE1",#N/A,FALSE,"CPFFMSTR";"PAGE2",#N/A,FALSE,"CPFFMSTR"}</definedName>
    <definedName name="XGHXF" localSheetId="8" hidden="1">{"PAGE1",#N/A,FALSE,"CPFFMSTR";"PAGE2",#N/A,FALSE,"CPFFMSTR"}</definedName>
    <definedName name="XGHXF" localSheetId="3" hidden="1">{"PAGE1",#N/A,FALSE,"CPFFMSTR";"PAGE2",#N/A,FALSE,"CPFFMSTR"}</definedName>
    <definedName name="XGHXF" localSheetId="1" hidden="1">{"PAGE1",#N/A,FALSE,"CPFFMSTR";"PAGE2",#N/A,FALSE,"CPFFMSTR"}</definedName>
    <definedName name="XGHXF" hidden="1">{"PAGE1",#N/A,FALSE,"CPFFMSTR";"PAGE2",#N/A,FALSE,"CPFFMSTR"}</definedName>
    <definedName name="xvcb" localSheetId="4" hidden="1">{"PAGE1",#N/A,FALSE,"CPFFMSTR";"PAGE2",#N/A,FALSE,"CPFFMSTR"}</definedName>
    <definedName name="xvcb" localSheetId="5" hidden="1">{"PAGE1",#N/A,FALSE,"CPFFMSTR";"PAGE2",#N/A,FALSE,"CPFFMSTR"}</definedName>
    <definedName name="xvcb" localSheetId="6" hidden="1">{"PAGE1",#N/A,FALSE,"CPFFMSTR";"PAGE2",#N/A,FALSE,"CPFFMSTR"}</definedName>
    <definedName name="xvcb" localSheetId="8" hidden="1">{"PAGE1",#N/A,FALSE,"CPFFMSTR";"PAGE2",#N/A,FALSE,"CPFFMSTR"}</definedName>
    <definedName name="xvcb" localSheetId="3" hidden="1">{"PAGE1",#N/A,FALSE,"CPFFMSTR";"PAGE2",#N/A,FALSE,"CPFFMSTR"}</definedName>
    <definedName name="xvcb" localSheetId="1" hidden="1">{"PAGE1",#N/A,FALSE,"CPFFMSTR";"PAGE2",#N/A,FALSE,"CPFFMSTR"}</definedName>
    <definedName name="xvcb" hidden="1">{"PAGE1",#N/A,FALSE,"CPFFMSTR";"PAGE2",#N/A,FALSE,"CPFFMSTR"}</definedName>
    <definedName name="xxx" localSheetId="4" hidden="1">{"ACC_Cars_125K_PA",#N/A,FALSE,"ACC Cars Co1 125K ";"ACC_Cars_125K_Prop",#N/A,FALSE,"ACC Cars Co1 125K "}</definedName>
    <definedName name="xxx" localSheetId="5" hidden="1">{"ACC_Cars_125K_PA",#N/A,FALSE,"ACC Cars Co1 125K ";"ACC_Cars_125K_Prop",#N/A,FALSE,"ACC Cars Co1 125K "}</definedName>
    <definedName name="xxx" localSheetId="6" hidden="1">{"ACC_Cars_125K_PA",#N/A,FALSE,"ACC Cars Co1 125K ";"ACC_Cars_125K_Prop",#N/A,FALSE,"ACC Cars Co1 125K "}</definedName>
    <definedName name="xxx" localSheetId="8" hidden="1">{"ACC_Cars_125K_PA",#N/A,FALSE,"ACC Cars Co1 125K ";"ACC_Cars_125K_Prop",#N/A,FALSE,"ACC Cars Co1 125K "}</definedName>
    <definedName name="xxx" localSheetId="3" hidden="1">{"ACC_Cars_125K_PA",#N/A,FALSE,"ACC Cars Co1 125K ";"ACC_Cars_125K_Prop",#N/A,FALSE,"ACC Cars Co1 125K "}</definedName>
    <definedName name="xxx" localSheetId="1" hidden="1">{"ACC_Cars_125K_PA",#N/A,FALSE,"ACC Cars Co1 125K ";"ACC_Cars_125K_Prop",#N/A,FALSE,"ACC Cars Co1 125K "}</definedName>
    <definedName name="xxx" hidden="1">{"ACC_Cars_125K_PA",#N/A,FALSE,"ACC Cars Co1 125K ";"ACC_Cars_125K_Prop",#N/A,FALSE,"ACC Cars Co1 125K "}</definedName>
    <definedName name="xxx1" localSheetId="4" hidden="1">{"ACC_Cars_400K_PA",#N/A,FALSE,"ACC Cars Co1 400K";"ACC_Cars_400K_Prop",#N/A,FALSE,"ACC Cars Co1 400K"}</definedName>
    <definedName name="xxx1" localSheetId="5" hidden="1">{"ACC_Cars_400K_PA",#N/A,FALSE,"ACC Cars Co1 400K";"ACC_Cars_400K_Prop",#N/A,FALSE,"ACC Cars Co1 400K"}</definedName>
    <definedName name="xxx1" localSheetId="6" hidden="1">{"ACC_Cars_400K_PA",#N/A,FALSE,"ACC Cars Co1 400K";"ACC_Cars_400K_Prop",#N/A,FALSE,"ACC Cars Co1 400K"}</definedName>
    <definedName name="xxx1" localSheetId="8" hidden="1">{"ACC_Cars_400K_PA",#N/A,FALSE,"ACC Cars Co1 400K";"ACC_Cars_400K_Prop",#N/A,FALSE,"ACC Cars Co1 400K"}</definedName>
    <definedName name="xxx1" localSheetId="3" hidden="1">{"ACC_Cars_400K_PA",#N/A,FALSE,"ACC Cars Co1 400K";"ACC_Cars_400K_Prop",#N/A,FALSE,"ACC Cars Co1 400K"}</definedName>
    <definedName name="xxx1" localSheetId="1" hidden="1">{"ACC_Cars_400K_PA",#N/A,FALSE,"ACC Cars Co1 400K";"ACC_Cars_400K_Prop",#N/A,FALSE,"ACC Cars Co1 400K"}</definedName>
    <definedName name="xxx1" hidden="1">{"ACC_Cars_400K_PA",#N/A,FALSE,"ACC Cars Co1 400K";"ACC_Cars_400K_Prop",#N/A,FALSE,"ACC Cars Co1 400K"}</definedName>
    <definedName name="Year_1_Cost_Centers">[15]INDIRECTS!$S$3:$S$15</definedName>
    <definedName name="Year_2_BAH_Fee">[15]INDIRECTS!#REF!</definedName>
    <definedName name="Year_2_Cost_Centers">[15]INDIRECTS!#REF!</definedName>
    <definedName name="Year_2_Subcontractor_Fee">[15]INDIRECTS!#REF!</definedName>
    <definedName name="Year_3_BAH_Fee">[15]INDIRECTS!#REF!</definedName>
    <definedName name="Year_3_Cost_Centers">[15]INDIRECTS!#REF!</definedName>
    <definedName name="Year_3_Subcontractor_Fee">[15]INDIRECTS!#REF!</definedName>
    <definedName name="Year_4_BAH_Fee">[15]INDIRECTS!#REF!</definedName>
    <definedName name="Year_4_Cost_Centers">[15]INDIRECTS!#REF!</definedName>
    <definedName name="Year_4_Subcontractor_Fee">[15]INDIRECTS!#REF!</definedName>
    <definedName name="Year_5_BAH_Fee">[15]INDIRECTS!#REF!</definedName>
    <definedName name="Year_5_Cost_Centers">[15]INDIRECTS!#REF!</definedName>
    <definedName name="Year_5_Subcontractor_Fee">[15]INDIRECTS!#REF!</definedName>
    <definedName name="YEARS">#REF!</definedName>
    <definedName name="yes" localSheetId="4" hidden="1">{#N/A,#N/A,FALSE,"ManLoading"}</definedName>
    <definedName name="yes" localSheetId="5" hidden="1">{#N/A,#N/A,FALSE,"ManLoading"}</definedName>
    <definedName name="yes" localSheetId="6" hidden="1">{#N/A,#N/A,FALSE,"ManLoading"}</definedName>
    <definedName name="yes" localSheetId="8" hidden="1">{#N/A,#N/A,FALSE,"ManLoading"}</definedName>
    <definedName name="yes" localSheetId="3" hidden="1">{#N/A,#N/A,FALSE,"ManLoading"}</definedName>
    <definedName name="yes" localSheetId="1" hidden="1">{#N/A,#N/A,FALSE,"ManLoading"}</definedName>
    <definedName name="yes" hidden="1">{#N/A,#N/A,FALSE,"ManLoading"}</definedName>
    <definedName name="yes1" localSheetId="4" hidden="1">{#N/A,#N/A,FALSE,"ManLoading"}</definedName>
    <definedName name="yes1" localSheetId="5" hidden="1">{#N/A,#N/A,FALSE,"ManLoading"}</definedName>
    <definedName name="yes1" localSheetId="6" hidden="1">{#N/A,#N/A,FALSE,"ManLoading"}</definedName>
    <definedName name="yes1" localSheetId="8" hidden="1">{#N/A,#N/A,FALSE,"ManLoading"}</definedName>
    <definedName name="yes1" localSheetId="3" hidden="1">{#N/A,#N/A,FALSE,"ManLoading"}</definedName>
    <definedName name="yes1" hidden="1">{#N/A,#N/A,FALSE,"ManLoading"}</definedName>
    <definedName name="YORN">#REF!</definedName>
    <definedName name="Yr1Consult">[47]DETAIL!$G$4</definedName>
    <definedName name="Yr1FI">[47]DETAIL!$G$8</definedName>
    <definedName name="Yr1ODC">[47]DETAIL!$G$7</definedName>
    <definedName name="Yr1Sal">[47]DETAIL!$G$3</definedName>
    <definedName name="Yr1Travel">[47]DETAIL!$G$6</definedName>
    <definedName name="Yr1Travel_Air">[47]DETAIL!$G$5</definedName>
    <definedName name="Yr2Consult">[47]DETAIL!$H$4</definedName>
    <definedName name="Yr2FI">[47]DETAIL!$H$8</definedName>
    <definedName name="Yr2FIfk">'[48]AED DETAILED BUDGET'!$H$7</definedName>
    <definedName name="Yr2ODC">[47]DETAIL!$H$7</definedName>
    <definedName name="Yr2ODCfk">'[48]AED DETAILED BUDGET'!$H$6</definedName>
    <definedName name="Yr2Sal">[47]DETAIL!$H$3</definedName>
    <definedName name="Yr2Travel">[47]DETAIL!$H$6</definedName>
    <definedName name="Yr2Travel_Air">[47]DETAIL!$H$5</definedName>
    <definedName name="Yr2travelfk">'[48]AED DETAILED BUDGET'!$H$5</definedName>
    <definedName name="Yr3Consult">[47]DETAIL!$J$4</definedName>
    <definedName name="Yr3FI">[47]DETAIL!$J$8</definedName>
    <definedName name="Yr3FIfk">'[48]AED DETAILED BUDGET'!$J$7</definedName>
    <definedName name="Yr3ODC">[47]DETAIL!$J$7</definedName>
    <definedName name="Yr3ODCfk">'[48]AED DETAILED BUDGET'!$J$6</definedName>
    <definedName name="Yr3Sal">[47]DETAIL!$J$3</definedName>
    <definedName name="Yr3Travel">[47]DETAIL!$J$6</definedName>
    <definedName name="Yr3Travel_Air">[47]DETAIL!$J$5</definedName>
    <definedName name="Yr4Consult">[47]DETAIL!$L$4</definedName>
    <definedName name="Yr4FI">[47]DETAIL!$L$8</definedName>
    <definedName name="Yr4FIfk">'[48]AED DETAILED BUDGET'!$L$7</definedName>
    <definedName name="Yr4ODC">[47]DETAIL!$L$7</definedName>
    <definedName name="Yr4ODCfk">'[48]AED DETAILED BUDGET'!$L$6</definedName>
    <definedName name="Yr4Sal">[47]DETAIL!$L$3</definedName>
    <definedName name="Yr4Salfk">'[48]AED DETAILED BUDGET'!$L$3</definedName>
    <definedName name="Yr4Travel">[47]DETAIL!$L$6</definedName>
    <definedName name="Yr4Travel_Air">[47]DETAIL!$L$5</definedName>
    <definedName name="Yr5Consult">[47]DETAIL!$N$4</definedName>
    <definedName name="Yr5FI">[47]DETAIL!$N$8</definedName>
    <definedName name="Yr5FIfk">'[48]AED DETAILED BUDGET'!$N$7</definedName>
    <definedName name="Yr5ODC">[47]DETAIL!$N$7</definedName>
    <definedName name="Yr5ODCfk">'[48]AED DETAILED BUDGET'!$N$6</definedName>
    <definedName name="Yr5Sal">[47]DETAIL!$N$3</definedName>
    <definedName name="Yr5Salfk">'[48]AED DETAILED BUDGET'!$N$3</definedName>
    <definedName name="Yr5Travel">[47]DETAIL!$N$6</definedName>
    <definedName name="Yr5Travel_Air">[47]DETAIL!$N$5</definedName>
    <definedName name="z" localSheetId="8">#REF!</definedName>
    <definedName name="z">#REF!</definedName>
    <definedName name="ZDFR" localSheetId="4" hidden="1">{"PAGE1",#N/A,FALSE,"CPFFMSTR";"PAGE2",#N/A,FALSE,"CPFFMSTR"}</definedName>
    <definedName name="ZDFR" localSheetId="5" hidden="1">{"PAGE1",#N/A,FALSE,"CPFFMSTR";"PAGE2",#N/A,FALSE,"CPFFMSTR"}</definedName>
    <definedName name="ZDFR" localSheetId="6" hidden="1">{"PAGE1",#N/A,FALSE,"CPFFMSTR";"PAGE2",#N/A,FALSE,"CPFFMSTR"}</definedName>
    <definedName name="ZDFR" localSheetId="8" hidden="1">{"PAGE1",#N/A,FALSE,"CPFFMSTR";"PAGE2",#N/A,FALSE,"CPFFMSTR"}</definedName>
    <definedName name="ZDFR" localSheetId="3" hidden="1">{"PAGE1",#N/A,FALSE,"CPFFMSTR";"PAGE2",#N/A,FALSE,"CPFFMSTR"}</definedName>
    <definedName name="ZDFR" localSheetId="1" hidden="1">{"PAGE1",#N/A,FALSE,"CPFFMSTR";"PAGE2",#N/A,FALSE,"CPFFMSTR"}</definedName>
    <definedName name="ZDFR" hidden="1">{"PAGE1",#N/A,FALSE,"CPFFMSTR";"PAGE2",#N/A,FALSE,"CPFFMSTR"}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63" i="4" l="1"/>
  <c r="T65" i="42"/>
  <c r="P65" i="42"/>
  <c r="L65" i="42"/>
  <c r="H65" i="42"/>
  <c r="D65" i="42"/>
  <c r="C65" i="42"/>
  <c r="G65" i="42" s="1"/>
  <c r="B65" i="42"/>
  <c r="A65" i="42"/>
  <c r="T43" i="45"/>
  <c r="P43" i="45"/>
  <c r="L43" i="45"/>
  <c r="H43" i="45"/>
  <c r="D43" i="45"/>
  <c r="C43" i="45"/>
  <c r="G43" i="45" s="1"/>
  <c r="B43" i="45"/>
  <c r="A43" i="45"/>
  <c r="U256" i="4"/>
  <c r="R256" i="4"/>
  <c r="V256" i="4" s="1"/>
  <c r="X256" i="4" s="1"/>
  <c r="O256" i="4"/>
  <c r="L256" i="4"/>
  <c r="I256" i="4"/>
  <c r="T68" i="42"/>
  <c r="P68" i="42"/>
  <c r="L68" i="42"/>
  <c r="H68" i="42"/>
  <c r="D68" i="42"/>
  <c r="C68" i="42"/>
  <c r="G68" i="42" s="1"/>
  <c r="B68" i="42"/>
  <c r="A69" i="42"/>
  <c r="T49" i="46"/>
  <c r="P49" i="46"/>
  <c r="L49" i="46"/>
  <c r="H49" i="46"/>
  <c r="D49" i="46"/>
  <c r="C49" i="46"/>
  <c r="G49" i="46" s="1"/>
  <c r="B49" i="46"/>
  <c r="A49" i="46"/>
  <c r="U332" i="4"/>
  <c r="R332" i="4"/>
  <c r="O332" i="4"/>
  <c r="L332" i="4"/>
  <c r="I332" i="4"/>
  <c r="T60" i="42"/>
  <c r="P60" i="42"/>
  <c r="L60" i="42"/>
  <c r="H60" i="42"/>
  <c r="D60" i="42"/>
  <c r="C60" i="42"/>
  <c r="G60" i="42" s="1"/>
  <c r="B60" i="42"/>
  <c r="T44" i="44"/>
  <c r="P44" i="44"/>
  <c r="L44" i="44"/>
  <c r="H44" i="44"/>
  <c r="D44" i="44"/>
  <c r="C44" i="44"/>
  <c r="B44" i="44"/>
  <c r="A44" i="44"/>
  <c r="I183" i="4"/>
  <c r="R183" i="4"/>
  <c r="O183" i="4"/>
  <c r="U183" i="4"/>
  <c r="L183" i="4"/>
  <c r="C95" i="42"/>
  <c r="C66" i="43"/>
  <c r="F66" i="43" s="1"/>
  <c r="F44" i="44" l="1"/>
  <c r="J65" i="42"/>
  <c r="K65" i="42"/>
  <c r="F65" i="42"/>
  <c r="K43" i="45"/>
  <c r="J43" i="45"/>
  <c r="F43" i="45"/>
  <c r="V332" i="4"/>
  <c r="X332" i="4" s="1"/>
  <c r="K68" i="42"/>
  <c r="J68" i="42"/>
  <c r="F68" i="42"/>
  <c r="J49" i="46"/>
  <c r="K49" i="46"/>
  <c r="F49" i="46"/>
  <c r="K60" i="42"/>
  <c r="J60" i="42"/>
  <c r="F60" i="42"/>
  <c r="G44" i="44"/>
  <c r="V183" i="4"/>
  <c r="X183" i="4" s="1"/>
  <c r="H107" i="4"/>
  <c r="O65" i="42" l="1"/>
  <c r="N65" i="42"/>
  <c r="O43" i="45"/>
  <c r="N43" i="45"/>
  <c r="N68" i="42"/>
  <c r="O68" i="42"/>
  <c r="O49" i="46"/>
  <c r="N49" i="46"/>
  <c r="O60" i="42"/>
  <c r="N60" i="42"/>
  <c r="K44" i="44"/>
  <c r="J44" i="44"/>
  <c r="C12" i="39"/>
  <c r="F12" i="39"/>
  <c r="I12" i="39"/>
  <c r="L12" i="39"/>
  <c r="O12" i="39"/>
  <c r="C13" i="39"/>
  <c r="F13" i="39"/>
  <c r="I13" i="39"/>
  <c r="L13" i="39"/>
  <c r="O13" i="39"/>
  <c r="C14" i="39"/>
  <c r="F14" i="39"/>
  <c r="I14" i="39"/>
  <c r="L14" i="39"/>
  <c r="O14" i="39"/>
  <c r="C15" i="39"/>
  <c r="F15" i="39"/>
  <c r="I15" i="39"/>
  <c r="L15" i="39"/>
  <c r="O15" i="39"/>
  <c r="C16" i="39"/>
  <c r="F16" i="39"/>
  <c r="I16" i="39"/>
  <c r="L16" i="39"/>
  <c r="O16" i="39"/>
  <c r="C17" i="39"/>
  <c r="F17" i="39"/>
  <c r="I17" i="39"/>
  <c r="L17" i="39"/>
  <c r="O17" i="39"/>
  <c r="C18" i="39"/>
  <c r="F18" i="39"/>
  <c r="I18" i="39"/>
  <c r="L18" i="39"/>
  <c r="O18" i="39"/>
  <c r="C19" i="39"/>
  <c r="F19" i="39"/>
  <c r="I19" i="39"/>
  <c r="L19" i="39"/>
  <c r="O19" i="39"/>
  <c r="C20" i="39"/>
  <c r="F20" i="39"/>
  <c r="I20" i="39"/>
  <c r="L20" i="39"/>
  <c r="O20" i="39"/>
  <c r="C21" i="39"/>
  <c r="F21" i="39"/>
  <c r="I21" i="39"/>
  <c r="L21" i="39"/>
  <c r="O21" i="39"/>
  <c r="C22" i="39"/>
  <c r="F22" i="39"/>
  <c r="I22" i="39"/>
  <c r="L22" i="39"/>
  <c r="O22" i="39"/>
  <c r="C23" i="39"/>
  <c r="F23" i="39"/>
  <c r="I23" i="39"/>
  <c r="L23" i="39"/>
  <c r="O23" i="39"/>
  <c r="C24" i="39"/>
  <c r="F24" i="39"/>
  <c r="I24" i="39"/>
  <c r="L24" i="39"/>
  <c r="O24" i="39"/>
  <c r="C25" i="39"/>
  <c r="F25" i="39"/>
  <c r="I25" i="39"/>
  <c r="L25" i="39"/>
  <c r="O25" i="39"/>
  <c r="C26" i="39"/>
  <c r="F26" i="39"/>
  <c r="I26" i="39"/>
  <c r="L26" i="39"/>
  <c r="O26" i="39"/>
  <c r="C27" i="39"/>
  <c r="F27" i="39"/>
  <c r="I27" i="39"/>
  <c r="L27" i="39"/>
  <c r="O27" i="39"/>
  <c r="C28" i="39"/>
  <c r="F28" i="39"/>
  <c r="I28" i="39"/>
  <c r="L28" i="39"/>
  <c r="O28" i="39"/>
  <c r="C29" i="39"/>
  <c r="F29" i="39"/>
  <c r="I29" i="39"/>
  <c r="L29" i="39"/>
  <c r="O29" i="39"/>
  <c r="C30" i="39"/>
  <c r="F30" i="39"/>
  <c r="I30" i="39"/>
  <c r="L30" i="39"/>
  <c r="O30" i="39"/>
  <c r="C31" i="39"/>
  <c r="F31" i="39"/>
  <c r="I31" i="39"/>
  <c r="L31" i="39"/>
  <c r="O31" i="39"/>
  <c r="A27" i="43"/>
  <c r="T18" i="42"/>
  <c r="P18" i="42"/>
  <c r="L18" i="42"/>
  <c r="H18" i="42"/>
  <c r="D18" i="42"/>
  <c r="B18" i="42"/>
  <c r="A18" i="42"/>
  <c r="T18" i="43"/>
  <c r="P18" i="43"/>
  <c r="L18" i="43"/>
  <c r="H18" i="43"/>
  <c r="D18" i="43"/>
  <c r="B18" i="43"/>
  <c r="A18" i="43"/>
  <c r="T18" i="44"/>
  <c r="P18" i="44"/>
  <c r="L18" i="44"/>
  <c r="H18" i="44"/>
  <c r="D18" i="44"/>
  <c r="B18" i="44"/>
  <c r="A18" i="44"/>
  <c r="T18" i="45"/>
  <c r="P18" i="45"/>
  <c r="L18" i="45"/>
  <c r="H18" i="45"/>
  <c r="D18" i="45"/>
  <c r="B18" i="45"/>
  <c r="A18" i="45"/>
  <c r="T18" i="46"/>
  <c r="P18" i="46"/>
  <c r="L18" i="46"/>
  <c r="H18" i="46"/>
  <c r="D18" i="46"/>
  <c r="B18" i="46"/>
  <c r="A18" i="46"/>
  <c r="P288" i="4"/>
  <c r="P289" i="4"/>
  <c r="P290" i="4"/>
  <c r="P291" i="4"/>
  <c r="P292" i="4"/>
  <c r="P293" i="4"/>
  <c r="P294" i="4"/>
  <c r="P295" i="4"/>
  <c r="Q18" i="46" s="1"/>
  <c r="P296" i="4"/>
  <c r="P297" i="4"/>
  <c r="P298" i="4"/>
  <c r="P299" i="4"/>
  <c r="P300" i="4"/>
  <c r="P301" i="4"/>
  <c r="P302" i="4"/>
  <c r="P303" i="4"/>
  <c r="P304" i="4"/>
  <c r="P305" i="4"/>
  <c r="P306" i="4"/>
  <c r="P307" i="4"/>
  <c r="S288" i="4"/>
  <c r="S289" i="4"/>
  <c r="S290" i="4"/>
  <c r="S291" i="4"/>
  <c r="S292" i="4"/>
  <c r="S293" i="4"/>
  <c r="S294" i="4"/>
  <c r="S295" i="4"/>
  <c r="U18" i="46" s="1"/>
  <c r="S296" i="4"/>
  <c r="S297" i="4"/>
  <c r="S298" i="4"/>
  <c r="S299" i="4"/>
  <c r="S300" i="4"/>
  <c r="S301" i="4"/>
  <c r="S302" i="4"/>
  <c r="S303" i="4"/>
  <c r="S304" i="4"/>
  <c r="S305" i="4"/>
  <c r="S306" i="4"/>
  <c r="S307" i="4"/>
  <c r="M288" i="4"/>
  <c r="M289" i="4"/>
  <c r="M290" i="4"/>
  <c r="M291" i="4"/>
  <c r="M292" i="4"/>
  <c r="M293" i="4"/>
  <c r="M294" i="4"/>
  <c r="M295" i="4"/>
  <c r="M18" i="46" s="1"/>
  <c r="M296" i="4"/>
  <c r="M297" i="4"/>
  <c r="M298" i="4"/>
  <c r="M299" i="4"/>
  <c r="M300" i="4"/>
  <c r="M301" i="4"/>
  <c r="M302" i="4"/>
  <c r="M303" i="4"/>
  <c r="M304" i="4"/>
  <c r="M305" i="4"/>
  <c r="M306" i="4"/>
  <c r="M307" i="4"/>
  <c r="J288" i="4"/>
  <c r="J289" i="4"/>
  <c r="J290" i="4"/>
  <c r="J291" i="4"/>
  <c r="J292" i="4"/>
  <c r="J293" i="4"/>
  <c r="J294" i="4"/>
  <c r="J295" i="4"/>
  <c r="I18" i="46" s="1"/>
  <c r="J296" i="4"/>
  <c r="J297" i="4"/>
  <c r="J298" i="4"/>
  <c r="J299" i="4"/>
  <c r="J300" i="4"/>
  <c r="J301" i="4"/>
  <c r="J302" i="4"/>
  <c r="J303" i="4"/>
  <c r="J304" i="4"/>
  <c r="J305" i="4"/>
  <c r="J306" i="4"/>
  <c r="J307" i="4"/>
  <c r="E288" i="4"/>
  <c r="E289" i="4"/>
  <c r="E290" i="4"/>
  <c r="E291" i="4"/>
  <c r="E292" i="4"/>
  <c r="E293" i="4"/>
  <c r="E294" i="4"/>
  <c r="E295" i="4"/>
  <c r="E18" i="46" s="1"/>
  <c r="E296" i="4"/>
  <c r="E297" i="4"/>
  <c r="E298" i="4"/>
  <c r="E299" i="4"/>
  <c r="E300" i="4"/>
  <c r="E301" i="4"/>
  <c r="E302" i="4"/>
  <c r="E303" i="4"/>
  <c r="E304" i="4"/>
  <c r="E305" i="4"/>
  <c r="E306" i="4"/>
  <c r="E307" i="4"/>
  <c r="T295" i="4"/>
  <c r="Q295" i="4"/>
  <c r="N295" i="4"/>
  <c r="K295" i="4"/>
  <c r="G295" i="4"/>
  <c r="D295" i="4"/>
  <c r="S217" i="4"/>
  <c r="S218" i="4"/>
  <c r="S219" i="4"/>
  <c r="S220" i="4"/>
  <c r="S221" i="4"/>
  <c r="S222" i="4"/>
  <c r="S223" i="4"/>
  <c r="S224" i="4"/>
  <c r="U18" i="45" s="1"/>
  <c r="S225" i="4"/>
  <c r="S226" i="4"/>
  <c r="S227" i="4"/>
  <c r="S228" i="4"/>
  <c r="S229" i="4"/>
  <c r="S230" i="4"/>
  <c r="S231" i="4"/>
  <c r="S232" i="4"/>
  <c r="S233" i="4"/>
  <c r="S234" i="4"/>
  <c r="S235" i="4"/>
  <c r="S236" i="4"/>
  <c r="P217" i="4"/>
  <c r="P218" i="4"/>
  <c r="P219" i="4"/>
  <c r="P220" i="4"/>
  <c r="P221" i="4"/>
  <c r="P222" i="4"/>
  <c r="P223" i="4"/>
  <c r="P224" i="4"/>
  <c r="Q18" i="45" s="1"/>
  <c r="P225" i="4"/>
  <c r="P226" i="4"/>
  <c r="P227" i="4"/>
  <c r="P228" i="4"/>
  <c r="P229" i="4"/>
  <c r="P230" i="4"/>
  <c r="P231" i="4"/>
  <c r="P232" i="4"/>
  <c r="P233" i="4"/>
  <c r="P234" i="4"/>
  <c r="P235" i="4"/>
  <c r="P236" i="4"/>
  <c r="M217" i="4"/>
  <c r="M218" i="4"/>
  <c r="M219" i="4"/>
  <c r="M220" i="4"/>
  <c r="M221" i="4"/>
  <c r="M222" i="4"/>
  <c r="M223" i="4"/>
  <c r="M224" i="4"/>
  <c r="M18" i="45" s="1"/>
  <c r="M225" i="4"/>
  <c r="M226" i="4"/>
  <c r="M227" i="4"/>
  <c r="M228" i="4"/>
  <c r="M229" i="4"/>
  <c r="M230" i="4"/>
  <c r="M231" i="4"/>
  <c r="M232" i="4"/>
  <c r="M233" i="4"/>
  <c r="M234" i="4"/>
  <c r="M235" i="4"/>
  <c r="M236" i="4"/>
  <c r="J217" i="4"/>
  <c r="J218" i="4"/>
  <c r="J219" i="4"/>
  <c r="J220" i="4"/>
  <c r="J221" i="4"/>
  <c r="J222" i="4"/>
  <c r="J223" i="4"/>
  <c r="J224" i="4"/>
  <c r="I18" i="45" s="1"/>
  <c r="J225" i="4"/>
  <c r="J226" i="4"/>
  <c r="J227" i="4"/>
  <c r="J228" i="4"/>
  <c r="J229" i="4"/>
  <c r="J230" i="4"/>
  <c r="J231" i="4"/>
  <c r="J232" i="4"/>
  <c r="J233" i="4"/>
  <c r="J234" i="4"/>
  <c r="J235" i="4"/>
  <c r="J236" i="4"/>
  <c r="E217" i="4"/>
  <c r="E218" i="4"/>
  <c r="E219" i="4"/>
  <c r="E220" i="4"/>
  <c r="E221" i="4"/>
  <c r="E222" i="4"/>
  <c r="E223" i="4"/>
  <c r="E224" i="4"/>
  <c r="E18" i="45" s="1"/>
  <c r="E225" i="4"/>
  <c r="E226" i="4"/>
  <c r="E227" i="4"/>
  <c r="E228" i="4"/>
  <c r="E229" i="4"/>
  <c r="E230" i="4"/>
  <c r="E231" i="4"/>
  <c r="E232" i="4"/>
  <c r="E233" i="4"/>
  <c r="E234" i="4"/>
  <c r="E235" i="4"/>
  <c r="E236" i="4"/>
  <c r="T224" i="4"/>
  <c r="Q224" i="4"/>
  <c r="N224" i="4"/>
  <c r="K224" i="4"/>
  <c r="G224" i="4"/>
  <c r="D224" i="4"/>
  <c r="S141" i="4"/>
  <c r="S142" i="4"/>
  <c r="S143" i="4"/>
  <c r="S144" i="4"/>
  <c r="S145" i="4"/>
  <c r="S146" i="4"/>
  <c r="S147" i="4"/>
  <c r="S148" i="4"/>
  <c r="U18" i="44" s="1"/>
  <c r="S149" i="4"/>
  <c r="S150" i="4"/>
  <c r="S151" i="4"/>
  <c r="S152" i="4"/>
  <c r="S153" i="4"/>
  <c r="S154" i="4"/>
  <c r="S155" i="4"/>
  <c r="S156" i="4"/>
  <c r="S157" i="4"/>
  <c r="S158" i="4"/>
  <c r="S159" i="4"/>
  <c r="S160" i="4"/>
  <c r="P141" i="4"/>
  <c r="P142" i="4"/>
  <c r="P143" i="4"/>
  <c r="P144" i="4"/>
  <c r="P145" i="4"/>
  <c r="P146" i="4"/>
  <c r="P147" i="4"/>
  <c r="P148" i="4"/>
  <c r="Q18" i="44" s="1"/>
  <c r="P149" i="4"/>
  <c r="P150" i="4"/>
  <c r="P151" i="4"/>
  <c r="P152" i="4"/>
  <c r="P153" i="4"/>
  <c r="P154" i="4"/>
  <c r="P155" i="4"/>
  <c r="P156" i="4"/>
  <c r="P157" i="4"/>
  <c r="P158" i="4"/>
  <c r="P159" i="4"/>
  <c r="P160" i="4"/>
  <c r="M141" i="4"/>
  <c r="M142" i="4"/>
  <c r="M143" i="4"/>
  <c r="M144" i="4"/>
  <c r="M145" i="4"/>
  <c r="M146" i="4"/>
  <c r="M147" i="4"/>
  <c r="M148" i="4"/>
  <c r="M18" i="44" s="1"/>
  <c r="M149" i="4"/>
  <c r="M150" i="4"/>
  <c r="M151" i="4"/>
  <c r="M152" i="4"/>
  <c r="M153" i="4"/>
  <c r="M154" i="4"/>
  <c r="M155" i="4"/>
  <c r="M156" i="4"/>
  <c r="M157" i="4"/>
  <c r="M158" i="4"/>
  <c r="M159" i="4"/>
  <c r="M160" i="4"/>
  <c r="J141" i="4"/>
  <c r="J142" i="4"/>
  <c r="J143" i="4"/>
  <c r="J144" i="4"/>
  <c r="J145" i="4"/>
  <c r="J146" i="4"/>
  <c r="J147" i="4"/>
  <c r="J148" i="4"/>
  <c r="I18" i="44" s="1"/>
  <c r="J149" i="4"/>
  <c r="J150" i="4"/>
  <c r="J151" i="4"/>
  <c r="J152" i="4"/>
  <c r="J153" i="4"/>
  <c r="J154" i="4"/>
  <c r="J155" i="4"/>
  <c r="J156" i="4"/>
  <c r="J157" i="4"/>
  <c r="J158" i="4"/>
  <c r="J159" i="4"/>
  <c r="J160" i="4"/>
  <c r="E141" i="4"/>
  <c r="E142" i="4"/>
  <c r="E143" i="4"/>
  <c r="E144" i="4"/>
  <c r="E145" i="4"/>
  <c r="E146" i="4"/>
  <c r="E147" i="4"/>
  <c r="E148" i="4"/>
  <c r="E18" i="44" s="1"/>
  <c r="E149" i="4"/>
  <c r="E150" i="4"/>
  <c r="E151" i="4"/>
  <c r="E152" i="4"/>
  <c r="E153" i="4"/>
  <c r="E154" i="4"/>
  <c r="E155" i="4"/>
  <c r="E156" i="4"/>
  <c r="E157" i="4"/>
  <c r="E158" i="4"/>
  <c r="E159" i="4"/>
  <c r="E160" i="4"/>
  <c r="T148" i="4"/>
  <c r="Q148" i="4"/>
  <c r="N148" i="4"/>
  <c r="K148" i="4"/>
  <c r="G148" i="4"/>
  <c r="D148" i="4"/>
  <c r="S13" i="4"/>
  <c r="S14" i="4"/>
  <c r="S15" i="4"/>
  <c r="S16" i="4"/>
  <c r="S17" i="4"/>
  <c r="S18" i="4"/>
  <c r="P17" i="39" s="1"/>
  <c r="S19" i="4"/>
  <c r="S20" i="4"/>
  <c r="U18" i="43" s="1"/>
  <c r="S21" i="4"/>
  <c r="S22" i="4"/>
  <c r="S23" i="4"/>
  <c r="S24" i="4"/>
  <c r="S25" i="4"/>
  <c r="S26" i="4"/>
  <c r="P25" i="39" s="1"/>
  <c r="S27" i="4"/>
  <c r="S28" i="4"/>
  <c r="S29" i="4"/>
  <c r="S30" i="4"/>
  <c r="S31" i="4"/>
  <c r="S32" i="4"/>
  <c r="P13" i="4"/>
  <c r="P14" i="4"/>
  <c r="M13" i="39" s="1"/>
  <c r="P15" i="4"/>
  <c r="P16" i="4"/>
  <c r="P17" i="4"/>
  <c r="P18" i="4"/>
  <c r="P19" i="4"/>
  <c r="P20" i="4"/>
  <c r="P21" i="4"/>
  <c r="P22" i="4"/>
  <c r="M21" i="39" s="1"/>
  <c r="P23" i="4"/>
  <c r="P24" i="4"/>
  <c r="P25" i="4"/>
  <c r="P26" i="4"/>
  <c r="P27" i="4"/>
  <c r="P28" i="4"/>
  <c r="P29" i="4"/>
  <c r="P30" i="4"/>
  <c r="M29" i="39" s="1"/>
  <c r="P31" i="4"/>
  <c r="P3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H139" i="30"/>
  <c r="B139" i="30"/>
  <c r="H109" i="30"/>
  <c r="B109" i="30"/>
  <c r="H79" i="30"/>
  <c r="B79" i="30"/>
  <c r="H49" i="30"/>
  <c r="B49" i="30"/>
  <c r="H19" i="30"/>
  <c r="B19" i="30"/>
  <c r="B19" i="39"/>
  <c r="H20" i="4"/>
  <c r="H148" i="4" s="1"/>
  <c r="H17" i="4"/>
  <c r="H18" i="4"/>
  <c r="H19" i="4"/>
  <c r="H23" i="4"/>
  <c r="R244" i="4"/>
  <c r="U244" i="4"/>
  <c r="O244" i="4"/>
  <c r="L244" i="4"/>
  <c r="T194" i="42"/>
  <c r="P194" i="42"/>
  <c r="L194" i="42"/>
  <c r="H194" i="42"/>
  <c r="D194" i="42"/>
  <c r="C194" i="42"/>
  <c r="G194" i="42" s="1"/>
  <c r="B194" i="42"/>
  <c r="A194" i="42"/>
  <c r="T79" i="44"/>
  <c r="P79" i="44"/>
  <c r="L79" i="44"/>
  <c r="H79" i="44"/>
  <c r="D79" i="44"/>
  <c r="C79" i="44"/>
  <c r="G79" i="44" s="1"/>
  <c r="B79" i="44"/>
  <c r="A79" i="44"/>
  <c r="T206" i="4"/>
  <c r="Q206" i="4"/>
  <c r="N206" i="4"/>
  <c r="K206" i="4"/>
  <c r="H206" i="4"/>
  <c r="G206" i="4"/>
  <c r="W203" i="4"/>
  <c r="U195" i="4"/>
  <c r="R195" i="4"/>
  <c r="O195" i="4"/>
  <c r="L195" i="4"/>
  <c r="I195" i="4"/>
  <c r="T142" i="42"/>
  <c r="P142" i="42"/>
  <c r="L142" i="42"/>
  <c r="H142" i="42"/>
  <c r="D142" i="42"/>
  <c r="C142" i="42"/>
  <c r="G142" i="42" s="1"/>
  <c r="B142" i="42"/>
  <c r="A142" i="42"/>
  <c r="T141" i="42"/>
  <c r="P141" i="42"/>
  <c r="L141" i="42"/>
  <c r="H141" i="42"/>
  <c r="D141" i="42"/>
  <c r="C141" i="42"/>
  <c r="G141" i="42" s="1"/>
  <c r="B141" i="42"/>
  <c r="A141" i="42"/>
  <c r="T98" i="43"/>
  <c r="P98" i="43"/>
  <c r="L98" i="43"/>
  <c r="H98" i="43"/>
  <c r="D98" i="43"/>
  <c r="C98" i="43"/>
  <c r="G98" i="43" s="1"/>
  <c r="B98" i="43"/>
  <c r="A98" i="43"/>
  <c r="T97" i="43"/>
  <c r="P97" i="43"/>
  <c r="L97" i="43"/>
  <c r="H97" i="43"/>
  <c r="D97" i="43"/>
  <c r="C97" i="43"/>
  <c r="G97" i="43" s="1"/>
  <c r="B97" i="43"/>
  <c r="A97" i="43"/>
  <c r="U101" i="4"/>
  <c r="U100" i="4"/>
  <c r="R100" i="4"/>
  <c r="O100" i="4"/>
  <c r="L100" i="4"/>
  <c r="I100" i="4"/>
  <c r="I101" i="4"/>
  <c r="T106" i="4"/>
  <c r="Q106" i="4"/>
  <c r="N106" i="4"/>
  <c r="K106" i="4"/>
  <c r="G106" i="4"/>
  <c r="T122" i="42"/>
  <c r="P122" i="42"/>
  <c r="L122" i="42"/>
  <c r="H122" i="42"/>
  <c r="D122" i="42"/>
  <c r="C122" i="42"/>
  <c r="G122" i="42" s="1"/>
  <c r="B122" i="42"/>
  <c r="A122" i="42"/>
  <c r="T78" i="43"/>
  <c r="P78" i="43"/>
  <c r="L78" i="43"/>
  <c r="H78" i="43"/>
  <c r="D78" i="43"/>
  <c r="C78" i="43"/>
  <c r="G78" i="43" s="1"/>
  <c r="B78" i="43"/>
  <c r="A78" i="43"/>
  <c r="U76" i="4"/>
  <c r="R76" i="4"/>
  <c r="O76" i="4"/>
  <c r="L76" i="4"/>
  <c r="I76" i="4"/>
  <c r="D26" i="39" l="1"/>
  <c r="D18" i="39"/>
  <c r="G30" i="39"/>
  <c r="G22" i="39"/>
  <c r="G14" i="39"/>
  <c r="J26" i="39"/>
  <c r="J18" i="39"/>
  <c r="M30" i="39"/>
  <c r="M22" i="39"/>
  <c r="M14" i="39"/>
  <c r="P26" i="39"/>
  <c r="P18" i="39"/>
  <c r="M28" i="39"/>
  <c r="M20" i="39"/>
  <c r="M12" i="39"/>
  <c r="P24" i="39"/>
  <c r="P16" i="39"/>
  <c r="S65" i="42"/>
  <c r="V65" i="42" s="1"/>
  <c r="R65" i="42"/>
  <c r="S43" i="45"/>
  <c r="V43" i="45" s="1"/>
  <c r="R43" i="45"/>
  <c r="D27" i="39"/>
  <c r="D19" i="39"/>
  <c r="G31" i="39"/>
  <c r="G23" i="39"/>
  <c r="G15" i="39"/>
  <c r="J27" i="39"/>
  <c r="J19" i="39"/>
  <c r="M31" i="39"/>
  <c r="M23" i="39"/>
  <c r="M15" i="39"/>
  <c r="P27" i="39"/>
  <c r="S68" i="42"/>
  <c r="V68" i="42" s="1"/>
  <c r="R68" i="42"/>
  <c r="S49" i="46"/>
  <c r="V49" i="46" s="1"/>
  <c r="R49" i="46"/>
  <c r="G29" i="39"/>
  <c r="G13" i="39"/>
  <c r="D24" i="39"/>
  <c r="G28" i="39"/>
  <c r="J24" i="39"/>
  <c r="D31" i="39"/>
  <c r="D15" i="39"/>
  <c r="J31" i="39"/>
  <c r="J15" i="39"/>
  <c r="M19" i="39"/>
  <c r="P23" i="39"/>
  <c r="D30" i="39"/>
  <c r="D22" i="39"/>
  <c r="D14" i="39"/>
  <c r="G26" i="39"/>
  <c r="G18" i="39"/>
  <c r="J30" i="39"/>
  <c r="J22" i="39"/>
  <c r="J14" i="39"/>
  <c r="M26" i="39"/>
  <c r="M18" i="39"/>
  <c r="P30" i="39"/>
  <c r="P22" i="39"/>
  <c r="P14" i="39"/>
  <c r="D17" i="39"/>
  <c r="J17" i="39"/>
  <c r="G20" i="39"/>
  <c r="J16" i="39"/>
  <c r="G27" i="39"/>
  <c r="P31" i="39"/>
  <c r="D29" i="39"/>
  <c r="D21" i="39"/>
  <c r="D13" i="39"/>
  <c r="G25" i="39"/>
  <c r="G17" i="39"/>
  <c r="J29" i="39"/>
  <c r="J21" i="39"/>
  <c r="J13" i="39"/>
  <c r="M25" i="39"/>
  <c r="M17" i="39"/>
  <c r="P29" i="39"/>
  <c r="P21" i="39"/>
  <c r="P13" i="39"/>
  <c r="D25" i="39"/>
  <c r="G21" i="39"/>
  <c r="J25" i="39"/>
  <c r="D16" i="39"/>
  <c r="G12" i="39"/>
  <c r="D23" i="39"/>
  <c r="G19" i="39"/>
  <c r="J23" i="39"/>
  <c r="M27" i="39"/>
  <c r="P15" i="39"/>
  <c r="I18" i="43"/>
  <c r="I18" i="42" s="1"/>
  <c r="D28" i="39"/>
  <c r="D20" i="39"/>
  <c r="D12" i="39"/>
  <c r="G24" i="39"/>
  <c r="G16" i="39"/>
  <c r="J28" i="39"/>
  <c r="J20" i="39"/>
  <c r="J12" i="39"/>
  <c r="M24" i="39"/>
  <c r="M16" i="39"/>
  <c r="P28" i="39"/>
  <c r="P20" i="39"/>
  <c r="P12" i="39"/>
  <c r="S60" i="42"/>
  <c r="V60" i="42" s="1"/>
  <c r="R60" i="42"/>
  <c r="O44" i="44"/>
  <c r="N44" i="44"/>
  <c r="U18" i="42"/>
  <c r="C18" i="45"/>
  <c r="G18" i="45" s="1"/>
  <c r="J18" i="45" s="1"/>
  <c r="M18" i="43"/>
  <c r="M18" i="42" s="1"/>
  <c r="C18" i="46"/>
  <c r="G18" i="46" s="1"/>
  <c r="K18" i="46" s="1"/>
  <c r="N18" i="46" s="1"/>
  <c r="C18" i="43"/>
  <c r="G18" i="43" s="1"/>
  <c r="K18" i="43" s="1"/>
  <c r="Q18" i="43"/>
  <c r="Q18" i="42" s="1"/>
  <c r="P19" i="39"/>
  <c r="E18" i="43"/>
  <c r="E18" i="42" s="1"/>
  <c r="C18" i="44"/>
  <c r="G18" i="44" s="1"/>
  <c r="J18" i="44" s="1"/>
  <c r="H295" i="4"/>
  <c r="L295" i="4" s="1"/>
  <c r="C18" i="42"/>
  <c r="G18" i="42" s="1"/>
  <c r="F18" i="46"/>
  <c r="L148" i="4"/>
  <c r="H224" i="4"/>
  <c r="O224" i="4" s="1"/>
  <c r="O148" i="4"/>
  <c r="U148" i="4"/>
  <c r="I148" i="4"/>
  <c r="R148" i="4"/>
  <c r="U20" i="4"/>
  <c r="R20" i="4"/>
  <c r="O20" i="4"/>
  <c r="I20" i="4"/>
  <c r="L20" i="4"/>
  <c r="J194" i="42"/>
  <c r="K194" i="42"/>
  <c r="F194" i="42"/>
  <c r="K79" i="44"/>
  <c r="J79" i="44"/>
  <c r="F79" i="44"/>
  <c r="V195" i="4"/>
  <c r="X195" i="4" s="1"/>
  <c r="V100" i="4"/>
  <c r="X100" i="4" s="1"/>
  <c r="F98" i="43"/>
  <c r="K142" i="42"/>
  <c r="J142" i="42"/>
  <c r="F142" i="42"/>
  <c r="K141" i="42"/>
  <c r="J141" i="42"/>
  <c r="F141" i="42"/>
  <c r="J98" i="43"/>
  <c r="K98" i="43"/>
  <c r="K97" i="43"/>
  <c r="J97" i="43"/>
  <c r="F97" i="43"/>
  <c r="R101" i="4"/>
  <c r="L101" i="4"/>
  <c r="O101" i="4"/>
  <c r="F78" i="43"/>
  <c r="V76" i="4"/>
  <c r="X76" i="4" s="1"/>
  <c r="J122" i="42"/>
  <c r="K122" i="42"/>
  <c r="F122" i="42"/>
  <c r="K78" i="43"/>
  <c r="J78" i="43"/>
  <c r="W49" i="46" l="1"/>
  <c r="U295" i="4"/>
  <c r="W65" i="42"/>
  <c r="O295" i="4"/>
  <c r="W43" i="45"/>
  <c r="F18" i="44"/>
  <c r="V148" i="4"/>
  <c r="X148" i="4" s="1"/>
  <c r="K18" i="45"/>
  <c r="N18" i="45" s="1"/>
  <c r="K18" i="44"/>
  <c r="N18" i="44" s="1"/>
  <c r="F18" i="45"/>
  <c r="W68" i="42"/>
  <c r="J18" i="42"/>
  <c r="I295" i="4"/>
  <c r="W60" i="42"/>
  <c r="S44" i="44"/>
  <c r="V44" i="44" s="1"/>
  <c r="R44" i="44"/>
  <c r="J18" i="46"/>
  <c r="F18" i="43"/>
  <c r="O18" i="46"/>
  <c r="S18" i="46" s="1"/>
  <c r="V18" i="46" s="1"/>
  <c r="J18" i="43"/>
  <c r="F18" i="42"/>
  <c r="R295" i="4"/>
  <c r="K18" i="42"/>
  <c r="N18" i="42" s="1"/>
  <c r="K19" i="39"/>
  <c r="O18" i="43"/>
  <c r="N18" i="43"/>
  <c r="R224" i="4"/>
  <c r="I224" i="4"/>
  <c r="V20" i="4"/>
  <c r="X20" i="4" s="1"/>
  <c r="U224" i="4"/>
  <c r="L224" i="4"/>
  <c r="H19" i="39" s="1"/>
  <c r="O194" i="42"/>
  <c r="N194" i="42"/>
  <c r="O79" i="44"/>
  <c r="N79" i="44"/>
  <c r="V101" i="4"/>
  <c r="X101" i="4" s="1"/>
  <c r="O142" i="42"/>
  <c r="N142" i="42"/>
  <c r="O141" i="42"/>
  <c r="N141" i="42"/>
  <c r="O98" i="43"/>
  <c r="N98" i="43"/>
  <c r="N97" i="43"/>
  <c r="O97" i="43"/>
  <c r="N122" i="42"/>
  <c r="O122" i="42"/>
  <c r="O78" i="43"/>
  <c r="N78" i="43"/>
  <c r="N19" i="39" l="1"/>
  <c r="Q19" i="39"/>
  <c r="V295" i="4"/>
  <c r="X295" i="4" s="1"/>
  <c r="O18" i="44"/>
  <c r="O18" i="45"/>
  <c r="S18" i="45" s="1"/>
  <c r="V18" i="45" s="1"/>
  <c r="O18" i="42"/>
  <c r="R18" i="42" s="1"/>
  <c r="W44" i="44"/>
  <c r="E19" i="39"/>
  <c r="R18" i="46"/>
  <c r="W18" i="46" s="1"/>
  <c r="V224" i="4"/>
  <c r="X224" i="4" s="1"/>
  <c r="S18" i="43"/>
  <c r="V18" i="43" s="1"/>
  <c r="R18" i="43"/>
  <c r="S18" i="44"/>
  <c r="V18" i="44" s="1"/>
  <c r="R18" i="44"/>
  <c r="S194" i="42"/>
  <c r="V194" i="42" s="1"/>
  <c r="R194" i="42"/>
  <c r="S79" i="44"/>
  <c r="V79" i="44" s="1"/>
  <c r="R79" i="44"/>
  <c r="R142" i="42"/>
  <c r="S142" i="42"/>
  <c r="V142" i="42" s="1"/>
  <c r="S141" i="42"/>
  <c r="V141" i="42" s="1"/>
  <c r="R141" i="42"/>
  <c r="R98" i="43"/>
  <c r="S98" i="43"/>
  <c r="V98" i="43" s="1"/>
  <c r="S97" i="43"/>
  <c r="V97" i="43" s="1"/>
  <c r="R97" i="43"/>
  <c r="S122" i="42"/>
  <c r="V122" i="42" s="1"/>
  <c r="R122" i="42"/>
  <c r="S78" i="43"/>
  <c r="V78" i="43" s="1"/>
  <c r="R78" i="43"/>
  <c r="R19" i="39" l="1"/>
  <c r="S18" i="42"/>
  <c r="V18" i="42" s="1"/>
  <c r="W18" i="42" s="1"/>
  <c r="R18" i="45"/>
  <c r="W18" i="45" s="1"/>
  <c r="W18" i="43"/>
  <c r="W18" i="44"/>
  <c r="W79" i="44"/>
  <c r="W141" i="42"/>
  <c r="W194" i="42"/>
  <c r="W97" i="43"/>
  <c r="W142" i="42"/>
  <c r="W98" i="43"/>
  <c r="W78" i="43"/>
  <c r="W122" i="42"/>
  <c r="G258" i="4" l="1"/>
  <c r="H57" i="46"/>
  <c r="B57" i="46"/>
  <c r="A57" i="46"/>
  <c r="C230" i="42"/>
  <c r="G230" i="42" s="1"/>
  <c r="B230" i="42"/>
  <c r="A230" i="42"/>
  <c r="B229" i="42"/>
  <c r="A229" i="42"/>
  <c r="C228" i="42"/>
  <c r="G228" i="42" s="1"/>
  <c r="B228" i="42"/>
  <c r="A228" i="42"/>
  <c r="C227" i="42"/>
  <c r="G227" i="42" s="1"/>
  <c r="K227" i="42" s="1"/>
  <c r="B227" i="42"/>
  <c r="A227" i="42"/>
  <c r="T226" i="42"/>
  <c r="P226" i="42"/>
  <c r="L226" i="42"/>
  <c r="H226" i="42"/>
  <c r="D226" i="42"/>
  <c r="C226" i="42"/>
  <c r="G226" i="42" s="1"/>
  <c r="B226" i="42"/>
  <c r="A226" i="42"/>
  <c r="C225" i="42"/>
  <c r="G225" i="42" s="1"/>
  <c r="B225" i="42"/>
  <c r="A225" i="42"/>
  <c r="T224" i="42"/>
  <c r="P224" i="42"/>
  <c r="L224" i="42"/>
  <c r="H224" i="42"/>
  <c r="D224" i="42"/>
  <c r="B224" i="42"/>
  <c r="A224" i="42"/>
  <c r="C223" i="42"/>
  <c r="G223" i="42" s="1"/>
  <c r="B223" i="42"/>
  <c r="A223" i="42"/>
  <c r="T222" i="42"/>
  <c r="P222" i="42"/>
  <c r="L222" i="42"/>
  <c r="H222" i="42"/>
  <c r="D222" i="42"/>
  <c r="C222" i="42"/>
  <c r="G222" i="42" s="1"/>
  <c r="B222" i="42"/>
  <c r="A222" i="42"/>
  <c r="T221" i="42"/>
  <c r="P221" i="42"/>
  <c r="L221" i="42"/>
  <c r="H221" i="42"/>
  <c r="D221" i="42"/>
  <c r="C221" i="42"/>
  <c r="G221" i="42" s="1"/>
  <c r="B221" i="42"/>
  <c r="A221" i="42"/>
  <c r="B220" i="42"/>
  <c r="A220" i="42"/>
  <c r="T188" i="42"/>
  <c r="P188" i="42"/>
  <c r="L188" i="42"/>
  <c r="H188" i="42"/>
  <c r="D188" i="42"/>
  <c r="C188" i="42"/>
  <c r="G188" i="42" s="1"/>
  <c r="B188" i="42"/>
  <c r="A188" i="42"/>
  <c r="T187" i="42"/>
  <c r="P187" i="42"/>
  <c r="L187" i="42"/>
  <c r="D187" i="42"/>
  <c r="C187" i="42"/>
  <c r="H187" i="42"/>
  <c r="B187" i="42"/>
  <c r="T185" i="42"/>
  <c r="P185" i="42"/>
  <c r="L185" i="42"/>
  <c r="H185" i="42"/>
  <c r="D185" i="42"/>
  <c r="C185" i="42"/>
  <c r="G185" i="42" s="1"/>
  <c r="B185" i="42"/>
  <c r="A185" i="42"/>
  <c r="T184" i="42"/>
  <c r="P184" i="42"/>
  <c r="L184" i="42"/>
  <c r="H184" i="42"/>
  <c r="D184" i="42"/>
  <c r="B184" i="42"/>
  <c r="A184" i="42"/>
  <c r="T183" i="42"/>
  <c r="P183" i="42"/>
  <c r="L183" i="42"/>
  <c r="H183" i="42"/>
  <c r="D183" i="42"/>
  <c r="C183" i="42"/>
  <c r="G183" i="42" s="1"/>
  <c r="B183" i="42"/>
  <c r="A183" i="42"/>
  <c r="H182" i="42"/>
  <c r="B182" i="42"/>
  <c r="A182" i="42"/>
  <c r="P181" i="42"/>
  <c r="L181" i="42"/>
  <c r="H181" i="42"/>
  <c r="B181" i="42"/>
  <c r="A181" i="42"/>
  <c r="T192" i="42"/>
  <c r="P192" i="42"/>
  <c r="L192" i="42"/>
  <c r="H192" i="42"/>
  <c r="D192" i="42"/>
  <c r="C192" i="42"/>
  <c r="G192" i="42" s="1"/>
  <c r="B192" i="42"/>
  <c r="A192" i="42"/>
  <c r="T201" i="42"/>
  <c r="P201" i="42"/>
  <c r="L201" i="42"/>
  <c r="H201" i="42"/>
  <c r="D201" i="42"/>
  <c r="C201" i="42"/>
  <c r="G201" i="42" s="1"/>
  <c r="B201" i="42"/>
  <c r="A201" i="42"/>
  <c r="T200" i="42"/>
  <c r="P200" i="42"/>
  <c r="L200" i="42"/>
  <c r="H200" i="42"/>
  <c r="D200" i="42"/>
  <c r="C200" i="42"/>
  <c r="G200" i="42" s="1"/>
  <c r="B200" i="42"/>
  <c r="A200" i="42"/>
  <c r="T199" i="42"/>
  <c r="P199" i="42"/>
  <c r="L199" i="42"/>
  <c r="H199" i="42"/>
  <c r="D199" i="42"/>
  <c r="C199" i="42"/>
  <c r="G199" i="42" s="1"/>
  <c r="B199" i="42"/>
  <c r="A199" i="42"/>
  <c r="T198" i="42"/>
  <c r="P198" i="42"/>
  <c r="L198" i="42"/>
  <c r="H198" i="42"/>
  <c r="D198" i="42"/>
  <c r="C198" i="42"/>
  <c r="B198" i="42"/>
  <c r="A198" i="42"/>
  <c r="T180" i="42"/>
  <c r="P180" i="42"/>
  <c r="L180" i="42"/>
  <c r="H180" i="42"/>
  <c r="D180" i="42"/>
  <c r="C180" i="42"/>
  <c r="G180" i="42" s="1"/>
  <c r="B180" i="42"/>
  <c r="A180" i="42"/>
  <c r="T179" i="42"/>
  <c r="P179" i="42"/>
  <c r="L179" i="42"/>
  <c r="H179" i="42"/>
  <c r="D179" i="42"/>
  <c r="B179" i="42"/>
  <c r="A179" i="42"/>
  <c r="B178" i="42"/>
  <c r="A178" i="42"/>
  <c r="D177" i="42"/>
  <c r="B177" i="42"/>
  <c r="A177" i="42"/>
  <c r="T176" i="42"/>
  <c r="P176" i="42"/>
  <c r="L176" i="42"/>
  <c r="H176" i="42"/>
  <c r="D176" i="42"/>
  <c r="C176" i="42"/>
  <c r="B176" i="42"/>
  <c r="A176" i="42"/>
  <c r="T175" i="42"/>
  <c r="P175" i="42"/>
  <c r="L175" i="42"/>
  <c r="H175" i="42"/>
  <c r="D175" i="42"/>
  <c r="B175" i="42"/>
  <c r="A175" i="42"/>
  <c r="T197" i="42"/>
  <c r="P197" i="42"/>
  <c r="L197" i="42"/>
  <c r="H197" i="42"/>
  <c r="D197" i="42"/>
  <c r="C197" i="42"/>
  <c r="G197" i="42" s="1"/>
  <c r="K197" i="42" s="1"/>
  <c r="B197" i="42"/>
  <c r="A197" i="42"/>
  <c r="T196" i="42"/>
  <c r="P196" i="42"/>
  <c r="L196" i="42"/>
  <c r="H196" i="42"/>
  <c r="D196" i="42"/>
  <c r="C196" i="42"/>
  <c r="G196" i="42" s="1"/>
  <c r="B196" i="42"/>
  <c r="A196" i="42"/>
  <c r="T195" i="42"/>
  <c r="P195" i="42"/>
  <c r="L195" i="42"/>
  <c r="H195" i="42"/>
  <c r="D195" i="42"/>
  <c r="C195" i="42"/>
  <c r="B195" i="42"/>
  <c r="A195" i="42"/>
  <c r="T191" i="42"/>
  <c r="P191" i="42"/>
  <c r="L191" i="42"/>
  <c r="H191" i="42"/>
  <c r="D191" i="42"/>
  <c r="C191" i="42"/>
  <c r="G191" i="42" s="1"/>
  <c r="B191" i="42"/>
  <c r="A191" i="42"/>
  <c r="T190" i="42"/>
  <c r="P190" i="42"/>
  <c r="L190" i="42"/>
  <c r="H190" i="42"/>
  <c r="D190" i="42"/>
  <c r="C190" i="42"/>
  <c r="B190" i="42"/>
  <c r="A190" i="42"/>
  <c r="T174" i="42"/>
  <c r="P174" i="42"/>
  <c r="L174" i="42"/>
  <c r="H174" i="42"/>
  <c r="D174" i="42"/>
  <c r="B174" i="42"/>
  <c r="A174" i="42"/>
  <c r="T173" i="42"/>
  <c r="P173" i="42"/>
  <c r="L173" i="42"/>
  <c r="H173" i="42"/>
  <c r="D173" i="42"/>
  <c r="B173" i="42"/>
  <c r="A173" i="42"/>
  <c r="T166" i="42"/>
  <c r="P166" i="42"/>
  <c r="L166" i="42"/>
  <c r="H166" i="42"/>
  <c r="D166" i="42"/>
  <c r="C166" i="42"/>
  <c r="G166" i="42" s="1"/>
  <c r="B166" i="42"/>
  <c r="A166" i="42"/>
  <c r="T165" i="42"/>
  <c r="P165" i="42"/>
  <c r="L165" i="42"/>
  <c r="H165" i="42"/>
  <c r="D165" i="42"/>
  <c r="C165" i="42"/>
  <c r="G165" i="42" s="1"/>
  <c r="K165" i="42" s="1"/>
  <c r="O165" i="42" s="1"/>
  <c r="B165" i="42"/>
  <c r="A165" i="42"/>
  <c r="H164" i="42"/>
  <c r="T164" i="42"/>
  <c r="P164" i="42"/>
  <c r="L164" i="42"/>
  <c r="D164" i="42"/>
  <c r="C164" i="42"/>
  <c r="G164" i="42" s="1"/>
  <c r="B164" i="42"/>
  <c r="A164" i="42"/>
  <c r="T162" i="42"/>
  <c r="P162" i="42"/>
  <c r="L162" i="42"/>
  <c r="H162" i="42"/>
  <c r="D162" i="42"/>
  <c r="C162" i="42"/>
  <c r="G162" i="42" s="1"/>
  <c r="K162" i="42" s="1"/>
  <c r="O162" i="42" s="1"/>
  <c r="S162" i="42" s="1"/>
  <c r="B162" i="42"/>
  <c r="A162" i="42"/>
  <c r="T161" i="42"/>
  <c r="P161" i="42"/>
  <c r="L161" i="42"/>
  <c r="H161" i="42"/>
  <c r="D161" i="42"/>
  <c r="C161" i="42"/>
  <c r="G161" i="42" s="1"/>
  <c r="B161" i="42"/>
  <c r="A161" i="42"/>
  <c r="T160" i="42"/>
  <c r="P160" i="42"/>
  <c r="L160" i="42"/>
  <c r="H160" i="42"/>
  <c r="D160" i="42"/>
  <c r="C160" i="42"/>
  <c r="G160" i="42" s="1"/>
  <c r="K160" i="42" s="1"/>
  <c r="B160" i="42"/>
  <c r="A160" i="42"/>
  <c r="T159" i="42"/>
  <c r="P159" i="42"/>
  <c r="L159" i="42"/>
  <c r="H159" i="42"/>
  <c r="D159" i="42"/>
  <c r="C159" i="42"/>
  <c r="G159" i="42" s="1"/>
  <c r="B159" i="42"/>
  <c r="A159" i="42"/>
  <c r="T158" i="42"/>
  <c r="P158" i="42"/>
  <c r="L158" i="42"/>
  <c r="H158" i="42"/>
  <c r="D158" i="42"/>
  <c r="C158" i="42"/>
  <c r="G158" i="42" s="1"/>
  <c r="B158" i="42"/>
  <c r="A158" i="42"/>
  <c r="A157" i="42"/>
  <c r="T156" i="42"/>
  <c r="P156" i="42"/>
  <c r="L156" i="42"/>
  <c r="H156" i="42"/>
  <c r="D156" i="42"/>
  <c r="C156" i="42"/>
  <c r="G156" i="42" s="1"/>
  <c r="B156" i="42"/>
  <c r="A156" i="42"/>
  <c r="T155" i="42"/>
  <c r="P155" i="42"/>
  <c r="L155" i="42"/>
  <c r="H155" i="42"/>
  <c r="D155" i="42"/>
  <c r="C155" i="42"/>
  <c r="G155" i="42" s="1"/>
  <c r="B155" i="42"/>
  <c r="A155" i="42"/>
  <c r="T154" i="42"/>
  <c r="P154" i="42"/>
  <c r="L154" i="42"/>
  <c r="H154" i="42"/>
  <c r="D154" i="42"/>
  <c r="C154" i="42"/>
  <c r="G154" i="42" s="1"/>
  <c r="B154" i="42"/>
  <c r="A154" i="42"/>
  <c r="T153" i="42"/>
  <c r="P153" i="42"/>
  <c r="L153" i="42"/>
  <c r="H153" i="42"/>
  <c r="D153" i="42"/>
  <c r="C153" i="42"/>
  <c r="B153" i="42"/>
  <c r="A153" i="42"/>
  <c r="T115" i="42"/>
  <c r="P115" i="42"/>
  <c r="L115" i="42"/>
  <c r="H115" i="42"/>
  <c r="D115" i="42"/>
  <c r="B115" i="42"/>
  <c r="A115" i="42"/>
  <c r="T114" i="42"/>
  <c r="P114" i="42"/>
  <c r="L114" i="42"/>
  <c r="H114" i="42"/>
  <c r="D114" i="42"/>
  <c r="C114" i="42"/>
  <c r="G114" i="42" s="1"/>
  <c r="B114" i="42"/>
  <c r="A114" i="42"/>
  <c r="T113" i="42"/>
  <c r="P113" i="42"/>
  <c r="L113" i="42"/>
  <c r="H113" i="42"/>
  <c r="D113" i="42"/>
  <c r="B113" i="42"/>
  <c r="A113" i="42"/>
  <c r="T112" i="42"/>
  <c r="P112" i="42"/>
  <c r="L112" i="42"/>
  <c r="H112" i="42"/>
  <c r="D112" i="42"/>
  <c r="C112" i="42"/>
  <c r="G112" i="42" s="1"/>
  <c r="B112" i="42"/>
  <c r="A112" i="42"/>
  <c r="T111" i="42"/>
  <c r="P111" i="42"/>
  <c r="L111" i="42"/>
  <c r="H111" i="42"/>
  <c r="D111" i="42"/>
  <c r="C111" i="42"/>
  <c r="G111" i="42" s="1"/>
  <c r="B111" i="42"/>
  <c r="A111" i="42"/>
  <c r="T110" i="42"/>
  <c r="P110" i="42"/>
  <c r="L110" i="42"/>
  <c r="H110" i="42"/>
  <c r="D110" i="42"/>
  <c r="B110" i="42"/>
  <c r="A110" i="42"/>
  <c r="C109" i="42"/>
  <c r="G109" i="42" s="1"/>
  <c r="B109" i="42"/>
  <c r="A109" i="42"/>
  <c r="T107" i="42"/>
  <c r="P107" i="42"/>
  <c r="L107" i="42"/>
  <c r="H107" i="42"/>
  <c r="D107" i="42"/>
  <c r="C107" i="42"/>
  <c r="G107" i="42" s="1"/>
  <c r="B107" i="42"/>
  <c r="A107" i="42"/>
  <c r="C99" i="42"/>
  <c r="G99" i="42" s="1"/>
  <c r="T106" i="42"/>
  <c r="P106" i="42"/>
  <c r="L106" i="42"/>
  <c r="H106" i="42"/>
  <c r="D106" i="42"/>
  <c r="C106" i="42"/>
  <c r="G106" i="42" s="1"/>
  <c r="B106" i="42"/>
  <c r="A106" i="42"/>
  <c r="T105" i="42"/>
  <c r="P105" i="42"/>
  <c r="L105" i="42"/>
  <c r="H105" i="42"/>
  <c r="D105" i="42"/>
  <c r="B105" i="42"/>
  <c r="A105" i="42"/>
  <c r="T104" i="42"/>
  <c r="P104" i="42"/>
  <c r="L104" i="42"/>
  <c r="H104" i="42"/>
  <c r="D104" i="42"/>
  <c r="C104" i="42"/>
  <c r="G104" i="42" s="1"/>
  <c r="B104" i="42"/>
  <c r="A104" i="42"/>
  <c r="T103" i="42"/>
  <c r="P103" i="42"/>
  <c r="L103" i="42"/>
  <c r="H103" i="42"/>
  <c r="D103" i="42"/>
  <c r="C103" i="42"/>
  <c r="G103" i="42" s="1"/>
  <c r="B103" i="42"/>
  <c r="A103" i="42"/>
  <c r="T101" i="42"/>
  <c r="P101" i="42"/>
  <c r="L101" i="42"/>
  <c r="H101" i="42"/>
  <c r="D101" i="42"/>
  <c r="B101" i="42"/>
  <c r="A101" i="42"/>
  <c r="T100" i="42"/>
  <c r="P100" i="42"/>
  <c r="L100" i="42"/>
  <c r="H100" i="42"/>
  <c r="D100" i="42"/>
  <c r="B100" i="42"/>
  <c r="A100" i="42"/>
  <c r="T99" i="42"/>
  <c r="P99" i="42"/>
  <c r="L99" i="42"/>
  <c r="H99" i="42"/>
  <c r="D99" i="42"/>
  <c r="B99" i="42"/>
  <c r="A99" i="42"/>
  <c r="T98" i="42"/>
  <c r="P98" i="42"/>
  <c r="L98" i="42"/>
  <c r="H98" i="42"/>
  <c r="D98" i="42"/>
  <c r="C98" i="42"/>
  <c r="G98" i="42" s="1"/>
  <c r="B98" i="42"/>
  <c r="A98" i="42"/>
  <c r="T97" i="42"/>
  <c r="P97" i="42"/>
  <c r="L97" i="42"/>
  <c r="H97" i="42"/>
  <c r="D97" i="42"/>
  <c r="C97" i="42"/>
  <c r="G97" i="42" s="1"/>
  <c r="B97" i="42"/>
  <c r="A97" i="42"/>
  <c r="D95" i="42"/>
  <c r="T128" i="42"/>
  <c r="P128" i="42"/>
  <c r="L128" i="42"/>
  <c r="H128" i="42"/>
  <c r="D128" i="42"/>
  <c r="C128" i="42"/>
  <c r="B128" i="42"/>
  <c r="A128" i="42"/>
  <c r="T75" i="42"/>
  <c r="P75" i="42"/>
  <c r="L75" i="42"/>
  <c r="H75" i="42"/>
  <c r="D75" i="42"/>
  <c r="T74" i="42"/>
  <c r="B91" i="42"/>
  <c r="A91" i="42"/>
  <c r="B90" i="42"/>
  <c r="A90" i="42"/>
  <c r="B89" i="42"/>
  <c r="A89" i="42"/>
  <c r="B88" i="42"/>
  <c r="A88" i="42"/>
  <c r="H87" i="42"/>
  <c r="B87" i="42"/>
  <c r="A87" i="42"/>
  <c r="B86" i="42"/>
  <c r="A86" i="42"/>
  <c r="D85" i="42"/>
  <c r="B85" i="42"/>
  <c r="A85" i="42"/>
  <c r="B84" i="42"/>
  <c r="A84" i="42"/>
  <c r="B83" i="42"/>
  <c r="A83" i="42"/>
  <c r="B82" i="42"/>
  <c r="A82" i="42"/>
  <c r="C72" i="42"/>
  <c r="G72" i="42" s="1"/>
  <c r="K72" i="42" s="1"/>
  <c r="O72" i="42" s="1"/>
  <c r="S72" i="42" s="1"/>
  <c r="B72" i="42"/>
  <c r="A72" i="42"/>
  <c r="T71" i="42"/>
  <c r="P71" i="42"/>
  <c r="L71" i="42"/>
  <c r="H71" i="42"/>
  <c r="D71" i="42"/>
  <c r="B71" i="42"/>
  <c r="A71" i="42"/>
  <c r="T70" i="42"/>
  <c r="P70" i="42"/>
  <c r="L70" i="42"/>
  <c r="H70" i="42"/>
  <c r="D70" i="42"/>
  <c r="C70" i="42"/>
  <c r="G70" i="42" s="1"/>
  <c r="K70" i="42" s="1"/>
  <c r="O70" i="42" s="1"/>
  <c r="S70" i="42" s="1"/>
  <c r="B70" i="42"/>
  <c r="A70" i="42"/>
  <c r="C69" i="42"/>
  <c r="G69" i="42" s="1"/>
  <c r="K69" i="42" s="1"/>
  <c r="O69" i="42" s="1"/>
  <c r="S69" i="42" s="1"/>
  <c r="T69" i="42"/>
  <c r="D69" i="42"/>
  <c r="B69" i="42"/>
  <c r="T67" i="42"/>
  <c r="P67" i="42"/>
  <c r="L67" i="42"/>
  <c r="H67" i="42"/>
  <c r="C67" i="42"/>
  <c r="G67" i="42" s="1"/>
  <c r="K67" i="42" s="1"/>
  <c r="O67" i="42" s="1"/>
  <c r="S67" i="42" s="1"/>
  <c r="B67" i="42"/>
  <c r="A67" i="42"/>
  <c r="T66" i="42"/>
  <c r="P66" i="42"/>
  <c r="L66" i="42"/>
  <c r="H66" i="42"/>
  <c r="D66" i="42"/>
  <c r="C66" i="42"/>
  <c r="G66" i="42" s="1"/>
  <c r="K66" i="42" s="1"/>
  <c r="O66" i="42" s="1"/>
  <c r="S66" i="42" s="1"/>
  <c r="B66" i="42"/>
  <c r="A66" i="42"/>
  <c r="T64" i="42"/>
  <c r="P64" i="42"/>
  <c r="L64" i="42"/>
  <c r="H64" i="42"/>
  <c r="D64" i="42"/>
  <c r="C64" i="42"/>
  <c r="G64" i="42" s="1"/>
  <c r="K64" i="42" s="1"/>
  <c r="O64" i="42" s="1"/>
  <c r="S64" i="42" s="1"/>
  <c r="B64" i="42"/>
  <c r="A64" i="42"/>
  <c r="C63" i="42"/>
  <c r="G63" i="42" s="1"/>
  <c r="K63" i="42" s="1"/>
  <c r="O63" i="42" s="1"/>
  <c r="S63" i="42" s="1"/>
  <c r="B63" i="42"/>
  <c r="A63" i="42"/>
  <c r="C62" i="42"/>
  <c r="G62" i="42" s="1"/>
  <c r="K62" i="42" s="1"/>
  <c r="O62" i="42" s="1"/>
  <c r="S62" i="42" s="1"/>
  <c r="B62" i="42"/>
  <c r="A62" i="42"/>
  <c r="T61" i="42"/>
  <c r="P61" i="42"/>
  <c r="L61" i="42"/>
  <c r="H61" i="42"/>
  <c r="D61" i="42"/>
  <c r="C61" i="42"/>
  <c r="G61" i="42" s="1"/>
  <c r="K61" i="42" s="1"/>
  <c r="O61" i="42" s="1"/>
  <c r="S61" i="42" s="1"/>
  <c r="B61" i="42"/>
  <c r="A61" i="42"/>
  <c r="T55" i="42"/>
  <c r="P55" i="42"/>
  <c r="L55" i="42"/>
  <c r="H55" i="42"/>
  <c r="D55" i="42"/>
  <c r="B55" i="42"/>
  <c r="A55" i="42"/>
  <c r="T54" i="42"/>
  <c r="P54" i="42"/>
  <c r="L54" i="42"/>
  <c r="H54" i="42"/>
  <c r="D54" i="42"/>
  <c r="B54" i="42"/>
  <c r="A54" i="42"/>
  <c r="T53" i="42"/>
  <c r="P53" i="42"/>
  <c r="L53" i="42"/>
  <c r="H53" i="42"/>
  <c r="D53" i="42"/>
  <c r="B53" i="42"/>
  <c r="A53" i="42"/>
  <c r="P52" i="42"/>
  <c r="L52" i="42"/>
  <c r="H52" i="42"/>
  <c r="T52" i="42"/>
  <c r="D52" i="42"/>
  <c r="B52" i="42"/>
  <c r="A52" i="42"/>
  <c r="A11" i="42"/>
  <c r="B11" i="42"/>
  <c r="D11" i="42"/>
  <c r="A12" i="42"/>
  <c r="B12" i="42"/>
  <c r="D12" i="42"/>
  <c r="A13" i="42"/>
  <c r="B13" i="42"/>
  <c r="D13" i="42"/>
  <c r="A14" i="42"/>
  <c r="B14" i="42"/>
  <c r="D14" i="42"/>
  <c r="A15" i="42"/>
  <c r="B15" i="42"/>
  <c r="D15" i="42"/>
  <c r="A16" i="42"/>
  <c r="B16" i="42"/>
  <c r="D16" i="42"/>
  <c r="A17" i="42"/>
  <c r="B17" i="42"/>
  <c r="D17" i="42"/>
  <c r="A19" i="42"/>
  <c r="B19" i="42"/>
  <c r="D19" i="42"/>
  <c r="A20" i="42"/>
  <c r="B20" i="42"/>
  <c r="D20" i="42"/>
  <c r="A21" i="42"/>
  <c r="B21" i="42"/>
  <c r="D21" i="42"/>
  <c r="A22" i="42"/>
  <c r="B22" i="42"/>
  <c r="D22" i="42"/>
  <c r="A23" i="42"/>
  <c r="B23" i="42"/>
  <c r="D23" i="42"/>
  <c r="A24" i="42"/>
  <c r="B24" i="42"/>
  <c r="D24" i="42"/>
  <c r="A25" i="42"/>
  <c r="B25" i="42"/>
  <c r="D25" i="42"/>
  <c r="A26" i="42"/>
  <c r="B26" i="42"/>
  <c r="D26" i="42"/>
  <c r="A27" i="42"/>
  <c r="B27" i="42"/>
  <c r="D27" i="42"/>
  <c r="A28" i="42"/>
  <c r="B28" i="42"/>
  <c r="D28" i="42"/>
  <c r="A29" i="42"/>
  <c r="B29" i="42"/>
  <c r="D29" i="42"/>
  <c r="A30" i="42"/>
  <c r="B30" i="42"/>
  <c r="D30" i="42"/>
  <c r="W233" i="42"/>
  <c r="W144" i="43"/>
  <c r="T125" i="43"/>
  <c r="P125" i="43"/>
  <c r="L125" i="43"/>
  <c r="H125" i="43"/>
  <c r="D125" i="43"/>
  <c r="B125" i="43"/>
  <c r="A125" i="43"/>
  <c r="T111" i="43"/>
  <c r="P111" i="43"/>
  <c r="L111" i="43"/>
  <c r="H111" i="43"/>
  <c r="D111" i="43"/>
  <c r="C111" i="43"/>
  <c r="G111" i="43" s="1"/>
  <c r="K111" i="43" s="1"/>
  <c r="O111" i="43" s="1"/>
  <c r="S111" i="43" s="1"/>
  <c r="B111" i="43"/>
  <c r="A111" i="43"/>
  <c r="T109" i="43"/>
  <c r="P109" i="43"/>
  <c r="L109" i="43"/>
  <c r="H109" i="43"/>
  <c r="D109" i="43"/>
  <c r="C109" i="43"/>
  <c r="G109" i="43" s="1"/>
  <c r="K109" i="43" s="1"/>
  <c r="O109" i="43" s="1"/>
  <c r="S109" i="43" s="1"/>
  <c r="B109" i="43"/>
  <c r="A109" i="43"/>
  <c r="T84" i="43"/>
  <c r="P84" i="43"/>
  <c r="L84" i="43"/>
  <c r="H84" i="43"/>
  <c r="D84" i="43"/>
  <c r="C84" i="43"/>
  <c r="G84" i="43" s="1"/>
  <c r="B84" i="43"/>
  <c r="A84" i="43"/>
  <c r="T77" i="43"/>
  <c r="P77" i="43"/>
  <c r="L77" i="43"/>
  <c r="H77" i="43"/>
  <c r="D77" i="43"/>
  <c r="C77" i="43"/>
  <c r="G77" i="43" s="1"/>
  <c r="B77" i="43"/>
  <c r="A77" i="43"/>
  <c r="T76" i="43"/>
  <c r="P76" i="43"/>
  <c r="L76" i="43"/>
  <c r="H76" i="43"/>
  <c r="D76" i="43"/>
  <c r="C76" i="43"/>
  <c r="G76" i="43" s="1"/>
  <c r="B76" i="43"/>
  <c r="A76" i="43"/>
  <c r="T75" i="43"/>
  <c r="P75" i="43"/>
  <c r="L75" i="43"/>
  <c r="H75" i="43"/>
  <c r="D75" i="43"/>
  <c r="C75" i="43"/>
  <c r="G75" i="43" s="1"/>
  <c r="B75" i="43"/>
  <c r="A75" i="43"/>
  <c r="T101" i="44"/>
  <c r="P101" i="44"/>
  <c r="L101" i="44"/>
  <c r="H101" i="44"/>
  <c r="D101" i="44"/>
  <c r="C101" i="44"/>
  <c r="G101" i="44" s="1"/>
  <c r="B101" i="44"/>
  <c r="A101" i="44"/>
  <c r="T100" i="44"/>
  <c r="P100" i="44"/>
  <c r="L100" i="44"/>
  <c r="H100" i="44"/>
  <c r="D100" i="44"/>
  <c r="C100" i="44"/>
  <c r="B100" i="44"/>
  <c r="A100" i="44"/>
  <c r="B99" i="44"/>
  <c r="A99" i="44"/>
  <c r="T86" i="44"/>
  <c r="P86" i="44"/>
  <c r="L86" i="44"/>
  <c r="H86" i="44"/>
  <c r="D86" i="44"/>
  <c r="C86" i="44"/>
  <c r="G86" i="44" s="1"/>
  <c r="B86" i="44"/>
  <c r="A86" i="44"/>
  <c r="T85" i="44"/>
  <c r="P85" i="44"/>
  <c r="L85" i="44"/>
  <c r="H85" i="44"/>
  <c r="D85" i="44"/>
  <c r="C85" i="44"/>
  <c r="G85" i="44" s="1"/>
  <c r="B85" i="44"/>
  <c r="A85" i="44"/>
  <c r="T83" i="44"/>
  <c r="P83" i="44"/>
  <c r="L83" i="44"/>
  <c r="H83" i="44"/>
  <c r="D83" i="44"/>
  <c r="B83" i="44"/>
  <c r="A83" i="44"/>
  <c r="T82" i="44"/>
  <c r="P82" i="44"/>
  <c r="L82" i="44"/>
  <c r="H82" i="44"/>
  <c r="D82" i="44"/>
  <c r="B82" i="44"/>
  <c r="A82" i="44"/>
  <c r="B54" i="44"/>
  <c r="A54" i="44"/>
  <c r="B52" i="44"/>
  <c r="A52" i="44"/>
  <c r="C47" i="44"/>
  <c r="G47" i="44" s="1"/>
  <c r="K47" i="44" s="1"/>
  <c r="O47" i="44" s="1"/>
  <c r="S47" i="44" s="1"/>
  <c r="B47" i="44"/>
  <c r="A47" i="44"/>
  <c r="T45" i="44"/>
  <c r="P45" i="44"/>
  <c r="L45" i="44"/>
  <c r="H45" i="44"/>
  <c r="D45" i="44"/>
  <c r="C45" i="44"/>
  <c r="G45" i="44" s="1"/>
  <c r="K45" i="44" s="1"/>
  <c r="O45" i="44" s="1"/>
  <c r="S45" i="44" s="1"/>
  <c r="B45" i="44"/>
  <c r="A45" i="44"/>
  <c r="T74" i="44"/>
  <c r="P74" i="44"/>
  <c r="L74" i="44"/>
  <c r="H74" i="44"/>
  <c r="D74" i="44"/>
  <c r="C74" i="44"/>
  <c r="G74" i="44" s="1"/>
  <c r="B74" i="44"/>
  <c r="A74" i="44"/>
  <c r="T63" i="44"/>
  <c r="P63" i="44"/>
  <c r="L63" i="44"/>
  <c r="H63" i="44"/>
  <c r="D63" i="44"/>
  <c r="C63" i="44"/>
  <c r="B63" i="44"/>
  <c r="A63" i="44"/>
  <c r="A61" i="44"/>
  <c r="T62" i="44"/>
  <c r="P62" i="44"/>
  <c r="L62" i="44"/>
  <c r="H62" i="44"/>
  <c r="D62" i="44"/>
  <c r="C62" i="44"/>
  <c r="G62" i="44" s="1"/>
  <c r="B62" i="44"/>
  <c r="A62" i="44"/>
  <c r="T61" i="44"/>
  <c r="P61" i="44"/>
  <c r="L61" i="44"/>
  <c r="H61" i="44"/>
  <c r="D61" i="44"/>
  <c r="B61" i="44"/>
  <c r="T60" i="44"/>
  <c r="P60" i="44"/>
  <c r="L60" i="44"/>
  <c r="H60" i="44"/>
  <c r="D60" i="44"/>
  <c r="C60" i="44"/>
  <c r="G60" i="44" s="1"/>
  <c r="B60" i="44"/>
  <c r="A60" i="44"/>
  <c r="T59" i="44"/>
  <c r="P59" i="44"/>
  <c r="L59" i="44"/>
  <c r="H59" i="44"/>
  <c r="D59" i="44"/>
  <c r="C59" i="44"/>
  <c r="B59" i="44"/>
  <c r="A59" i="44"/>
  <c r="C95" i="45"/>
  <c r="G95" i="45" s="1"/>
  <c r="K95" i="45" s="1"/>
  <c r="O95" i="45" s="1"/>
  <c r="S95" i="45" s="1"/>
  <c r="B95" i="45"/>
  <c r="A95" i="45"/>
  <c r="T82" i="45"/>
  <c r="P82" i="45"/>
  <c r="L82" i="45"/>
  <c r="H82" i="45"/>
  <c r="D82" i="45"/>
  <c r="C82" i="45"/>
  <c r="G82" i="45" s="1"/>
  <c r="B82" i="45"/>
  <c r="A82" i="45"/>
  <c r="T81" i="45"/>
  <c r="P81" i="45"/>
  <c r="L81" i="45"/>
  <c r="H81" i="45"/>
  <c r="D81" i="45"/>
  <c r="C81" i="45"/>
  <c r="G81" i="45" s="1"/>
  <c r="B81" i="45"/>
  <c r="A81" i="45"/>
  <c r="T80" i="45"/>
  <c r="P80" i="45"/>
  <c r="L80" i="45"/>
  <c r="H80" i="45"/>
  <c r="D80" i="45"/>
  <c r="C80" i="45"/>
  <c r="G80" i="45" s="1"/>
  <c r="B80" i="45"/>
  <c r="A80" i="45"/>
  <c r="T78" i="45"/>
  <c r="P78" i="45"/>
  <c r="L78" i="45"/>
  <c r="H78" i="45"/>
  <c r="D78" i="45"/>
  <c r="C78" i="45"/>
  <c r="G78" i="45" s="1"/>
  <c r="B78" i="45"/>
  <c r="A78" i="45"/>
  <c r="T77" i="45"/>
  <c r="P77" i="45"/>
  <c r="L77" i="45"/>
  <c r="H77" i="45"/>
  <c r="D77" i="45"/>
  <c r="B77" i="45"/>
  <c r="A77" i="45"/>
  <c r="B76" i="45"/>
  <c r="A76" i="45"/>
  <c r="D75" i="45"/>
  <c r="B75" i="45"/>
  <c r="A75" i="45"/>
  <c r="T74" i="45"/>
  <c r="P74" i="45"/>
  <c r="L74" i="45"/>
  <c r="H74" i="45"/>
  <c r="D74" i="45"/>
  <c r="C74" i="45"/>
  <c r="B74" i="45"/>
  <c r="A74" i="45"/>
  <c r="T73" i="45"/>
  <c r="P73" i="45"/>
  <c r="L73" i="45"/>
  <c r="H73" i="45"/>
  <c r="D73" i="45"/>
  <c r="B73" i="45"/>
  <c r="A73" i="45"/>
  <c r="B51" i="45"/>
  <c r="A51" i="45"/>
  <c r="T45" i="45"/>
  <c r="P45" i="45"/>
  <c r="L45" i="45"/>
  <c r="H45" i="45"/>
  <c r="C45" i="45"/>
  <c r="G45" i="45" s="1"/>
  <c r="K45" i="45" s="1"/>
  <c r="O45" i="45" s="1"/>
  <c r="S45" i="45" s="1"/>
  <c r="B45" i="45"/>
  <c r="A45" i="45"/>
  <c r="A46" i="45"/>
  <c r="T58" i="45"/>
  <c r="P58" i="45"/>
  <c r="L58" i="45"/>
  <c r="H58" i="45"/>
  <c r="D58" i="45"/>
  <c r="C58" i="45"/>
  <c r="G58" i="45" s="1"/>
  <c r="B58" i="45"/>
  <c r="A58" i="45"/>
  <c r="C57" i="45"/>
  <c r="B57" i="45"/>
  <c r="A57" i="45"/>
  <c r="T56" i="45"/>
  <c r="P56" i="45"/>
  <c r="L56" i="45"/>
  <c r="H56" i="45"/>
  <c r="D56" i="45"/>
  <c r="C56" i="45"/>
  <c r="G56" i="45" s="1"/>
  <c r="B56" i="45"/>
  <c r="A56" i="45"/>
  <c r="T55" i="45"/>
  <c r="P55" i="45"/>
  <c r="L55" i="45"/>
  <c r="H55" i="45"/>
  <c r="D55" i="45"/>
  <c r="C55" i="45"/>
  <c r="G55" i="45" s="1"/>
  <c r="K55" i="45" s="1"/>
  <c r="B55" i="45"/>
  <c r="A55" i="45"/>
  <c r="C99" i="44"/>
  <c r="G99" i="44" s="1"/>
  <c r="K99" i="44" s="1"/>
  <c r="O99" i="44" s="1"/>
  <c r="S99" i="44" s="1"/>
  <c r="G127" i="30"/>
  <c r="F127" i="30"/>
  <c r="E127" i="30"/>
  <c r="G97" i="30"/>
  <c r="F97" i="30"/>
  <c r="E97" i="30"/>
  <c r="G67" i="30"/>
  <c r="F67" i="30"/>
  <c r="E67" i="30"/>
  <c r="G37" i="30"/>
  <c r="F37" i="30"/>
  <c r="E37" i="30"/>
  <c r="G7" i="30"/>
  <c r="F7" i="30"/>
  <c r="E7" i="30"/>
  <c r="J81" i="45" l="1"/>
  <c r="F100" i="44"/>
  <c r="F80" i="45"/>
  <c r="F81" i="45"/>
  <c r="F74" i="45"/>
  <c r="F190" i="42"/>
  <c r="J80" i="45"/>
  <c r="K80" i="45"/>
  <c r="O80" i="45" s="1"/>
  <c r="R80" i="45" s="1"/>
  <c r="C220" i="42"/>
  <c r="F82" i="45"/>
  <c r="K81" i="45"/>
  <c r="O81" i="45" s="1"/>
  <c r="R81" i="45" s="1"/>
  <c r="K230" i="42"/>
  <c r="K228" i="42"/>
  <c r="O227" i="42"/>
  <c r="K226" i="42"/>
  <c r="J226" i="42"/>
  <c r="F226" i="42"/>
  <c r="K225" i="42"/>
  <c r="K223" i="42"/>
  <c r="F222" i="42"/>
  <c r="K222" i="42"/>
  <c r="J222" i="42"/>
  <c r="K221" i="42"/>
  <c r="J221" i="42"/>
  <c r="F221" i="42"/>
  <c r="K188" i="42"/>
  <c r="J188" i="42"/>
  <c r="F188" i="42"/>
  <c r="K185" i="42"/>
  <c r="J185" i="42"/>
  <c r="F185" i="42"/>
  <c r="K183" i="42"/>
  <c r="J183" i="42"/>
  <c r="F183" i="42"/>
  <c r="K192" i="42"/>
  <c r="J192" i="42"/>
  <c r="F192" i="42"/>
  <c r="F198" i="42"/>
  <c r="F197" i="42"/>
  <c r="J197" i="42"/>
  <c r="F200" i="42"/>
  <c r="K201" i="42"/>
  <c r="J201" i="42"/>
  <c r="F201" i="42"/>
  <c r="K200" i="42"/>
  <c r="J200" i="42"/>
  <c r="K199" i="42"/>
  <c r="J199" i="42"/>
  <c r="F199" i="42"/>
  <c r="N197" i="42"/>
  <c r="F176" i="42"/>
  <c r="O197" i="42"/>
  <c r="S197" i="42" s="1"/>
  <c r="V197" i="42" s="1"/>
  <c r="F191" i="42"/>
  <c r="F196" i="42"/>
  <c r="G198" i="42"/>
  <c r="K198" i="42" s="1"/>
  <c r="K180" i="42"/>
  <c r="J180" i="42"/>
  <c r="F180" i="42"/>
  <c r="G176" i="42"/>
  <c r="K196" i="42"/>
  <c r="J196" i="42"/>
  <c r="J191" i="42"/>
  <c r="K191" i="42"/>
  <c r="G190" i="42"/>
  <c r="F165" i="42"/>
  <c r="F158" i="42"/>
  <c r="F160" i="42"/>
  <c r="F162" i="42"/>
  <c r="K166" i="42"/>
  <c r="J166" i="42"/>
  <c r="F166" i="42"/>
  <c r="J165" i="42"/>
  <c r="S165" i="42"/>
  <c r="V165" i="42" s="1"/>
  <c r="R165" i="42"/>
  <c r="N165" i="42"/>
  <c r="K164" i="42"/>
  <c r="J164" i="42"/>
  <c r="F164" i="42"/>
  <c r="J156" i="42"/>
  <c r="K156" i="42"/>
  <c r="F153" i="42"/>
  <c r="G153" i="42"/>
  <c r="K153" i="42" s="1"/>
  <c r="O153" i="42" s="1"/>
  <c r="F156" i="42"/>
  <c r="F99" i="42"/>
  <c r="J162" i="42"/>
  <c r="K161" i="42"/>
  <c r="J161" i="42"/>
  <c r="F161" i="42"/>
  <c r="O160" i="42"/>
  <c r="N160" i="42"/>
  <c r="J160" i="42"/>
  <c r="K159" i="42"/>
  <c r="J159" i="42"/>
  <c r="F159" i="42"/>
  <c r="K158" i="42"/>
  <c r="J158" i="42"/>
  <c r="K155" i="42"/>
  <c r="J155" i="42"/>
  <c r="F155" i="42"/>
  <c r="K154" i="42"/>
  <c r="J154" i="42"/>
  <c r="F154" i="42"/>
  <c r="F128" i="42"/>
  <c r="F114" i="42"/>
  <c r="F112" i="42"/>
  <c r="K114" i="42"/>
  <c r="J114" i="42"/>
  <c r="K112" i="42"/>
  <c r="J112" i="42"/>
  <c r="K111" i="42"/>
  <c r="J111" i="42"/>
  <c r="F111" i="42"/>
  <c r="K109" i="42"/>
  <c r="F104" i="42"/>
  <c r="G128" i="42"/>
  <c r="J128" i="42" s="1"/>
  <c r="K107" i="42"/>
  <c r="J107" i="42"/>
  <c r="F107" i="42"/>
  <c r="K106" i="42"/>
  <c r="J106" i="42"/>
  <c r="F106" i="42"/>
  <c r="J104" i="42"/>
  <c r="K104" i="42"/>
  <c r="O104" i="42" s="1"/>
  <c r="R104" i="42" s="1"/>
  <c r="J103" i="42"/>
  <c r="K103" i="42"/>
  <c r="F103" i="42"/>
  <c r="F98" i="42"/>
  <c r="K99" i="42"/>
  <c r="J99" i="42"/>
  <c r="J98" i="42"/>
  <c r="K98" i="42"/>
  <c r="K97" i="42"/>
  <c r="J97" i="42"/>
  <c r="F97" i="42"/>
  <c r="J67" i="42"/>
  <c r="J70" i="42"/>
  <c r="F70" i="42"/>
  <c r="R67" i="42"/>
  <c r="F69" i="42"/>
  <c r="J66" i="42"/>
  <c r="F66" i="42"/>
  <c r="J64" i="42"/>
  <c r="F64" i="42"/>
  <c r="F61" i="42"/>
  <c r="J76" i="43"/>
  <c r="F111" i="43"/>
  <c r="J111" i="43"/>
  <c r="J109" i="43"/>
  <c r="F109" i="43"/>
  <c r="K84" i="43"/>
  <c r="J84" i="43"/>
  <c r="F84" i="43"/>
  <c r="F76" i="43"/>
  <c r="F77" i="43"/>
  <c r="K76" i="43"/>
  <c r="O76" i="43" s="1"/>
  <c r="S76" i="43" s="1"/>
  <c r="V76" i="43" s="1"/>
  <c r="K77" i="43"/>
  <c r="J77" i="43"/>
  <c r="K75" i="43"/>
  <c r="J75" i="43"/>
  <c r="F75" i="43"/>
  <c r="K101" i="44"/>
  <c r="J101" i="44"/>
  <c r="F101" i="44"/>
  <c r="G100" i="44"/>
  <c r="J86" i="44"/>
  <c r="K86" i="44"/>
  <c r="F86" i="44"/>
  <c r="K85" i="44"/>
  <c r="J85" i="44"/>
  <c r="F85" i="44"/>
  <c r="F59" i="44"/>
  <c r="F63" i="44"/>
  <c r="J45" i="44"/>
  <c r="F45" i="44"/>
  <c r="K74" i="44"/>
  <c r="J74" i="44"/>
  <c r="F74" i="44"/>
  <c r="G63" i="44"/>
  <c r="K62" i="44"/>
  <c r="J62" i="44"/>
  <c r="F62" i="44"/>
  <c r="K60" i="44"/>
  <c r="J60" i="44"/>
  <c r="F60" i="44"/>
  <c r="G59" i="44"/>
  <c r="J82" i="45"/>
  <c r="K82" i="45"/>
  <c r="J78" i="45"/>
  <c r="K78" i="45"/>
  <c r="O78" i="45" s="1"/>
  <c r="R78" i="45" s="1"/>
  <c r="F78" i="45"/>
  <c r="G74" i="45"/>
  <c r="J45" i="45"/>
  <c r="J56" i="45"/>
  <c r="F55" i="45"/>
  <c r="F56" i="45"/>
  <c r="K58" i="45"/>
  <c r="J58" i="45"/>
  <c r="F58" i="45"/>
  <c r="G57" i="45"/>
  <c r="K56" i="45"/>
  <c r="C121" i="46"/>
  <c r="B121" i="46"/>
  <c r="A121" i="46"/>
  <c r="B120" i="46"/>
  <c r="A120" i="46"/>
  <c r="C119" i="46"/>
  <c r="G119" i="46" s="1"/>
  <c r="B119" i="46"/>
  <c r="A119" i="46"/>
  <c r="C118" i="46"/>
  <c r="G118" i="46" s="1"/>
  <c r="B118" i="46"/>
  <c r="A118" i="46"/>
  <c r="T117" i="46"/>
  <c r="P117" i="46"/>
  <c r="L117" i="46"/>
  <c r="H117" i="46"/>
  <c r="D117" i="46"/>
  <c r="C117" i="46"/>
  <c r="G117" i="46" s="1"/>
  <c r="B117" i="46"/>
  <c r="A117" i="46"/>
  <c r="C116" i="46"/>
  <c r="G116" i="46" s="1"/>
  <c r="B116" i="46"/>
  <c r="A116" i="46"/>
  <c r="T115" i="46"/>
  <c r="P115" i="46"/>
  <c r="L115" i="46"/>
  <c r="H115" i="46"/>
  <c r="D115" i="46"/>
  <c r="B115" i="46"/>
  <c r="A115" i="46"/>
  <c r="T102" i="46"/>
  <c r="P102" i="46"/>
  <c r="L102" i="46"/>
  <c r="H102" i="46"/>
  <c r="D102" i="46"/>
  <c r="C102" i="46"/>
  <c r="G102" i="46" s="1"/>
  <c r="B102" i="46"/>
  <c r="A102" i="46"/>
  <c r="A101" i="46"/>
  <c r="T100" i="46"/>
  <c r="P100" i="46"/>
  <c r="L100" i="46"/>
  <c r="H100" i="46"/>
  <c r="D100" i="46"/>
  <c r="C100" i="46"/>
  <c r="B100" i="46"/>
  <c r="A100" i="46"/>
  <c r="T99" i="46"/>
  <c r="P99" i="46"/>
  <c r="L99" i="46"/>
  <c r="H99" i="46"/>
  <c r="D99" i="46"/>
  <c r="C99" i="46"/>
  <c r="G99" i="46" s="1"/>
  <c r="B99" i="46"/>
  <c r="A99" i="46"/>
  <c r="A98" i="46"/>
  <c r="T97" i="46"/>
  <c r="P97" i="46"/>
  <c r="L97" i="46"/>
  <c r="H97" i="46"/>
  <c r="D97" i="46"/>
  <c r="C97" i="46"/>
  <c r="B97" i="46"/>
  <c r="A97" i="46"/>
  <c r="T96" i="46"/>
  <c r="P96" i="46"/>
  <c r="L96" i="46"/>
  <c r="H96" i="46"/>
  <c r="D96" i="46"/>
  <c r="B96" i="46"/>
  <c r="A96" i="46"/>
  <c r="T95" i="46"/>
  <c r="P95" i="46"/>
  <c r="L95" i="46"/>
  <c r="H95" i="46"/>
  <c r="D95" i="46"/>
  <c r="C95" i="46"/>
  <c r="G95" i="46" s="1"/>
  <c r="B95" i="46"/>
  <c r="A95" i="46"/>
  <c r="H94" i="46"/>
  <c r="B94" i="46"/>
  <c r="A94" i="46"/>
  <c r="P93" i="46"/>
  <c r="L93" i="46"/>
  <c r="H93" i="46"/>
  <c r="B93" i="46"/>
  <c r="A93" i="46"/>
  <c r="A92" i="46"/>
  <c r="T91" i="46"/>
  <c r="P91" i="46"/>
  <c r="L91" i="46"/>
  <c r="H91" i="46"/>
  <c r="D91" i="46"/>
  <c r="C91" i="46"/>
  <c r="G91" i="46" s="1"/>
  <c r="B91" i="46"/>
  <c r="A91" i="46"/>
  <c r="T90" i="46"/>
  <c r="P90" i="46"/>
  <c r="L90" i="46"/>
  <c r="H90" i="46"/>
  <c r="D90" i="46"/>
  <c r="C90" i="46"/>
  <c r="G90" i="46" s="1"/>
  <c r="B90" i="46"/>
  <c r="A90" i="46"/>
  <c r="T89" i="46"/>
  <c r="P89" i="46"/>
  <c r="L89" i="46"/>
  <c r="H89" i="46"/>
  <c r="D89" i="46"/>
  <c r="C89" i="46"/>
  <c r="G89" i="46" s="1"/>
  <c r="B89" i="46"/>
  <c r="A89" i="46"/>
  <c r="T88" i="46"/>
  <c r="P88" i="46"/>
  <c r="L88" i="46"/>
  <c r="H88" i="46"/>
  <c r="D88" i="46"/>
  <c r="C88" i="46"/>
  <c r="B88" i="46"/>
  <c r="A88" i="46"/>
  <c r="B61" i="46"/>
  <c r="A61" i="46"/>
  <c r="B60" i="46"/>
  <c r="A60" i="46"/>
  <c r="T47" i="46"/>
  <c r="P47" i="46"/>
  <c r="L47" i="46"/>
  <c r="H47" i="46"/>
  <c r="D47" i="46"/>
  <c r="B47" i="46"/>
  <c r="A47" i="46"/>
  <c r="T46" i="46"/>
  <c r="P46" i="46"/>
  <c r="L46" i="46"/>
  <c r="H46" i="46"/>
  <c r="D46" i="46"/>
  <c r="B46" i="46"/>
  <c r="A46" i="46"/>
  <c r="B59" i="46"/>
  <c r="A59" i="46"/>
  <c r="B58" i="46"/>
  <c r="A58" i="46"/>
  <c r="T45" i="46"/>
  <c r="P45" i="46"/>
  <c r="L45" i="46"/>
  <c r="H45" i="46"/>
  <c r="D45" i="46"/>
  <c r="B45" i="46"/>
  <c r="A45" i="46"/>
  <c r="T44" i="46"/>
  <c r="P44" i="46"/>
  <c r="L44" i="46"/>
  <c r="H44" i="46"/>
  <c r="D44" i="46"/>
  <c r="B44" i="46"/>
  <c r="A44" i="46"/>
  <c r="C53" i="46"/>
  <c r="G53" i="46" s="1"/>
  <c r="K53" i="46" s="1"/>
  <c r="O53" i="46" s="1"/>
  <c r="S53" i="46" s="1"/>
  <c r="B53" i="46"/>
  <c r="A53" i="46"/>
  <c r="T52" i="46"/>
  <c r="P52" i="46"/>
  <c r="L52" i="46"/>
  <c r="H52" i="46"/>
  <c r="D52" i="46"/>
  <c r="B52" i="46"/>
  <c r="A52" i="46"/>
  <c r="T51" i="46"/>
  <c r="P51" i="46"/>
  <c r="L51" i="46"/>
  <c r="H51" i="46"/>
  <c r="D51" i="46"/>
  <c r="C51" i="46"/>
  <c r="G51" i="46" s="1"/>
  <c r="K51" i="46" s="1"/>
  <c r="O51" i="46" s="1"/>
  <c r="S51" i="46" s="1"/>
  <c r="B51" i="46"/>
  <c r="A51" i="46"/>
  <c r="T83" i="46"/>
  <c r="P83" i="46"/>
  <c r="L83" i="46"/>
  <c r="H83" i="46"/>
  <c r="D83" i="46"/>
  <c r="C83" i="46"/>
  <c r="G83" i="46" s="1"/>
  <c r="B83" i="46"/>
  <c r="A83" i="46"/>
  <c r="T82" i="46"/>
  <c r="P82" i="46"/>
  <c r="L82" i="46"/>
  <c r="H82" i="46"/>
  <c r="D82" i="46"/>
  <c r="C82" i="46"/>
  <c r="G82" i="46" s="1"/>
  <c r="B82" i="46"/>
  <c r="A82" i="46"/>
  <c r="T65" i="46"/>
  <c r="T66" i="46"/>
  <c r="T67" i="46"/>
  <c r="T68" i="46"/>
  <c r="T69" i="46"/>
  <c r="T70" i="46"/>
  <c r="T71" i="46"/>
  <c r="P71" i="46"/>
  <c r="L71" i="46"/>
  <c r="H71" i="46"/>
  <c r="D71" i="46"/>
  <c r="C71" i="46"/>
  <c r="G71" i="46" s="1"/>
  <c r="B71" i="46"/>
  <c r="A71" i="46"/>
  <c r="P70" i="46"/>
  <c r="L70" i="46"/>
  <c r="H70" i="46"/>
  <c r="D70" i="46"/>
  <c r="B70" i="46"/>
  <c r="A70" i="46"/>
  <c r="P69" i="46"/>
  <c r="L69" i="46"/>
  <c r="H69" i="46"/>
  <c r="D69" i="46"/>
  <c r="C69" i="46"/>
  <c r="G69" i="46" s="1"/>
  <c r="B69" i="46"/>
  <c r="A69" i="46"/>
  <c r="P68" i="46"/>
  <c r="L68" i="46"/>
  <c r="H68" i="46"/>
  <c r="D68" i="46"/>
  <c r="B68" i="46"/>
  <c r="A68" i="46"/>
  <c r="P67" i="46"/>
  <c r="L67" i="46"/>
  <c r="H67" i="46"/>
  <c r="D67" i="46"/>
  <c r="C67" i="46"/>
  <c r="G67" i="46" s="1"/>
  <c r="B67" i="46"/>
  <c r="A67" i="46"/>
  <c r="P66" i="46"/>
  <c r="L66" i="46"/>
  <c r="H66" i="46"/>
  <c r="D66" i="46"/>
  <c r="C66" i="46"/>
  <c r="G66" i="46" s="1"/>
  <c r="B66" i="46"/>
  <c r="A66" i="46"/>
  <c r="A65" i="46"/>
  <c r="W248" i="4"/>
  <c r="H108" i="4"/>
  <c r="V377" i="4"/>
  <c r="D137" i="4"/>
  <c r="D142" i="4"/>
  <c r="H339" i="4"/>
  <c r="C52" i="42" s="1"/>
  <c r="H340" i="4"/>
  <c r="C53" i="42" s="1"/>
  <c r="H344" i="4"/>
  <c r="C54" i="42" s="1"/>
  <c r="H375" i="4"/>
  <c r="C229" i="42" s="1"/>
  <c r="G229" i="42" s="1"/>
  <c r="K229" i="42" s="1"/>
  <c r="H345" i="4"/>
  <c r="C55" i="42" s="1"/>
  <c r="G55" i="42" s="1"/>
  <c r="K55" i="42" s="1"/>
  <c r="O55" i="42" s="1"/>
  <c r="S55" i="42" s="1"/>
  <c r="H105" i="4"/>
  <c r="T375" i="4"/>
  <c r="T229" i="42" s="1"/>
  <c r="Q375" i="4"/>
  <c r="P229" i="42" s="1"/>
  <c r="N375" i="4"/>
  <c r="L229" i="42" s="1"/>
  <c r="K375" i="4"/>
  <c r="H229" i="42" s="1"/>
  <c r="G375" i="4"/>
  <c r="D229" i="42" s="1"/>
  <c r="W372" i="4"/>
  <c r="H370" i="4"/>
  <c r="C224" i="42" s="1"/>
  <c r="G224" i="42" s="1"/>
  <c r="J224" i="42" s="1"/>
  <c r="G269" i="4"/>
  <c r="H26" i="4"/>
  <c r="C24" i="42" s="1"/>
  <c r="G24" i="42" s="1"/>
  <c r="K24" i="42" s="1"/>
  <c r="O24" i="42" s="1"/>
  <c r="S24" i="42" s="1"/>
  <c r="H24" i="4"/>
  <c r="C22" i="45" s="1"/>
  <c r="G22" i="45" s="1"/>
  <c r="K22" i="45" s="1"/>
  <c r="O22" i="45" s="1"/>
  <c r="S22" i="45" s="1"/>
  <c r="H13" i="4"/>
  <c r="H22" i="4"/>
  <c r="C20" i="42" s="1"/>
  <c r="G20" i="42" s="1"/>
  <c r="K20" i="42" s="1"/>
  <c r="O20" i="42" s="1"/>
  <c r="S20" i="42" s="1"/>
  <c r="H28" i="4"/>
  <c r="C26" i="46" s="1"/>
  <c r="G26" i="46" s="1"/>
  <c r="K26" i="46" s="1"/>
  <c r="O26" i="46" s="1"/>
  <c r="S26" i="46" s="1"/>
  <c r="H15" i="4"/>
  <c r="C13" i="42" s="1"/>
  <c r="G13" i="42" s="1"/>
  <c r="K13" i="42" s="1"/>
  <c r="O13" i="42" s="1"/>
  <c r="S13" i="42" s="1"/>
  <c r="H16" i="4"/>
  <c r="C14" i="42" s="1"/>
  <c r="G14" i="42" s="1"/>
  <c r="K14" i="42" s="1"/>
  <c r="O14" i="42" s="1"/>
  <c r="S14" i="42" s="1"/>
  <c r="H14" i="4"/>
  <c r="C12" i="46" s="1"/>
  <c r="G12" i="46" s="1"/>
  <c r="K12" i="46" s="1"/>
  <c r="O12" i="46" s="1"/>
  <c r="S12" i="46" s="1"/>
  <c r="C16" i="42"/>
  <c r="G16" i="42" s="1"/>
  <c r="K16" i="42" s="1"/>
  <c r="O16" i="42" s="1"/>
  <c r="S16" i="42" s="1"/>
  <c r="C17" i="42"/>
  <c r="G17" i="42" s="1"/>
  <c r="K17" i="42" s="1"/>
  <c r="O17" i="42" s="1"/>
  <c r="S17" i="42" s="1"/>
  <c r="H21" i="4"/>
  <c r="C19" i="46" s="1"/>
  <c r="G19" i="46" s="1"/>
  <c r="K19" i="46" s="1"/>
  <c r="O19" i="46" s="1"/>
  <c r="S19" i="46" s="1"/>
  <c r="C15" i="42"/>
  <c r="G15" i="42" s="1"/>
  <c r="K15" i="42" s="1"/>
  <c r="O15" i="42" s="1"/>
  <c r="S15" i="42" s="1"/>
  <c r="H27" i="4"/>
  <c r="C25" i="42" s="1"/>
  <c r="G25" i="42" s="1"/>
  <c r="K25" i="42" s="1"/>
  <c r="O25" i="42" s="1"/>
  <c r="S25" i="42" s="1"/>
  <c r="H25" i="4"/>
  <c r="C23" i="42" s="1"/>
  <c r="G23" i="42" s="1"/>
  <c r="K23" i="42" s="1"/>
  <c r="O23" i="42" s="1"/>
  <c r="S23" i="42" s="1"/>
  <c r="H29" i="4"/>
  <c r="C27" i="44" s="1"/>
  <c r="G27" i="44" s="1"/>
  <c r="K27" i="44" s="1"/>
  <c r="O27" i="44" s="1"/>
  <c r="S27" i="44" s="1"/>
  <c r="H32" i="4"/>
  <c r="C30" i="42" s="1"/>
  <c r="H98" i="4"/>
  <c r="H95" i="4"/>
  <c r="E11" i="43"/>
  <c r="E12" i="43"/>
  <c r="E13" i="43"/>
  <c r="E14" i="43"/>
  <c r="E15" i="43"/>
  <c r="E16" i="43"/>
  <c r="E17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I11" i="43"/>
  <c r="I12" i="43"/>
  <c r="I13" i="43"/>
  <c r="I15" i="43"/>
  <c r="I16" i="43"/>
  <c r="I20" i="43"/>
  <c r="I21" i="43"/>
  <c r="I22" i="43"/>
  <c r="I23" i="43"/>
  <c r="I24" i="43"/>
  <c r="I25" i="43"/>
  <c r="I26" i="43"/>
  <c r="I27" i="43"/>
  <c r="I28" i="43"/>
  <c r="I29" i="43"/>
  <c r="I30" i="43"/>
  <c r="U11" i="43"/>
  <c r="U12" i="43"/>
  <c r="U13" i="43"/>
  <c r="U14" i="43"/>
  <c r="U15" i="43"/>
  <c r="U16" i="43"/>
  <c r="U17" i="43"/>
  <c r="U19" i="43"/>
  <c r="U20" i="43"/>
  <c r="U21" i="43"/>
  <c r="U22" i="43"/>
  <c r="U23" i="43"/>
  <c r="U24" i="43"/>
  <c r="U25" i="43"/>
  <c r="U26" i="43"/>
  <c r="U27" i="43"/>
  <c r="U28" i="43"/>
  <c r="U29" i="43"/>
  <c r="U30" i="43"/>
  <c r="Q11" i="43"/>
  <c r="Q12" i="43"/>
  <c r="Q13" i="43"/>
  <c r="Q14" i="43"/>
  <c r="Q15" i="43"/>
  <c r="Q16" i="43"/>
  <c r="Q17" i="43"/>
  <c r="Q19" i="43"/>
  <c r="Q20" i="43"/>
  <c r="Q21" i="43"/>
  <c r="Q22" i="43"/>
  <c r="Q23" i="43"/>
  <c r="Q24" i="43"/>
  <c r="Q25" i="43"/>
  <c r="Q26" i="43"/>
  <c r="Q27" i="43"/>
  <c r="Q28" i="43"/>
  <c r="Q29" i="43"/>
  <c r="Q30" i="43"/>
  <c r="M11" i="43"/>
  <c r="M12" i="43"/>
  <c r="M13" i="43"/>
  <c r="M14" i="43"/>
  <c r="M15" i="43"/>
  <c r="M16" i="43"/>
  <c r="M17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E24" i="45"/>
  <c r="E25" i="45"/>
  <c r="I22" i="46"/>
  <c r="I23" i="46"/>
  <c r="I24" i="46"/>
  <c r="I25" i="46"/>
  <c r="I26" i="46"/>
  <c r="I28" i="46"/>
  <c r="I29" i="46"/>
  <c r="E23" i="46"/>
  <c r="E24" i="46"/>
  <c r="E25" i="46"/>
  <c r="E26" i="46"/>
  <c r="V45" i="42"/>
  <c r="R45" i="42"/>
  <c r="N45" i="42"/>
  <c r="J45" i="42"/>
  <c r="F45" i="42"/>
  <c r="B41" i="42"/>
  <c r="V39" i="42"/>
  <c r="R39" i="42"/>
  <c r="N39" i="42"/>
  <c r="J39" i="42"/>
  <c r="F39" i="42"/>
  <c r="H11" i="42"/>
  <c r="L11" i="42"/>
  <c r="P11" i="42"/>
  <c r="T11" i="42"/>
  <c r="H12" i="42"/>
  <c r="L12" i="42"/>
  <c r="P12" i="42"/>
  <c r="T12" i="42"/>
  <c r="H13" i="42"/>
  <c r="L13" i="42"/>
  <c r="P13" i="42"/>
  <c r="T13" i="42"/>
  <c r="H14" i="42"/>
  <c r="L14" i="42"/>
  <c r="P14" i="42"/>
  <c r="T14" i="42"/>
  <c r="H15" i="42"/>
  <c r="L15" i="42"/>
  <c r="P15" i="42"/>
  <c r="T15" i="42"/>
  <c r="H16" i="42"/>
  <c r="L16" i="42"/>
  <c r="P16" i="42"/>
  <c r="T16" i="42"/>
  <c r="H17" i="42"/>
  <c r="L17" i="42"/>
  <c r="P17" i="42"/>
  <c r="T17" i="42"/>
  <c r="H19" i="42"/>
  <c r="L19" i="42"/>
  <c r="P19" i="42"/>
  <c r="T19" i="42"/>
  <c r="H20" i="42"/>
  <c r="L20" i="42"/>
  <c r="P20" i="42"/>
  <c r="T20" i="42"/>
  <c r="H21" i="42"/>
  <c r="L21" i="42"/>
  <c r="P21" i="42"/>
  <c r="T21" i="42"/>
  <c r="H22" i="42"/>
  <c r="L22" i="42"/>
  <c r="P22" i="42"/>
  <c r="T22" i="42"/>
  <c r="H23" i="42"/>
  <c r="L23" i="42"/>
  <c r="P23" i="42"/>
  <c r="T23" i="42"/>
  <c r="H24" i="42"/>
  <c r="L24" i="42"/>
  <c r="P24" i="42"/>
  <c r="T24" i="42"/>
  <c r="H25" i="42"/>
  <c r="L25" i="42"/>
  <c r="P25" i="42"/>
  <c r="T25" i="42"/>
  <c r="H26" i="42"/>
  <c r="L26" i="42"/>
  <c r="P26" i="42"/>
  <c r="T26" i="42"/>
  <c r="H27" i="42"/>
  <c r="L27" i="42"/>
  <c r="P27" i="42"/>
  <c r="T27" i="42"/>
  <c r="H28" i="42"/>
  <c r="L28" i="42"/>
  <c r="P28" i="42"/>
  <c r="T28" i="42"/>
  <c r="H29" i="42"/>
  <c r="L29" i="42"/>
  <c r="P29" i="42"/>
  <c r="T29" i="42"/>
  <c r="H30" i="42"/>
  <c r="L30" i="42"/>
  <c r="P30" i="42"/>
  <c r="T30" i="42"/>
  <c r="B10" i="42"/>
  <c r="T10" i="42"/>
  <c r="P10" i="42"/>
  <c r="L10" i="42"/>
  <c r="H10" i="42"/>
  <c r="D10" i="42"/>
  <c r="A10" i="42"/>
  <c r="V7" i="42"/>
  <c r="R7" i="42"/>
  <c r="N7" i="42"/>
  <c r="J7" i="42"/>
  <c r="F7" i="42"/>
  <c r="A11" i="43"/>
  <c r="B11" i="43"/>
  <c r="D11" i="43"/>
  <c r="H11" i="43"/>
  <c r="L11" i="43"/>
  <c r="P11" i="43"/>
  <c r="T11" i="43"/>
  <c r="A12" i="43"/>
  <c r="B12" i="43"/>
  <c r="D12" i="43"/>
  <c r="H12" i="43"/>
  <c r="L12" i="43"/>
  <c r="P12" i="43"/>
  <c r="T12" i="43"/>
  <c r="A13" i="43"/>
  <c r="B13" i="43"/>
  <c r="D13" i="43"/>
  <c r="H13" i="43"/>
  <c r="L13" i="43"/>
  <c r="P13" i="43"/>
  <c r="T13" i="43"/>
  <c r="A14" i="43"/>
  <c r="B14" i="43"/>
  <c r="D14" i="43"/>
  <c r="H14" i="43"/>
  <c r="L14" i="43"/>
  <c r="P14" i="43"/>
  <c r="T14" i="43"/>
  <c r="A15" i="43"/>
  <c r="B15" i="43"/>
  <c r="D15" i="43"/>
  <c r="H15" i="43"/>
  <c r="L15" i="43"/>
  <c r="P15" i="43"/>
  <c r="T15" i="43"/>
  <c r="A16" i="43"/>
  <c r="B16" i="43"/>
  <c r="D16" i="43"/>
  <c r="H16" i="43"/>
  <c r="L16" i="43"/>
  <c r="P16" i="43"/>
  <c r="T16" i="43"/>
  <c r="A17" i="43"/>
  <c r="B17" i="43"/>
  <c r="D17" i="43"/>
  <c r="H17" i="43"/>
  <c r="L17" i="43"/>
  <c r="P17" i="43"/>
  <c r="T17" i="43"/>
  <c r="A19" i="43"/>
  <c r="B19" i="43"/>
  <c r="D19" i="43"/>
  <c r="H19" i="43"/>
  <c r="L19" i="43"/>
  <c r="P19" i="43"/>
  <c r="T19" i="43"/>
  <c r="A20" i="43"/>
  <c r="B20" i="43"/>
  <c r="D20" i="43"/>
  <c r="H20" i="43"/>
  <c r="L20" i="43"/>
  <c r="P20" i="43"/>
  <c r="T20" i="43"/>
  <c r="A21" i="43"/>
  <c r="B21" i="43"/>
  <c r="D21" i="43"/>
  <c r="H21" i="43"/>
  <c r="L21" i="43"/>
  <c r="P21" i="43"/>
  <c r="T21" i="43"/>
  <c r="A22" i="43"/>
  <c r="B22" i="43"/>
  <c r="D22" i="43"/>
  <c r="H22" i="43"/>
  <c r="L22" i="43"/>
  <c r="P22" i="43"/>
  <c r="T22" i="43"/>
  <c r="A23" i="43"/>
  <c r="B23" i="43"/>
  <c r="D23" i="43"/>
  <c r="H23" i="43"/>
  <c r="L23" i="43"/>
  <c r="P23" i="43"/>
  <c r="T23" i="43"/>
  <c r="A24" i="43"/>
  <c r="B24" i="43"/>
  <c r="D24" i="43"/>
  <c r="H24" i="43"/>
  <c r="L24" i="43"/>
  <c r="P24" i="43"/>
  <c r="T24" i="43"/>
  <c r="A25" i="43"/>
  <c r="B25" i="43"/>
  <c r="D25" i="43"/>
  <c r="H25" i="43"/>
  <c r="L25" i="43"/>
  <c r="P25" i="43"/>
  <c r="T25" i="43"/>
  <c r="A26" i="43"/>
  <c r="B26" i="43"/>
  <c r="D26" i="43"/>
  <c r="H26" i="43"/>
  <c r="L26" i="43"/>
  <c r="P26" i="43"/>
  <c r="T26" i="43"/>
  <c r="B27" i="43"/>
  <c r="D27" i="43"/>
  <c r="H27" i="43"/>
  <c r="L27" i="43"/>
  <c r="P27" i="43"/>
  <c r="T27" i="43"/>
  <c r="A28" i="43"/>
  <c r="B28" i="43"/>
  <c r="D28" i="43"/>
  <c r="H28" i="43"/>
  <c r="L28" i="43"/>
  <c r="P28" i="43"/>
  <c r="T28" i="43"/>
  <c r="A29" i="43"/>
  <c r="B29" i="43"/>
  <c r="D29" i="43"/>
  <c r="H29" i="43"/>
  <c r="L29" i="43"/>
  <c r="P29" i="43"/>
  <c r="T29" i="43"/>
  <c r="A30" i="43"/>
  <c r="B30" i="43"/>
  <c r="D30" i="43"/>
  <c r="H30" i="43"/>
  <c r="L30" i="43"/>
  <c r="P30" i="43"/>
  <c r="T30" i="43"/>
  <c r="B10" i="43"/>
  <c r="T10" i="43"/>
  <c r="P10" i="43"/>
  <c r="L10" i="43"/>
  <c r="H10" i="43"/>
  <c r="D10" i="43"/>
  <c r="A10" i="43"/>
  <c r="V7" i="43"/>
  <c r="R7" i="43"/>
  <c r="N7" i="43"/>
  <c r="J7" i="43"/>
  <c r="F7" i="43"/>
  <c r="B36" i="44"/>
  <c r="B36" i="45"/>
  <c r="B11" i="45"/>
  <c r="B12" i="45"/>
  <c r="B13" i="45"/>
  <c r="B14" i="45"/>
  <c r="B15" i="45"/>
  <c r="B16" i="45"/>
  <c r="B17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10" i="45"/>
  <c r="A12" i="45"/>
  <c r="D12" i="45"/>
  <c r="H12" i="45"/>
  <c r="L12" i="45"/>
  <c r="P12" i="45"/>
  <c r="T12" i="45"/>
  <c r="A13" i="45"/>
  <c r="D13" i="45"/>
  <c r="H13" i="45"/>
  <c r="L13" i="45"/>
  <c r="P13" i="45"/>
  <c r="T13" i="45"/>
  <c r="A14" i="45"/>
  <c r="D14" i="45"/>
  <c r="H14" i="45"/>
  <c r="L14" i="45"/>
  <c r="P14" i="45"/>
  <c r="T14" i="45"/>
  <c r="A15" i="45"/>
  <c r="D15" i="45"/>
  <c r="H15" i="45"/>
  <c r="L15" i="45"/>
  <c r="P15" i="45"/>
  <c r="T15" i="45"/>
  <c r="A16" i="45"/>
  <c r="C16" i="45"/>
  <c r="G16" i="45" s="1"/>
  <c r="K16" i="45" s="1"/>
  <c r="O16" i="45" s="1"/>
  <c r="S16" i="45" s="1"/>
  <c r="D16" i="45"/>
  <c r="H16" i="45"/>
  <c r="L16" i="45"/>
  <c r="P16" i="45"/>
  <c r="T16" i="45"/>
  <c r="A17" i="45"/>
  <c r="D17" i="45"/>
  <c r="H17" i="45"/>
  <c r="L17" i="45"/>
  <c r="P17" i="45"/>
  <c r="T17" i="45"/>
  <c r="A19" i="45"/>
  <c r="D19" i="45"/>
  <c r="H19" i="45"/>
  <c r="L19" i="45"/>
  <c r="P19" i="45"/>
  <c r="T19" i="45"/>
  <c r="A20" i="45"/>
  <c r="D20" i="45"/>
  <c r="H20" i="45"/>
  <c r="L20" i="45"/>
  <c r="P20" i="45"/>
  <c r="T20" i="45"/>
  <c r="A21" i="45"/>
  <c r="D21" i="45"/>
  <c r="H21" i="45"/>
  <c r="L21" i="45"/>
  <c r="P21" i="45"/>
  <c r="T21" i="45"/>
  <c r="A22" i="45"/>
  <c r="D22" i="45"/>
  <c r="H22" i="45"/>
  <c r="L22" i="45"/>
  <c r="P22" i="45"/>
  <c r="T22" i="45"/>
  <c r="A23" i="45"/>
  <c r="D23" i="45"/>
  <c r="H23" i="45"/>
  <c r="L23" i="45"/>
  <c r="P23" i="45"/>
  <c r="T23" i="45"/>
  <c r="A24" i="45"/>
  <c r="D24" i="45"/>
  <c r="H24" i="45"/>
  <c r="L24" i="45"/>
  <c r="P24" i="45"/>
  <c r="T24" i="45"/>
  <c r="A25" i="45"/>
  <c r="D25" i="45"/>
  <c r="H25" i="45"/>
  <c r="L25" i="45"/>
  <c r="P25" i="45"/>
  <c r="T25" i="45"/>
  <c r="A26" i="45"/>
  <c r="D26" i="45"/>
  <c r="H26" i="45"/>
  <c r="L26" i="45"/>
  <c r="P26" i="45"/>
  <c r="T26" i="45"/>
  <c r="A27" i="45"/>
  <c r="D27" i="45"/>
  <c r="H27" i="45"/>
  <c r="L27" i="45"/>
  <c r="P27" i="45"/>
  <c r="T27" i="45"/>
  <c r="A28" i="45"/>
  <c r="D28" i="45"/>
  <c r="H28" i="45"/>
  <c r="L28" i="45"/>
  <c r="P28" i="45"/>
  <c r="T28" i="45"/>
  <c r="A29" i="45"/>
  <c r="D29" i="45"/>
  <c r="H29" i="45"/>
  <c r="L29" i="45"/>
  <c r="P29" i="45"/>
  <c r="T29" i="45"/>
  <c r="A30" i="45"/>
  <c r="D30" i="45"/>
  <c r="H30" i="45"/>
  <c r="L30" i="45"/>
  <c r="P30" i="45"/>
  <c r="T30" i="45"/>
  <c r="A10" i="45"/>
  <c r="D10" i="45"/>
  <c r="H10" i="45"/>
  <c r="L10" i="45"/>
  <c r="P10" i="45"/>
  <c r="T10" i="45"/>
  <c r="V7" i="45"/>
  <c r="R7" i="45"/>
  <c r="N7" i="45"/>
  <c r="J7" i="45"/>
  <c r="F7" i="45"/>
  <c r="V7" i="44"/>
  <c r="R7" i="44"/>
  <c r="N7" i="44"/>
  <c r="J7" i="44"/>
  <c r="F7" i="44"/>
  <c r="B11" i="44"/>
  <c r="B12" i="44"/>
  <c r="B13" i="44"/>
  <c r="B14" i="44"/>
  <c r="B15" i="44"/>
  <c r="B16" i="44"/>
  <c r="B17" i="44"/>
  <c r="B19" i="44"/>
  <c r="B20" i="44"/>
  <c r="B21" i="44"/>
  <c r="B22" i="44"/>
  <c r="B23" i="44"/>
  <c r="B24" i="44"/>
  <c r="B25" i="44"/>
  <c r="B26" i="44"/>
  <c r="B27" i="44"/>
  <c r="B28" i="44"/>
  <c r="B29" i="44"/>
  <c r="B30" i="44"/>
  <c r="B10" i="44"/>
  <c r="A12" i="44"/>
  <c r="D12" i="44"/>
  <c r="H12" i="44"/>
  <c r="L12" i="44"/>
  <c r="P12" i="44"/>
  <c r="T12" i="44"/>
  <c r="A13" i="44"/>
  <c r="D13" i="44"/>
  <c r="H13" i="44"/>
  <c r="L13" i="44"/>
  <c r="P13" i="44"/>
  <c r="T13" i="44"/>
  <c r="A14" i="44"/>
  <c r="D14" i="44"/>
  <c r="H14" i="44"/>
  <c r="L14" i="44"/>
  <c r="P14" i="44"/>
  <c r="T14" i="44"/>
  <c r="A15" i="44"/>
  <c r="D15" i="44"/>
  <c r="H15" i="44"/>
  <c r="L15" i="44"/>
  <c r="P15" i="44"/>
  <c r="T15" i="44"/>
  <c r="A16" i="44"/>
  <c r="C16" i="44"/>
  <c r="G16" i="44" s="1"/>
  <c r="K16" i="44" s="1"/>
  <c r="O16" i="44" s="1"/>
  <c r="S16" i="44" s="1"/>
  <c r="D16" i="44"/>
  <c r="H16" i="44"/>
  <c r="L16" i="44"/>
  <c r="P16" i="44"/>
  <c r="T16" i="44"/>
  <c r="A17" i="44"/>
  <c r="D17" i="44"/>
  <c r="H17" i="44"/>
  <c r="L17" i="44"/>
  <c r="P17" i="44"/>
  <c r="T17" i="44"/>
  <c r="A19" i="44"/>
  <c r="D19" i="44"/>
  <c r="H19" i="44"/>
  <c r="L19" i="44"/>
  <c r="P19" i="44"/>
  <c r="T19" i="44"/>
  <c r="A20" i="44"/>
  <c r="D20" i="44"/>
  <c r="H20" i="44"/>
  <c r="L20" i="44"/>
  <c r="P20" i="44"/>
  <c r="T20" i="44"/>
  <c r="A21" i="44"/>
  <c r="D21" i="44"/>
  <c r="H21" i="44"/>
  <c r="L21" i="44"/>
  <c r="P21" i="44"/>
  <c r="T21" i="44"/>
  <c r="A22" i="44"/>
  <c r="D22" i="44"/>
  <c r="H22" i="44"/>
  <c r="L22" i="44"/>
  <c r="P22" i="44"/>
  <c r="T22" i="44"/>
  <c r="A23" i="44"/>
  <c r="D23" i="44"/>
  <c r="H23" i="44"/>
  <c r="L23" i="44"/>
  <c r="P23" i="44"/>
  <c r="T23" i="44"/>
  <c r="A24" i="44"/>
  <c r="C24" i="44"/>
  <c r="G24" i="44" s="1"/>
  <c r="K24" i="44" s="1"/>
  <c r="O24" i="44" s="1"/>
  <c r="S24" i="44" s="1"/>
  <c r="D24" i="44"/>
  <c r="H24" i="44"/>
  <c r="L24" i="44"/>
  <c r="P24" i="44"/>
  <c r="T24" i="44"/>
  <c r="A25" i="44"/>
  <c r="D25" i="44"/>
  <c r="H25" i="44"/>
  <c r="L25" i="44"/>
  <c r="P25" i="44"/>
  <c r="T25" i="44"/>
  <c r="A26" i="44"/>
  <c r="D26" i="44"/>
  <c r="H26" i="44"/>
  <c r="L26" i="44"/>
  <c r="P26" i="44"/>
  <c r="T26" i="44"/>
  <c r="A27" i="44"/>
  <c r="D27" i="44"/>
  <c r="H27" i="44"/>
  <c r="L27" i="44"/>
  <c r="P27" i="44"/>
  <c r="T27" i="44"/>
  <c r="A28" i="44"/>
  <c r="D28" i="44"/>
  <c r="H28" i="44"/>
  <c r="L28" i="44"/>
  <c r="P28" i="44"/>
  <c r="T28" i="44"/>
  <c r="A29" i="44"/>
  <c r="D29" i="44"/>
  <c r="H29" i="44"/>
  <c r="L29" i="44"/>
  <c r="P29" i="44"/>
  <c r="T29" i="44"/>
  <c r="A30" i="44"/>
  <c r="D30" i="44"/>
  <c r="H30" i="44"/>
  <c r="L30" i="44"/>
  <c r="P30" i="44"/>
  <c r="T30" i="44"/>
  <c r="A10" i="44"/>
  <c r="D10" i="44"/>
  <c r="H10" i="44"/>
  <c r="L10" i="44"/>
  <c r="P10" i="44"/>
  <c r="T10" i="44"/>
  <c r="V39" i="44"/>
  <c r="R39" i="44"/>
  <c r="N39" i="44"/>
  <c r="J39" i="44"/>
  <c r="F39" i="44"/>
  <c r="V44" i="43"/>
  <c r="R44" i="43"/>
  <c r="N44" i="43"/>
  <c r="J44" i="43"/>
  <c r="F44" i="43"/>
  <c r="V39" i="43"/>
  <c r="R39" i="43"/>
  <c r="N39" i="43"/>
  <c r="J39" i="43"/>
  <c r="F39" i="43"/>
  <c r="V35" i="44"/>
  <c r="R35" i="44"/>
  <c r="N35" i="44"/>
  <c r="J35" i="44"/>
  <c r="F35" i="44"/>
  <c r="V35" i="45"/>
  <c r="R35" i="45"/>
  <c r="N35" i="45"/>
  <c r="J35" i="45"/>
  <c r="F35" i="45"/>
  <c r="V39" i="45"/>
  <c r="R39" i="45"/>
  <c r="N39" i="45"/>
  <c r="J39" i="45"/>
  <c r="F39" i="45"/>
  <c r="B36" i="46"/>
  <c r="V35" i="46"/>
  <c r="R35" i="46"/>
  <c r="N35" i="46"/>
  <c r="J35" i="46"/>
  <c r="F35" i="46"/>
  <c r="V7" i="46"/>
  <c r="R7" i="46"/>
  <c r="N7" i="46"/>
  <c r="J7" i="46"/>
  <c r="F7" i="46"/>
  <c r="B11" i="46"/>
  <c r="B12" i="46"/>
  <c r="B13" i="46"/>
  <c r="B14" i="46"/>
  <c r="B15" i="46"/>
  <c r="B16" i="46"/>
  <c r="B17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10" i="46"/>
  <c r="A10" i="46"/>
  <c r="D10" i="46"/>
  <c r="H10" i="46"/>
  <c r="L10" i="46"/>
  <c r="P10" i="46"/>
  <c r="T10" i="46"/>
  <c r="V39" i="46"/>
  <c r="R39" i="46"/>
  <c r="N39" i="46"/>
  <c r="J39" i="46"/>
  <c r="F39" i="46"/>
  <c r="A12" i="46"/>
  <c r="D12" i="46"/>
  <c r="H12" i="46"/>
  <c r="L12" i="46"/>
  <c r="P12" i="46"/>
  <c r="T12" i="46"/>
  <c r="A13" i="46"/>
  <c r="D13" i="46"/>
  <c r="H13" i="46"/>
  <c r="L13" i="46"/>
  <c r="P13" i="46"/>
  <c r="T13" i="46"/>
  <c r="A14" i="46"/>
  <c r="D14" i="46"/>
  <c r="H14" i="46"/>
  <c r="L14" i="46"/>
  <c r="P14" i="46"/>
  <c r="T14" i="46"/>
  <c r="A15" i="46"/>
  <c r="D15" i="46"/>
  <c r="H15" i="46"/>
  <c r="L15" i="46"/>
  <c r="P15" i="46"/>
  <c r="T15" i="46"/>
  <c r="A16" i="46"/>
  <c r="C16" i="46"/>
  <c r="G16" i="46" s="1"/>
  <c r="K16" i="46" s="1"/>
  <c r="O16" i="46" s="1"/>
  <c r="S16" i="46" s="1"/>
  <c r="D16" i="46"/>
  <c r="H16" i="46"/>
  <c r="L16" i="46"/>
  <c r="P16" i="46"/>
  <c r="T16" i="46"/>
  <c r="A17" i="46"/>
  <c r="D17" i="46"/>
  <c r="H17" i="46"/>
  <c r="L17" i="46"/>
  <c r="P17" i="46"/>
  <c r="T17" i="46"/>
  <c r="A19" i="46"/>
  <c r="D19" i="46"/>
  <c r="H19" i="46"/>
  <c r="L19" i="46"/>
  <c r="P19" i="46"/>
  <c r="T19" i="46"/>
  <c r="A20" i="46"/>
  <c r="D20" i="46"/>
  <c r="H20" i="46"/>
  <c r="L20" i="46"/>
  <c r="P20" i="46"/>
  <c r="T20" i="46"/>
  <c r="A21" i="46"/>
  <c r="D21" i="46"/>
  <c r="H21" i="46"/>
  <c r="L21" i="46"/>
  <c r="P21" i="46"/>
  <c r="T21" i="46"/>
  <c r="A22" i="46"/>
  <c r="D22" i="46"/>
  <c r="H22" i="46"/>
  <c r="L22" i="46"/>
  <c r="P22" i="46"/>
  <c r="T22" i="46"/>
  <c r="A23" i="46"/>
  <c r="D23" i="46"/>
  <c r="H23" i="46"/>
  <c r="L23" i="46"/>
  <c r="P23" i="46"/>
  <c r="T23" i="46"/>
  <c r="A24" i="46"/>
  <c r="C24" i="46"/>
  <c r="G24" i="46" s="1"/>
  <c r="K24" i="46" s="1"/>
  <c r="O24" i="46" s="1"/>
  <c r="S24" i="46" s="1"/>
  <c r="D24" i="46"/>
  <c r="H24" i="46"/>
  <c r="L24" i="46"/>
  <c r="P24" i="46"/>
  <c r="T24" i="46"/>
  <c r="A25" i="46"/>
  <c r="D25" i="46"/>
  <c r="H25" i="46"/>
  <c r="L25" i="46"/>
  <c r="P25" i="46"/>
  <c r="T25" i="46"/>
  <c r="A26" i="46"/>
  <c r="D26" i="46"/>
  <c r="H26" i="46"/>
  <c r="L26" i="46"/>
  <c r="P26" i="46"/>
  <c r="T26" i="46"/>
  <c r="A27" i="46"/>
  <c r="D27" i="46"/>
  <c r="H27" i="46"/>
  <c r="L27" i="46"/>
  <c r="P27" i="46"/>
  <c r="T27" i="46"/>
  <c r="A28" i="46"/>
  <c r="D28" i="46"/>
  <c r="H28" i="46"/>
  <c r="L28" i="46"/>
  <c r="P28" i="46"/>
  <c r="T28" i="46"/>
  <c r="A29" i="46"/>
  <c r="D29" i="46"/>
  <c r="H29" i="46"/>
  <c r="L29" i="46"/>
  <c r="P29" i="46"/>
  <c r="T29" i="46"/>
  <c r="A30" i="46"/>
  <c r="D30" i="46"/>
  <c r="H30" i="46"/>
  <c r="L30" i="46"/>
  <c r="P30" i="46"/>
  <c r="T30" i="46"/>
  <c r="S27" i="47"/>
  <c r="O27" i="47"/>
  <c r="K27" i="47"/>
  <c r="G27" i="47"/>
  <c r="C14" i="46" l="1"/>
  <c r="G14" i="46" s="1"/>
  <c r="K14" i="46" s="1"/>
  <c r="O14" i="46" s="1"/>
  <c r="S14" i="46" s="1"/>
  <c r="C14" i="45"/>
  <c r="G14" i="45" s="1"/>
  <c r="K14" i="45" s="1"/>
  <c r="O14" i="45" s="1"/>
  <c r="S14" i="45" s="1"/>
  <c r="C14" i="44"/>
  <c r="G14" i="44" s="1"/>
  <c r="K14" i="44" s="1"/>
  <c r="O14" i="44" s="1"/>
  <c r="S14" i="44" s="1"/>
  <c r="C14" i="43"/>
  <c r="G14" i="43" s="1"/>
  <c r="K14" i="43" s="1"/>
  <c r="O14" i="43" s="1"/>
  <c r="S14" i="43" s="1"/>
  <c r="C24" i="43"/>
  <c r="G24" i="43" s="1"/>
  <c r="K24" i="43" s="1"/>
  <c r="O24" i="43" s="1"/>
  <c r="S24" i="43" s="1"/>
  <c r="C24" i="45"/>
  <c r="G24" i="45" s="1"/>
  <c r="K24" i="45" s="1"/>
  <c r="O24" i="45" s="1"/>
  <c r="S24" i="45" s="1"/>
  <c r="C30" i="45"/>
  <c r="G30" i="45" s="1"/>
  <c r="K30" i="45" s="1"/>
  <c r="O30" i="45" s="1"/>
  <c r="S30" i="45" s="1"/>
  <c r="C23" i="45"/>
  <c r="G23" i="45" s="1"/>
  <c r="K23" i="45" s="1"/>
  <c r="O23" i="45" s="1"/>
  <c r="S23" i="45" s="1"/>
  <c r="C23" i="46"/>
  <c r="G23" i="46" s="1"/>
  <c r="K23" i="46" s="1"/>
  <c r="O23" i="46" s="1"/>
  <c r="S23" i="46" s="1"/>
  <c r="C23" i="44"/>
  <c r="G23" i="44" s="1"/>
  <c r="K23" i="44" s="1"/>
  <c r="O23" i="44" s="1"/>
  <c r="S23" i="44" s="1"/>
  <c r="C23" i="43"/>
  <c r="G23" i="43" s="1"/>
  <c r="K23" i="43" s="1"/>
  <c r="O23" i="43" s="1"/>
  <c r="S23" i="43" s="1"/>
  <c r="F229" i="42"/>
  <c r="N81" i="45"/>
  <c r="C26" i="44"/>
  <c r="G26" i="44" s="1"/>
  <c r="K26" i="44" s="1"/>
  <c r="O26" i="44" s="1"/>
  <c r="S26" i="44" s="1"/>
  <c r="C25" i="45"/>
  <c r="G25" i="45" s="1"/>
  <c r="K25" i="45" s="1"/>
  <c r="O25" i="45" s="1"/>
  <c r="S25" i="45" s="1"/>
  <c r="C25" i="46"/>
  <c r="G25" i="46" s="1"/>
  <c r="K25" i="46" s="1"/>
  <c r="O25" i="46" s="1"/>
  <c r="S25" i="46" s="1"/>
  <c r="C13" i="43"/>
  <c r="G13" i="43" s="1"/>
  <c r="K13" i="43" s="1"/>
  <c r="O13" i="43" s="1"/>
  <c r="S13" i="43" s="1"/>
  <c r="C13" i="44"/>
  <c r="G13" i="44" s="1"/>
  <c r="K13" i="44" s="1"/>
  <c r="O13" i="44" s="1"/>
  <c r="S13" i="44" s="1"/>
  <c r="C25" i="44"/>
  <c r="G25" i="44" s="1"/>
  <c r="K25" i="44" s="1"/>
  <c r="O25" i="44" s="1"/>
  <c r="S25" i="44" s="1"/>
  <c r="C13" i="45"/>
  <c r="G13" i="45" s="1"/>
  <c r="K13" i="45" s="1"/>
  <c r="O13" i="45" s="1"/>
  <c r="S13" i="45" s="1"/>
  <c r="C13" i="46"/>
  <c r="G13" i="46" s="1"/>
  <c r="K13" i="46" s="1"/>
  <c r="O13" i="46" s="1"/>
  <c r="S13" i="46" s="1"/>
  <c r="C25" i="43"/>
  <c r="G25" i="43" s="1"/>
  <c r="K25" i="43" s="1"/>
  <c r="O25" i="43" s="1"/>
  <c r="S25" i="43" s="1"/>
  <c r="C17" i="44"/>
  <c r="G17" i="44" s="1"/>
  <c r="K17" i="44" s="1"/>
  <c r="O17" i="44" s="1"/>
  <c r="S17" i="44" s="1"/>
  <c r="C17" i="46"/>
  <c r="G17" i="46" s="1"/>
  <c r="K17" i="46" s="1"/>
  <c r="O17" i="46" s="1"/>
  <c r="S17" i="46" s="1"/>
  <c r="C20" i="44"/>
  <c r="G20" i="44" s="1"/>
  <c r="K20" i="44" s="1"/>
  <c r="O20" i="44" s="1"/>
  <c r="S20" i="44" s="1"/>
  <c r="C17" i="45"/>
  <c r="G17" i="45" s="1"/>
  <c r="K17" i="45" s="1"/>
  <c r="O17" i="45" s="1"/>
  <c r="S17" i="45" s="1"/>
  <c r="N80" i="45"/>
  <c r="C20" i="46"/>
  <c r="G20" i="46" s="1"/>
  <c r="K20" i="46" s="1"/>
  <c r="O20" i="46" s="1"/>
  <c r="S20" i="46" s="1"/>
  <c r="C20" i="43"/>
  <c r="G20" i="43" s="1"/>
  <c r="K20" i="43" s="1"/>
  <c r="O20" i="43" s="1"/>
  <c r="S20" i="43" s="1"/>
  <c r="S80" i="45"/>
  <c r="V80" i="45" s="1"/>
  <c r="C20" i="45"/>
  <c r="G20" i="45" s="1"/>
  <c r="K20" i="45" s="1"/>
  <c r="O20" i="45" s="1"/>
  <c r="S20" i="45" s="1"/>
  <c r="C17" i="43"/>
  <c r="G17" i="43" s="1"/>
  <c r="K17" i="43" s="1"/>
  <c r="O17" i="43" s="1"/>
  <c r="S17" i="43" s="1"/>
  <c r="C15" i="44"/>
  <c r="G15" i="44" s="1"/>
  <c r="K15" i="44" s="1"/>
  <c r="O15" i="44" s="1"/>
  <c r="S15" i="44" s="1"/>
  <c r="C15" i="43"/>
  <c r="G15" i="43" s="1"/>
  <c r="K15" i="43" s="1"/>
  <c r="O15" i="43" s="1"/>
  <c r="S15" i="43" s="1"/>
  <c r="C15" i="46"/>
  <c r="G15" i="46" s="1"/>
  <c r="K15" i="46" s="1"/>
  <c r="O15" i="46" s="1"/>
  <c r="S15" i="46" s="1"/>
  <c r="C15" i="45"/>
  <c r="G15" i="45" s="1"/>
  <c r="K15" i="45" s="1"/>
  <c r="O15" i="45" s="1"/>
  <c r="S15" i="45" s="1"/>
  <c r="C16" i="43"/>
  <c r="G16" i="43" s="1"/>
  <c r="K16" i="43" s="1"/>
  <c r="O16" i="43" s="1"/>
  <c r="S16" i="43" s="1"/>
  <c r="F54" i="42"/>
  <c r="G54" i="42"/>
  <c r="K54" i="42" s="1"/>
  <c r="O54" i="42" s="1"/>
  <c r="S54" i="42" s="1"/>
  <c r="G53" i="42"/>
  <c r="K53" i="42" s="1"/>
  <c r="O53" i="42" s="1"/>
  <c r="S53" i="42" s="1"/>
  <c r="G52" i="42"/>
  <c r="K52" i="42" s="1"/>
  <c r="O52" i="42" s="1"/>
  <c r="S52" i="42" s="1"/>
  <c r="S78" i="45"/>
  <c r="V78" i="45" s="1"/>
  <c r="C30" i="43"/>
  <c r="G30" i="43" s="1"/>
  <c r="K30" i="43" s="1"/>
  <c r="O30" i="43" s="1"/>
  <c r="S30" i="43" s="1"/>
  <c r="N78" i="45"/>
  <c r="S81" i="45"/>
  <c r="V81" i="45" s="1"/>
  <c r="W81" i="45" s="1"/>
  <c r="C30" i="44"/>
  <c r="G30" i="44" s="1"/>
  <c r="K30" i="44" s="1"/>
  <c r="O30" i="44" s="1"/>
  <c r="S30" i="44" s="1"/>
  <c r="C22" i="43"/>
  <c r="G22" i="43" s="1"/>
  <c r="K22" i="43" s="1"/>
  <c r="O22" i="43" s="1"/>
  <c r="S22" i="43" s="1"/>
  <c r="C30" i="46"/>
  <c r="G30" i="46" s="1"/>
  <c r="K30" i="46" s="1"/>
  <c r="O30" i="46" s="1"/>
  <c r="S30" i="46" s="1"/>
  <c r="C11" i="43"/>
  <c r="G11" i="43" s="1"/>
  <c r="K11" i="43" s="1"/>
  <c r="O11" i="43" s="1"/>
  <c r="S11" i="43" s="1"/>
  <c r="C11" i="42"/>
  <c r="G11" i="42" s="1"/>
  <c r="K11" i="42" s="1"/>
  <c r="O11" i="42" s="1"/>
  <c r="S11" i="42" s="1"/>
  <c r="C27" i="46"/>
  <c r="G27" i="46" s="1"/>
  <c r="K27" i="46" s="1"/>
  <c r="O27" i="46" s="1"/>
  <c r="S27" i="46" s="1"/>
  <c r="C27" i="42"/>
  <c r="G27" i="42" s="1"/>
  <c r="K27" i="42" s="1"/>
  <c r="O27" i="42" s="1"/>
  <c r="S27" i="42" s="1"/>
  <c r="C12" i="44"/>
  <c r="G12" i="44" s="1"/>
  <c r="K12" i="44" s="1"/>
  <c r="O12" i="44" s="1"/>
  <c r="S12" i="44" s="1"/>
  <c r="C12" i="42"/>
  <c r="G12" i="42" s="1"/>
  <c r="K12" i="42" s="1"/>
  <c r="O12" i="42" s="1"/>
  <c r="S12" i="42" s="1"/>
  <c r="C22" i="44"/>
  <c r="G22" i="44" s="1"/>
  <c r="K22" i="44" s="1"/>
  <c r="O22" i="44" s="1"/>
  <c r="S22" i="44" s="1"/>
  <c r="C22" i="42"/>
  <c r="G22" i="42" s="1"/>
  <c r="K22" i="42" s="1"/>
  <c r="O22" i="42" s="1"/>
  <c r="S22" i="42" s="1"/>
  <c r="F52" i="42"/>
  <c r="C115" i="46"/>
  <c r="G115" i="46" s="1"/>
  <c r="K115" i="46" s="1"/>
  <c r="O115" i="46" s="1"/>
  <c r="S115" i="46" s="1"/>
  <c r="C120" i="46"/>
  <c r="G120" i="46" s="1"/>
  <c r="K120" i="46" s="1"/>
  <c r="D76" i="45"/>
  <c r="D178" i="42"/>
  <c r="D120" i="46"/>
  <c r="J229" i="42"/>
  <c r="H120" i="46"/>
  <c r="F53" i="42"/>
  <c r="F224" i="42"/>
  <c r="C19" i="43"/>
  <c r="G19" i="43" s="1"/>
  <c r="K19" i="43" s="1"/>
  <c r="O19" i="43" s="1"/>
  <c r="S19" i="43" s="1"/>
  <c r="C19" i="42"/>
  <c r="G19" i="42" s="1"/>
  <c r="K19" i="42" s="1"/>
  <c r="O19" i="42" s="1"/>
  <c r="S19" i="42" s="1"/>
  <c r="L120" i="46"/>
  <c r="F55" i="42"/>
  <c r="K224" i="42"/>
  <c r="N224" i="42" s="1"/>
  <c r="C26" i="43"/>
  <c r="G26" i="43" s="1"/>
  <c r="K26" i="43" s="1"/>
  <c r="O26" i="43" s="1"/>
  <c r="S26" i="43" s="1"/>
  <c r="C26" i="42"/>
  <c r="G26" i="42" s="1"/>
  <c r="K26" i="42" s="1"/>
  <c r="O26" i="42" s="1"/>
  <c r="S26" i="42" s="1"/>
  <c r="P120" i="46"/>
  <c r="J55" i="42"/>
  <c r="C44" i="46"/>
  <c r="G44" i="46" s="1"/>
  <c r="K44" i="46" s="1"/>
  <c r="O44" i="46" s="1"/>
  <c r="S44" i="46" s="1"/>
  <c r="C45" i="46"/>
  <c r="C46" i="46"/>
  <c r="G46" i="46" s="1"/>
  <c r="K46" i="46" s="1"/>
  <c r="O46" i="46" s="1"/>
  <c r="S46" i="46" s="1"/>
  <c r="C47" i="46"/>
  <c r="G47" i="46" s="1"/>
  <c r="K47" i="46" s="1"/>
  <c r="O47" i="46" s="1"/>
  <c r="S47" i="46" s="1"/>
  <c r="T120" i="46"/>
  <c r="F100" i="46"/>
  <c r="G121" i="46"/>
  <c r="K121" i="46" s="1"/>
  <c r="O230" i="42"/>
  <c r="O229" i="42"/>
  <c r="N229" i="42"/>
  <c r="O228" i="42"/>
  <c r="S227" i="42"/>
  <c r="O226" i="42"/>
  <c r="N226" i="42"/>
  <c r="O225" i="42"/>
  <c r="O223" i="42"/>
  <c r="O222" i="42"/>
  <c r="N222" i="42"/>
  <c r="O221" i="42"/>
  <c r="N221" i="42"/>
  <c r="N188" i="42"/>
  <c r="O188" i="42"/>
  <c r="O185" i="42"/>
  <c r="N185" i="42"/>
  <c r="N183" i="42"/>
  <c r="O183" i="42"/>
  <c r="O192" i="42"/>
  <c r="N192" i="42"/>
  <c r="J198" i="42"/>
  <c r="R197" i="42"/>
  <c r="W197" i="42" s="1"/>
  <c r="O201" i="42"/>
  <c r="N201" i="42"/>
  <c r="O200" i="42"/>
  <c r="N200" i="42"/>
  <c r="O199" i="42"/>
  <c r="N199" i="42"/>
  <c r="O198" i="42"/>
  <c r="N198" i="42"/>
  <c r="N180" i="42"/>
  <c r="O180" i="42"/>
  <c r="K176" i="42"/>
  <c r="J176" i="42"/>
  <c r="O196" i="42"/>
  <c r="N196" i="42"/>
  <c r="O191" i="42"/>
  <c r="N191" i="42"/>
  <c r="K190" i="42"/>
  <c r="J190" i="42"/>
  <c r="S104" i="42"/>
  <c r="V104" i="42" s="1"/>
  <c r="N153" i="42"/>
  <c r="O166" i="42"/>
  <c r="N166" i="42"/>
  <c r="W165" i="42"/>
  <c r="O164" i="42"/>
  <c r="N164" i="42"/>
  <c r="J153" i="42"/>
  <c r="O156" i="42"/>
  <c r="N156" i="42"/>
  <c r="N162" i="42"/>
  <c r="O161" i="42"/>
  <c r="N161" i="42"/>
  <c r="S160" i="42"/>
  <c r="V160" i="42" s="1"/>
  <c r="R160" i="42"/>
  <c r="O159" i="42"/>
  <c r="N159" i="42"/>
  <c r="O158" i="42"/>
  <c r="N158" i="42"/>
  <c r="N155" i="42"/>
  <c r="O155" i="42"/>
  <c r="O154" i="42"/>
  <c r="N154" i="42"/>
  <c r="S153" i="42"/>
  <c r="V153" i="42" s="1"/>
  <c r="R153" i="42"/>
  <c r="N104" i="42"/>
  <c r="O114" i="42"/>
  <c r="N114" i="42"/>
  <c r="O112" i="42"/>
  <c r="N112" i="42"/>
  <c r="O111" i="42"/>
  <c r="N111" i="42"/>
  <c r="O109" i="42"/>
  <c r="K128" i="42"/>
  <c r="N107" i="42"/>
  <c r="O107" i="42"/>
  <c r="N106" i="42"/>
  <c r="O106" i="42"/>
  <c r="N103" i="42"/>
  <c r="O103" i="42"/>
  <c r="O99" i="42"/>
  <c r="N99" i="42"/>
  <c r="O98" i="42"/>
  <c r="N98" i="42"/>
  <c r="N97" i="42"/>
  <c r="O97" i="42"/>
  <c r="N67" i="42"/>
  <c r="N70" i="42"/>
  <c r="V67" i="42"/>
  <c r="N66" i="42"/>
  <c r="N64" i="42"/>
  <c r="J61" i="42"/>
  <c r="N55" i="42"/>
  <c r="N111" i="43"/>
  <c r="N109" i="43"/>
  <c r="N76" i="43"/>
  <c r="R76" i="43"/>
  <c r="O84" i="43"/>
  <c r="N84" i="43"/>
  <c r="O77" i="43"/>
  <c r="N77" i="43"/>
  <c r="O75" i="43"/>
  <c r="N75" i="43"/>
  <c r="O101" i="44"/>
  <c r="N101" i="44"/>
  <c r="K100" i="44"/>
  <c r="J100" i="44"/>
  <c r="O86" i="44"/>
  <c r="N86" i="44"/>
  <c r="N85" i="44"/>
  <c r="O85" i="44"/>
  <c r="N45" i="44"/>
  <c r="O74" i="44"/>
  <c r="N74" i="44"/>
  <c r="K63" i="44"/>
  <c r="J63" i="44"/>
  <c r="W7" i="44"/>
  <c r="O62" i="44"/>
  <c r="N62" i="44"/>
  <c r="O60" i="44"/>
  <c r="N60" i="44"/>
  <c r="K59" i="44"/>
  <c r="J59" i="44"/>
  <c r="O82" i="45"/>
  <c r="N82" i="45"/>
  <c r="J74" i="45"/>
  <c r="K74" i="45"/>
  <c r="N45" i="45"/>
  <c r="O58" i="45"/>
  <c r="N58" i="45"/>
  <c r="K57" i="45"/>
  <c r="O56" i="45"/>
  <c r="N56" i="45"/>
  <c r="J55" i="45"/>
  <c r="O121" i="46"/>
  <c r="K119" i="46"/>
  <c r="K118" i="46"/>
  <c r="K117" i="46"/>
  <c r="J117" i="46"/>
  <c r="F117" i="46"/>
  <c r="K116" i="46"/>
  <c r="F97" i="46"/>
  <c r="F90" i="46"/>
  <c r="G100" i="46"/>
  <c r="K100" i="46" s="1"/>
  <c r="O100" i="46" s="1"/>
  <c r="K102" i="46"/>
  <c r="J102" i="46"/>
  <c r="F102" i="46"/>
  <c r="K99" i="46"/>
  <c r="J99" i="46"/>
  <c r="F99" i="46"/>
  <c r="G97" i="46"/>
  <c r="K97" i="46" s="1"/>
  <c r="O97" i="46" s="1"/>
  <c r="K95" i="46"/>
  <c r="J95" i="46"/>
  <c r="F95" i="46"/>
  <c r="K91" i="46"/>
  <c r="J91" i="46"/>
  <c r="F91" i="46"/>
  <c r="K90" i="46"/>
  <c r="J90" i="46"/>
  <c r="K89" i="46"/>
  <c r="J89" i="46"/>
  <c r="F89" i="46"/>
  <c r="J51" i="46"/>
  <c r="F51" i="46"/>
  <c r="K83" i="46"/>
  <c r="J83" i="46"/>
  <c r="F83" i="46"/>
  <c r="K82" i="46"/>
  <c r="J82" i="46"/>
  <c r="F82" i="46"/>
  <c r="W35" i="46"/>
  <c r="K71" i="46"/>
  <c r="J71" i="46"/>
  <c r="F71" i="46"/>
  <c r="K69" i="46"/>
  <c r="J69" i="46"/>
  <c r="F69" i="46"/>
  <c r="K67" i="46"/>
  <c r="J67" i="46"/>
  <c r="F67" i="46"/>
  <c r="K66" i="46"/>
  <c r="J66" i="46"/>
  <c r="F66" i="46"/>
  <c r="W39" i="46"/>
  <c r="W7" i="46"/>
  <c r="C19" i="44"/>
  <c r="G19" i="44" s="1"/>
  <c r="K19" i="44" s="1"/>
  <c r="O19" i="44" s="1"/>
  <c r="S19" i="44" s="1"/>
  <c r="C27" i="45"/>
  <c r="G27" i="45" s="1"/>
  <c r="K27" i="45" s="1"/>
  <c r="O27" i="45" s="1"/>
  <c r="S27" i="45" s="1"/>
  <c r="C19" i="45"/>
  <c r="G19" i="45" s="1"/>
  <c r="K19" i="45" s="1"/>
  <c r="O19" i="45" s="1"/>
  <c r="S19" i="45" s="1"/>
  <c r="C12" i="43"/>
  <c r="C26" i="45"/>
  <c r="G26" i="45" s="1"/>
  <c r="K26" i="45" s="1"/>
  <c r="O26" i="45" s="1"/>
  <c r="S26" i="45" s="1"/>
  <c r="C12" i="45"/>
  <c r="G12" i="45" s="1"/>
  <c r="K12" i="45" s="1"/>
  <c r="O12" i="45" s="1"/>
  <c r="S12" i="45" s="1"/>
  <c r="I14" i="43"/>
  <c r="C27" i="43"/>
  <c r="G27" i="43" s="1"/>
  <c r="K27" i="43" s="1"/>
  <c r="O27" i="43" s="1"/>
  <c r="S27" i="43" s="1"/>
  <c r="W375" i="4"/>
  <c r="C22" i="46"/>
  <c r="G30" i="42"/>
  <c r="K30" i="42" s="1"/>
  <c r="O30" i="42" s="1"/>
  <c r="S30" i="42" s="1"/>
  <c r="I19" i="43"/>
  <c r="I17" i="43"/>
  <c r="I27" i="46"/>
  <c r="F24" i="46"/>
  <c r="W39" i="42"/>
  <c r="W45" i="42"/>
  <c r="W7" i="42"/>
  <c r="W7" i="43"/>
  <c r="W35" i="45"/>
  <c r="W7" i="45"/>
  <c r="W39" i="45"/>
  <c r="W39" i="44"/>
  <c r="W35" i="44"/>
  <c r="W39" i="43"/>
  <c r="W44" i="43"/>
  <c r="F26" i="46"/>
  <c r="F12" i="28"/>
  <c r="T374" i="4"/>
  <c r="Q374" i="4"/>
  <c r="N374" i="4"/>
  <c r="K374" i="4"/>
  <c r="G374" i="4"/>
  <c r="T373" i="4"/>
  <c r="Q373" i="4"/>
  <c r="N373" i="4"/>
  <c r="G373" i="4"/>
  <c r="K373" i="4"/>
  <c r="T337" i="4"/>
  <c r="Q337" i="4"/>
  <c r="N337" i="4"/>
  <c r="K337" i="4"/>
  <c r="G337" i="4"/>
  <c r="H360" i="4"/>
  <c r="T376" i="4"/>
  <c r="Q376" i="4"/>
  <c r="N376" i="4"/>
  <c r="K376" i="4"/>
  <c r="G376" i="4"/>
  <c r="H341" i="4"/>
  <c r="N336" i="4"/>
  <c r="H320" i="4"/>
  <c r="Q333" i="4"/>
  <c r="N333" i="4"/>
  <c r="K333" i="4"/>
  <c r="K261" i="4"/>
  <c r="H69" i="42" s="1"/>
  <c r="J69" i="42" s="1"/>
  <c r="T279" i="4"/>
  <c r="Q279" i="4"/>
  <c r="N279" i="4"/>
  <c r="K279" i="4"/>
  <c r="G279" i="4"/>
  <c r="H270" i="4"/>
  <c r="Q261" i="4"/>
  <c r="P69" i="42" s="1"/>
  <c r="N261" i="4"/>
  <c r="L69" i="42" s="1"/>
  <c r="N69" i="42" s="1"/>
  <c r="U114" i="4"/>
  <c r="R114" i="4"/>
  <c r="O114" i="4"/>
  <c r="L114" i="4"/>
  <c r="I114" i="4"/>
  <c r="H31" i="4"/>
  <c r="C29" i="42" s="1"/>
  <c r="U361" i="4"/>
  <c r="R361" i="4"/>
  <c r="O361" i="4"/>
  <c r="L361" i="4"/>
  <c r="I361" i="4"/>
  <c r="U359" i="4"/>
  <c r="R359" i="4"/>
  <c r="O359" i="4"/>
  <c r="L359" i="4"/>
  <c r="I359" i="4"/>
  <c r="W348" i="4"/>
  <c r="T347" i="4"/>
  <c r="T91" i="42" s="1"/>
  <c r="Q347" i="4"/>
  <c r="N347" i="4"/>
  <c r="G347" i="4"/>
  <c r="K347" i="4"/>
  <c r="K346" i="4"/>
  <c r="T346" i="4"/>
  <c r="T90" i="42" s="1"/>
  <c r="Q346" i="4"/>
  <c r="N346" i="4"/>
  <c r="G346" i="4"/>
  <c r="H347" i="4"/>
  <c r="H346" i="4"/>
  <c r="O344" i="4"/>
  <c r="U345" i="4"/>
  <c r="T341" i="4"/>
  <c r="Q341" i="4"/>
  <c r="N341" i="4"/>
  <c r="K341" i="4"/>
  <c r="G341" i="4"/>
  <c r="T342" i="4"/>
  <c r="Q342" i="4"/>
  <c r="N342" i="4"/>
  <c r="K342" i="4"/>
  <c r="G342" i="4"/>
  <c r="H342" i="4"/>
  <c r="R340" i="4"/>
  <c r="R339" i="4"/>
  <c r="H335" i="4"/>
  <c r="H336" i="4"/>
  <c r="G336" i="4"/>
  <c r="T336" i="4"/>
  <c r="Q336" i="4"/>
  <c r="H318" i="4"/>
  <c r="H12" i="4"/>
  <c r="X372" i="4"/>
  <c r="U317" i="4"/>
  <c r="R317" i="4"/>
  <c r="O317" i="4"/>
  <c r="L317" i="4"/>
  <c r="I317" i="4"/>
  <c r="I374" i="4" s="1"/>
  <c r="I377" i="4" s="1"/>
  <c r="U364" i="4"/>
  <c r="R364" i="4"/>
  <c r="O364" i="4"/>
  <c r="L364" i="4"/>
  <c r="I364" i="4"/>
  <c r="U355" i="4"/>
  <c r="R355" i="4"/>
  <c r="O355" i="4"/>
  <c r="L355" i="4"/>
  <c r="I355" i="4"/>
  <c r="U334" i="4"/>
  <c r="R334" i="4"/>
  <c r="O334" i="4"/>
  <c r="L334" i="4"/>
  <c r="I334" i="4"/>
  <c r="K371" i="4"/>
  <c r="F15" i="43" l="1"/>
  <c r="N14" i="43"/>
  <c r="F14" i="43"/>
  <c r="F24" i="43"/>
  <c r="F25" i="46"/>
  <c r="J23" i="46"/>
  <c r="N13" i="43"/>
  <c r="J13" i="43"/>
  <c r="F23" i="46"/>
  <c r="F24" i="45"/>
  <c r="J23" i="43"/>
  <c r="N23" i="43"/>
  <c r="F23" i="43"/>
  <c r="N52" i="42"/>
  <c r="N53" i="42"/>
  <c r="J47" i="46"/>
  <c r="J11" i="43"/>
  <c r="F13" i="43"/>
  <c r="F11" i="43"/>
  <c r="F47" i="46"/>
  <c r="O224" i="42"/>
  <c r="S224" i="42" s="1"/>
  <c r="V224" i="42" s="1"/>
  <c r="F17" i="43"/>
  <c r="F26" i="43"/>
  <c r="J26" i="43"/>
  <c r="F25" i="43"/>
  <c r="F25" i="45"/>
  <c r="W78" i="45"/>
  <c r="F19" i="43"/>
  <c r="J19" i="43"/>
  <c r="F30" i="43"/>
  <c r="J53" i="42"/>
  <c r="W80" i="45"/>
  <c r="J20" i="43"/>
  <c r="F16" i="43"/>
  <c r="J44" i="46"/>
  <c r="F20" i="43"/>
  <c r="N22" i="43"/>
  <c r="F46" i="46"/>
  <c r="J46" i="46"/>
  <c r="F22" i="43"/>
  <c r="J22" i="43"/>
  <c r="J27" i="46"/>
  <c r="F44" i="46"/>
  <c r="F120" i="46"/>
  <c r="J120" i="46"/>
  <c r="J52" i="42"/>
  <c r="G45" i="46"/>
  <c r="K45" i="46" s="1"/>
  <c r="O45" i="46" s="1"/>
  <c r="S45" i="46" s="1"/>
  <c r="J54" i="42"/>
  <c r="F45" i="46"/>
  <c r="H88" i="42"/>
  <c r="H58" i="46"/>
  <c r="D90" i="42"/>
  <c r="D60" i="46"/>
  <c r="P91" i="42"/>
  <c r="P61" i="46"/>
  <c r="H95" i="45"/>
  <c r="H223" i="42"/>
  <c r="J223" i="42" s="1"/>
  <c r="C115" i="42"/>
  <c r="C70" i="46"/>
  <c r="U360" i="4"/>
  <c r="C184" i="42"/>
  <c r="C96" i="46"/>
  <c r="L227" i="42"/>
  <c r="N227" i="42" s="1"/>
  <c r="L118" i="46"/>
  <c r="N118" i="46" s="1"/>
  <c r="C89" i="42"/>
  <c r="G89" i="42" s="1"/>
  <c r="K89" i="42" s="1"/>
  <c r="O89" i="42" s="1"/>
  <c r="S89" i="42" s="1"/>
  <c r="C59" i="46"/>
  <c r="G59" i="46" s="1"/>
  <c r="K59" i="46" s="1"/>
  <c r="O59" i="46" s="1"/>
  <c r="S59" i="46" s="1"/>
  <c r="L90" i="42"/>
  <c r="L60" i="46"/>
  <c r="L223" i="42"/>
  <c r="N223" i="42" s="1"/>
  <c r="L95" i="45"/>
  <c r="L57" i="46"/>
  <c r="L87" i="42"/>
  <c r="I337" i="4"/>
  <c r="D72" i="42"/>
  <c r="F72" i="42" s="1"/>
  <c r="D53" i="46"/>
  <c r="F53" i="46" s="1"/>
  <c r="P227" i="42"/>
  <c r="R227" i="42" s="1"/>
  <c r="P118" i="46"/>
  <c r="U318" i="4"/>
  <c r="C113" i="42"/>
  <c r="C68" i="46"/>
  <c r="L88" i="42"/>
  <c r="L58" i="46"/>
  <c r="H225" i="42"/>
  <c r="J225" i="42" s="1"/>
  <c r="H116" i="46"/>
  <c r="J116" i="46" s="1"/>
  <c r="P87" i="42"/>
  <c r="P57" i="46"/>
  <c r="D89" i="42"/>
  <c r="D59" i="46"/>
  <c r="P88" i="42"/>
  <c r="P58" i="46"/>
  <c r="P90" i="42"/>
  <c r="P60" i="46"/>
  <c r="P95" i="45"/>
  <c r="P223" i="42"/>
  <c r="R223" i="42" s="1"/>
  <c r="C88" i="42"/>
  <c r="G88" i="42" s="1"/>
  <c r="K88" i="42" s="1"/>
  <c r="O88" i="42" s="1"/>
  <c r="S88" i="42" s="1"/>
  <c r="C58" i="46"/>
  <c r="G58" i="46" s="1"/>
  <c r="K58" i="46" s="1"/>
  <c r="O58" i="46" s="1"/>
  <c r="S58" i="46" s="1"/>
  <c r="L337" i="4"/>
  <c r="H72" i="42"/>
  <c r="J72" i="42" s="1"/>
  <c r="H53" i="46"/>
  <c r="J53" i="46" s="1"/>
  <c r="T227" i="42"/>
  <c r="V227" i="42" s="1"/>
  <c r="T118" i="46"/>
  <c r="T87" i="42"/>
  <c r="T57" i="46"/>
  <c r="H89" i="42"/>
  <c r="H59" i="46"/>
  <c r="T88" i="42"/>
  <c r="T60" i="46"/>
  <c r="T58" i="46"/>
  <c r="T223" i="42"/>
  <c r="T95" i="45"/>
  <c r="D230" i="42"/>
  <c r="F230" i="42" s="1"/>
  <c r="D121" i="46"/>
  <c r="F121" i="46" s="1"/>
  <c r="O337" i="4"/>
  <c r="L72" i="42"/>
  <c r="N72" i="42" s="1"/>
  <c r="L53" i="46"/>
  <c r="D228" i="42"/>
  <c r="F228" i="42" s="1"/>
  <c r="D119" i="46"/>
  <c r="F119" i="46" s="1"/>
  <c r="D57" i="46"/>
  <c r="D87" i="42"/>
  <c r="L89" i="42"/>
  <c r="L59" i="46"/>
  <c r="H90" i="42"/>
  <c r="H60" i="46"/>
  <c r="H230" i="42"/>
  <c r="J230" i="42" s="1"/>
  <c r="H121" i="46"/>
  <c r="J121" i="46" s="1"/>
  <c r="R337" i="4"/>
  <c r="P72" i="42"/>
  <c r="R72" i="42" s="1"/>
  <c r="P53" i="46"/>
  <c r="H228" i="42"/>
  <c r="J228" i="42" s="1"/>
  <c r="H119" i="46"/>
  <c r="J119" i="46" s="1"/>
  <c r="P89" i="42"/>
  <c r="P59" i="46"/>
  <c r="H91" i="42"/>
  <c r="H61" i="46"/>
  <c r="L23" i="4"/>
  <c r="C21" i="42"/>
  <c r="G21" i="42" s="1"/>
  <c r="K21" i="42" s="1"/>
  <c r="O21" i="42" s="1"/>
  <c r="S21" i="42" s="1"/>
  <c r="L230" i="42"/>
  <c r="N230" i="42" s="1"/>
  <c r="L121" i="46"/>
  <c r="N121" i="46" s="1"/>
  <c r="U337" i="4"/>
  <c r="T72" i="42"/>
  <c r="V72" i="42" s="1"/>
  <c r="T53" i="46"/>
  <c r="L228" i="42"/>
  <c r="N228" i="42" s="1"/>
  <c r="L119" i="46"/>
  <c r="N119" i="46" s="1"/>
  <c r="L336" i="4"/>
  <c r="C57" i="46"/>
  <c r="G57" i="46" s="1"/>
  <c r="K57" i="46" s="1"/>
  <c r="O57" i="46" s="1"/>
  <c r="S57" i="46" s="1"/>
  <c r="C87" i="42"/>
  <c r="G87" i="42" s="1"/>
  <c r="K87" i="42" s="1"/>
  <c r="O87" i="42" s="1"/>
  <c r="S87" i="42" s="1"/>
  <c r="O335" i="4"/>
  <c r="C71" i="42"/>
  <c r="G71" i="42" s="1"/>
  <c r="K71" i="42" s="1"/>
  <c r="O71" i="42" s="1"/>
  <c r="S71" i="42" s="1"/>
  <c r="C52" i="46"/>
  <c r="G52" i="46" s="1"/>
  <c r="K52" i="46" s="1"/>
  <c r="O52" i="46" s="1"/>
  <c r="S52" i="46" s="1"/>
  <c r="T89" i="42"/>
  <c r="T61" i="46"/>
  <c r="T59" i="46"/>
  <c r="C90" i="42"/>
  <c r="G90" i="42" s="1"/>
  <c r="K90" i="42" s="1"/>
  <c r="O90" i="42" s="1"/>
  <c r="S90" i="42" s="1"/>
  <c r="C60" i="46"/>
  <c r="G60" i="46" s="1"/>
  <c r="K60" i="46" s="1"/>
  <c r="O60" i="46" s="1"/>
  <c r="S60" i="46" s="1"/>
  <c r="D91" i="42"/>
  <c r="D61" i="46"/>
  <c r="C77" i="45"/>
  <c r="C179" i="42"/>
  <c r="P230" i="42"/>
  <c r="R230" i="42" s="1"/>
  <c r="P121" i="46"/>
  <c r="R121" i="46" s="1"/>
  <c r="H227" i="42"/>
  <c r="J227" i="42" s="1"/>
  <c r="H118" i="46"/>
  <c r="J118" i="46" s="1"/>
  <c r="P228" i="42"/>
  <c r="R228" i="42" s="1"/>
  <c r="P119" i="46"/>
  <c r="D88" i="42"/>
  <c r="D58" i="46"/>
  <c r="C91" i="42"/>
  <c r="G91" i="42" s="1"/>
  <c r="K91" i="42" s="1"/>
  <c r="O91" i="42" s="1"/>
  <c r="S91" i="42" s="1"/>
  <c r="C61" i="46"/>
  <c r="G61" i="46" s="1"/>
  <c r="K61" i="46" s="1"/>
  <c r="O61" i="46" s="1"/>
  <c r="S61" i="46" s="1"/>
  <c r="L91" i="42"/>
  <c r="L61" i="46"/>
  <c r="D223" i="42"/>
  <c r="F223" i="42" s="1"/>
  <c r="D95" i="45"/>
  <c r="T230" i="42"/>
  <c r="T121" i="46"/>
  <c r="D227" i="42"/>
  <c r="F227" i="42" s="1"/>
  <c r="D118" i="46"/>
  <c r="F118" i="46" s="1"/>
  <c r="T228" i="42"/>
  <c r="T119" i="46"/>
  <c r="N100" i="46"/>
  <c r="G22" i="46"/>
  <c r="K22" i="46" s="1"/>
  <c r="O22" i="46" s="1"/>
  <c r="S22" i="46" s="1"/>
  <c r="S230" i="42"/>
  <c r="S229" i="42"/>
  <c r="V229" i="42" s="1"/>
  <c r="R229" i="42"/>
  <c r="S228" i="42"/>
  <c r="S226" i="42"/>
  <c r="V226" i="42" s="1"/>
  <c r="R226" i="42"/>
  <c r="S225" i="42"/>
  <c r="S223" i="42"/>
  <c r="S222" i="42"/>
  <c r="V222" i="42" s="1"/>
  <c r="R222" i="42"/>
  <c r="S221" i="42"/>
  <c r="V221" i="42" s="1"/>
  <c r="R221" i="42"/>
  <c r="S188" i="42"/>
  <c r="V188" i="42" s="1"/>
  <c r="R188" i="42"/>
  <c r="W104" i="42"/>
  <c r="S185" i="42"/>
  <c r="V185" i="42" s="1"/>
  <c r="R185" i="42"/>
  <c r="S183" i="42"/>
  <c r="V183" i="42" s="1"/>
  <c r="R183" i="42"/>
  <c r="S192" i="42"/>
  <c r="V192" i="42" s="1"/>
  <c r="R192" i="42"/>
  <c r="S201" i="42"/>
  <c r="V201" i="42" s="1"/>
  <c r="R201" i="42"/>
  <c r="S200" i="42"/>
  <c r="V200" i="42" s="1"/>
  <c r="R200" i="42"/>
  <c r="S199" i="42"/>
  <c r="V199" i="42" s="1"/>
  <c r="R199" i="42"/>
  <c r="S198" i="42"/>
  <c r="V198" i="42" s="1"/>
  <c r="R198" i="42"/>
  <c r="S180" i="42"/>
  <c r="V180" i="42" s="1"/>
  <c r="R180" i="42"/>
  <c r="O176" i="42"/>
  <c r="N176" i="42"/>
  <c r="S196" i="42"/>
  <c r="V196" i="42" s="1"/>
  <c r="R196" i="42"/>
  <c r="S191" i="42"/>
  <c r="V191" i="42" s="1"/>
  <c r="R191" i="42"/>
  <c r="O190" i="42"/>
  <c r="N190" i="42"/>
  <c r="S166" i="42"/>
  <c r="V166" i="42" s="1"/>
  <c r="R166" i="42"/>
  <c r="S164" i="42"/>
  <c r="V164" i="42" s="1"/>
  <c r="R164" i="42"/>
  <c r="W153" i="42"/>
  <c r="S156" i="42"/>
  <c r="V156" i="42" s="1"/>
  <c r="R156" i="42"/>
  <c r="W160" i="42"/>
  <c r="V162" i="42"/>
  <c r="R162" i="42"/>
  <c r="S161" i="42"/>
  <c r="V161" i="42" s="1"/>
  <c r="R161" i="42"/>
  <c r="S159" i="42"/>
  <c r="V159" i="42" s="1"/>
  <c r="R159" i="42"/>
  <c r="S158" i="42"/>
  <c r="V158" i="42" s="1"/>
  <c r="R158" i="42"/>
  <c r="S155" i="42"/>
  <c r="V155" i="42" s="1"/>
  <c r="R155" i="42"/>
  <c r="S154" i="42"/>
  <c r="V154" i="42" s="1"/>
  <c r="R154" i="42"/>
  <c r="S114" i="42"/>
  <c r="V114" i="42" s="1"/>
  <c r="R114" i="42"/>
  <c r="S112" i="42"/>
  <c r="V112" i="42" s="1"/>
  <c r="R112" i="42"/>
  <c r="S111" i="42"/>
  <c r="V111" i="42" s="1"/>
  <c r="R111" i="42"/>
  <c r="S109" i="42"/>
  <c r="O128" i="42"/>
  <c r="N128" i="42"/>
  <c r="R107" i="42"/>
  <c r="S107" i="42"/>
  <c r="V107" i="42" s="1"/>
  <c r="S106" i="42"/>
  <c r="V106" i="42" s="1"/>
  <c r="R106" i="42"/>
  <c r="S103" i="42"/>
  <c r="V103" i="42" s="1"/>
  <c r="R103" i="42"/>
  <c r="S99" i="42"/>
  <c r="V99" i="42" s="1"/>
  <c r="R99" i="42"/>
  <c r="S98" i="42"/>
  <c r="V98" i="42" s="1"/>
  <c r="R98" i="42"/>
  <c r="S97" i="42"/>
  <c r="V97" i="42" s="1"/>
  <c r="R97" i="42"/>
  <c r="V70" i="42"/>
  <c r="R70" i="42"/>
  <c r="V69" i="42"/>
  <c r="R69" i="42"/>
  <c r="V66" i="42"/>
  <c r="R66" i="42"/>
  <c r="V64" i="42"/>
  <c r="R64" i="42"/>
  <c r="N61" i="42"/>
  <c r="N54" i="42"/>
  <c r="V55" i="42"/>
  <c r="R55" i="42"/>
  <c r="V53" i="42"/>
  <c r="R53" i="42"/>
  <c r="V52" i="42"/>
  <c r="R52" i="42"/>
  <c r="V111" i="43"/>
  <c r="R111" i="43"/>
  <c r="W76" i="43"/>
  <c r="V109" i="43"/>
  <c r="R109" i="43"/>
  <c r="S84" i="43"/>
  <c r="V84" i="43" s="1"/>
  <c r="R84" i="43"/>
  <c r="S77" i="43"/>
  <c r="V77" i="43" s="1"/>
  <c r="R77" i="43"/>
  <c r="S75" i="43"/>
  <c r="V75" i="43" s="1"/>
  <c r="R75" i="43"/>
  <c r="J27" i="43"/>
  <c r="F27" i="43"/>
  <c r="F12" i="43"/>
  <c r="G12" i="43"/>
  <c r="K12" i="43" s="1"/>
  <c r="O12" i="43" s="1"/>
  <c r="S12" i="43" s="1"/>
  <c r="S101" i="44"/>
  <c r="V101" i="44" s="1"/>
  <c r="R101" i="44"/>
  <c r="O100" i="44"/>
  <c r="N100" i="44"/>
  <c r="R86" i="44"/>
  <c r="S86" i="44"/>
  <c r="V86" i="44" s="1"/>
  <c r="S85" i="44"/>
  <c r="V85" i="44" s="1"/>
  <c r="R85" i="44"/>
  <c r="V45" i="44"/>
  <c r="R45" i="44"/>
  <c r="S74" i="44"/>
  <c r="V74" i="44" s="1"/>
  <c r="R74" i="44"/>
  <c r="O63" i="44"/>
  <c r="N63" i="44"/>
  <c r="S62" i="44"/>
  <c r="V62" i="44" s="1"/>
  <c r="R62" i="44"/>
  <c r="S60" i="44"/>
  <c r="V60" i="44" s="1"/>
  <c r="R60" i="44"/>
  <c r="N59" i="44"/>
  <c r="O59" i="44"/>
  <c r="S82" i="45"/>
  <c r="V82" i="45" s="1"/>
  <c r="R82" i="45"/>
  <c r="O74" i="45"/>
  <c r="N74" i="45"/>
  <c r="V45" i="45"/>
  <c r="R45" i="45"/>
  <c r="R58" i="45"/>
  <c r="S58" i="45"/>
  <c r="V58" i="45" s="1"/>
  <c r="O57" i="45"/>
  <c r="S56" i="45"/>
  <c r="V56" i="45" s="1"/>
  <c r="R56" i="45"/>
  <c r="O55" i="45"/>
  <c r="N55" i="45"/>
  <c r="S121" i="46"/>
  <c r="O120" i="46"/>
  <c r="N120" i="46"/>
  <c r="O119" i="46"/>
  <c r="O118" i="46"/>
  <c r="O117" i="46"/>
  <c r="N117" i="46"/>
  <c r="O116" i="46"/>
  <c r="J97" i="46"/>
  <c r="N97" i="46"/>
  <c r="J100" i="46"/>
  <c r="O102" i="46"/>
  <c r="N102" i="46"/>
  <c r="S100" i="46"/>
  <c r="V100" i="46" s="1"/>
  <c r="R100" i="46"/>
  <c r="O99" i="46"/>
  <c r="N99" i="46"/>
  <c r="S97" i="46"/>
  <c r="V97" i="46" s="1"/>
  <c r="R97" i="46"/>
  <c r="O95" i="46"/>
  <c r="N95" i="46"/>
  <c r="O91" i="46"/>
  <c r="N91" i="46"/>
  <c r="O90" i="46"/>
  <c r="N90" i="46"/>
  <c r="O89" i="46"/>
  <c r="N89" i="46"/>
  <c r="N47" i="46"/>
  <c r="N46" i="46"/>
  <c r="N44" i="46"/>
  <c r="N53" i="46"/>
  <c r="N51" i="46"/>
  <c r="O83" i="46"/>
  <c r="N83" i="46"/>
  <c r="O82" i="46"/>
  <c r="N82" i="46"/>
  <c r="O71" i="46"/>
  <c r="N71" i="46"/>
  <c r="N69" i="46"/>
  <c r="O69" i="46"/>
  <c r="O67" i="46"/>
  <c r="N67" i="46"/>
  <c r="O66" i="46"/>
  <c r="N66" i="46"/>
  <c r="V317" i="4"/>
  <c r="X317" i="4" s="1"/>
  <c r="V334" i="4"/>
  <c r="X334" i="4" s="1"/>
  <c r="V359" i="4"/>
  <c r="X359" i="4" s="1"/>
  <c r="V364" i="4"/>
  <c r="X364" i="4" s="1"/>
  <c r="V355" i="4"/>
  <c r="X355" i="4" s="1"/>
  <c r="V361" i="4"/>
  <c r="X361" i="4" s="1"/>
  <c r="W376" i="4"/>
  <c r="X376" i="4" s="1"/>
  <c r="W374" i="4"/>
  <c r="X374" i="4" s="1"/>
  <c r="C21" i="43"/>
  <c r="G21" i="43" s="1"/>
  <c r="K21" i="43" s="1"/>
  <c r="O21" i="43" s="1"/>
  <c r="S21" i="43" s="1"/>
  <c r="C21" i="44"/>
  <c r="G21" i="44" s="1"/>
  <c r="K21" i="44" s="1"/>
  <c r="O21" i="44" s="1"/>
  <c r="S21" i="44" s="1"/>
  <c r="C21" i="45"/>
  <c r="G21" i="45" s="1"/>
  <c r="K21" i="45" s="1"/>
  <c r="O21" i="45" s="1"/>
  <c r="S21" i="45" s="1"/>
  <c r="C21" i="46"/>
  <c r="G21" i="46" s="1"/>
  <c r="K21" i="46" s="1"/>
  <c r="O21" i="46" s="1"/>
  <c r="S21" i="46" s="1"/>
  <c r="C29" i="45"/>
  <c r="G29" i="45" s="1"/>
  <c r="K29" i="45" s="1"/>
  <c r="O29" i="45" s="1"/>
  <c r="S29" i="45" s="1"/>
  <c r="C29" i="46"/>
  <c r="G29" i="46" s="1"/>
  <c r="K29" i="46" s="1"/>
  <c r="O29" i="46" s="1"/>
  <c r="S29" i="46" s="1"/>
  <c r="C29" i="43"/>
  <c r="G29" i="43" s="1"/>
  <c r="K29" i="43" s="1"/>
  <c r="O29" i="43" s="1"/>
  <c r="S29" i="43" s="1"/>
  <c r="C29" i="44"/>
  <c r="G29" i="44" s="1"/>
  <c r="K29" i="44" s="1"/>
  <c r="O29" i="44" s="1"/>
  <c r="S29" i="44" s="1"/>
  <c r="G29" i="42"/>
  <c r="K29" i="42" s="1"/>
  <c r="O29" i="42" s="1"/>
  <c r="S29" i="42" s="1"/>
  <c r="C10" i="42"/>
  <c r="G10" i="42" s="1"/>
  <c r="K10" i="42" s="1"/>
  <c r="O10" i="42" s="1"/>
  <c r="S10" i="42" s="1"/>
  <c r="C10" i="45"/>
  <c r="G10" i="45" s="1"/>
  <c r="K10" i="45" s="1"/>
  <c r="O10" i="45" s="1"/>
  <c r="S10" i="45" s="1"/>
  <c r="C10" i="46"/>
  <c r="G10" i="46" s="1"/>
  <c r="K10" i="46" s="1"/>
  <c r="O10" i="46" s="1"/>
  <c r="S10" i="46" s="1"/>
  <c r="C10" i="44"/>
  <c r="G10" i="44" s="1"/>
  <c r="K10" i="44" s="1"/>
  <c r="O10" i="44" s="1"/>
  <c r="S10" i="44" s="1"/>
  <c r="C10" i="43"/>
  <c r="G10" i="43" s="1"/>
  <c r="K10" i="43" s="1"/>
  <c r="O10" i="43" s="1"/>
  <c r="S10" i="43" s="1"/>
  <c r="W279" i="4"/>
  <c r="W373" i="4"/>
  <c r="X373" i="4" s="1"/>
  <c r="J14" i="43"/>
  <c r="J30" i="43"/>
  <c r="J17" i="43"/>
  <c r="J24" i="43"/>
  <c r="J16" i="43"/>
  <c r="V13" i="43"/>
  <c r="R13" i="43"/>
  <c r="J25" i="43"/>
  <c r="V22" i="43"/>
  <c r="R22" i="43"/>
  <c r="N17" i="43"/>
  <c r="R14" i="43"/>
  <c r="V14" i="43"/>
  <c r="N11" i="43"/>
  <c r="N19" i="43"/>
  <c r="J15" i="43"/>
  <c r="N26" i="43"/>
  <c r="N20" i="43"/>
  <c r="N27" i="43"/>
  <c r="R23" i="43"/>
  <c r="V23" i="43"/>
  <c r="J26" i="46"/>
  <c r="J25" i="46"/>
  <c r="J24" i="46"/>
  <c r="X375" i="4"/>
  <c r="V114" i="4"/>
  <c r="X114" i="4" s="1"/>
  <c r="I360" i="4"/>
  <c r="L360" i="4"/>
  <c r="O360" i="4"/>
  <c r="R360" i="4"/>
  <c r="O346" i="4"/>
  <c r="L347" i="4"/>
  <c r="I347" i="4"/>
  <c r="U346" i="4"/>
  <c r="I346" i="4"/>
  <c r="R346" i="4"/>
  <c r="U347" i="4"/>
  <c r="O347" i="4"/>
  <c r="L346" i="4"/>
  <c r="R347" i="4"/>
  <c r="I344" i="4"/>
  <c r="L344" i="4"/>
  <c r="R344" i="4"/>
  <c r="U344" i="4"/>
  <c r="I345" i="4"/>
  <c r="L345" i="4"/>
  <c r="O345" i="4"/>
  <c r="R345" i="4"/>
  <c r="I341" i="4"/>
  <c r="L341" i="4"/>
  <c r="O341" i="4"/>
  <c r="R341" i="4"/>
  <c r="L342" i="4"/>
  <c r="R342" i="4"/>
  <c r="O342" i="4"/>
  <c r="U342" i="4"/>
  <c r="I342" i="4"/>
  <c r="U341" i="4"/>
  <c r="U340" i="4"/>
  <c r="I340" i="4"/>
  <c r="L340" i="4"/>
  <c r="O340" i="4"/>
  <c r="U339" i="4"/>
  <c r="L339" i="4"/>
  <c r="O339" i="4"/>
  <c r="I339" i="4"/>
  <c r="R335" i="4"/>
  <c r="O336" i="4"/>
  <c r="U335" i="4"/>
  <c r="I336" i="4"/>
  <c r="I335" i="4"/>
  <c r="L335" i="4"/>
  <c r="U336" i="4"/>
  <c r="R336" i="4"/>
  <c r="O318" i="4"/>
  <c r="R318" i="4"/>
  <c r="L318" i="4"/>
  <c r="I318" i="4"/>
  <c r="H358" i="4"/>
  <c r="T358" i="4"/>
  <c r="Q358" i="4"/>
  <c r="N358" i="4"/>
  <c r="G358" i="4"/>
  <c r="U353" i="4"/>
  <c r="R353" i="4"/>
  <c r="O353" i="4"/>
  <c r="L353" i="4"/>
  <c r="I353" i="4"/>
  <c r="U354" i="4"/>
  <c r="R354" i="4"/>
  <c r="O354" i="4"/>
  <c r="L354" i="4"/>
  <c r="I354" i="4"/>
  <c r="T357" i="4"/>
  <c r="H357" i="4"/>
  <c r="G357" i="4"/>
  <c r="H269" i="4"/>
  <c r="L333" i="4"/>
  <c r="U333" i="4"/>
  <c r="R333" i="4"/>
  <c r="O333" i="4"/>
  <c r="I333" i="4"/>
  <c r="U316" i="4"/>
  <c r="R316" i="4"/>
  <c r="O316" i="4"/>
  <c r="L316" i="4"/>
  <c r="I316" i="4"/>
  <c r="U245" i="4"/>
  <c r="U326" i="4"/>
  <c r="R326" i="4"/>
  <c r="O326" i="4"/>
  <c r="L326" i="4"/>
  <c r="I326" i="4"/>
  <c r="U327" i="4"/>
  <c r="R327" i="4"/>
  <c r="O327" i="4"/>
  <c r="L327" i="4"/>
  <c r="I327" i="4"/>
  <c r="U270" i="4"/>
  <c r="G246" i="4"/>
  <c r="T246" i="4"/>
  <c r="Q246" i="4"/>
  <c r="N246" i="4"/>
  <c r="K246" i="4"/>
  <c r="U274" i="4"/>
  <c r="R274" i="4"/>
  <c r="O274" i="4"/>
  <c r="L274" i="4"/>
  <c r="I274" i="4"/>
  <c r="U273" i="4"/>
  <c r="R273" i="4"/>
  <c r="O273" i="4"/>
  <c r="L273" i="4"/>
  <c r="I273" i="4"/>
  <c r="U251" i="4"/>
  <c r="R251" i="4"/>
  <c r="O251" i="4"/>
  <c r="L251" i="4"/>
  <c r="I251" i="4"/>
  <c r="U280" i="4"/>
  <c r="R280" i="4"/>
  <c r="O280" i="4"/>
  <c r="L280" i="4"/>
  <c r="I280" i="4"/>
  <c r="V279" i="4"/>
  <c r="W276" i="4"/>
  <c r="U275" i="4"/>
  <c r="R275" i="4"/>
  <c r="O275" i="4"/>
  <c r="L275" i="4"/>
  <c r="I275" i="4"/>
  <c r="T269" i="4"/>
  <c r="Q269" i="4"/>
  <c r="N269" i="4"/>
  <c r="K269" i="4"/>
  <c r="I245" i="4"/>
  <c r="I271" i="4"/>
  <c r="H268" i="4"/>
  <c r="I244" i="4"/>
  <c r="G259" i="4"/>
  <c r="T260" i="4"/>
  <c r="Q260" i="4"/>
  <c r="N260" i="4"/>
  <c r="K260" i="4"/>
  <c r="H260" i="4"/>
  <c r="U259" i="4"/>
  <c r="R259" i="4"/>
  <c r="O259" i="4"/>
  <c r="L259" i="4"/>
  <c r="V121" i="46" l="1"/>
  <c r="N45" i="46"/>
  <c r="V337" i="4"/>
  <c r="X337" i="4" s="1"/>
  <c r="R224" i="42"/>
  <c r="W224" i="42" s="1"/>
  <c r="V230" i="42"/>
  <c r="W230" i="42" s="1"/>
  <c r="W85" i="44"/>
  <c r="V228" i="42"/>
  <c r="W228" i="42" s="1"/>
  <c r="W227" i="42"/>
  <c r="V223" i="42"/>
  <c r="W223" i="42" s="1"/>
  <c r="J45" i="46"/>
  <c r="W82" i="45"/>
  <c r="W72" i="42"/>
  <c r="T57" i="45"/>
  <c r="T109" i="42"/>
  <c r="V109" i="42" s="1"/>
  <c r="C76" i="45"/>
  <c r="C178" i="42"/>
  <c r="Q371" i="4"/>
  <c r="P182" i="42"/>
  <c r="P94" i="46"/>
  <c r="F91" i="42"/>
  <c r="F88" i="42"/>
  <c r="G113" i="42"/>
  <c r="F113" i="42"/>
  <c r="L75" i="45"/>
  <c r="L177" i="42"/>
  <c r="D45" i="45"/>
  <c r="F45" i="45" s="1"/>
  <c r="W45" i="45" s="1"/>
  <c r="D67" i="42"/>
  <c r="F67" i="42" s="1"/>
  <c r="W67" i="42" s="1"/>
  <c r="P75" i="45"/>
  <c r="P177" i="42"/>
  <c r="T178" i="42"/>
  <c r="T76" i="45"/>
  <c r="D109" i="42"/>
  <c r="F109" i="42" s="1"/>
  <c r="D57" i="45"/>
  <c r="F57" i="45" s="1"/>
  <c r="D181" i="42"/>
  <c r="D93" i="46"/>
  <c r="T371" i="4"/>
  <c r="T182" i="42"/>
  <c r="T94" i="46"/>
  <c r="G179" i="42"/>
  <c r="F179" i="42"/>
  <c r="C181" i="42"/>
  <c r="C93" i="46"/>
  <c r="C182" i="42"/>
  <c r="C94" i="46"/>
  <c r="G77" i="45"/>
  <c r="F77" i="45"/>
  <c r="F52" i="46"/>
  <c r="T177" i="42"/>
  <c r="T75" i="45"/>
  <c r="C75" i="45"/>
  <c r="C177" i="42"/>
  <c r="T181" i="42"/>
  <c r="T93" i="46"/>
  <c r="F71" i="42"/>
  <c r="G96" i="46"/>
  <c r="F96" i="46"/>
  <c r="T86" i="42"/>
  <c r="T51" i="45"/>
  <c r="C51" i="45"/>
  <c r="G51" i="45" s="1"/>
  <c r="K51" i="45" s="1"/>
  <c r="O51" i="45" s="1"/>
  <c r="S51" i="45" s="1"/>
  <c r="C86" i="42"/>
  <c r="G86" i="42" s="1"/>
  <c r="K86" i="42" s="1"/>
  <c r="O86" i="42" s="1"/>
  <c r="S86" i="42" s="1"/>
  <c r="G184" i="42"/>
  <c r="F184" i="42"/>
  <c r="P76" i="45"/>
  <c r="P178" i="42"/>
  <c r="H51" i="45"/>
  <c r="H86" i="42"/>
  <c r="H109" i="42"/>
  <c r="J109" i="42" s="1"/>
  <c r="H57" i="45"/>
  <c r="J57" i="45" s="1"/>
  <c r="F87" i="42"/>
  <c r="L51" i="45"/>
  <c r="L86" i="42"/>
  <c r="H76" i="45"/>
  <c r="H178" i="42"/>
  <c r="L57" i="45"/>
  <c r="N57" i="45" s="1"/>
  <c r="L109" i="42"/>
  <c r="N109" i="42" s="1"/>
  <c r="G371" i="4"/>
  <c r="D182" i="42"/>
  <c r="D94" i="46"/>
  <c r="F90" i="42"/>
  <c r="F57" i="46"/>
  <c r="F59" i="46"/>
  <c r="G70" i="46"/>
  <c r="F70" i="46"/>
  <c r="P51" i="45"/>
  <c r="P86" i="42"/>
  <c r="H75" i="45"/>
  <c r="H177" i="42"/>
  <c r="L76" i="45"/>
  <c r="L178" i="42"/>
  <c r="P57" i="45"/>
  <c r="R57" i="45" s="1"/>
  <c r="P109" i="42"/>
  <c r="R109" i="42" s="1"/>
  <c r="N371" i="4"/>
  <c r="L182" i="42"/>
  <c r="L94" i="46"/>
  <c r="F61" i="46"/>
  <c r="G68" i="46"/>
  <c r="F68" i="46"/>
  <c r="F89" i="42"/>
  <c r="G115" i="42"/>
  <c r="F115" i="42"/>
  <c r="J22" i="46"/>
  <c r="W229" i="42"/>
  <c r="W226" i="42"/>
  <c r="W222" i="42"/>
  <c r="W188" i="42"/>
  <c r="W221" i="42"/>
  <c r="W185" i="42"/>
  <c r="W200" i="42"/>
  <c r="W183" i="42"/>
  <c r="W201" i="42"/>
  <c r="W192" i="42"/>
  <c r="W199" i="42"/>
  <c r="W196" i="42"/>
  <c r="W198" i="42"/>
  <c r="W180" i="42"/>
  <c r="S176" i="42"/>
  <c r="V176" i="42" s="1"/>
  <c r="R176" i="42"/>
  <c r="W191" i="42"/>
  <c r="S190" i="42"/>
  <c r="V190" i="42" s="1"/>
  <c r="R190" i="42"/>
  <c r="W155" i="42"/>
  <c r="W114" i="42"/>
  <c r="W154" i="42"/>
  <c r="W166" i="42"/>
  <c r="W164" i="42"/>
  <c r="W162" i="42"/>
  <c r="W158" i="42"/>
  <c r="W156" i="42"/>
  <c r="W161" i="42"/>
  <c r="W159" i="42"/>
  <c r="W111" i="42"/>
  <c r="W112" i="42"/>
  <c r="W103" i="42"/>
  <c r="W107" i="42"/>
  <c r="R128" i="42"/>
  <c r="S128" i="42"/>
  <c r="V128" i="42" s="1"/>
  <c r="W106" i="42"/>
  <c r="W99" i="42"/>
  <c r="W97" i="42"/>
  <c r="W98" i="42"/>
  <c r="W70" i="42"/>
  <c r="W69" i="42"/>
  <c r="W66" i="42"/>
  <c r="W64" i="42"/>
  <c r="V61" i="42"/>
  <c r="R61" i="42"/>
  <c r="W55" i="42"/>
  <c r="V54" i="42"/>
  <c r="R54" i="42"/>
  <c r="W53" i="42"/>
  <c r="W52" i="42"/>
  <c r="W75" i="43"/>
  <c r="W111" i="43"/>
  <c r="W109" i="43"/>
  <c r="W84" i="43"/>
  <c r="J12" i="43"/>
  <c r="W77" i="43"/>
  <c r="W101" i="44"/>
  <c r="S100" i="44"/>
  <c r="V100" i="44" s="1"/>
  <c r="R100" i="44"/>
  <c r="W62" i="44"/>
  <c r="W86" i="44"/>
  <c r="W45" i="44"/>
  <c r="W74" i="44"/>
  <c r="R63" i="44"/>
  <c r="S63" i="44"/>
  <c r="V63" i="44" s="1"/>
  <c r="W60" i="44"/>
  <c r="R59" i="44"/>
  <c r="S59" i="44"/>
  <c r="V59" i="44" s="1"/>
  <c r="S74" i="45"/>
  <c r="V74" i="45" s="1"/>
  <c r="R74" i="45"/>
  <c r="W56" i="45"/>
  <c r="W58" i="45"/>
  <c r="S57" i="45"/>
  <c r="S55" i="45"/>
  <c r="V55" i="45" s="1"/>
  <c r="R55" i="45"/>
  <c r="W121" i="46"/>
  <c r="R120" i="46"/>
  <c r="S120" i="46"/>
  <c r="V120" i="46" s="1"/>
  <c r="S119" i="46"/>
  <c r="V119" i="46" s="1"/>
  <c r="R119" i="46"/>
  <c r="S118" i="46"/>
  <c r="V118" i="46" s="1"/>
  <c r="R118" i="46"/>
  <c r="S117" i="46"/>
  <c r="V117" i="46" s="1"/>
  <c r="R117" i="46"/>
  <c r="S116" i="46"/>
  <c r="W100" i="46"/>
  <c r="S102" i="46"/>
  <c r="V102" i="46" s="1"/>
  <c r="R102" i="46"/>
  <c r="S99" i="46"/>
  <c r="V99" i="46" s="1"/>
  <c r="R99" i="46"/>
  <c r="W97" i="46"/>
  <c r="S95" i="46"/>
  <c r="V95" i="46" s="1"/>
  <c r="R95" i="46"/>
  <c r="S91" i="46"/>
  <c r="V91" i="46" s="1"/>
  <c r="R91" i="46"/>
  <c r="S90" i="46"/>
  <c r="V90" i="46" s="1"/>
  <c r="R90" i="46"/>
  <c r="S89" i="46"/>
  <c r="V89" i="46" s="1"/>
  <c r="R89" i="46"/>
  <c r="V47" i="46"/>
  <c r="R47" i="46"/>
  <c r="V46" i="46"/>
  <c r="R46" i="46"/>
  <c r="R45" i="46"/>
  <c r="V45" i="46"/>
  <c r="V44" i="46"/>
  <c r="R44" i="46"/>
  <c r="V53" i="46"/>
  <c r="R53" i="46"/>
  <c r="R51" i="46"/>
  <c r="V51" i="46"/>
  <c r="S83" i="46"/>
  <c r="V83" i="46" s="1"/>
  <c r="R83" i="46"/>
  <c r="S82" i="46"/>
  <c r="V82" i="46" s="1"/>
  <c r="R82" i="46"/>
  <c r="S71" i="46"/>
  <c r="V71" i="46" s="1"/>
  <c r="R71" i="46"/>
  <c r="S69" i="46"/>
  <c r="V69" i="46" s="1"/>
  <c r="R69" i="46"/>
  <c r="S67" i="46"/>
  <c r="V67" i="46" s="1"/>
  <c r="R67" i="46"/>
  <c r="S66" i="46"/>
  <c r="V66" i="46" s="1"/>
  <c r="R66" i="46"/>
  <c r="V340" i="4"/>
  <c r="X340" i="4" s="1"/>
  <c r="V336" i="4"/>
  <c r="X336" i="4" s="1"/>
  <c r="V339" i="4"/>
  <c r="X339" i="4" s="1"/>
  <c r="V344" i="4"/>
  <c r="X344" i="4" s="1"/>
  <c r="V346" i="4"/>
  <c r="X346" i="4" s="1"/>
  <c r="V345" i="4"/>
  <c r="X345" i="4" s="1"/>
  <c r="V333" i="4"/>
  <c r="X333" i="4" s="1"/>
  <c r="V347" i="4"/>
  <c r="X347" i="4" s="1"/>
  <c r="V327" i="4"/>
  <c r="X327" i="4" s="1"/>
  <c r="V354" i="4"/>
  <c r="X354" i="4" s="1"/>
  <c r="V318" i="4"/>
  <c r="X318" i="4" s="1"/>
  <c r="V342" i="4"/>
  <c r="X342" i="4" s="1"/>
  <c r="V353" i="4"/>
  <c r="X353" i="4" s="1"/>
  <c r="V326" i="4"/>
  <c r="X326" i="4" s="1"/>
  <c r="V316" i="4"/>
  <c r="X316" i="4" s="1"/>
  <c r="V335" i="4"/>
  <c r="X335" i="4" s="1"/>
  <c r="V341" i="4"/>
  <c r="X341" i="4" s="1"/>
  <c r="V360" i="4"/>
  <c r="X360" i="4" s="1"/>
  <c r="F29" i="43"/>
  <c r="F21" i="43"/>
  <c r="N30" i="43"/>
  <c r="W23" i="43"/>
  <c r="W13" i="43"/>
  <c r="W22" i="43"/>
  <c r="R27" i="43"/>
  <c r="V27" i="43"/>
  <c r="N25" i="43"/>
  <c r="W14" i="43"/>
  <c r="N16" i="43"/>
  <c r="R19" i="43"/>
  <c r="V19" i="43"/>
  <c r="R17" i="43"/>
  <c r="V17" i="43"/>
  <c r="N15" i="43"/>
  <c r="R20" i="43"/>
  <c r="V20" i="43"/>
  <c r="N24" i="43"/>
  <c r="R26" i="43"/>
  <c r="V26" i="43"/>
  <c r="N12" i="43"/>
  <c r="R11" i="43"/>
  <c r="V11" i="43"/>
  <c r="I259" i="4"/>
  <c r="V259" i="4" s="1"/>
  <c r="X259" i="4" s="1"/>
  <c r="G260" i="4"/>
  <c r="I260" i="4" s="1"/>
  <c r="O358" i="4"/>
  <c r="L358" i="4"/>
  <c r="I358" i="4"/>
  <c r="R358" i="4"/>
  <c r="U358" i="4"/>
  <c r="U357" i="4"/>
  <c r="L357" i="4"/>
  <c r="O357" i="4"/>
  <c r="R357" i="4"/>
  <c r="I357" i="4"/>
  <c r="R245" i="4"/>
  <c r="L245" i="4"/>
  <c r="O245" i="4"/>
  <c r="O270" i="4"/>
  <c r="L270" i="4"/>
  <c r="R270" i="4"/>
  <c r="I270" i="4"/>
  <c r="V274" i="4"/>
  <c r="X274" i="4" s="1"/>
  <c r="V273" i="4"/>
  <c r="X273" i="4" s="1"/>
  <c r="V251" i="4"/>
  <c r="X251" i="4" s="1"/>
  <c r="X279" i="4"/>
  <c r="V280" i="4"/>
  <c r="V275" i="4"/>
  <c r="X275" i="4" s="1"/>
  <c r="L269" i="4"/>
  <c r="I269" i="4"/>
  <c r="O269" i="4"/>
  <c r="R269" i="4"/>
  <c r="U269" i="4"/>
  <c r="L271" i="4"/>
  <c r="O271" i="4"/>
  <c r="U271" i="4"/>
  <c r="R271" i="4"/>
  <c r="W370" i="4"/>
  <c r="L268" i="4"/>
  <c r="I268" i="4"/>
  <c r="O268" i="4"/>
  <c r="R268" i="4"/>
  <c r="U268" i="4"/>
  <c r="V244" i="4"/>
  <c r="L260" i="4"/>
  <c r="O260" i="4"/>
  <c r="R260" i="4"/>
  <c r="U260" i="4"/>
  <c r="W99" i="46" l="1"/>
  <c r="W371" i="4"/>
  <c r="X371" i="4" s="1"/>
  <c r="V57" i="45"/>
  <c r="W57" i="45" s="1"/>
  <c r="W109" i="42"/>
  <c r="W74" i="45"/>
  <c r="W100" i="44"/>
  <c r="J87" i="42"/>
  <c r="K184" i="42"/>
  <c r="J184" i="42"/>
  <c r="K96" i="46"/>
  <c r="J96" i="46"/>
  <c r="G93" i="46"/>
  <c r="F93" i="46"/>
  <c r="J91" i="42"/>
  <c r="K115" i="42"/>
  <c r="J115" i="42"/>
  <c r="J57" i="46"/>
  <c r="J52" i="46"/>
  <c r="G181" i="42"/>
  <c r="F181" i="42"/>
  <c r="J71" i="42"/>
  <c r="J89" i="42"/>
  <c r="L225" i="42"/>
  <c r="N225" i="42" s="1"/>
  <c r="L116" i="46"/>
  <c r="N116" i="46" s="1"/>
  <c r="J90" i="42"/>
  <c r="K179" i="42"/>
  <c r="J179" i="42"/>
  <c r="P225" i="42"/>
  <c r="R225" i="42" s="1"/>
  <c r="P116" i="46"/>
  <c r="R116" i="46" s="1"/>
  <c r="K77" i="45"/>
  <c r="J77" i="45"/>
  <c r="K113" i="42"/>
  <c r="J113" i="42"/>
  <c r="G178" i="42"/>
  <c r="F178" i="42"/>
  <c r="K68" i="46"/>
  <c r="J68" i="46"/>
  <c r="K70" i="46"/>
  <c r="J70" i="46"/>
  <c r="G177" i="42"/>
  <c r="F177" i="42"/>
  <c r="F76" i="45"/>
  <c r="G76" i="45"/>
  <c r="D51" i="45"/>
  <c r="F51" i="45" s="1"/>
  <c r="D86" i="42"/>
  <c r="F86" i="42" s="1"/>
  <c r="G75" i="45"/>
  <c r="F75" i="45"/>
  <c r="G94" i="46"/>
  <c r="F94" i="46"/>
  <c r="T225" i="42"/>
  <c r="V225" i="42" s="1"/>
  <c r="T116" i="46"/>
  <c r="V116" i="46" s="1"/>
  <c r="J88" i="42"/>
  <c r="J61" i="46"/>
  <c r="J59" i="46"/>
  <c r="D225" i="42"/>
  <c r="F225" i="42" s="1"/>
  <c r="D116" i="46"/>
  <c r="F116" i="46" s="1"/>
  <c r="G182" i="42"/>
  <c r="F182" i="42"/>
  <c r="W117" i="46"/>
  <c r="W118" i="46"/>
  <c r="W119" i="46"/>
  <c r="W176" i="42"/>
  <c r="W190" i="42"/>
  <c r="W128" i="42"/>
  <c r="W61" i="42"/>
  <c r="W54" i="42"/>
  <c r="W63" i="44"/>
  <c r="W59" i="44"/>
  <c r="W55" i="45"/>
  <c r="W120" i="46"/>
  <c r="W102" i="46"/>
  <c r="W89" i="46"/>
  <c r="W90" i="46"/>
  <c r="W45" i="46"/>
  <c r="W47" i="46"/>
  <c r="W91" i="46"/>
  <c r="W95" i="46"/>
  <c r="W46" i="46"/>
  <c r="W83" i="46"/>
  <c r="W53" i="46"/>
  <c r="W44" i="46"/>
  <c r="W51" i="46"/>
  <c r="W82" i="46"/>
  <c r="W71" i="46"/>
  <c r="W69" i="46"/>
  <c r="W67" i="46"/>
  <c r="W66" i="46"/>
  <c r="X244" i="4"/>
  <c r="V357" i="4"/>
  <c r="X357" i="4" s="1"/>
  <c r="V358" i="4"/>
  <c r="X358" i="4" s="1"/>
  <c r="J29" i="43"/>
  <c r="J21" i="43"/>
  <c r="J29" i="46"/>
  <c r="W11" i="43"/>
  <c r="R30" i="43"/>
  <c r="V30" i="43"/>
  <c r="W26" i="43"/>
  <c r="W20" i="43"/>
  <c r="W27" i="43"/>
  <c r="V15" i="43"/>
  <c r="R15" i="43"/>
  <c r="R16" i="43"/>
  <c r="V16" i="43"/>
  <c r="V24" i="43"/>
  <c r="R24" i="43"/>
  <c r="W17" i="43"/>
  <c r="R25" i="43"/>
  <c r="V25" i="43"/>
  <c r="R12" i="43"/>
  <c r="V12" i="43"/>
  <c r="W19" i="43"/>
  <c r="V245" i="4"/>
  <c r="V270" i="4"/>
  <c r="X270" i="4" s="1"/>
  <c r="W280" i="4"/>
  <c r="X280" i="4"/>
  <c r="V271" i="4"/>
  <c r="X271" i="4" s="1"/>
  <c r="V269" i="4"/>
  <c r="X269" i="4" s="1"/>
  <c r="X370" i="4"/>
  <c r="V268" i="4"/>
  <c r="V260" i="4"/>
  <c r="X260" i="4" s="1"/>
  <c r="X377" i="4" l="1"/>
  <c r="W377" i="4"/>
  <c r="W225" i="42"/>
  <c r="W116" i="46"/>
  <c r="N59" i="46"/>
  <c r="K94" i="46"/>
  <c r="J94" i="46"/>
  <c r="K177" i="42"/>
  <c r="J177" i="42"/>
  <c r="O113" i="42"/>
  <c r="N113" i="42"/>
  <c r="N89" i="42"/>
  <c r="N52" i="46"/>
  <c r="K93" i="46"/>
  <c r="J93" i="46"/>
  <c r="N179" i="42"/>
  <c r="O179" i="42"/>
  <c r="N61" i="46"/>
  <c r="K75" i="45"/>
  <c r="J75" i="45"/>
  <c r="O70" i="46"/>
  <c r="N70" i="46"/>
  <c r="O77" i="45"/>
  <c r="N77" i="45"/>
  <c r="N71" i="42"/>
  <c r="N57" i="46"/>
  <c r="O96" i="46"/>
  <c r="N96" i="46"/>
  <c r="N88" i="42"/>
  <c r="J86" i="42"/>
  <c r="K182" i="42"/>
  <c r="J182" i="42"/>
  <c r="O68" i="46"/>
  <c r="N68" i="46"/>
  <c r="J51" i="45"/>
  <c r="N90" i="42"/>
  <c r="N115" i="42"/>
  <c r="O115" i="42"/>
  <c r="O184" i="42"/>
  <c r="N184" i="42"/>
  <c r="K76" i="45"/>
  <c r="J76" i="45"/>
  <c r="K178" i="42"/>
  <c r="J178" i="42"/>
  <c r="K181" i="42"/>
  <c r="J181" i="42"/>
  <c r="N91" i="42"/>
  <c r="N87" i="42"/>
  <c r="X245" i="4"/>
  <c r="N21" i="43"/>
  <c r="W15" i="43"/>
  <c r="W16" i="43"/>
  <c r="N29" i="43"/>
  <c r="W24" i="43"/>
  <c r="W30" i="43"/>
  <c r="W25" i="43"/>
  <c r="W12" i="43"/>
  <c r="X268" i="4"/>
  <c r="H258" i="4"/>
  <c r="C85" i="42" s="1"/>
  <c r="G85" i="42" s="1"/>
  <c r="K85" i="42" s="1"/>
  <c r="O85" i="42" s="1"/>
  <c r="S85" i="42" s="1"/>
  <c r="H266" i="4"/>
  <c r="W207" i="4"/>
  <c r="V207" i="4"/>
  <c r="H171" i="4"/>
  <c r="D288" i="4"/>
  <c r="G288" i="4"/>
  <c r="K288" i="4"/>
  <c r="N288" i="4"/>
  <c r="Q288" i="4"/>
  <c r="T288" i="4"/>
  <c r="D289" i="4"/>
  <c r="E12" i="46"/>
  <c r="F12" i="46" s="1"/>
  <c r="G289" i="4"/>
  <c r="I12" i="46"/>
  <c r="J12" i="46" s="1"/>
  <c r="K289" i="4"/>
  <c r="M12" i="46"/>
  <c r="N12" i="46" s="1"/>
  <c r="N289" i="4"/>
  <c r="Q12" i="46"/>
  <c r="R12" i="46" s="1"/>
  <c r="Q289" i="4"/>
  <c r="U12" i="46"/>
  <c r="V12" i="46" s="1"/>
  <c r="T289" i="4"/>
  <c r="D290" i="4"/>
  <c r="E13" i="46"/>
  <c r="F13" i="46" s="1"/>
  <c r="G290" i="4"/>
  <c r="I13" i="46"/>
  <c r="J13" i="46" s="1"/>
  <c r="K290" i="4"/>
  <c r="M13" i="46"/>
  <c r="N13" i="46" s="1"/>
  <c r="N290" i="4"/>
  <c r="Q13" i="46"/>
  <c r="R13" i="46" s="1"/>
  <c r="Q290" i="4"/>
  <c r="U13" i="46"/>
  <c r="V13" i="46" s="1"/>
  <c r="T290" i="4"/>
  <c r="D291" i="4"/>
  <c r="E14" i="46"/>
  <c r="F14" i="46" s="1"/>
  <c r="G291" i="4"/>
  <c r="I14" i="46"/>
  <c r="J14" i="46" s="1"/>
  <c r="K291" i="4"/>
  <c r="M14" i="46"/>
  <c r="N14" i="46" s="1"/>
  <c r="N291" i="4"/>
  <c r="Q14" i="46"/>
  <c r="R14" i="46" s="1"/>
  <c r="Q291" i="4"/>
  <c r="U14" i="46"/>
  <c r="V14" i="46" s="1"/>
  <c r="T291" i="4"/>
  <c r="D292" i="4"/>
  <c r="E15" i="46"/>
  <c r="F15" i="46" s="1"/>
  <c r="G292" i="4"/>
  <c r="I15" i="46"/>
  <c r="J15" i="46" s="1"/>
  <c r="K292" i="4"/>
  <c r="M15" i="46"/>
  <c r="N15" i="46" s="1"/>
  <c r="N292" i="4"/>
  <c r="Q15" i="46"/>
  <c r="R15" i="46" s="1"/>
  <c r="Q292" i="4"/>
  <c r="U15" i="46"/>
  <c r="V15" i="46" s="1"/>
  <c r="T292" i="4"/>
  <c r="D293" i="4"/>
  <c r="E16" i="46"/>
  <c r="F16" i="46" s="1"/>
  <c r="G293" i="4"/>
  <c r="I16" i="46"/>
  <c r="J16" i="46" s="1"/>
  <c r="K293" i="4"/>
  <c r="M16" i="46"/>
  <c r="N16" i="46" s="1"/>
  <c r="N293" i="4"/>
  <c r="Q16" i="46"/>
  <c r="R16" i="46" s="1"/>
  <c r="Q293" i="4"/>
  <c r="U16" i="46"/>
  <c r="V16" i="46" s="1"/>
  <c r="T293" i="4"/>
  <c r="D294" i="4"/>
  <c r="E17" i="46"/>
  <c r="F17" i="46" s="1"/>
  <c r="G294" i="4"/>
  <c r="I17" i="46"/>
  <c r="J17" i="46" s="1"/>
  <c r="K294" i="4"/>
  <c r="M17" i="46"/>
  <c r="N17" i="46" s="1"/>
  <c r="N294" i="4"/>
  <c r="Q17" i="46"/>
  <c r="R17" i="46" s="1"/>
  <c r="Q294" i="4"/>
  <c r="U17" i="46"/>
  <c r="V17" i="46" s="1"/>
  <c r="T294" i="4"/>
  <c r="D296" i="4"/>
  <c r="E19" i="46"/>
  <c r="F19" i="46" s="1"/>
  <c r="G296" i="4"/>
  <c r="I19" i="46"/>
  <c r="J19" i="46" s="1"/>
  <c r="K296" i="4"/>
  <c r="M19" i="46"/>
  <c r="N19" i="46" s="1"/>
  <c r="N296" i="4"/>
  <c r="Q19" i="46"/>
  <c r="R19" i="46" s="1"/>
  <c r="Q296" i="4"/>
  <c r="U19" i="46"/>
  <c r="V19" i="46" s="1"/>
  <c r="T296" i="4"/>
  <c r="D297" i="4"/>
  <c r="E20" i="46"/>
  <c r="F20" i="46" s="1"/>
  <c r="G297" i="4"/>
  <c r="I20" i="46"/>
  <c r="J20" i="46" s="1"/>
  <c r="K297" i="4"/>
  <c r="M20" i="46"/>
  <c r="N20" i="46" s="1"/>
  <c r="N297" i="4"/>
  <c r="Q20" i="46"/>
  <c r="R20" i="46" s="1"/>
  <c r="Q297" i="4"/>
  <c r="U20" i="46"/>
  <c r="V20" i="46" s="1"/>
  <c r="T297" i="4"/>
  <c r="D298" i="4"/>
  <c r="E21" i="46"/>
  <c r="F21" i="46" s="1"/>
  <c r="G298" i="4"/>
  <c r="I21" i="46"/>
  <c r="J21" i="46" s="1"/>
  <c r="K298" i="4"/>
  <c r="M21" i="46"/>
  <c r="N21" i="46" s="1"/>
  <c r="N298" i="4"/>
  <c r="Q21" i="46"/>
  <c r="Q298" i="4"/>
  <c r="U21" i="46"/>
  <c r="T298" i="4"/>
  <c r="D299" i="4"/>
  <c r="E22" i="46"/>
  <c r="F22" i="46" s="1"/>
  <c r="G299" i="4"/>
  <c r="K299" i="4"/>
  <c r="M22" i="46"/>
  <c r="N22" i="46" s="1"/>
  <c r="N299" i="4"/>
  <c r="Q22" i="46"/>
  <c r="R22" i="46" s="1"/>
  <c r="Q299" i="4"/>
  <c r="U22" i="46"/>
  <c r="V22" i="46" s="1"/>
  <c r="T299" i="4"/>
  <c r="D300" i="4"/>
  <c r="G300" i="4"/>
  <c r="K300" i="4"/>
  <c r="M23" i="46"/>
  <c r="N23" i="46" s="1"/>
  <c r="N300" i="4"/>
  <c r="Q23" i="46"/>
  <c r="R23" i="46" s="1"/>
  <c r="Q300" i="4"/>
  <c r="U23" i="46"/>
  <c r="V23" i="46" s="1"/>
  <c r="T300" i="4"/>
  <c r="D301" i="4"/>
  <c r="G301" i="4"/>
  <c r="K301" i="4"/>
  <c r="M24" i="46"/>
  <c r="N24" i="46" s="1"/>
  <c r="N301" i="4"/>
  <c r="Q24" i="46"/>
  <c r="R24" i="46" s="1"/>
  <c r="Q301" i="4"/>
  <c r="U24" i="46"/>
  <c r="V24" i="46" s="1"/>
  <c r="T301" i="4"/>
  <c r="D302" i="4"/>
  <c r="G302" i="4"/>
  <c r="K302" i="4"/>
  <c r="M25" i="46"/>
  <c r="N25" i="46" s="1"/>
  <c r="N302" i="4"/>
  <c r="Q25" i="46"/>
  <c r="R25" i="46" s="1"/>
  <c r="Q302" i="4"/>
  <c r="U25" i="46"/>
  <c r="V25" i="46" s="1"/>
  <c r="T302" i="4"/>
  <c r="D303" i="4"/>
  <c r="G303" i="4"/>
  <c r="K303" i="4"/>
  <c r="M26" i="46"/>
  <c r="N26" i="46" s="1"/>
  <c r="N303" i="4"/>
  <c r="Q26" i="46"/>
  <c r="R26" i="46" s="1"/>
  <c r="Q303" i="4"/>
  <c r="U26" i="46"/>
  <c r="V26" i="46" s="1"/>
  <c r="T303" i="4"/>
  <c r="D304" i="4"/>
  <c r="E27" i="46"/>
  <c r="F27" i="46" s="1"/>
  <c r="G304" i="4"/>
  <c r="K304" i="4"/>
  <c r="M27" i="46"/>
  <c r="N27" i="46" s="1"/>
  <c r="N304" i="4"/>
  <c r="Q27" i="46"/>
  <c r="R27" i="46" s="1"/>
  <c r="Q304" i="4"/>
  <c r="U27" i="46"/>
  <c r="V27" i="46" s="1"/>
  <c r="T304" i="4"/>
  <c r="D305" i="4"/>
  <c r="E28" i="46"/>
  <c r="G305" i="4"/>
  <c r="K305" i="4"/>
  <c r="M28" i="46"/>
  <c r="N305" i="4"/>
  <c r="Q28" i="46"/>
  <c r="Q305" i="4"/>
  <c r="U28" i="46"/>
  <c r="T305" i="4"/>
  <c r="D306" i="4"/>
  <c r="E29" i="46"/>
  <c r="F29" i="46" s="1"/>
  <c r="G306" i="4"/>
  <c r="K306" i="4"/>
  <c r="M29" i="46"/>
  <c r="N29" i="46" s="1"/>
  <c r="N306" i="4"/>
  <c r="Q29" i="46"/>
  <c r="Q306" i="4"/>
  <c r="U29" i="46"/>
  <c r="T306" i="4"/>
  <c r="D307" i="4"/>
  <c r="E30" i="46"/>
  <c r="F30" i="46" s="1"/>
  <c r="G307" i="4"/>
  <c r="I30" i="46"/>
  <c r="J30" i="46" s="1"/>
  <c r="K307" i="4"/>
  <c r="M30" i="46"/>
  <c r="N30" i="46" s="1"/>
  <c r="N307" i="4"/>
  <c r="Q30" i="46"/>
  <c r="R30" i="46" s="1"/>
  <c r="Q307" i="4"/>
  <c r="U30" i="46"/>
  <c r="V30" i="46" s="1"/>
  <c r="T307" i="4"/>
  <c r="D217" i="4"/>
  <c r="G217" i="4"/>
  <c r="K217" i="4"/>
  <c r="N217" i="4"/>
  <c r="Q217" i="4"/>
  <c r="T217" i="4"/>
  <c r="D218" i="4"/>
  <c r="E12" i="45"/>
  <c r="F12" i="45" s="1"/>
  <c r="G218" i="4"/>
  <c r="I12" i="45"/>
  <c r="J12" i="45" s="1"/>
  <c r="K218" i="4"/>
  <c r="M12" i="45"/>
  <c r="N12" i="45" s="1"/>
  <c r="N218" i="4"/>
  <c r="Q12" i="45"/>
  <c r="R12" i="45" s="1"/>
  <c r="Q218" i="4"/>
  <c r="U12" i="45"/>
  <c r="T218" i="4"/>
  <c r="D219" i="4"/>
  <c r="E13" i="45"/>
  <c r="F13" i="45" s="1"/>
  <c r="G219" i="4"/>
  <c r="I13" i="45"/>
  <c r="J13" i="45" s="1"/>
  <c r="K219" i="4"/>
  <c r="M13" i="45"/>
  <c r="N13" i="45" s="1"/>
  <c r="N219" i="4"/>
  <c r="Q13" i="45"/>
  <c r="R13" i="45" s="1"/>
  <c r="Q219" i="4"/>
  <c r="U13" i="45"/>
  <c r="V13" i="45" s="1"/>
  <c r="T219" i="4"/>
  <c r="D220" i="4"/>
  <c r="E14" i="45"/>
  <c r="F14" i="45" s="1"/>
  <c r="G220" i="4"/>
  <c r="I14" i="45"/>
  <c r="J14" i="45" s="1"/>
  <c r="K220" i="4"/>
  <c r="M14" i="45"/>
  <c r="N14" i="45" s="1"/>
  <c r="N220" i="4"/>
  <c r="Q14" i="45"/>
  <c r="R14" i="45" s="1"/>
  <c r="Q220" i="4"/>
  <c r="U14" i="45"/>
  <c r="V14" i="45" s="1"/>
  <c r="T220" i="4"/>
  <c r="D221" i="4"/>
  <c r="E15" i="45"/>
  <c r="F15" i="45" s="1"/>
  <c r="G221" i="4"/>
  <c r="I15" i="45"/>
  <c r="J15" i="45" s="1"/>
  <c r="K221" i="4"/>
  <c r="M15" i="45"/>
  <c r="N15" i="45" s="1"/>
  <c r="N221" i="4"/>
  <c r="Q15" i="45"/>
  <c r="R15" i="45" s="1"/>
  <c r="Q221" i="4"/>
  <c r="U15" i="45"/>
  <c r="V15" i="45" s="1"/>
  <c r="T221" i="4"/>
  <c r="D222" i="4"/>
  <c r="E16" i="45"/>
  <c r="F16" i="45" s="1"/>
  <c r="G222" i="4"/>
  <c r="I16" i="45"/>
  <c r="J16" i="45" s="1"/>
  <c r="K222" i="4"/>
  <c r="M16" i="45"/>
  <c r="N16" i="45" s="1"/>
  <c r="N222" i="4"/>
  <c r="Q16" i="45"/>
  <c r="R16" i="45" s="1"/>
  <c r="Q222" i="4"/>
  <c r="U16" i="45"/>
  <c r="V16" i="45" s="1"/>
  <c r="T222" i="4"/>
  <c r="D223" i="4"/>
  <c r="E17" i="45"/>
  <c r="F17" i="45" s="1"/>
  <c r="G223" i="4"/>
  <c r="I17" i="45"/>
  <c r="J17" i="45" s="1"/>
  <c r="K223" i="4"/>
  <c r="M17" i="45"/>
  <c r="N17" i="45" s="1"/>
  <c r="N223" i="4"/>
  <c r="Q17" i="45"/>
  <c r="R17" i="45" s="1"/>
  <c r="Q223" i="4"/>
  <c r="U17" i="45"/>
  <c r="V17" i="45" s="1"/>
  <c r="T223" i="4"/>
  <c r="D225" i="4"/>
  <c r="E19" i="45"/>
  <c r="F19" i="45" s="1"/>
  <c r="G225" i="4"/>
  <c r="I19" i="45"/>
  <c r="J19" i="45" s="1"/>
  <c r="K225" i="4"/>
  <c r="M19" i="45"/>
  <c r="N19" i="45" s="1"/>
  <c r="N225" i="4"/>
  <c r="Q19" i="45"/>
  <c r="R19" i="45" s="1"/>
  <c r="Q225" i="4"/>
  <c r="U19" i="45"/>
  <c r="V19" i="45" s="1"/>
  <c r="T225" i="4"/>
  <c r="D226" i="4"/>
  <c r="E20" i="45"/>
  <c r="F20" i="45" s="1"/>
  <c r="G226" i="4"/>
  <c r="I20" i="45"/>
  <c r="J20" i="45" s="1"/>
  <c r="K226" i="4"/>
  <c r="M20" i="45"/>
  <c r="N20" i="45" s="1"/>
  <c r="N226" i="4"/>
  <c r="Q20" i="45"/>
  <c r="R20" i="45" s="1"/>
  <c r="Q226" i="4"/>
  <c r="U20" i="45"/>
  <c r="V20" i="45" s="1"/>
  <c r="T226" i="4"/>
  <c r="D227" i="4"/>
  <c r="E21" i="45"/>
  <c r="F21" i="45" s="1"/>
  <c r="G227" i="4"/>
  <c r="I21" i="45"/>
  <c r="J21" i="45" s="1"/>
  <c r="K227" i="4"/>
  <c r="M21" i="45"/>
  <c r="N21" i="45" s="1"/>
  <c r="N227" i="4"/>
  <c r="Q21" i="45"/>
  <c r="Q227" i="4"/>
  <c r="U21" i="45"/>
  <c r="T227" i="4"/>
  <c r="D228" i="4"/>
  <c r="E22" i="45"/>
  <c r="F22" i="45" s="1"/>
  <c r="G228" i="4"/>
  <c r="I22" i="45"/>
  <c r="J22" i="45" s="1"/>
  <c r="K228" i="4"/>
  <c r="M22" i="45"/>
  <c r="N22" i="45" s="1"/>
  <c r="N228" i="4"/>
  <c r="Q22" i="45"/>
  <c r="R22" i="45" s="1"/>
  <c r="Q228" i="4"/>
  <c r="U22" i="45"/>
  <c r="V22" i="45" s="1"/>
  <c r="T228" i="4"/>
  <c r="D229" i="4"/>
  <c r="E23" i="45"/>
  <c r="F23" i="45" s="1"/>
  <c r="G229" i="4"/>
  <c r="I23" i="45"/>
  <c r="J23" i="45" s="1"/>
  <c r="K229" i="4"/>
  <c r="M23" i="45"/>
  <c r="N23" i="45" s="1"/>
  <c r="N229" i="4"/>
  <c r="Q23" i="45"/>
  <c r="R23" i="45" s="1"/>
  <c r="Q229" i="4"/>
  <c r="U23" i="45"/>
  <c r="V23" i="45" s="1"/>
  <c r="T229" i="4"/>
  <c r="D230" i="4"/>
  <c r="G230" i="4"/>
  <c r="I24" i="45"/>
  <c r="J24" i="45" s="1"/>
  <c r="K230" i="4"/>
  <c r="M24" i="45"/>
  <c r="N24" i="45" s="1"/>
  <c r="N230" i="4"/>
  <c r="Q24" i="45"/>
  <c r="R24" i="45" s="1"/>
  <c r="Q230" i="4"/>
  <c r="U24" i="45"/>
  <c r="V24" i="45" s="1"/>
  <c r="T230" i="4"/>
  <c r="D231" i="4"/>
  <c r="G231" i="4"/>
  <c r="I25" i="45"/>
  <c r="J25" i="45" s="1"/>
  <c r="K231" i="4"/>
  <c r="M25" i="45"/>
  <c r="N25" i="45" s="1"/>
  <c r="N231" i="4"/>
  <c r="Q25" i="45"/>
  <c r="R25" i="45" s="1"/>
  <c r="Q231" i="4"/>
  <c r="U25" i="45"/>
  <c r="V25" i="45" s="1"/>
  <c r="T231" i="4"/>
  <c r="D232" i="4"/>
  <c r="E26" i="45"/>
  <c r="F26" i="45" s="1"/>
  <c r="G232" i="4"/>
  <c r="I26" i="45"/>
  <c r="J26" i="45" s="1"/>
  <c r="K232" i="4"/>
  <c r="M26" i="45"/>
  <c r="N26" i="45" s="1"/>
  <c r="N232" i="4"/>
  <c r="Q26" i="45"/>
  <c r="R26" i="45" s="1"/>
  <c r="Q232" i="4"/>
  <c r="U26" i="45"/>
  <c r="V26" i="45" s="1"/>
  <c r="T232" i="4"/>
  <c r="D233" i="4"/>
  <c r="E27" i="45"/>
  <c r="F27" i="45" s="1"/>
  <c r="G233" i="4"/>
  <c r="I27" i="45"/>
  <c r="J27" i="45" s="1"/>
  <c r="K233" i="4"/>
  <c r="M27" i="45"/>
  <c r="N27" i="45" s="1"/>
  <c r="N233" i="4"/>
  <c r="Q27" i="45"/>
  <c r="R27" i="45" s="1"/>
  <c r="Q233" i="4"/>
  <c r="U27" i="45"/>
  <c r="T233" i="4"/>
  <c r="D234" i="4"/>
  <c r="E28" i="45"/>
  <c r="G234" i="4"/>
  <c r="I28" i="45"/>
  <c r="K234" i="4"/>
  <c r="M28" i="45"/>
  <c r="N234" i="4"/>
  <c r="Q28" i="45"/>
  <c r="Q234" i="4"/>
  <c r="U28" i="45"/>
  <c r="T234" i="4"/>
  <c r="D235" i="4"/>
  <c r="E29" i="45"/>
  <c r="F29" i="45" s="1"/>
  <c r="G235" i="4"/>
  <c r="I29" i="45"/>
  <c r="J29" i="45" s="1"/>
  <c r="K235" i="4"/>
  <c r="M29" i="45"/>
  <c r="N29" i="45" s="1"/>
  <c r="N235" i="4"/>
  <c r="Q29" i="45"/>
  <c r="Q235" i="4"/>
  <c r="U29" i="45"/>
  <c r="T235" i="4"/>
  <c r="D236" i="4"/>
  <c r="E30" i="45"/>
  <c r="F30" i="45" s="1"/>
  <c r="G236" i="4"/>
  <c r="I30" i="45"/>
  <c r="J30" i="45" s="1"/>
  <c r="K236" i="4"/>
  <c r="M30" i="45"/>
  <c r="N30" i="45" s="1"/>
  <c r="N236" i="4"/>
  <c r="Q30" i="45"/>
  <c r="R30" i="45" s="1"/>
  <c r="Q236" i="4"/>
  <c r="U30" i="45"/>
  <c r="V30" i="45" s="1"/>
  <c r="T236" i="4"/>
  <c r="D141" i="4"/>
  <c r="G141" i="4"/>
  <c r="K141" i="4"/>
  <c r="N141" i="4"/>
  <c r="Q141" i="4"/>
  <c r="T141" i="4"/>
  <c r="E12" i="44"/>
  <c r="G142" i="4"/>
  <c r="K142" i="4"/>
  <c r="M12" i="44"/>
  <c r="N142" i="4"/>
  <c r="Q12" i="44"/>
  <c r="Q142" i="4"/>
  <c r="U12" i="44"/>
  <c r="T142" i="4"/>
  <c r="D143" i="4"/>
  <c r="E13" i="44"/>
  <c r="G143" i="4"/>
  <c r="K143" i="4"/>
  <c r="M13" i="44"/>
  <c r="N143" i="4"/>
  <c r="Q13" i="44"/>
  <c r="Q143" i="4"/>
  <c r="U13" i="44"/>
  <c r="T143" i="4"/>
  <c r="D144" i="4"/>
  <c r="E14" i="44"/>
  <c r="G144" i="4"/>
  <c r="K144" i="4"/>
  <c r="M14" i="44"/>
  <c r="N144" i="4"/>
  <c r="Q14" i="44"/>
  <c r="Q144" i="4"/>
  <c r="U14" i="44"/>
  <c r="T144" i="4"/>
  <c r="D145" i="4"/>
  <c r="E15" i="44"/>
  <c r="G145" i="4"/>
  <c r="K145" i="4"/>
  <c r="M15" i="44"/>
  <c r="N145" i="4"/>
  <c r="Q15" i="44"/>
  <c r="Q145" i="4"/>
  <c r="U15" i="44"/>
  <c r="T145" i="4"/>
  <c r="D146" i="4"/>
  <c r="E16" i="44"/>
  <c r="G146" i="4"/>
  <c r="K146" i="4"/>
  <c r="M16" i="44"/>
  <c r="N146" i="4"/>
  <c r="Q16" i="44"/>
  <c r="Q146" i="4"/>
  <c r="U16" i="44"/>
  <c r="T146" i="4"/>
  <c r="D147" i="4"/>
  <c r="E17" i="44"/>
  <c r="G147" i="4"/>
  <c r="K147" i="4"/>
  <c r="M17" i="44"/>
  <c r="N147" i="4"/>
  <c r="Q17" i="44"/>
  <c r="Q147" i="4"/>
  <c r="U17" i="44"/>
  <c r="V17" i="44" s="1"/>
  <c r="T147" i="4"/>
  <c r="D149" i="4"/>
  <c r="G149" i="4"/>
  <c r="K149" i="4"/>
  <c r="N149" i="4"/>
  <c r="Q149" i="4"/>
  <c r="T149" i="4"/>
  <c r="D150" i="4"/>
  <c r="E20" i="44"/>
  <c r="G150" i="4"/>
  <c r="K150" i="4"/>
  <c r="M20" i="44"/>
  <c r="N150" i="4"/>
  <c r="Q20" i="44"/>
  <c r="Q150" i="4"/>
  <c r="U20" i="44"/>
  <c r="T150" i="4"/>
  <c r="D151" i="4"/>
  <c r="E21" i="44"/>
  <c r="G151" i="4"/>
  <c r="K151" i="4"/>
  <c r="M21" i="44"/>
  <c r="N151" i="4"/>
  <c r="Q21" i="44"/>
  <c r="Q151" i="4"/>
  <c r="U21" i="44"/>
  <c r="T151" i="4"/>
  <c r="D152" i="4"/>
  <c r="E22" i="44"/>
  <c r="G152" i="4"/>
  <c r="K152" i="4"/>
  <c r="M22" i="44"/>
  <c r="N152" i="4"/>
  <c r="Q22" i="44"/>
  <c r="Q152" i="4"/>
  <c r="U22" i="44"/>
  <c r="T152" i="4"/>
  <c r="D153" i="4"/>
  <c r="E23" i="44"/>
  <c r="G153" i="4"/>
  <c r="K153" i="4"/>
  <c r="M23" i="44"/>
  <c r="N153" i="4"/>
  <c r="Q23" i="44"/>
  <c r="Q153" i="4"/>
  <c r="U23" i="44"/>
  <c r="T153" i="4"/>
  <c r="D154" i="4"/>
  <c r="E24" i="44"/>
  <c r="G154" i="4"/>
  <c r="K154" i="4"/>
  <c r="M24" i="44"/>
  <c r="N154" i="4"/>
  <c r="Q24" i="44"/>
  <c r="Q154" i="4"/>
  <c r="U24" i="44"/>
  <c r="T154" i="4"/>
  <c r="D155" i="4"/>
  <c r="E25" i="44"/>
  <c r="G155" i="4"/>
  <c r="K155" i="4"/>
  <c r="M25" i="44"/>
  <c r="N155" i="4"/>
  <c r="Q25" i="44"/>
  <c r="Q155" i="4"/>
  <c r="U25" i="44"/>
  <c r="T155" i="4"/>
  <c r="D156" i="4"/>
  <c r="E26" i="44"/>
  <c r="G156" i="4"/>
  <c r="K156" i="4"/>
  <c r="M26" i="44"/>
  <c r="N156" i="4"/>
  <c r="Q26" i="44"/>
  <c r="Q156" i="4"/>
  <c r="U26" i="44"/>
  <c r="T156" i="4"/>
  <c r="D157" i="4"/>
  <c r="E27" i="44"/>
  <c r="G157" i="4"/>
  <c r="K157" i="4"/>
  <c r="M27" i="44"/>
  <c r="N157" i="4"/>
  <c r="Q27" i="44"/>
  <c r="Q157" i="4"/>
  <c r="U27" i="44"/>
  <c r="T157" i="4"/>
  <c r="D158" i="4"/>
  <c r="E28" i="44"/>
  <c r="G158" i="4"/>
  <c r="K158" i="4"/>
  <c r="M28" i="44"/>
  <c r="N158" i="4"/>
  <c r="Q28" i="44"/>
  <c r="Q158" i="4"/>
  <c r="U28" i="44"/>
  <c r="T158" i="4"/>
  <c r="D159" i="4"/>
  <c r="E29" i="44"/>
  <c r="G159" i="4"/>
  <c r="K159" i="4"/>
  <c r="M29" i="44"/>
  <c r="N159" i="4"/>
  <c r="Q29" i="44"/>
  <c r="Q159" i="4"/>
  <c r="U29" i="44"/>
  <c r="T159" i="4"/>
  <c r="D160" i="4"/>
  <c r="E30" i="44"/>
  <c r="G160" i="4"/>
  <c r="K160" i="4"/>
  <c r="M30" i="44"/>
  <c r="N160" i="4"/>
  <c r="Q30" i="44"/>
  <c r="Q160" i="4"/>
  <c r="U30" i="44"/>
  <c r="T160" i="4"/>
  <c r="H131" i="4"/>
  <c r="C125" i="43" s="1"/>
  <c r="G125" i="43" s="1"/>
  <c r="K125" i="43" s="1"/>
  <c r="O125" i="43" s="1"/>
  <c r="S125" i="43" s="1"/>
  <c r="H96" i="4"/>
  <c r="B151" i="30"/>
  <c r="B150" i="30"/>
  <c r="B149" i="30"/>
  <c r="B148" i="30"/>
  <c r="B147" i="30"/>
  <c r="B146" i="30"/>
  <c r="B145" i="30"/>
  <c r="B144" i="30"/>
  <c r="B143" i="30"/>
  <c r="B142" i="30"/>
  <c r="B141" i="30"/>
  <c r="B140" i="30"/>
  <c r="B138" i="30"/>
  <c r="B137" i="30"/>
  <c r="B136" i="30"/>
  <c r="B135" i="30"/>
  <c r="B134" i="30"/>
  <c r="B133" i="30"/>
  <c r="B132" i="30"/>
  <c r="B102" i="30"/>
  <c r="B103" i="30"/>
  <c r="B104" i="30"/>
  <c r="B105" i="30"/>
  <c r="B106" i="30"/>
  <c r="B107" i="30"/>
  <c r="B108" i="30"/>
  <c r="B110" i="30"/>
  <c r="B111" i="30"/>
  <c r="B112" i="30"/>
  <c r="B113" i="30"/>
  <c r="B114" i="30"/>
  <c r="B115" i="30"/>
  <c r="B116" i="30"/>
  <c r="B117" i="30"/>
  <c r="B118" i="30"/>
  <c r="B119" i="30"/>
  <c r="B120" i="30"/>
  <c r="B121" i="30"/>
  <c r="B72" i="30"/>
  <c r="B73" i="30"/>
  <c r="B74" i="30"/>
  <c r="B75" i="30"/>
  <c r="B76" i="30"/>
  <c r="B77" i="30"/>
  <c r="B78" i="30"/>
  <c r="B80" i="30"/>
  <c r="B81" i="30"/>
  <c r="B82" i="30"/>
  <c r="B83" i="30"/>
  <c r="B84" i="30"/>
  <c r="B85" i="30"/>
  <c r="B86" i="30"/>
  <c r="B87" i="30"/>
  <c r="B88" i="30"/>
  <c r="B89" i="30"/>
  <c r="B90" i="30"/>
  <c r="B91" i="30"/>
  <c r="B12" i="30"/>
  <c r="B13" i="30"/>
  <c r="B14" i="30"/>
  <c r="B15" i="30"/>
  <c r="B16" i="30"/>
  <c r="B17" i="30"/>
  <c r="B18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42" i="30"/>
  <c r="B43" i="30"/>
  <c r="B44" i="30"/>
  <c r="B45" i="30"/>
  <c r="B46" i="30"/>
  <c r="B47" i="30"/>
  <c r="B48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12" i="39"/>
  <c r="B13" i="39"/>
  <c r="B14" i="39"/>
  <c r="B15" i="39"/>
  <c r="B16" i="39"/>
  <c r="B17" i="39"/>
  <c r="B18" i="39"/>
  <c r="B20" i="39"/>
  <c r="B21" i="39"/>
  <c r="B22" i="39"/>
  <c r="B23" i="39"/>
  <c r="B24" i="39"/>
  <c r="B25" i="39"/>
  <c r="B26" i="39"/>
  <c r="B27" i="39"/>
  <c r="B28" i="39"/>
  <c r="B29" i="39"/>
  <c r="B30" i="39"/>
  <c r="B31" i="39"/>
  <c r="H57" i="4"/>
  <c r="H297" i="4"/>
  <c r="H68" i="4"/>
  <c r="C100" i="42" s="1"/>
  <c r="U321" i="4"/>
  <c r="R321" i="4"/>
  <c r="O321" i="4"/>
  <c r="L321" i="4"/>
  <c r="I321" i="4"/>
  <c r="U247" i="4"/>
  <c r="R247" i="4"/>
  <c r="O247" i="4"/>
  <c r="L247" i="4"/>
  <c r="I247" i="4"/>
  <c r="U173" i="4"/>
  <c r="R173" i="4"/>
  <c r="O173" i="4"/>
  <c r="L173" i="4"/>
  <c r="I173" i="4"/>
  <c r="Q19" i="44" l="1"/>
  <c r="Q19" i="42" s="1"/>
  <c r="R19" i="42" s="1"/>
  <c r="M19" i="44"/>
  <c r="M19" i="42" s="1"/>
  <c r="N19" i="42" s="1"/>
  <c r="U19" i="44"/>
  <c r="U19" i="42" s="1"/>
  <c r="V19" i="42" s="1"/>
  <c r="E19" i="44"/>
  <c r="F19" i="44" s="1"/>
  <c r="F125" i="43"/>
  <c r="R266" i="4"/>
  <c r="C73" i="45"/>
  <c r="C175" i="42"/>
  <c r="V87" i="42"/>
  <c r="R87" i="42"/>
  <c r="S115" i="42"/>
  <c r="V115" i="42" s="1"/>
  <c r="R115" i="42"/>
  <c r="R71" i="42"/>
  <c r="V71" i="42"/>
  <c r="V61" i="46"/>
  <c r="R61" i="46"/>
  <c r="V52" i="46"/>
  <c r="R52" i="46"/>
  <c r="F85" i="42"/>
  <c r="V88" i="42"/>
  <c r="R88" i="42"/>
  <c r="O94" i="46"/>
  <c r="N94" i="46"/>
  <c r="V91" i="42"/>
  <c r="R91" i="42"/>
  <c r="O182" i="42"/>
  <c r="N182" i="42"/>
  <c r="R77" i="45"/>
  <c r="S77" i="45"/>
  <c r="V77" i="45" s="1"/>
  <c r="S179" i="42"/>
  <c r="V179" i="42" s="1"/>
  <c r="R179" i="42"/>
  <c r="V89" i="42"/>
  <c r="R89" i="42"/>
  <c r="V90" i="42"/>
  <c r="R90" i="42"/>
  <c r="V59" i="46"/>
  <c r="R59" i="46"/>
  <c r="G100" i="42"/>
  <c r="F100" i="42"/>
  <c r="N181" i="42"/>
  <c r="O181" i="42"/>
  <c r="N51" i="45"/>
  <c r="S96" i="46"/>
  <c r="V96" i="46" s="1"/>
  <c r="R96" i="46"/>
  <c r="S70" i="46"/>
  <c r="V70" i="46" s="1"/>
  <c r="R70" i="46"/>
  <c r="C61" i="44"/>
  <c r="C105" i="42"/>
  <c r="O76" i="45"/>
  <c r="N76" i="45"/>
  <c r="S113" i="42"/>
  <c r="V113" i="42" s="1"/>
  <c r="R113" i="42"/>
  <c r="O178" i="42"/>
  <c r="N178" i="42"/>
  <c r="V57" i="46"/>
  <c r="R57" i="46"/>
  <c r="O75" i="45"/>
  <c r="N75" i="45"/>
  <c r="O93" i="46"/>
  <c r="N93" i="46"/>
  <c r="R184" i="42"/>
  <c r="S184" i="42"/>
  <c r="V184" i="42" s="1"/>
  <c r="R68" i="46"/>
  <c r="S68" i="46"/>
  <c r="V68" i="46" s="1"/>
  <c r="N86" i="42"/>
  <c r="O177" i="42"/>
  <c r="N177" i="42"/>
  <c r="U24" i="42"/>
  <c r="V24" i="42" s="1"/>
  <c r="U26" i="42"/>
  <c r="V26" i="42" s="1"/>
  <c r="M28" i="42"/>
  <c r="U29" i="42"/>
  <c r="M21" i="42"/>
  <c r="N21" i="42" s="1"/>
  <c r="U16" i="42"/>
  <c r="V16" i="42" s="1"/>
  <c r="U25" i="42"/>
  <c r="V25" i="42" s="1"/>
  <c r="U15" i="42"/>
  <c r="V15" i="42" s="1"/>
  <c r="Q21" i="42"/>
  <c r="R21" i="42" s="1"/>
  <c r="U14" i="42"/>
  <c r="V14" i="42" s="1"/>
  <c r="W20" i="45"/>
  <c r="W24" i="46"/>
  <c r="W19" i="46"/>
  <c r="W19" i="45"/>
  <c r="M29" i="42"/>
  <c r="N29" i="42" s="1"/>
  <c r="V321" i="4"/>
  <c r="X321" i="4" s="1"/>
  <c r="U21" i="42"/>
  <c r="W14" i="45"/>
  <c r="W13" i="46"/>
  <c r="W26" i="45"/>
  <c r="W22" i="45"/>
  <c r="W13" i="45"/>
  <c r="W24" i="45"/>
  <c r="W30" i="45"/>
  <c r="W15" i="45"/>
  <c r="W14" i="46"/>
  <c r="W17" i="45"/>
  <c r="W26" i="46"/>
  <c r="W25" i="46"/>
  <c r="F25" i="44"/>
  <c r="E25" i="42"/>
  <c r="F25" i="42" s="1"/>
  <c r="Q23" i="42"/>
  <c r="R23" i="42" s="1"/>
  <c r="R23" i="44"/>
  <c r="W12" i="46"/>
  <c r="R29" i="43"/>
  <c r="V29" i="43"/>
  <c r="R21" i="43"/>
  <c r="V21" i="43"/>
  <c r="U30" i="42"/>
  <c r="V30" i="42" s="1"/>
  <c r="V30" i="44"/>
  <c r="E30" i="42"/>
  <c r="F30" i="42" s="1"/>
  <c r="F30" i="44"/>
  <c r="Q28" i="42"/>
  <c r="M26" i="42"/>
  <c r="N26" i="42" s="1"/>
  <c r="N26" i="44"/>
  <c r="I24" i="44"/>
  <c r="U22" i="42"/>
  <c r="V22" i="42" s="1"/>
  <c r="E22" i="42"/>
  <c r="F22" i="42" s="1"/>
  <c r="F22" i="44"/>
  <c r="Q20" i="42"/>
  <c r="R20" i="42" s="1"/>
  <c r="R20" i="44"/>
  <c r="M17" i="42"/>
  <c r="N17" i="42" s="1"/>
  <c r="N17" i="44"/>
  <c r="I15" i="44"/>
  <c r="U13" i="42"/>
  <c r="V13" i="42" s="1"/>
  <c r="V13" i="44"/>
  <c r="F13" i="44"/>
  <c r="E13" i="42"/>
  <c r="F13" i="42" s="1"/>
  <c r="W25" i="45"/>
  <c r="W16" i="45"/>
  <c r="W30" i="46"/>
  <c r="W23" i="46"/>
  <c r="W15" i="46"/>
  <c r="V25" i="44"/>
  <c r="I27" i="44"/>
  <c r="I19" i="44"/>
  <c r="F16" i="44"/>
  <c r="E16" i="42"/>
  <c r="F16" i="42" s="1"/>
  <c r="Q14" i="42"/>
  <c r="R14" i="42" s="1"/>
  <c r="R14" i="44"/>
  <c r="M12" i="42"/>
  <c r="N12" i="42" s="1"/>
  <c r="N12" i="44"/>
  <c r="V24" i="44"/>
  <c r="I29" i="44"/>
  <c r="U27" i="42"/>
  <c r="V27" i="42" s="1"/>
  <c r="V27" i="44"/>
  <c r="F27" i="44"/>
  <c r="E27" i="42"/>
  <c r="F27" i="42" s="1"/>
  <c r="Q25" i="42"/>
  <c r="R25" i="42" s="1"/>
  <c r="R25" i="44"/>
  <c r="M23" i="42"/>
  <c r="N23" i="42" s="1"/>
  <c r="N23" i="44"/>
  <c r="I21" i="44"/>
  <c r="Q16" i="42"/>
  <c r="R16" i="42" s="1"/>
  <c r="R16" i="44"/>
  <c r="M14" i="42"/>
  <c r="N14" i="42" s="1"/>
  <c r="N14" i="44"/>
  <c r="I12" i="44"/>
  <c r="R21" i="44"/>
  <c r="V21" i="44"/>
  <c r="V27" i="45"/>
  <c r="W27" i="45" s="1"/>
  <c r="Q30" i="42"/>
  <c r="R30" i="42" s="1"/>
  <c r="R30" i="44"/>
  <c r="I26" i="44"/>
  <c r="E24" i="42"/>
  <c r="F24" i="42" s="1"/>
  <c r="F24" i="44"/>
  <c r="Q22" i="42"/>
  <c r="R22" i="42" s="1"/>
  <c r="R22" i="44"/>
  <c r="M20" i="42"/>
  <c r="N20" i="42" s="1"/>
  <c r="N20" i="44"/>
  <c r="I17" i="44"/>
  <c r="F15" i="44"/>
  <c r="E15" i="42"/>
  <c r="F15" i="42" s="1"/>
  <c r="Q13" i="42"/>
  <c r="R13" i="42" s="1"/>
  <c r="R13" i="44"/>
  <c r="W20" i="46"/>
  <c r="W17" i="46"/>
  <c r="V26" i="44"/>
  <c r="V12" i="45"/>
  <c r="W12" i="45" s="1"/>
  <c r="N21" i="44"/>
  <c r="V29" i="45"/>
  <c r="R29" i="45"/>
  <c r="Q27" i="42"/>
  <c r="R27" i="42" s="1"/>
  <c r="R27" i="44"/>
  <c r="M25" i="42"/>
  <c r="N25" i="42" s="1"/>
  <c r="N25" i="44"/>
  <c r="I23" i="44"/>
  <c r="E21" i="42"/>
  <c r="F21" i="42" s="1"/>
  <c r="F21" i="44"/>
  <c r="M16" i="42"/>
  <c r="N16" i="42" s="1"/>
  <c r="N16" i="44"/>
  <c r="I14" i="44"/>
  <c r="E12" i="42"/>
  <c r="F12" i="42" s="1"/>
  <c r="F12" i="44"/>
  <c r="M30" i="42"/>
  <c r="N30" i="42" s="1"/>
  <c r="N30" i="44"/>
  <c r="I28" i="44"/>
  <c r="I28" i="42" s="1"/>
  <c r="F26" i="44"/>
  <c r="E26" i="42"/>
  <c r="F26" i="42" s="1"/>
  <c r="Q24" i="42"/>
  <c r="R24" i="42" s="1"/>
  <c r="R24" i="44"/>
  <c r="M22" i="42"/>
  <c r="N22" i="42" s="1"/>
  <c r="N22" i="44"/>
  <c r="I20" i="44"/>
  <c r="U17" i="42"/>
  <c r="V17" i="42" s="1"/>
  <c r="E17" i="42"/>
  <c r="F17" i="42" s="1"/>
  <c r="F17" i="44"/>
  <c r="Q15" i="42"/>
  <c r="R15" i="42" s="1"/>
  <c r="R15" i="44"/>
  <c r="M13" i="42"/>
  <c r="N13" i="42" s="1"/>
  <c r="N13" i="44"/>
  <c r="W23" i="45"/>
  <c r="W22" i="46"/>
  <c r="V29" i="46"/>
  <c r="R29" i="46"/>
  <c r="V14" i="44"/>
  <c r="V15" i="44"/>
  <c r="R21" i="46"/>
  <c r="V21" i="46"/>
  <c r="N29" i="44"/>
  <c r="V16" i="44"/>
  <c r="E29" i="42"/>
  <c r="F29" i="42" s="1"/>
  <c r="F29" i="44"/>
  <c r="U12" i="42"/>
  <c r="V12" i="42" s="1"/>
  <c r="V12" i="44"/>
  <c r="Q29" i="42"/>
  <c r="R29" i="42" s="1"/>
  <c r="M27" i="42"/>
  <c r="N27" i="42" s="1"/>
  <c r="N27" i="44"/>
  <c r="I25" i="44"/>
  <c r="U23" i="42"/>
  <c r="V23" i="42" s="1"/>
  <c r="V23" i="44"/>
  <c r="F23" i="44"/>
  <c r="E23" i="42"/>
  <c r="F23" i="42" s="1"/>
  <c r="I16" i="44"/>
  <c r="F14" i="44"/>
  <c r="E14" i="42"/>
  <c r="F14" i="42" s="1"/>
  <c r="Q12" i="42"/>
  <c r="R12" i="42" s="1"/>
  <c r="R12" i="44"/>
  <c r="W16" i="46"/>
  <c r="R29" i="44"/>
  <c r="V29" i="44"/>
  <c r="I30" i="44"/>
  <c r="U28" i="42"/>
  <c r="E28" i="42"/>
  <c r="Q26" i="42"/>
  <c r="R26" i="42" s="1"/>
  <c r="R26" i="44"/>
  <c r="M24" i="42"/>
  <c r="N24" i="42" s="1"/>
  <c r="N24" i="44"/>
  <c r="I22" i="44"/>
  <c r="U20" i="42"/>
  <c r="V20" i="42" s="1"/>
  <c r="V20" i="44"/>
  <c r="E20" i="42"/>
  <c r="F20" i="42" s="1"/>
  <c r="F20" i="44"/>
  <c r="Q17" i="42"/>
  <c r="R17" i="42" s="1"/>
  <c r="R17" i="44"/>
  <c r="M15" i="42"/>
  <c r="N15" i="42" s="1"/>
  <c r="N15" i="44"/>
  <c r="I13" i="44"/>
  <c r="W27" i="46"/>
  <c r="V22" i="44"/>
  <c r="V21" i="45"/>
  <c r="R21" i="45"/>
  <c r="U266" i="4"/>
  <c r="I266" i="4"/>
  <c r="L266" i="4"/>
  <c r="O266" i="4"/>
  <c r="V247" i="4"/>
  <c r="X247" i="4" s="1"/>
  <c r="X207" i="4"/>
  <c r="R297" i="4"/>
  <c r="L297" i="4"/>
  <c r="O297" i="4"/>
  <c r="H150" i="4"/>
  <c r="I150" i="4" s="1"/>
  <c r="H226" i="4"/>
  <c r="U226" i="4" s="1"/>
  <c r="U297" i="4"/>
  <c r="I297" i="4"/>
  <c r="V173" i="4"/>
  <c r="X173" i="4" s="1"/>
  <c r="N19" i="44" l="1"/>
  <c r="R19" i="44"/>
  <c r="V19" i="44"/>
  <c r="E19" i="42"/>
  <c r="F19" i="42" s="1"/>
  <c r="W70" i="46"/>
  <c r="W96" i="46"/>
  <c r="W68" i="46"/>
  <c r="W179" i="42"/>
  <c r="W61" i="46"/>
  <c r="W57" i="46"/>
  <c r="W59" i="46"/>
  <c r="W87" i="42"/>
  <c r="W90" i="42"/>
  <c r="W77" i="45"/>
  <c r="W115" i="42"/>
  <c r="W91" i="42"/>
  <c r="W52" i="46"/>
  <c r="V86" i="42"/>
  <c r="R86" i="42"/>
  <c r="S75" i="45"/>
  <c r="V75" i="45" s="1"/>
  <c r="R75" i="45"/>
  <c r="V51" i="45"/>
  <c r="R51" i="45"/>
  <c r="S94" i="46"/>
  <c r="V94" i="46" s="1"/>
  <c r="R94" i="46"/>
  <c r="G175" i="42"/>
  <c r="F175" i="42"/>
  <c r="S76" i="45"/>
  <c r="V76" i="45" s="1"/>
  <c r="R76" i="45"/>
  <c r="W88" i="42"/>
  <c r="G105" i="42"/>
  <c r="F105" i="42"/>
  <c r="S181" i="42"/>
  <c r="V181" i="42" s="1"/>
  <c r="R181" i="42"/>
  <c r="V266" i="4"/>
  <c r="W184" i="42"/>
  <c r="G61" i="44"/>
  <c r="F61" i="44"/>
  <c r="W71" i="42"/>
  <c r="R177" i="42"/>
  <c r="S177" i="42"/>
  <c r="V177" i="42" s="1"/>
  <c r="S178" i="42"/>
  <c r="V178" i="42" s="1"/>
  <c r="R178" i="42"/>
  <c r="S182" i="42"/>
  <c r="V182" i="42" s="1"/>
  <c r="R182" i="42"/>
  <c r="J125" i="43"/>
  <c r="S93" i="46"/>
  <c r="V93" i="46" s="1"/>
  <c r="R93" i="46"/>
  <c r="W113" i="42"/>
  <c r="K100" i="42"/>
  <c r="J100" i="42"/>
  <c r="W89" i="42"/>
  <c r="V29" i="42"/>
  <c r="V21" i="42"/>
  <c r="W29" i="46"/>
  <c r="W21" i="43"/>
  <c r="W29" i="43"/>
  <c r="W21" i="46"/>
  <c r="V297" i="4"/>
  <c r="X297" i="4" s="1"/>
  <c r="I29" i="42"/>
  <c r="J29" i="42" s="1"/>
  <c r="J29" i="44"/>
  <c r="W29" i="44" s="1"/>
  <c r="I13" i="42"/>
  <c r="J13" i="42" s="1"/>
  <c r="W13" i="42" s="1"/>
  <c r="J13" i="44"/>
  <c r="W13" i="44" s="1"/>
  <c r="I16" i="42"/>
  <c r="J16" i="42" s="1"/>
  <c r="W16" i="42" s="1"/>
  <c r="J16" i="44"/>
  <c r="W16" i="44" s="1"/>
  <c r="I22" i="42"/>
  <c r="J22" i="42" s="1"/>
  <c r="W22" i="42" s="1"/>
  <c r="J22" i="44"/>
  <c r="W22" i="44" s="1"/>
  <c r="I30" i="42"/>
  <c r="J30" i="42" s="1"/>
  <c r="W30" i="42" s="1"/>
  <c r="J30" i="44"/>
  <c r="W30" i="44" s="1"/>
  <c r="I25" i="42"/>
  <c r="J25" i="42" s="1"/>
  <c r="W25" i="42" s="1"/>
  <c r="J25" i="44"/>
  <c r="W25" i="44" s="1"/>
  <c r="W29" i="45"/>
  <c r="I15" i="42"/>
  <c r="J15" i="42" s="1"/>
  <c r="W15" i="42" s="1"/>
  <c r="J15" i="44"/>
  <c r="W15" i="44" s="1"/>
  <c r="I24" i="42"/>
  <c r="J24" i="42" s="1"/>
  <c r="W24" i="42" s="1"/>
  <c r="J24" i="44"/>
  <c r="W24" i="44" s="1"/>
  <c r="I17" i="42"/>
  <c r="J17" i="42" s="1"/>
  <c r="W17" i="42" s="1"/>
  <c r="J17" i="44"/>
  <c r="W17" i="44" s="1"/>
  <c r="I26" i="42"/>
  <c r="J26" i="42" s="1"/>
  <c r="W26" i="42" s="1"/>
  <c r="J26" i="44"/>
  <c r="W26" i="44" s="1"/>
  <c r="I12" i="42"/>
  <c r="J12" i="42" s="1"/>
  <c r="W12" i="42" s="1"/>
  <c r="J12" i="44"/>
  <c r="W12" i="44" s="1"/>
  <c r="J19" i="44"/>
  <c r="W19" i="44" s="1"/>
  <c r="I19" i="42"/>
  <c r="J19" i="42" s="1"/>
  <c r="I23" i="42"/>
  <c r="J23" i="42" s="1"/>
  <c r="W23" i="42" s="1"/>
  <c r="J23" i="44"/>
  <c r="W23" i="44" s="1"/>
  <c r="W21" i="45"/>
  <c r="I14" i="42"/>
  <c r="J14" i="42" s="1"/>
  <c r="W14" i="42" s="1"/>
  <c r="J14" i="44"/>
  <c r="W14" i="44" s="1"/>
  <c r="I20" i="42"/>
  <c r="J20" i="42" s="1"/>
  <c r="W20" i="42" s="1"/>
  <c r="J20" i="44"/>
  <c r="W20" i="44" s="1"/>
  <c r="I21" i="42"/>
  <c r="J21" i="42" s="1"/>
  <c r="J21" i="44"/>
  <c r="W21" i="44" s="1"/>
  <c r="J27" i="44"/>
  <c r="W27" i="44" s="1"/>
  <c r="I27" i="42"/>
  <c r="J27" i="42" s="1"/>
  <c r="W27" i="42" s="1"/>
  <c r="O226" i="4"/>
  <c r="R150" i="4"/>
  <c r="U150" i="4"/>
  <c r="R226" i="4"/>
  <c r="L150" i="4"/>
  <c r="O150" i="4"/>
  <c r="I226" i="4"/>
  <c r="L226" i="4"/>
  <c r="R172" i="4"/>
  <c r="I209" i="4"/>
  <c r="U209" i="4"/>
  <c r="O209" i="4"/>
  <c r="L209" i="4"/>
  <c r="R209" i="4"/>
  <c r="V208" i="4"/>
  <c r="V206" i="4"/>
  <c r="W19" i="42" l="1"/>
  <c r="W94" i="46"/>
  <c r="W181" i="42"/>
  <c r="W182" i="42"/>
  <c r="W76" i="45"/>
  <c r="W93" i="46"/>
  <c r="W75" i="45"/>
  <c r="W178" i="42"/>
  <c r="W86" i="42"/>
  <c r="W177" i="42"/>
  <c r="W51" i="45"/>
  <c r="O100" i="42"/>
  <c r="N100" i="42"/>
  <c r="K175" i="42"/>
  <c r="J175" i="42"/>
  <c r="V209" i="4"/>
  <c r="H99" i="44"/>
  <c r="H220" i="42"/>
  <c r="L99" i="44"/>
  <c r="L220" i="42"/>
  <c r="K61" i="44"/>
  <c r="J61" i="44"/>
  <c r="K105" i="42"/>
  <c r="J105" i="42"/>
  <c r="T220" i="42"/>
  <c r="T99" i="44"/>
  <c r="D99" i="44"/>
  <c r="D220" i="42"/>
  <c r="P99" i="44"/>
  <c r="P220" i="42"/>
  <c r="N125" i="43"/>
  <c r="W29" i="42"/>
  <c r="W21" i="42"/>
  <c r="X266" i="4"/>
  <c r="V150" i="4"/>
  <c r="X150" i="4" s="1"/>
  <c r="H307" i="4"/>
  <c r="H236" i="4"/>
  <c r="H160" i="4"/>
  <c r="H154" i="4"/>
  <c r="H230" i="4"/>
  <c r="H301" i="4"/>
  <c r="H221" i="4"/>
  <c r="H145" i="4"/>
  <c r="H292" i="4"/>
  <c r="H303" i="4"/>
  <c r="H156" i="4"/>
  <c r="H232" i="4"/>
  <c r="V226" i="4"/>
  <c r="X226" i="4" s="1"/>
  <c r="L172" i="4"/>
  <c r="O172" i="4"/>
  <c r="U172" i="4"/>
  <c r="I172" i="4"/>
  <c r="R26" i="4"/>
  <c r="L26" i="4"/>
  <c r="O26" i="4"/>
  <c r="I26" i="4"/>
  <c r="U26" i="4"/>
  <c r="W206" i="4"/>
  <c r="W208" i="4"/>
  <c r="N61" i="44" l="1"/>
  <c r="O61" i="44"/>
  <c r="N175" i="42"/>
  <c r="O175" i="42"/>
  <c r="S100" i="42"/>
  <c r="V100" i="42" s="1"/>
  <c r="R100" i="42"/>
  <c r="V125" i="43"/>
  <c r="R125" i="43"/>
  <c r="O105" i="42"/>
  <c r="N105" i="42"/>
  <c r="W209" i="4"/>
  <c r="R301" i="4"/>
  <c r="U301" i="4"/>
  <c r="O301" i="4"/>
  <c r="L301" i="4"/>
  <c r="I301" i="4"/>
  <c r="I230" i="4"/>
  <c r="O230" i="4"/>
  <c r="L230" i="4"/>
  <c r="U230" i="4"/>
  <c r="R230" i="4"/>
  <c r="O232" i="4"/>
  <c r="R232" i="4"/>
  <c r="I232" i="4"/>
  <c r="L232" i="4"/>
  <c r="U232" i="4"/>
  <c r="R154" i="4"/>
  <c r="I154" i="4"/>
  <c r="U154" i="4"/>
  <c r="O154" i="4"/>
  <c r="L154" i="4"/>
  <c r="H25" i="39" s="1"/>
  <c r="R145" i="4"/>
  <c r="I145" i="4"/>
  <c r="L145" i="4"/>
  <c r="O145" i="4"/>
  <c r="U145" i="4"/>
  <c r="I221" i="4"/>
  <c r="U221" i="4"/>
  <c r="L221" i="4"/>
  <c r="O221" i="4"/>
  <c r="R221" i="4"/>
  <c r="O156" i="4"/>
  <c r="R156" i="4"/>
  <c r="U156" i="4"/>
  <c r="L156" i="4"/>
  <c r="I156" i="4"/>
  <c r="I160" i="4"/>
  <c r="U160" i="4"/>
  <c r="R160" i="4"/>
  <c r="O160" i="4"/>
  <c r="L160" i="4"/>
  <c r="V172" i="4"/>
  <c r="X172" i="4" s="1"/>
  <c r="R303" i="4"/>
  <c r="L303" i="4"/>
  <c r="O303" i="4"/>
  <c r="I303" i="4"/>
  <c r="U303" i="4"/>
  <c r="U236" i="4"/>
  <c r="L236" i="4"/>
  <c r="O236" i="4"/>
  <c r="R236" i="4"/>
  <c r="I236" i="4"/>
  <c r="R292" i="4"/>
  <c r="L292" i="4"/>
  <c r="I292" i="4"/>
  <c r="O292" i="4"/>
  <c r="U292" i="4"/>
  <c r="L307" i="4"/>
  <c r="R307" i="4"/>
  <c r="U307" i="4"/>
  <c r="O307" i="4"/>
  <c r="I307" i="4"/>
  <c r="V26" i="4"/>
  <c r="X26" i="4" s="1"/>
  <c r="X208" i="4"/>
  <c r="X206" i="4"/>
  <c r="Q25" i="39" l="1"/>
  <c r="K25" i="39"/>
  <c r="E25" i="39"/>
  <c r="N25" i="39"/>
  <c r="W100" i="42"/>
  <c r="W125" i="43"/>
  <c r="S175" i="42"/>
  <c r="V175" i="42" s="1"/>
  <c r="R175" i="42"/>
  <c r="S105" i="42"/>
  <c r="V105" i="42" s="1"/>
  <c r="R105" i="42"/>
  <c r="S61" i="44"/>
  <c r="V61" i="44" s="1"/>
  <c r="R61" i="44"/>
  <c r="V292" i="4"/>
  <c r="X292" i="4" s="1"/>
  <c r="V307" i="4"/>
  <c r="X307" i="4" s="1"/>
  <c r="V301" i="4"/>
  <c r="X301" i="4" s="1"/>
  <c r="V303" i="4"/>
  <c r="X303" i="4" s="1"/>
  <c r="V160" i="4"/>
  <c r="X160" i="4" s="1"/>
  <c r="V221" i="4"/>
  <c r="X221" i="4" s="1"/>
  <c r="V156" i="4"/>
  <c r="X156" i="4" s="1"/>
  <c r="V232" i="4"/>
  <c r="X232" i="4" s="1"/>
  <c r="V154" i="4"/>
  <c r="X154" i="4" s="1"/>
  <c r="V145" i="4"/>
  <c r="X145" i="4" s="1"/>
  <c r="V236" i="4"/>
  <c r="X236" i="4" s="1"/>
  <c r="V230" i="4"/>
  <c r="X230" i="4" s="1"/>
  <c r="X209" i="4"/>
  <c r="H199" i="4"/>
  <c r="H187" i="4"/>
  <c r="C83" i="42" s="1"/>
  <c r="G83" i="42" s="1"/>
  <c r="K83" i="42" s="1"/>
  <c r="O83" i="42" s="1"/>
  <c r="S83" i="42" s="1"/>
  <c r="T186" i="4"/>
  <c r="T62" i="42" s="1"/>
  <c r="V62" i="42" s="1"/>
  <c r="Q186" i="4"/>
  <c r="P62" i="42" s="1"/>
  <c r="R62" i="42" s="1"/>
  <c r="N186" i="4"/>
  <c r="L62" i="42" s="1"/>
  <c r="N62" i="42" s="1"/>
  <c r="K186" i="4"/>
  <c r="G186" i="4"/>
  <c r="D62" i="42" s="1"/>
  <c r="F62" i="42" s="1"/>
  <c r="L201" i="4"/>
  <c r="I201" i="4"/>
  <c r="U201" i="4"/>
  <c r="H189" i="4"/>
  <c r="T188" i="4"/>
  <c r="Q188" i="4"/>
  <c r="N188" i="4"/>
  <c r="K188" i="4"/>
  <c r="G188" i="4"/>
  <c r="H198" i="4"/>
  <c r="U202" i="4"/>
  <c r="R202" i="4"/>
  <c r="O202" i="4"/>
  <c r="L202" i="4"/>
  <c r="I202" i="4"/>
  <c r="H197" i="4"/>
  <c r="T197" i="4"/>
  <c r="Q197" i="4"/>
  <c r="N197" i="4"/>
  <c r="K197" i="4"/>
  <c r="G197" i="4"/>
  <c r="H185" i="4"/>
  <c r="T185" i="4"/>
  <c r="Q185" i="4"/>
  <c r="N185" i="4"/>
  <c r="K185" i="4"/>
  <c r="G185" i="4"/>
  <c r="U184" i="4"/>
  <c r="R184" i="4"/>
  <c r="O184" i="4"/>
  <c r="L184" i="4"/>
  <c r="I184" i="4"/>
  <c r="H69" i="4"/>
  <c r="C101" i="42" s="1"/>
  <c r="R25" i="39" l="1"/>
  <c r="W175" i="42"/>
  <c r="W105" i="42"/>
  <c r="W61" i="44"/>
  <c r="C82" i="44"/>
  <c r="C173" i="42"/>
  <c r="G101" i="42"/>
  <c r="F101" i="42"/>
  <c r="L52" i="44"/>
  <c r="L82" i="42"/>
  <c r="I188" i="4"/>
  <c r="D47" i="44"/>
  <c r="F47" i="44" s="1"/>
  <c r="D63" i="42"/>
  <c r="F63" i="42" s="1"/>
  <c r="U199" i="4"/>
  <c r="C83" i="44"/>
  <c r="C174" i="42"/>
  <c r="P52" i="44"/>
  <c r="P82" i="42"/>
  <c r="L188" i="4"/>
  <c r="H47" i="44"/>
  <c r="J47" i="44" s="1"/>
  <c r="H63" i="42"/>
  <c r="J63" i="42" s="1"/>
  <c r="T82" i="42"/>
  <c r="T52" i="44"/>
  <c r="O188" i="4"/>
  <c r="L47" i="44"/>
  <c r="N47" i="44" s="1"/>
  <c r="L63" i="42"/>
  <c r="N63" i="42" s="1"/>
  <c r="H62" i="42"/>
  <c r="J62" i="42" s="1"/>
  <c r="W62" i="42" s="1"/>
  <c r="K187" i="4"/>
  <c r="H83" i="42" s="1"/>
  <c r="H52" i="44"/>
  <c r="H82" i="42"/>
  <c r="Q189" i="4"/>
  <c r="P47" i="44"/>
  <c r="R47" i="44" s="1"/>
  <c r="P63" i="42"/>
  <c r="R63" i="42" s="1"/>
  <c r="U188" i="4"/>
  <c r="T63" i="42"/>
  <c r="V63" i="42" s="1"/>
  <c r="T47" i="44"/>
  <c r="V47" i="44" s="1"/>
  <c r="C54" i="44"/>
  <c r="G54" i="44" s="1"/>
  <c r="K54" i="44" s="1"/>
  <c r="O54" i="44" s="1"/>
  <c r="S54" i="44" s="1"/>
  <c r="C84" i="42"/>
  <c r="G84" i="42" s="1"/>
  <c r="K84" i="42" s="1"/>
  <c r="O84" i="42" s="1"/>
  <c r="S84" i="42" s="1"/>
  <c r="C82" i="42"/>
  <c r="G82" i="42" s="1"/>
  <c r="K82" i="42" s="1"/>
  <c r="O82" i="42" s="1"/>
  <c r="S82" i="42" s="1"/>
  <c r="C52" i="44"/>
  <c r="G52" i="44" s="1"/>
  <c r="K52" i="44" s="1"/>
  <c r="O52" i="44" s="1"/>
  <c r="S52" i="44" s="1"/>
  <c r="D52" i="44"/>
  <c r="D82" i="42"/>
  <c r="I199" i="4"/>
  <c r="L199" i="4"/>
  <c r="O199" i="4"/>
  <c r="R199" i="4"/>
  <c r="K189" i="4"/>
  <c r="O201" i="4"/>
  <c r="R201" i="4"/>
  <c r="G189" i="4"/>
  <c r="R188" i="4"/>
  <c r="N189" i="4"/>
  <c r="T189" i="4"/>
  <c r="V202" i="4"/>
  <c r="X202" i="4" s="1"/>
  <c r="V184" i="4"/>
  <c r="X184" i="4" s="1"/>
  <c r="O185" i="4"/>
  <c r="I185" i="4"/>
  <c r="U185" i="4"/>
  <c r="L185" i="4"/>
  <c r="R185" i="4"/>
  <c r="W47" i="44" l="1"/>
  <c r="H54" i="44"/>
  <c r="H84" i="42"/>
  <c r="J83" i="42"/>
  <c r="T84" i="42"/>
  <c r="T54" i="44"/>
  <c r="F52" i="44"/>
  <c r="L54" i="44"/>
  <c r="L84" i="42"/>
  <c r="P54" i="44"/>
  <c r="P84" i="42"/>
  <c r="G174" i="42"/>
  <c r="F174" i="42"/>
  <c r="V188" i="4"/>
  <c r="X188" i="4" s="1"/>
  <c r="F83" i="44"/>
  <c r="G83" i="44"/>
  <c r="K101" i="42"/>
  <c r="J101" i="42"/>
  <c r="D54" i="44"/>
  <c r="F54" i="44" s="1"/>
  <c r="D84" i="42"/>
  <c r="F84" i="42" s="1"/>
  <c r="G173" i="42"/>
  <c r="F173" i="42"/>
  <c r="W63" i="42"/>
  <c r="F82" i="44"/>
  <c r="G82" i="44"/>
  <c r="V199" i="4"/>
  <c r="X199" i="4" s="1"/>
  <c r="V201" i="4"/>
  <c r="X201" i="4" s="1"/>
  <c r="V185" i="4"/>
  <c r="X185" i="4" s="1"/>
  <c r="K82" i="44" l="1"/>
  <c r="J82" i="44"/>
  <c r="J52" i="44"/>
  <c r="K174" i="42"/>
  <c r="J174" i="42"/>
  <c r="K83" i="44"/>
  <c r="J83" i="44"/>
  <c r="K173" i="42"/>
  <c r="J173" i="42"/>
  <c r="J54" i="44"/>
  <c r="O101" i="42"/>
  <c r="N101" i="42"/>
  <c r="J84" i="42"/>
  <c r="H59" i="4"/>
  <c r="H53" i="4"/>
  <c r="V63" i="47"/>
  <c r="R63" i="47"/>
  <c r="W63" i="47"/>
  <c r="V57" i="47"/>
  <c r="R57" i="47"/>
  <c r="N57" i="47"/>
  <c r="J57" i="47"/>
  <c r="F57" i="47"/>
  <c r="V50" i="47"/>
  <c r="V52" i="47" s="1"/>
  <c r="R50" i="47"/>
  <c r="N50" i="47"/>
  <c r="J50" i="47"/>
  <c r="F50" i="47"/>
  <c r="V49" i="47"/>
  <c r="R49" i="47"/>
  <c r="R52" i="47" s="1"/>
  <c r="N49" i="47"/>
  <c r="N52" i="47" s="1"/>
  <c r="J49" i="47"/>
  <c r="J52" i="47" s="1"/>
  <c r="F49" i="47"/>
  <c r="V45" i="47"/>
  <c r="V46" i="47" s="1"/>
  <c r="R45" i="47"/>
  <c r="R46" i="47" s="1"/>
  <c r="N45" i="47"/>
  <c r="N46" i="47" s="1"/>
  <c r="J45" i="47"/>
  <c r="J46" i="47" s="1"/>
  <c r="F45" i="47"/>
  <c r="F46" i="47" s="1"/>
  <c r="V42" i="47"/>
  <c r="V43" i="47" s="1"/>
  <c r="R42" i="47"/>
  <c r="R43" i="47" s="1"/>
  <c r="N42" i="47"/>
  <c r="N43" i="47" s="1"/>
  <c r="J42" i="47"/>
  <c r="J43" i="47" s="1"/>
  <c r="F42" i="47"/>
  <c r="F43" i="47" s="1"/>
  <c r="J40" i="47"/>
  <c r="V39" i="47"/>
  <c r="V40" i="47" s="1"/>
  <c r="R39" i="47"/>
  <c r="R40" i="47" s="1"/>
  <c r="N39" i="47"/>
  <c r="N40" i="47" s="1"/>
  <c r="J39" i="47"/>
  <c r="F39" i="47"/>
  <c r="F40" i="47" s="1"/>
  <c r="V37" i="47"/>
  <c r="V35" i="47"/>
  <c r="R35" i="47"/>
  <c r="R37" i="47" s="1"/>
  <c r="N35" i="47"/>
  <c r="N37" i="47" s="1"/>
  <c r="J35" i="47"/>
  <c r="J37" i="47" s="1"/>
  <c r="F35" i="47"/>
  <c r="F37" i="47" s="1"/>
  <c r="G32" i="47"/>
  <c r="K32" i="47" s="1"/>
  <c r="O32" i="47" s="1"/>
  <c r="F32" i="47"/>
  <c r="G31" i="47"/>
  <c r="K31" i="47" s="1"/>
  <c r="F31" i="47"/>
  <c r="K29" i="47"/>
  <c r="O29" i="47" s="1"/>
  <c r="J29" i="47"/>
  <c r="G29" i="47"/>
  <c r="F29" i="47"/>
  <c r="V27" i="47"/>
  <c r="R27" i="47"/>
  <c r="N27" i="47"/>
  <c r="J27" i="47"/>
  <c r="F27" i="47"/>
  <c r="I22" i="47"/>
  <c r="M22" i="47" s="1"/>
  <c r="Q22" i="47" s="1"/>
  <c r="U22" i="47" s="1"/>
  <c r="I21" i="47"/>
  <c r="M21" i="47" s="1"/>
  <c r="Q21" i="47" s="1"/>
  <c r="U21" i="47" s="1"/>
  <c r="G16" i="47"/>
  <c r="K16" i="47" s="1"/>
  <c r="F16" i="47"/>
  <c r="K15" i="47"/>
  <c r="O15" i="47" s="1"/>
  <c r="J15" i="47"/>
  <c r="G15" i="47"/>
  <c r="F15" i="47"/>
  <c r="G14" i="47"/>
  <c r="K14" i="47" s="1"/>
  <c r="F14" i="47"/>
  <c r="V11" i="47"/>
  <c r="W11" i="47" s="1"/>
  <c r="G10" i="47"/>
  <c r="K10" i="47" s="1"/>
  <c r="O10" i="47" s="1"/>
  <c r="F10" i="47"/>
  <c r="G9" i="47"/>
  <c r="K9" i="47" s="1"/>
  <c r="F9" i="47"/>
  <c r="G8" i="47"/>
  <c r="K8" i="47" s="1"/>
  <c r="F8" i="47"/>
  <c r="N52" i="44" l="1"/>
  <c r="R101" i="42"/>
  <c r="S101" i="42"/>
  <c r="V101" i="42" s="1"/>
  <c r="O173" i="42"/>
  <c r="N173" i="42"/>
  <c r="O82" i="44"/>
  <c r="N82" i="44"/>
  <c r="N54" i="44"/>
  <c r="O83" i="44"/>
  <c r="N83" i="44"/>
  <c r="N84" i="42"/>
  <c r="N174" i="42"/>
  <c r="O174" i="42"/>
  <c r="J32" i="47"/>
  <c r="O8" i="47"/>
  <c r="N8" i="47"/>
  <c r="J16" i="47"/>
  <c r="J31" i="47"/>
  <c r="J9" i="47"/>
  <c r="W50" i="47"/>
  <c r="F12" i="47"/>
  <c r="C21" i="47" s="1"/>
  <c r="F21" i="47" s="1"/>
  <c r="W49" i="47"/>
  <c r="W52" i="47" s="1"/>
  <c r="W45" i="47"/>
  <c r="W46" i="47" s="1"/>
  <c r="J8" i="47"/>
  <c r="J10" i="47"/>
  <c r="W27" i="47"/>
  <c r="W57" i="47"/>
  <c r="N15" i="47"/>
  <c r="N29" i="47"/>
  <c r="F33" i="47"/>
  <c r="W39" i="47"/>
  <c r="O9" i="47"/>
  <c r="N9" i="47"/>
  <c r="O16" i="47"/>
  <c r="N16" i="47"/>
  <c r="N31" i="47"/>
  <c r="O31" i="47"/>
  <c r="W40" i="47"/>
  <c r="R15" i="47"/>
  <c r="S15" i="47"/>
  <c r="V15" i="47" s="1"/>
  <c r="S29" i="47"/>
  <c r="V29" i="47" s="1"/>
  <c r="R29" i="47"/>
  <c r="S32" i="47"/>
  <c r="V32" i="47" s="1"/>
  <c r="R32" i="47"/>
  <c r="W43" i="47"/>
  <c r="O14" i="47"/>
  <c r="N14" i="47"/>
  <c r="R8" i="47"/>
  <c r="S8" i="47"/>
  <c r="V8" i="47" s="1"/>
  <c r="S10" i="47"/>
  <c r="V10" i="47" s="1"/>
  <c r="R10" i="47"/>
  <c r="W37" i="47"/>
  <c r="F17" i="47"/>
  <c r="N10" i="47"/>
  <c r="N12" i="47" s="1"/>
  <c r="J14" i="47"/>
  <c r="N32" i="47"/>
  <c r="F52" i="47"/>
  <c r="W35" i="47"/>
  <c r="W42" i="47"/>
  <c r="W101" i="42" l="1"/>
  <c r="S174" i="42"/>
  <c r="V174" i="42" s="1"/>
  <c r="R174" i="42"/>
  <c r="R83" i="44"/>
  <c r="S83" i="44"/>
  <c r="V83" i="44" s="1"/>
  <c r="V52" i="44"/>
  <c r="R52" i="44"/>
  <c r="S82" i="44"/>
  <c r="V82" i="44" s="1"/>
  <c r="R82" i="44"/>
  <c r="R54" i="44"/>
  <c r="V54" i="44"/>
  <c r="V84" i="42"/>
  <c r="R84" i="42"/>
  <c r="S173" i="42"/>
  <c r="V173" i="42" s="1"/>
  <c r="R173" i="42"/>
  <c r="J33" i="47"/>
  <c r="J17" i="47"/>
  <c r="W29" i="47"/>
  <c r="W15" i="47"/>
  <c r="N33" i="47"/>
  <c r="W10" i="47"/>
  <c r="J12" i="47"/>
  <c r="G21" i="47" s="1"/>
  <c r="J21" i="47" s="1"/>
  <c r="K21" i="47"/>
  <c r="N21" i="47" s="1"/>
  <c r="J19" i="47"/>
  <c r="G22" i="47"/>
  <c r="J22" i="47" s="1"/>
  <c r="N17" i="47"/>
  <c r="S16" i="47"/>
  <c r="V16" i="47" s="1"/>
  <c r="R16" i="47"/>
  <c r="R14" i="47"/>
  <c r="S14" i="47"/>
  <c r="V14" i="47" s="1"/>
  <c r="F19" i="47"/>
  <c r="C22" i="47"/>
  <c r="F22" i="47" s="1"/>
  <c r="F23" i="47" s="1"/>
  <c r="W32" i="47"/>
  <c r="S31" i="47"/>
  <c r="V31" i="47" s="1"/>
  <c r="V33" i="47" s="1"/>
  <c r="R31" i="47"/>
  <c r="R12" i="47"/>
  <c r="O21" i="47" s="1"/>
  <c r="R21" i="47" s="1"/>
  <c r="W8" i="47"/>
  <c r="S9" i="47"/>
  <c r="V9" i="47" s="1"/>
  <c r="V12" i="47" s="1"/>
  <c r="S21" i="47" s="1"/>
  <c r="V21" i="47" s="1"/>
  <c r="R9" i="47"/>
  <c r="W52" i="44" l="1"/>
  <c r="W173" i="42"/>
  <c r="W84" i="42"/>
  <c r="W174" i="42"/>
  <c r="W83" i="44"/>
  <c r="W54" i="44"/>
  <c r="W82" i="44"/>
  <c r="V17" i="47"/>
  <c r="V19" i="47" s="1"/>
  <c r="W16" i="47"/>
  <c r="R17" i="47"/>
  <c r="W14" i="47"/>
  <c r="W31" i="47"/>
  <c r="W9" i="47"/>
  <c r="J23" i="47"/>
  <c r="J25" i="47" s="1"/>
  <c r="J54" i="47" s="1"/>
  <c r="G58" i="47" s="1"/>
  <c r="J58" i="47" s="1"/>
  <c r="J60" i="47" s="1"/>
  <c r="J62" i="47" s="1"/>
  <c r="F25" i="47"/>
  <c r="S22" i="47"/>
  <c r="V22" i="47" s="1"/>
  <c r="V23" i="47" s="1"/>
  <c r="V25" i="47" s="1"/>
  <c r="W12" i="47"/>
  <c r="W21" i="47"/>
  <c r="O22" i="47"/>
  <c r="R22" i="47" s="1"/>
  <c r="R23" i="47" s="1"/>
  <c r="R25" i="47" s="1"/>
  <c r="R19" i="47"/>
  <c r="W17" i="47"/>
  <c r="K22" i="47"/>
  <c r="N22" i="47" s="1"/>
  <c r="N23" i="47" s="1"/>
  <c r="N19" i="47"/>
  <c r="R33" i="47"/>
  <c r="W33" i="47" s="1"/>
  <c r="W19" i="47" l="1"/>
  <c r="J64" i="47"/>
  <c r="L315" i="4"/>
  <c r="N25" i="47"/>
  <c r="N54" i="47" s="1"/>
  <c r="W23" i="47"/>
  <c r="V54" i="47"/>
  <c r="W25" i="47"/>
  <c r="W22" i="47"/>
  <c r="R54" i="47"/>
  <c r="F54" i="47"/>
  <c r="G110" i="42" l="1"/>
  <c r="J110" i="42" s="1"/>
  <c r="G65" i="46"/>
  <c r="W54" i="47"/>
  <c r="K58" i="47"/>
  <c r="N58" i="47" s="1"/>
  <c r="N60" i="47" s="1"/>
  <c r="N62" i="47" s="1"/>
  <c r="S58" i="47"/>
  <c r="V58" i="47" s="1"/>
  <c r="V60" i="47" s="1"/>
  <c r="V62" i="47" s="1"/>
  <c r="V64" i="47" s="1"/>
  <c r="U315" i="4" s="1"/>
  <c r="O58" i="47"/>
  <c r="R58" i="47" s="1"/>
  <c r="R60" i="47" s="1"/>
  <c r="R62" i="47" s="1"/>
  <c r="C58" i="47"/>
  <c r="F58" i="47" s="1"/>
  <c r="S110" i="42" l="1"/>
  <c r="V110" i="42" s="1"/>
  <c r="S65" i="46"/>
  <c r="R64" i="47"/>
  <c r="R315" i="4"/>
  <c r="N64" i="47"/>
  <c r="O315" i="4"/>
  <c r="W58" i="47"/>
  <c r="W60" i="47" s="1"/>
  <c r="F60" i="47"/>
  <c r="F62" i="47" s="1"/>
  <c r="I315" i="4" s="1"/>
  <c r="C110" i="42" l="1"/>
  <c r="F110" i="42" s="1"/>
  <c r="C65" i="46"/>
  <c r="K110" i="42"/>
  <c r="N110" i="42" s="1"/>
  <c r="K65" i="46"/>
  <c r="O110" i="42"/>
  <c r="R110" i="42" s="1"/>
  <c r="O65" i="46"/>
  <c r="V315" i="4"/>
  <c r="W62" i="47"/>
  <c r="F64" i="47"/>
  <c r="W64" i="47" s="1"/>
  <c r="W110" i="42" l="1"/>
  <c r="H48" i="4"/>
  <c r="E140" i="4"/>
  <c r="E10" i="44" s="1"/>
  <c r="F10" i="44" s="1"/>
  <c r="U82" i="4"/>
  <c r="R82" i="4"/>
  <c r="O82" i="4"/>
  <c r="L82" i="4"/>
  <c r="I82" i="4"/>
  <c r="H132" i="30"/>
  <c r="H133" i="30"/>
  <c r="H134" i="30"/>
  <c r="H135" i="30"/>
  <c r="H136" i="30"/>
  <c r="H137" i="30"/>
  <c r="H138" i="30"/>
  <c r="H140" i="30"/>
  <c r="H141" i="30"/>
  <c r="H142" i="30"/>
  <c r="H143" i="30"/>
  <c r="H144" i="30"/>
  <c r="H145" i="30"/>
  <c r="H146" i="30"/>
  <c r="H147" i="30"/>
  <c r="H148" i="30"/>
  <c r="H149" i="30"/>
  <c r="H150" i="30"/>
  <c r="H151" i="30"/>
  <c r="H102" i="30"/>
  <c r="H103" i="30"/>
  <c r="H104" i="30"/>
  <c r="H105" i="30"/>
  <c r="H106" i="30"/>
  <c r="H107" i="30"/>
  <c r="H108" i="30"/>
  <c r="H110" i="30"/>
  <c r="H111" i="30"/>
  <c r="H112" i="30"/>
  <c r="H113" i="30"/>
  <c r="H114" i="30"/>
  <c r="H115" i="30"/>
  <c r="H116" i="30"/>
  <c r="H117" i="30"/>
  <c r="H118" i="30"/>
  <c r="H119" i="30"/>
  <c r="H120" i="30"/>
  <c r="H121" i="30"/>
  <c r="H72" i="30"/>
  <c r="H73" i="30"/>
  <c r="H74" i="30"/>
  <c r="H75" i="30"/>
  <c r="H76" i="30"/>
  <c r="H77" i="30"/>
  <c r="H78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42" i="30"/>
  <c r="H43" i="30"/>
  <c r="H44" i="30"/>
  <c r="H45" i="30"/>
  <c r="H46" i="30"/>
  <c r="H47" i="30"/>
  <c r="H48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12" i="30"/>
  <c r="H13" i="30"/>
  <c r="H14" i="30"/>
  <c r="H15" i="30"/>
  <c r="H16" i="30"/>
  <c r="H17" i="30"/>
  <c r="H18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U366" i="4"/>
  <c r="R366" i="4"/>
  <c r="O366" i="4"/>
  <c r="L366" i="4"/>
  <c r="I366" i="4"/>
  <c r="U116" i="4"/>
  <c r="R116" i="4"/>
  <c r="O116" i="4"/>
  <c r="L116" i="4"/>
  <c r="I116" i="4"/>
  <c r="V366" i="4" l="1"/>
  <c r="X366" i="4" s="1"/>
  <c r="H227" i="4"/>
  <c r="H151" i="4"/>
  <c r="H298" i="4"/>
  <c r="H217" i="4"/>
  <c r="H141" i="4"/>
  <c r="H288" i="4"/>
  <c r="H225" i="4"/>
  <c r="H296" i="4"/>
  <c r="H149" i="4"/>
  <c r="I22" i="4"/>
  <c r="E21" i="39" s="1"/>
  <c r="V82" i="4"/>
  <c r="X82" i="4" s="1"/>
  <c r="V116" i="4"/>
  <c r="X116" i="4" s="1"/>
  <c r="L149" i="4" l="1"/>
  <c r="O149" i="4"/>
  <c r="R149" i="4"/>
  <c r="I149" i="4"/>
  <c r="U149" i="4"/>
  <c r="L227" i="4"/>
  <c r="O227" i="4"/>
  <c r="U227" i="4"/>
  <c r="I227" i="4"/>
  <c r="R227" i="4"/>
  <c r="I296" i="4"/>
  <c r="R296" i="4"/>
  <c r="U296" i="4"/>
  <c r="O296" i="4"/>
  <c r="L296" i="4"/>
  <c r="L141" i="4"/>
  <c r="R141" i="4"/>
  <c r="U141" i="4"/>
  <c r="O141" i="4"/>
  <c r="I141" i="4"/>
  <c r="L225" i="4"/>
  <c r="O225" i="4"/>
  <c r="I225" i="4"/>
  <c r="U225" i="4"/>
  <c r="R225" i="4"/>
  <c r="L288" i="4"/>
  <c r="R288" i="4"/>
  <c r="I288" i="4"/>
  <c r="U288" i="4"/>
  <c r="O288" i="4"/>
  <c r="L217" i="4"/>
  <c r="O217" i="4"/>
  <c r="I217" i="4"/>
  <c r="R217" i="4"/>
  <c r="U217" i="4"/>
  <c r="I298" i="4"/>
  <c r="R298" i="4"/>
  <c r="O298" i="4"/>
  <c r="U298" i="4"/>
  <c r="L298" i="4"/>
  <c r="L151" i="4"/>
  <c r="I151" i="4"/>
  <c r="R151" i="4"/>
  <c r="U151" i="4"/>
  <c r="O151" i="4"/>
  <c r="H22" i="39" l="1"/>
  <c r="V288" i="4"/>
  <c r="X288" i="4" s="1"/>
  <c r="V298" i="4"/>
  <c r="X298" i="4" s="1"/>
  <c r="V296" i="4"/>
  <c r="X296" i="4" s="1"/>
  <c r="V149" i="4"/>
  <c r="X149" i="4" s="1"/>
  <c r="V151" i="4"/>
  <c r="X151" i="4" s="1"/>
  <c r="V217" i="4"/>
  <c r="X217" i="4" s="1"/>
  <c r="V227" i="4"/>
  <c r="X227" i="4" s="1"/>
  <c r="V225" i="4"/>
  <c r="X225" i="4" s="1"/>
  <c r="V141" i="4"/>
  <c r="X141" i="4" s="1"/>
  <c r="I28" i="4"/>
  <c r="E27" i="39" s="1"/>
  <c r="U21" i="4"/>
  <c r="Q20" i="39" s="1"/>
  <c r="R21" i="4"/>
  <c r="N20" i="39" s="1"/>
  <c r="L22" i="4"/>
  <c r="H21" i="39" s="1"/>
  <c r="I21" i="4"/>
  <c r="E20" i="39" s="1"/>
  <c r="L21" i="4"/>
  <c r="H20" i="39" s="1"/>
  <c r="O22" i="4"/>
  <c r="K21" i="39" s="1"/>
  <c r="O21" i="4"/>
  <c r="K20" i="39" s="1"/>
  <c r="R22" i="4"/>
  <c r="N21" i="39" s="1"/>
  <c r="U22" i="4"/>
  <c r="Q21" i="39" s="1"/>
  <c r="O23" i="4"/>
  <c r="K22" i="39" s="1"/>
  <c r="I23" i="4"/>
  <c r="E22" i="39" s="1"/>
  <c r="U23" i="4"/>
  <c r="Q22" i="39" s="1"/>
  <c r="R23" i="4"/>
  <c r="N22" i="39" s="1"/>
  <c r="R28" i="4"/>
  <c r="N27" i="39" s="1"/>
  <c r="L28" i="4"/>
  <c r="H27" i="39" s="1"/>
  <c r="U28" i="4"/>
  <c r="Q27" i="39" s="1"/>
  <c r="O28" i="4"/>
  <c r="K27" i="39" s="1"/>
  <c r="G58" i="4"/>
  <c r="G59" i="4" s="1"/>
  <c r="I96" i="4"/>
  <c r="H35" i="4"/>
  <c r="A114" i="43"/>
  <c r="R20" i="39" l="1"/>
  <c r="R22" i="39"/>
  <c r="R21" i="39"/>
  <c r="R27" i="39"/>
  <c r="H235" i="4"/>
  <c r="H159" i="4"/>
  <c r="H306" i="4"/>
  <c r="V21" i="4"/>
  <c r="X21" i="4" s="1"/>
  <c r="V23" i="4"/>
  <c r="X23" i="4" s="1"/>
  <c r="V22" i="4"/>
  <c r="X22" i="4" s="1"/>
  <c r="V28" i="4"/>
  <c r="X28" i="4" s="1"/>
  <c r="T115" i="43"/>
  <c r="P115" i="43"/>
  <c r="L115" i="43"/>
  <c r="H115" i="43"/>
  <c r="C115" i="43"/>
  <c r="G115" i="43" s="1"/>
  <c r="K115" i="43" s="1"/>
  <c r="O115" i="43" s="1"/>
  <c r="S115" i="43" s="1"/>
  <c r="B115" i="43"/>
  <c r="A115" i="43"/>
  <c r="T114" i="43"/>
  <c r="P114" i="43"/>
  <c r="L114" i="43"/>
  <c r="H114" i="43"/>
  <c r="D114" i="43"/>
  <c r="C114" i="43"/>
  <c r="G114" i="43" s="1"/>
  <c r="K114" i="43" s="1"/>
  <c r="O114" i="43" s="1"/>
  <c r="S114" i="43" s="1"/>
  <c r="B114" i="43"/>
  <c r="T113" i="43"/>
  <c r="P113" i="43"/>
  <c r="L113" i="43"/>
  <c r="H113" i="43"/>
  <c r="D113" i="43"/>
  <c r="C113" i="43"/>
  <c r="G113" i="43" s="1"/>
  <c r="K113" i="43" s="1"/>
  <c r="O113" i="43" s="1"/>
  <c r="S113" i="43" s="1"/>
  <c r="B113" i="43"/>
  <c r="A113" i="43"/>
  <c r="A116" i="43"/>
  <c r="B116" i="43"/>
  <c r="C116" i="43"/>
  <c r="G116" i="43" s="1"/>
  <c r="K116" i="43" s="1"/>
  <c r="O116" i="43" s="1"/>
  <c r="S116" i="43" s="1"/>
  <c r="D116" i="43"/>
  <c r="H116" i="43"/>
  <c r="L116" i="43"/>
  <c r="P116" i="43"/>
  <c r="T116" i="43"/>
  <c r="A117" i="43"/>
  <c r="B117" i="43"/>
  <c r="C117" i="43"/>
  <c r="G117" i="43" s="1"/>
  <c r="K117" i="43" s="1"/>
  <c r="O117" i="43" s="1"/>
  <c r="S117" i="43" s="1"/>
  <c r="D117" i="43"/>
  <c r="H117" i="43"/>
  <c r="L117" i="43"/>
  <c r="P117" i="43"/>
  <c r="T117" i="43"/>
  <c r="G88" i="46"/>
  <c r="W367" i="4"/>
  <c r="I121" i="4"/>
  <c r="U121" i="4"/>
  <c r="R121" i="4"/>
  <c r="O121" i="4"/>
  <c r="L121" i="4"/>
  <c r="U120" i="4"/>
  <c r="R120" i="4"/>
  <c r="O120" i="4"/>
  <c r="L120" i="4"/>
  <c r="I120" i="4"/>
  <c r="U119" i="4"/>
  <c r="R119" i="4"/>
  <c r="O119" i="4"/>
  <c r="L119" i="4"/>
  <c r="I119" i="4"/>
  <c r="I235" i="4" l="1"/>
  <c r="O235" i="4"/>
  <c r="R235" i="4"/>
  <c r="U235" i="4"/>
  <c r="L235" i="4"/>
  <c r="I306" i="4"/>
  <c r="R306" i="4"/>
  <c r="U306" i="4"/>
  <c r="L306" i="4"/>
  <c r="O306" i="4"/>
  <c r="I159" i="4"/>
  <c r="O159" i="4"/>
  <c r="U159" i="4"/>
  <c r="L159" i="4"/>
  <c r="R159" i="4"/>
  <c r="J117" i="43"/>
  <c r="F117" i="43"/>
  <c r="F116" i="43"/>
  <c r="D115" i="43"/>
  <c r="F115" i="43" s="1"/>
  <c r="F113" i="43"/>
  <c r="N116" i="43"/>
  <c r="J115" i="43"/>
  <c r="J114" i="43"/>
  <c r="F114" i="43"/>
  <c r="K88" i="46"/>
  <c r="J88" i="46"/>
  <c r="F88" i="46"/>
  <c r="V121" i="4"/>
  <c r="X121" i="4" s="1"/>
  <c r="V119" i="4"/>
  <c r="X119" i="4" s="1"/>
  <c r="V120" i="4"/>
  <c r="X120" i="4" s="1"/>
  <c r="H311" i="4"/>
  <c r="T11" i="46"/>
  <c r="P11" i="46"/>
  <c r="L11" i="46"/>
  <c r="H11" i="46"/>
  <c r="D11" i="46"/>
  <c r="A11" i="46"/>
  <c r="T11" i="45"/>
  <c r="P11" i="45"/>
  <c r="L11" i="45"/>
  <c r="H11" i="45"/>
  <c r="D11" i="45"/>
  <c r="A11" i="45"/>
  <c r="T11" i="44"/>
  <c r="P11" i="44"/>
  <c r="L11" i="44"/>
  <c r="H11" i="44"/>
  <c r="D11" i="44"/>
  <c r="A11" i="44"/>
  <c r="D311" i="4"/>
  <c r="D240" i="4"/>
  <c r="D164" i="4"/>
  <c r="W322" i="4"/>
  <c r="W174" i="4"/>
  <c r="V306" i="4" l="1"/>
  <c r="X306" i="4" s="1"/>
  <c r="V159" i="4"/>
  <c r="X159" i="4" s="1"/>
  <c r="V235" i="4"/>
  <c r="X235" i="4" s="1"/>
  <c r="H222" i="4"/>
  <c r="H146" i="4"/>
  <c r="H293" i="4"/>
  <c r="H294" i="4"/>
  <c r="H223" i="4"/>
  <c r="H147" i="4"/>
  <c r="J116" i="43"/>
  <c r="R116" i="43"/>
  <c r="J113" i="43"/>
  <c r="N114" i="43"/>
  <c r="N115" i="43"/>
  <c r="N117" i="43"/>
  <c r="O88" i="46"/>
  <c r="N88" i="46"/>
  <c r="L31" i="4"/>
  <c r="H30" i="39" s="1"/>
  <c r="U31" i="4"/>
  <c r="Q30" i="39" s="1"/>
  <c r="R31" i="4"/>
  <c r="N30" i="39" s="1"/>
  <c r="O31" i="4"/>
  <c r="K30" i="39" s="1"/>
  <c r="I31" i="4"/>
  <c r="E30" i="39" s="1"/>
  <c r="R17" i="4"/>
  <c r="N16" i="39" s="1"/>
  <c r="I18" i="4"/>
  <c r="O19" i="4"/>
  <c r="L18" i="4"/>
  <c r="O18" i="4"/>
  <c r="U18" i="4"/>
  <c r="R18" i="4"/>
  <c r="L19" i="4"/>
  <c r="O17" i="4"/>
  <c r="K16" i="39" s="1"/>
  <c r="U19" i="4"/>
  <c r="I19" i="4"/>
  <c r="L17" i="4"/>
  <c r="H16" i="39" s="1"/>
  <c r="R19" i="4"/>
  <c r="U17" i="4"/>
  <c r="Q16" i="39" s="1"/>
  <c r="I17" i="4"/>
  <c r="E16" i="39" s="1"/>
  <c r="E41" i="42"/>
  <c r="I41" i="42" s="1"/>
  <c r="E40" i="42"/>
  <c r="I40" i="42" s="1"/>
  <c r="M40" i="42" s="1"/>
  <c r="B40" i="42"/>
  <c r="R30" i="39" l="1"/>
  <c r="R16" i="39"/>
  <c r="O147" i="4"/>
  <c r="R147" i="4"/>
  <c r="U147" i="4"/>
  <c r="L147" i="4"/>
  <c r="I147" i="4"/>
  <c r="O223" i="4"/>
  <c r="R223" i="4"/>
  <c r="I223" i="4"/>
  <c r="U223" i="4"/>
  <c r="L223" i="4"/>
  <c r="R294" i="4"/>
  <c r="O294" i="4"/>
  <c r="L294" i="4"/>
  <c r="I294" i="4"/>
  <c r="U294" i="4"/>
  <c r="L293" i="4"/>
  <c r="U293" i="4"/>
  <c r="R293" i="4"/>
  <c r="I293" i="4"/>
  <c r="O293" i="4"/>
  <c r="U146" i="4"/>
  <c r="O146" i="4"/>
  <c r="I146" i="4"/>
  <c r="R146" i="4"/>
  <c r="L146" i="4"/>
  <c r="R222" i="4"/>
  <c r="O222" i="4"/>
  <c r="U222" i="4"/>
  <c r="L222" i="4"/>
  <c r="I222" i="4"/>
  <c r="V116" i="43"/>
  <c r="W116" i="43" s="1"/>
  <c r="N113" i="43"/>
  <c r="R115" i="43"/>
  <c r="V115" i="43"/>
  <c r="V114" i="43"/>
  <c r="R114" i="43"/>
  <c r="R117" i="43"/>
  <c r="V117" i="43"/>
  <c r="S88" i="46"/>
  <c r="V88" i="46" s="1"/>
  <c r="R88" i="46"/>
  <c r="V31" i="4"/>
  <c r="X31" i="4" s="1"/>
  <c r="V18" i="4"/>
  <c r="X18" i="4" s="1"/>
  <c r="V17" i="4"/>
  <c r="X17" i="4" s="1"/>
  <c r="V19" i="4"/>
  <c r="X19" i="4" s="1"/>
  <c r="Q40" i="42"/>
  <c r="U40" i="42" s="1"/>
  <c r="M41" i="42"/>
  <c r="Q17" i="39" l="1"/>
  <c r="N18" i="39"/>
  <c r="Q18" i="39"/>
  <c r="H18" i="39"/>
  <c r="K17" i="39"/>
  <c r="H17" i="39"/>
  <c r="K18" i="39"/>
  <c r="N17" i="39"/>
  <c r="E18" i="39"/>
  <c r="E17" i="39"/>
  <c r="V293" i="4"/>
  <c r="X293" i="4" s="1"/>
  <c r="V294" i="4"/>
  <c r="X294" i="4" s="1"/>
  <c r="V223" i="4"/>
  <c r="X223" i="4" s="1"/>
  <c r="V146" i="4"/>
  <c r="X146" i="4" s="1"/>
  <c r="V222" i="4"/>
  <c r="X222" i="4" s="1"/>
  <c r="V147" i="4"/>
  <c r="X147" i="4" s="1"/>
  <c r="W114" i="43"/>
  <c r="W117" i="43"/>
  <c r="R113" i="43"/>
  <c r="V113" i="43"/>
  <c r="W115" i="43"/>
  <c r="W88" i="46"/>
  <c r="Q41" i="42"/>
  <c r="A50" i="44"/>
  <c r="T72" i="43"/>
  <c r="P72" i="43"/>
  <c r="L72" i="43"/>
  <c r="H72" i="43"/>
  <c r="D72" i="43"/>
  <c r="C72" i="43"/>
  <c r="G72" i="43" s="1"/>
  <c r="K72" i="43" s="1"/>
  <c r="B72" i="43"/>
  <c r="A72" i="43"/>
  <c r="D56" i="43"/>
  <c r="U331" i="4"/>
  <c r="U348" i="4" s="1"/>
  <c r="R331" i="4"/>
  <c r="O331" i="4"/>
  <c r="O348" i="4" s="1"/>
  <c r="L331" i="4"/>
  <c r="L348" i="4" s="1"/>
  <c r="I331" i="4"/>
  <c r="I348" i="4" s="1"/>
  <c r="U255" i="4"/>
  <c r="R255" i="4"/>
  <c r="O255" i="4"/>
  <c r="L255" i="4"/>
  <c r="I255" i="4"/>
  <c r="R69" i="4"/>
  <c r="R18" i="39" l="1"/>
  <c r="R17" i="39"/>
  <c r="V331" i="4"/>
  <c r="V348" i="4" s="1"/>
  <c r="R348" i="4"/>
  <c r="W113" i="43"/>
  <c r="U41" i="42"/>
  <c r="F72" i="43"/>
  <c r="V255" i="4"/>
  <c r="X255" i="4" s="1"/>
  <c r="O72" i="43"/>
  <c r="N72" i="43"/>
  <c r="J72" i="43"/>
  <c r="I69" i="4"/>
  <c r="U69" i="4"/>
  <c r="L69" i="4"/>
  <c r="O69" i="4"/>
  <c r="G220" i="42"/>
  <c r="K220" i="42" s="1"/>
  <c r="C112" i="43"/>
  <c r="G112" i="43" s="1"/>
  <c r="K112" i="43" s="1"/>
  <c r="O112" i="43" s="1"/>
  <c r="S112" i="43" s="1"/>
  <c r="T163" i="42"/>
  <c r="P163" i="42"/>
  <c r="L163" i="42"/>
  <c r="H163" i="42"/>
  <c r="D163" i="42"/>
  <c r="C163" i="42"/>
  <c r="G163" i="42" s="1"/>
  <c r="B163" i="42"/>
  <c r="A163" i="42"/>
  <c r="T152" i="42"/>
  <c r="P152" i="42"/>
  <c r="L152" i="42"/>
  <c r="H152" i="42"/>
  <c r="D152" i="42"/>
  <c r="C152" i="42"/>
  <c r="G152" i="42" s="1"/>
  <c r="B152" i="42"/>
  <c r="A152" i="42"/>
  <c r="G195" i="42"/>
  <c r="A187" i="42"/>
  <c r="T172" i="42"/>
  <c r="P172" i="42"/>
  <c r="L172" i="42"/>
  <c r="H172" i="42"/>
  <c r="D172" i="42"/>
  <c r="C172" i="42"/>
  <c r="B172" i="42"/>
  <c r="A172" i="42"/>
  <c r="A203" i="42"/>
  <c r="B203" i="42"/>
  <c r="C203" i="42"/>
  <c r="G203" i="42" s="1"/>
  <c r="K203" i="42" s="1"/>
  <c r="O203" i="42" s="1"/>
  <c r="S203" i="42" s="1"/>
  <c r="D203" i="42"/>
  <c r="H203" i="42"/>
  <c r="L203" i="42"/>
  <c r="P203" i="42"/>
  <c r="T203" i="42"/>
  <c r="A204" i="42"/>
  <c r="B204" i="42"/>
  <c r="C204" i="42"/>
  <c r="G204" i="42" s="1"/>
  <c r="K204" i="42" s="1"/>
  <c r="O204" i="42" s="1"/>
  <c r="S204" i="42" s="1"/>
  <c r="D204" i="42"/>
  <c r="H204" i="42"/>
  <c r="L204" i="42"/>
  <c r="P204" i="42"/>
  <c r="T204" i="42"/>
  <c r="A206" i="42"/>
  <c r="B206" i="42"/>
  <c r="C206" i="42"/>
  <c r="G206" i="42" s="1"/>
  <c r="K206" i="42" s="1"/>
  <c r="O206" i="42" s="1"/>
  <c r="S206" i="42" s="1"/>
  <c r="D206" i="42"/>
  <c r="H206" i="42"/>
  <c r="L206" i="42"/>
  <c r="P206" i="42"/>
  <c r="T206" i="42"/>
  <c r="A207" i="42"/>
  <c r="B207" i="42"/>
  <c r="C207" i="42"/>
  <c r="G207" i="42" s="1"/>
  <c r="K207" i="42" s="1"/>
  <c r="O207" i="42" s="1"/>
  <c r="S207" i="42" s="1"/>
  <c r="T171" i="42"/>
  <c r="P171" i="42"/>
  <c r="L171" i="42"/>
  <c r="H171" i="42"/>
  <c r="D171" i="42"/>
  <c r="C171" i="42"/>
  <c r="G171" i="42" s="1"/>
  <c r="K171" i="42" s="1"/>
  <c r="O171" i="42" s="1"/>
  <c r="S171" i="42" s="1"/>
  <c r="B171" i="42"/>
  <c r="A171" i="42"/>
  <c r="A138" i="42"/>
  <c r="B138" i="42"/>
  <c r="C138" i="42"/>
  <c r="G138" i="42" s="1"/>
  <c r="K138" i="42" s="1"/>
  <c r="O138" i="42" s="1"/>
  <c r="S138" i="42" s="1"/>
  <c r="D138" i="42"/>
  <c r="H138" i="42"/>
  <c r="L138" i="42"/>
  <c r="P138" i="42"/>
  <c r="T138" i="42"/>
  <c r="A139" i="42"/>
  <c r="B139" i="42"/>
  <c r="C139" i="42"/>
  <c r="G139" i="42" s="1"/>
  <c r="K139" i="42" s="1"/>
  <c r="O139" i="42" s="1"/>
  <c r="S139" i="42" s="1"/>
  <c r="D139" i="42"/>
  <c r="H139" i="42"/>
  <c r="L139" i="42"/>
  <c r="P139" i="42"/>
  <c r="T139" i="42"/>
  <c r="A140" i="42"/>
  <c r="B140" i="42"/>
  <c r="C140" i="42"/>
  <c r="G140" i="42" s="1"/>
  <c r="K140" i="42" s="1"/>
  <c r="O140" i="42" s="1"/>
  <c r="S140" i="42" s="1"/>
  <c r="D140" i="42"/>
  <c r="H140" i="42"/>
  <c r="L140" i="42"/>
  <c r="P140" i="42"/>
  <c r="T140" i="42"/>
  <c r="A143" i="42"/>
  <c r="B143" i="42"/>
  <c r="C143" i="42"/>
  <c r="G143" i="42" s="1"/>
  <c r="K143" i="42" s="1"/>
  <c r="O143" i="42" s="1"/>
  <c r="S143" i="42" s="1"/>
  <c r="D143" i="42"/>
  <c r="H143" i="42"/>
  <c r="L143" i="42"/>
  <c r="P143" i="42"/>
  <c r="T143" i="42"/>
  <c r="A144" i="42"/>
  <c r="B144" i="42"/>
  <c r="C144" i="42"/>
  <c r="G144" i="42" s="1"/>
  <c r="K144" i="42" s="1"/>
  <c r="O144" i="42" s="1"/>
  <c r="S144" i="42" s="1"/>
  <c r="D144" i="42"/>
  <c r="H144" i="42"/>
  <c r="L144" i="42"/>
  <c r="P144" i="42"/>
  <c r="T144" i="42"/>
  <c r="A145" i="42"/>
  <c r="B145" i="42"/>
  <c r="C145" i="42"/>
  <c r="G145" i="42" s="1"/>
  <c r="K145" i="42" s="1"/>
  <c r="O145" i="42" s="1"/>
  <c r="S145" i="42" s="1"/>
  <c r="D145" i="42"/>
  <c r="H145" i="42"/>
  <c r="L145" i="42"/>
  <c r="P145" i="42"/>
  <c r="T145" i="42"/>
  <c r="A146" i="42"/>
  <c r="B146" i="42"/>
  <c r="C146" i="42"/>
  <c r="G146" i="42" s="1"/>
  <c r="K146" i="42" s="1"/>
  <c r="O146" i="42" s="1"/>
  <c r="S146" i="42" s="1"/>
  <c r="D146" i="42"/>
  <c r="H146" i="42"/>
  <c r="L146" i="42"/>
  <c r="P146" i="42"/>
  <c r="T146" i="42"/>
  <c r="A147" i="42"/>
  <c r="B147" i="42"/>
  <c r="C147" i="42"/>
  <c r="G147" i="42" s="1"/>
  <c r="K147" i="42" s="1"/>
  <c r="O147" i="42" s="1"/>
  <c r="S147" i="42" s="1"/>
  <c r="D147" i="42"/>
  <c r="H147" i="42"/>
  <c r="L147" i="42"/>
  <c r="P147" i="42"/>
  <c r="T147" i="42"/>
  <c r="A148" i="42"/>
  <c r="B148" i="42"/>
  <c r="C148" i="42"/>
  <c r="G148" i="42" s="1"/>
  <c r="K148" i="42" s="1"/>
  <c r="O148" i="42" s="1"/>
  <c r="S148" i="42" s="1"/>
  <c r="D148" i="42"/>
  <c r="H148" i="42"/>
  <c r="L148" i="42"/>
  <c r="P148" i="42"/>
  <c r="T148" i="42"/>
  <c r="T137" i="42"/>
  <c r="P137" i="42"/>
  <c r="L137" i="42"/>
  <c r="H137" i="42"/>
  <c r="D137" i="42"/>
  <c r="C137" i="42"/>
  <c r="G137" i="42" s="1"/>
  <c r="K137" i="42" s="1"/>
  <c r="O137" i="42" s="1"/>
  <c r="S137" i="42" s="1"/>
  <c r="B137" i="42"/>
  <c r="A137" i="42"/>
  <c r="A133" i="42"/>
  <c r="T133" i="42"/>
  <c r="P133" i="42"/>
  <c r="L133" i="42"/>
  <c r="H133" i="42"/>
  <c r="D133" i="42"/>
  <c r="C133" i="42"/>
  <c r="G133" i="42" s="1"/>
  <c r="B133" i="42"/>
  <c r="A108" i="42"/>
  <c r="B108" i="42"/>
  <c r="C108" i="42"/>
  <c r="D108" i="42"/>
  <c r="H108" i="42"/>
  <c r="L108" i="42"/>
  <c r="P108" i="42"/>
  <c r="T108" i="42"/>
  <c r="T102" i="42"/>
  <c r="P102" i="42"/>
  <c r="L102" i="42"/>
  <c r="H102" i="42"/>
  <c r="D102" i="42"/>
  <c r="C102" i="42"/>
  <c r="G102" i="42" s="1"/>
  <c r="B102" i="42"/>
  <c r="A102" i="42"/>
  <c r="A116" i="42"/>
  <c r="A117" i="42"/>
  <c r="A118" i="42"/>
  <c r="B118" i="42"/>
  <c r="C118" i="42"/>
  <c r="D118" i="42"/>
  <c r="H118" i="42"/>
  <c r="L118" i="42"/>
  <c r="P118" i="42"/>
  <c r="T118" i="42"/>
  <c r="A119" i="42"/>
  <c r="B119" i="42"/>
  <c r="C119" i="42"/>
  <c r="D119" i="42"/>
  <c r="H119" i="42"/>
  <c r="L119" i="42"/>
  <c r="P119" i="42"/>
  <c r="T119" i="42"/>
  <c r="A120" i="42"/>
  <c r="B120" i="42"/>
  <c r="C120" i="42"/>
  <c r="D120" i="42"/>
  <c r="H120" i="42"/>
  <c r="L120" i="42"/>
  <c r="P120" i="42"/>
  <c r="T120" i="42"/>
  <c r="A121" i="42"/>
  <c r="B121" i="42"/>
  <c r="C121" i="42"/>
  <c r="D121" i="42"/>
  <c r="H121" i="42"/>
  <c r="L121" i="42"/>
  <c r="P121" i="42"/>
  <c r="T121" i="42"/>
  <c r="A123" i="42"/>
  <c r="A124" i="42"/>
  <c r="B124" i="42"/>
  <c r="C124" i="42"/>
  <c r="D124" i="42"/>
  <c r="H124" i="42"/>
  <c r="L124" i="42"/>
  <c r="P124" i="42"/>
  <c r="T124" i="42"/>
  <c r="A125" i="42"/>
  <c r="B125" i="42"/>
  <c r="C125" i="42"/>
  <c r="G125" i="42" s="1"/>
  <c r="D125" i="42"/>
  <c r="H125" i="42"/>
  <c r="L125" i="42"/>
  <c r="P125" i="42"/>
  <c r="T125" i="42"/>
  <c r="A126" i="42"/>
  <c r="B126" i="42"/>
  <c r="C126" i="42"/>
  <c r="D126" i="42"/>
  <c r="H126" i="42"/>
  <c r="L126" i="42"/>
  <c r="P126" i="42"/>
  <c r="T126" i="42"/>
  <c r="A127" i="42"/>
  <c r="A129" i="42"/>
  <c r="B129" i="42"/>
  <c r="C129" i="42"/>
  <c r="D129" i="42"/>
  <c r="H129" i="42"/>
  <c r="L129" i="42"/>
  <c r="P129" i="42"/>
  <c r="T129" i="42"/>
  <c r="T96" i="42"/>
  <c r="P96" i="42"/>
  <c r="L96" i="42"/>
  <c r="H96" i="42"/>
  <c r="D96" i="42"/>
  <c r="C96" i="42"/>
  <c r="G96" i="42" s="1"/>
  <c r="B96" i="42"/>
  <c r="A96" i="42"/>
  <c r="T95" i="42"/>
  <c r="P95" i="42"/>
  <c r="L95" i="42"/>
  <c r="B95" i="42"/>
  <c r="A95" i="42"/>
  <c r="P74" i="42"/>
  <c r="B74" i="42"/>
  <c r="C81" i="42"/>
  <c r="G81" i="42" s="1"/>
  <c r="K81" i="42" s="1"/>
  <c r="O81" i="42" s="1"/>
  <c r="S81" i="42" s="1"/>
  <c r="B81" i="42"/>
  <c r="A81" i="42"/>
  <c r="C80" i="42"/>
  <c r="G80" i="42" s="1"/>
  <c r="K80" i="42" s="1"/>
  <c r="O80" i="42" s="1"/>
  <c r="S80" i="42" s="1"/>
  <c r="B80" i="42"/>
  <c r="A80" i="42"/>
  <c r="C79" i="42"/>
  <c r="G79" i="42" s="1"/>
  <c r="K79" i="42" s="1"/>
  <c r="O79" i="42" s="1"/>
  <c r="S79" i="42" s="1"/>
  <c r="B79" i="42"/>
  <c r="A79" i="42"/>
  <c r="C78" i="42"/>
  <c r="G78" i="42" s="1"/>
  <c r="K78" i="42" s="1"/>
  <c r="O78" i="42" s="1"/>
  <c r="S78" i="42" s="1"/>
  <c r="B78" i="42"/>
  <c r="A78" i="42"/>
  <c r="C77" i="42"/>
  <c r="G77" i="42" s="1"/>
  <c r="K77" i="42" s="1"/>
  <c r="O77" i="42" s="1"/>
  <c r="S77" i="42" s="1"/>
  <c r="B77" i="42"/>
  <c r="A77" i="42"/>
  <c r="D59" i="42"/>
  <c r="C59" i="42"/>
  <c r="G59" i="42" s="1"/>
  <c r="K59" i="42" s="1"/>
  <c r="O59" i="42" s="1"/>
  <c r="S59" i="42" s="1"/>
  <c r="B59" i="42"/>
  <c r="A59" i="42"/>
  <c r="C58" i="42"/>
  <c r="G58" i="42" s="1"/>
  <c r="K58" i="42" s="1"/>
  <c r="O58" i="42" s="1"/>
  <c r="S58" i="42" s="1"/>
  <c r="B58" i="42"/>
  <c r="A58" i="42"/>
  <c r="C57" i="42"/>
  <c r="G57" i="42" s="1"/>
  <c r="K57" i="42" s="1"/>
  <c r="O57" i="42" s="1"/>
  <c r="S57" i="42" s="1"/>
  <c r="B57" i="42"/>
  <c r="A57" i="42"/>
  <c r="T51" i="42"/>
  <c r="P51" i="42"/>
  <c r="L51" i="42"/>
  <c r="H51" i="42"/>
  <c r="D51" i="42"/>
  <c r="C51" i="42"/>
  <c r="G51" i="42" s="1"/>
  <c r="K51" i="42" s="1"/>
  <c r="O51" i="42" s="1"/>
  <c r="S51" i="42" s="1"/>
  <c r="B51" i="42"/>
  <c r="A51" i="42"/>
  <c r="T50" i="42"/>
  <c r="P50" i="42"/>
  <c r="L50" i="42"/>
  <c r="H50" i="42"/>
  <c r="D50" i="42"/>
  <c r="C50" i="42"/>
  <c r="G50" i="42" s="1"/>
  <c r="K50" i="42" s="1"/>
  <c r="O50" i="42" s="1"/>
  <c r="S50" i="42" s="1"/>
  <c r="B50" i="42"/>
  <c r="A50" i="42"/>
  <c r="T81" i="46"/>
  <c r="P81" i="46"/>
  <c r="L81" i="46"/>
  <c r="H81" i="46"/>
  <c r="D81" i="46"/>
  <c r="C81" i="46"/>
  <c r="B81" i="46"/>
  <c r="A81" i="46"/>
  <c r="A68" i="45"/>
  <c r="B68" i="45"/>
  <c r="C68" i="45"/>
  <c r="D68" i="45"/>
  <c r="H68" i="45"/>
  <c r="L68" i="45"/>
  <c r="P68" i="45"/>
  <c r="T68" i="45"/>
  <c r="T53" i="4"/>
  <c r="T79" i="42" s="1"/>
  <c r="Q53" i="4"/>
  <c r="P79" i="42" s="1"/>
  <c r="N53" i="4"/>
  <c r="L79" i="42" s="1"/>
  <c r="K53" i="4"/>
  <c r="H79" i="42" s="1"/>
  <c r="G53" i="4"/>
  <c r="D79" i="42" s="1"/>
  <c r="W328" i="4"/>
  <c r="U325" i="4"/>
  <c r="R325" i="4"/>
  <c r="O325" i="4"/>
  <c r="L325" i="4"/>
  <c r="I325" i="4"/>
  <c r="I328" i="4" s="1"/>
  <c r="W252" i="4"/>
  <c r="W179" i="4"/>
  <c r="U178" i="4"/>
  <c r="R178" i="4"/>
  <c r="O178" i="4"/>
  <c r="L178" i="4"/>
  <c r="I178" i="4"/>
  <c r="U320" i="4"/>
  <c r="R320" i="4"/>
  <c r="O320" i="4"/>
  <c r="L320" i="4"/>
  <c r="I320" i="4"/>
  <c r="U319" i="4"/>
  <c r="R319" i="4"/>
  <c r="O319" i="4"/>
  <c r="L319" i="4"/>
  <c r="I319" i="4"/>
  <c r="W312" i="4"/>
  <c r="U171" i="4"/>
  <c r="R171" i="4"/>
  <c r="O171" i="4"/>
  <c r="L171" i="4"/>
  <c r="I171" i="4"/>
  <c r="U170" i="4"/>
  <c r="R170" i="4"/>
  <c r="O170" i="4"/>
  <c r="L170" i="4"/>
  <c r="I170" i="4"/>
  <c r="U322" i="4" l="1"/>
  <c r="I322" i="4"/>
  <c r="V320" i="4"/>
  <c r="V319" i="4"/>
  <c r="X319" i="4" s="1"/>
  <c r="V325" i="4"/>
  <c r="V328" i="4" s="1"/>
  <c r="L322" i="4"/>
  <c r="X331" i="4"/>
  <c r="X348" i="4" s="1"/>
  <c r="F68" i="45"/>
  <c r="S72" i="43"/>
  <c r="V72" i="43" s="1"/>
  <c r="R72" i="43"/>
  <c r="V69" i="4"/>
  <c r="X69" i="4" s="1"/>
  <c r="F95" i="42"/>
  <c r="U252" i="4"/>
  <c r="G68" i="45"/>
  <c r="K68" i="45" s="1"/>
  <c r="N68" i="45" s="1"/>
  <c r="F220" i="42"/>
  <c r="R144" i="42"/>
  <c r="O220" i="42"/>
  <c r="N220" i="42"/>
  <c r="J220" i="42"/>
  <c r="F163" i="42"/>
  <c r="K163" i="42"/>
  <c r="J163" i="42"/>
  <c r="K152" i="42"/>
  <c r="J152" i="42"/>
  <c r="F152" i="42"/>
  <c r="F172" i="42"/>
  <c r="F203" i="42"/>
  <c r="K195" i="42"/>
  <c r="J195" i="42"/>
  <c r="F195" i="42"/>
  <c r="G172" i="42"/>
  <c r="K172" i="42" s="1"/>
  <c r="O172" i="42" s="1"/>
  <c r="F187" i="42"/>
  <c r="G187" i="42"/>
  <c r="F108" i="42"/>
  <c r="J206" i="42"/>
  <c r="J204" i="42"/>
  <c r="F206" i="42"/>
  <c r="F204" i="42"/>
  <c r="J203" i="42"/>
  <c r="J147" i="42"/>
  <c r="F143" i="42"/>
  <c r="F138" i="42"/>
  <c r="F171" i="42"/>
  <c r="F148" i="42"/>
  <c r="J144" i="42"/>
  <c r="F147" i="42"/>
  <c r="F145" i="42"/>
  <c r="F144" i="42"/>
  <c r="F140" i="42"/>
  <c r="J139" i="42"/>
  <c r="J143" i="42"/>
  <c r="J145" i="42"/>
  <c r="F146" i="42"/>
  <c r="F139" i="42"/>
  <c r="J148" i="42"/>
  <c r="J140" i="42"/>
  <c r="J137" i="42"/>
  <c r="F137" i="42"/>
  <c r="F129" i="42"/>
  <c r="F124" i="42"/>
  <c r="F133" i="42"/>
  <c r="J133" i="42"/>
  <c r="K133" i="42"/>
  <c r="G124" i="42"/>
  <c r="K124" i="42" s="1"/>
  <c r="O124" i="42" s="1"/>
  <c r="G108" i="42"/>
  <c r="K102" i="42"/>
  <c r="J102" i="42"/>
  <c r="F102" i="42"/>
  <c r="F126" i="42"/>
  <c r="F120" i="42"/>
  <c r="F119" i="42"/>
  <c r="F118" i="42"/>
  <c r="G129" i="42"/>
  <c r="K129" i="42" s="1"/>
  <c r="O129" i="42" s="1"/>
  <c r="G119" i="42"/>
  <c r="F121" i="42"/>
  <c r="G120" i="42"/>
  <c r="K120" i="42" s="1"/>
  <c r="N120" i="42" s="1"/>
  <c r="F125" i="42"/>
  <c r="K125" i="42"/>
  <c r="J125" i="42"/>
  <c r="G126" i="42"/>
  <c r="G121" i="42"/>
  <c r="G118" i="42"/>
  <c r="K96" i="42"/>
  <c r="J96" i="42"/>
  <c r="F96" i="42"/>
  <c r="F51" i="42"/>
  <c r="J79" i="42"/>
  <c r="J50" i="42"/>
  <c r="N51" i="42"/>
  <c r="J51" i="42"/>
  <c r="F59" i="42"/>
  <c r="F79" i="42"/>
  <c r="F50" i="42"/>
  <c r="F81" i="46"/>
  <c r="G81" i="46"/>
  <c r="U328" i="4"/>
  <c r="L328" i="4"/>
  <c r="O328" i="4"/>
  <c r="R328" i="4"/>
  <c r="I252" i="4"/>
  <c r="R252" i="4"/>
  <c r="O252" i="4"/>
  <c r="L252" i="4"/>
  <c r="V178" i="4"/>
  <c r="X178" i="4" s="1"/>
  <c r="V171" i="4"/>
  <c r="X171" i="4" s="1"/>
  <c r="X320" i="4"/>
  <c r="V170" i="4"/>
  <c r="X170" i="4" s="1"/>
  <c r="T34" i="42"/>
  <c r="P34" i="42"/>
  <c r="L34" i="42"/>
  <c r="H34" i="42"/>
  <c r="D34" i="42"/>
  <c r="B34" i="42"/>
  <c r="A34" i="42"/>
  <c r="T33" i="42"/>
  <c r="P33" i="42"/>
  <c r="L33" i="42"/>
  <c r="H33" i="42"/>
  <c r="D33" i="42"/>
  <c r="B33" i="42"/>
  <c r="A33" i="42"/>
  <c r="V322" i="4" l="1"/>
  <c r="F168" i="42"/>
  <c r="F70" i="45"/>
  <c r="W72" i="43"/>
  <c r="O68" i="45"/>
  <c r="R68" i="45" s="1"/>
  <c r="J95" i="42"/>
  <c r="N144" i="42"/>
  <c r="F85" i="46"/>
  <c r="J68" i="45"/>
  <c r="J70" i="45" s="1"/>
  <c r="S220" i="42"/>
  <c r="V220" i="42" s="1"/>
  <c r="R220" i="42"/>
  <c r="N163" i="42"/>
  <c r="O163" i="42"/>
  <c r="O152" i="42"/>
  <c r="N152" i="42"/>
  <c r="O195" i="42"/>
  <c r="N195" i="42"/>
  <c r="J172" i="42"/>
  <c r="N172" i="42"/>
  <c r="J187" i="42"/>
  <c r="K187" i="42"/>
  <c r="S172" i="42"/>
  <c r="V172" i="42" s="1"/>
  <c r="R172" i="42"/>
  <c r="N204" i="42"/>
  <c r="V204" i="42"/>
  <c r="N203" i="42"/>
  <c r="N206" i="42"/>
  <c r="J171" i="42"/>
  <c r="F150" i="42"/>
  <c r="J138" i="42"/>
  <c r="N145" i="42"/>
  <c r="N143" i="42"/>
  <c r="V144" i="42"/>
  <c r="N139" i="42"/>
  <c r="N140" i="42"/>
  <c r="J146" i="42"/>
  <c r="N147" i="42"/>
  <c r="N148" i="42"/>
  <c r="N137" i="42"/>
  <c r="O120" i="42"/>
  <c r="S120" i="42" s="1"/>
  <c r="V120" i="42" s="1"/>
  <c r="N124" i="42"/>
  <c r="J124" i="42"/>
  <c r="O133" i="42"/>
  <c r="N133" i="42"/>
  <c r="J108" i="42"/>
  <c r="K108" i="42"/>
  <c r="N129" i="42"/>
  <c r="O102" i="42"/>
  <c r="N102" i="42"/>
  <c r="J129" i="42"/>
  <c r="K119" i="42"/>
  <c r="J119" i="42"/>
  <c r="J120" i="42"/>
  <c r="J118" i="42"/>
  <c r="K118" i="42"/>
  <c r="J121" i="42"/>
  <c r="K121" i="42"/>
  <c r="R129" i="42"/>
  <c r="S129" i="42"/>
  <c r="V129" i="42" s="1"/>
  <c r="J126" i="42"/>
  <c r="K126" i="42"/>
  <c r="N125" i="42"/>
  <c r="O125" i="42"/>
  <c r="R124" i="42"/>
  <c r="S124" i="42"/>
  <c r="V124" i="42" s="1"/>
  <c r="O96" i="42"/>
  <c r="N96" i="42"/>
  <c r="N79" i="42"/>
  <c r="R51" i="42"/>
  <c r="V51" i="42"/>
  <c r="N50" i="42"/>
  <c r="K81" i="46"/>
  <c r="J81" i="46"/>
  <c r="N70" i="45"/>
  <c r="X325" i="4"/>
  <c r="X328" i="4" s="1"/>
  <c r="X252" i="4"/>
  <c r="V252" i="4"/>
  <c r="K95" i="42" l="1"/>
  <c r="O95" i="42" s="1"/>
  <c r="S68" i="45"/>
  <c r="V68" i="45" s="1"/>
  <c r="W68" i="45" s="1"/>
  <c r="W144" i="42"/>
  <c r="J85" i="46"/>
  <c r="W220" i="42"/>
  <c r="J168" i="42"/>
  <c r="R163" i="42"/>
  <c r="S163" i="42"/>
  <c r="V163" i="42" s="1"/>
  <c r="S152" i="42"/>
  <c r="V152" i="42" s="1"/>
  <c r="R152" i="42"/>
  <c r="S195" i="42"/>
  <c r="V195" i="42" s="1"/>
  <c r="R195" i="42"/>
  <c r="N187" i="42"/>
  <c r="O187" i="42"/>
  <c r="W172" i="42"/>
  <c r="R204" i="42"/>
  <c r="W204" i="42" s="1"/>
  <c r="V206" i="42"/>
  <c r="R206" i="42"/>
  <c r="V203" i="42"/>
  <c r="R203" i="42"/>
  <c r="J150" i="42"/>
  <c r="N171" i="42"/>
  <c r="R143" i="42"/>
  <c r="V145" i="42"/>
  <c r="R120" i="42"/>
  <c r="W120" i="42" s="1"/>
  <c r="N138" i="42"/>
  <c r="R139" i="42"/>
  <c r="V139" i="42"/>
  <c r="V147" i="42"/>
  <c r="R147" i="42"/>
  <c r="R140" i="42"/>
  <c r="V140" i="42"/>
  <c r="N146" i="42"/>
  <c r="R148" i="42"/>
  <c r="V148" i="42"/>
  <c r="V137" i="42"/>
  <c r="R137" i="42"/>
  <c r="N135" i="42"/>
  <c r="S133" i="42"/>
  <c r="V133" i="42" s="1"/>
  <c r="R133" i="42"/>
  <c r="N108" i="42"/>
  <c r="O108" i="42"/>
  <c r="W129" i="42"/>
  <c r="S102" i="42"/>
  <c r="V102" i="42" s="1"/>
  <c r="R102" i="42"/>
  <c r="W124" i="42"/>
  <c r="N119" i="42"/>
  <c r="O119" i="42"/>
  <c r="N121" i="42"/>
  <c r="O121" i="42"/>
  <c r="S125" i="42"/>
  <c r="V125" i="42" s="1"/>
  <c r="R125" i="42"/>
  <c r="N118" i="42"/>
  <c r="O118" i="42"/>
  <c r="N126" i="42"/>
  <c r="O126" i="42"/>
  <c r="S96" i="42"/>
  <c r="V96" i="42" s="1"/>
  <c r="R96" i="42"/>
  <c r="W51" i="42"/>
  <c r="R50" i="42"/>
  <c r="V50" i="42"/>
  <c r="R79" i="42"/>
  <c r="V79" i="42"/>
  <c r="O81" i="46"/>
  <c r="N81" i="46"/>
  <c r="R70" i="45"/>
  <c r="P65" i="46"/>
  <c r="L65" i="46"/>
  <c r="H65" i="46"/>
  <c r="D65" i="46"/>
  <c r="B65" i="46"/>
  <c r="T55" i="46"/>
  <c r="P55" i="46"/>
  <c r="C55" i="46"/>
  <c r="G55" i="46" s="1"/>
  <c r="K55" i="46" s="1"/>
  <c r="O55" i="46" s="1"/>
  <c r="S55" i="46" s="1"/>
  <c r="B55" i="46"/>
  <c r="B75" i="42" s="1"/>
  <c r="A55" i="46"/>
  <c r="T50" i="46"/>
  <c r="P50" i="46"/>
  <c r="L50" i="46"/>
  <c r="H50" i="46"/>
  <c r="D50" i="46"/>
  <c r="C50" i="46"/>
  <c r="G50" i="46" s="1"/>
  <c r="K50" i="46" s="1"/>
  <c r="O50" i="46" s="1"/>
  <c r="S50" i="46" s="1"/>
  <c r="B50" i="46"/>
  <c r="A50" i="46"/>
  <c r="W38" i="46"/>
  <c r="V109" i="46"/>
  <c r="R109" i="46"/>
  <c r="N109" i="46"/>
  <c r="J109" i="46"/>
  <c r="F109" i="46"/>
  <c r="V65" i="45"/>
  <c r="R65" i="45"/>
  <c r="N65" i="45"/>
  <c r="J65" i="45"/>
  <c r="F65" i="45"/>
  <c r="C50" i="45"/>
  <c r="G50" i="45" s="1"/>
  <c r="K50" i="45" s="1"/>
  <c r="O50" i="45" s="1"/>
  <c r="S50" i="45" s="1"/>
  <c r="B50" i="45"/>
  <c r="A50" i="45"/>
  <c r="T48" i="45"/>
  <c r="P48" i="45"/>
  <c r="C48" i="45"/>
  <c r="G48" i="45" s="1"/>
  <c r="K48" i="45" s="1"/>
  <c r="O48" i="45" s="1"/>
  <c r="S48" i="45" s="1"/>
  <c r="B48" i="45"/>
  <c r="A48" i="45"/>
  <c r="B46" i="45"/>
  <c r="C46" i="45"/>
  <c r="G46" i="45" s="1"/>
  <c r="K46" i="45" s="1"/>
  <c r="O46" i="45" s="1"/>
  <c r="S46" i="45" s="1"/>
  <c r="D46" i="45"/>
  <c r="H46" i="45"/>
  <c r="L46" i="45"/>
  <c r="P46" i="45"/>
  <c r="T46" i="45"/>
  <c r="T44" i="45"/>
  <c r="P44" i="45"/>
  <c r="L44" i="45"/>
  <c r="H44" i="45"/>
  <c r="D44" i="45"/>
  <c r="C44" i="45"/>
  <c r="G44" i="45" s="1"/>
  <c r="K44" i="45" s="1"/>
  <c r="O44" i="45" s="1"/>
  <c r="S44" i="45" s="1"/>
  <c r="B44" i="45"/>
  <c r="A44" i="45"/>
  <c r="R49" i="45"/>
  <c r="N49" i="45"/>
  <c r="J49" i="45"/>
  <c r="F49" i="45"/>
  <c r="G73" i="45"/>
  <c r="W38" i="45"/>
  <c r="V89" i="45"/>
  <c r="R89" i="45"/>
  <c r="N89" i="45"/>
  <c r="J89" i="45"/>
  <c r="F89" i="45"/>
  <c r="T67" i="43"/>
  <c r="P67" i="43"/>
  <c r="L67" i="43"/>
  <c r="H67" i="43"/>
  <c r="D67" i="43"/>
  <c r="C67" i="43"/>
  <c r="G67" i="43" s="1"/>
  <c r="K67" i="43" s="1"/>
  <c r="B67" i="43"/>
  <c r="A67" i="43"/>
  <c r="T66" i="43"/>
  <c r="P66" i="43"/>
  <c r="L66" i="43"/>
  <c r="B66" i="43"/>
  <c r="A66" i="43"/>
  <c r="W86" i="4"/>
  <c r="U64" i="4"/>
  <c r="R64" i="4"/>
  <c r="O64" i="4"/>
  <c r="L64" i="4"/>
  <c r="I64" i="4"/>
  <c r="U63" i="4"/>
  <c r="R63" i="4"/>
  <c r="O63" i="4"/>
  <c r="C53" i="44"/>
  <c r="G53" i="44" s="1"/>
  <c r="K53" i="44" s="1"/>
  <c r="O53" i="44" s="1"/>
  <c r="S53" i="44" s="1"/>
  <c r="B53" i="44"/>
  <c r="A53" i="44"/>
  <c r="T50" i="44"/>
  <c r="P50" i="44"/>
  <c r="C50" i="44"/>
  <c r="G50" i="44" s="1"/>
  <c r="K50" i="44" s="1"/>
  <c r="O50" i="44" s="1"/>
  <c r="S50" i="44" s="1"/>
  <c r="B50" i="44"/>
  <c r="T48" i="44"/>
  <c r="P48" i="44"/>
  <c r="L48" i="44"/>
  <c r="H48" i="44"/>
  <c r="D48" i="44"/>
  <c r="C48" i="44"/>
  <c r="G48" i="44" s="1"/>
  <c r="K48" i="44" s="1"/>
  <c r="O48" i="44" s="1"/>
  <c r="S48" i="44" s="1"/>
  <c r="B48" i="44"/>
  <c r="A48" i="44"/>
  <c r="T46" i="44"/>
  <c r="P46" i="44"/>
  <c r="L46" i="44"/>
  <c r="H46" i="44"/>
  <c r="D46" i="44"/>
  <c r="C46" i="44"/>
  <c r="G46" i="44" s="1"/>
  <c r="K46" i="44" s="1"/>
  <c r="O46" i="44" s="1"/>
  <c r="S46" i="44" s="1"/>
  <c r="B46" i="44"/>
  <c r="A46" i="44"/>
  <c r="T81" i="44"/>
  <c r="P81" i="44"/>
  <c r="L81" i="44"/>
  <c r="H81" i="44"/>
  <c r="D81" i="44"/>
  <c r="C81" i="44"/>
  <c r="B81" i="44"/>
  <c r="A81" i="44"/>
  <c r="U363" i="4"/>
  <c r="R363" i="4"/>
  <c r="O363" i="4"/>
  <c r="L363" i="4"/>
  <c r="I363" i="4"/>
  <c r="T73" i="44"/>
  <c r="P73" i="44"/>
  <c r="L73" i="44"/>
  <c r="H73" i="44"/>
  <c r="D73" i="44"/>
  <c r="C73" i="44"/>
  <c r="G73" i="44" s="1"/>
  <c r="K73" i="44" s="1"/>
  <c r="O73" i="44" s="1"/>
  <c r="S73" i="44" s="1"/>
  <c r="B73" i="44"/>
  <c r="A73" i="44"/>
  <c r="U198" i="4"/>
  <c r="R198" i="4"/>
  <c r="O198" i="4"/>
  <c r="L198" i="4"/>
  <c r="I198" i="4"/>
  <c r="U197" i="4"/>
  <c r="R197" i="4"/>
  <c r="O197" i="4"/>
  <c r="L197" i="4"/>
  <c r="I197" i="4"/>
  <c r="T58" i="44"/>
  <c r="P58" i="44"/>
  <c r="L58" i="44"/>
  <c r="H58" i="44"/>
  <c r="D58" i="44"/>
  <c r="C58" i="44"/>
  <c r="G58" i="44" s="1"/>
  <c r="B58" i="44"/>
  <c r="A58" i="44"/>
  <c r="I203" i="4" l="1"/>
  <c r="U203" i="4"/>
  <c r="L203" i="4"/>
  <c r="R203" i="4"/>
  <c r="O203" i="4"/>
  <c r="C75" i="42"/>
  <c r="G75" i="42" s="1"/>
  <c r="K75" i="42" s="1"/>
  <c r="O75" i="42" s="1"/>
  <c r="S75" i="42" s="1"/>
  <c r="V363" i="4"/>
  <c r="X363" i="4" s="1"/>
  <c r="H157" i="4"/>
  <c r="H304" i="4"/>
  <c r="H233" i="4"/>
  <c r="W102" i="42"/>
  <c r="V70" i="45"/>
  <c r="N95" i="42"/>
  <c r="N85" i="46"/>
  <c r="N168" i="42"/>
  <c r="W152" i="42"/>
  <c r="W163" i="42"/>
  <c r="W195" i="42"/>
  <c r="W206" i="42"/>
  <c r="R187" i="42"/>
  <c r="S187" i="42"/>
  <c r="V187" i="42" s="1"/>
  <c r="R145" i="42"/>
  <c r="W145" i="42" s="1"/>
  <c r="V143" i="42"/>
  <c r="W143" i="42" s="1"/>
  <c r="W203" i="42"/>
  <c r="N150" i="42"/>
  <c r="R171" i="42"/>
  <c r="V171" i="42"/>
  <c r="W139" i="42"/>
  <c r="W147" i="42"/>
  <c r="W148" i="42"/>
  <c r="W140" i="42"/>
  <c r="V138" i="42"/>
  <c r="R138" i="42"/>
  <c r="R146" i="42"/>
  <c r="V146" i="42"/>
  <c r="W137" i="42"/>
  <c r="W133" i="42"/>
  <c r="S108" i="42"/>
  <c r="V108" i="42" s="1"/>
  <c r="R108" i="42"/>
  <c r="W125" i="42"/>
  <c r="R119" i="42"/>
  <c r="S119" i="42"/>
  <c r="V119" i="42" s="1"/>
  <c r="R121" i="42"/>
  <c r="S121" i="42"/>
  <c r="V121" i="42" s="1"/>
  <c r="S118" i="42"/>
  <c r="V118" i="42" s="1"/>
  <c r="R118" i="42"/>
  <c r="S126" i="42"/>
  <c r="V126" i="42" s="1"/>
  <c r="R126" i="42"/>
  <c r="W96" i="42"/>
  <c r="R95" i="42"/>
  <c r="S95" i="42"/>
  <c r="V95" i="42" s="1"/>
  <c r="W79" i="42"/>
  <c r="W50" i="42"/>
  <c r="R81" i="46"/>
  <c r="S81" i="46"/>
  <c r="V81" i="46" s="1"/>
  <c r="W70" i="45"/>
  <c r="V64" i="4"/>
  <c r="X64" i="4" s="1"/>
  <c r="F67" i="43"/>
  <c r="V63" i="4"/>
  <c r="F60" i="46"/>
  <c r="J65" i="46"/>
  <c r="J73" i="46" s="1"/>
  <c r="F65" i="46"/>
  <c r="F73" i="46" s="1"/>
  <c r="F50" i="46"/>
  <c r="N50" i="46"/>
  <c r="J50" i="46"/>
  <c r="W109" i="46"/>
  <c r="F46" i="45"/>
  <c r="W65" i="45"/>
  <c r="N46" i="45"/>
  <c r="F44" i="45"/>
  <c r="N44" i="45"/>
  <c r="J44" i="45"/>
  <c r="K73" i="45"/>
  <c r="J73" i="45"/>
  <c r="J84" i="45" s="1"/>
  <c r="F73" i="45"/>
  <c r="F84" i="45" s="1"/>
  <c r="W89" i="45"/>
  <c r="J66" i="43"/>
  <c r="K66" i="43"/>
  <c r="O66" i="43" s="1"/>
  <c r="S66" i="43" s="1"/>
  <c r="V66" i="43" s="1"/>
  <c r="O67" i="43"/>
  <c r="N67" i="43"/>
  <c r="J67" i="43"/>
  <c r="J48" i="44"/>
  <c r="F48" i="44"/>
  <c r="J46" i="44"/>
  <c r="F46" i="44"/>
  <c r="R46" i="44"/>
  <c r="F81" i="44"/>
  <c r="F88" i="44" s="1"/>
  <c r="G81" i="44"/>
  <c r="K81" i="44" s="1"/>
  <c r="O81" i="44" s="1"/>
  <c r="V198" i="4"/>
  <c r="X198" i="4" s="1"/>
  <c r="V197" i="4"/>
  <c r="J73" i="44"/>
  <c r="J76" i="44" s="1"/>
  <c r="F73" i="44"/>
  <c r="F76" i="44" s="1"/>
  <c r="J58" i="44"/>
  <c r="J65" i="44" s="1"/>
  <c r="K58" i="44"/>
  <c r="F58" i="44"/>
  <c r="F65" i="44" s="1"/>
  <c r="V136" i="43"/>
  <c r="R136" i="43"/>
  <c r="N136" i="43"/>
  <c r="J136" i="43"/>
  <c r="F136" i="43"/>
  <c r="U131" i="4"/>
  <c r="R131" i="4"/>
  <c r="O131" i="4"/>
  <c r="L131" i="4"/>
  <c r="A128" i="43"/>
  <c r="B128" i="43"/>
  <c r="C128" i="43"/>
  <c r="G128" i="43" s="1"/>
  <c r="K128" i="43" s="1"/>
  <c r="O128" i="43" s="1"/>
  <c r="S128" i="43" s="1"/>
  <c r="A126" i="43"/>
  <c r="A127" i="43"/>
  <c r="B127" i="43"/>
  <c r="C127" i="43"/>
  <c r="G127" i="43" s="1"/>
  <c r="K127" i="43" s="1"/>
  <c r="O127" i="43" s="1"/>
  <c r="S127" i="43" s="1"/>
  <c r="D127" i="43"/>
  <c r="H127" i="43"/>
  <c r="L127" i="43"/>
  <c r="P127" i="43"/>
  <c r="T127" i="43"/>
  <c r="B122" i="43"/>
  <c r="C122" i="43"/>
  <c r="G122" i="43" s="1"/>
  <c r="K122" i="43" s="1"/>
  <c r="O122" i="43" s="1"/>
  <c r="S122" i="43" s="1"/>
  <c r="D122" i="43"/>
  <c r="H122" i="43"/>
  <c r="L122" i="43"/>
  <c r="P122" i="43"/>
  <c r="T122" i="43"/>
  <c r="B124" i="43"/>
  <c r="C124" i="43"/>
  <c r="G124" i="43" s="1"/>
  <c r="K124" i="43" s="1"/>
  <c r="O124" i="43" s="1"/>
  <c r="S124" i="43" s="1"/>
  <c r="D124" i="43"/>
  <c r="H124" i="43"/>
  <c r="L124" i="43"/>
  <c r="P124" i="43"/>
  <c r="T124" i="43"/>
  <c r="A122" i="43"/>
  <c r="A124" i="43"/>
  <c r="A108" i="43"/>
  <c r="B108" i="43"/>
  <c r="D108" i="43"/>
  <c r="H108" i="43"/>
  <c r="L108" i="43"/>
  <c r="P108" i="43"/>
  <c r="T108" i="43"/>
  <c r="A110" i="43"/>
  <c r="B110" i="43"/>
  <c r="C110" i="43"/>
  <c r="G110" i="43" s="1"/>
  <c r="K110" i="43" s="1"/>
  <c r="O110" i="43" s="1"/>
  <c r="S110" i="43" s="1"/>
  <c r="D110" i="43"/>
  <c r="H110" i="43"/>
  <c r="L110" i="43"/>
  <c r="P110" i="43"/>
  <c r="T110" i="43"/>
  <c r="A112" i="43"/>
  <c r="B112" i="43"/>
  <c r="D112" i="43"/>
  <c r="H112" i="43"/>
  <c r="L112" i="43"/>
  <c r="P112" i="43"/>
  <c r="T112" i="43"/>
  <c r="B99" i="43"/>
  <c r="C99" i="43"/>
  <c r="G99" i="43" s="1"/>
  <c r="K99" i="43" s="1"/>
  <c r="O99" i="43" s="1"/>
  <c r="S99" i="43" s="1"/>
  <c r="D99" i="43"/>
  <c r="H99" i="43"/>
  <c r="L99" i="43"/>
  <c r="P99" i="43"/>
  <c r="T99" i="43"/>
  <c r="B100" i="43"/>
  <c r="C100" i="43"/>
  <c r="G100" i="43" s="1"/>
  <c r="K100" i="43" s="1"/>
  <c r="O100" i="43" s="1"/>
  <c r="S100" i="43" s="1"/>
  <c r="D100" i="43"/>
  <c r="H100" i="43"/>
  <c r="L100" i="43"/>
  <c r="P100" i="43"/>
  <c r="T100" i="43"/>
  <c r="B101" i="43"/>
  <c r="C101" i="43"/>
  <c r="G101" i="43" s="1"/>
  <c r="K101" i="43" s="1"/>
  <c r="O101" i="43" s="1"/>
  <c r="S101" i="43" s="1"/>
  <c r="D101" i="43"/>
  <c r="H101" i="43"/>
  <c r="L101" i="43"/>
  <c r="P101" i="43"/>
  <c r="T101" i="43"/>
  <c r="B102" i="43"/>
  <c r="C102" i="43"/>
  <c r="G102" i="43" s="1"/>
  <c r="K102" i="43" s="1"/>
  <c r="O102" i="43" s="1"/>
  <c r="S102" i="43" s="1"/>
  <c r="D102" i="43"/>
  <c r="H102" i="43"/>
  <c r="L102" i="43"/>
  <c r="P102" i="43"/>
  <c r="T102" i="43"/>
  <c r="B103" i="43"/>
  <c r="C103" i="43"/>
  <c r="G103" i="43" s="1"/>
  <c r="K103" i="43" s="1"/>
  <c r="O103" i="43" s="1"/>
  <c r="S103" i="43" s="1"/>
  <c r="D103" i="43"/>
  <c r="H103" i="43"/>
  <c r="L103" i="43"/>
  <c r="P103" i="43"/>
  <c r="T103" i="43"/>
  <c r="B104" i="43"/>
  <c r="C104" i="43"/>
  <c r="G104" i="43" s="1"/>
  <c r="K104" i="43" s="1"/>
  <c r="O104" i="43" s="1"/>
  <c r="S104" i="43" s="1"/>
  <c r="D104" i="43"/>
  <c r="H104" i="43"/>
  <c r="L104" i="43"/>
  <c r="P104" i="43"/>
  <c r="T104" i="43"/>
  <c r="A99" i="43"/>
  <c r="A100" i="43"/>
  <c r="A101" i="43"/>
  <c r="A102" i="43"/>
  <c r="A103" i="43"/>
  <c r="A104" i="43"/>
  <c r="A94" i="43"/>
  <c r="A95" i="43"/>
  <c r="A96" i="43"/>
  <c r="B96" i="43"/>
  <c r="C96" i="43"/>
  <c r="G96" i="43" s="1"/>
  <c r="K96" i="43" s="1"/>
  <c r="O96" i="43" s="1"/>
  <c r="S96" i="43" s="1"/>
  <c r="D96" i="43"/>
  <c r="H96" i="43"/>
  <c r="L96" i="43"/>
  <c r="P96" i="43"/>
  <c r="T96" i="43"/>
  <c r="B94" i="43"/>
  <c r="C94" i="43"/>
  <c r="G94" i="43" s="1"/>
  <c r="K94" i="43" s="1"/>
  <c r="O94" i="43" s="1"/>
  <c r="S94" i="43" s="1"/>
  <c r="D94" i="43"/>
  <c r="H94" i="43"/>
  <c r="L94" i="43"/>
  <c r="P94" i="43"/>
  <c r="T94" i="43"/>
  <c r="B95" i="43"/>
  <c r="C95" i="43"/>
  <c r="G95" i="43" s="1"/>
  <c r="K95" i="43" s="1"/>
  <c r="O95" i="43" s="1"/>
  <c r="S95" i="43" s="1"/>
  <c r="D95" i="43"/>
  <c r="H95" i="43"/>
  <c r="L95" i="43"/>
  <c r="P95" i="43"/>
  <c r="T95" i="43"/>
  <c r="T93" i="43"/>
  <c r="P93" i="43"/>
  <c r="L93" i="43"/>
  <c r="H93" i="43"/>
  <c r="D93" i="43"/>
  <c r="C93" i="43"/>
  <c r="G93" i="43" s="1"/>
  <c r="K93" i="43" s="1"/>
  <c r="O93" i="43" s="1"/>
  <c r="S93" i="43" s="1"/>
  <c r="B93" i="43"/>
  <c r="A93" i="43"/>
  <c r="T89" i="43"/>
  <c r="P89" i="43"/>
  <c r="L89" i="43"/>
  <c r="H89" i="43"/>
  <c r="D89" i="43"/>
  <c r="C89" i="43"/>
  <c r="G89" i="43" s="1"/>
  <c r="B89" i="43"/>
  <c r="A89" i="43"/>
  <c r="T85" i="43"/>
  <c r="P85" i="43"/>
  <c r="L85" i="43"/>
  <c r="H85" i="43"/>
  <c r="D85" i="43"/>
  <c r="C85" i="43"/>
  <c r="G85" i="43" s="1"/>
  <c r="B85" i="43"/>
  <c r="A85" i="43"/>
  <c r="A83" i="43"/>
  <c r="T82" i="43"/>
  <c r="P82" i="43"/>
  <c r="L82" i="43"/>
  <c r="H82" i="43"/>
  <c r="D82" i="43"/>
  <c r="C82" i="43"/>
  <c r="G82" i="43" s="1"/>
  <c r="B82" i="43"/>
  <c r="A82" i="43"/>
  <c r="T81" i="43"/>
  <c r="P81" i="43"/>
  <c r="L81" i="43"/>
  <c r="H81" i="43"/>
  <c r="D81" i="43"/>
  <c r="C81" i="43"/>
  <c r="G81" i="43" s="1"/>
  <c r="B81" i="43"/>
  <c r="A81" i="43"/>
  <c r="T80" i="43"/>
  <c r="P80" i="43"/>
  <c r="L80" i="43"/>
  <c r="H80" i="43"/>
  <c r="D80" i="43"/>
  <c r="C80" i="43"/>
  <c r="G80" i="43" s="1"/>
  <c r="B80" i="43"/>
  <c r="A80" i="43"/>
  <c r="A79" i="43"/>
  <c r="T74" i="43"/>
  <c r="P74" i="43"/>
  <c r="L74" i="43"/>
  <c r="H74" i="43"/>
  <c r="D74" i="43"/>
  <c r="C74" i="43"/>
  <c r="G74" i="43" s="1"/>
  <c r="K74" i="43" s="1"/>
  <c r="B74" i="43"/>
  <c r="A74" i="43"/>
  <c r="A73" i="43"/>
  <c r="B69" i="43"/>
  <c r="C69" i="43"/>
  <c r="D69" i="43"/>
  <c r="H69" i="43"/>
  <c r="L69" i="43"/>
  <c r="P69" i="43"/>
  <c r="T69" i="43"/>
  <c r="B70" i="43"/>
  <c r="C70" i="43"/>
  <c r="D70" i="43"/>
  <c r="H70" i="43"/>
  <c r="L70" i="43"/>
  <c r="P70" i="43"/>
  <c r="T70" i="43"/>
  <c r="B71" i="43"/>
  <c r="C71" i="43"/>
  <c r="D71" i="43"/>
  <c r="H71" i="43"/>
  <c r="L71" i="43"/>
  <c r="P71" i="43"/>
  <c r="T71" i="43"/>
  <c r="C68" i="43"/>
  <c r="G68" i="43" s="1"/>
  <c r="K68" i="43" s="1"/>
  <c r="O68" i="43" s="1"/>
  <c r="S68" i="43" s="1"/>
  <c r="A69" i="43"/>
  <c r="A70" i="43"/>
  <c r="A71" i="43"/>
  <c r="A68" i="43"/>
  <c r="T68" i="43"/>
  <c r="P68" i="43"/>
  <c r="L68" i="43"/>
  <c r="H68" i="43"/>
  <c r="D68" i="43"/>
  <c r="B68" i="43"/>
  <c r="U57" i="4"/>
  <c r="U52" i="4"/>
  <c r="U47" i="4"/>
  <c r="R57" i="4"/>
  <c r="R52" i="4"/>
  <c r="R47" i="4"/>
  <c r="O57" i="4"/>
  <c r="O52" i="4"/>
  <c r="O47" i="4"/>
  <c r="L57" i="4"/>
  <c r="L52" i="4"/>
  <c r="L47" i="4"/>
  <c r="T56" i="43"/>
  <c r="P56" i="43"/>
  <c r="L56" i="43"/>
  <c r="H56" i="43"/>
  <c r="C56" i="43"/>
  <c r="G56" i="43" s="1"/>
  <c r="K56" i="43" s="1"/>
  <c r="O56" i="43" s="1"/>
  <c r="S56" i="43" s="1"/>
  <c r="B56" i="43"/>
  <c r="A56" i="43"/>
  <c r="C62" i="43"/>
  <c r="G62" i="43" s="1"/>
  <c r="K62" i="43" s="1"/>
  <c r="O62" i="43" s="1"/>
  <c r="S62" i="43" s="1"/>
  <c r="B62" i="43"/>
  <c r="A62" i="43"/>
  <c r="C61" i="43"/>
  <c r="G61" i="43" s="1"/>
  <c r="K61" i="43" s="1"/>
  <c r="O61" i="43" s="1"/>
  <c r="S61" i="43" s="1"/>
  <c r="B61" i="43"/>
  <c r="A61" i="43"/>
  <c r="C60" i="43"/>
  <c r="G60" i="43" s="1"/>
  <c r="K60" i="43" s="1"/>
  <c r="O60" i="43" s="1"/>
  <c r="S60" i="43" s="1"/>
  <c r="B60" i="43"/>
  <c r="A60" i="43"/>
  <c r="C53" i="43"/>
  <c r="G53" i="43" s="1"/>
  <c r="K53" i="43" s="1"/>
  <c r="O53" i="43" s="1"/>
  <c r="S53" i="43" s="1"/>
  <c r="A53" i="43"/>
  <c r="B53" i="43"/>
  <c r="C54" i="43"/>
  <c r="G54" i="43" s="1"/>
  <c r="K54" i="43" s="1"/>
  <c r="O54" i="43" s="1"/>
  <c r="S54" i="43" s="1"/>
  <c r="B54" i="43"/>
  <c r="A54" i="43"/>
  <c r="C59" i="43"/>
  <c r="G59" i="43" s="1"/>
  <c r="K59" i="43" s="1"/>
  <c r="O59" i="43" s="1"/>
  <c r="S59" i="43" s="1"/>
  <c r="B59" i="43"/>
  <c r="A59" i="43"/>
  <c r="C58" i="43"/>
  <c r="G58" i="43" s="1"/>
  <c r="K58" i="43" s="1"/>
  <c r="O58" i="43" s="1"/>
  <c r="S58" i="43" s="1"/>
  <c r="B58" i="43"/>
  <c r="A58" i="43"/>
  <c r="C52" i="43"/>
  <c r="G52" i="43" s="1"/>
  <c r="K52" i="43" s="1"/>
  <c r="O52" i="43" s="1"/>
  <c r="S52" i="43" s="1"/>
  <c r="B52" i="43"/>
  <c r="A52" i="43"/>
  <c r="A50" i="43"/>
  <c r="T50" i="43"/>
  <c r="P50" i="43"/>
  <c r="L50" i="43"/>
  <c r="H50" i="43"/>
  <c r="D50" i="43"/>
  <c r="C50" i="43"/>
  <c r="G50" i="43" s="1"/>
  <c r="K50" i="43" s="1"/>
  <c r="O50" i="43" s="1"/>
  <c r="S50" i="43" s="1"/>
  <c r="B50" i="43"/>
  <c r="N48" i="4"/>
  <c r="T49" i="43"/>
  <c r="P49" i="43"/>
  <c r="L49" i="43"/>
  <c r="H49" i="43"/>
  <c r="D49" i="43"/>
  <c r="C49" i="43"/>
  <c r="G49" i="43" s="1"/>
  <c r="K49" i="43" s="1"/>
  <c r="O49" i="43" s="1"/>
  <c r="S49" i="43" s="1"/>
  <c r="B49" i="43"/>
  <c r="A49" i="43"/>
  <c r="W241" i="4"/>
  <c r="W165" i="4"/>
  <c r="E41" i="43"/>
  <c r="I41" i="43" s="1"/>
  <c r="M41" i="43" s="1"/>
  <c r="Q41" i="43" s="1"/>
  <c r="U41" i="43" s="1"/>
  <c r="E40" i="43"/>
  <c r="I40" i="43" s="1"/>
  <c r="M40" i="43" s="1"/>
  <c r="Q40" i="43" s="1"/>
  <c r="U40" i="43" s="1"/>
  <c r="B40" i="43"/>
  <c r="B41" i="43"/>
  <c r="T34" i="43"/>
  <c r="T33" i="43"/>
  <c r="P34" i="43"/>
  <c r="P33" i="43"/>
  <c r="L34" i="43"/>
  <c r="L33" i="43"/>
  <c r="H34" i="43"/>
  <c r="H33" i="43"/>
  <c r="D34" i="43"/>
  <c r="D33" i="43"/>
  <c r="B34" i="43"/>
  <c r="B33" i="43"/>
  <c r="A34" i="43"/>
  <c r="A33" i="43"/>
  <c r="V203" i="4" l="1"/>
  <c r="C74" i="42"/>
  <c r="G74" i="42" s="1"/>
  <c r="K74" i="42" s="1"/>
  <c r="O74" i="42" s="1"/>
  <c r="S74" i="42" s="1"/>
  <c r="F75" i="42"/>
  <c r="O233" i="4"/>
  <c r="I233" i="4"/>
  <c r="L233" i="4"/>
  <c r="U233" i="4"/>
  <c r="R233" i="4"/>
  <c r="I304" i="4"/>
  <c r="O304" i="4"/>
  <c r="L304" i="4"/>
  <c r="U304" i="4"/>
  <c r="R304" i="4"/>
  <c r="O157" i="4"/>
  <c r="R157" i="4"/>
  <c r="U157" i="4"/>
  <c r="I157" i="4"/>
  <c r="L157" i="4"/>
  <c r="F104" i="46"/>
  <c r="F60" i="45"/>
  <c r="G71" i="43"/>
  <c r="K71" i="43" s="1"/>
  <c r="V85" i="46"/>
  <c r="R85" i="46"/>
  <c r="L58" i="43"/>
  <c r="L77" i="42"/>
  <c r="N77" i="42" s="1"/>
  <c r="V168" i="42"/>
  <c r="R168" i="42"/>
  <c r="W187" i="42"/>
  <c r="R150" i="42"/>
  <c r="V150" i="42"/>
  <c r="W171" i="42"/>
  <c r="W138" i="42"/>
  <c r="W146" i="42"/>
  <c r="W108" i="42"/>
  <c r="W118" i="42"/>
  <c r="W126" i="42"/>
  <c r="W121" i="42"/>
  <c r="W119" i="42"/>
  <c r="W95" i="42"/>
  <c r="W81" i="46"/>
  <c r="X63" i="4"/>
  <c r="N65" i="46"/>
  <c r="N73" i="46" s="1"/>
  <c r="R50" i="46"/>
  <c r="V50" i="46"/>
  <c r="J46" i="45"/>
  <c r="R46" i="45"/>
  <c r="R44" i="45"/>
  <c r="V44" i="45"/>
  <c r="O73" i="45"/>
  <c r="N73" i="45"/>
  <c r="N84" i="45" s="1"/>
  <c r="J60" i="45"/>
  <c r="N66" i="43"/>
  <c r="R66" i="43"/>
  <c r="S67" i="43"/>
  <c r="V67" i="43" s="1"/>
  <c r="R67" i="43"/>
  <c r="N48" i="44"/>
  <c r="N46" i="44"/>
  <c r="V46" i="44"/>
  <c r="N81" i="44"/>
  <c r="N88" i="44" s="1"/>
  <c r="J81" i="44"/>
  <c r="J88" i="44" s="1"/>
  <c r="R81" i="44"/>
  <c r="R88" i="44" s="1"/>
  <c r="S81" i="44"/>
  <c r="V81" i="44" s="1"/>
  <c r="V88" i="44" s="1"/>
  <c r="X197" i="4"/>
  <c r="X203" i="4" s="1"/>
  <c r="O48" i="4"/>
  <c r="N73" i="44"/>
  <c r="N76" i="44" s="1"/>
  <c r="N58" i="44"/>
  <c r="N65" i="44" s="1"/>
  <c r="O58" i="44"/>
  <c r="W136" i="43"/>
  <c r="F124" i="43"/>
  <c r="J124" i="43"/>
  <c r="J127" i="43"/>
  <c r="J122" i="43"/>
  <c r="N122" i="43"/>
  <c r="F122" i="43"/>
  <c r="F127" i="43"/>
  <c r="F110" i="43"/>
  <c r="J110" i="43"/>
  <c r="F112" i="43"/>
  <c r="F99" i="43"/>
  <c r="F103" i="43"/>
  <c r="F101" i="43"/>
  <c r="J94" i="43"/>
  <c r="F102" i="43"/>
  <c r="J101" i="43"/>
  <c r="F100" i="43"/>
  <c r="F94" i="43"/>
  <c r="F104" i="43"/>
  <c r="J102" i="43"/>
  <c r="J100" i="43"/>
  <c r="N99" i="43"/>
  <c r="J99" i="43"/>
  <c r="F95" i="43"/>
  <c r="J95" i="43"/>
  <c r="F96" i="43"/>
  <c r="N94" i="43"/>
  <c r="J93" i="43"/>
  <c r="F93" i="43"/>
  <c r="F89" i="43"/>
  <c r="F74" i="43"/>
  <c r="F82" i="43"/>
  <c r="F70" i="43"/>
  <c r="K85" i="43"/>
  <c r="J85" i="43"/>
  <c r="F85" i="43"/>
  <c r="K81" i="43"/>
  <c r="J81" i="43"/>
  <c r="K82" i="43"/>
  <c r="O82" i="43" s="1"/>
  <c r="S82" i="43" s="1"/>
  <c r="V82" i="43" s="1"/>
  <c r="J82" i="43"/>
  <c r="F80" i="43"/>
  <c r="F81" i="43"/>
  <c r="F69" i="43"/>
  <c r="K80" i="43"/>
  <c r="J80" i="43"/>
  <c r="O74" i="43"/>
  <c r="N74" i="43"/>
  <c r="J74" i="43"/>
  <c r="F71" i="43"/>
  <c r="G70" i="43"/>
  <c r="J70" i="43" s="1"/>
  <c r="G69" i="43"/>
  <c r="J68" i="43"/>
  <c r="F68" i="43"/>
  <c r="R50" i="43"/>
  <c r="J56" i="43"/>
  <c r="F56" i="43"/>
  <c r="F50" i="43"/>
  <c r="J50" i="43"/>
  <c r="V50" i="43"/>
  <c r="N49" i="43"/>
  <c r="J49" i="43"/>
  <c r="F49" i="43"/>
  <c r="V115" i="46"/>
  <c r="R115" i="46"/>
  <c r="N115" i="46"/>
  <c r="J115" i="46"/>
  <c r="F115" i="46"/>
  <c r="V78" i="46"/>
  <c r="R78" i="46"/>
  <c r="N78" i="46"/>
  <c r="J78" i="46"/>
  <c r="F78" i="46"/>
  <c r="V75" i="46"/>
  <c r="R75" i="46"/>
  <c r="N75" i="46"/>
  <c r="J75" i="46"/>
  <c r="F75" i="46"/>
  <c r="V95" i="45"/>
  <c r="R95" i="45"/>
  <c r="N95" i="45"/>
  <c r="J95" i="45"/>
  <c r="F95" i="45"/>
  <c r="V62" i="45"/>
  <c r="R62" i="45"/>
  <c r="N62" i="45"/>
  <c r="J62" i="45"/>
  <c r="F62" i="45"/>
  <c r="V99" i="44"/>
  <c r="R99" i="44"/>
  <c r="N99" i="44"/>
  <c r="J99" i="44"/>
  <c r="F99" i="44"/>
  <c r="V70" i="44"/>
  <c r="R70" i="44"/>
  <c r="N70" i="44"/>
  <c r="J70" i="44"/>
  <c r="F70" i="44"/>
  <c r="V67" i="44"/>
  <c r="R67" i="44"/>
  <c r="N67" i="44"/>
  <c r="J67" i="44"/>
  <c r="F67" i="44"/>
  <c r="F71" i="44" s="1"/>
  <c r="W38" i="44"/>
  <c r="V141" i="43"/>
  <c r="R141" i="43"/>
  <c r="N141" i="43"/>
  <c r="J141" i="43"/>
  <c r="F141" i="43"/>
  <c r="W137" i="43"/>
  <c r="W218" i="42"/>
  <c r="J75" i="42" l="1"/>
  <c r="V304" i="4"/>
  <c r="X304" i="4" s="1"/>
  <c r="V233" i="4"/>
  <c r="X233" i="4" s="1"/>
  <c r="V157" i="4"/>
  <c r="X157" i="4" s="1"/>
  <c r="F87" i="43"/>
  <c r="J71" i="43"/>
  <c r="W85" i="46"/>
  <c r="W168" i="42"/>
  <c r="W150" i="42"/>
  <c r="V46" i="45"/>
  <c r="W46" i="45" s="1"/>
  <c r="F135" i="42"/>
  <c r="W67" i="43"/>
  <c r="V65" i="46"/>
  <c r="V73" i="46" s="1"/>
  <c r="R65" i="46"/>
  <c r="R73" i="46" s="1"/>
  <c r="V60" i="46"/>
  <c r="W50" i="46"/>
  <c r="V55" i="46"/>
  <c r="R55" i="46"/>
  <c r="V76" i="46"/>
  <c r="F79" i="46"/>
  <c r="N79" i="46"/>
  <c r="R76" i="46"/>
  <c r="V79" i="46"/>
  <c r="J79" i="46"/>
  <c r="N76" i="46"/>
  <c r="W78" i="46"/>
  <c r="W115" i="46"/>
  <c r="W44" i="45"/>
  <c r="V48" i="45"/>
  <c r="R48" i="45"/>
  <c r="S73" i="45"/>
  <c r="V73" i="45" s="1"/>
  <c r="V84" i="45" s="1"/>
  <c r="R73" i="45"/>
  <c r="R84" i="45" s="1"/>
  <c r="N60" i="45"/>
  <c r="R66" i="45"/>
  <c r="V63" i="45"/>
  <c r="W95" i="45"/>
  <c r="J66" i="45"/>
  <c r="N66" i="45"/>
  <c r="F66" i="45"/>
  <c r="V66" i="45"/>
  <c r="N63" i="45"/>
  <c r="R63" i="45"/>
  <c r="W66" i="43"/>
  <c r="V48" i="44"/>
  <c r="R48" i="44"/>
  <c r="W46" i="44"/>
  <c r="W81" i="44"/>
  <c r="V73" i="44"/>
  <c r="V76" i="44" s="1"/>
  <c r="R73" i="44"/>
  <c r="R76" i="44" s="1"/>
  <c r="S58" i="44"/>
  <c r="V58" i="44" s="1"/>
  <c r="V65" i="44" s="1"/>
  <c r="R58" i="44"/>
  <c r="R65" i="44" s="1"/>
  <c r="N68" i="44"/>
  <c r="W99" i="44"/>
  <c r="V71" i="44"/>
  <c r="J71" i="44"/>
  <c r="V68" i="44"/>
  <c r="W70" i="44"/>
  <c r="N71" i="44"/>
  <c r="R68" i="44"/>
  <c r="N127" i="43"/>
  <c r="N124" i="43"/>
  <c r="R122" i="43"/>
  <c r="V122" i="43"/>
  <c r="N110" i="43"/>
  <c r="J112" i="43"/>
  <c r="F106" i="43"/>
  <c r="N101" i="43"/>
  <c r="J104" i="43"/>
  <c r="N100" i="43"/>
  <c r="R99" i="43"/>
  <c r="V99" i="43"/>
  <c r="N102" i="43"/>
  <c r="J103" i="43"/>
  <c r="R94" i="43"/>
  <c r="J96" i="43"/>
  <c r="N95" i="43"/>
  <c r="N93" i="43"/>
  <c r="K89" i="43"/>
  <c r="J89" i="43"/>
  <c r="J91" i="43" s="1"/>
  <c r="N82" i="43"/>
  <c r="R82" i="43"/>
  <c r="O85" i="43"/>
  <c r="N85" i="43"/>
  <c r="K70" i="43"/>
  <c r="N70" i="43" s="1"/>
  <c r="N81" i="43"/>
  <c r="O81" i="43"/>
  <c r="O80" i="43"/>
  <c r="N80" i="43"/>
  <c r="S74" i="43"/>
  <c r="V74" i="43" s="1"/>
  <c r="R74" i="43"/>
  <c r="O71" i="43"/>
  <c r="N71" i="43"/>
  <c r="K69" i="43"/>
  <c r="J69" i="43"/>
  <c r="N68" i="43"/>
  <c r="N50" i="43"/>
  <c r="W50" i="43" s="1"/>
  <c r="N56" i="43"/>
  <c r="V49" i="43"/>
  <c r="R49" i="43"/>
  <c r="W141" i="43"/>
  <c r="F76" i="46"/>
  <c r="W75" i="46"/>
  <c r="J76" i="46"/>
  <c r="R79" i="46"/>
  <c r="F63" i="45"/>
  <c r="W62" i="45"/>
  <c r="J63" i="45"/>
  <c r="R71" i="44"/>
  <c r="F68" i="44"/>
  <c r="W67" i="44"/>
  <c r="J68" i="44"/>
  <c r="F91" i="43"/>
  <c r="J135" i="42"/>
  <c r="R135" i="42"/>
  <c r="V135" i="42"/>
  <c r="N75" i="42" l="1"/>
  <c r="W65" i="44"/>
  <c r="J87" i="43"/>
  <c r="W84" i="45"/>
  <c r="J131" i="42"/>
  <c r="V74" i="42"/>
  <c r="R74" i="42"/>
  <c r="W135" i="42"/>
  <c r="W65" i="46"/>
  <c r="W79" i="46"/>
  <c r="W73" i="46"/>
  <c r="W73" i="45"/>
  <c r="V60" i="45"/>
  <c r="W66" i="45"/>
  <c r="W48" i="44"/>
  <c r="V50" i="44"/>
  <c r="R50" i="44"/>
  <c r="W73" i="44"/>
  <c r="W58" i="44"/>
  <c r="W71" i="44"/>
  <c r="W76" i="44"/>
  <c r="W122" i="43"/>
  <c r="R127" i="43"/>
  <c r="V127" i="43"/>
  <c r="R124" i="43"/>
  <c r="V124" i="43"/>
  <c r="V110" i="43"/>
  <c r="N112" i="43"/>
  <c r="J106" i="43"/>
  <c r="V101" i="43"/>
  <c r="W99" i="43"/>
  <c r="W82" i="43"/>
  <c r="V94" i="43"/>
  <c r="W94" i="43" s="1"/>
  <c r="R100" i="43"/>
  <c r="V100" i="43"/>
  <c r="N104" i="43"/>
  <c r="N103" i="43"/>
  <c r="R102" i="43"/>
  <c r="V102" i="43"/>
  <c r="N96" i="43"/>
  <c r="R95" i="43"/>
  <c r="V95" i="43"/>
  <c r="V93" i="43"/>
  <c r="R93" i="43"/>
  <c r="O89" i="43"/>
  <c r="S89" i="43" s="1"/>
  <c r="N89" i="43"/>
  <c r="O70" i="43"/>
  <c r="R70" i="43" s="1"/>
  <c r="S85" i="43"/>
  <c r="V85" i="43" s="1"/>
  <c r="R85" i="43"/>
  <c r="S81" i="43"/>
  <c r="V81" i="43" s="1"/>
  <c r="R81" i="43"/>
  <c r="W74" i="43"/>
  <c r="S80" i="43"/>
  <c r="V80" i="43" s="1"/>
  <c r="R80" i="43"/>
  <c r="N69" i="43"/>
  <c r="N87" i="43" s="1"/>
  <c r="O69" i="43"/>
  <c r="R71" i="43"/>
  <c r="S71" i="43"/>
  <c r="V71" i="43" s="1"/>
  <c r="V68" i="43"/>
  <c r="R68" i="43"/>
  <c r="R56" i="43"/>
  <c r="V56" i="43"/>
  <c r="N58" i="43"/>
  <c r="W49" i="43"/>
  <c r="W76" i="46"/>
  <c r="W63" i="45"/>
  <c r="W68" i="44"/>
  <c r="V75" i="42" l="1"/>
  <c r="R75" i="42"/>
  <c r="R104" i="46"/>
  <c r="V104" i="46"/>
  <c r="R60" i="45"/>
  <c r="N131" i="42"/>
  <c r="W60" i="45"/>
  <c r="W88" i="44"/>
  <c r="W124" i="43"/>
  <c r="W127" i="43"/>
  <c r="R110" i="43"/>
  <c r="W110" i="43" s="1"/>
  <c r="R112" i="43"/>
  <c r="V112" i="43"/>
  <c r="N106" i="43"/>
  <c r="W102" i="43"/>
  <c r="S70" i="43"/>
  <c r="V70" i="43" s="1"/>
  <c r="W70" i="43" s="1"/>
  <c r="R101" i="43"/>
  <c r="W101" i="43" s="1"/>
  <c r="W100" i="43"/>
  <c r="R103" i="43"/>
  <c r="V103" i="43"/>
  <c r="R104" i="43"/>
  <c r="V104" i="43"/>
  <c r="W95" i="43"/>
  <c r="R96" i="43"/>
  <c r="V96" i="43"/>
  <c r="W93" i="43"/>
  <c r="W80" i="43"/>
  <c r="V89" i="43"/>
  <c r="R89" i="43"/>
  <c r="N91" i="43"/>
  <c r="W71" i="43"/>
  <c r="W85" i="43"/>
  <c r="W81" i="43"/>
  <c r="S69" i="43"/>
  <c r="V69" i="43" s="1"/>
  <c r="R69" i="43"/>
  <c r="R87" i="43" s="1"/>
  <c r="W68" i="43"/>
  <c r="W56" i="43"/>
  <c r="W75" i="42" l="1"/>
  <c r="V87" i="43"/>
  <c r="W87" i="43" s="1"/>
  <c r="V131" i="42"/>
  <c r="R131" i="42"/>
  <c r="W112" i="43"/>
  <c r="R106" i="43"/>
  <c r="V106" i="43"/>
  <c r="W103" i="43"/>
  <c r="W104" i="43"/>
  <c r="W96" i="43"/>
  <c r="W89" i="43"/>
  <c r="W69" i="43"/>
  <c r="R91" i="43"/>
  <c r="V91" i="43"/>
  <c r="W91" i="43" l="1"/>
  <c r="W106" i="43"/>
  <c r="G187" i="4"/>
  <c r="L190" i="4"/>
  <c r="T258" i="4"/>
  <c r="T85" i="42" s="1"/>
  <c r="V85" i="42" s="1"/>
  <c r="Q258" i="4"/>
  <c r="N258" i="4"/>
  <c r="L85" i="42" s="1"/>
  <c r="N85" i="42" s="1"/>
  <c r="K258" i="4"/>
  <c r="H85" i="42" s="1"/>
  <c r="J85" i="42" s="1"/>
  <c r="U257" i="4"/>
  <c r="R257" i="4"/>
  <c r="O257" i="4"/>
  <c r="L257" i="4"/>
  <c r="I257" i="4"/>
  <c r="T187" i="4"/>
  <c r="Q187" i="4"/>
  <c r="N187" i="4"/>
  <c r="W191" i="4"/>
  <c r="U190" i="4"/>
  <c r="R190" i="4"/>
  <c r="O190" i="4"/>
  <c r="I190" i="4"/>
  <c r="R261" i="4"/>
  <c r="O261" i="4"/>
  <c r="L177" i="4"/>
  <c r="L179" i="4" s="1"/>
  <c r="I168" i="4"/>
  <c r="L74" i="42"/>
  <c r="N74" i="42" s="1"/>
  <c r="D50" i="44"/>
  <c r="D74" i="42" s="1"/>
  <c r="R322" i="4"/>
  <c r="O322" i="4"/>
  <c r="U352" i="4"/>
  <c r="R352" i="4"/>
  <c r="O352" i="4"/>
  <c r="O367" i="4" s="1"/>
  <c r="L352" i="4"/>
  <c r="I352" i="4"/>
  <c r="I367" i="4" s="1"/>
  <c r="W262" i="4"/>
  <c r="U261" i="4"/>
  <c r="L261" i="4"/>
  <c r="I261" i="4"/>
  <c r="U186" i="4"/>
  <c r="R186" i="4"/>
  <c r="O186" i="4"/>
  <c r="L186" i="4"/>
  <c r="I186" i="4"/>
  <c r="U267" i="4"/>
  <c r="U276" i="4" s="1"/>
  <c r="R267" i="4"/>
  <c r="R276" i="4" s="1"/>
  <c r="O267" i="4"/>
  <c r="O276" i="4" s="1"/>
  <c r="L267" i="4"/>
  <c r="L276" i="4" s="1"/>
  <c r="I267" i="4"/>
  <c r="I276" i="4" s="1"/>
  <c r="U246" i="4"/>
  <c r="U248" i="4" s="1"/>
  <c r="R246" i="4"/>
  <c r="R248" i="4" s="1"/>
  <c r="O246" i="4"/>
  <c r="O248" i="4" s="1"/>
  <c r="L246" i="4"/>
  <c r="L248" i="4" s="1"/>
  <c r="I246" i="4"/>
  <c r="I248" i="4" s="1"/>
  <c r="O189" i="4" l="1"/>
  <c r="L83" i="42"/>
  <c r="N83" i="42" s="1"/>
  <c r="R189" i="4"/>
  <c r="P83" i="42"/>
  <c r="R83" i="42" s="1"/>
  <c r="U189" i="4"/>
  <c r="T83" i="42"/>
  <c r="V83" i="42" s="1"/>
  <c r="P50" i="45"/>
  <c r="R50" i="45" s="1"/>
  <c r="R53" i="45" s="1"/>
  <c r="P85" i="42"/>
  <c r="R85" i="42" s="1"/>
  <c r="W85" i="42" s="1"/>
  <c r="I189" i="4"/>
  <c r="D83" i="42"/>
  <c r="F83" i="42" s="1"/>
  <c r="V352" i="4"/>
  <c r="V367" i="4" s="1"/>
  <c r="H142" i="4"/>
  <c r="H289" i="4"/>
  <c r="H218" i="4"/>
  <c r="H219" i="4"/>
  <c r="H143" i="4"/>
  <c r="H290" i="4"/>
  <c r="H220" i="4"/>
  <c r="H144" i="4"/>
  <c r="H291" i="4"/>
  <c r="H152" i="4"/>
  <c r="H299" i="4"/>
  <c r="H228" i="4"/>
  <c r="H53" i="44"/>
  <c r="J53" i="44" s="1"/>
  <c r="L189" i="4"/>
  <c r="N58" i="46"/>
  <c r="R367" i="4"/>
  <c r="R377" i="4" s="1"/>
  <c r="U367" i="4"/>
  <c r="U377" i="4" s="1"/>
  <c r="F50" i="44"/>
  <c r="F74" i="42"/>
  <c r="H55" i="46"/>
  <c r="J55" i="46" s="1"/>
  <c r="V58" i="46"/>
  <c r="V63" i="46" s="1"/>
  <c r="L55" i="46"/>
  <c r="N55" i="46" s="1"/>
  <c r="D48" i="45"/>
  <c r="F48" i="45" s="1"/>
  <c r="I258" i="4"/>
  <c r="I262" i="4" s="1"/>
  <c r="D50" i="45"/>
  <c r="F50" i="45" s="1"/>
  <c r="J60" i="46"/>
  <c r="N60" i="46"/>
  <c r="H48" i="45"/>
  <c r="J48" i="45" s="1"/>
  <c r="L258" i="4"/>
  <c r="H50" i="45"/>
  <c r="J50" i="45" s="1"/>
  <c r="O258" i="4"/>
  <c r="L50" i="45"/>
  <c r="N50" i="45" s="1"/>
  <c r="F58" i="46"/>
  <c r="R60" i="46"/>
  <c r="L48" i="45"/>
  <c r="N48" i="45" s="1"/>
  <c r="J58" i="46"/>
  <c r="U258" i="4"/>
  <c r="U262" i="4" s="1"/>
  <c r="T50" i="45"/>
  <c r="V50" i="45" s="1"/>
  <c r="V53" i="45" s="1"/>
  <c r="D55" i="46"/>
  <c r="F55" i="46" s="1"/>
  <c r="R58" i="46"/>
  <c r="R187" i="4"/>
  <c r="P53" i="44"/>
  <c r="U187" i="4"/>
  <c r="T53" i="44"/>
  <c r="I187" i="4"/>
  <c r="D53" i="44"/>
  <c r="L182" i="4"/>
  <c r="H50" i="44"/>
  <c r="O182" i="4"/>
  <c r="L50" i="44"/>
  <c r="N50" i="44" s="1"/>
  <c r="O187" i="4"/>
  <c r="L53" i="44"/>
  <c r="V257" i="4"/>
  <c r="X257" i="4" s="1"/>
  <c r="R258" i="4"/>
  <c r="L187" i="4"/>
  <c r="V190" i="4"/>
  <c r="X190" i="4" s="1"/>
  <c r="R182" i="4"/>
  <c r="U182" i="4"/>
  <c r="V261" i="4"/>
  <c r="X261" i="4" s="1"/>
  <c r="V186" i="4"/>
  <c r="X186" i="4" s="1"/>
  <c r="I182" i="4"/>
  <c r="V267" i="4"/>
  <c r="V276" i="4" s="1"/>
  <c r="V246" i="4"/>
  <c r="R63" i="46" l="1"/>
  <c r="W83" i="42"/>
  <c r="J50" i="44"/>
  <c r="J56" i="44" s="1"/>
  <c r="H74" i="42"/>
  <c r="J74" i="42" s="1"/>
  <c r="W74" i="42" s="1"/>
  <c r="V189" i="4"/>
  <c r="X189" i="4" s="1"/>
  <c r="F63" i="46"/>
  <c r="N63" i="46"/>
  <c r="J63" i="46"/>
  <c r="X246" i="4"/>
  <c r="X248" i="4" s="1"/>
  <c r="V248" i="4"/>
  <c r="X267" i="4"/>
  <c r="X276" i="4" s="1"/>
  <c r="I144" i="4"/>
  <c r="L144" i="4"/>
  <c r="R144" i="4"/>
  <c r="O144" i="4"/>
  <c r="U144" i="4"/>
  <c r="I290" i="4"/>
  <c r="L290" i="4"/>
  <c r="R290" i="4"/>
  <c r="O290" i="4"/>
  <c r="U290" i="4"/>
  <c r="I143" i="4"/>
  <c r="R143" i="4"/>
  <c r="U143" i="4"/>
  <c r="L143" i="4"/>
  <c r="O143" i="4"/>
  <c r="I228" i="4"/>
  <c r="U228" i="4"/>
  <c r="O228" i="4"/>
  <c r="L228" i="4"/>
  <c r="R228" i="4"/>
  <c r="U219" i="4"/>
  <c r="O219" i="4"/>
  <c r="I219" i="4"/>
  <c r="R219" i="4"/>
  <c r="L219" i="4"/>
  <c r="I299" i="4"/>
  <c r="R299" i="4"/>
  <c r="U299" i="4"/>
  <c r="O299" i="4"/>
  <c r="L299" i="4"/>
  <c r="I218" i="4"/>
  <c r="L218" i="4"/>
  <c r="U218" i="4"/>
  <c r="O218" i="4"/>
  <c r="R218" i="4"/>
  <c r="R152" i="4"/>
  <c r="U152" i="4"/>
  <c r="I152" i="4"/>
  <c r="O152" i="4"/>
  <c r="L152" i="4"/>
  <c r="O289" i="4"/>
  <c r="I289" i="4"/>
  <c r="L289" i="4"/>
  <c r="R289" i="4"/>
  <c r="U289" i="4"/>
  <c r="I220" i="4"/>
  <c r="U220" i="4"/>
  <c r="O220" i="4"/>
  <c r="R220" i="4"/>
  <c r="L220" i="4"/>
  <c r="R291" i="4"/>
  <c r="U291" i="4"/>
  <c r="L291" i="4"/>
  <c r="O291" i="4"/>
  <c r="I291" i="4"/>
  <c r="I142" i="4"/>
  <c r="R142" i="4"/>
  <c r="L142" i="4"/>
  <c r="O142" i="4"/>
  <c r="U142" i="4"/>
  <c r="I191" i="4"/>
  <c r="L367" i="4"/>
  <c r="L377" i="4" s="1"/>
  <c r="J104" i="46"/>
  <c r="N104" i="46"/>
  <c r="O377" i="4"/>
  <c r="F53" i="44"/>
  <c r="F56" i="44" s="1"/>
  <c r="F82" i="42"/>
  <c r="N53" i="44"/>
  <c r="N56" i="44" s="1"/>
  <c r="N82" i="42"/>
  <c r="V53" i="44"/>
  <c r="V56" i="44" s="1"/>
  <c r="V82" i="42"/>
  <c r="J82" i="42"/>
  <c r="R53" i="44"/>
  <c r="R56" i="44" s="1"/>
  <c r="R82" i="42"/>
  <c r="X315" i="4"/>
  <c r="X322" i="4" s="1"/>
  <c r="N53" i="45"/>
  <c r="O262" i="4"/>
  <c r="O191" i="4"/>
  <c r="L262" i="4"/>
  <c r="W58" i="46"/>
  <c r="U191" i="4"/>
  <c r="V258" i="4"/>
  <c r="X258" i="4" s="1"/>
  <c r="W55" i="46"/>
  <c r="J53" i="45"/>
  <c r="F53" i="45"/>
  <c r="W48" i="45"/>
  <c r="W60" i="46"/>
  <c r="W50" i="45"/>
  <c r="R191" i="4"/>
  <c r="V187" i="4"/>
  <c r="X187" i="4" s="1"/>
  <c r="L191" i="4"/>
  <c r="R262" i="4"/>
  <c r="X352" i="4"/>
  <c r="X367" i="4" s="1"/>
  <c r="V182" i="4"/>
  <c r="W50" i="44" l="1"/>
  <c r="W63" i="46"/>
  <c r="V289" i="4"/>
  <c r="X289" i="4" s="1"/>
  <c r="V291" i="4"/>
  <c r="X291" i="4" s="1"/>
  <c r="V299" i="4"/>
  <c r="X299" i="4" s="1"/>
  <c r="V290" i="4"/>
  <c r="X290" i="4" s="1"/>
  <c r="V219" i="4"/>
  <c r="X219" i="4" s="1"/>
  <c r="V143" i="4"/>
  <c r="X143" i="4" s="1"/>
  <c r="V152" i="4"/>
  <c r="X152" i="4" s="1"/>
  <c r="V228" i="4"/>
  <c r="X228" i="4" s="1"/>
  <c r="V218" i="4"/>
  <c r="X218" i="4" s="1"/>
  <c r="V144" i="4"/>
  <c r="X144" i="4" s="1"/>
  <c r="V142" i="4"/>
  <c r="X142" i="4" s="1"/>
  <c r="V220" i="4"/>
  <c r="X220" i="4" s="1"/>
  <c r="W104" i="46"/>
  <c r="W53" i="44"/>
  <c r="W56" i="44"/>
  <c r="W82" i="42"/>
  <c r="X262" i="4"/>
  <c r="W53" i="45"/>
  <c r="X182" i="4"/>
  <c r="V191" i="4"/>
  <c r="V262" i="4"/>
  <c r="U169" i="4"/>
  <c r="R169" i="4"/>
  <c r="O169" i="4"/>
  <c r="L169" i="4"/>
  <c r="I177" i="4"/>
  <c r="I179" i="4" s="1"/>
  <c r="U177" i="4"/>
  <c r="U179" i="4" s="1"/>
  <c r="R177" i="4"/>
  <c r="R179" i="4" s="1"/>
  <c r="O177" i="4"/>
  <c r="O179" i="4" s="1"/>
  <c r="X191" i="4" l="1"/>
  <c r="W131" i="42"/>
  <c r="F131" i="42"/>
  <c r="I169" i="4"/>
  <c r="I174" i="4" s="1"/>
  <c r="V177" i="4"/>
  <c r="X177" i="4" l="1"/>
  <c r="X179" i="4" s="1"/>
  <c r="V179" i="4"/>
  <c r="V169" i="4"/>
  <c r="X169" i="4" s="1"/>
  <c r="U168" i="4" l="1"/>
  <c r="U174" i="4" s="1"/>
  <c r="R168" i="4"/>
  <c r="R174" i="4" s="1"/>
  <c r="O168" i="4"/>
  <c r="O174" i="4" s="1"/>
  <c r="L168" i="4"/>
  <c r="L174" i="4" s="1"/>
  <c r="H30" i="4"/>
  <c r="C28" i="42" s="1"/>
  <c r="D54" i="43"/>
  <c r="F54" i="43" s="1"/>
  <c r="K48" i="4"/>
  <c r="E11" i="45"/>
  <c r="I11" i="45"/>
  <c r="M11" i="45"/>
  <c r="Q11" i="45"/>
  <c r="U11" i="45"/>
  <c r="E11" i="44"/>
  <c r="I11" i="44"/>
  <c r="M11" i="44"/>
  <c r="Q11" i="44"/>
  <c r="U11" i="44"/>
  <c r="I75" i="4"/>
  <c r="U74" i="4"/>
  <c r="R74" i="4"/>
  <c r="O74" i="4"/>
  <c r="L74" i="4"/>
  <c r="I74" i="4"/>
  <c r="U73" i="4"/>
  <c r="R73" i="4"/>
  <c r="O73" i="4"/>
  <c r="L73" i="4"/>
  <c r="I73" i="4"/>
  <c r="U72" i="4"/>
  <c r="R72" i="4"/>
  <c r="O72" i="4"/>
  <c r="L72" i="4"/>
  <c r="I72" i="4"/>
  <c r="U79" i="4"/>
  <c r="R79" i="4"/>
  <c r="O79" i="4"/>
  <c r="L79" i="4"/>
  <c r="I79" i="4"/>
  <c r="C55" i="28"/>
  <c r="U67" i="4"/>
  <c r="R67" i="4"/>
  <c r="O67" i="4"/>
  <c r="L67" i="4"/>
  <c r="I67" i="4"/>
  <c r="W110" i="4"/>
  <c r="U99" i="4"/>
  <c r="R99" i="4"/>
  <c r="O99" i="4"/>
  <c r="L99" i="4"/>
  <c r="I99" i="4"/>
  <c r="U98" i="4"/>
  <c r="R98" i="4"/>
  <c r="O98" i="4"/>
  <c r="L98" i="4"/>
  <c r="I98" i="4"/>
  <c r="U107" i="4"/>
  <c r="R107" i="4"/>
  <c r="O107" i="4"/>
  <c r="L107" i="4"/>
  <c r="I107" i="4"/>
  <c r="U103" i="4"/>
  <c r="R103" i="4"/>
  <c r="O103" i="4"/>
  <c r="L103" i="4"/>
  <c r="I103" i="4"/>
  <c r="U104" i="4"/>
  <c r="R104" i="4"/>
  <c r="O104" i="4"/>
  <c r="L104" i="4"/>
  <c r="I104" i="4"/>
  <c r="C28" i="45" l="1"/>
  <c r="G28" i="45" s="1"/>
  <c r="K28" i="45" s="1"/>
  <c r="O28" i="45" s="1"/>
  <c r="S28" i="45" s="1"/>
  <c r="C28" i="44"/>
  <c r="G28" i="44" s="1"/>
  <c r="K28" i="44" s="1"/>
  <c r="O28" i="44" s="1"/>
  <c r="S28" i="44" s="1"/>
  <c r="C28" i="43"/>
  <c r="G28" i="43" s="1"/>
  <c r="K28" i="43" s="1"/>
  <c r="O28" i="43" s="1"/>
  <c r="S28" i="43" s="1"/>
  <c r="C28" i="46"/>
  <c r="G28" i="46" s="1"/>
  <c r="K28" i="46" s="1"/>
  <c r="O28" i="46" s="1"/>
  <c r="S28" i="46" s="1"/>
  <c r="G28" i="42"/>
  <c r="K28" i="42" s="1"/>
  <c r="O28" i="42" s="1"/>
  <c r="S28" i="42" s="1"/>
  <c r="H305" i="4"/>
  <c r="H158" i="4"/>
  <c r="H234" i="4"/>
  <c r="H231" i="4"/>
  <c r="H302" i="4"/>
  <c r="H155" i="4"/>
  <c r="H300" i="4"/>
  <c r="H229" i="4"/>
  <c r="H153" i="4"/>
  <c r="H77" i="42"/>
  <c r="J77" i="42" s="1"/>
  <c r="L48" i="4"/>
  <c r="E11" i="46"/>
  <c r="E11" i="42" s="1"/>
  <c r="F11" i="42" s="1"/>
  <c r="U11" i="46"/>
  <c r="U11" i="42" s="1"/>
  <c r="V11" i="42" s="1"/>
  <c r="Q11" i="46"/>
  <c r="Q11" i="42" s="1"/>
  <c r="R11" i="42" s="1"/>
  <c r="M11" i="46"/>
  <c r="M11" i="42" s="1"/>
  <c r="N11" i="42" s="1"/>
  <c r="I11" i="46"/>
  <c r="I11" i="42" s="1"/>
  <c r="J11" i="42" s="1"/>
  <c r="L29" i="4"/>
  <c r="H28" i="39" s="1"/>
  <c r="C11" i="44"/>
  <c r="G11" i="44" s="1"/>
  <c r="K11" i="44" s="1"/>
  <c r="O11" i="44" s="1"/>
  <c r="S11" i="44" s="1"/>
  <c r="C11" i="46"/>
  <c r="G11" i="46" s="1"/>
  <c r="K11" i="46" s="1"/>
  <c r="O11" i="46" s="1"/>
  <c r="S11" i="46" s="1"/>
  <c r="C11" i="45"/>
  <c r="G11" i="45" s="1"/>
  <c r="K11" i="45" s="1"/>
  <c r="O11" i="45" s="1"/>
  <c r="S11" i="45" s="1"/>
  <c r="C34" i="43"/>
  <c r="C34" i="42"/>
  <c r="G34" i="42" s="1"/>
  <c r="K34" i="42" s="1"/>
  <c r="O34" i="42" s="1"/>
  <c r="S34" i="42" s="1"/>
  <c r="H58" i="43"/>
  <c r="J58" i="43" s="1"/>
  <c r="V168" i="4"/>
  <c r="V174" i="4" s="1"/>
  <c r="R29" i="4"/>
  <c r="N28" i="39" s="1"/>
  <c r="U29" i="4"/>
  <c r="Q28" i="39" s="1"/>
  <c r="O27" i="4"/>
  <c r="V73" i="4"/>
  <c r="X73" i="4" s="1"/>
  <c r="L30" i="4"/>
  <c r="L24" i="4"/>
  <c r="H23" i="39" s="1"/>
  <c r="I29" i="4"/>
  <c r="E28" i="39" s="1"/>
  <c r="V74" i="4"/>
  <c r="X74" i="4" s="1"/>
  <c r="L25" i="4"/>
  <c r="V79" i="4"/>
  <c r="X79" i="4" s="1"/>
  <c r="V72" i="4"/>
  <c r="X72" i="4" s="1"/>
  <c r="O25" i="4"/>
  <c r="O30" i="4"/>
  <c r="R27" i="4"/>
  <c r="I27" i="4"/>
  <c r="U27" i="4"/>
  <c r="R30" i="4"/>
  <c r="O29" i="4"/>
  <c r="K28" i="39" s="1"/>
  <c r="L27" i="4"/>
  <c r="I30" i="4"/>
  <c r="U30" i="4"/>
  <c r="O24" i="4"/>
  <c r="K23" i="39" s="1"/>
  <c r="U24" i="4"/>
  <c r="Q23" i="39" s="1"/>
  <c r="I24" i="4"/>
  <c r="E23" i="39" s="1"/>
  <c r="R24" i="4"/>
  <c r="N23" i="39" s="1"/>
  <c r="R25" i="4"/>
  <c r="I25" i="4"/>
  <c r="U25" i="4"/>
  <c r="V67" i="4"/>
  <c r="X67" i="4" s="1"/>
  <c r="V99" i="4"/>
  <c r="X99" i="4" s="1"/>
  <c r="V107" i="4"/>
  <c r="X107" i="4" s="1"/>
  <c r="V98" i="4"/>
  <c r="X98" i="4" s="1"/>
  <c r="V104" i="4"/>
  <c r="X104" i="4" s="1"/>
  <c r="V103" i="4"/>
  <c r="X103" i="4" s="1"/>
  <c r="R23" i="39" l="1"/>
  <c r="R28" i="39"/>
  <c r="G34" i="43"/>
  <c r="K34" i="43" s="1"/>
  <c r="O34" i="43" s="1"/>
  <c r="S34" i="43" s="1"/>
  <c r="F28" i="44"/>
  <c r="W11" i="42"/>
  <c r="F28" i="42"/>
  <c r="F28" i="45"/>
  <c r="F28" i="46"/>
  <c r="F28" i="43"/>
  <c r="I229" i="4"/>
  <c r="O229" i="4"/>
  <c r="U229" i="4"/>
  <c r="L229" i="4"/>
  <c r="R229" i="4"/>
  <c r="I302" i="4"/>
  <c r="U302" i="4"/>
  <c r="R302" i="4"/>
  <c r="O302" i="4"/>
  <c r="L302" i="4"/>
  <c r="U231" i="4"/>
  <c r="R231" i="4"/>
  <c r="O231" i="4"/>
  <c r="L231" i="4"/>
  <c r="I231" i="4"/>
  <c r="O300" i="4"/>
  <c r="I300" i="4"/>
  <c r="U300" i="4"/>
  <c r="R300" i="4"/>
  <c r="L300" i="4"/>
  <c r="L155" i="4"/>
  <c r="U155" i="4"/>
  <c r="R155" i="4"/>
  <c r="I155" i="4"/>
  <c r="O155" i="4"/>
  <c r="I234" i="4"/>
  <c r="L234" i="4"/>
  <c r="R234" i="4"/>
  <c r="U234" i="4"/>
  <c r="O234" i="4"/>
  <c r="O158" i="4"/>
  <c r="I158" i="4"/>
  <c r="U158" i="4"/>
  <c r="R158" i="4"/>
  <c r="L158" i="4"/>
  <c r="U153" i="4"/>
  <c r="Q24" i="39" s="1"/>
  <c r="I153" i="4"/>
  <c r="E24" i="39" s="1"/>
  <c r="L153" i="4"/>
  <c r="R153" i="4"/>
  <c r="N24" i="39" s="1"/>
  <c r="O153" i="4"/>
  <c r="K24" i="39" s="1"/>
  <c r="R305" i="4"/>
  <c r="L305" i="4"/>
  <c r="O305" i="4"/>
  <c r="U305" i="4"/>
  <c r="I305" i="4"/>
  <c r="F11" i="45"/>
  <c r="F11" i="46"/>
  <c r="F11" i="44"/>
  <c r="X168" i="4"/>
  <c r="X174" i="4" s="1"/>
  <c r="V25" i="4"/>
  <c r="X25" i="4" s="1"/>
  <c r="V29" i="4"/>
  <c r="X29" i="4" s="1"/>
  <c r="V24" i="4"/>
  <c r="X24" i="4" s="1"/>
  <c r="V27" i="4"/>
  <c r="X27" i="4" s="1"/>
  <c r="V30" i="4"/>
  <c r="X30" i="4" s="1"/>
  <c r="U96" i="4"/>
  <c r="R96" i="4"/>
  <c r="O96" i="4"/>
  <c r="L96" i="4"/>
  <c r="U80" i="4"/>
  <c r="U78" i="4"/>
  <c r="U65" i="4"/>
  <c r="T48" i="4"/>
  <c r="T77" i="42" s="1"/>
  <c r="V77" i="42" s="1"/>
  <c r="Q48" i="4"/>
  <c r="P77" i="42" s="1"/>
  <c r="R77" i="42" s="1"/>
  <c r="G48" i="4"/>
  <c r="S34" i="4"/>
  <c r="P34" i="4"/>
  <c r="M34" i="4"/>
  <c r="J34" i="4"/>
  <c r="E34" i="4"/>
  <c r="H34" i="4"/>
  <c r="U75" i="4"/>
  <c r="H29" i="39" l="1"/>
  <c r="K29" i="39"/>
  <c r="N26" i="39"/>
  <c r="H24" i="39"/>
  <c r="Q26" i="39"/>
  <c r="H26" i="39"/>
  <c r="N29" i="39"/>
  <c r="Q29" i="39"/>
  <c r="K26" i="39"/>
  <c r="E29" i="39"/>
  <c r="E26" i="39"/>
  <c r="R24" i="39"/>
  <c r="F31" i="44"/>
  <c r="V300" i="4"/>
  <c r="X300" i="4" s="1"/>
  <c r="V305" i="4"/>
  <c r="X305" i="4" s="1"/>
  <c r="V302" i="4"/>
  <c r="X302" i="4" s="1"/>
  <c r="J28" i="45"/>
  <c r="J28" i="42"/>
  <c r="J28" i="43"/>
  <c r="J28" i="44"/>
  <c r="J28" i="46"/>
  <c r="V229" i="4"/>
  <c r="X229" i="4" s="1"/>
  <c r="V155" i="4"/>
  <c r="X155" i="4" s="1"/>
  <c r="V153" i="4"/>
  <c r="X153" i="4" s="1"/>
  <c r="V234" i="4"/>
  <c r="X234" i="4" s="1"/>
  <c r="V231" i="4"/>
  <c r="X231" i="4" s="1"/>
  <c r="V158" i="4"/>
  <c r="X158" i="4" s="1"/>
  <c r="J11" i="44"/>
  <c r="J11" i="46"/>
  <c r="J11" i="45"/>
  <c r="D58" i="43"/>
  <c r="F58" i="43" s="1"/>
  <c r="D77" i="42"/>
  <c r="F77" i="42" s="1"/>
  <c r="W77" i="42" s="1"/>
  <c r="M33" i="43"/>
  <c r="M33" i="42"/>
  <c r="I33" i="43"/>
  <c r="I33" i="42"/>
  <c r="U33" i="43"/>
  <c r="U33" i="42"/>
  <c r="Q33" i="43"/>
  <c r="Q33" i="42"/>
  <c r="C33" i="43"/>
  <c r="C33" i="42"/>
  <c r="G33" i="42" s="1"/>
  <c r="K33" i="42" s="1"/>
  <c r="O33" i="42" s="1"/>
  <c r="S33" i="42" s="1"/>
  <c r="E33" i="43"/>
  <c r="E33" i="42"/>
  <c r="R48" i="4"/>
  <c r="P58" i="43"/>
  <c r="R58" i="43" s="1"/>
  <c r="T58" i="43"/>
  <c r="V58" i="43" s="1"/>
  <c r="U48" i="4"/>
  <c r="V96" i="4"/>
  <c r="X96" i="4" s="1"/>
  <c r="R75" i="4"/>
  <c r="L75" i="4"/>
  <c r="O75" i="4"/>
  <c r="L123" i="4"/>
  <c r="L105" i="4"/>
  <c r="R26" i="39" l="1"/>
  <c r="R29" i="39"/>
  <c r="G33" i="43"/>
  <c r="K33" i="43" s="1"/>
  <c r="O33" i="43" s="1"/>
  <c r="S33" i="43" s="1"/>
  <c r="F33" i="43"/>
  <c r="N28" i="45"/>
  <c r="N28" i="46"/>
  <c r="N28" i="43"/>
  <c r="N28" i="42"/>
  <c r="N28" i="44"/>
  <c r="N11" i="44"/>
  <c r="N11" i="45"/>
  <c r="C36" i="44"/>
  <c r="N11" i="46"/>
  <c r="F33" i="42"/>
  <c r="W58" i="43"/>
  <c r="V75" i="4"/>
  <c r="U122" i="4"/>
  <c r="R122" i="4"/>
  <c r="O122" i="4"/>
  <c r="L122" i="4"/>
  <c r="I122" i="4"/>
  <c r="J33" i="43" l="1"/>
  <c r="V28" i="46"/>
  <c r="R28" i="46"/>
  <c r="V28" i="44"/>
  <c r="R28" i="44"/>
  <c r="R28" i="45"/>
  <c r="V28" i="45"/>
  <c r="V28" i="42"/>
  <c r="R28" i="42"/>
  <c r="R28" i="43"/>
  <c r="V28" i="43"/>
  <c r="X75" i="4"/>
  <c r="V11" i="45"/>
  <c r="R11" i="45"/>
  <c r="V11" i="44"/>
  <c r="R11" i="44"/>
  <c r="R11" i="46"/>
  <c r="V11" i="46"/>
  <c r="J33" i="42"/>
  <c r="N33" i="43"/>
  <c r="V122" i="4"/>
  <c r="X122" i="4" s="1"/>
  <c r="W28" i="42" l="1"/>
  <c r="W28" i="44"/>
  <c r="W28" i="46"/>
  <c r="W28" i="45"/>
  <c r="W28" i="43"/>
  <c r="W11" i="44"/>
  <c r="W11" i="45"/>
  <c r="W11" i="46"/>
  <c r="N33" i="42"/>
  <c r="V33" i="43"/>
  <c r="R33" i="43"/>
  <c r="M287" i="4"/>
  <c r="M10" i="46" s="1"/>
  <c r="N10" i="46" s="1"/>
  <c r="N31" i="46" s="1"/>
  <c r="M216" i="4"/>
  <c r="M140" i="4"/>
  <c r="M12" i="4"/>
  <c r="M10" i="43" s="1"/>
  <c r="H71" i="30"/>
  <c r="N8" i="45" l="1"/>
  <c r="M10" i="45"/>
  <c r="N10" i="45" s="1"/>
  <c r="N31" i="45" s="1"/>
  <c r="N10" i="43"/>
  <c r="N31" i="43" s="1"/>
  <c r="N8" i="44"/>
  <c r="M10" i="44"/>
  <c r="N10" i="44" s="1"/>
  <c r="N31" i="44" s="1"/>
  <c r="J11" i="39"/>
  <c r="N8" i="46"/>
  <c r="R33" i="42"/>
  <c r="V33" i="42"/>
  <c r="W33" i="43"/>
  <c r="M10" i="42" l="1"/>
  <c r="N10" i="42" s="1"/>
  <c r="N31" i="42" s="1"/>
  <c r="N40" i="46"/>
  <c r="N40" i="45"/>
  <c r="W33" i="42"/>
  <c r="N40" i="44"/>
  <c r="N8" i="42" l="1"/>
  <c r="N8" i="43"/>
  <c r="K40" i="42"/>
  <c r="K40" i="43"/>
  <c r="N40" i="43" s="1"/>
  <c r="N46" i="42" l="1"/>
  <c r="N40" i="42"/>
  <c r="N45" i="43"/>
  <c r="T58" i="4" l="1"/>
  <c r="T59" i="42" s="1"/>
  <c r="V59" i="42" s="1"/>
  <c r="Q58" i="4"/>
  <c r="P59" i="42" s="1"/>
  <c r="R59" i="42" s="1"/>
  <c r="N58" i="4"/>
  <c r="L59" i="42" s="1"/>
  <c r="N59" i="42" s="1"/>
  <c r="K58" i="4"/>
  <c r="H59" i="42" s="1"/>
  <c r="J59" i="42" s="1"/>
  <c r="D60" i="43"/>
  <c r="F60" i="43" s="1"/>
  <c r="T134" i="4"/>
  <c r="T207" i="42" s="1"/>
  <c r="V207" i="42" s="1"/>
  <c r="V209" i="42" s="1"/>
  <c r="Q134" i="4"/>
  <c r="P207" i="42" s="1"/>
  <c r="R207" i="42" s="1"/>
  <c r="R209" i="42" s="1"/>
  <c r="N134" i="4"/>
  <c r="L207" i="42" s="1"/>
  <c r="N207" i="42" s="1"/>
  <c r="N209" i="42" s="1"/>
  <c r="K134" i="4"/>
  <c r="H207" i="42" s="1"/>
  <c r="J207" i="42" s="1"/>
  <c r="J209" i="42" s="1"/>
  <c r="G134" i="4"/>
  <c r="D207" i="42" s="1"/>
  <c r="F207" i="42" s="1"/>
  <c r="F209" i="42" s="1"/>
  <c r="W135" i="4"/>
  <c r="I131" i="4"/>
  <c r="U128" i="4"/>
  <c r="R128" i="4"/>
  <c r="O128" i="4"/>
  <c r="L128" i="4"/>
  <c r="I128" i="4"/>
  <c r="U133" i="4"/>
  <c r="R133" i="4"/>
  <c r="O133" i="4"/>
  <c r="L133" i="4"/>
  <c r="I133" i="4"/>
  <c r="U130" i="4"/>
  <c r="R130" i="4"/>
  <c r="O130" i="4"/>
  <c r="L130" i="4"/>
  <c r="I130" i="4"/>
  <c r="W59" i="42" l="1"/>
  <c r="D62" i="43"/>
  <c r="F62" i="43" s="1"/>
  <c r="D81" i="42"/>
  <c r="F81" i="42" s="1"/>
  <c r="W207" i="42"/>
  <c r="W209" i="42" s="1"/>
  <c r="I134" i="4"/>
  <c r="D128" i="43"/>
  <c r="F128" i="43" s="1"/>
  <c r="L134" i="4"/>
  <c r="L135" i="4" s="1"/>
  <c r="H128" i="43"/>
  <c r="J128" i="43" s="1"/>
  <c r="R134" i="4"/>
  <c r="P128" i="43"/>
  <c r="R128" i="43" s="1"/>
  <c r="O134" i="4"/>
  <c r="L128" i="43"/>
  <c r="N128" i="43" s="1"/>
  <c r="U134" i="4"/>
  <c r="T128" i="43"/>
  <c r="V128" i="43" s="1"/>
  <c r="T60" i="43"/>
  <c r="V60" i="43" s="1"/>
  <c r="U53" i="4"/>
  <c r="R53" i="4"/>
  <c r="P60" i="43"/>
  <c r="R60" i="43" s="1"/>
  <c r="L58" i="4"/>
  <c r="H54" i="43"/>
  <c r="J54" i="43" s="1"/>
  <c r="L54" i="43"/>
  <c r="N54" i="43" s="1"/>
  <c r="O58" i="4"/>
  <c r="P54" i="43"/>
  <c r="R54" i="43" s="1"/>
  <c r="R58" i="4"/>
  <c r="O53" i="4"/>
  <c r="L60" i="43"/>
  <c r="N60" i="43" s="1"/>
  <c r="H60" i="43"/>
  <c r="J60" i="43" s="1"/>
  <c r="L53" i="4"/>
  <c r="U58" i="4"/>
  <c r="T54" i="43"/>
  <c r="V54" i="43" s="1"/>
  <c r="V130" i="4"/>
  <c r="X130" i="4" s="1"/>
  <c r="V131" i="4"/>
  <c r="X131" i="4" s="1"/>
  <c r="V133" i="4"/>
  <c r="X133" i="4" s="1"/>
  <c r="V128" i="4"/>
  <c r="X128" i="4" s="1"/>
  <c r="I135" i="4" l="1"/>
  <c r="D43" i="41" s="1"/>
  <c r="O135" i="4"/>
  <c r="F43" i="41" s="1"/>
  <c r="J130" i="43"/>
  <c r="R135" i="4"/>
  <c r="G43" i="41" s="1"/>
  <c r="U135" i="4"/>
  <c r="H43" i="41" s="1"/>
  <c r="V134" i="4"/>
  <c r="X134" i="4" s="1"/>
  <c r="R130" i="43"/>
  <c r="N130" i="43"/>
  <c r="F130" i="43"/>
  <c r="W128" i="43"/>
  <c r="V130" i="43"/>
  <c r="W60" i="43"/>
  <c r="W54" i="43"/>
  <c r="E43" i="41"/>
  <c r="W161" i="4"/>
  <c r="W237" i="4"/>
  <c r="W282" i="4" s="1"/>
  <c r="W308" i="4"/>
  <c r="W379" i="4" s="1"/>
  <c r="W211" i="4" l="1"/>
  <c r="D28" i="28" s="1"/>
  <c r="V135" i="4"/>
  <c r="B24" i="28" s="1"/>
  <c r="I43" i="41"/>
  <c r="W130" i="43"/>
  <c r="X135" i="4"/>
  <c r="G287" i="4" l="1"/>
  <c r="E287" i="4"/>
  <c r="E10" i="46" s="1"/>
  <c r="F10" i="46" s="1"/>
  <c r="F31" i="46" s="1"/>
  <c r="H287" i="4"/>
  <c r="I47" i="4"/>
  <c r="I48" i="4"/>
  <c r="Q49" i="4"/>
  <c r="P57" i="42" s="1"/>
  <c r="R57" i="42" s="1"/>
  <c r="N49" i="4"/>
  <c r="L57" i="42" s="1"/>
  <c r="N57" i="42" s="1"/>
  <c r="K49" i="4"/>
  <c r="H57" i="42" s="1"/>
  <c r="J57" i="42" s="1"/>
  <c r="G49" i="4"/>
  <c r="D57" i="42" s="1"/>
  <c r="F57" i="42" s="1"/>
  <c r="T49" i="4"/>
  <c r="T57" i="42" s="1"/>
  <c r="V57" i="42" s="1"/>
  <c r="Q50" i="4"/>
  <c r="P78" i="42" s="1"/>
  <c r="R78" i="42" s="1"/>
  <c r="N50" i="4"/>
  <c r="L78" i="42" s="1"/>
  <c r="N78" i="42" s="1"/>
  <c r="K50" i="4"/>
  <c r="H78" i="42" s="1"/>
  <c r="J78" i="42" s="1"/>
  <c r="G50" i="4"/>
  <c r="D78" i="42" s="1"/>
  <c r="F78" i="42" s="1"/>
  <c r="T50" i="4"/>
  <c r="T78" i="42" s="1"/>
  <c r="V78" i="42" s="1"/>
  <c r="I52" i="4"/>
  <c r="I53" i="4"/>
  <c r="Q54" i="4"/>
  <c r="P58" i="42" s="1"/>
  <c r="R58" i="42" s="1"/>
  <c r="N54" i="4"/>
  <c r="L58" i="42" s="1"/>
  <c r="N58" i="42" s="1"/>
  <c r="K54" i="4"/>
  <c r="H58" i="42" s="1"/>
  <c r="J58" i="42" s="1"/>
  <c r="G54" i="4"/>
  <c r="D58" i="42" s="1"/>
  <c r="F58" i="42" s="1"/>
  <c r="T54" i="4"/>
  <c r="T58" i="42" s="1"/>
  <c r="V58" i="42" s="1"/>
  <c r="Q55" i="4"/>
  <c r="P80" i="42" s="1"/>
  <c r="R80" i="42" s="1"/>
  <c r="N55" i="4"/>
  <c r="L80" i="42" s="1"/>
  <c r="N80" i="42" s="1"/>
  <c r="K55" i="4"/>
  <c r="H80" i="42" s="1"/>
  <c r="J80" i="42" s="1"/>
  <c r="G55" i="4"/>
  <c r="D80" i="42" s="1"/>
  <c r="F80" i="42" s="1"/>
  <c r="T55" i="4"/>
  <c r="T80" i="42" s="1"/>
  <c r="V80" i="42" s="1"/>
  <c r="I57" i="4"/>
  <c r="N59" i="4"/>
  <c r="L81" i="42" s="1"/>
  <c r="N81" i="42" s="1"/>
  <c r="R95" i="4"/>
  <c r="O95" i="4"/>
  <c r="L95" i="4"/>
  <c r="I95" i="4"/>
  <c r="U95" i="4"/>
  <c r="R105" i="4"/>
  <c r="O105" i="4"/>
  <c r="I105" i="4"/>
  <c r="U105" i="4"/>
  <c r="R106" i="4"/>
  <c r="O106" i="4"/>
  <c r="L106" i="4"/>
  <c r="I106" i="4"/>
  <c r="U106" i="4"/>
  <c r="R108" i="4"/>
  <c r="O108" i="4"/>
  <c r="L108" i="4"/>
  <c r="I108" i="4"/>
  <c r="U108" i="4"/>
  <c r="R89" i="4"/>
  <c r="R91" i="4" s="1"/>
  <c r="G37" i="41" s="1"/>
  <c r="O89" i="4"/>
  <c r="O91" i="4" s="1"/>
  <c r="F37" i="41" s="1"/>
  <c r="L89" i="4"/>
  <c r="L91" i="4" s="1"/>
  <c r="E37" i="41" s="1"/>
  <c r="I89" i="4"/>
  <c r="I91" i="4" s="1"/>
  <c r="D37" i="41" s="1"/>
  <c r="U89" i="4"/>
  <c r="U91" i="4" s="1"/>
  <c r="H37" i="41" s="1"/>
  <c r="W91" i="4"/>
  <c r="D21" i="28" s="1"/>
  <c r="R65" i="4"/>
  <c r="O65" i="4"/>
  <c r="L65" i="4"/>
  <c r="I65" i="4"/>
  <c r="R66" i="4"/>
  <c r="O66" i="4"/>
  <c r="L66" i="4"/>
  <c r="I66" i="4"/>
  <c r="U66" i="4"/>
  <c r="R68" i="4"/>
  <c r="O68" i="4"/>
  <c r="L68" i="4"/>
  <c r="I68" i="4"/>
  <c r="U68" i="4"/>
  <c r="R78" i="4"/>
  <c r="O78" i="4"/>
  <c r="L78" i="4"/>
  <c r="I78" i="4"/>
  <c r="R80" i="4"/>
  <c r="O80" i="4"/>
  <c r="L80" i="4"/>
  <c r="I80" i="4"/>
  <c r="R83" i="4"/>
  <c r="O83" i="4"/>
  <c r="L83" i="4"/>
  <c r="I83" i="4"/>
  <c r="U83" i="4"/>
  <c r="W37" i="4"/>
  <c r="D17" i="28" s="1"/>
  <c r="W43" i="4"/>
  <c r="D18" i="28" s="1"/>
  <c r="W60" i="4"/>
  <c r="D19" i="28" s="1"/>
  <c r="D22" i="28"/>
  <c r="W125" i="4"/>
  <c r="D23" i="28" s="1"/>
  <c r="E12" i="4"/>
  <c r="E10" i="43" s="1"/>
  <c r="I34" i="4"/>
  <c r="E33" i="39" s="1"/>
  <c r="E35" i="4"/>
  <c r="E34" i="42" s="1"/>
  <c r="F34" i="42" s="1"/>
  <c r="F35" i="42" s="1"/>
  <c r="J12" i="4"/>
  <c r="L12" i="4" s="1"/>
  <c r="L32" i="4"/>
  <c r="H31" i="39" s="1"/>
  <c r="J35" i="4"/>
  <c r="I34" i="42" s="1"/>
  <c r="J34" i="42" s="1"/>
  <c r="J35" i="42" s="1"/>
  <c r="G41" i="42" s="1"/>
  <c r="M35" i="4"/>
  <c r="M34" i="42" s="1"/>
  <c r="N34" i="42" s="1"/>
  <c r="N35" i="42" s="1"/>
  <c r="K41" i="42" s="1"/>
  <c r="P12" i="4"/>
  <c r="Q10" i="43" s="1"/>
  <c r="P35" i="4"/>
  <c r="Q34" i="42" s="1"/>
  <c r="R34" i="42" s="1"/>
  <c r="R35" i="42" s="1"/>
  <c r="O41" i="42" s="1"/>
  <c r="S12" i="4"/>
  <c r="U10" i="43" s="1"/>
  <c r="S35" i="4"/>
  <c r="U34" i="42" s="1"/>
  <c r="V34" i="42" s="1"/>
  <c r="V35" i="42" s="1"/>
  <c r="S41" i="42" s="1"/>
  <c r="R115" i="4"/>
  <c r="R117" i="4"/>
  <c r="I123" i="4"/>
  <c r="O123" i="4"/>
  <c r="R123" i="4"/>
  <c r="U113" i="4"/>
  <c r="U115" i="4"/>
  <c r="U117" i="4"/>
  <c r="U123" i="4"/>
  <c r="H164" i="4"/>
  <c r="Q140" i="4"/>
  <c r="P140" i="4"/>
  <c r="N140" i="4"/>
  <c r="K140" i="4"/>
  <c r="J140" i="4"/>
  <c r="G140" i="4"/>
  <c r="T140" i="4"/>
  <c r="S140" i="4"/>
  <c r="H240" i="4"/>
  <c r="Q216" i="4"/>
  <c r="P216" i="4"/>
  <c r="N216" i="4"/>
  <c r="K216" i="4"/>
  <c r="J216" i="4"/>
  <c r="G216" i="4"/>
  <c r="E216" i="4"/>
  <c r="E10" i="45" s="1"/>
  <c r="F10" i="45" s="1"/>
  <c r="F31" i="45" s="1"/>
  <c r="T216" i="4"/>
  <c r="S216" i="4"/>
  <c r="E36" i="46"/>
  <c r="I36" i="46" s="1"/>
  <c r="M36" i="46" s="1"/>
  <c r="Q36" i="46" s="1"/>
  <c r="U36" i="46" s="1"/>
  <c r="Q287" i="4"/>
  <c r="P287" i="4"/>
  <c r="Q10" i="46" s="1"/>
  <c r="R10" i="46" s="1"/>
  <c r="N287" i="4"/>
  <c r="K287" i="4"/>
  <c r="J287" i="4"/>
  <c r="I10" i="46" s="1"/>
  <c r="J10" i="46" s="1"/>
  <c r="J31" i="46" s="1"/>
  <c r="T287" i="4"/>
  <c r="S287" i="4"/>
  <c r="U10" i="46" s="1"/>
  <c r="V10" i="46" s="1"/>
  <c r="V31" i="46" s="1"/>
  <c r="I383" i="4"/>
  <c r="I385" i="4" s="1"/>
  <c r="L385" i="4"/>
  <c r="O385" i="4"/>
  <c r="R385" i="4"/>
  <c r="U385" i="4"/>
  <c r="W385" i="4"/>
  <c r="D43" i="28"/>
  <c r="F43" i="28" s="1"/>
  <c r="D37" i="28"/>
  <c r="B37" i="28"/>
  <c r="B47" i="28"/>
  <c r="B55" i="28" s="1"/>
  <c r="E55" i="28" s="1"/>
  <c r="C31" i="28"/>
  <c r="C53" i="28" s="1"/>
  <c r="C37" i="28"/>
  <c r="C54" i="28" s="1"/>
  <c r="E24" i="28"/>
  <c r="E34" i="28"/>
  <c r="E37" i="28" s="1"/>
  <c r="E40" i="28"/>
  <c r="E41" i="28"/>
  <c r="E42" i="28"/>
  <c r="E43" i="28"/>
  <c r="E44" i="28"/>
  <c r="E45" i="28"/>
  <c r="E46" i="28"/>
  <c r="F24" i="28"/>
  <c r="F34" i="28"/>
  <c r="F37" i="28" s="1"/>
  <c r="F40" i="28"/>
  <c r="F41" i="28"/>
  <c r="F42" i="28"/>
  <c r="F44" i="28"/>
  <c r="F45" i="28"/>
  <c r="F46" i="28"/>
  <c r="O11" i="39"/>
  <c r="O34" i="39"/>
  <c r="O33" i="39"/>
  <c r="L34" i="39"/>
  <c r="L33" i="39"/>
  <c r="L11" i="39"/>
  <c r="I34" i="39"/>
  <c r="I33" i="39"/>
  <c r="I11" i="39"/>
  <c r="F34" i="39"/>
  <c r="F33" i="39"/>
  <c r="F11" i="39"/>
  <c r="C34" i="39"/>
  <c r="C33" i="39"/>
  <c r="C11" i="39"/>
  <c r="H153" i="30"/>
  <c r="B153" i="30"/>
  <c r="H123" i="30"/>
  <c r="B123" i="30"/>
  <c r="H93" i="30"/>
  <c r="B93" i="30"/>
  <c r="H63" i="30"/>
  <c r="B63" i="30"/>
  <c r="H33" i="30"/>
  <c r="B33" i="30"/>
  <c r="D33" i="39"/>
  <c r="B33" i="39"/>
  <c r="C10" i="41"/>
  <c r="C11" i="41"/>
  <c r="E11" i="41" s="1"/>
  <c r="C12" i="41"/>
  <c r="G12" i="41" s="1"/>
  <c r="I12" i="41" s="1"/>
  <c r="C13" i="41"/>
  <c r="C14" i="41"/>
  <c r="C15" i="41"/>
  <c r="C16" i="41"/>
  <c r="C17" i="41"/>
  <c r="C18" i="41"/>
  <c r="C19" i="41"/>
  <c r="D19" i="41" s="1"/>
  <c r="C20" i="41"/>
  <c r="G20" i="41" s="1"/>
  <c r="I20" i="41" s="1"/>
  <c r="C21" i="41"/>
  <c r="C22" i="41"/>
  <c r="C23" i="41"/>
  <c r="C24" i="41"/>
  <c r="C27" i="41"/>
  <c r="B54" i="41"/>
  <c r="B52" i="41"/>
  <c r="B50" i="41"/>
  <c r="H22" i="41"/>
  <c r="H14" i="41"/>
  <c r="D24" i="41"/>
  <c r="D17" i="41"/>
  <c r="D21" i="41"/>
  <c r="D27" i="41"/>
  <c r="F12" i="41"/>
  <c r="G15" i="41"/>
  <c r="H13" i="41"/>
  <c r="F16" i="41"/>
  <c r="H17" i="41"/>
  <c r="H21" i="41"/>
  <c r="H27" i="41"/>
  <c r="E15" i="41"/>
  <c r="D13" i="41"/>
  <c r="H16" i="41"/>
  <c r="G19" i="41"/>
  <c r="I19" i="41" s="1"/>
  <c r="F10" i="41"/>
  <c r="H24" i="41"/>
  <c r="H23" i="41"/>
  <c r="G23" i="41"/>
  <c r="E24" i="41"/>
  <c r="D16" i="41"/>
  <c r="E16" i="41"/>
  <c r="E23" i="41"/>
  <c r="F24" i="41"/>
  <c r="G13" i="41"/>
  <c r="F13" i="41"/>
  <c r="G16" i="41"/>
  <c r="I16" i="41"/>
  <c r="G17" i="41"/>
  <c r="I17" i="41" s="1"/>
  <c r="F17" i="41"/>
  <c r="G21" i="41"/>
  <c r="I21" i="41" s="1"/>
  <c r="F21" i="41"/>
  <c r="G24" i="41"/>
  <c r="I24" i="41" s="1"/>
  <c r="G27" i="41"/>
  <c r="I27" i="41" s="1"/>
  <c r="F27" i="41"/>
  <c r="H10" i="41"/>
  <c r="D14" i="41"/>
  <c r="F14" i="41"/>
  <c r="D18" i="41"/>
  <c r="F18" i="41"/>
  <c r="H18" i="41"/>
  <c r="D22" i="41"/>
  <c r="F22" i="41"/>
  <c r="D10" i="41"/>
  <c r="E13" i="41"/>
  <c r="D15" i="41"/>
  <c r="F15" i="41"/>
  <c r="H15" i="41"/>
  <c r="E17" i="41"/>
  <c r="E21" i="41"/>
  <c r="D23" i="41"/>
  <c r="F23" i="41"/>
  <c r="E27" i="41"/>
  <c r="E10" i="41"/>
  <c r="G10" i="41"/>
  <c r="E14" i="41"/>
  <c r="G14" i="41"/>
  <c r="E18" i="41"/>
  <c r="G18" i="41"/>
  <c r="E22" i="41"/>
  <c r="G22" i="41"/>
  <c r="I15" i="41"/>
  <c r="I13" i="41"/>
  <c r="I23" i="41"/>
  <c r="I14" i="41"/>
  <c r="I18" i="41"/>
  <c r="I10" i="41"/>
  <c r="I22" i="41"/>
  <c r="B34" i="39"/>
  <c r="B11" i="39"/>
  <c r="D287" i="4"/>
  <c r="D216" i="4"/>
  <c r="D140" i="4"/>
  <c r="B131" i="30"/>
  <c r="B101" i="30"/>
  <c r="B71" i="30"/>
  <c r="B41" i="30"/>
  <c r="B11" i="30"/>
  <c r="B154" i="30"/>
  <c r="H154" i="30"/>
  <c r="H131" i="30"/>
  <c r="B124" i="30"/>
  <c r="B94" i="30"/>
  <c r="B64" i="30"/>
  <c r="H124" i="30"/>
  <c r="H101" i="30"/>
  <c r="H94" i="30"/>
  <c r="H41" i="30"/>
  <c r="H64" i="30"/>
  <c r="D213" i="4"/>
  <c r="D284" i="4"/>
  <c r="B34" i="30"/>
  <c r="H34" i="30"/>
  <c r="H11" i="30"/>
  <c r="F93" i="42" l="1"/>
  <c r="W10" i="46"/>
  <c r="W31" i="46" s="1"/>
  <c r="R31" i="46"/>
  <c r="J8" i="44"/>
  <c r="I10" i="44"/>
  <c r="J10" i="44" s="1"/>
  <c r="J31" i="44" s="1"/>
  <c r="V10" i="43"/>
  <c r="V31" i="43" s="1"/>
  <c r="I84" i="4"/>
  <c r="E10" i="42"/>
  <c r="F10" i="42" s="1"/>
  <c r="F31" i="42" s="1"/>
  <c r="F10" i="43"/>
  <c r="R8" i="45"/>
  <c r="Q10" i="45"/>
  <c r="R10" i="45" s="1"/>
  <c r="V8" i="45"/>
  <c r="U10" i="45"/>
  <c r="V10" i="45" s="1"/>
  <c r="V31" i="45" s="1"/>
  <c r="R8" i="44"/>
  <c r="Q10" i="44"/>
  <c r="R10" i="44" s="1"/>
  <c r="R10" i="43"/>
  <c r="R31" i="43" s="1"/>
  <c r="V8" i="44"/>
  <c r="U10" i="44"/>
  <c r="V10" i="44" s="1"/>
  <c r="V31" i="44" s="1"/>
  <c r="I10" i="43"/>
  <c r="G11" i="39"/>
  <c r="J8" i="45"/>
  <c r="I10" i="45"/>
  <c r="J10" i="45" s="1"/>
  <c r="J31" i="45" s="1"/>
  <c r="I110" i="4"/>
  <c r="M11" i="39"/>
  <c r="D11" i="39"/>
  <c r="P11" i="39"/>
  <c r="V8" i="46"/>
  <c r="J8" i="46"/>
  <c r="F8" i="46"/>
  <c r="R8" i="46"/>
  <c r="W387" i="4"/>
  <c r="D20" i="41"/>
  <c r="E20" i="41"/>
  <c r="D12" i="41"/>
  <c r="H12" i="41"/>
  <c r="F20" i="41"/>
  <c r="E12" i="41"/>
  <c r="H20" i="41"/>
  <c r="I86" i="4"/>
  <c r="F8" i="45"/>
  <c r="E36" i="44"/>
  <c r="I36" i="44" s="1"/>
  <c r="M36" i="44" s="1"/>
  <c r="Q36" i="44" s="1"/>
  <c r="U36" i="44" s="1"/>
  <c r="F8" i="44"/>
  <c r="V41" i="42"/>
  <c r="R41" i="42"/>
  <c r="N41" i="42"/>
  <c r="E36" i="45"/>
  <c r="I36" i="45" s="1"/>
  <c r="M36" i="45" s="1"/>
  <c r="Q36" i="45" s="1"/>
  <c r="U36" i="45" s="1"/>
  <c r="J41" i="42"/>
  <c r="B54" i="28"/>
  <c r="E54" i="28" s="1"/>
  <c r="E47" i="28"/>
  <c r="D47" i="28"/>
  <c r="W58" i="42"/>
  <c r="N93" i="42"/>
  <c r="W78" i="42"/>
  <c r="W80" i="42"/>
  <c r="W57" i="42"/>
  <c r="W34" i="42"/>
  <c r="C41" i="42"/>
  <c r="F41" i="42" s="1"/>
  <c r="N37" i="42"/>
  <c r="I113" i="4"/>
  <c r="C108" i="43"/>
  <c r="G108" i="43" s="1"/>
  <c r="K108" i="43" s="1"/>
  <c r="O108" i="43" s="1"/>
  <c r="S108" i="43" s="1"/>
  <c r="O55" i="4"/>
  <c r="L61" i="43"/>
  <c r="N61" i="43" s="1"/>
  <c r="U50" i="4"/>
  <c r="T59" i="43"/>
  <c r="V59" i="43" s="1"/>
  <c r="T53" i="43"/>
  <c r="V53" i="43" s="1"/>
  <c r="U54" i="4"/>
  <c r="L62" i="43"/>
  <c r="N62" i="43" s="1"/>
  <c r="O59" i="4"/>
  <c r="I54" i="4"/>
  <c r="D53" i="43"/>
  <c r="F53" i="43" s="1"/>
  <c r="L50" i="4"/>
  <c r="H59" i="43"/>
  <c r="J59" i="43" s="1"/>
  <c r="L49" i="4"/>
  <c r="H52" i="43"/>
  <c r="J52" i="43" s="1"/>
  <c r="P52" i="43"/>
  <c r="R52" i="43" s="1"/>
  <c r="R49" i="4"/>
  <c r="H53" i="43"/>
  <c r="J53" i="43" s="1"/>
  <c r="L54" i="4"/>
  <c r="L59" i="43"/>
  <c r="N59" i="43" s="1"/>
  <c r="O50" i="4"/>
  <c r="P61" i="43"/>
  <c r="R61" i="43" s="1"/>
  <c r="R55" i="4"/>
  <c r="I50" i="4"/>
  <c r="D59" i="43"/>
  <c r="F59" i="43" s="1"/>
  <c r="T61" i="43"/>
  <c r="V61" i="43" s="1"/>
  <c r="U55" i="4"/>
  <c r="O54" i="4"/>
  <c r="L53" i="43"/>
  <c r="N53" i="43" s="1"/>
  <c r="P59" i="43"/>
  <c r="R59" i="43" s="1"/>
  <c r="R50" i="4"/>
  <c r="L52" i="43"/>
  <c r="N52" i="43" s="1"/>
  <c r="O49" i="4"/>
  <c r="I55" i="4"/>
  <c r="D61" i="43"/>
  <c r="F61" i="43" s="1"/>
  <c r="P53" i="43"/>
  <c r="R53" i="43" s="1"/>
  <c r="R54" i="4"/>
  <c r="U49" i="4"/>
  <c r="T52" i="43"/>
  <c r="V52" i="43" s="1"/>
  <c r="L55" i="4"/>
  <c r="H61" i="43"/>
  <c r="J61" i="43" s="1"/>
  <c r="I49" i="4"/>
  <c r="D52" i="43"/>
  <c r="F52" i="43" s="1"/>
  <c r="P34" i="39"/>
  <c r="U34" i="43"/>
  <c r="V34" i="43" s="1"/>
  <c r="V35" i="43" s="1"/>
  <c r="S41" i="43" s="1"/>
  <c r="V41" i="43" s="1"/>
  <c r="M34" i="39"/>
  <c r="Q34" i="43"/>
  <c r="R34" i="43" s="1"/>
  <c r="R35" i="43" s="1"/>
  <c r="O41" i="43" s="1"/>
  <c r="R41" i="43" s="1"/>
  <c r="O35" i="4"/>
  <c r="M34" i="43"/>
  <c r="N34" i="43" s="1"/>
  <c r="N35" i="43" s="1"/>
  <c r="G34" i="39"/>
  <c r="I34" i="43"/>
  <c r="J34" i="43" s="1"/>
  <c r="J35" i="43" s="1"/>
  <c r="G41" i="43" s="1"/>
  <c r="I35" i="4"/>
  <c r="I41" i="4" s="1"/>
  <c r="E34" i="43"/>
  <c r="F34" i="43" s="1"/>
  <c r="R110" i="4"/>
  <c r="U110" i="4"/>
  <c r="L110" i="4"/>
  <c r="O110" i="4"/>
  <c r="F39" i="41" s="1"/>
  <c r="H19" i="41"/>
  <c r="H11" i="41"/>
  <c r="E19" i="41"/>
  <c r="G11" i="41"/>
  <c r="I11" i="41" s="1"/>
  <c r="F19" i="41"/>
  <c r="F11" i="41"/>
  <c r="D11" i="41"/>
  <c r="F47" i="28"/>
  <c r="U32" i="4"/>
  <c r="Q31" i="39" s="1"/>
  <c r="R32" i="4"/>
  <c r="N31" i="39" s="1"/>
  <c r="O32" i="4"/>
  <c r="K31" i="39" s="1"/>
  <c r="I32" i="4"/>
  <c r="E31" i="39" s="1"/>
  <c r="O34" i="4"/>
  <c r="K33" i="39" s="1"/>
  <c r="L34" i="4"/>
  <c r="H33" i="39" s="1"/>
  <c r="U34" i="4"/>
  <c r="Q33" i="39" s="1"/>
  <c r="I16" i="4"/>
  <c r="E15" i="39" s="1"/>
  <c r="V383" i="4"/>
  <c r="X383" i="4" s="1"/>
  <c r="I13" i="4"/>
  <c r="E12" i="39" s="1"/>
  <c r="R34" i="4"/>
  <c r="N33" i="39" s="1"/>
  <c r="D20" i="28"/>
  <c r="U14" i="4"/>
  <c r="Q13" i="39" s="1"/>
  <c r="L13" i="4"/>
  <c r="H12" i="39" s="1"/>
  <c r="U13" i="4"/>
  <c r="Q12" i="39" s="1"/>
  <c r="R16" i="4"/>
  <c r="N15" i="39" s="1"/>
  <c r="O16" i="4"/>
  <c r="K15" i="39" s="1"/>
  <c r="R13" i="4"/>
  <c r="N12" i="39" s="1"/>
  <c r="O14" i="4"/>
  <c r="K13" i="39" s="1"/>
  <c r="L16" i="4"/>
  <c r="H15" i="39" s="1"/>
  <c r="H140" i="4"/>
  <c r="U16" i="4"/>
  <c r="Q15" i="39" s="1"/>
  <c r="O13" i="4"/>
  <c r="K12" i="39" s="1"/>
  <c r="V95" i="4"/>
  <c r="I287" i="4"/>
  <c r="J34" i="39"/>
  <c r="V385" i="4"/>
  <c r="X385" i="4" s="1"/>
  <c r="V123" i="4"/>
  <c r="X123" i="4" s="1"/>
  <c r="R15" i="4"/>
  <c r="N14" i="39" s="1"/>
  <c r="Q59" i="4"/>
  <c r="P81" i="42" s="1"/>
  <c r="R81" i="42" s="1"/>
  <c r="R93" i="42" s="1"/>
  <c r="L113" i="4"/>
  <c r="D34" i="39"/>
  <c r="L117" i="4"/>
  <c r="O12" i="4"/>
  <c r="V108" i="4"/>
  <c r="X108" i="4" s="1"/>
  <c r="O287" i="4"/>
  <c r="R14" i="4"/>
  <c r="N13" i="39" s="1"/>
  <c r="O117" i="4"/>
  <c r="U12" i="4"/>
  <c r="I14" i="4"/>
  <c r="E13" i="39" s="1"/>
  <c r="U287" i="4"/>
  <c r="L14" i="4"/>
  <c r="H13" i="39" s="1"/>
  <c r="R12" i="4"/>
  <c r="I12" i="4"/>
  <c r="V57" i="4"/>
  <c r="X57" i="4" s="1"/>
  <c r="H216" i="4"/>
  <c r="L15" i="4"/>
  <c r="H14" i="39" s="1"/>
  <c r="O15" i="4"/>
  <c r="K14" i="39" s="1"/>
  <c r="T59" i="4"/>
  <c r="T81" i="42" s="1"/>
  <c r="V81" i="42" s="1"/>
  <c r="V93" i="42" s="1"/>
  <c r="L115" i="4"/>
  <c r="I115" i="4"/>
  <c r="O115" i="4"/>
  <c r="R113" i="4"/>
  <c r="O113" i="4"/>
  <c r="V66" i="4"/>
  <c r="X66" i="4" s="1"/>
  <c r="V106" i="4"/>
  <c r="X106" i="4" s="1"/>
  <c r="U125" i="4"/>
  <c r="H41" i="41" s="1"/>
  <c r="R287" i="4"/>
  <c r="I15" i="4"/>
  <c r="E14" i="39" s="1"/>
  <c r="L287" i="4"/>
  <c r="L308" i="4" s="1"/>
  <c r="I117" i="4"/>
  <c r="V47" i="4"/>
  <c r="X47" i="4" s="1"/>
  <c r="U15" i="4"/>
  <c r="Q14" i="39" s="1"/>
  <c r="V52" i="4"/>
  <c r="X52" i="4" s="1"/>
  <c r="I37" i="41"/>
  <c r="I58" i="4"/>
  <c r="I59" i="4"/>
  <c r="V89" i="4"/>
  <c r="V48" i="4"/>
  <c r="X48" i="4" s="1"/>
  <c r="R35" i="4"/>
  <c r="L35" i="4"/>
  <c r="U35" i="4"/>
  <c r="V65" i="4"/>
  <c r="V83" i="4"/>
  <c r="X83" i="4" s="1"/>
  <c r="V78" i="4"/>
  <c r="K59" i="4"/>
  <c r="H81" i="42" s="1"/>
  <c r="J81" i="42" s="1"/>
  <c r="R84" i="4"/>
  <c r="O84" i="4"/>
  <c r="L84" i="4"/>
  <c r="U84" i="4"/>
  <c r="V68" i="4"/>
  <c r="X68" i="4" s="1"/>
  <c r="V53" i="4"/>
  <c r="X53" i="4" s="1"/>
  <c r="V80" i="4"/>
  <c r="X80" i="4" s="1"/>
  <c r="V105" i="4"/>
  <c r="R14" i="39" l="1"/>
  <c r="R12" i="39"/>
  <c r="R13" i="39"/>
  <c r="R15" i="39"/>
  <c r="R31" i="39"/>
  <c r="U311" i="4"/>
  <c r="U312" i="4" s="1"/>
  <c r="U308" i="4"/>
  <c r="I311" i="4"/>
  <c r="I308" i="4"/>
  <c r="Q10" i="42"/>
  <c r="R10" i="42" s="1"/>
  <c r="R31" i="42" s="1"/>
  <c r="O311" i="4"/>
  <c r="O308" i="4"/>
  <c r="R311" i="4"/>
  <c r="V287" i="4"/>
  <c r="V308" i="4" s="1"/>
  <c r="R308" i="4"/>
  <c r="W10" i="44"/>
  <c r="W31" i="44" s="1"/>
  <c r="R31" i="44"/>
  <c r="U10" i="42"/>
  <c r="V10" i="42" s="1"/>
  <c r="V31" i="42" s="1"/>
  <c r="I10" i="42"/>
  <c r="J10" i="42" s="1"/>
  <c r="J31" i="42" s="1"/>
  <c r="J10" i="43"/>
  <c r="J31" i="43" s="1"/>
  <c r="W10" i="45"/>
  <c r="W31" i="45" s="1"/>
  <c r="R31" i="45"/>
  <c r="F31" i="43"/>
  <c r="C40" i="43" s="1"/>
  <c r="X78" i="4"/>
  <c r="V84" i="4"/>
  <c r="I60" i="4"/>
  <c r="I125" i="4"/>
  <c r="D41" i="41" s="1"/>
  <c r="L311" i="4"/>
  <c r="R41" i="4"/>
  <c r="L41" i="4"/>
  <c r="U41" i="4"/>
  <c r="L40" i="4"/>
  <c r="U40" i="4"/>
  <c r="K34" i="39"/>
  <c r="O41" i="4"/>
  <c r="O40" i="4"/>
  <c r="I40" i="4"/>
  <c r="R40" i="4"/>
  <c r="F40" i="46"/>
  <c r="W8" i="46"/>
  <c r="J40" i="46"/>
  <c r="V40" i="46"/>
  <c r="I37" i="4"/>
  <c r="D29" i="41" s="1"/>
  <c r="J40" i="44"/>
  <c r="J40" i="45"/>
  <c r="V40" i="45"/>
  <c r="R40" i="45"/>
  <c r="V40" i="44"/>
  <c r="R40" i="44"/>
  <c r="W41" i="42"/>
  <c r="W8" i="45"/>
  <c r="W8" i="44"/>
  <c r="W81" i="42"/>
  <c r="W93" i="42" s="1"/>
  <c r="J93" i="42"/>
  <c r="N42" i="42"/>
  <c r="N48" i="42" s="1"/>
  <c r="N211" i="42" s="1"/>
  <c r="W35" i="42"/>
  <c r="L86" i="4"/>
  <c r="R86" i="4"/>
  <c r="G35" i="41" s="1"/>
  <c r="U86" i="4"/>
  <c r="H35" i="41" s="1"/>
  <c r="O86" i="4"/>
  <c r="L216" i="4"/>
  <c r="L240" i="4" s="1"/>
  <c r="X65" i="4"/>
  <c r="V50" i="4"/>
  <c r="X50" i="4" s="1"/>
  <c r="O60" i="4"/>
  <c r="F33" i="41" s="1"/>
  <c r="V55" i="4"/>
  <c r="X55" i="4" s="1"/>
  <c r="V49" i="4"/>
  <c r="X49" i="4" s="1"/>
  <c r="F108" i="43"/>
  <c r="F119" i="43" s="1"/>
  <c r="I140" i="4"/>
  <c r="I164" i="4" s="1"/>
  <c r="W59" i="43"/>
  <c r="W61" i="43"/>
  <c r="V54" i="4"/>
  <c r="X54" i="4" s="1"/>
  <c r="L59" i="4"/>
  <c r="L60" i="4" s="1"/>
  <c r="E33" i="41" s="1"/>
  <c r="H62" i="43"/>
  <c r="J62" i="43" s="1"/>
  <c r="P62" i="43"/>
  <c r="R62" i="43" s="1"/>
  <c r="R64" i="43" s="1"/>
  <c r="R59" i="4"/>
  <c r="R60" i="4" s="1"/>
  <c r="G33" i="41" s="1"/>
  <c r="N64" i="43"/>
  <c r="U59" i="4"/>
  <c r="U60" i="4" s="1"/>
  <c r="H33" i="41" s="1"/>
  <c r="T62" i="43"/>
  <c r="V62" i="43" s="1"/>
  <c r="V64" i="43" s="1"/>
  <c r="W53" i="43"/>
  <c r="F64" i="43"/>
  <c r="W52" i="43"/>
  <c r="E34" i="39"/>
  <c r="W34" i="43"/>
  <c r="F35" i="43"/>
  <c r="C41" i="43" s="1"/>
  <c r="K41" i="43"/>
  <c r="N41" i="43" s="1"/>
  <c r="N42" i="43" s="1"/>
  <c r="N47" i="43" s="1"/>
  <c r="N37" i="43"/>
  <c r="J41" i="43"/>
  <c r="X95" i="4"/>
  <c r="V110" i="4"/>
  <c r="B22" i="28" s="1"/>
  <c r="R125" i="4"/>
  <c r="G41" i="41" s="1"/>
  <c r="D25" i="28"/>
  <c r="L140" i="4"/>
  <c r="L164" i="4" s="1"/>
  <c r="R140" i="4"/>
  <c r="R164" i="4" s="1"/>
  <c r="U140" i="4"/>
  <c r="U164" i="4" s="1"/>
  <c r="O140" i="4"/>
  <c r="O164" i="4" s="1"/>
  <c r="G39" i="41"/>
  <c r="E39" i="41"/>
  <c r="H39" i="41"/>
  <c r="D39" i="41"/>
  <c r="R33" i="39"/>
  <c r="V34" i="4"/>
  <c r="X34" i="4" s="1"/>
  <c r="V13" i="4"/>
  <c r="X13" i="4" s="1"/>
  <c r="W84" i="4"/>
  <c r="V16" i="4"/>
  <c r="X16" i="4" s="1"/>
  <c r="V32" i="4"/>
  <c r="X32" i="4" s="1"/>
  <c r="O216" i="4"/>
  <c r="O240" i="4" s="1"/>
  <c r="L125" i="4"/>
  <c r="E41" i="41" s="1"/>
  <c r="O37" i="4"/>
  <c r="F29" i="41" s="1"/>
  <c r="V14" i="4"/>
  <c r="X14" i="4" s="1"/>
  <c r="O125" i="4"/>
  <c r="F41" i="41" s="1"/>
  <c r="D29" i="28"/>
  <c r="R37" i="4"/>
  <c r="G29" i="41" s="1"/>
  <c r="V12" i="4"/>
  <c r="X12" i="4" s="1"/>
  <c r="V115" i="4"/>
  <c r="X115" i="4" s="1"/>
  <c r="V15" i="4"/>
  <c r="X15" i="4" s="1"/>
  <c r="R216" i="4"/>
  <c r="R240" i="4" s="1"/>
  <c r="I216" i="4"/>
  <c r="U216" i="4"/>
  <c r="U240" i="4" s="1"/>
  <c r="V58" i="4"/>
  <c r="X58" i="4" s="1"/>
  <c r="V117" i="4"/>
  <c r="X117" i="4" s="1"/>
  <c r="L37" i="4"/>
  <c r="E29" i="41" s="1"/>
  <c r="V113" i="4"/>
  <c r="V86" i="4"/>
  <c r="B20" i="28" s="1"/>
  <c r="Q34" i="39"/>
  <c r="V91" i="4"/>
  <c r="B21" i="28" s="1"/>
  <c r="X89" i="4"/>
  <c r="H34" i="39"/>
  <c r="V35" i="4"/>
  <c r="X35" i="4" s="1"/>
  <c r="N34" i="39"/>
  <c r="U37" i="4"/>
  <c r="H29" i="41" s="1"/>
  <c r="X105" i="4"/>
  <c r="X86" i="4" l="1"/>
  <c r="W62" i="43"/>
  <c r="W31" i="42"/>
  <c r="W10" i="43"/>
  <c r="W31" i="43" s="1"/>
  <c r="W10" i="42"/>
  <c r="V311" i="4"/>
  <c r="H11" i="39"/>
  <c r="N11" i="39"/>
  <c r="K11" i="39"/>
  <c r="E11" i="39"/>
  <c r="Q11" i="39"/>
  <c r="I237" i="4"/>
  <c r="I240" i="4"/>
  <c r="J8" i="42"/>
  <c r="C40" i="42"/>
  <c r="F40" i="42" s="1"/>
  <c r="I43" i="4"/>
  <c r="D31" i="41" s="1"/>
  <c r="X37" i="4"/>
  <c r="L312" i="4"/>
  <c r="L379" i="4" s="1"/>
  <c r="R312" i="4"/>
  <c r="O312" i="4"/>
  <c r="R40" i="46"/>
  <c r="W40" i="46" s="1"/>
  <c r="F40" i="45"/>
  <c r="W40" i="45" s="1"/>
  <c r="F40" i="44"/>
  <c r="W40" i="44" s="1"/>
  <c r="V8" i="42"/>
  <c r="F8" i="42"/>
  <c r="F37" i="42" s="1"/>
  <c r="F8" i="43"/>
  <c r="V8" i="43"/>
  <c r="J8" i="43"/>
  <c r="R8" i="43"/>
  <c r="I312" i="4"/>
  <c r="I379" i="4" s="1"/>
  <c r="S40" i="42"/>
  <c r="O40" i="42"/>
  <c r="G40" i="42"/>
  <c r="R8" i="42"/>
  <c r="C36" i="46"/>
  <c r="F36" i="46" s="1"/>
  <c r="F33" i="46"/>
  <c r="G36" i="46"/>
  <c r="J36" i="46" s="1"/>
  <c r="J33" i="46"/>
  <c r="J108" i="43"/>
  <c r="J119" i="43" s="1"/>
  <c r="V59" i="4"/>
  <c r="X59" i="4" s="1"/>
  <c r="X60" i="4" s="1"/>
  <c r="J64" i="43"/>
  <c r="F41" i="43"/>
  <c r="W41" i="43" s="1"/>
  <c r="W35" i="43"/>
  <c r="X110" i="4"/>
  <c r="L43" i="4"/>
  <c r="E31" i="41" s="1"/>
  <c r="D30" i="28"/>
  <c r="F35" i="41"/>
  <c r="E35" i="41"/>
  <c r="D33" i="41"/>
  <c r="I33" i="41" s="1"/>
  <c r="V140" i="4"/>
  <c r="I39" i="41"/>
  <c r="R161" i="4"/>
  <c r="O161" i="4"/>
  <c r="L161" i="4"/>
  <c r="U161" i="4"/>
  <c r="I161" i="4"/>
  <c r="L237" i="4"/>
  <c r="R237" i="4"/>
  <c r="O237" i="4"/>
  <c r="U237" i="4"/>
  <c r="X287" i="4"/>
  <c r="I41" i="41"/>
  <c r="V216" i="4"/>
  <c r="V40" i="4"/>
  <c r="X40" i="4" s="1"/>
  <c r="U43" i="4"/>
  <c r="H31" i="41" s="1"/>
  <c r="H44" i="41" s="1"/>
  <c r="O43" i="4"/>
  <c r="F31" i="41" s="1"/>
  <c r="X113" i="4"/>
  <c r="V125" i="4"/>
  <c r="B23" i="28" s="1"/>
  <c r="V41" i="4"/>
  <c r="X41" i="4" s="1"/>
  <c r="R34" i="39"/>
  <c r="X91" i="4"/>
  <c r="I29" i="41"/>
  <c r="X84" i="4"/>
  <c r="Y84" i="4" s="1"/>
  <c r="R43" i="4"/>
  <c r="G31" i="41" s="1"/>
  <c r="V37" i="4"/>
  <c r="O379" i="4" l="1"/>
  <c r="R379" i="4"/>
  <c r="U379" i="4"/>
  <c r="G40" i="43"/>
  <c r="J40" i="43" s="1"/>
  <c r="J46" i="42"/>
  <c r="I241" i="4"/>
  <c r="I282" i="4" s="1"/>
  <c r="O241" i="4"/>
  <c r="O282" i="4" s="1"/>
  <c r="U165" i="4"/>
  <c r="U211" i="4" s="1"/>
  <c r="L241" i="4"/>
  <c r="L282" i="4" s="1"/>
  <c r="R241" i="4"/>
  <c r="R282" i="4" s="1"/>
  <c r="L165" i="4"/>
  <c r="L211" i="4" s="1"/>
  <c r="R165" i="4"/>
  <c r="R211" i="4" s="1"/>
  <c r="U241" i="4"/>
  <c r="U282" i="4" s="1"/>
  <c r="O165" i="4"/>
  <c r="O211" i="4" s="1"/>
  <c r="I165" i="4"/>
  <c r="I211" i="4" s="1"/>
  <c r="V46" i="42"/>
  <c r="F46" i="42"/>
  <c r="R40" i="42"/>
  <c r="V45" i="43"/>
  <c r="R46" i="42"/>
  <c r="F45" i="43"/>
  <c r="R45" i="43"/>
  <c r="V37" i="42"/>
  <c r="V40" i="42"/>
  <c r="J45" i="43"/>
  <c r="J37" i="42"/>
  <c r="J40" i="42"/>
  <c r="R37" i="43"/>
  <c r="W8" i="43"/>
  <c r="V37" i="43"/>
  <c r="S40" i="43"/>
  <c r="V40" i="43" s="1"/>
  <c r="O40" i="43"/>
  <c r="R40" i="43" s="1"/>
  <c r="J37" i="43"/>
  <c r="R37" i="42"/>
  <c r="W8" i="42"/>
  <c r="F40" i="43"/>
  <c r="F37" i="43"/>
  <c r="J37" i="46"/>
  <c r="J42" i="46" s="1"/>
  <c r="J106" i="46" s="1"/>
  <c r="G110" i="46" s="1"/>
  <c r="J110" i="46" s="1"/>
  <c r="J112" i="46" s="1"/>
  <c r="J114" i="46" s="1"/>
  <c r="J122" i="46" s="1"/>
  <c r="C36" i="45"/>
  <c r="F36" i="45" s="1"/>
  <c r="F33" i="45"/>
  <c r="F37" i="46"/>
  <c r="V60" i="4"/>
  <c r="B19" i="28" s="1"/>
  <c r="N108" i="43"/>
  <c r="N119" i="43" s="1"/>
  <c r="N132" i="43" s="1"/>
  <c r="W64" i="43"/>
  <c r="E44" i="41"/>
  <c r="E46" i="41" s="1"/>
  <c r="E48" i="41" s="1"/>
  <c r="J214" i="42" s="1"/>
  <c r="R11" i="39"/>
  <c r="R35" i="39" s="1"/>
  <c r="X140" i="4"/>
  <c r="F44" i="41"/>
  <c r="F46" i="41" s="1"/>
  <c r="F48" i="41" s="1"/>
  <c r="N214" i="42" s="1"/>
  <c r="H46" i="41"/>
  <c r="H48" i="41" s="1"/>
  <c r="V214" i="42" s="1"/>
  <c r="G44" i="41"/>
  <c r="G46" i="41" s="1"/>
  <c r="G48" i="41" s="1"/>
  <c r="R214" i="42" s="1"/>
  <c r="V161" i="4"/>
  <c r="X216" i="4"/>
  <c r="X237" i="4" s="1"/>
  <c r="V237" i="4"/>
  <c r="V240" i="4"/>
  <c r="X240" i="4" s="1"/>
  <c r="V164" i="4"/>
  <c r="N35" i="39"/>
  <c r="E35" i="39"/>
  <c r="X125" i="4"/>
  <c r="Q35" i="39"/>
  <c r="H35" i="39"/>
  <c r="V43" i="4"/>
  <c r="K35" i="39"/>
  <c r="I31" i="41"/>
  <c r="X308" i="4"/>
  <c r="D31" i="28"/>
  <c r="W391" i="4"/>
  <c r="E21" i="28"/>
  <c r="F21" i="28"/>
  <c r="E22" i="28"/>
  <c r="F22" i="28"/>
  <c r="X43" i="4"/>
  <c r="R387" i="4" l="1"/>
  <c r="O387" i="4"/>
  <c r="I387" i="4"/>
  <c r="I389" i="4" s="1"/>
  <c r="L387" i="4"/>
  <c r="U387" i="4"/>
  <c r="F19" i="28"/>
  <c r="J42" i="43"/>
  <c r="J47" i="43" s="1"/>
  <c r="J132" i="43" s="1"/>
  <c r="V42" i="43"/>
  <c r="V47" i="43" s="1"/>
  <c r="F42" i="43"/>
  <c r="F47" i="43" s="1"/>
  <c r="F132" i="43" s="1"/>
  <c r="C135" i="43" s="1"/>
  <c r="F135" i="43" s="1"/>
  <c r="R42" i="43"/>
  <c r="R47" i="43" s="1"/>
  <c r="W40" i="42"/>
  <c r="J42" i="42"/>
  <c r="J48" i="42" s="1"/>
  <c r="V42" i="42"/>
  <c r="V48" i="42" s="1"/>
  <c r="V211" i="42" s="1"/>
  <c r="K135" i="43"/>
  <c r="N135" i="43" s="1"/>
  <c r="N138" i="43" s="1"/>
  <c r="N140" i="43" s="1"/>
  <c r="N142" i="43" s="1"/>
  <c r="V312" i="4"/>
  <c r="V379" i="4" s="1"/>
  <c r="W37" i="43"/>
  <c r="W40" i="43"/>
  <c r="W46" i="42"/>
  <c r="W37" i="42"/>
  <c r="F42" i="42"/>
  <c r="N33" i="46"/>
  <c r="K36" i="46"/>
  <c r="N36" i="46" s="1"/>
  <c r="F42" i="46"/>
  <c r="F37" i="45"/>
  <c r="J33" i="45"/>
  <c r="G36" i="45"/>
  <c r="J36" i="45" s="1"/>
  <c r="J37" i="45" s="1"/>
  <c r="J41" i="45" s="1"/>
  <c r="R33" i="46"/>
  <c r="O36" i="46"/>
  <c r="R36" i="46" s="1"/>
  <c r="S36" i="46"/>
  <c r="V36" i="46" s="1"/>
  <c r="V33" i="46"/>
  <c r="G36" i="44"/>
  <c r="J36" i="44" s="1"/>
  <c r="J37" i="44" s="1"/>
  <c r="J42" i="44" s="1"/>
  <c r="J33" i="44"/>
  <c r="F36" i="44"/>
  <c r="F33" i="44"/>
  <c r="V108" i="43"/>
  <c r="V119" i="43" s="1"/>
  <c r="R108" i="43"/>
  <c r="X241" i="4"/>
  <c r="X282" i="4" s="1"/>
  <c r="V241" i="4"/>
  <c r="V282" i="4" s="1"/>
  <c r="B29" i="28" s="1"/>
  <c r="X164" i="4"/>
  <c r="X165" i="4" s="1"/>
  <c r="V165" i="4"/>
  <c r="V211" i="4" s="1"/>
  <c r="G53" i="41"/>
  <c r="F53" i="41"/>
  <c r="E53" i="41"/>
  <c r="D35" i="41"/>
  <c r="D44" i="41" s="1"/>
  <c r="D46" i="41" s="1"/>
  <c r="H51" i="41"/>
  <c r="F51" i="41"/>
  <c r="E51" i="41"/>
  <c r="X161" i="4"/>
  <c r="H53" i="41"/>
  <c r="H55" i="41"/>
  <c r="E55" i="41"/>
  <c r="F55" i="41"/>
  <c r="D53" i="41"/>
  <c r="D49" i="28"/>
  <c r="D60" i="28" s="1"/>
  <c r="F62" i="28" s="1"/>
  <c r="X311" i="4"/>
  <c r="X312" i="4" s="1"/>
  <c r="X379" i="4" s="1"/>
  <c r="J90" i="44" l="1"/>
  <c r="G94" i="44" s="1"/>
  <c r="J94" i="44" s="1"/>
  <c r="X211" i="4"/>
  <c r="B30" i="28"/>
  <c r="F30" i="28" s="1"/>
  <c r="B28" i="28"/>
  <c r="E19" i="28"/>
  <c r="W42" i="43"/>
  <c r="W45" i="43"/>
  <c r="R42" i="42"/>
  <c r="W42" i="42" s="1"/>
  <c r="J211" i="42"/>
  <c r="F138" i="43"/>
  <c r="F140" i="43" s="1"/>
  <c r="V132" i="43"/>
  <c r="F48" i="42"/>
  <c r="F211" i="42" s="1"/>
  <c r="F41" i="45"/>
  <c r="K36" i="45"/>
  <c r="N36" i="45" s="1"/>
  <c r="N33" i="45"/>
  <c r="F106" i="46"/>
  <c r="C110" i="46" s="1"/>
  <c r="F110" i="46" s="1"/>
  <c r="R37" i="46"/>
  <c r="R42" i="46" s="1"/>
  <c r="R106" i="46" s="1"/>
  <c r="O110" i="46" s="1"/>
  <c r="R110" i="46" s="1"/>
  <c r="R112" i="46" s="1"/>
  <c r="R114" i="46" s="1"/>
  <c r="R122" i="46" s="1"/>
  <c r="V37" i="46"/>
  <c r="V42" i="46" s="1"/>
  <c r="V106" i="46" s="1"/>
  <c r="S110" i="46" s="1"/>
  <c r="V110" i="46" s="1"/>
  <c r="V112" i="46" s="1"/>
  <c r="V114" i="46" s="1"/>
  <c r="V122" i="46" s="1"/>
  <c r="J86" i="45"/>
  <c r="G90" i="45" s="1"/>
  <c r="J90" i="45" s="1"/>
  <c r="J92" i="45" s="1"/>
  <c r="J94" i="45" s="1"/>
  <c r="J96" i="45" s="1"/>
  <c r="N37" i="46"/>
  <c r="W36" i="46"/>
  <c r="W33" i="46"/>
  <c r="F37" i="44"/>
  <c r="F42" i="44" s="1"/>
  <c r="F90" i="44" s="1"/>
  <c r="R119" i="43"/>
  <c r="W108" i="43"/>
  <c r="K36" i="44"/>
  <c r="N36" i="44" s="1"/>
  <c r="N37" i="44" s="1"/>
  <c r="N42" i="44" s="1"/>
  <c r="N33" i="44"/>
  <c r="G135" i="43"/>
  <c r="J135" i="43" s="1"/>
  <c r="J138" i="43" s="1"/>
  <c r="J140" i="43" s="1"/>
  <c r="J142" i="43" s="1"/>
  <c r="W47" i="43"/>
  <c r="G55" i="41"/>
  <c r="L389" i="4"/>
  <c r="U389" i="4"/>
  <c r="O389" i="4"/>
  <c r="O391" i="4" s="1"/>
  <c r="I35" i="41"/>
  <c r="I44" i="41" s="1"/>
  <c r="I53" i="41"/>
  <c r="D55" i="41"/>
  <c r="H56" i="41"/>
  <c r="H58" i="41" s="1"/>
  <c r="G51" i="41"/>
  <c r="N90" i="44" l="1"/>
  <c r="K94" i="44" s="1"/>
  <c r="N94" i="44" s="1"/>
  <c r="I55" i="41"/>
  <c r="V387" i="4"/>
  <c r="X387" i="4" s="1"/>
  <c r="R48" i="42"/>
  <c r="R211" i="42" s="1"/>
  <c r="H60" i="41"/>
  <c r="S135" i="43"/>
  <c r="V135" i="43" s="1"/>
  <c r="V138" i="43" s="1"/>
  <c r="V140" i="43" s="1"/>
  <c r="V142" i="43" s="1"/>
  <c r="N37" i="45"/>
  <c r="F86" i="45"/>
  <c r="C90" i="45" s="1"/>
  <c r="F90" i="45" s="1"/>
  <c r="F112" i="46"/>
  <c r="F114" i="46" s="1"/>
  <c r="O36" i="45"/>
  <c r="R36" i="45" s="1"/>
  <c r="R37" i="45" s="1"/>
  <c r="R41" i="45" s="1"/>
  <c r="R33" i="45"/>
  <c r="N42" i="46"/>
  <c r="W37" i="46"/>
  <c r="F93" i="44"/>
  <c r="C94" i="44"/>
  <c r="F94" i="44" s="1"/>
  <c r="J93" i="44"/>
  <c r="J96" i="44" s="1"/>
  <c r="J98" i="44" s="1"/>
  <c r="J102" i="44" s="1"/>
  <c r="W119" i="43"/>
  <c r="R132" i="43"/>
  <c r="V33" i="44"/>
  <c r="S36" i="44"/>
  <c r="V36" i="44" s="1"/>
  <c r="V37" i="44" s="1"/>
  <c r="V42" i="44" s="1"/>
  <c r="F142" i="43"/>
  <c r="G56" i="41"/>
  <c r="G58" i="41" s="1"/>
  <c r="G60" i="41" s="1"/>
  <c r="D48" i="41"/>
  <c r="F214" i="42" s="1"/>
  <c r="W214" i="42" s="1"/>
  <c r="I46" i="41"/>
  <c r="R389" i="4"/>
  <c r="R391" i="4" s="1"/>
  <c r="D51" i="41"/>
  <c r="I51" i="41" s="1"/>
  <c r="U391" i="4"/>
  <c r="F56" i="41"/>
  <c r="F58" i="41" s="1"/>
  <c r="F60" i="41" s="1"/>
  <c r="V90" i="44" l="1"/>
  <c r="S94" i="44" s="1"/>
  <c r="V94" i="44" s="1"/>
  <c r="F96" i="44"/>
  <c r="F98" i="44" s="1"/>
  <c r="F102" i="44" s="1"/>
  <c r="W48" i="42"/>
  <c r="W211" i="42" s="1"/>
  <c r="F62" i="41"/>
  <c r="N215" i="42"/>
  <c r="N217" i="42" s="1"/>
  <c r="N219" i="42" s="1"/>
  <c r="N231" i="42" s="1"/>
  <c r="G62" i="41"/>
  <c r="R215" i="42"/>
  <c r="R217" i="42" s="1"/>
  <c r="R219" i="42" s="1"/>
  <c r="R231" i="42" s="1"/>
  <c r="H62" i="41"/>
  <c r="V215" i="42"/>
  <c r="V217" i="42" s="1"/>
  <c r="V219" i="42" s="1"/>
  <c r="V231" i="42" s="1"/>
  <c r="W132" i="43"/>
  <c r="O135" i="43"/>
  <c r="R135" i="43" s="1"/>
  <c r="R138" i="43" s="1"/>
  <c r="R140" i="43" s="1"/>
  <c r="R86" i="45"/>
  <c r="O90" i="45" s="1"/>
  <c r="R90" i="45" s="1"/>
  <c r="R92" i="45" s="1"/>
  <c r="R94" i="45" s="1"/>
  <c r="R96" i="45" s="1"/>
  <c r="N106" i="46"/>
  <c r="K110" i="46" s="1"/>
  <c r="N110" i="46" s="1"/>
  <c r="W42" i="46"/>
  <c r="N41" i="45"/>
  <c r="S36" i="45"/>
  <c r="V36" i="45" s="1"/>
  <c r="V37" i="45" s="1"/>
  <c r="V41" i="45" s="1"/>
  <c r="V33" i="45"/>
  <c r="F92" i="45"/>
  <c r="F94" i="45" s="1"/>
  <c r="F122" i="46"/>
  <c r="N93" i="44"/>
  <c r="N96" i="44" s="1"/>
  <c r="N98" i="44" s="1"/>
  <c r="N102" i="44" s="1"/>
  <c r="O36" i="44"/>
  <c r="R36" i="44" s="1"/>
  <c r="R33" i="44"/>
  <c r="I48" i="41"/>
  <c r="F20" i="28"/>
  <c r="E20" i="28"/>
  <c r="E56" i="41"/>
  <c r="E58" i="41" s="1"/>
  <c r="R142" i="43" l="1"/>
  <c r="W142" i="43" s="1"/>
  <c r="W140" i="43"/>
  <c r="W33" i="44"/>
  <c r="W106" i="46"/>
  <c r="E30" i="28" s="1"/>
  <c r="E23" i="28"/>
  <c r="F23" i="28"/>
  <c r="W135" i="43"/>
  <c r="W138" i="43" s="1"/>
  <c r="W37" i="45"/>
  <c r="W41" i="45"/>
  <c r="N86" i="45"/>
  <c r="K90" i="45" s="1"/>
  <c r="N90" i="45" s="1"/>
  <c r="W36" i="45"/>
  <c r="F96" i="45"/>
  <c r="N112" i="46"/>
  <c r="N114" i="46" s="1"/>
  <c r="W110" i="46"/>
  <c r="W112" i="46" s="1"/>
  <c r="V86" i="45"/>
  <c r="S90" i="45" s="1"/>
  <c r="V90" i="45" s="1"/>
  <c r="V92" i="45" s="1"/>
  <c r="V94" i="45" s="1"/>
  <c r="V96" i="45" s="1"/>
  <c r="W33" i="45"/>
  <c r="V93" i="44"/>
  <c r="V96" i="44" s="1"/>
  <c r="V98" i="44" s="1"/>
  <c r="V102" i="44" s="1"/>
  <c r="R37" i="44"/>
  <c r="W36" i="44"/>
  <c r="E60" i="41"/>
  <c r="I56" i="41"/>
  <c r="D56" i="41"/>
  <c r="D58" i="41" s="1"/>
  <c r="I58" i="41" s="1"/>
  <c r="I391" i="4"/>
  <c r="L391" i="4"/>
  <c r="E62" i="41" l="1"/>
  <c r="J215" i="42"/>
  <c r="J217" i="42" s="1"/>
  <c r="J219" i="42" s="1"/>
  <c r="J231" i="42" s="1"/>
  <c r="N122" i="46"/>
  <c r="W122" i="46" s="1"/>
  <c r="W114" i="46"/>
  <c r="N92" i="45"/>
  <c r="N94" i="45" s="1"/>
  <c r="W90" i="45"/>
  <c r="W92" i="45" s="1"/>
  <c r="W86" i="45"/>
  <c r="W37" i="44"/>
  <c r="R42" i="44"/>
  <c r="R90" i="44" s="1"/>
  <c r="I60" i="41"/>
  <c r="I62" i="41" s="1"/>
  <c r="V391" i="4"/>
  <c r="V389" i="4"/>
  <c r="X391" i="4" l="1"/>
  <c r="F29" i="28"/>
  <c r="E29" i="28"/>
  <c r="N96" i="45"/>
  <c r="W96" i="45" s="1"/>
  <c r="W94" i="45"/>
  <c r="O94" i="44"/>
  <c r="R94" i="44" s="1"/>
  <c r="W94" i="44" s="1"/>
  <c r="W42" i="44"/>
  <c r="X389" i="4"/>
  <c r="D60" i="41"/>
  <c r="W90" i="44" l="1"/>
  <c r="F28" i="28" s="1"/>
  <c r="F31" i="28" s="1"/>
  <c r="D62" i="41"/>
  <c r="F215" i="42"/>
  <c r="R93" i="44"/>
  <c r="B31" i="28" l="1"/>
  <c r="B53" i="28" s="1"/>
  <c r="E28" i="28"/>
  <c r="E31" i="28" s="1"/>
  <c r="W215" i="42"/>
  <c r="W217" i="42" s="1"/>
  <c r="F217" i="42"/>
  <c r="F219" i="42" s="1"/>
  <c r="R96" i="44"/>
  <c r="R98" i="44" s="1"/>
  <c r="W93" i="44"/>
  <c r="W96" i="44" s="1"/>
  <c r="W219" i="42" l="1"/>
  <c r="W231" i="42" s="1"/>
  <c r="F231" i="42"/>
  <c r="E53" i="28"/>
  <c r="W98" i="44"/>
  <c r="R102" i="44"/>
  <c r="W102" i="44" s="1"/>
  <c r="B17" i="28"/>
  <c r="F17" i="28" l="1"/>
  <c r="E17" i="28"/>
  <c r="C25" i="28"/>
  <c r="C52" i="28" s="1"/>
  <c r="C56" i="28" s="1"/>
  <c r="B18" i="28"/>
  <c r="E18" i="28" s="1"/>
  <c r="E25" i="28" l="1"/>
  <c r="E49" i="28" s="1"/>
  <c r="B25" i="28"/>
  <c r="B52" i="28" s="1"/>
  <c r="F18" i="28"/>
  <c r="F25" i="28" s="1"/>
  <c r="F49" i="28" s="1"/>
  <c r="C49" i="28"/>
  <c r="C60" i="28" s="1"/>
  <c r="B49" i="28" l="1"/>
  <c r="E52" i="28" l="1"/>
  <c r="E56" i="28" s="1"/>
  <c r="E60" i="28" s="1"/>
  <c r="B56" i="28"/>
  <c r="B60" i="28" l="1"/>
  <c r="F60" i="28"/>
</calcChain>
</file>

<file path=xl/sharedStrings.xml><?xml version="1.0" encoding="utf-8"?>
<sst xmlns="http://schemas.openxmlformats.org/spreadsheetml/2006/main" count="2145" uniqueCount="613">
  <si>
    <t>Attachment 9</t>
  </si>
  <si>
    <t>Proposed Budget Summary</t>
  </si>
  <si>
    <t>Program (FFPr or MGD):</t>
  </si>
  <si>
    <t>FFPr</t>
  </si>
  <si>
    <t xml:space="preserve">Country of Operation: </t>
  </si>
  <si>
    <t>Tunisia</t>
  </si>
  <si>
    <t>Implementing Organization:</t>
  </si>
  <si>
    <t>Partners of the Americas Inc.</t>
  </si>
  <si>
    <t xml:space="preserve">Fiscal Year:  </t>
  </si>
  <si>
    <t>2024</t>
  </si>
  <si>
    <t xml:space="preserve">Agreement Number: </t>
  </si>
  <si>
    <t>USDA-FAS-10.606-0700-24(480)</t>
  </si>
  <si>
    <t>Total Amount of Federal Funds Requested</t>
  </si>
  <si>
    <t>Funding Source
(FAS for MGD)
(CCC for FFPr)</t>
  </si>
  <si>
    <t>Funding Year</t>
  </si>
  <si>
    <t>Commodity Cost</t>
  </si>
  <si>
    <t>Freight Cost</t>
  </si>
  <si>
    <t>Administrative Costs (cash portion)</t>
  </si>
  <si>
    <t>Total Federal Funding Obligated</t>
  </si>
  <si>
    <t>Project Operating Budget</t>
  </si>
  <si>
    <t>Expense Type</t>
  </si>
  <si>
    <t>Monetization Proceeds (FFPr Only)</t>
  </si>
  <si>
    <t>FAS or CCC Funds (CCC is Admin Only)</t>
  </si>
  <si>
    <t>Cost Share</t>
  </si>
  <si>
    <t>Total w/out Cost Share</t>
  </si>
  <si>
    <t>Total w/Cost Share</t>
  </si>
  <si>
    <t xml:space="preserve">Administration </t>
  </si>
  <si>
    <t>Salaries/Personnel</t>
  </si>
  <si>
    <t>Benefits</t>
  </si>
  <si>
    <t>Travel</t>
  </si>
  <si>
    <t>Professional Services/Contractual</t>
  </si>
  <si>
    <t>Equipment</t>
  </si>
  <si>
    <t>Office</t>
  </si>
  <si>
    <t>Supplies</t>
  </si>
  <si>
    <t>Other</t>
  </si>
  <si>
    <t>Total Administration</t>
  </si>
  <si>
    <t xml:space="preserve">Activities </t>
  </si>
  <si>
    <t xml:space="preserve">Activity 1: Increase Use of Climate Smart Agriculture and Water Management  </t>
  </si>
  <si>
    <t>Activity 2: Increase Productivity of the Oasis Agricultural System</t>
  </si>
  <si>
    <t xml:space="preserve">Activity 3: Increase Use of Sustainable Oasis Agricultural System Business Models </t>
  </si>
  <si>
    <t>Total Activities</t>
  </si>
  <si>
    <t>Commodity and Food Purchases (N/A to FFPr)</t>
  </si>
  <si>
    <t>Commodity Procurement</t>
  </si>
  <si>
    <t>Food Vouchers (N/A to MGD)</t>
  </si>
  <si>
    <t>Cash Transfers (N/A to MGD)</t>
  </si>
  <si>
    <t>Total Commodity Procurement</t>
  </si>
  <si>
    <t>ITSH (N/A to FFPr)</t>
  </si>
  <si>
    <t>Salaries</t>
  </si>
  <si>
    <t>Transportation</t>
  </si>
  <si>
    <t>Professional Services</t>
  </si>
  <si>
    <t>Warehouse</t>
  </si>
  <si>
    <t>Total ITSH</t>
  </si>
  <si>
    <t>Total Direct Costs</t>
  </si>
  <si>
    <t>Indirect Costs</t>
  </si>
  <si>
    <t>ICR on Administration</t>
  </si>
  <si>
    <t>ICR on Activities</t>
  </si>
  <si>
    <t>ICR on Commodity and Food Purchases (N/A to FFPr)</t>
  </si>
  <si>
    <t>ICR on ITSH (N/A to FFPr)</t>
  </si>
  <si>
    <t>Total Indirect Costs</t>
  </si>
  <si>
    <t>Anticipated Program Income</t>
  </si>
  <si>
    <t>Grand Total Costs</t>
  </si>
  <si>
    <t>Total Amount of Federal Award (Total Federal Funds Requested Plus Cost Share):</t>
  </si>
  <si>
    <t>Item</t>
  </si>
  <si>
    <t>Type of Unit</t>
  </si>
  <si>
    <t>Year 1</t>
  </si>
  <si>
    <t>Year 2</t>
  </si>
  <si>
    <t>Year 3</t>
  </si>
  <si>
    <t>Year 4</t>
  </si>
  <si>
    <t>Year 5</t>
  </si>
  <si>
    <t>Total</t>
  </si>
  <si>
    <t>Cost</t>
  </si>
  <si>
    <t>Quantity</t>
  </si>
  <si>
    <t>Percent Allocated</t>
  </si>
  <si>
    <t xml:space="preserve">Direct Costs </t>
  </si>
  <si>
    <t>USN/TCN Staff</t>
  </si>
  <si>
    <t>None</t>
  </si>
  <si>
    <t>Total: Expatriate Salaries &amp; Wages</t>
  </si>
  <si>
    <t>CNN Staff</t>
  </si>
  <si>
    <t>Total Local Salary Cost</t>
  </si>
  <si>
    <t xml:space="preserve"> HQ Staff</t>
  </si>
  <si>
    <t>Total HQ Staff</t>
  </si>
  <si>
    <t>Subtotal: Salaries &amp; Wages</t>
  </si>
  <si>
    <t xml:space="preserve"> Fringe</t>
  </si>
  <si>
    <t>CCN Staff</t>
  </si>
  <si>
    <t>HQ Staff</t>
  </si>
  <si>
    <t xml:space="preserve">Total: Fringe Benefits  </t>
  </si>
  <si>
    <t>Allowances</t>
  </si>
  <si>
    <t>Total: Allowances</t>
  </si>
  <si>
    <t>Subtotal: Benefits</t>
  </si>
  <si>
    <t>International Travel</t>
  </si>
  <si>
    <t>Local Travel</t>
  </si>
  <si>
    <t>Local Transportation (Car Rental, Taxis) - Activity 1</t>
  </si>
  <si>
    <t>Local Transportation (Car Rental, Taxis) - Activity 3</t>
  </si>
  <si>
    <t>Vehicle Fuel</t>
  </si>
  <si>
    <t>Vehicle Fuel Expense - Admin, Act. 1-2</t>
  </si>
  <si>
    <t>Vehicle Fuel Expense - Act. 3</t>
  </si>
  <si>
    <t>Per Diem &amp; Lodging</t>
  </si>
  <si>
    <t>Subtotal: Travel</t>
  </si>
  <si>
    <t>Subtotal: Professional Services/Contractual</t>
  </si>
  <si>
    <t>Equipment (&gt;$5000/unit)</t>
  </si>
  <si>
    <t>Subtotal: Equipment</t>
  </si>
  <si>
    <t>Subtotal: Office</t>
  </si>
  <si>
    <t>Subtotal: Supplies</t>
  </si>
  <si>
    <t>Other Direct Cost</t>
  </si>
  <si>
    <t>Training &amp; Materials</t>
  </si>
  <si>
    <t>Materials Development</t>
  </si>
  <si>
    <t>Events</t>
  </si>
  <si>
    <t>Grants</t>
  </si>
  <si>
    <t>Maintenance</t>
  </si>
  <si>
    <t>Insurance</t>
  </si>
  <si>
    <t>Subtotal: Other Direct Cost</t>
  </si>
  <si>
    <t>Total Direct Cost</t>
  </si>
  <si>
    <t>Subtotal Indirect Cost</t>
  </si>
  <si>
    <t>Total Estimated Cost (Direct Cost + Indirect Cost)</t>
  </si>
  <si>
    <t>Total Estimated Cost (Direct Cost + Indirect Cost+ Cost Share)</t>
  </si>
  <si>
    <t>Anticipated Program Income (baked in costs and this is for reference)</t>
  </si>
  <si>
    <t>Chart of Accounts</t>
  </si>
  <si>
    <t>Line#</t>
  </si>
  <si>
    <t>Account</t>
  </si>
  <si>
    <t>Account Name</t>
  </si>
  <si>
    <t/>
  </si>
  <si>
    <t>50-01-2-020</t>
  </si>
  <si>
    <t>DIR-USN (Expat) Labor</t>
  </si>
  <si>
    <t>50-03-0-020</t>
  </si>
  <si>
    <t>DIR-Allocated USN Fringe</t>
  </si>
  <si>
    <t>50-03-0-050</t>
  </si>
  <si>
    <t>DIR-CCN Fringe</t>
  </si>
  <si>
    <t>50-03-0-010</t>
  </si>
  <si>
    <t>DIR-Allocated HQ Fringe</t>
  </si>
  <si>
    <t>51-04-2-050</t>
  </si>
  <si>
    <t>DIR-Int Travel Other</t>
  </si>
  <si>
    <t>61-01-1-003</t>
  </si>
  <si>
    <t>DIR_Sub-AW (No Fee)</t>
  </si>
  <si>
    <t>51-08-1-004</t>
  </si>
  <si>
    <t>DIR-Office Utilities</t>
  </si>
  <si>
    <t>51-05-1-002</t>
  </si>
  <si>
    <t>DIR-Office Equipment</t>
  </si>
  <si>
    <t>51-02-1-001</t>
  </si>
  <si>
    <t>DIR-Prof. Serv Labor</t>
  </si>
  <si>
    <t>Training</t>
  </si>
  <si>
    <t>Repair &amp; Maintenance</t>
  </si>
  <si>
    <t>51-02-2-008</t>
  </si>
  <si>
    <t>DIR-Security</t>
  </si>
  <si>
    <t>51-08-1-002</t>
  </si>
  <si>
    <t>DIR-Office Make Ready</t>
  </si>
  <si>
    <t>51-08-1-003</t>
  </si>
  <si>
    <t>DIR-Office Maintenance</t>
  </si>
  <si>
    <t>%</t>
  </si>
  <si>
    <t>Total Cost Share (for reference)</t>
  </si>
  <si>
    <t>51-05-1-003</t>
  </si>
  <si>
    <t>DIR-Furniture</t>
  </si>
  <si>
    <t>Registration and Events</t>
  </si>
  <si>
    <t>Trainings &amp; Meetings</t>
  </si>
  <si>
    <t>Partners of the Americas – FY 2024 FFPr Tunisia</t>
  </si>
  <si>
    <t>NOFO: USDA-FAS-10.606-0700-24(480)</t>
  </si>
  <si>
    <t>Duration: 5 Years</t>
  </si>
  <si>
    <t>Entity:</t>
  </si>
  <si>
    <t>P</t>
  </si>
  <si>
    <t>Country: Tunisia</t>
  </si>
  <si>
    <t>Program-Dept.:</t>
  </si>
  <si>
    <t>Budget Assumptions:</t>
  </si>
  <si>
    <t>Funder-Grant:</t>
  </si>
  <si>
    <t>USDA601</t>
  </si>
  <si>
    <t>Inflation Increases</t>
  </si>
  <si>
    <t>Merit Based Increases for HQ &amp; Field Staff</t>
  </si>
  <si>
    <t>Activity Code</t>
  </si>
  <si>
    <t>Account (Object) Code</t>
  </si>
  <si>
    <t>Country Code</t>
  </si>
  <si>
    <t>BUDGET ITEM</t>
  </si>
  <si>
    <t>Level of Effort (LOE) Year 1</t>
  </si>
  <si>
    <t>UNIT</t>
  </si>
  <si>
    <t># of Units</t>
  </si>
  <si>
    <t>RATE/ UNIT</t>
  </si>
  <si>
    <t>YEAR 1</t>
  </si>
  <si>
    <t>Level of Effort (LOE) Year 2</t>
  </si>
  <si>
    <t>YEAR 2</t>
  </si>
  <si>
    <t>Level of Effort (LOE) Year 3</t>
  </si>
  <si>
    <t>YEAR 3</t>
  </si>
  <si>
    <t>Level of Effort (LOE) Year 4</t>
  </si>
  <si>
    <t>YEAR 4</t>
  </si>
  <si>
    <t>Level of Effort (LOE) Year 5</t>
  </si>
  <si>
    <t>YEAR 5</t>
  </si>
  <si>
    <t>TOTAL USDA</t>
  </si>
  <si>
    <t>TOTAL COST SHARE</t>
  </si>
  <si>
    <t>PROJECT GRAND TOTAL</t>
  </si>
  <si>
    <t>Salaries/Personnel (Administration)</t>
  </si>
  <si>
    <t>CCN Tunisia Field Staff (LOE)</t>
  </si>
  <si>
    <t>PERSNL</t>
  </si>
  <si>
    <t>TUN</t>
  </si>
  <si>
    <t>Key Personnel: Chief of Party - Ms. Rym Ayari</t>
  </si>
  <si>
    <t>Month</t>
  </si>
  <si>
    <t>Key Personnel: Technical Director</t>
  </si>
  <si>
    <t>Technical Lead Component 1</t>
  </si>
  <si>
    <t>Technical Lead Component 2</t>
  </si>
  <si>
    <t>Technical Lead Component 3</t>
  </si>
  <si>
    <t>Technical Specialist Component 1</t>
  </si>
  <si>
    <t>Technical Specialist Component 2</t>
  </si>
  <si>
    <t>Technical Specialist Component 3</t>
  </si>
  <si>
    <t>Capacity Building Specialist (2)</t>
  </si>
  <si>
    <t>Sociocultural and Gender Specialist</t>
  </si>
  <si>
    <t>Sociocultural and Gender Officers (3)</t>
  </si>
  <si>
    <t>Communications Specialists</t>
  </si>
  <si>
    <t xml:space="preserve">M&amp;E Director </t>
  </si>
  <si>
    <t>M&amp;E Specialist</t>
  </si>
  <si>
    <t xml:space="preserve">Key Personnel: Finance Director </t>
  </si>
  <si>
    <t>Contracts &amp; Compliance Specialist</t>
  </si>
  <si>
    <t>Grants &amp; Procurement Officer (2)</t>
  </si>
  <si>
    <t xml:space="preserve">Accountant </t>
  </si>
  <si>
    <t>Administrative Officer</t>
  </si>
  <si>
    <t>Human Resources Manager</t>
  </si>
  <si>
    <t>Driver (3 Individuals)</t>
  </si>
  <si>
    <t>Headquarters (HQ) Support (LOE)</t>
  </si>
  <si>
    <t xml:space="preserve">Senior Program Director </t>
  </si>
  <si>
    <t>Associate Director</t>
  </si>
  <si>
    <t>Total Personnel</t>
  </si>
  <si>
    <t>Fringe Benefits</t>
  </si>
  <si>
    <t>FRINGE</t>
  </si>
  <si>
    <t>Fringe Benefits CCN - Tunisia</t>
  </si>
  <si>
    <t xml:space="preserve">Fringe Benefits - HQ </t>
  </si>
  <si>
    <t>Total Fringe Benefits</t>
  </si>
  <si>
    <t>HQ Staff Travel - International</t>
  </si>
  <si>
    <t>STFTRAVEL</t>
  </si>
  <si>
    <t>Airfare - DC-Tunisia - HQ Project Management Trip</t>
  </si>
  <si>
    <t>Trip</t>
  </si>
  <si>
    <t>-</t>
  </si>
  <si>
    <t>STFTRVCTS</t>
  </si>
  <si>
    <t>86030 Lodging/ 
86050 M&amp;IE</t>
  </si>
  <si>
    <t>Lodging and M&amp;IE - HQ Project Management Trip</t>
  </si>
  <si>
    <t>Day</t>
  </si>
  <si>
    <t>Ground Transportation – HQ Project Management Trip</t>
  </si>
  <si>
    <t>Other Travel Related Expenses – HQ Project Management Trip</t>
  </si>
  <si>
    <t xml:space="preserve">Tunisia Staff Travel - International </t>
  </si>
  <si>
    <t>INTLTRVL</t>
  </si>
  <si>
    <t>Airfare - Roundtrip - Tunisia to USA</t>
  </si>
  <si>
    <t>Lodging and M&amp;IE for Tunisia Staff Travel</t>
  </si>
  <si>
    <t>Ground Transportation for Tunisia Staff Travel</t>
  </si>
  <si>
    <t>Other Travel Related Expenses for Tunisia Staff Travel</t>
  </si>
  <si>
    <t xml:space="preserve">Tunisia Staff Travel - Domestic </t>
  </si>
  <si>
    <t>LOCAL TRVL</t>
  </si>
  <si>
    <t>Vehicle Fuel Expense (for Field Office Vehicles)</t>
  </si>
  <si>
    <t>Local Transportation (Car Rental, Taxis)  – Training, M&amp;E, &amp; Data Collection</t>
  </si>
  <si>
    <t>Lodging and M&amp;IE - Training, M&amp;E, &amp; Data Collection</t>
  </si>
  <si>
    <t>Total Travel</t>
  </si>
  <si>
    <t>MONETIZE</t>
  </si>
  <si>
    <t>Monetization Agent Fee</t>
  </si>
  <si>
    <t>MONEASSMT</t>
  </si>
  <si>
    <t>Monetization Impact Assessment</t>
  </si>
  <si>
    <t>Unit</t>
  </si>
  <si>
    <t>AUDIT</t>
  </si>
  <si>
    <t xml:space="preserve">Local Program Audit Costs </t>
  </si>
  <si>
    <t>Year</t>
  </si>
  <si>
    <t>LEGAL</t>
  </si>
  <si>
    <t>Legal &amp; Registration Fees</t>
  </si>
  <si>
    <t>SECURITY</t>
  </si>
  <si>
    <t>Security Services, Risk Assessments, &amp; Security Assessment</t>
  </si>
  <si>
    <t>CONSULT</t>
  </si>
  <si>
    <t>Short-Term Technical Advisors</t>
  </si>
  <si>
    <t>Start-up Consultant</t>
  </si>
  <si>
    <t>Monitoring, Evaluation, and Collection of Reliable Data</t>
  </si>
  <si>
    <t>Evaluations</t>
  </si>
  <si>
    <t>BASELINE</t>
  </si>
  <si>
    <t>Baseline Evaluation</t>
  </si>
  <si>
    <t>MIDTERM</t>
  </si>
  <si>
    <t>Midterm Evaluation</t>
  </si>
  <si>
    <t>ENDLINE</t>
  </si>
  <si>
    <t>Final Evaluation</t>
  </si>
  <si>
    <t>SPECSTUDY</t>
  </si>
  <si>
    <t xml:space="preserve">Special Studies on Carbon Assessment and Living Incomes </t>
  </si>
  <si>
    <t>CBANALYSIS</t>
  </si>
  <si>
    <t>Conduct Rapid Complementary Cost-Benefit Analysis</t>
  </si>
  <si>
    <t>Monitoring Guidelines Development</t>
  </si>
  <si>
    <t>M&amp;ETRAIN</t>
  </si>
  <si>
    <t>81021 (Translation)/ 85300 (Printing)</t>
  </si>
  <si>
    <t>Monitoring Guidelines Creation, Translation &amp; Printing</t>
  </si>
  <si>
    <t>Document</t>
  </si>
  <si>
    <t>Monitoring Guidelines Revision, Translation &amp; Printing</t>
  </si>
  <si>
    <t>Monitoring Guidelines Staff Training on Indicators and Data Collection/Analysis</t>
  </si>
  <si>
    <t xml:space="preserve">Workshop </t>
  </si>
  <si>
    <t>M&amp;E Database</t>
  </si>
  <si>
    <t>M&amp;EDATA</t>
  </si>
  <si>
    <t>M&amp;E Database Trainings</t>
  </si>
  <si>
    <t>M&amp;E Database Platform Subscription and Customization</t>
  </si>
  <si>
    <t>Monitoring, Evaluation, and Collection of Reliable Data Subtotal</t>
  </si>
  <si>
    <t>Total Professional Services/Contractual</t>
  </si>
  <si>
    <t>VEHICLE</t>
  </si>
  <si>
    <t>Vehicles for Field Office</t>
  </si>
  <si>
    <t>Total Equipment</t>
  </si>
  <si>
    <t>Office Expenses</t>
  </si>
  <si>
    <t xml:space="preserve">Office in Tunis </t>
  </si>
  <si>
    <t>COMM</t>
  </si>
  <si>
    <t>Communications Costs (Internet, Phone, Data) (Tunis)</t>
  </si>
  <si>
    <t>RENT &amp; UT</t>
  </si>
  <si>
    <t>Office Rent, Utilities &amp; Cleaning (Tunis) (Furnished) (Coworking Space, rental price includes all costs)</t>
  </si>
  <si>
    <t>Satellite Office in Tozeur</t>
  </si>
  <si>
    <t>Communications Costs (Internet, Phone, Data) (Tozeur)</t>
  </si>
  <si>
    <t>Office Rent (Tozeur) (Unfurnished)</t>
  </si>
  <si>
    <t>Office Utilities (Tozeur)</t>
  </si>
  <si>
    <t>Office Cleaning (Tozeur)</t>
  </si>
  <si>
    <t>General Local Office Costs</t>
  </si>
  <si>
    <t>BANK FEES</t>
  </si>
  <si>
    <t>Banking and Cash Handling Fees</t>
  </si>
  <si>
    <t>COURIER</t>
  </si>
  <si>
    <t>Courier fees/Services/Postage</t>
  </si>
  <si>
    <t>ADVERTISIN</t>
  </si>
  <si>
    <t xml:space="preserve">Recruitment/Procurement Advertising </t>
  </si>
  <si>
    <t>MEETING</t>
  </si>
  <si>
    <t>Meeting Expenses - Room Rental and A/V Equipment (for Small Meeting, Rooms Space Rented per Hour)</t>
  </si>
  <si>
    <t>Hours</t>
  </si>
  <si>
    <t>PAYROLL</t>
  </si>
  <si>
    <t>Payroll Processing and Local Accounting Books Preparation</t>
  </si>
  <si>
    <t>SUBSCRIPT</t>
  </si>
  <si>
    <t>Licenses &amp; Subscriptions (Microsoft 365, Replicon, PandaDoc, TripLog, HR Platform)</t>
  </si>
  <si>
    <t>Total Office Expenses</t>
  </si>
  <si>
    <t>Office Supplies</t>
  </si>
  <si>
    <t>SUPPLIES</t>
  </si>
  <si>
    <t xml:space="preserve">Desktop/Laptop Computers </t>
  </si>
  <si>
    <t>Phones for Staff</t>
  </si>
  <si>
    <t>All in One: Printer, Photocopier &amp; Scanner</t>
  </si>
  <si>
    <t>Tablet</t>
  </si>
  <si>
    <t>Projector and Video Conferencing Equipment</t>
  </si>
  <si>
    <t>Furnishing for Satellite Office in Tozeur</t>
  </si>
  <si>
    <t>Desks and Chairs for Office</t>
  </si>
  <si>
    <t>Meeting Table for Office</t>
  </si>
  <si>
    <t>Shelves and Filing Cabinets, &amp; Safe for Office Storage</t>
  </si>
  <si>
    <t>A/C Unit for Office</t>
  </si>
  <si>
    <t xml:space="preserve">Office Supplies </t>
  </si>
  <si>
    <t>Total Office Supplies</t>
  </si>
  <si>
    <t>WORKSHOP</t>
  </si>
  <si>
    <t xml:space="preserve">Training, Workshops, Conference and Registration Fees </t>
  </si>
  <si>
    <t>EQ.MNT REP</t>
  </si>
  <si>
    <t>Equipment and Office Repairs and Maintenance</t>
  </si>
  <si>
    <t>Vehicle Maintenance/Repairs/Spare Parts</t>
  </si>
  <si>
    <t>INSURANCE</t>
  </si>
  <si>
    <t>Property and Liability Insurance</t>
  </si>
  <si>
    <t>Vehicle Insurance</t>
  </si>
  <si>
    <t>Vehicle</t>
  </si>
  <si>
    <t>Total Other</t>
  </si>
  <si>
    <t>Activities/Costs</t>
  </si>
  <si>
    <t>Personnel Costs for Activity 1</t>
  </si>
  <si>
    <t>PERSNL-1</t>
  </si>
  <si>
    <t>Total Personnel Costs for Activity 1</t>
  </si>
  <si>
    <t>Fringe Benefit Costs for Activity 1</t>
  </si>
  <si>
    <t>FRINGE-1</t>
  </si>
  <si>
    <t>Total Fringe Benefit Costs for Activity 1</t>
  </si>
  <si>
    <t>Professional Services/Contractual for Activity 1</t>
  </si>
  <si>
    <t>COMMCAMP</t>
  </si>
  <si>
    <t>Contract for Development of Materials for Communications Campaign (includes budget for videos, social media reels, etc.)</t>
  </si>
  <si>
    <t>Contract for Communications Campaign Dissemination</t>
  </si>
  <si>
    <t>PASPCONT-1</t>
  </si>
  <si>
    <t>Contract for Private Agriculture Service Providers (PASPs) to Manage Model Farms and Training for Farmer Field Days</t>
  </si>
  <si>
    <t>CONSULT-1</t>
  </si>
  <si>
    <t xml:space="preserve">Consultant for Producer Organization Capacity Building </t>
  </si>
  <si>
    <t>LEGAL-1</t>
  </si>
  <si>
    <t>Consultant (Financial &amp; Legal) to Advise on Grant Mechanism and Blended Finance Structure</t>
  </si>
  <si>
    <t>SECURITY-1</t>
  </si>
  <si>
    <t>Total Professional Services/Contractual for Activity 1</t>
  </si>
  <si>
    <t>Supplies for Activity 1</t>
  </si>
  <si>
    <t>DEMOPLOTS</t>
  </si>
  <si>
    <t>Inputs for Model Farms (Demonstration Plots) Set-up and Maintenance</t>
  </si>
  <si>
    <t>COMMCOST-1</t>
  </si>
  <si>
    <t>Communication Costs for Publication of RFPs/RFAs</t>
  </si>
  <si>
    <t>Total Supplies for Activity 1</t>
  </si>
  <si>
    <t>Travel for Activity 1</t>
  </si>
  <si>
    <t>LOCALTRV-1</t>
  </si>
  <si>
    <t>Local Transportation (Car Rental, Taxis)</t>
  </si>
  <si>
    <t>Local Transportation for Staff for Communication Materials Development</t>
  </si>
  <si>
    <t>86030 Lodging/
86050 M&amp;IE</t>
  </si>
  <si>
    <t>Lodging and M&amp;IE for Staff for Communication Materials Development</t>
  </si>
  <si>
    <t>Local Transportation for Staff to Attend Local Agriculture Events</t>
  </si>
  <si>
    <t>Lodging and M&amp;IE for Staff to Attend Local Agriculture Events</t>
  </si>
  <si>
    <t>Local Transportation for Leaders of Northern Tunisian Cooperatives to Attend Trainings</t>
  </si>
  <si>
    <t>Lodging and M&amp;IE for Staff Leaders of Northern Tunisian Cooperatives to Attend Trainings</t>
  </si>
  <si>
    <t>TRANSTIP-1</t>
  </si>
  <si>
    <t>Transport Stipends for Participants to Attend Farmer Field School</t>
  </si>
  <si>
    <t>Participant</t>
  </si>
  <si>
    <t>Total Travel for Activity 1</t>
  </si>
  <si>
    <t>Other for Activity 1</t>
  </si>
  <si>
    <t xml:space="preserve">Grants </t>
  </si>
  <si>
    <t>CLIMAGRANT</t>
  </si>
  <si>
    <t>Climate Smart Agriculture Adaptations Grants</t>
  </si>
  <si>
    <t>Grant</t>
  </si>
  <si>
    <t>Trainings</t>
  </si>
  <si>
    <t>FARMSCHOOL</t>
  </si>
  <si>
    <t>Farmer Field School Trainings (Materials, Food, &amp; Refreshments)</t>
  </si>
  <si>
    <t>PRORGTRAIN</t>
  </si>
  <si>
    <t>Trainings for Producer Organizations to Boost Climate Smart Agriculture Adoption - 3 Days</t>
  </si>
  <si>
    <t>WORKMECH</t>
  </si>
  <si>
    <t>Workshop with Stakeholders on Grants Mechanism</t>
  </si>
  <si>
    <t>Workshop</t>
  </si>
  <si>
    <t>Registrations and Events</t>
  </si>
  <si>
    <t>REGAGEVENT</t>
  </si>
  <si>
    <t>Registration for Agricultural Events and Booths</t>
  </si>
  <si>
    <t>Event</t>
  </si>
  <si>
    <t>PRINTPUB-1</t>
  </si>
  <si>
    <t>Printing Materials to Distribute at Local Agriculture Events</t>
  </si>
  <si>
    <t>Total Other for Activity 1</t>
  </si>
  <si>
    <t>Cost Share for Activity 1</t>
  </si>
  <si>
    <t>COSTSHAR-1</t>
  </si>
  <si>
    <t>Cost Share for Climate Smart Agriculture Adaptations Grants</t>
  </si>
  <si>
    <t>Donated Materials and Time from APIA for Events</t>
  </si>
  <si>
    <t>Venue Space for Grant Mechanism Design Meeting</t>
  </si>
  <si>
    <t>Total Cost Share for Activity 1</t>
  </si>
  <si>
    <t>Total Activity 1</t>
  </si>
  <si>
    <t>Personnel Costs for Activity 2</t>
  </si>
  <si>
    <t>PERSNL-2</t>
  </si>
  <si>
    <t>Total Personnel Costs for Activity 2</t>
  </si>
  <si>
    <t>Fringe Benefit Costs for Activity 2</t>
  </si>
  <si>
    <t>FRINGE-2</t>
  </si>
  <si>
    <t>Total Fringe Benefit Costs for Activity 2</t>
  </si>
  <si>
    <t>Professional Services/Contractual for Activity 2</t>
  </si>
  <si>
    <t>PASPCONT-2</t>
  </si>
  <si>
    <t>Contract for Private Agriculture Service Providers (PASPs) to Train on Technical Assistance Business Models</t>
  </si>
  <si>
    <t>Region</t>
  </si>
  <si>
    <t>Contract for Private Agriculture Service Providers (PASPs) to Support Capacity-Building Efforts for Producer Organizations</t>
  </si>
  <si>
    <t>WOMLEDCONT</t>
  </si>
  <si>
    <t>Contract for Women-Led Enterprise Development Technical Assistance</t>
  </si>
  <si>
    <t>SECURITY-2</t>
  </si>
  <si>
    <t>Total Professional Services/Contractual for Activity 2</t>
  </si>
  <si>
    <t>Supplies for Activity 2</t>
  </si>
  <si>
    <t>COMMCOST-2</t>
  </si>
  <si>
    <t>Total Supplies for Activity 2</t>
  </si>
  <si>
    <t>Travel for Activity 2</t>
  </si>
  <si>
    <t>LOCALTRV-2</t>
  </si>
  <si>
    <t>Local Transportation for Stakeholder Workshop</t>
  </si>
  <si>
    <t>Lodging and M&amp;IE for Stakeholder Workshop</t>
  </si>
  <si>
    <t>Local Transportation for Technical Package Design</t>
  </si>
  <si>
    <t>Lodging and M&amp;IE for Technical Package Design</t>
  </si>
  <si>
    <t>TRANSTIP-2</t>
  </si>
  <si>
    <t>Transport Stipends for Producers Organization Leaders to Attend PASPs Trainings</t>
  </si>
  <si>
    <t>Total Travel for Activity 2</t>
  </si>
  <si>
    <t>Other for Activity 2</t>
  </si>
  <si>
    <t>WORKCOMP</t>
  </si>
  <si>
    <t>Workshop with Stakeholders on Complementary Crop Feedback (Venue, Materials, Food, &amp; Refreshments)</t>
  </si>
  <si>
    <t>MATLDEV-2</t>
  </si>
  <si>
    <t>Development of Technical Package (Technical Review, Printing, &amp; Translation)</t>
  </si>
  <si>
    <t>Package</t>
  </si>
  <si>
    <t>PASPTRAN-2</t>
  </si>
  <si>
    <t>Train PASPs in Cost-Efficient Date and Complementary Oasis Production (Venue, Materials, Food, &amp; Refreshments)</t>
  </si>
  <si>
    <t>PASPs Trainings to Support Capacity-Building Efforts for Producer Organizations (Materials, Food, &amp; Refreshments)</t>
  </si>
  <si>
    <t>Training on Best Practices with US Grains Council for Alfalfa Processers (Materials, Food, &amp; Refreshments)</t>
  </si>
  <si>
    <t>PROSTKMEET</t>
  </si>
  <si>
    <t>Meeting Expenses with Producer Organizations and Stakeholders</t>
  </si>
  <si>
    <t>Meeting</t>
  </si>
  <si>
    <t>COLDGRANT</t>
  </si>
  <si>
    <t xml:space="preserve">Cold Storage Grants </t>
  </si>
  <si>
    <t>ALFALGRANT</t>
  </si>
  <si>
    <t>Grants for Alfalfa Processers</t>
  </si>
  <si>
    <t>WODEVGRANT</t>
  </si>
  <si>
    <t>Women-Led Enterprise Development Grants</t>
  </si>
  <si>
    <t>Total Other for Activity 2</t>
  </si>
  <si>
    <t>Cost Share for Activity 2</t>
  </si>
  <si>
    <t>COSTSHAR-2</t>
  </si>
  <si>
    <t>Cost Share for Co-Investment of Cold Storage Grants</t>
  </si>
  <si>
    <t>Total Cost Share for Activity 2</t>
  </si>
  <si>
    <t>Total Activity 2</t>
  </si>
  <si>
    <t>Personnel Costs for Activity 3</t>
  </si>
  <si>
    <t>PERSNL-3</t>
  </si>
  <si>
    <t>Total Personnel Costs for Activity 3</t>
  </si>
  <si>
    <t>Fringe Benefit Costs for Activity 3</t>
  </si>
  <si>
    <t>FRINGE-3</t>
  </si>
  <si>
    <t>Total Fringe Benefit Costs for Activity 3</t>
  </si>
  <si>
    <t>Professional Services/Contractual for Activity 3</t>
  </si>
  <si>
    <t>SUB6THGRAN</t>
  </si>
  <si>
    <t>Subrecipient: 6th Grain</t>
  </si>
  <si>
    <t>Subrecipient</t>
  </si>
  <si>
    <t>PASPCONT-3</t>
  </si>
  <si>
    <t>Contract for Private Agriculture Service Providers (PASPs) to Train Producer Organizations to Leverage Economies of Scale</t>
  </si>
  <si>
    <t>ORGANCERT</t>
  </si>
  <si>
    <t>Contract for Organization to Provide Farmers Organic Certifications</t>
  </si>
  <si>
    <t>Certification</t>
  </si>
  <si>
    <t>CONSULT-3</t>
  </si>
  <si>
    <t>US Consultant to Provide Technical Assistance for Processers and Exporters</t>
  </si>
  <si>
    <t>LEGAL-3</t>
  </si>
  <si>
    <t>Legal Advisors for Review of Farming Contracts</t>
  </si>
  <si>
    <t>Contract for Expert on Agriculture Finance</t>
  </si>
  <si>
    <t>SECURITY-3</t>
  </si>
  <si>
    <t>Total Professional Services/Contractual for Activity 3</t>
  </si>
  <si>
    <t>Supplies for Activity 3</t>
  </si>
  <si>
    <t>SUPPLIES-3</t>
  </si>
  <si>
    <t xml:space="preserve">Supplies for Remote Irrigation Pilot </t>
  </si>
  <si>
    <t>Supplies for Low-Cost Water Meters</t>
  </si>
  <si>
    <t>COMMCOST-3</t>
  </si>
  <si>
    <t>Total Supplies for Activity 3</t>
  </si>
  <si>
    <t>Travel for Activity 3</t>
  </si>
  <si>
    <t>LOCALTRV-3</t>
  </si>
  <si>
    <t>TRANSTIP-3</t>
  </si>
  <si>
    <t>Transport Stipends for Producers Organization to Attend Market Access Training</t>
  </si>
  <si>
    <t>86040 Airfare/
86000 Transport</t>
  </si>
  <si>
    <t>Transportation for US Consultant to Provide Technical Assistance on Farmer Certification</t>
  </si>
  <si>
    <t>86030 Lodging/ 86050 M&amp;IE</t>
  </si>
  <si>
    <t>Lodging and M&amp;IE  for US Consultant to Provide Technical Assistance on Farmer Certification</t>
  </si>
  <si>
    <t>Local Transportation Stipend for Financial Literacy Trainings</t>
  </si>
  <si>
    <t xml:space="preserve">Two-Way Buyer Trade Tours </t>
  </si>
  <si>
    <t>BUYERTRADE</t>
  </si>
  <si>
    <t>Airfare and Local Transport for Two-Way Trade (US to Tunisia) to - 50% of Cost</t>
  </si>
  <si>
    <t>Airfare and Local Transport for Two-Way Trade (Tunisia to US)</t>
  </si>
  <si>
    <t>Lodging and M&amp;IE for Two-Way Trade Travel (Tunisia to US)</t>
  </si>
  <si>
    <t>Lodging and M&amp;IE for Two-Way Trade (US to Tunisia)</t>
  </si>
  <si>
    <t>International Food Shows</t>
  </si>
  <si>
    <t>INTLFOOD</t>
  </si>
  <si>
    <t>Airfare and Local Transport for International Food Shows (Tunisia to Dubai)</t>
  </si>
  <si>
    <t>Airfare and Local Transport for International Food Shows (Tunisia to US)</t>
  </si>
  <si>
    <t>Lodging and M&amp;IE for International Food Shows (Dubai)</t>
  </si>
  <si>
    <t>Lodging and M&amp;IE for International Food Shows (USA)</t>
  </si>
  <si>
    <t>Total Travel for Activity 3</t>
  </si>
  <si>
    <t>Other for Activity 3</t>
  </si>
  <si>
    <t>SOLARGRANT</t>
  </si>
  <si>
    <t>Grant to Scale Solar Energy Technologies</t>
  </si>
  <si>
    <t>PRORGRANT</t>
  </si>
  <si>
    <t>Grants for Producer Organization Mechanization</t>
  </si>
  <si>
    <t>YOUTHGRANT</t>
  </si>
  <si>
    <t xml:space="preserve">Grants for Youth-Led Mechanization Service Providers  </t>
  </si>
  <si>
    <t>DATEGRANT</t>
  </si>
  <si>
    <t>Grants for Women-Led Date Product Processing</t>
  </si>
  <si>
    <t>Trainings and Meetings</t>
  </si>
  <si>
    <t>PASPTRAIN</t>
  </si>
  <si>
    <t>MARACCESS</t>
  </si>
  <si>
    <t>Market Access Trainings for Independent Producers (Materials, Food, &amp; Refreshments)</t>
  </si>
  <si>
    <t>POEMEETING</t>
  </si>
  <si>
    <t>Meeting Expenses for Meetings with Producer Organizations and Exporters</t>
  </si>
  <si>
    <t>FINANTRAIN</t>
  </si>
  <si>
    <t>Trainings on Financial Literacy (Materials, Food, &amp; Refreshments)</t>
  </si>
  <si>
    <t>CBMEETING</t>
  </si>
  <si>
    <t>Meeting Expenses for Capacity Building Session with Financial Institutions</t>
  </si>
  <si>
    <t>MATLDEV-3</t>
  </si>
  <si>
    <t>Develop Marketing Materials for Producer Organizations to Develop Business Models for Membership Benefits</t>
  </si>
  <si>
    <t>Materials Development on Date Grading (Printing &amp; Translation)</t>
  </si>
  <si>
    <t>REGFOOD</t>
  </si>
  <si>
    <t>Registration and Booths for International Food Shows</t>
  </si>
  <si>
    <t>Total Other Expenses for Activity 3</t>
  </si>
  <si>
    <t>Cost Share for Activity 3</t>
  </si>
  <si>
    <t>COSTSHAR-3</t>
  </si>
  <si>
    <t xml:space="preserve">Cost Share from Subrecipient: 6th Grain </t>
  </si>
  <si>
    <t xml:space="preserve">Venue Space Market Access Trainings </t>
  </si>
  <si>
    <t>Technical Assistance from PAMPAT to Support Date Product Processors</t>
  </si>
  <si>
    <t>Venue Space for Financial Literacy Trainings</t>
  </si>
  <si>
    <t xml:space="preserve">Packers and Exporters Support for Organic Certifications </t>
  </si>
  <si>
    <t>Contributions to Registrations and Booths for International Food Shows</t>
  </si>
  <si>
    <t>Total Cost Share for Activity 3</t>
  </si>
  <si>
    <t>Total Activity 3</t>
  </si>
  <si>
    <t>Internal Transportation Storage and Handling (ITSH)</t>
  </si>
  <si>
    <t>Total Internal Transportation Storage and Handling (ITSH)</t>
  </si>
  <si>
    <t>IDC</t>
  </si>
  <si>
    <t xml:space="preserve">Total Indirect Costs (NICRA) </t>
  </si>
  <si>
    <t>TOTAL COSTS</t>
  </si>
  <si>
    <t>6th Grain Subrecipient Budget for Activity 3</t>
  </si>
  <si>
    <t xml:space="preserve">Chief Science Officer - Molly Brown </t>
  </si>
  <si>
    <t>Chief Executive Officer - Vlad Eskin</t>
  </si>
  <si>
    <t>Lead Data Scientist - Min Fen</t>
  </si>
  <si>
    <t>Field Data Officer - Walid</t>
  </si>
  <si>
    <t>Field Data Officer - Ahmed Salam</t>
  </si>
  <si>
    <t>Field Data Officer - Mohamed</t>
  </si>
  <si>
    <t>Washington D.C to Tunis</t>
  </si>
  <si>
    <t>Tunis to Gafsa</t>
  </si>
  <si>
    <t xml:space="preserve">Tunis  </t>
  </si>
  <si>
    <t>Database Creation &amp; Maintenance (crop maps, suitability models, etc.)</t>
  </si>
  <si>
    <t xml:space="preserve"> </t>
  </si>
  <si>
    <t>Trainings and Data Mapping</t>
  </si>
  <si>
    <t>Agricultural Risk Calculation</t>
  </si>
  <si>
    <t>Capacity Building</t>
  </si>
  <si>
    <t>Licensing for Platforms</t>
  </si>
  <si>
    <t>Summary of Indirect Cost Rates Applied</t>
  </si>
  <si>
    <t>Administration Salaries/Personnel</t>
  </si>
  <si>
    <t>CCN Colombia National Staff (LOE)</t>
  </si>
  <si>
    <t xml:space="preserve">Key Personnel: Expat Chief of Party </t>
  </si>
  <si>
    <t xml:space="preserve">Key Personnel: Deputy Chief of Party </t>
  </si>
  <si>
    <t xml:space="preserve">F&amp;A Director </t>
  </si>
  <si>
    <t xml:space="preserve">M&amp;E Specialists </t>
  </si>
  <si>
    <t>Activity Lead RCP Manager</t>
  </si>
  <si>
    <t xml:space="preserve">Activity Lead Agribusiness Specialist </t>
  </si>
  <si>
    <t xml:space="preserve">Compliance Officer </t>
  </si>
  <si>
    <t xml:space="preserve">Administrative Assistant </t>
  </si>
  <si>
    <t>Home Office Support (LOE)</t>
  </si>
  <si>
    <t xml:space="preserve">HQ Senior Program Officer </t>
  </si>
  <si>
    <t>Administration Fringe Benefits</t>
  </si>
  <si>
    <t>Administration Travel</t>
  </si>
  <si>
    <t>Administration Professional Services/Contractual</t>
  </si>
  <si>
    <t>Administration Equipment</t>
  </si>
  <si>
    <t>Administration Office Expenses</t>
  </si>
  <si>
    <t>Administration Office Supplies</t>
  </si>
  <si>
    <t>Administration Other</t>
  </si>
  <si>
    <t>Total Administration Direct Costs</t>
  </si>
  <si>
    <t>Total Indirect Costs (NICRA) on Administration</t>
  </si>
  <si>
    <t>TOTAL ADMINISTRATION INDIRECT COSTS</t>
  </si>
  <si>
    <t xml:space="preserve">Total Activities Direct Costs </t>
  </si>
  <si>
    <t>Total Indirect Costs (NICRA) on Activities</t>
  </si>
  <si>
    <t>TOTAL ACTIVITIES INDIRECT COSTS</t>
  </si>
  <si>
    <t>TOTAL INDIRECT COSTS</t>
  </si>
  <si>
    <t>Level of Effort (LOE) Breakdown by Activity</t>
  </si>
  <si>
    <t>Months in Year 1</t>
  </si>
  <si>
    <t>Year 1 LOE</t>
  </si>
  <si>
    <t>Total Salary Amount Year 1</t>
  </si>
  <si>
    <t>Months in Year 2</t>
  </si>
  <si>
    <t>Year 2 LOE</t>
  </si>
  <si>
    <t>Total Salary Amount Year 2</t>
  </si>
  <si>
    <t>Months in Year 3</t>
  </si>
  <si>
    <t>Year 3 LOE</t>
  </si>
  <si>
    <t>Total Salary Amount Year 3</t>
  </si>
  <si>
    <t>Months in Year 4</t>
  </si>
  <si>
    <t>Year 4 LOE</t>
  </si>
  <si>
    <t>Total Salary Amount Year 4</t>
  </si>
  <si>
    <t>Months in Year 5</t>
  </si>
  <si>
    <t>Year 5 LOE</t>
  </si>
  <si>
    <t>Total Salary Amount Year 5</t>
  </si>
  <si>
    <t>Total Amount LOP</t>
  </si>
  <si>
    <t xml:space="preserve">LOE </t>
  </si>
  <si>
    <t>LOE</t>
  </si>
  <si>
    <t>Personnel (Administration)</t>
  </si>
  <si>
    <t xml:space="preserve">Tunisia National Staff </t>
  </si>
  <si>
    <t xml:space="preserve">Home Office Support </t>
  </si>
  <si>
    <t>Administration</t>
  </si>
  <si>
    <t>Total LOE</t>
  </si>
  <si>
    <t xml:space="preserve">Tunisian National Staff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</si>
</sst>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7" formatCode="_-* #,##0\ _B_s_-;\-* #,##0\ _B_s_-;_-* &quot;-&quot;??\ _B_s_-;_-@_-"/>
    <numFmt numFmtId="168" formatCode="&quot;On&quot;;&quot;On&quot;;&quot;Off&quot;"/>
    <numFmt numFmtId="169" formatCode="&quot;$&quot;#,##0.00"/>
    <numFmt numFmtId="170" formatCode="0.0%"/>
    <numFmt numFmtId="171" formatCode="_([$$-409]* #,##0.00_);_([$$-409]* \(#,##0.00\);_([$$-409]* &quot;-&quot;??_);_(@_)"/>
    <numFmt numFmtId="172" formatCode="_(&quot;$&quot;* #,##0_);_(&quot;$&quot;* \(#,##0\);_(&quot;$&quot;* &quot;-&quot;??_);_(@_)"/>
    <numFmt numFmtId="173" formatCode="_([$$-409]* #,##0_);_([$$-409]* \(#,##0\);_([$$-409]* &quot;-&quot;??_);_(@_)"/>
    <numFmt numFmtId="174" formatCode="&quot;$&quot;#,##0"/>
    <numFmt numFmtId="175" formatCode="\$#,##0.00;\$#,##0.00"/>
    <numFmt numFmtId="176" formatCode="\$###0.00;\$###0.00"/>
    <numFmt numFmtId="177" formatCode="0_)"/>
    <numFmt numFmtId="178" formatCode="_([$€-2]* #,##0.00_);_([$€-2]* \(#,##0.00\);_([$€-2]* &quot;-&quot;??_)"/>
    <numFmt numFmtId="179" formatCode="00\-0000\-00\-0000\-000"/>
    <numFmt numFmtId="180" formatCode="#,##0."/>
    <numFmt numFmtId="181" formatCode="#,###,##0.00;\(#,###,##0.00\)"/>
    <numFmt numFmtId="182" formatCode="&quot;$&quot;#,###,##0.00;\(&quot;$&quot;#,###,##0.00\)"/>
    <numFmt numFmtId="183" formatCode="#,##0.00%;\(#,##0.00%\)"/>
    <numFmt numFmtId="184" formatCode="mm/dd/yy"/>
    <numFmt numFmtId="185" formatCode="#,##0;#,##0;;"/>
    <numFmt numFmtId="186" formatCode="0.00_)"/>
    <numFmt numFmtId="187" formatCode="General_)"/>
    <numFmt numFmtId="188" formatCode="#,##0.000_);[Red]\(#,##0.000\)"/>
    <numFmt numFmtId="189" formatCode="&quot;FY94P&quot;#"/>
    <numFmt numFmtId="190" formatCode="00\-0000\-00\-0000"/>
    <numFmt numFmtId="191" formatCode="_(* #,##0,_);_(* \(#,##0,\);_(@_)"/>
    <numFmt numFmtId="192" formatCode="_(* #,##0.00_);[Red]_(* \(#,##0.00\);_(* &quot;-&quot;??_);_(@_)"/>
    <numFmt numFmtId="193" formatCode="_-* #,##0.0\ _B_s_-;\-* #,##0.0\ _B_s_-;_-* &quot;-&quot;??\ _B_s_-;_-@_-"/>
    <numFmt numFmtId="194" formatCode="#,##0.0"/>
  </numFmts>
  <fonts count="13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2"/>
      <color indexed="8"/>
      <name val="Times New Roman"/>
      <family val="1"/>
    </font>
    <font>
      <sz val="12"/>
      <name val="Arial"/>
      <family val="2"/>
    </font>
    <font>
      <sz val="9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4"/>
      <color indexed="8"/>
      <name val="Arial"/>
      <family val="2"/>
    </font>
    <font>
      <sz val="11"/>
      <name val="Arial"/>
      <family val="2"/>
    </font>
    <font>
      <sz val="10"/>
      <name val="Arial"/>
      <family val="2"/>
      <charset val="204"/>
    </font>
    <font>
      <sz val="12"/>
      <name val="Times New Roman"/>
      <family val="1"/>
    </font>
    <font>
      <sz val="11"/>
      <name val="Arial"/>
      <family val="2"/>
      <charset val="204"/>
    </font>
    <font>
      <sz val="10"/>
      <name val="Helv"/>
    </font>
    <font>
      <sz val="1"/>
      <color indexed="8"/>
      <name val="Courier"/>
      <family val="3"/>
    </font>
    <font>
      <i/>
      <sz val="9"/>
      <name val="Helv"/>
    </font>
    <font>
      <sz val="10"/>
      <name val="MS Sans Serif"/>
      <family val="2"/>
    </font>
    <font>
      <sz val="12"/>
      <color indexed="24"/>
      <name val="Arial"/>
      <family val="2"/>
    </font>
    <font>
      <sz val="10"/>
      <color indexed="0"/>
      <name val="Arial"/>
      <family val="2"/>
    </font>
    <font>
      <sz val="9"/>
      <name val="Tms Rmn"/>
    </font>
    <font>
      <sz val="12"/>
      <name val="Tms Rmn"/>
    </font>
    <font>
      <u/>
      <sz val="6"/>
      <color indexed="12"/>
      <name val="Helv"/>
    </font>
    <font>
      <u/>
      <sz val="7"/>
      <color indexed="12"/>
      <name val="Helv"/>
    </font>
    <font>
      <sz val="10"/>
      <name val="Times New Roman"/>
      <family val="1"/>
    </font>
    <font>
      <sz val="12"/>
      <name val="Helv"/>
    </font>
    <font>
      <sz val="9"/>
      <name val="Helv"/>
    </font>
    <font>
      <b/>
      <i/>
      <sz val="16"/>
      <name val="Helv"/>
    </font>
    <font>
      <b/>
      <sz val="10"/>
      <name val="MS Sans Serif"/>
      <family val="2"/>
    </font>
    <font>
      <sz val="10"/>
      <name val="Arial MT"/>
    </font>
    <font>
      <b/>
      <i/>
      <sz val="10"/>
      <color indexed="8"/>
      <name val="Times New Roman"/>
      <family val="1"/>
    </font>
    <font>
      <sz val="10"/>
      <color indexed="12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2"/>
      <name val="Calibri"/>
      <family val="2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Helv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i/>
      <u/>
      <sz val="10"/>
      <name val="Times New Roman"/>
      <family val="1"/>
    </font>
    <font>
      <sz val="10"/>
      <color rgb="FFFF0000"/>
      <name val="Times New Roman"/>
      <family val="1"/>
    </font>
    <font>
      <i/>
      <sz val="10"/>
      <name val="Times New Roman"/>
      <family val="1"/>
    </font>
    <font>
      <u/>
      <sz val="10"/>
      <name val="Times New Roman"/>
      <family val="1"/>
    </font>
    <font>
      <b/>
      <i/>
      <sz val="11"/>
      <name val="Times New Roman"/>
      <family val="1"/>
    </font>
    <font>
      <b/>
      <i/>
      <u/>
      <sz val="10"/>
      <name val="Times New Roman"/>
      <family val="1"/>
    </font>
    <font>
      <sz val="10"/>
      <color indexed="10"/>
      <name val="Times New Roman"/>
      <family val="1"/>
    </font>
    <font>
      <sz val="1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2"/>
      <color theme="4"/>
      <name val="Calibri"/>
      <family val="2"/>
      <scheme val="minor"/>
    </font>
    <font>
      <i/>
      <sz val="11"/>
      <color rgb="FF000000"/>
      <name val="Times New Roman"/>
      <family val="1"/>
    </font>
    <font>
      <b/>
      <sz val="11"/>
      <color theme="9" tint="-0.499984740745262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Times New Roman"/>
      <family val="1"/>
    </font>
    <font>
      <sz val="14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i/>
      <sz val="11"/>
      <name val="Calibri"/>
      <family val="2"/>
      <scheme val="minor"/>
    </font>
    <font>
      <i/>
      <sz val="16"/>
      <color indexed="8"/>
      <name val="Calibri"/>
      <family val="2"/>
      <scheme val="minor"/>
    </font>
    <font>
      <i/>
      <sz val="14"/>
      <name val="Calibri"/>
      <family val="2"/>
      <scheme val="minor"/>
    </font>
    <font>
      <i/>
      <sz val="12"/>
      <color theme="4"/>
      <name val="Calibri"/>
      <family val="2"/>
      <scheme val="minor"/>
    </font>
    <font>
      <i/>
      <sz val="12"/>
      <name val="Calibri"/>
      <family val="2"/>
      <scheme val="minor"/>
    </font>
    <font>
      <i/>
      <sz val="16"/>
      <name val="Calibri"/>
      <family val="2"/>
      <scheme val="minor"/>
    </font>
    <font>
      <i/>
      <sz val="12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8"/>
      <name val="Calibri"/>
      <family val="2"/>
      <scheme val="minor"/>
    </font>
    <font>
      <b/>
      <sz val="11"/>
      <name val="Arial"/>
      <family val="2"/>
    </font>
  </fonts>
  <fills count="77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mediumGray">
        <fgColor indexed="2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lightUp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67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39997558519241921"/>
        <bgColor indexed="64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24242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  <border>
      <left style="thin">
        <color rgb="FFA09D94"/>
      </left>
      <right/>
      <top style="thin">
        <color rgb="FF424242"/>
      </top>
      <bottom style="thin">
        <color rgb="FF424242"/>
      </bottom>
      <diagonal/>
    </border>
    <border>
      <left style="thin">
        <color rgb="FF424242"/>
      </left>
      <right/>
      <top style="thin">
        <color rgb="FF424242"/>
      </top>
      <bottom style="thin">
        <color rgb="FF424242"/>
      </bottom>
      <diagonal/>
    </border>
    <border>
      <left/>
      <right/>
      <top style="thin">
        <color rgb="FF424242"/>
      </top>
      <bottom/>
      <diagonal/>
    </border>
    <border>
      <left style="thin">
        <color rgb="FF424242"/>
      </left>
      <right/>
      <top/>
      <bottom style="thin">
        <color rgb="FF424242"/>
      </bottom>
      <diagonal/>
    </border>
    <border>
      <left style="thin">
        <color rgb="FFA09D94"/>
      </left>
      <right/>
      <top/>
      <bottom style="thin">
        <color rgb="FF424242"/>
      </bottom>
      <diagonal/>
    </border>
    <border>
      <left style="thin">
        <color rgb="FF424242"/>
      </left>
      <right style="thin">
        <color indexed="64"/>
      </right>
      <top style="thin">
        <color rgb="FF424242"/>
      </top>
      <bottom style="thin">
        <color rgb="FF424242"/>
      </bottom>
      <diagonal/>
    </border>
    <border>
      <left style="thin">
        <color rgb="FF424242"/>
      </left>
      <right style="thin">
        <color rgb="FF424242"/>
      </right>
      <top/>
      <bottom style="thin">
        <color rgb="FF424242"/>
      </bottom>
      <diagonal/>
    </border>
    <border>
      <left style="thin">
        <color indexed="64"/>
      </left>
      <right style="thin">
        <color rgb="FFAFAFAF"/>
      </right>
      <top style="thin">
        <color rgb="FFA09D94"/>
      </top>
      <bottom style="thin">
        <color indexed="64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AFAFAF"/>
      </bottom>
      <diagonal/>
    </border>
    <border>
      <left/>
      <right/>
      <top/>
      <bottom style="thin">
        <color rgb="FF424242"/>
      </bottom>
      <diagonal/>
    </border>
    <border>
      <left/>
      <right/>
      <top style="thin">
        <color rgb="FF424242"/>
      </top>
      <bottom style="thin">
        <color rgb="FF424242"/>
      </bottom>
      <diagonal/>
    </border>
    <border>
      <left/>
      <right/>
      <top style="thin">
        <color rgb="FFAFAFAF"/>
      </top>
      <bottom style="thin">
        <color rgb="FF424242"/>
      </bottom>
      <diagonal/>
    </border>
    <border>
      <left style="thin">
        <color rgb="FF424242"/>
      </left>
      <right/>
      <top style="thin">
        <color rgb="FF424242"/>
      </top>
      <bottom/>
      <diagonal/>
    </border>
    <border>
      <left/>
      <right/>
      <top style="thin">
        <color rgb="FF424242"/>
      </top>
      <bottom style="thin">
        <color rgb="FFAFAFAF"/>
      </bottom>
      <diagonal/>
    </border>
    <border>
      <left/>
      <right style="thin">
        <color rgb="FFAFAFAF"/>
      </right>
      <top style="thin">
        <color rgb="FFAFAFAF"/>
      </top>
      <bottom style="thin">
        <color rgb="FFAFAFA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FAFAF"/>
      </right>
      <top style="thin">
        <color rgb="FF424242"/>
      </top>
      <bottom/>
      <diagonal/>
    </border>
    <border>
      <left/>
      <right style="thin">
        <color rgb="FF424242"/>
      </right>
      <top style="thin">
        <color rgb="FF424242"/>
      </top>
      <bottom/>
      <diagonal/>
    </border>
    <border>
      <left style="thin">
        <color rgb="FFA09D94"/>
      </left>
      <right/>
      <top style="thin">
        <color rgb="FFA09D94"/>
      </top>
      <bottom style="thin">
        <color rgb="FFA09D94"/>
      </bottom>
      <diagonal/>
    </border>
    <border>
      <left/>
      <right/>
      <top style="thin">
        <color rgb="FFA09D94"/>
      </top>
      <bottom style="thin">
        <color rgb="FFA09D94"/>
      </bottom>
      <diagonal/>
    </border>
    <border>
      <left/>
      <right style="thin">
        <color rgb="FFA09D94"/>
      </right>
      <top style="thin">
        <color rgb="FFA09D94"/>
      </top>
      <bottom style="thin">
        <color rgb="FFA09D94"/>
      </bottom>
      <diagonal/>
    </border>
    <border>
      <left style="thin">
        <color rgb="FFAFAFAF"/>
      </left>
      <right/>
      <top style="thin">
        <color rgb="FFAFAFAF"/>
      </top>
      <bottom style="thin">
        <color rgb="FFAFAFAF"/>
      </bottom>
      <diagonal/>
    </border>
    <border>
      <left/>
      <right/>
      <top style="thin">
        <color rgb="FFAFAFAF"/>
      </top>
      <bottom style="thin">
        <color rgb="FFAFAFA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31">
    <xf numFmtId="0" fontId="0" fillId="0" borderId="0"/>
    <xf numFmtId="178" fontId="69" fillId="30" borderId="0" applyNumberFormat="0" applyBorder="0" applyAlignment="0" applyProtection="0"/>
    <xf numFmtId="178" fontId="69" fillId="31" borderId="0" applyNumberFormat="0" applyBorder="0" applyAlignment="0" applyProtection="0"/>
    <xf numFmtId="178" fontId="69" fillId="32" borderId="0" applyNumberFormat="0" applyBorder="0" applyAlignment="0" applyProtection="0"/>
    <xf numFmtId="178" fontId="16" fillId="4" borderId="0" applyNumberFormat="0" applyBorder="0" applyAlignment="0" applyProtection="0"/>
    <xf numFmtId="178" fontId="69" fillId="33" borderId="0" applyNumberFormat="0" applyBorder="0" applyAlignment="0" applyProtection="0"/>
    <xf numFmtId="178" fontId="69" fillId="34" borderId="0" applyNumberFormat="0" applyBorder="0" applyAlignment="0" applyProtection="0"/>
    <xf numFmtId="178" fontId="69" fillId="35" borderId="0" applyNumberFormat="0" applyBorder="0" applyAlignment="0" applyProtection="0"/>
    <xf numFmtId="178" fontId="27" fillId="6" borderId="0" applyNumberFormat="0" applyBorder="0" applyAlignment="0" applyProtection="0">
      <alignment vertical="center"/>
    </xf>
    <xf numFmtId="178" fontId="27" fillId="7" borderId="0" applyNumberFormat="0" applyBorder="0" applyAlignment="0" applyProtection="0">
      <alignment vertical="center"/>
    </xf>
    <xf numFmtId="178" fontId="27" fillId="8" borderId="0" applyNumberFormat="0" applyBorder="0" applyAlignment="0" applyProtection="0">
      <alignment vertical="center"/>
    </xf>
    <xf numFmtId="178" fontId="27" fillId="4" borderId="0" applyNumberFormat="0" applyBorder="0" applyAlignment="0" applyProtection="0">
      <alignment vertical="center"/>
    </xf>
    <xf numFmtId="178" fontId="27" fillId="5" borderId="0" applyNumberFormat="0" applyBorder="0" applyAlignment="0" applyProtection="0">
      <alignment vertical="center"/>
    </xf>
    <xf numFmtId="178" fontId="27" fillId="2" borderId="0" applyNumberFormat="0" applyBorder="0" applyAlignment="0" applyProtection="0">
      <alignment vertical="center"/>
    </xf>
    <xf numFmtId="178" fontId="69" fillId="36" borderId="0" applyNumberFormat="0" applyBorder="0" applyAlignment="0" applyProtection="0"/>
    <xf numFmtId="178" fontId="69" fillId="37" borderId="0" applyNumberFormat="0" applyBorder="0" applyAlignment="0" applyProtection="0"/>
    <xf numFmtId="178" fontId="69" fillId="38" borderId="0" applyNumberFormat="0" applyBorder="0" applyAlignment="0" applyProtection="0"/>
    <xf numFmtId="178" fontId="69" fillId="39" borderId="0" applyNumberFormat="0" applyBorder="0" applyAlignment="0" applyProtection="0"/>
    <xf numFmtId="178" fontId="69" fillId="40" borderId="0" applyNumberFormat="0" applyBorder="0" applyAlignment="0" applyProtection="0"/>
    <xf numFmtId="178" fontId="69" fillId="41" borderId="0" applyNumberFormat="0" applyBorder="0" applyAlignment="0" applyProtection="0"/>
    <xf numFmtId="178" fontId="27" fillId="12" borderId="0" applyNumberFormat="0" applyBorder="0" applyAlignment="0" applyProtection="0">
      <alignment vertical="center"/>
    </xf>
    <xf numFmtId="178" fontId="27" fillId="10" borderId="0" applyNumberFormat="0" applyBorder="0" applyAlignment="0" applyProtection="0">
      <alignment vertical="center"/>
    </xf>
    <xf numFmtId="178" fontId="27" fillId="13" borderId="0" applyNumberFormat="0" applyBorder="0" applyAlignment="0" applyProtection="0">
      <alignment vertical="center"/>
    </xf>
    <xf numFmtId="178" fontId="27" fillId="4" borderId="0" applyNumberFormat="0" applyBorder="0" applyAlignment="0" applyProtection="0">
      <alignment vertical="center"/>
    </xf>
    <xf numFmtId="178" fontId="27" fillId="12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70" fillId="42" borderId="0" applyNumberFormat="0" applyBorder="0" applyAlignment="0" applyProtection="0"/>
    <xf numFmtId="178" fontId="70" fillId="43" borderId="0" applyNumberFormat="0" applyBorder="0" applyAlignment="0" applyProtection="0"/>
    <xf numFmtId="178" fontId="70" fillId="44" borderId="0" applyNumberFormat="0" applyBorder="0" applyAlignment="0" applyProtection="0"/>
    <xf numFmtId="178" fontId="70" fillId="45" borderId="0" applyNumberFormat="0" applyBorder="0" applyAlignment="0" applyProtection="0"/>
    <xf numFmtId="178" fontId="70" fillId="46" borderId="0" applyNumberFormat="0" applyBorder="0" applyAlignment="0" applyProtection="0"/>
    <xf numFmtId="178" fontId="70" fillId="47" borderId="0" applyNumberFormat="0" applyBorder="0" applyAlignment="0" applyProtection="0"/>
    <xf numFmtId="178" fontId="28" fillId="16" borderId="0" applyNumberFormat="0" applyBorder="0" applyAlignment="0" applyProtection="0">
      <alignment vertical="center"/>
    </xf>
    <xf numFmtId="178" fontId="28" fillId="10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8" borderId="0" applyNumberFormat="0" applyBorder="0" applyAlignment="0" applyProtection="0">
      <alignment vertical="center"/>
    </xf>
    <xf numFmtId="178" fontId="70" fillId="48" borderId="0" applyNumberFormat="0" applyBorder="0" applyAlignment="0" applyProtection="0"/>
    <xf numFmtId="178" fontId="17" fillId="19" borderId="0" applyNumberFormat="0" applyBorder="0" applyAlignment="0" applyProtection="0"/>
    <xf numFmtId="178" fontId="70" fillId="49" borderId="0" applyNumberFormat="0" applyBorder="0" applyAlignment="0" applyProtection="0"/>
    <xf numFmtId="178" fontId="70" fillId="50" borderId="0" applyNumberFormat="0" applyBorder="0" applyAlignment="0" applyProtection="0"/>
    <xf numFmtId="178" fontId="70" fillId="51" borderId="0" applyNumberFormat="0" applyBorder="0" applyAlignment="0" applyProtection="0"/>
    <xf numFmtId="178" fontId="70" fillId="52" borderId="0" applyNumberFormat="0" applyBorder="0" applyAlignment="0" applyProtection="0"/>
    <xf numFmtId="178" fontId="70" fillId="53" borderId="0" applyNumberFormat="0" applyBorder="0" applyAlignment="0" applyProtection="0"/>
    <xf numFmtId="3" fontId="25" fillId="0" borderId="0" applyNumberFormat="0" applyFill="0" applyBorder="0" applyAlignment="0" applyProtection="0"/>
    <xf numFmtId="3" fontId="29" fillId="0" borderId="0" applyNumberFormat="0" applyFill="0" applyBorder="0" applyAlignment="0" applyProtection="0"/>
    <xf numFmtId="179" fontId="8" fillId="0" borderId="0" applyFont="0" applyFill="0" applyBorder="0" applyAlignment="0" applyProtection="0"/>
    <xf numFmtId="178" fontId="71" fillId="54" borderId="0" applyNumberFormat="0" applyBorder="0" applyAlignment="0" applyProtection="0"/>
    <xf numFmtId="178" fontId="72" fillId="55" borderId="27" applyNumberFormat="0" applyAlignment="0" applyProtection="0"/>
    <xf numFmtId="178" fontId="18" fillId="21" borderId="2" applyNumberFormat="0" applyAlignment="0" applyProtection="0"/>
    <xf numFmtId="178" fontId="73" fillId="56" borderId="28" applyNumberFormat="0" applyAlignment="0" applyProtection="0"/>
    <xf numFmtId="166" fontId="7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3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178" fontId="34" fillId="0" borderId="0"/>
    <xf numFmtId="178" fontId="34" fillId="0" borderId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180" fontId="35" fillId="0" borderId="0">
      <protection locked="0"/>
    </xf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65" fontId="7" fillId="0" borderId="0" applyFont="0" applyFill="0" applyBorder="0" applyAlignment="0" applyProtection="0"/>
    <xf numFmtId="44" fontId="69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69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69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14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22" fontId="9" fillId="0" borderId="0" applyFont="0" applyFill="0" applyBorder="0" applyAlignment="0" applyProtection="0"/>
    <xf numFmtId="178" fontId="36" fillId="0" borderId="0">
      <alignment horizontal="left" vertical="top" wrapText="1"/>
    </xf>
    <xf numFmtId="7" fontId="3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74" fillId="0" borderId="0" applyNumberFormat="0" applyFill="0" applyBorder="0" applyAlignment="0" applyProtection="0"/>
    <xf numFmtId="178" fontId="38" fillId="0" borderId="0" applyProtection="0"/>
    <xf numFmtId="178" fontId="38" fillId="0" borderId="0" applyProtection="0"/>
    <xf numFmtId="178" fontId="38" fillId="0" borderId="0" applyProtection="0"/>
    <xf numFmtId="178" fontId="38" fillId="0" borderId="0" applyProtection="0"/>
    <xf numFmtId="178" fontId="38" fillId="0" borderId="0" applyProtection="0"/>
    <xf numFmtId="178" fontId="38" fillId="0" borderId="0" applyProtection="0"/>
    <xf numFmtId="178" fontId="38" fillId="0" borderId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181" fontId="39" fillId="0" borderId="0"/>
    <xf numFmtId="182" fontId="39" fillId="0" borderId="0"/>
    <xf numFmtId="183" fontId="39" fillId="0" borderId="0"/>
    <xf numFmtId="178" fontId="19" fillId="8" borderId="0" applyNumberFormat="0" applyBorder="0" applyAlignment="0" applyProtection="0"/>
    <xf numFmtId="0" fontId="75" fillId="57" borderId="0" applyNumberFormat="0" applyBorder="0" applyAlignment="0" applyProtection="0"/>
    <xf numFmtId="178" fontId="75" fillId="57" borderId="0" applyNumberFormat="0" applyBorder="0" applyAlignment="0" applyProtection="0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38" fontId="8" fillId="23" borderId="0" applyNumberFormat="0" applyBorder="0" applyAlignment="0" applyProtection="0"/>
    <xf numFmtId="1" fontId="41" fillId="0" borderId="4" applyBorder="0">
      <protection locked="0"/>
    </xf>
    <xf numFmtId="178" fontId="26" fillId="0" borderId="5" applyNumberFormat="0" applyAlignment="0" applyProtection="0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76" fillId="0" borderId="29" applyNumberFormat="0" applyFill="0" applyAlignment="0" applyProtection="0"/>
    <xf numFmtId="178" fontId="77" fillId="0" borderId="30" applyNumberFormat="0" applyFill="0" applyAlignment="0" applyProtection="0"/>
    <xf numFmtId="178" fontId="78" fillId="0" borderId="31" applyNumberFormat="0" applyFill="0" applyAlignment="0" applyProtection="0"/>
    <xf numFmtId="178" fontId="78" fillId="0" borderId="0" applyNumberFormat="0" applyFill="0" applyBorder="0" applyAlignment="0" applyProtection="0"/>
    <xf numFmtId="178" fontId="38" fillId="0" borderId="0" applyProtection="0"/>
    <xf numFmtId="178" fontId="38" fillId="0" borderId="0" applyProtection="0"/>
    <xf numFmtId="178" fontId="79" fillId="0" borderId="0" applyNumberFormat="0" applyFill="0" applyBorder="0" applyAlignment="0" applyProtection="0"/>
    <xf numFmtId="178" fontId="42" fillId="0" borderId="0" applyNumberFormat="0" applyFill="0" applyBorder="0" applyAlignment="0" applyProtection="0">
      <alignment vertical="top"/>
      <protection locked="0"/>
    </xf>
    <xf numFmtId="178" fontId="42" fillId="0" borderId="0" applyNumberFormat="0" applyFill="0" applyBorder="0" applyAlignment="0" applyProtection="0">
      <alignment vertical="top"/>
      <protection locked="0"/>
    </xf>
    <xf numFmtId="178" fontId="43" fillId="0" borderId="0" applyNumberFormat="0" applyFill="0" applyBorder="0" applyAlignment="0" applyProtection="0">
      <alignment vertical="top"/>
      <protection locked="0"/>
    </xf>
    <xf numFmtId="178" fontId="43" fillId="0" borderId="0" applyNumberFormat="0" applyFill="0" applyBorder="0" applyAlignment="0" applyProtection="0">
      <alignment vertical="top"/>
      <protection locked="0"/>
    </xf>
    <xf numFmtId="178" fontId="43" fillId="0" borderId="0" applyNumberFormat="0" applyFill="0" applyBorder="0" applyAlignment="0" applyProtection="0">
      <alignment vertical="top"/>
      <protection locked="0"/>
    </xf>
    <xf numFmtId="178" fontId="43" fillId="0" borderId="0" applyNumberFormat="0" applyFill="0" applyBorder="0" applyAlignment="0" applyProtection="0">
      <alignment vertical="top"/>
      <protection locked="0"/>
    </xf>
    <xf numFmtId="178" fontId="43" fillId="0" borderId="0" applyNumberFormat="0" applyFill="0" applyBorder="0" applyAlignment="0" applyProtection="0">
      <alignment vertical="top"/>
      <protection locked="0"/>
    </xf>
    <xf numFmtId="178" fontId="80" fillId="0" borderId="0" applyNumberFormat="0" applyFill="0" applyBorder="0" applyAlignment="0" applyProtection="0">
      <alignment vertical="top"/>
      <protection locked="0"/>
    </xf>
    <xf numFmtId="178" fontId="81" fillId="0" borderId="0" applyNumberFormat="0" applyFill="0" applyBorder="0" applyAlignment="0" applyProtection="0">
      <alignment vertical="top"/>
      <protection locked="0"/>
    </xf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0" fontId="8" fillId="24" borderId="3" applyNumberFormat="0" applyBorder="0" applyAlignment="0" applyProtection="0"/>
    <xf numFmtId="178" fontId="82" fillId="58" borderId="27" applyNumberFormat="0" applyAlignment="0" applyProtection="0"/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9" fillId="25" borderId="3" applyFont="0" applyFill="0" applyBorder="0" applyAlignment="0" applyProtection="0">
      <alignment horizontal="center"/>
      <protection locked="0"/>
    </xf>
    <xf numFmtId="178" fontId="20" fillId="0" borderId="8" applyNumberFormat="0" applyFill="0" applyAlignment="0" applyProtection="0"/>
    <xf numFmtId="178" fontId="83" fillId="0" borderId="32" applyNumberFormat="0" applyFill="0" applyAlignment="0" applyProtection="0"/>
    <xf numFmtId="178" fontId="44" fillId="23" borderId="0" applyNumberFormat="0" applyBorder="0" applyAlignment="0"/>
    <xf numFmtId="1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85" fontId="46" fillId="0" borderId="0" applyFont="0" applyFill="0" applyBorder="0"/>
    <xf numFmtId="178" fontId="21" fillId="11" borderId="0" applyNumberFormat="0" applyBorder="0" applyAlignment="0" applyProtection="0"/>
    <xf numFmtId="178" fontId="84" fillId="59" borderId="0" applyNumberFormat="0" applyBorder="0" applyAlignment="0" applyProtection="0"/>
    <xf numFmtId="186" fontId="47" fillId="0" borderId="0"/>
    <xf numFmtId="178" fontId="69" fillId="0" borderId="0"/>
    <xf numFmtId="177" fontId="23" fillId="0" borderId="0"/>
    <xf numFmtId="0" fontId="9" fillId="0" borderId="0"/>
    <xf numFmtId="178" fontId="69" fillId="0" borderId="0"/>
    <xf numFmtId="178" fontId="9" fillId="0" borderId="0">
      <alignment horizontal="left"/>
    </xf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0" fontId="1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2" fillId="0" borderId="0"/>
    <xf numFmtId="177" fontId="23" fillId="0" borderId="0"/>
    <xf numFmtId="0" fontId="9" fillId="0" borderId="0"/>
    <xf numFmtId="168" fontId="34" fillId="0" borderId="0"/>
    <xf numFmtId="0" fontId="69" fillId="0" borderId="0"/>
    <xf numFmtId="178" fontId="31" fillId="0" borderId="0"/>
    <xf numFmtId="178" fontId="9" fillId="0" borderId="0">
      <alignment wrapText="1"/>
    </xf>
    <xf numFmtId="0" fontId="9" fillId="0" borderId="0"/>
    <xf numFmtId="178" fontId="9" fillId="0" borderId="0"/>
    <xf numFmtId="178" fontId="31" fillId="0" borderId="0"/>
    <xf numFmtId="178" fontId="44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0" fontId="9" fillId="0" borderId="0"/>
    <xf numFmtId="178" fontId="31" fillId="0" borderId="0"/>
    <xf numFmtId="178" fontId="9" fillId="0" borderId="0"/>
    <xf numFmtId="178" fontId="9" fillId="0" borderId="0"/>
    <xf numFmtId="0" fontId="9" fillId="0" borderId="0"/>
    <xf numFmtId="174" fontId="34" fillId="0" borderId="0"/>
    <xf numFmtId="0" fontId="9" fillId="0" borderId="0"/>
    <xf numFmtId="178" fontId="9" fillId="0" borderId="0"/>
    <xf numFmtId="178" fontId="9" fillId="0" borderId="0"/>
    <xf numFmtId="178" fontId="9" fillId="0" borderId="0">
      <alignment horizontal="left"/>
    </xf>
    <xf numFmtId="178" fontId="9" fillId="0" borderId="0"/>
    <xf numFmtId="178" fontId="9" fillId="0" borderId="0"/>
    <xf numFmtId="178" fontId="9" fillId="0" borderId="0"/>
    <xf numFmtId="178" fontId="9" fillId="0" borderId="0">
      <alignment wrapText="1"/>
    </xf>
    <xf numFmtId="0" fontId="69" fillId="0" borderId="0"/>
    <xf numFmtId="192" fontId="67" fillId="0" borderId="0" applyBorder="0"/>
    <xf numFmtId="0" fontId="9" fillId="0" borderId="0"/>
    <xf numFmtId="178" fontId="69" fillId="0" borderId="0"/>
    <xf numFmtId="0" fontId="69" fillId="0" borderId="0"/>
    <xf numFmtId="178" fontId="69" fillId="0" borderId="0"/>
    <xf numFmtId="0" fontId="68" fillId="0" borderId="0"/>
    <xf numFmtId="178" fontId="9" fillId="0" borderId="0"/>
    <xf numFmtId="178" fontId="31" fillId="0" borderId="0"/>
    <xf numFmtId="178" fontId="31" fillId="0" borderId="0"/>
    <xf numFmtId="178" fontId="9" fillId="0" borderId="0"/>
    <xf numFmtId="178" fontId="9" fillId="0" borderId="0"/>
    <xf numFmtId="177" fontId="23" fillId="0" borderId="0"/>
    <xf numFmtId="178" fontId="9" fillId="0" borderId="0"/>
    <xf numFmtId="187" fontId="34" fillId="0" borderId="0"/>
    <xf numFmtId="178" fontId="69" fillId="0" borderId="0"/>
    <xf numFmtId="178" fontId="69" fillId="0" borderId="0"/>
    <xf numFmtId="178" fontId="69" fillId="0" borderId="0"/>
    <xf numFmtId="178" fontId="69" fillId="0" borderId="0"/>
    <xf numFmtId="178" fontId="16" fillId="0" borderId="0"/>
    <xf numFmtId="178" fontId="69" fillId="0" borderId="0"/>
    <xf numFmtId="178" fontId="69" fillId="0" borderId="0"/>
    <xf numFmtId="178" fontId="16" fillId="0" borderId="0"/>
    <xf numFmtId="178" fontId="69" fillId="0" borderId="0"/>
    <xf numFmtId="178" fontId="69" fillId="0" borderId="0"/>
    <xf numFmtId="0" fontId="9" fillId="0" borderId="0"/>
    <xf numFmtId="178" fontId="16" fillId="0" borderId="0"/>
    <xf numFmtId="177" fontId="23" fillId="0" borderId="0"/>
    <xf numFmtId="178" fontId="85" fillId="0" borderId="0"/>
    <xf numFmtId="178" fontId="9" fillId="0" borderId="0"/>
    <xf numFmtId="178" fontId="69" fillId="0" borderId="0"/>
    <xf numFmtId="187" fontId="34" fillId="0" borderId="0"/>
    <xf numFmtId="178" fontId="69" fillId="0" borderId="0"/>
    <xf numFmtId="178" fontId="16" fillId="0" borderId="0"/>
    <xf numFmtId="177" fontId="23" fillId="0" borderId="0"/>
    <xf numFmtId="178" fontId="86" fillId="0" borderId="0"/>
    <xf numFmtId="178" fontId="69" fillId="60" borderId="33" applyNumberFormat="0" applyFont="0" applyAlignment="0" applyProtection="0"/>
    <xf numFmtId="38" fontId="9" fillId="0" borderId="0"/>
    <xf numFmtId="40" fontId="9" fillId="0" borderId="10"/>
    <xf numFmtId="188" fontId="9" fillId="0" borderId="11"/>
    <xf numFmtId="188" fontId="9" fillId="0" borderId="11"/>
    <xf numFmtId="178" fontId="9" fillId="0" borderId="0"/>
    <xf numFmtId="178" fontId="87" fillId="55" borderId="34" applyNumberFormat="0" applyAlignment="0" applyProtection="0"/>
    <xf numFmtId="178" fontId="34" fillId="0" borderId="0"/>
    <xf numFmtId="178" fontId="34" fillId="0" borderId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9" fillId="0" borderId="0" applyFont="0" applyFill="0" applyBorder="0" applyAlignment="0" applyProtection="0"/>
    <xf numFmtId="189" fontId="46" fillId="0" borderId="0" applyFont="0" applyFill="0" applyBorder="0" applyProtection="0">
      <alignment horizontal="center"/>
    </xf>
    <xf numFmtId="190" fontId="8" fillId="0" borderId="0" applyFont="0" applyFill="0" applyBorder="0" applyAlignment="0" applyProtection="0"/>
    <xf numFmtId="178" fontId="37" fillId="0" borderId="0" applyNumberFormat="0" applyFont="0" applyFill="0" applyBorder="0" applyAlignment="0" applyProtection="0">
      <alignment horizontal="left"/>
    </xf>
    <xf numFmtId="15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178" fontId="48" fillId="0" borderId="13">
      <alignment horizontal="center"/>
    </xf>
    <xf numFmtId="3" fontId="37" fillId="0" borderId="0" applyFont="0" applyFill="0" applyBorder="0" applyAlignment="0" applyProtection="0"/>
    <xf numFmtId="178" fontId="37" fillId="26" borderId="0" applyNumberFormat="0" applyFont="0" applyBorder="0" applyAlignment="0" applyProtection="0"/>
    <xf numFmtId="3" fontId="24" fillId="0" borderId="0" applyFill="0" applyBorder="0" applyAlignment="0" applyProtection="0"/>
    <xf numFmtId="3" fontId="23" fillId="0" borderId="0" applyFill="0" applyBorder="0" applyAlignment="0" applyProtection="0"/>
    <xf numFmtId="3" fontId="24" fillId="0" borderId="0" applyFill="0" applyBorder="0" applyAlignment="0" applyProtection="0"/>
    <xf numFmtId="178" fontId="49" fillId="0" borderId="0"/>
    <xf numFmtId="178" fontId="34" fillId="0" borderId="0"/>
    <xf numFmtId="178" fontId="9" fillId="0" borderId="0" applyNumberFormat="0" applyFill="0" applyBorder="0" applyProtection="0">
      <alignment horizontal="right"/>
    </xf>
    <xf numFmtId="178" fontId="10" fillId="0" borderId="0" applyNumberFormat="0" applyFill="0" applyBorder="0" applyProtection="0">
      <alignment horizontal="right"/>
    </xf>
    <xf numFmtId="178" fontId="9" fillId="0" borderId="0" applyNumberFormat="0" applyFill="0" applyBorder="0" applyProtection="0">
      <alignment horizontal="left"/>
    </xf>
    <xf numFmtId="178" fontId="10" fillId="0" borderId="0" applyNumberFormat="0" applyFill="0" applyBorder="0" applyProtection="0">
      <alignment horizontal="left"/>
    </xf>
    <xf numFmtId="178" fontId="10" fillId="0" borderId="0" applyNumberFormat="0" applyFill="0" applyBorder="0" applyProtection="0">
      <alignment horizontal="left"/>
    </xf>
    <xf numFmtId="178" fontId="9" fillId="0" borderId="14" applyNumberFormat="0" applyFont="0" applyFill="0" applyAlignment="0" applyProtection="0"/>
    <xf numFmtId="178" fontId="9" fillId="0" borderId="0" applyNumberFormat="0" applyFont="0" applyFill="0" applyBorder="0" applyProtection="0">
      <alignment wrapText="1"/>
    </xf>
    <xf numFmtId="178" fontId="12" fillId="0" borderId="0" applyNumberFormat="0" applyBorder="0" applyAlignment="0"/>
    <xf numFmtId="178" fontId="12" fillId="0" borderId="0" applyNumberFormat="0" applyBorder="0" applyAlignment="0"/>
    <xf numFmtId="178" fontId="12" fillId="0" borderId="0" applyNumberFormat="0" applyBorder="0" applyAlignment="0"/>
    <xf numFmtId="178" fontId="22" fillId="0" borderId="0" applyNumberFormat="0" applyBorder="0" applyAlignment="0"/>
    <xf numFmtId="178" fontId="14" fillId="0" borderId="0" applyNumberFormat="0" applyBorder="0" applyAlignment="0"/>
    <xf numFmtId="178" fontId="50" fillId="0" borderId="0" applyNumberFormat="0" applyBorder="0" applyAlignment="0"/>
    <xf numFmtId="178" fontId="50" fillId="0" borderId="0" applyNumberFormat="0" applyBorder="0" applyAlignment="0"/>
    <xf numFmtId="178" fontId="9" fillId="0" borderId="0"/>
    <xf numFmtId="191" fontId="9" fillId="0" borderId="0" applyFont="0" applyFill="0" applyBorder="0" applyAlignment="0" applyProtection="0"/>
    <xf numFmtId="178" fontId="88" fillId="0" borderId="0" applyNumberFormat="0" applyFill="0" applyBorder="0" applyAlignment="0" applyProtection="0"/>
    <xf numFmtId="178" fontId="89" fillId="0" borderId="35" applyNumberFormat="0" applyFill="0" applyAlignment="0" applyProtection="0"/>
    <xf numFmtId="178" fontId="9" fillId="0" borderId="0"/>
    <xf numFmtId="178" fontId="51" fillId="0" borderId="0" applyNumberFormat="0" applyBorder="0" applyAlignment="0">
      <protection locked="0"/>
    </xf>
    <xf numFmtId="178" fontId="90" fillId="0" borderId="0" applyNumberFormat="0" applyFill="0" applyBorder="0" applyAlignment="0" applyProtection="0"/>
    <xf numFmtId="178" fontId="9" fillId="0" borderId="0"/>
    <xf numFmtId="178" fontId="28" fillId="27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52" fillId="0" borderId="0" applyNumberFormat="0" applyFill="0" applyBorder="0" applyAlignment="0" applyProtection="0">
      <alignment vertical="center"/>
    </xf>
    <xf numFmtId="178" fontId="53" fillId="21" borderId="2" applyNumberFormat="0" applyAlignment="0" applyProtection="0">
      <alignment vertical="center"/>
    </xf>
    <xf numFmtId="178" fontId="54" fillId="11" borderId="0" applyNumberFormat="0" applyBorder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9" fillId="3" borderId="9" applyNumberFormat="0" applyFont="0" applyAlignment="0" applyProtection="0">
      <alignment vertical="center"/>
    </xf>
    <xf numFmtId="178" fontId="55" fillId="0" borderId="8" applyNumberFormat="0" applyFill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8" fillId="7" borderId="0" applyNumberFormat="0" applyBorder="0" applyAlignment="0" applyProtection="0">
      <alignment vertical="center"/>
    </xf>
    <xf numFmtId="178" fontId="59" fillId="8" borderId="0" applyNumberFormat="0" applyBorder="0" applyAlignment="0" applyProtection="0">
      <alignment vertical="center"/>
    </xf>
    <xf numFmtId="178" fontId="60" fillId="0" borderId="15" applyNumberFormat="0" applyFill="0" applyAlignment="0" applyProtection="0">
      <alignment vertical="center"/>
    </xf>
    <xf numFmtId="178" fontId="61" fillId="0" borderId="7" applyNumberFormat="0" applyFill="0" applyAlignment="0" applyProtection="0">
      <alignment vertical="center"/>
    </xf>
    <xf numFmtId="178" fontId="62" fillId="0" borderId="16" applyNumberFormat="0" applyFill="0" applyAlignment="0" applyProtection="0">
      <alignment vertical="center"/>
    </xf>
    <xf numFmtId="178" fontId="62" fillId="0" borderId="0" applyNumberFormat="0" applyFill="0" applyBorder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4" fillId="0" borderId="0" applyNumberFormat="0" applyFill="0" applyBorder="0" applyAlignment="0" applyProtection="0">
      <alignment vertical="center"/>
    </xf>
    <xf numFmtId="178" fontId="65" fillId="0" borderId="0" applyNumberFormat="0" applyFill="0" applyBorder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0" fontId="6" fillId="0" borderId="0"/>
    <xf numFmtId="166" fontId="7" fillId="0" borderId="0" applyFont="0" applyFill="0" applyBorder="0" applyAlignment="0" applyProtection="0"/>
    <xf numFmtId="0" fontId="5" fillId="0" borderId="0"/>
    <xf numFmtId="0" fontId="4" fillId="0" borderId="0"/>
    <xf numFmtId="0" fontId="7" fillId="0" borderId="0"/>
    <xf numFmtId="0" fontId="3" fillId="0" borderId="0"/>
    <xf numFmtId="0" fontId="7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71" borderId="0" applyBorder="0"/>
    <xf numFmtId="44" fontId="7" fillId="0" borderId="0" applyFont="0" applyFill="0" applyBorder="0" applyAlignment="0" applyProtection="0"/>
    <xf numFmtId="0" fontId="2" fillId="0" borderId="0"/>
    <xf numFmtId="9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600">
    <xf numFmtId="0" fontId="0" fillId="0" borderId="0" xfId="0"/>
    <xf numFmtId="0" fontId="91" fillId="0" borderId="0" xfId="0" applyFont="1" applyAlignment="1">
      <alignment horizontal="center" vertical="center" wrapText="1"/>
    </xf>
    <xf numFmtId="0" fontId="91" fillId="0" borderId="4" xfId="0" applyFont="1" applyBorder="1" applyAlignment="1">
      <alignment horizontal="center" vertical="center" wrapText="1"/>
    </xf>
    <xf numFmtId="171" fontId="91" fillId="0" borderId="0" xfId="98" applyNumberFormat="1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/>
    </xf>
    <xf numFmtId="0" fontId="44" fillId="0" borderId="0" xfId="0" applyFont="1"/>
    <xf numFmtId="0" fontId="44" fillId="0" borderId="0" xfId="0" applyFont="1" applyAlignment="1">
      <alignment horizontal="center"/>
    </xf>
    <xf numFmtId="0" fontId="44" fillId="0" borderId="0" xfId="0" applyFont="1" applyAlignment="1">
      <alignment wrapText="1"/>
    </xf>
    <xf numFmtId="0" fontId="44" fillId="0" borderId="0" xfId="0" applyFont="1" applyAlignment="1">
      <alignment horizontal="left"/>
    </xf>
    <xf numFmtId="171" fontId="44" fillId="0" borderId="0" xfId="98" applyNumberFormat="1" applyFont="1" applyAlignment="1">
      <alignment horizontal="center"/>
    </xf>
    <xf numFmtId="9" fontId="44" fillId="0" borderId="0" xfId="345" applyFont="1" applyAlignment="1">
      <alignment horizontal="center"/>
    </xf>
    <xf numFmtId="0" fontId="92" fillId="70" borderId="3" xfId="0" applyFont="1" applyFill="1" applyBorder="1" applyAlignment="1">
      <alignment horizontal="center" vertical="center" wrapText="1"/>
    </xf>
    <xf numFmtId="171" fontId="92" fillId="70" borderId="3" xfId="98" applyNumberFormat="1" applyFont="1" applyFill="1" applyBorder="1" applyAlignment="1">
      <alignment horizontal="center" vertical="center" wrapText="1"/>
    </xf>
    <xf numFmtId="0" fontId="93" fillId="0" borderId="3" xfId="0" applyFont="1" applyBorder="1" applyAlignment="1">
      <alignment horizontal="center" vertical="top"/>
    </xf>
    <xf numFmtId="0" fontId="15" fillId="0" borderId="3" xfId="0" applyFont="1" applyBorder="1" applyAlignment="1">
      <alignment horizontal="center" vertical="center"/>
    </xf>
    <xf numFmtId="171" fontId="15" fillId="0" borderId="3" xfId="98" applyNumberFormat="1" applyFont="1" applyBorder="1" applyAlignment="1">
      <alignment horizontal="center" vertical="center"/>
    </xf>
    <xf numFmtId="0" fontId="93" fillId="0" borderId="0" xfId="0" applyFont="1" applyAlignment="1">
      <alignment horizontal="center" vertical="top"/>
    </xf>
    <xf numFmtId="0" fontId="15" fillId="63" borderId="3" xfId="0" applyFont="1" applyFill="1" applyBorder="1" applyAlignment="1">
      <alignment vertical="center" wrapText="1"/>
    </xf>
    <xf numFmtId="171" fontId="15" fillId="63" borderId="3" xfId="98" applyNumberFormat="1" applyFont="1" applyFill="1" applyBorder="1" applyAlignment="1">
      <alignment vertical="center" wrapText="1"/>
    </xf>
    <xf numFmtId="0" fontId="94" fillId="62" borderId="3" xfId="0" applyFont="1" applyFill="1" applyBorder="1" applyAlignment="1">
      <alignment wrapText="1"/>
    </xf>
    <xf numFmtId="171" fontId="94" fillId="62" borderId="3" xfId="98" applyNumberFormat="1" applyFont="1" applyFill="1" applyBorder="1" applyAlignment="1">
      <alignment wrapText="1"/>
    </xf>
    <xf numFmtId="0" fontId="44" fillId="0" borderId="3" xfId="0" applyFont="1" applyBorder="1" applyAlignment="1">
      <alignment wrapText="1"/>
    </xf>
    <xf numFmtId="9" fontId="44" fillId="0" borderId="3" xfId="337" applyFont="1" applyFill="1" applyBorder="1" applyAlignment="1">
      <alignment horizontal="center" wrapText="1"/>
    </xf>
    <xf numFmtId="173" fontId="44" fillId="0" borderId="3" xfId="98" applyNumberFormat="1" applyFont="1" applyFill="1" applyBorder="1" applyAlignment="1">
      <alignment horizontal="center" wrapText="1"/>
    </xf>
    <xf numFmtId="0" fontId="95" fillId="0" borderId="0" xfId="0" applyFont="1" applyAlignment="1">
      <alignment wrapText="1"/>
    </xf>
    <xf numFmtId="9" fontId="94" fillId="62" borderId="3" xfId="337" applyFont="1" applyFill="1" applyBorder="1" applyAlignment="1">
      <alignment wrapText="1"/>
    </xf>
    <xf numFmtId="0" fontId="15" fillId="61" borderId="3" xfId="0" applyFont="1" applyFill="1" applyBorder="1" applyAlignment="1">
      <alignment wrapText="1"/>
    </xf>
    <xf numFmtId="9" fontId="15" fillId="61" borderId="3" xfId="337" applyFont="1" applyFill="1" applyBorder="1" applyAlignment="1">
      <alignment wrapText="1"/>
    </xf>
    <xf numFmtId="173" fontId="15" fillId="61" borderId="3" xfId="337" applyNumberFormat="1" applyFont="1" applyFill="1" applyBorder="1" applyAlignment="1">
      <alignment wrapText="1"/>
    </xf>
    <xf numFmtId="3" fontId="44" fillId="0" borderId="0" xfId="0" applyNumberFormat="1" applyFont="1" applyAlignment="1">
      <alignment horizontal="center"/>
    </xf>
    <xf numFmtId="0" fontId="15" fillId="0" borderId="0" xfId="0" applyFont="1"/>
    <xf numFmtId="3" fontId="44" fillId="0" borderId="0" xfId="0" applyNumberFormat="1" applyFont="1"/>
    <xf numFmtId="171" fontId="44" fillId="0" borderId="0" xfId="0" applyNumberFormat="1" applyFont="1"/>
    <xf numFmtId="0" fontId="15" fillId="63" borderId="0" xfId="0" applyFont="1" applyFill="1" applyAlignment="1">
      <alignment vertical="center" wrapText="1"/>
    </xf>
    <xf numFmtId="0" fontId="15" fillId="63" borderId="0" xfId="0" applyFont="1" applyFill="1" applyAlignment="1">
      <alignment wrapText="1"/>
    </xf>
    <xf numFmtId="3" fontId="15" fillId="63" borderId="0" xfId="0" applyNumberFormat="1" applyFont="1" applyFill="1" applyAlignment="1">
      <alignment wrapText="1"/>
    </xf>
    <xf numFmtId="3" fontId="44" fillId="63" borderId="0" xfId="0" applyNumberFormat="1" applyFont="1" applyFill="1"/>
    <xf numFmtId="0" fontId="91" fillId="61" borderId="0" xfId="0" applyFont="1" applyFill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3" fontId="44" fillId="0" borderId="0" xfId="0" applyNumberFormat="1" applyFont="1" applyAlignment="1">
      <alignment horizontal="right" wrapText="1"/>
    </xf>
    <xf numFmtId="167" fontId="44" fillId="0" borderId="0" xfId="0" applyNumberFormat="1" applyFont="1" applyAlignment="1">
      <alignment horizontal="right" wrapText="1"/>
    </xf>
    <xf numFmtId="0" fontId="44" fillId="0" borderId="0" xfId="0" applyFont="1" applyAlignment="1">
      <alignment horizontal="left" wrapText="1"/>
    </xf>
    <xf numFmtId="0" fontId="15" fillId="61" borderId="0" xfId="0" applyFont="1" applyFill="1" applyAlignment="1">
      <alignment horizontal="left" vertical="top"/>
    </xf>
    <xf numFmtId="167" fontId="15" fillId="61" borderId="0" xfId="0" applyNumberFormat="1" applyFont="1" applyFill="1" applyAlignment="1">
      <alignment horizontal="right" wrapText="1"/>
    </xf>
    <xf numFmtId="167" fontId="96" fillId="61" borderId="0" xfId="0" applyNumberFormat="1" applyFont="1" applyFill="1" applyAlignment="1">
      <alignment horizontal="right" wrapText="1"/>
    </xf>
    <xf numFmtId="0" fontId="44" fillId="0" borderId="0" xfId="0" applyFont="1" applyAlignment="1">
      <alignment horizontal="left" vertical="top" wrapText="1"/>
    </xf>
    <xf numFmtId="0" fontId="44" fillId="0" borderId="0" xfId="0" applyFont="1" applyAlignment="1">
      <alignment horizontal="left" vertical="top"/>
    </xf>
    <xf numFmtId="3" fontId="44" fillId="0" borderId="0" xfId="0" applyNumberFormat="1" applyFont="1" applyAlignment="1">
      <alignment wrapText="1"/>
    </xf>
    <xf numFmtId="2" fontId="44" fillId="0" borderId="0" xfId="0" applyNumberFormat="1" applyFont="1"/>
    <xf numFmtId="167" fontId="44" fillId="0" borderId="0" xfId="52" applyNumberFormat="1" applyFont="1" applyFill="1" applyAlignment="1">
      <alignment horizontal="right" wrapText="1"/>
    </xf>
    <xf numFmtId="0" fontId="97" fillId="0" borderId="0" xfId="0" applyFont="1" applyAlignment="1">
      <alignment wrapText="1"/>
    </xf>
    <xf numFmtId="0" fontId="15" fillId="0" borderId="0" xfId="0" applyFont="1" applyAlignment="1">
      <alignment wrapText="1"/>
    </xf>
    <xf numFmtId="10" fontId="44" fillId="0" borderId="0" xfId="337" applyNumberFormat="1" applyFont="1" applyAlignment="1">
      <alignment horizontal="right" wrapText="1"/>
    </xf>
    <xf numFmtId="172" fontId="44" fillId="0" borderId="0" xfId="0" applyNumberFormat="1" applyFont="1" applyAlignment="1">
      <alignment horizontal="right" wrapText="1"/>
    </xf>
    <xf numFmtId="171" fontId="44" fillId="0" borderId="0" xfId="98" applyNumberFormat="1" applyFont="1"/>
    <xf numFmtId="167" fontId="15" fillId="0" borderId="0" xfId="0" applyNumberFormat="1" applyFont="1" applyAlignment="1">
      <alignment horizontal="right" wrapText="1"/>
    </xf>
    <xf numFmtId="10" fontId="44" fillId="0" borderId="0" xfId="0" applyNumberFormat="1" applyFont="1" applyAlignment="1">
      <alignment horizontal="right" wrapText="1"/>
    </xf>
    <xf numFmtId="43" fontId="44" fillId="0" borderId="0" xfId="0" applyNumberFormat="1" applyFont="1"/>
    <xf numFmtId="175" fontId="44" fillId="0" borderId="0" xfId="0" applyNumberFormat="1" applyFont="1"/>
    <xf numFmtId="169" fontId="44" fillId="0" borderId="0" xfId="0" applyNumberFormat="1" applyFont="1"/>
    <xf numFmtId="2" fontId="94" fillId="62" borderId="3" xfId="337" applyNumberFormat="1" applyFont="1" applyFill="1" applyBorder="1" applyAlignment="1">
      <alignment wrapText="1"/>
    </xf>
    <xf numFmtId="1" fontId="44" fillId="0" borderId="3" xfId="337" applyNumberFormat="1" applyFont="1" applyFill="1" applyBorder="1" applyAlignment="1">
      <alignment horizontal="center" wrapText="1"/>
    </xf>
    <xf numFmtId="0" fontId="94" fillId="62" borderId="0" xfId="0" applyFont="1" applyFill="1" applyAlignment="1">
      <alignment wrapText="1"/>
    </xf>
    <xf numFmtId="0" fontId="15" fillId="62" borderId="0" xfId="0" applyFont="1" applyFill="1" applyAlignment="1">
      <alignment horizontal="left" vertical="top"/>
    </xf>
    <xf numFmtId="0" fontId="15" fillId="62" borderId="0" xfId="0" applyFont="1" applyFill="1" applyAlignment="1">
      <alignment horizontal="right" wrapText="1"/>
    </xf>
    <xf numFmtId="3" fontId="15" fillId="62" borderId="0" xfId="0" applyNumberFormat="1" applyFont="1" applyFill="1" applyAlignment="1">
      <alignment horizontal="right" wrapText="1"/>
    </xf>
    <xf numFmtId="3" fontId="44" fillId="62" borderId="0" xfId="0" applyNumberFormat="1" applyFont="1" applyFill="1" applyAlignment="1">
      <alignment horizontal="right" wrapText="1"/>
    </xf>
    <xf numFmtId="0" fontId="44" fillId="62" borderId="0" xfId="0" applyFont="1" applyFill="1" applyAlignment="1">
      <alignment horizontal="left" vertical="top"/>
    </xf>
    <xf numFmtId="167" fontId="44" fillId="62" borderId="0" xfId="0" applyNumberFormat="1" applyFont="1" applyFill="1" applyAlignment="1">
      <alignment horizontal="right" wrapText="1"/>
    </xf>
    <xf numFmtId="0" fontId="15" fillId="0" borderId="0" xfId="0" applyFont="1" applyAlignment="1">
      <alignment horizontal="left" vertical="top"/>
    </xf>
    <xf numFmtId="9" fontId="44" fillId="0" borderId="0" xfId="0" applyNumberFormat="1" applyFont="1" applyAlignment="1">
      <alignment horizontal="left" vertical="top" wrapText="1"/>
    </xf>
    <xf numFmtId="0" fontId="44" fillId="62" borderId="0" xfId="0" applyFont="1" applyFill="1" applyAlignment="1">
      <alignment wrapText="1"/>
    </xf>
    <xf numFmtId="3" fontId="44" fillId="62" borderId="0" xfId="0" applyNumberFormat="1" applyFont="1" applyFill="1" applyAlignment="1">
      <alignment wrapText="1"/>
    </xf>
    <xf numFmtId="0" fontId="95" fillId="0" borderId="0" xfId="0" applyFont="1" applyAlignment="1">
      <alignment horizontal="right"/>
    </xf>
    <xf numFmtId="0" fontId="91" fillId="69" borderId="0" xfId="0" applyFont="1" applyFill="1" applyAlignment="1">
      <alignment wrapText="1"/>
    </xf>
    <xf numFmtId="9" fontId="44" fillId="69" borderId="0" xfId="0" applyNumberFormat="1" applyFont="1" applyFill="1" applyAlignment="1">
      <alignment horizontal="left" vertical="top" wrapText="1"/>
    </xf>
    <xf numFmtId="0" fontId="44" fillId="69" borderId="0" xfId="0" applyFont="1" applyFill="1" applyAlignment="1">
      <alignment wrapText="1"/>
    </xf>
    <xf numFmtId="170" fontId="44" fillId="69" borderId="0" xfId="0" applyNumberFormat="1" applyFont="1" applyFill="1" applyAlignment="1">
      <alignment wrapText="1"/>
    </xf>
    <xf numFmtId="167" fontId="44" fillId="69" borderId="0" xfId="0" applyNumberFormat="1" applyFont="1" applyFill="1" applyAlignment="1">
      <alignment horizontal="right" wrapText="1"/>
    </xf>
    <xf numFmtId="0" fontId="94" fillId="62" borderId="0" xfId="0" applyFont="1" applyFill="1" applyAlignment="1">
      <alignment horizontal="left" wrapText="1"/>
    </xf>
    <xf numFmtId="3" fontId="44" fillId="62" borderId="0" xfId="0" applyNumberFormat="1" applyFont="1" applyFill="1"/>
    <xf numFmtId="0" fontId="15" fillId="62" borderId="0" xfId="0" applyFont="1" applyFill="1" applyAlignment="1">
      <alignment wrapText="1"/>
    </xf>
    <xf numFmtId="167" fontId="15" fillId="62" borderId="0" xfId="0" applyNumberFormat="1" applyFont="1" applyFill="1" applyAlignment="1">
      <alignment horizontal="right" wrapText="1"/>
    </xf>
    <xf numFmtId="9" fontId="91" fillId="69" borderId="0" xfId="0" applyNumberFormat="1" applyFont="1" applyFill="1" applyAlignment="1">
      <alignment horizontal="left" vertical="top" wrapText="1"/>
    </xf>
    <xf numFmtId="167" fontId="91" fillId="69" borderId="0" xfId="0" applyNumberFormat="1" applyFont="1" applyFill="1" applyAlignment="1">
      <alignment horizontal="right" wrapText="1"/>
    </xf>
    <xf numFmtId="0" fontId="91" fillId="0" borderId="0" xfId="0" applyFont="1"/>
    <xf numFmtId="0" fontId="15" fillId="63" borderId="0" xfId="0" applyFont="1" applyFill="1" applyAlignment="1">
      <alignment vertical="center"/>
    </xf>
    <xf numFmtId="3" fontId="15" fillId="63" borderId="0" xfId="0" applyNumberFormat="1" applyFont="1" applyFill="1"/>
    <xf numFmtId="167" fontId="15" fillId="63" borderId="0" xfId="0" applyNumberFormat="1" applyFont="1" applyFill="1" applyAlignment="1">
      <alignment horizontal="right" wrapText="1"/>
    </xf>
    <xf numFmtId="0" fontId="15" fillId="68" borderId="0" xfId="0" applyFont="1" applyFill="1" applyAlignment="1">
      <alignment horizontal="left" wrapText="1"/>
    </xf>
    <xf numFmtId="0" fontId="15" fillId="68" borderId="0" xfId="0" applyFont="1" applyFill="1" applyAlignment="1">
      <alignment horizontal="left" vertical="top"/>
    </xf>
    <xf numFmtId="167" fontId="15" fillId="68" borderId="0" xfId="0" applyNumberFormat="1" applyFont="1" applyFill="1" applyAlignment="1">
      <alignment horizontal="right" wrapText="1"/>
    </xf>
    <xf numFmtId="0" fontId="91" fillId="0" borderId="0" xfId="0" applyFont="1" applyAlignment="1">
      <alignment horizontal="left" wrapText="1"/>
    </xf>
    <xf numFmtId="167" fontId="96" fillId="0" borderId="0" xfId="0" applyNumberFormat="1" applyFont="1" applyAlignment="1">
      <alignment horizontal="right" wrapText="1"/>
    </xf>
    <xf numFmtId="0" fontId="95" fillId="0" borderId="0" xfId="0" applyFont="1"/>
    <xf numFmtId="10" fontId="15" fillId="0" borderId="0" xfId="0" applyNumberFormat="1" applyFont="1"/>
    <xf numFmtId="173" fontId="44" fillId="0" borderId="0" xfId="0" applyNumberFormat="1" applyFont="1" applyAlignment="1">
      <alignment horizontal="right" wrapText="1"/>
    </xf>
    <xf numFmtId="0" fontId="15" fillId="62" borderId="18" xfId="0" applyFont="1" applyFill="1" applyBorder="1" applyAlignment="1">
      <alignment wrapText="1"/>
    </xf>
    <xf numFmtId="3" fontId="15" fillId="62" borderId="18" xfId="0" applyNumberFormat="1" applyFont="1" applyFill="1" applyBorder="1" applyAlignment="1">
      <alignment horizontal="right" wrapText="1"/>
    </xf>
    <xf numFmtId="173" fontId="15" fillId="62" borderId="18" xfId="98" applyNumberFormat="1" applyFont="1" applyFill="1" applyBorder="1" applyAlignment="1">
      <alignment horizontal="right" wrapText="1"/>
    </xf>
    <xf numFmtId="0" fontId="100" fillId="0" borderId="0" xfId="0" applyFont="1" applyAlignment="1">
      <alignment wrapText="1"/>
    </xf>
    <xf numFmtId="9" fontId="44" fillId="0" borderId="3" xfId="337" applyFont="1" applyBorder="1" applyAlignment="1">
      <alignment horizontal="center" wrapText="1"/>
    </xf>
    <xf numFmtId="9" fontId="15" fillId="63" borderId="0" xfId="337" applyFont="1" applyFill="1" applyBorder="1" applyAlignment="1">
      <alignment horizontal="center" vertical="center" wrapText="1"/>
    </xf>
    <xf numFmtId="9" fontId="94" fillId="62" borderId="0" xfId="337" applyFont="1" applyFill="1" applyBorder="1" applyAlignment="1">
      <alignment horizontal="center" wrapText="1"/>
    </xf>
    <xf numFmtId="9" fontId="44" fillId="0" borderId="0" xfId="337" applyFont="1" applyBorder="1" applyAlignment="1">
      <alignment horizontal="center" wrapText="1"/>
    </xf>
    <xf numFmtId="9" fontId="44" fillId="0" borderId="0" xfId="337" applyFont="1" applyFill="1" applyBorder="1" applyAlignment="1">
      <alignment horizontal="center" wrapText="1"/>
    </xf>
    <xf numFmtId="9" fontId="44" fillId="62" borderId="0" xfId="337" applyFont="1" applyFill="1" applyBorder="1" applyAlignment="1">
      <alignment horizontal="center" wrapText="1"/>
    </xf>
    <xf numFmtId="0" fontId="15" fillId="0" borderId="0" xfId="0" applyFont="1" applyAlignment="1">
      <alignment horizontal="center" vertical="top"/>
    </xf>
    <xf numFmtId="9" fontId="15" fillId="63" borderId="0" xfId="337" applyFont="1" applyFill="1" applyAlignment="1">
      <alignment horizontal="center" wrapText="1"/>
    </xf>
    <xf numFmtId="9" fontId="44" fillId="0" borderId="0" xfId="337" applyFont="1" applyFill="1" applyAlignment="1">
      <alignment horizontal="center" wrapText="1"/>
    </xf>
    <xf numFmtId="9" fontId="94" fillId="62" borderId="0" xfId="337" applyFont="1" applyFill="1" applyAlignment="1">
      <alignment horizontal="center" wrapText="1"/>
    </xf>
    <xf numFmtId="9" fontId="44" fillId="0" borderId="0" xfId="337" applyFont="1" applyAlignment="1">
      <alignment horizontal="center" wrapText="1"/>
    </xf>
    <xf numFmtId="9" fontId="91" fillId="69" borderId="0" xfId="337" applyFont="1" applyFill="1" applyAlignment="1">
      <alignment horizontal="center" wrapText="1"/>
    </xf>
    <xf numFmtId="9" fontId="15" fillId="63" borderId="0" xfId="337" applyFont="1" applyFill="1" applyBorder="1" applyAlignment="1">
      <alignment horizontal="center" vertical="center"/>
    </xf>
    <xf numFmtId="9" fontId="15" fillId="68" borderId="0" xfId="337" applyFont="1" applyFill="1" applyAlignment="1">
      <alignment horizontal="center" wrapText="1"/>
    </xf>
    <xf numFmtId="9" fontId="15" fillId="61" borderId="0" xfId="337" applyFont="1" applyFill="1" applyAlignment="1">
      <alignment horizontal="center" wrapText="1"/>
    </xf>
    <xf numFmtId="9" fontId="15" fillId="0" borderId="0" xfId="337" applyFont="1" applyFill="1" applyAlignment="1">
      <alignment horizontal="center" wrapText="1"/>
    </xf>
    <xf numFmtId="0" fontId="94" fillId="62" borderId="0" xfId="0" applyFont="1" applyFill="1" applyAlignment="1">
      <alignment horizontal="center" wrapText="1"/>
    </xf>
    <xf numFmtId="9" fontId="96" fillId="61" borderId="0" xfId="337" applyFont="1" applyFill="1" applyAlignment="1">
      <alignment horizontal="center" wrapText="1"/>
    </xf>
    <xf numFmtId="9" fontId="15" fillId="0" borderId="0" xfId="337" applyFont="1" applyFill="1" applyBorder="1" applyAlignment="1">
      <alignment horizontal="center" wrapText="1"/>
    </xf>
    <xf numFmtId="9" fontId="97" fillId="0" borderId="0" xfId="337" applyFont="1" applyAlignment="1">
      <alignment horizontal="center" wrapText="1"/>
    </xf>
    <xf numFmtId="9" fontId="95" fillId="0" borderId="0" xfId="337" applyFont="1" applyFill="1" applyAlignment="1">
      <alignment horizontal="center"/>
    </xf>
    <xf numFmtId="9" fontId="15" fillId="62" borderId="18" xfId="337" applyFont="1" applyFill="1" applyBorder="1" applyAlignment="1">
      <alignment horizontal="center" wrapText="1"/>
    </xf>
    <xf numFmtId="9" fontId="100" fillId="0" borderId="0" xfId="337" applyFont="1" applyFill="1" applyAlignment="1">
      <alignment horizontal="center" wrapText="1"/>
    </xf>
    <xf numFmtId="9" fontId="100" fillId="0" borderId="0" xfId="337" applyFont="1" applyAlignment="1">
      <alignment horizontal="center" wrapText="1"/>
    </xf>
    <xf numFmtId="0" fontId="91" fillId="0" borderId="0" xfId="0" applyFont="1" applyAlignment="1">
      <alignment horizontal="center"/>
    </xf>
    <xf numFmtId="173" fontId="44" fillId="0" borderId="0" xfId="0" applyNumberFormat="1" applyFont="1" applyAlignment="1">
      <alignment wrapText="1"/>
    </xf>
    <xf numFmtId="0" fontId="15" fillId="61" borderId="0" xfId="0" applyFont="1" applyFill="1" applyAlignment="1">
      <alignment wrapText="1"/>
    </xf>
    <xf numFmtId="3" fontId="15" fillId="61" borderId="0" xfId="0" applyNumberFormat="1" applyFont="1" applyFill="1" applyAlignment="1">
      <alignment wrapText="1"/>
    </xf>
    <xf numFmtId="173" fontId="15" fillId="61" borderId="0" xfId="98" applyNumberFormat="1" applyFont="1" applyFill="1" applyBorder="1" applyAlignment="1">
      <alignment horizontal="right" wrapText="1"/>
    </xf>
    <xf numFmtId="0" fontId="15" fillId="0" borderId="0" xfId="0" applyFont="1" applyAlignment="1">
      <alignment horizontal="center" wrapText="1"/>
    </xf>
    <xf numFmtId="3" fontId="15" fillId="0" borderId="0" xfId="0" applyNumberFormat="1" applyFont="1" applyAlignment="1">
      <alignment horizontal="center" wrapText="1"/>
    </xf>
    <xf numFmtId="3" fontId="15" fillId="0" borderId="0" xfId="0" applyNumberFormat="1" applyFont="1" applyAlignment="1">
      <alignment horizontal="center"/>
    </xf>
    <xf numFmtId="172" fontId="15" fillId="61" borderId="0" xfId="0" applyNumberFormat="1" applyFont="1" applyFill="1" applyAlignment="1">
      <alignment horizontal="right" wrapText="1"/>
    </xf>
    <xf numFmtId="173" fontId="15" fillId="61" borderId="0" xfId="0" applyNumberFormat="1" applyFont="1" applyFill="1" applyAlignment="1">
      <alignment horizontal="right" wrapText="1"/>
    </xf>
    <xf numFmtId="0" fontId="15" fillId="61" borderId="0" xfId="0" applyFont="1" applyFill="1" applyAlignment="1">
      <alignment horizontal="left" wrapText="1"/>
    </xf>
    <xf numFmtId="3" fontId="15" fillId="61" borderId="0" xfId="0" applyNumberFormat="1" applyFont="1" applyFill="1" applyAlignment="1">
      <alignment horizontal="right" wrapText="1"/>
    </xf>
    <xf numFmtId="44" fontId="44" fillId="0" borderId="0" xfId="0" applyNumberFormat="1" applyFont="1"/>
    <xf numFmtId="10" fontId="44" fillId="0" borderId="0" xfId="0" applyNumberFormat="1" applyFont="1" applyAlignment="1">
      <alignment wrapText="1"/>
    </xf>
    <xf numFmtId="173" fontId="15" fillId="0" borderId="3" xfId="98" applyNumberFormat="1" applyFont="1" applyFill="1" applyBorder="1" applyAlignment="1">
      <alignment horizontal="center" wrapText="1"/>
    </xf>
    <xf numFmtId="173" fontId="99" fillId="62" borderId="3" xfId="337" applyNumberFormat="1" applyFont="1" applyFill="1" applyBorder="1" applyAlignment="1">
      <alignment wrapText="1"/>
    </xf>
    <xf numFmtId="193" fontId="44" fillId="0" borderId="0" xfId="0" applyNumberFormat="1" applyFont="1" applyAlignment="1">
      <alignment horizontal="right" wrapText="1"/>
    </xf>
    <xf numFmtId="174" fontId="101" fillId="0" borderId="0" xfId="521" applyNumberFormat="1" applyFont="1"/>
    <xf numFmtId="44" fontId="101" fillId="0" borderId="0" xfId="522" applyFont="1"/>
    <xf numFmtId="2" fontId="101" fillId="0" borderId="0" xfId="521" applyNumberFormat="1" applyFont="1"/>
    <xf numFmtId="10" fontId="101" fillId="0" borderId="0" xfId="521" applyNumberFormat="1" applyFont="1"/>
    <xf numFmtId="9" fontId="101" fillId="0" borderId="0" xfId="523" applyFont="1"/>
    <xf numFmtId="37" fontId="101" fillId="0" borderId="0" xfId="522" applyNumberFormat="1" applyFont="1" applyAlignment="1">
      <alignment horizontal="center"/>
    </xf>
    <xf numFmtId="37" fontId="104" fillId="0" borderId="0" xfId="522" applyNumberFormat="1" applyFont="1" applyAlignment="1">
      <alignment horizontal="center"/>
    </xf>
    <xf numFmtId="44" fontId="102" fillId="64" borderId="24" xfId="522" applyFont="1" applyFill="1" applyBorder="1" applyAlignment="1">
      <alignment horizontal="center" vertical="center" wrapText="1"/>
    </xf>
    <xf numFmtId="2" fontId="102" fillId="64" borderId="24" xfId="524" applyNumberFormat="1" applyFont="1" applyFill="1" applyBorder="1" applyAlignment="1">
      <alignment horizontal="center" vertical="center" wrapText="1"/>
    </xf>
    <xf numFmtId="10" fontId="102" fillId="64" borderId="24" xfId="524" applyNumberFormat="1" applyFont="1" applyFill="1" applyBorder="1" applyAlignment="1">
      <alignment horizontal="center" vertical="center" wrapText="1"/>
    </xf>
    <xf numFmtId="174" fontId="102" fillId="64" borderId="10" xfId="525" applyNumberFormat="1" applyFont="1" applyFill="1" applyBorder="1" applyAlignment="1">
      <alignment horizontal="center" vertical="center" wrapText="1"/>
    </xf>
    <xf numFmtId="9" fontId="102" fillId="64" borderId="24" xfId="523" applyFont="1" applyFill="1" applyBorder="1" applyAlignment="1">
      <alignment horizontal="center" vertical="center" wrapText="1"/>
    </xf>
    <xf numFmtId="44" fontId="102" fillId="64" borderId="10" xfId="522" applyFont="1" applyFill="1" applyBorder="1" applyAlignment="1">
      <alignment horizontal="center" vertical="center" wrapText="1"/>
    </xf>
    <xf numFmtId="174" fontId="106" fillId="72" borderId="25" xfId="524" applyNumberFormat="1" applyFont="1" applyFill="1" applyBorder="1"/>
    <xf numFmtId="44" fontId="106" fillId="72" borderId="20" xfId="522" applyFont="1" applyFill="1" applyBorder="1"/>
    <xf numFmtId="2" fontId="106" fillId="72" borderId="24" xfId="524" applyNumberFormat="1" applyFont="1" applyFill="1" applyBorder="1"/>
    <xf numFmtId="10" fontId="106" fillId="72" borderId="24" xfId="524" applyNumberFormat="1" applyFont="1" applyFill="1" applyBorder="1"/>
    <xf numFmtId="174" fontId="106" fillId="72" borderId="10" xfId="524" applyNumberFormat="1" applyFont="1" applyFill="1" applyBorder="1"/>
    <xf numFmtId="9" fontId="106" fillId="72" borderId="24" xfId="523" applyFont="1" applyFill="1" applyBorder="1"/>
    <xf numFmtId="44" fontId="106" fillId="72" borderId="10" xfId="522" applyFont="1" applyFill="1" applyBorder="1"/>
    <xf numFmtId="44" fontId="106" fillId="72" borderId="24" xfId="522" applyFont="1" applyFill="1" applyBorder="1"/>
    <xf numFmtId="44" fontId="106" fillId="72" borderId="23" xfId="522" applyFont="1" applyFill="1" applyBorder="1"/>
    <xf numFmtId="174" fontId="106" fillId="65" borderId="10" xfId="524" applyNumberFormat="1" applyFont="1" applyFill="1" applyBorder="1" applyAlignment="1">
      <alignment horizontal="center"/>
    </xf>
    <xf numFmtId="174" fontId="105" fillId="0" borderId="69" xfId="521" applyNumberFormat="1" applyFont="1" applyBorder="1"/>
    <xf numFmtId="174" fontId="106" fillId="0" borderId="19" xfId="521" applyNumberFormat="1" applyFont="1" applyBorder="1"/>
    <xf numFmtId="44" fontId="106" fillId="0" borderId="0" xfId="522" applyFont="1" applyAlignment="1">
      <alignment horizontal="right"/>
    </xf>
    <xf numFmtId="2" fontId="106" fillId="0" borderId="0" xfId="521" applyNumberFormat="1" applyFont="1" applyAlignment="1">
      <alignment horizontal="right"/>
    </xf>
    <xf numFmtId="10" fontId="106" fillId="0" borderId="0" xfId="521" applyNumberFormat="1" applyFont="1" applyAlignment="1">
      <alignment horizontal="right"/>
    </xf>
    <xf numFmtId="174" fontId="106" fillId="0" borderId="4" xfId="521" applyNumberFormat="1" applyFont="1" applyBorder="1" applyAlignment="1">
      <alignment horizontal="right"/>
    </xf>
    <xf numFmtId="9" fontId="106" fillId="0" borderId="0" xfId="523" applyFont="1" applyAlignment="1">
      <alignment horizontal="right"/>
    </xf>
    <xf numFmtId="44" fontId="106" fillId="0" borderId="4" xfId="522" applyFont="1" applyBorder="1" applyAlignment="1">
      <alignment horizontal="right"/>
    </xf>
    <xf numFmtId="44" fontId="106" fillId="0" borderId="4" xfId="522" quotePrefix="1" applyFont="1" applyBorder="1" applyAlignment="1">
      <alignment horizontal="right"/>
    </xf>
    <xf numFmtId="174" fontId="107" fillId="0" borderId="0" xfId="521" applyNumberFormat="1" applyFont="1"/>
    <xf numFmtId="174" fontId="106" fillId="0" borderId="0" xfId="521" applyNumberFormat="1" applyFont="1"/>
    <xf numFmtId="174" fontId="108" fillId="0" borderId="69" xfId="521" applyNumberFormat="1" applyFont="1" applyBorder="1"/>
    <xf numFmtId="174" fontId="106" fillId="0" borderId="21" xfId="521" applyNumberFormat="1" applyFont="1" applyBorder="1"/>
    <xf numFmtId="194" fontId="107" fillId="0" borderId="0" xfId="521" applyNumberFormat="1" applyFont="1" applyAlignment="1">
      <alignment horizontal="left"/>
    </xf>
    <xf numFmtId="0" fontId="109" fillId="0" borderId="4" xfId="526" applyFont="1" applyBorder="1" applyAlignment="1">
      <alignment horizontal="left" vertical="top" wrapText="1"/>
    </xf>
    <xf numFmtId="174" fontId="101" fillId="0" borderId="4" xfId="521" applyNumberFormat="1" applyFont="1" applyBorder="1"/>
    <xf numFmtId="44" fontId="101" fillId="0" borderId="0" xfId="522" applyFont="1" applyAlignment="1">
      <alignment horizontal="right"/>
    </xf>
    <xf numFmtId="2" fontId="101" fillId="0" borderId="0" xfId="523" applyNumberFormat="1" applyFont="1" applyAlignment="1">
      <alignment horizontal="right"/>
    </xf>
    <xf numFmtId="10" fontId="101" fillId="0" borderId="0" xfId="521" applyNumberFormat="1" applyFont="1" applyAlignment="1">
      <alignment horizontal="right"/>
    </xf>
    <xf numFmtId="174" fontId="101" fillId="0" borderId="4" xfId="525" applyNumberFormat="1" applyFont="1" applyBorder="1"/>
    <xf numFmtId="9" fontId="101" fillId="0" borderId="0" xfId="523" applyFont="1" applyAlignment="1">
      <alignment horizontal="right"/>
    </xf>
    <xf numFmtId="44" fontId="101" fillId="0" borderId="4" xfId="522" applyFont="1" applyBorder="1"/>
    <xf numFmtId="3" fontId="107" fillId="0" borderId="0" xfId="521" applyNumberFormat="1" applyFont="1" applyAlignment="1">
      <alignment horizontal="left"/>
    </xf>
    <xf numFmtId="174" fontId="110" fillId="0" borderId="0" xfId="521" applyNumberFormat="1" applyFont="1"/>
    <xf numFmtId="174" fontId="101" fillId="73" borderId="4" xfId="524" quotePrefix="1" applyNumberFormat="1" applyFont="1" applyFill="1" applyBorder="1" applyAlignment="1">
      <alignment horizontal="center"/>
    </xf>
    <xf numFmtId="169" fontId="101" fillId="0" borderId="0" xfId="521" applyNumberFormat="1" applyFont="1"/>
    <xf numFmtId="49" fontId="101" fillId="0" borderId="0" xfId="521" applyNumberFormat="1" applyFont="1"/>
    <xf numFmtId="44" fontId="101" fillId="0" borderId="11" xfId="522" applyFont="1" applyBorder="1"/>
    <xf numFmtId="174" fontId="101" fillId="73" borderId="0" xfId="524" quotePrefix="1" applyNumberFormat="1" applyFont="1" applyFill="1" applyBorder="1" applyAlignment="1">
      <alignment horizontal="center"/>
    </xf>
    <xf numFmtId="174" fontId="105" fillId="0" borderId="22" xfId="521" applyNumberFormat="1" applyFont="1" applyBorder="1" applyAlignment="1">
      <alignment horizontal="left"/>
    </xf>
    <xf numFmtId="174" fontId="101" fillId="0" borderId="3" xfId="524" quotePrefix="1" applyNumberFormat="1" applyFont="1" applyFill="1" applyBorder="1" applyAlignment="1">
      <alignment horizontal="center"/>
    </xf>
    <xf numFmtId="44" fontId="101" fillId="67" borderId="6" xfId="522" applyFont="1" applyFill="1" applyBorder="1"/>
    <xf numFmtId="2" fontId="101" fillId="67" borderId="6" xfId="525" applyNumberFormat="1" applyFont="1" applyFill="1" applyBorder="1"/>
    <xf numFmtId="10" fontId="101" fillId="0" borderId="6" xfId="521" applyNumberFormat="1" applyFont="1" applyBorder="1"/>
    <xf numFmtId="174" fontId="106" fillId="0" borderId="23" xfId="525" applyNumberFormat="1" applyFont="1" applyBorder="1"/>
    <xf numFmtId="9" fontId="101" fillId="0" borderId="6" xfId="523" applyFont="1" applyBorder="1"/>
    <xf numFmtId="44" fontId="106" fillId="67" borderId="10" xfId="522" applyFont="1" applyFill="1" applyBorder="1"/>
    <xf numFmtId="174" fontId="101" fillId="0" borderId="21" xfId="524" quotePrefix="1" applyNumberFormat="1" applyFont="1" applyFill="1" applyBorder="1" applyAlignment="1">
      <alignment horizontal="center"/>
    </xf>
    <xf numFmtId="44" fontId="101" fillId="0" borderId="0" xfId="522" applyFont="1" applyBorder="1"/>
    <xf numFmtId="2" fontId="101" fillId="0" borderId="0" xfId="525" applyNumberFormat="1" applyFont="1" applyBorder="1"/>
    <xf numFmtId="10" fontId="111" fillId="0" borderId="0" xfId="521" applyNumberFormat="1" applyFont="1"/>
    <xf numFmtId="9" fontId="111" fillId="0" borderId="0" xfId="523" applyFont="1"/>
    <xf numFmtId="44" fontId="101" fillId="0" borderId="4" xfId="522" applyFont="1" applyFill="1" applyBorder="1"/>
    <xf numFmtId="174" fontId="106" fillId="0" borderId="23" xfId="522" applyNumberFormat="1" applyFont="1" applyBorder="1"/>
    <xf numFmtId="0" fontId="112" fillId="0" borderId="0" xfId="521" applyFont="1" applyAlignment="1">
      <alignment horizontal="center"/>
    </xf>
    <xf numFmtId="0" fontId="113" fillId="0" borderId="0" xfId="521" applyFont="1" applyAlignment="1">
      <alignment horizontal="center"/>
    </xf>
    <xf numFmtId="174" fontId="101" fillId="0" borderId="69" xfId="524" applyNumberFormat="1" applyFont="1" applyFill="1" applyBorder="1" applyAlignment="1">
      <alignment horizontal="left" indent="1"/>
    </xf>
    <xf numFmtId="174" fontId="105" fillId="74" borderId="22" xfId="524" applyNumberFormat="1" applyFont="1" applyFill="1" applyBorder="1"/>
    <xf numFmtId="174" fontId="106" fillId="74" borderId="3" xfId="524" applyNumberFormat="1" applyFont="1" applyFill="1" applyBorder="1"/>
    <xf numFmtId="44" fontId="106" fillId="74" borderId="6" xfId="522" applyFont="1" applyFill="1" applyBorder="1"/>
    <xf numFmtId="2" fontId="106" fillId="74" borderId="6" xfId="525" applyNumberFormat="1" applyFont="1" applyFill="1" applyBorder="1"/>
    <xf numFmtId="10" fontId="106" fillId="74" borderId="6" xfId="525" applyNumberFormat="1" applyFont="1" applyFill="1" applyBorder="1"/>
    <xf numFmtId="174" fontId="106" fillId="74" borderId="23" xfId="525" applyNumberFormat="1" applyFont="1" applyFill="1" applyBorder="1"/>
    <xf numFmtId="9" fontId="106" fillId="74" borderId="6" xfId="523" applyFont="1" applyFill="1" applyBorder="1"/>
    <xf numFmtId="174" fontId="106" fillId="74" borderId="23" xfId="522" applyNumberFormat="1" applyFont="1" applyFill="1" applyBorder="1"/>
    <xf numFmtId="37" fontId="104" fillId="0" borderId="24" xfId="522" applyNumberFormat="1" applyFont="1" applyBorder="1" applyAlignment="1">
      <alignment horizontal="center"/>
    </xf>
    <xf numFmtId="174" fontId="101" fillId="0" borderId="24" xfId="521" applyNumberFormat="1" applyFont="1" applyBorder="1"/>
    <xf numFmtId="174" fontId="106" fillId="0" borderId="24" xfId="521" applyNumberFormat="1" applyFont="1" applyBorder="1"/>
    <xf numFmtId="174" fontId="114" fillId="0" borderId="69" xfId="524" applyNumberFormat="1" applyFont="1" applyFill="1" applyBorder="1" applyAlignment="1">
      <alignment horizontal="left" indent="1"/>
    </xf>
    <xf numFmtId="37" fontId="104" fillId="0" borderId="0" xfId="522" applyNumberFormat="1" applyFont="1" applyFill="1" applyAlignment="1">
      <alignment horizontal="center"/>
    </xf>
    <xf numFmtId="174" fontId="101" fillId="0" borderId="4" xfId="524" quotePrefix="1" applyNumberFormat="1" applyFont="1" applyFill="1" applyBorder="1" applyAlignment="1">
      <alignment horizontal="center"/>
    </xf>
    <xf numFmtId="174" fontId="114" fillId="0" borderId="68" xfId="521" applyNumberFormat="1" applyFont="1" applyBorder="1" applyAlignment="1">
      <alignment horizontal="left" indent="1"/>
    </xf>
    <xf numFmtId="174" fontId="101" fillId="0" borderId="11" xfId="524" quotePrefix="1" applyNumberFormat="1" applyFont="1" applyFill="1" applyBorder="1" applyAlignment="1">
      <alignment horizontal="center"/>
    </xf>
    <xf numFmtId="44" fontId="101" fillId="0" borderId="24" xfId="522" applyFont="1" applyBorder="1"/>
    <xf numFmtId="2" fontId="101" fillId="0" borderId="24" xfId="525" applyNumberFormat="1" applyFont="1" applyBorder="1"/>
    <xf numFmtId="10" fontId="101" fillId="0" borderId="24" xfId="521" applyNumberFormat="1" applyFont="1" applyBorder="1"/>
    <xf numFmtId="174" fontId="101" fillId="0" borderId="10" xfId="525" applyNumberFormat="1" applyFont="1" applyBorder="1"/>
    <xf numFmtId="44" fontId="101" fillId="67" borderId="10" xfId="522" applyFont="1" applyFill="1" applyBorder="1"/>
    <xf numFmtId="174" fontId="101" fillId="0" borderId="21" xfId="524" quotePrefix="1" applyNumberFormat="1" applyFont="1" applyFill="1" applyBorder="1"/>
    <xf numFmtId="174" fontId="101" fillId="0" borderId="4" xfId="524" applyNumberFormat="1" applyFont="1" applyFill="1" applyBorder="1"/>
    <xf numFmtId="174" fontId="105" fillId="74" borderId="68" xfId="524" applyNumberFormat="1" applyFont="1" applyFill="1" applyBorder="1"/>
    <xf numFmtId="174" fontId="106" fillId="74" borderId="11" xfId="524" applyNumberFormat="1" applyFont="1" applyFill="1" applyBorder="1"/>
    <xf numFmtId="44" fontId="106" fillId="74" borderId="24" xfId="522" applyFont="1" applyFill="1" applyBorder="1"/>
    <xf numFmtId="2" fontId="106" fillId="74" borderId="24" xfId="525" applyNumberFormat="1" applyFont="1" applyFill="1" applyBorder="1"/>
    <xf numFmtId="10" fontId="106" fillId="74" borderId="24" xfId="525" applyNumberFormat="1" applyFont="1" applyFill="1" applyBorder="1"/>
    <xf numFmtId="174" fontId="106" fillId="74" borderId="10" xfId="525" applyNumberFormat="1" applyFont="1" applyFill="1" applyBorder="1"/>
    <xf numFmtId="9" fontId="106" fillId="74" borderId="24" xfId="523" applyFont="1" applyFill="1" applyBorder="1"/>
    <xf numFmtId="174" fontId="101" fillId="73" borderId="10" xfId="524" quotePrefix="1" applyNumberFormat="1" applyFont="1" applyFill="1" applyBorder="1" applyAlignment="1">
      <alignment horizontal="center"/>
    </xf>
    <xf numFmtId="37" fontId="112" fillId="0" borderId="24" xfId="522" applyNumberFormat="1" applyFont="1" applyBorder="1" applyAlignment="1">
      <alignment horizontal="center"/>
    </xf>
    <xf numFmtId="174" fontId="115" fillId="0" borderId="24" xfId="521" applyNumberFormat="1" applyFont="1" applyBorder="1"/>
    <xf numFmtId="37" fontId="112" fillId="0" borderId="0" xfId="522" applyNumberFormat="1" applyFont="1" applyAlignment="1">
      <alignment horizontal="center"/>
    </xf>
    <xf numFmtId="174" fontId="115" fillId="0" borderId="0" xfId="521" applyNumberFormat="1" applyFont="1"/>
    <xf numFmtId="174" fontId="105" fillId="74" borderId="3" xfId="524" applyNumberFormat="1" applyFont="1" applyFill="1" applyBorder="1"/>
    <xf numFmtId="2" fontId="106" fillId="74" borderId="6" xfId="524" applyNumberFormat="1" applyFont="1" applyFill="1" applyBorder="1"/>
    <xf numFmtId="10" fontId="106" fillId="74" borderId="6" xfId="524" applyNumberFormat="1" applyFont="1" applyFill="1" applyBorder="1"/>
    <xf numFmtId="174" fontId="101" fillId="0" borderId="21" xfId="524" applyNumberFormat="1" applyFont="1" applyFill="1" applyBorder="1"/>
    <xf numFmtId="2" fontId="101" fillId="0" borderId="0" xfId="525" applyNumberFormat="1" applyFont="1"/>
    <xf numFmtId="10" fontId="101" fillId="0" borderId="0" xfId="524" applyNumberFormat="1" applyFont="1" applyFill="1"/>
    <xf numFmtId="9" fontId="101" fillId="0" borderId="0" xfId="523" applyFont="1" applyFill="1"/>
    <xf numFmtId="174" fontId="101" fillId="73" borderId="21" xfId="524" quotePrefix="1" applyNumberFormat="1" applyFont="1" applyFill="1" applyBorder="1" applyAlignment="1">
      <alignment horizontal="center"/>
    </xf>
    <xf numFmtId="174" fontId="114" fillId="0" borderId="21" xfId="524" applyNumberFormat="1" applyFont="1" applyFill="1" applyBorder="1" applyAlignment="1">
      <alignment horizontal="left" indent="1"/>
    </xf>
    <xf numFmtId="44" fontId="101" fillId="0" borderId="0" xfId="522" applyFont="1" applyFill="1"/>
    <xf numFmtId="2" fontId="101" fillId="0" borderId="0" xfId="525" applyNumberFormat="1" applyFont="1" applyFill="1"/>
    <xf numFmtId="44" fontId="101" fillId="0" borderId="10" xfId="522" applyFont="1" applyBorder="1"/>
    <xf numFmtId="174" fontId="101" fillId="0" borderId="19" xfId="524" quotePrefix="1" applyNumberFormat="1" applyFont="1" applyFill="1" applyBorder="1" applyAlignment="1">
      <alignment horizontal="center"/>
    </xf>
    <xf numFmtId="2" fontId="101" fillId="0" borderId="0" xfId="523" applyNumberFormat="1" applyFont="1"/>
    <xf numFmtId="174" fontId="101" fillId="0" borderId="4" xfId="522" applyNumberFormat="1" applyFont="1" applyBorder="1"/>
    <xf numFmtId="174" fontId="116" fillId="0" borderId="4" xfId="521" applyNumberFormat="1" applyFont="1" applyBorder="1"/>
    <xf numFmtId="44" fontId="101" fillId="0" borderId="0" xfId="522" applyFont="1" applyFill="1" applyBorder="1"/>
    <xf numFmtId="2" fontId="101" fillId="0" borderId="0" xfId="525" applyNumberFormat="1" applyFont="1" applyFill="1" applyBorder="1"/>
    <xf numFmtId="44" fontId="101" fillId="0" borderId="24" xfId="522" applyFont="1" applyFill="1" applyBorder="1"/>
    <xf numFmtId="2" fontId="101" fillId="0" borderId="24" xfId="525" applyNumberFormat="1" applyFont="1" applyFill="1" applyBorder="1"/>
    <xf numFmtId="174" fontId="114" fillId="0" borderId="10" xfId="524" applyNumberFormat="1" applyFont="1" applyFill="1" applyBorder="1" applyAlignment="1">
      <alignment horizontal="left" indent="1"/>
    </xf>
    <xf numFmtId="174" fontId="105" fillId="74" borderId="11" xfId="524" applyNumberFormat="1" applyFont="1" applyFill="1" applyBorder="1"/>
    <xf numFmtId="10" fontId="106" fillId="74" borderId="24" xfId="524" applyNumberFormat="1" applyFont="1" applyFill="1" applyBorder="1"/>
    <xf numFmtId="174" fontId="114" fillId="0" borderId="26" xfId="524" applyNumberFormat="1" applyFont="1" applyFill="1" applyBorder="1" applyAlignment="1">
      <alignment horizontal="left" indent="1"/>
    </xf>
    <xf numFmtId="174" fontId="105" fillId="75" borderId="3" xfId="525" applyNumberFormat="1" applyFont="1" applyFill="1" applyBorder="1"/>
    <xf numFmtId="174" fontId="106" fillId="75" borderId="23" xfId="524" applyNumberFormat="1" applyFont="1" applyFill="1" applyBorder="1" applyAlignment="1">
      <alignment horizontal="center"/>
    </xf>
    <xf numFmtId="44" fontId="106" fillId="75" borderId="6" xfId="522" applyFont="1" applyFill="1" applyBorder="1"/>
    <xf numFmtId="2" fontId="106" fillId="75" borderId="6" xfId="524" applyNumberFormat="1" applyFont="1" applyFill="1" applyBorder="1"/>
    <xf numFmtId="10" fontId="106" fillId="75" borderId="6" xfId="524" applyNumberFormat="1" applyFont="1" applyFill="1" applyBorder="1"/>
    <xf numFmtId="174" fontId="106" fillId="75" borderId="23" xfId="525" applyNumberFormat="1" applyFont="1" applyFill="1" applyBorder="1"/>
    <xf numFmtId="9" fontId="106" fillId="75" borderId="6" xfId="523" applyFont="1" applyFill="1" applyBorder="1"/>
    <xf numFmtId="174" fontId="103" fillId="66" borderId="3" xfId="524" applyNumberFormat="1" applyFont="1" applyFill="1" applyBorder="1"/>
    <xf numFmtId="174" fontId="105" fillId="66" borderId="23" xfId="524" applyNumberFormat="1" applyFont="1" applyFill="1" applyBorder="1"/>
    <xf numFmtId="174" fontId="105" fillId="66" borderId="6" xfId="524" applyNumberFormat="1" applyFont="1" applyFill="1" applyBorder="1"/>
    <xf numFmtId="0" fontId="117" fillId="0" borderId="46" xfId="526" applyFont="1" applyBorder="1" applyAlignment="1">
      <alignment horizontal="left" vertical="top" wrapText="1"/>
    </xf>
    <xf numFmtId="174" fontId="105" fillId="0" borderId="4" xfId="524" applyNumberFormat="1" applyFont="1" applyFill="1" applyBorder="1" applyAlignment="1">
      <alignment horizontal="left"/>
    </xf>
    <xf numFmtId="174" fontId="105" fillId="0" borderId="0" xfId="524" applyNumberFormat="1" applyFont="1" applyFill="1" applyBorder="1" applyAlignment="1">
      <alignment horizontal="left"/>
    </xf>
    <xf numFmtId="0" fontId="13" fillId="0" borderId="48" xfId="526" applyFont="1" applyBorder="1" applyAlignment="1">
      <alignment horizontal="left" vertical="top" wrapText="1"/>
    </xf>
    <xf numFmtId="2" fontId="101" fillId="0" borderId="0" xfId="523" applyNumberFormat="1" applyFont="1" applyFill="1"/>
    <xf numFmtId="10" fontId="101" fillId="0" borderId="0" xfId="527" applyNumberFormat="1" applyFont="1" applyAlignment="1">
      <alignment horizontal="right"/>
    </xf>
    <xf numFmtId="174" fontId="101" fillId="0" borderId="10" xfId="524" quotePrefix="1" applyNumberFormat="1" applyFont="1" applyFill="1" applyBorder="1" applyAlignment="1">
      <alignment horizontal="center"/>
    </xf>
    <xf numFmtId="2" fontId="101" fillId="0" borderId="24" xfId="523" applyNumberFormat="1" applyFont="1" applyFill="1" applyBorder="1"/>
    <xf numFmtId="10" fontId="101" fillId="0" borderId="24" xfId="527" applyNumberFormat="1" applyFont="1" applyBorder="1" applyAlignment="1">
      <alignment horizontal="right"/>
    </xf>
    <xf numFmtId="9" fontId="101" fillId="0" borderId="24" xfId="523" applyFont="1" applyBorder="1" applyAlignment="1">
      <alignment horizontal="right"/>
    </xf>
    <xf numFmtId="174" fontId="105" fillId="64" borderId="11" xfId="525" applyNumberFormat="1" applyFont="1" applyFill="1" applyBorder="1"/>
    <xf numFmtId="174" fontId="106" fillId="64" borderId="10" xfId="525" applyNumberFormat="1" applyFont="1" applyFill="1" applyBorder="1" applyAlignment="1">
      <alignment horizontal="center"/>
    </xf>
    <xf numFmtId="44" fontId="106" fillId="64" borderId="24" xfId="522" applyFont="1" applyFill="1" applyBorder="1"/>
    <xf numFmtId="2" fontId="106" fillId="64" borderId="24" xfId="525" applyNumberFormat="1" applyFont="1" applyFill="1" applyBorder="1"/>
    <xf numFmtId="10" fontId="106" fillId="64" borderId="24" xfId="525" applyNumberFormat="1" applyFont="1" applyFill="1" applyBorder="1"/>
    <xf numFmtId="174" fontId="106" fillId="64" borderId="10" xfId="525" applyNumberFormat="1" applyFont="1" applyFill="1" applyBorder="1"/>
    <xf numFmtId="9" fontId="106" fillId="64" borderId="24" xfId="523" applyFont="1" applyFill="1" applyBorder="1"/>
    <xf numFmtId="174" fontId="106" fillId="64" borderId="11" xfId="522" applyNumberFormat="1" applyFont="1" applyFill="1" applyBorder="1"/>
    <xf numFmtId="174" fontId="114" fillId="0" borderId="10" xfId="521" applyNumberFormat="1" applyFont="1" applyBorder="1"/>
    <xf numFmtId="174" fontId="101" fillId="0" borderId="10" xfId="521" applyNumberFormat="1" applyFont="1" applyBorder="1"/>
    <xf numFmtId="2" fontId="101" fillId="0" borderId="24" xfId="521" applyNumberFormat="1" applyFont="1" applyBorder="1"/>
    <xf numFmtId="9" fontId="101" fillId="0" borderId="24" xfId="523" applyFont="1" applyBorder="1"/>
    <xf numFmtId="174" fontId="116" fillId="76" borderId="3" xfId="524" applyNumberFormat="1" applyFont="1" applyFill="1" applyBorder="1" applyAlignment="1">
      <alignment horizontal="left" wrapText="1"/>
    </xf>
    <xf numFmtId="174" fontId="101" fillId="76" borderId="23" xfId="521" applyNumberFormat="1" applyFont="1" applyFill="1" applyBorder="1" applyAlignment="1">
      <alignment horizontal="center"/>
    </xf>
    <xf numFmtId="44" fontId="101" fillId="76" borderId="6" xfId="522" applyFont="1" applyFill="1" applyBorder="1"/>
    <xf numFmtId="2" fontId="101" fillId="76" borderId="6" xfId="521" applyNumberFormat="1" applyFont="1" applyFill="1" applyBorder="1"/>
    <xf numFmtId="10" fontId="101" fillId="76" borderId="6" xfId="521" applyNumberFormat="1" applyFont="1" applyFill="1" applyBorder="1"/>
    <xf numFmtId="174" fontId="101" fillId="76" borderId="23" xfId="521" applyNumberFormat="1" applyFont="1" applyFill="1" applyBorder="1"/>
    <xf numFmtId="9" fontId="101" fillId="76" borderId="6" xfId="523" applyFont="1" applyFill="1" applyBorder="1"/>
    <xf numFmtId="44" fontId="101" fillId="76" borderId="23" xfId="522" applyFont="1" applyFill="1" applyBorder="1"/>
    <xf numFmtId="174" fontId="103" fillId="72" borderId="22" xfId="524" applyNumberFormat="1" applyFont="1" applyFill="1" applyBorder="1" applyAlignment="1">
      <alignment horizontal="center"/>
    </xf>
    <xf numFmtId="174" fontId="101" fillId="0" borderId="21" xfId="521" applyNumberFormat="1" applyFont="1" applyBorder="1" applyAlignment="1">
      <alignment horizontal="left" indent="1"/>
    </xf>
    <xf numFmtId="174" fontId="101" fillId="0" borderId="21" xfId="524" applyNumberFormat="1" applyFont="1" applyFill="1" applyBorder="1" applyAlignment="1">
      <alignment horizontal="left" indent="1"/>
    </xf>
    <xf numFmtId="174" fontId="101" fillId="0" borderId="10" xfId="524" applyNumberFormat="1" applyFont="1" applyFill="1" applyBorder="1" applyAlignment="1">
      <alignment horizontal="left" indent="1"/>
    </xf>
    <xf numFmtId="174" fontId="101" fillId="0" borderId="26" xfId="524" applyNumberFormat="1" applyFont="1" applyFill="1" applyBorder="1" applyAlignment="1">
      <alignment horizontal="left" indent="1"/>
    </xf>
    <xf numFmtId="174" fontId="101" fillId="0" borderId="4" xfId="524" applyNumberFormat="1" applyFont="1" applyFill="1" applyBorder="1" applyAlignment="1">
      <alignment horizontal="left" indent="1"/>
    </xf>
    <xf numFmtId="172" fontId="101" fillId="0" borderId="0" xfId="522" applyNumberFormat="1" applyFont="1"/>
    <xf numFmtId="172" fontId="106" fillId="72" borderId="10" xfId="522" applyNumberFormat="1" applyFont="1" applyFill="1" applyBorder="1"/>
    <xf numFmtId="172" fontId="106" fillId="0" borderId="4" xfId="522" quotePrefix="1" applyNumberFormat="1" applyFont="1" applyBorder="1" applyAlignment="1">
      <alignment horizontal="right"/>
    </xf>
    <xf numFmtId="172" fontId="101" fillId="0" borderId="4" xfId="522" applyNumberFormat="1" applyFont="1" applyBorder="1"/>
    <xf numFmtId="172" fontId="106" fillId="67" borderId="10" xfId="522" applyNumberFormat="1" applyFont="1" applyFill="1" applyBorder="1"/>
    <xf numFmtId="172" fontId="101" fillId="0" borderId="11" xfId="522" applyNumberFormat="1" applyFont="1" applyBorder="1"/>
    <xf numFmtId="172" fontId="106" fillId="74" borderId="23" xfId="522" applyNumberFormat="1" applyFont="1" applyFill="1" applyBorder="1"/>
    <xf numFmtId="172" fontId="101" fillId="67" borderId="10" xfId="522" applyNumberFormat="1" applyFont="1" applyFill="1" applyBorder="1"/>
    <xf numFmtId="172" fontId="101" fillId="0" borderId="10" xfId="522" applyNumberFormat="1" applyFont="1" applyBorder="1"/>
    <xf numFmtId="172" fontId="106" fillId="75" borderId="23" xfId="525" applyNumberFormat="1" applyFont="1" applyFill="1" applyBorder="1"/>
    <xf numFmtId="172" fontId="105" fillId="66" borderId="23" xfId="524" applyNumberFormat="1" applyFont="1" applyFill="1" applyBorder="1"/>
    <xf numFmtId="172" fontId="106" fillId="64" borderId="11" xfId="522" applyNumberFormat="1" applyFont="1" applyFill="1" applyBorder="1"/>
    <xf numFmtId="172" fontId="101" fillId="76" borderId="23" xfId="522" applyNumberFormat="1" applyFont="1" applyFill="1" applyBorder="1"/>
    <xf numFmtId="174" fontId="101" fillId="0" borderId="0" xfId="522" applyNumberFormat="1" applyFont="1" applyBorder="1"/>
    <xf numFmtId="174" fontId="101" fillId="0" borderId="24" xfId="522" applyNumberFormat="1" applyFont="1" applyBorder="1"/>
    <xf numFmtId="174" fontId="101" fillId="0" borderId="0" xfId="522" applyNumberFormat="1" applyFont="1"/>
    <xf numFmtId="174" fontId="105" fillId="0" borderId="68" xfId="521" applyNumberFormat="1" applyFont="1" applyBorder="1" applyAlignment="1">
      <alignment horizontal="left"/>
    </xf>
    <xf numFmtId="44" fontId="101" fillId="67" borderId="24" xfId="522" applyFont="1" applyFill="1" applyBorder="1"/>
    <xf numFmtId="2" fontId="101" fillId="67" borderId="24" xfId="525" applyNumberFormat="1" applyFont="1" applyFill="1" applyBorder="1"/>
    <xf numFmtId="174" fontId="106" fillId="0" borderId="10" xfId="525" applyNumberFormat="1" applyFont="1" applyBorder="1"/>
    <xf numFmtId="174" fontId="118" fillId="0" borderId="4" xfId="524" applyNumberFormat="1" applyFont="1" applyFill="1" applyBorder="1" applyAlignment="1">
      <alignment horizontal="left"/>
    </xf>
    <xf numFmtId="172" fontId="101" fillId="0" borderId="4" xfId="522" applyNumberFormat="1" applyFont="1" applyFill="1" applyBorder="1"/>
    <xf numFmtId="165" fontId="44" fillId="0" borderId="0" xfId="98" applyFont="1" applyAlignment="1">
      <alignment wrapText="1"/>
    </xf>
    <xf numFmtId="172" fontId="102" fillId="64" borderId="24" xfId="522" applyNumberFormat="1" applyFont="1" applyFill="1" applyBorder="1" applyAlignment="1">
      <alignment horizontal="center" vertical="center" wrapText="1"/>
    </xf>
    <xf numFmtId="172" fontId="106" fillId="72" borderId="24" xfId="522" applyNumberFormat="1" applyFont="1" applyFill="1" applyBorder="1"/>
    <xf numFmtId="172" fontId="106" fillId="0" borderId="0" xfId="522" applyNumberFormat="1" applyFont="1" applyAlignment="1">
      <alignment horizontal="right"/>
    </xf>
    <xf numFmtId="172" fontId="101" fillId="0" borderId="0" xfId="522" applyNumberFormat="1" applyFont="1" applyAlignment="1">
      <alignment horizontal="right"/>
    </xf>
    <xf numFmtId="172" fontId="101" fillId="67" borderId="6" xfId="522" applyNumberFormat="1" applyFont="1" applyFill="1" applyBorder="1"/>
    <xf numFmtId="172" fontId="101" fillId="0" borderId="0" xfId="522" applyNumberFormat="1" applyFont="1" applyBorder="1"/>
    <xf numFmtId="172" fontId="106" fillId="74" borderId="6" xfId="522" applyNumberFormat="1" applyFont="1" applyFill="1" applyBorder="1"/>
    <xf numFmtId="172" fontId="106" fillId="74" borderId="24" xfId="522" applyNumberFormat="1" applyFont="1" applyFill="1" applyBorder="1"/>
    <xf numFmtId="172" fontId="101" fillId="0" borderId="0" xfId="522" applyNumberFormat="1" applyFont="1" applyFill="1"/>
    <xf numFmtId="172" fontId="101" fillId="0" borderId="0" xfId="522" applyNumberFormat="1" applyFont="1" applyFill="1" applyBorder="1"/>
    <xf numFmtId="172" fontId="101" fillId="0" borderId="24" xfId="522" applyNumberFormat="1" applyFont="1" applyFill="1" applyBorder="1"/>
    <xf numFmtId="172" fontId="106" fillId="75" borderId="6" xfId="522" applyNumberFormat="1" applyFont="1" applyFill="1" applyBorder="1"/>
    <xf numFmtId="172" fontId="105" fillId="66" borderId="6" xfId="524" applyNumberFormat="1" applyFont="1" applyFill="1" applyBorder="1"/>
    <xf numFmtId="172" fontId="105" fillId="0" borderId="0" xfId="524" applyNumberFormat="1" applyFont="1" applyFill="1" applyBorder="1" applyAlignment="1">
      <alignment horizontal="left"/>
    </xf>
    <xf numFmtId="172" fontId="106" fillId="64" borderId="24" xfId="522" applyNumberFormat="1" applyFont="1" applyFill="1" applyBorder="1"/>
    <xf numFmtId="172" fontId="101" fillId="76" borderId="6" xfId="522" applyNumberFormat="1" applyFont="1" applyFill="1" applyBorder="1"/>
    <xf numFmtId="172" fontId="106" fillId="72" borderId="20" xfId="522" applyNumberFormat="1" applyFont="1" applyFill="1" applyBorder="1"/>
    <xf numFmtId="172" fontId="101" fillId="0" borderId="0" xfId="522" applyNumberFormat="1" applyFont="1" applyFill="1" applyAlignment="1">
      <alignment horizontal="right"/>
    </xf>
    <xf numFmtId="2" fontId="101" fillId="0" borderId="0" xfId="523" applyNumberFormat="1" applyFont="1" applyFill="1" applyAlignment="1">
      <alignment horizontal="right"/>
    </xf>
    <xf numFmtId="174" fontId="101" fillId="0" borderId="4" xfId="525" applyNumberFormat="1" applyFont="1" applyFill="1" applyBorder="1"/>
    <xf numFmtId="0" fontId="32" fillId="0" borderId="0" xfId="0" applyFont="1"/>
    <xf numFmtId="175" fontId="32" fillId="0" borderId="0" xfId="0" applyNumberFormat="1" applyFont="1"/>
    <xf numFmtId="169" fontId="32" fillId="0" borderId="0" xfId="0" applyNumberFormat="1" applyFont="1"/>
    <xf numFmtId="0" fontId="119" fillId="0" borderId="0" xfId="0" applyFont="1" applyAlignment="1">
      <alignment horizontal="right"/>
    </xf>
    <xf numFmtId="175" fontId="120" fillId="0" borderId="0" xfId="0" applyNumberFormat="1" applyFont="1" applyAlignment="1">
      <alignment horizontal="left"/>
    </xf>
    <xf numFmtId="49" fontId="120" fillId="0" borderId="0" xfId="0" applyNumberFormat="1" applyFont="1" applyAlignment="1">
      <alignment horizontal="left"/>
    </xf>
    <xf numFmtId="0" fontId="22" fillId="66" borderId="36" xfId="0" applyFont="1" applyFill="1" applyBorder="1" applyAlignment="1">
      <alignment horizontal="center" vertical="top" wrapText="1"/>
    </xf>
    <xf numFmtId="175" fontId="22" fillId="66" borderId="36" xfId="0" applyNumberFormat="1" applyFont="1" applyFill="1" applyBorder="1" applyAlignment="1">
      <alignment horizontal="center" vertical="top" wrapText="1"/>
    </xf>
    <xf numFmtId="169" fontId="22" fillId="66" borderId="36" xfId="0" applyNumberFormat="1" applyFont="1" applyFill="1" applyBorder="1" applyAlignment="1">
      <alignment horizontal="center" vertical="top" wrapText="1"/>
    </xf>
    <xf numFmtId="0" fontId="117" fillId="0" borderId="36" xfId="0" applyFont="1" applyBorder="1" applyAlignment="1">
      <alignment horizontal="left" vertical="top" wrapText="1"/>
    </xf>
    <xf numFmtId="49" fontId="117" fillId="0" borderId="36" xfId="0" applyNumberFormat="1" applyFont="1" applyBorder="1" applyAlignment="1">
      <alignment horizontal="center" vertical="top" wrapText="1"/>
    </xf>
    <xf numFmtId="175" fontId="117" fillId="0" borderId="36" xfId="0" applyNumberFormat="1" applyFont="1" applyBorder="1" applyAlignment="1">
      <alignment horizontal="center" vertical="top" wrapText="1"/>
    </xf>
    <xf numFmtId="169" fontId="117" fillId="0" borderId="36" xfId="0" applyNumberFormat="1" applyFont="1" applyBorder="1" applyAlignment="1">
      <alignment horizontal="center" vertical="top" wrapText="1"/>
    </xf>
    <xf numFmtId="0" fontId="117" fillId="0" borderId="0" xfId="0" applyFont="1" applyAlignment="1">
      <alignment horizontal="left" vertical="top" wrapText="1"/>
    </xf>
    <xf numFmtId="175" fontId="117" fillId="0" borderId="0" xfId="0" applyNumberFormat="1" applyFont="1" applyAlignment="1">
      <alignment horizontal="center" vertical="top" wrapText="1"/>
    </xf>
    <xf numFmtId="169" fontId="117" fillId="0" borderId="0" xfId="0" applyNumberFormat="1" applyFont="1" applyAlignment="1">
      <alignment horizontal="center" vertical="top" wrapText="1"/>
    </xf>
    <xf numFmtId="175" fontId="117" fillId="0" borderId="37" xfId="0" applyNumberFormat="1" applyFont="1" applyBorder="1" applyAlignment="1">
      <alignment horizontal="center" vertical="top" wrapText="1"/>
    </xf>
    <xf numFmtId="0" fontId="22" fillId="66" borderId="38" xfId="0" applyFont="1" applyFill="1" applyBorder="1" applyAlignment="1">
      <alignment horizontal="center" vertical="top" wrapText="1"/>
    </xf>
    <xf numFmtId="175" fontId="22" fillId="66" borderId="38" xfId="0" applyNumberFormat="1" applyFont="1" applyFill="1" applyBorder="1" applyAlignment="1">
      <alignment horizontal="center" vertical="top" wrapText="1"/>
    </xf>
    <xf numFmtId="169" fontId="22" fillId="66" borderId="38" xfId="0" applyNumberFormat="1" applyFont="1" applyFill="1" applyBorder="1" applyAlignment="1">
      <alignment horizontal="center" vertical="top" wrapText="1"/>
    </xf>
    <xf numFmtId="0" fontId="117" fillId="0" borderId="39" xfId="0" applyFont="1" applyBorder="1" applyAlignment="1">
      <alignment horizontal="left" vertical="top" wrapText="1"/>
    </xf>
    <xf numFmtId="175" fontId="117" fillId="0" borderId="39" xfId="0" applyNumberFormat="1" applyFont="1" applyBorder="1" applyAlignment="1">
      <alignment horizontal="right" vertical="top" wrapText="1"/>
    </xf>
    <xf numFmtId="169" fontId="117" fillId="0" borderId="39" xfId="0" applyNumberFormat="1" applyFont="1" applyBorder="1" applyAlignment="1">
      <alignment horizontal="right" vertical="top" wrapText="1"/>
    </xf>
    <xf numFmtId="0" fontId="22" fillId="0" borderId="39" xfId="0" applyFont="1" applyBorder="1" applyAlignment="1">
      <alignment horizontal="left" vertical="top" wrapText="1"/>
    </xf>
    <xf numFmtId="175" fontId="22" fillId="0" borderId="39" xfId="0" applyNumberFormat="1" applyFont="1" applyBorder="1" applyAlignment="1">
      <alignment horizontal="right" vertical="top" wrapText="1"/>
    </xf>
    <xf numFmtId="175" fontId="117" fillId="0" borderId="0" xfId="0" applyNumberFormat="1" applyFont="1" applyAlignment="1">
      <alignment horizontal="right" vertical="top" wrapText="1"/>
    </xf>
    <xf numFmtId="0" fontId="117" fillId="0" borderId="40" xfId="0" applyFont="1" applyBorder="1" applyAlignment="1">
      <alignment horizontal="left" vertical="top" wrapText="1"/>
    </xf>
    <xf numFmtId="175" fontId="117" fillId="0" borderId="3" xfId="0" applyNumberFormat="1" applyFont="1" applyBorder="1" applyAlignment="1">
      <alignment horizontal="right" vertical="top" wrapText="1"/>
    </xf>
    <xf numFmtId="0" fontId="22" fillId="0" borderId="41" xfId="0" applyFont="1" applyBorder="1" applyAlignment="1">
      <alignment horizontal="left" vertical="top" wrapText="1"/>
    </xf>
    <xf numFmtId="175" fontId="22" fillId="0" borderId="3" xfId="0" applyNumberFormat="1" applyFont="1" applyBorder="1" applyAlignment="1">
      <alignment horizontal="right" vertical="top" wrapText="1"/>
    </xf>
    <xf numFmtId="169" fontId="22" fillId="0" borderId="3" xfId="0" applyNumberFormat="1" applyFont="1" applyBorder="1" applyAlignment="1">
      <alignment horizontal="right" vertical="top" wrapText="1"/>
    </xf>
    <xf numFmtId="0" fontId="22" fillId="0" borderId="42" xfId="0" applyFont="1" applyBorder="1" applyAlignment="1">
      <alignment horizontal="left" vertical="top" wrapText="1"/>
    </xf>
    <xf numFmtId="176" fontId="117" fillId="0" borderId="0" xfId="0" applyNumberFormat="1" applyFont="1" applyAlignment="1">
      <alignment horizontal="right" vertical="top" wrapText="1"/>
    </xf>
    <xf numFmtId="169" fontId="117" fillId="0" borderId="0" xfId="0" applyNumberFormat="1" applyFont="1" applyAlignment="1">
      <alignment horizontal="right" vertical="top" wrapText="1"/>
    </xf>
    <xf numFmtId="0" fontId="117" fillId="0" borderId="43" xfId="0" applyFont="1" applyBorder="1" applyAlignment="1">
      <alignment horizontal="left" vertical="top" wrapText="1"/>
    </xf>
    <xf numFmtId="176" fontId="117" fillId="0" borderId="3" xfId="0" applyNumberFormat="1" applyFont="1" applyBorder="1" applyAlignment="1">
      <alignment horizontal="right" vertical="top" wrapText="1"/>
    </xf>
    <xf numFmtId="169" fontId="117" fillId="0" borderId="3" xfId="0" applyNumberFormat="1" applyFont="1" applyBorder="1" applyAlignment="1">
      <alignment horizontal="right" vertical="top" wrapText="1"/>
    </xf>
    <xf numFmtId="0" fontId="117" fillId="0" borderId="41" xfId="0" applyFont="1" applyBorder="1" applyAlignment="1">
      <alignment horizontal="left" vertical="top" wrapText="1"/>
    </xf>
    <xf numFmtId="175" fontId="117" fillId="29" borderId="47" xfId="0" applyNumberFormat="1" applyFont="1" applyFill="1" applyBorder="1" applyAlignment="1">
      <alignment horizontal="right" vertical="top" wrapText="1"/>
    </xf>
    <xf numFmtId="0" fontId="117" fillId="0" borderId="44" xfId="0" applyFont="1" applyBorder="1" applyAlignment="1">
      <alignment horizontal="left" vertical="top" wrapText="1"/>
    </xf>
    <xf numFmtId="0" fontId="22" fillId="0" borderId="45" xfId="0" applyFont="1" applyBorder="1" applyAlignment="1">
      <alignment horizontal="left" vertical="top" wrapText="1"/>
    </xf>
    <xf numFmtId="0" fontId="32" fillId="0" borderId="45" xfId="0" applyFont="1" applyBorder="1" applyAlignment="1">
      <alignment horizontal="left" vertical="top" wrapText="1"/>
    </xf>
    <xf numFmtId="175" fontId="32" fillId="0" borderId="3" xfId="0" applyNumberFormat="1" applyFont="1" applyBorder="1" applyAlignment="1">
      <alignment horizontal="right" wrapText="1"/>
    </xf>
    <xf numFmtId="0" fontId="32" fillId="0" borderId="3" xfId="0" applyFont="1" applyBorder="1" applyAlignment="1">
      <alignment horizontal="right" wrapText="1"/>
    </xf>
    <xf numFmtId="169" fontId="32" fillId="0" borderId="3" xfId="0" applyNumberFormat="1" applyFont="1" applyBorder="1" applyAlignment="1">
      <alignment horizontal="right" wrapText="1"/>
    </xf>
    <xf numFmtId="175" fontId="22" fillId="0" borderId="3" xfId="0" applyNumberFormat="1" applyFont="1" applyBorder="1" applyAlignment="1">
      <alignment horizontal="right" wrapText="1"/>
    </xf>
    <xf numFmtId="169" fontId="22" fillId="0" borderId="3" xfId="0" applyNumberFormat="1" applyFont="1" applyBorder="1" applyAlignment="1">
      <alignment horizontal="right" wrapText="1"/>
    </xf>
    <xf numFmtId="0" fontId="22" fillId="0" borderId="0" xfId="0" applyFont="1" applyAlignment="1">
      <alignment horizontal="left" vertical="top" wrapText="1"/>
    </xf>
    <xf numFmtId="175" fontId="117" fillId="0" borderId="0" xfId="0" applyNumberFormat="1" applyFont="1" applyAlignment="1">
      <alignment horizontal="right" wrapText="1"/>
    </xf>
    <xf numFmtId="169" fontId="117" fillId="0" borderId="0" xfId="0" applyNumberFormat="1" applyFont="1" applyAlignment="1">
      <alignment horizontal="right" wrapText="1"/>
    </xf>
    <xf numFmtId="0" fontId="22" fillId="0" borderId="46" xfId="0" applyFont="1" applyBorder="1" applyAlignment="1">
      <alignment horizontal="left" vertical="top" wrapText="1"/>
    </xf>
    <xf numFmtId="175" fontId="117" fillId="0" borderId="46" xfId="0" applyNumberFormat="1" applyFont="1" applyBorder="1" applyAlignment="1">
      <alignment horizontal="right" wrapText="1"/>
    </xf>
    <xf numFmtId="175" fontId="117" fillId="0" borderId="43" xfId="0" applyNumberFormat="1" applyFont="1" applyBorder="1" applyAlignment="1">
      <alignment horizontal="right" wrapText="1"/>
    </xf>
    <xf numFmtId="175" fontId="117" fillId="0" borderId="39" xfId="0" applyNumberFormat="1" applyFont="1" applyBorder="1" applyAlignment="1">
      <alignment horizontal="right" wrapText="1"/>
    </xf>
    <xf numFmtId="175" fontId="117" fillId="0" borderId="41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left" vertical="top" wrapText="1"/>
    </xf>
    <xf numFmtId="0" fontId="22" fillId="0" borderId="49" xfId="0" applyFont="1" applyBorder="1" applyAlignment="1">
      <alignment horizontal="left" vertical="top" wrapText="1"/>
    </xf>
    <xf numFmtId="175" fontId="117" fillId="0" borderId="49" xfId="0" applyNumberFormat="1" applyFont="1" applyBorder="1" applyAlignment="1">
      <alignment horizontal="right" wrapText="1"/>
    </xf>
    <xf numFmtId="175" fontId="117" fillId="0" borderId="50" xfId="0" applyNumberFormat="1" applyFont="1" applyBorder="1" applyAlignment="1">
      <alignment horizontal="right" wrapText="1"/>
    </xf>
    <xf numFmtId="0" fontId="22" fillId="61" borderId="48" xfId="0" applyFont="1" applyFill="1" applyBorder="1" applyAlignment="1">
      <alignment horizontal="left" vertical="top" wrapText="1"/>
    </xf>
    <xf numFmtId="0" fontId="32" fillId="0" borderId="51" xfId="0" applyFont="1" applyBorder="1" applyAlignment="1">
      <alignment horizontal="left" vertical="top" wrapText="1"/>
    </xf>
    <xf numFmtId="175" fontId="32" fillId="0" borderId="51" xfId="0" applyNumberFormat="1" applyFont="1" applyBorder="1" applyAlignment="1">
      <alignment horizontal="right" wrapText="1"/>
    </xf>
    <xf numFmtId="0" fontId="32" fillId="0" borderId="51" xfId="0" applyFont="1" applyBorder="1" applyAlignment="1">
      <alignment horizontal="right" wrapText="1"/>
    </xf>
    <xf numFmtId="169" fontId="32" fillId="0" borderId="51" xfId="0" applyNumberFormat="1" applyFont="1" applyBorder="1" applyAlignment="1">
      <alignment horizontal="right" wrapText="1"/>
    </xf>
    <xf numFmtId="175" fontId="117" fillId="0" borderId="50" xfId="0" applyNumberFormat="1" applyFont="1" applyBorder="1" applyAlignment="1">
      <alignment horizontal="right" vertical="top" wrapText="1"/>
    </xf>
    <xf numFmtId="0" fontId="22" fillId="0" borderId="52" xfId="0" applyFont="1" applyBorder="1" applyAlignment="1">
      <alignment horizontal="left" vertical="top" wrapText="1"/>
    </xf>
    <xf numFmtId="0" fontId="22" fillId="0" borderId="53" xfId="0" applyFont="1" applyBorder="1" applyAlignment="1">
      <alignment horizontal="left" vertical="top" wrapText="1"/>
    </xf>
    <xf numFmtId="175" fontId="22" fillId="0" borderId="54" xfId="0" applyNumberFormat="1" applyFont="1" applyBorder="1" applyAlignment="1">
      <alignment horizontal="right" wrapText="1"/>
    </xf>
    <xf numFmtId="4" fontId="44" fillId="0" borderId="0" xfId="0" applyNumberFormat="1" applyFont="1"/>
    <xf numFmtId="175" fontId="32" fillId="0" borderId="39" xfId="0" applyNumberFormat="1" applyFont="1" applyBorder="1" applyAlignment="1">
      <alignment horizontal="right" vertical="top" wrapText="1"/>
    </xf>
    <xf numFmtId="9" fontId="104" fillId="0" borderId="24" xfId="337" applyFont="1" applyBorder="1" applyAlignment="1">
      <alignment horizontal="center"/>
    </xf>
    <xf numFmtId="173" fontId="44" fillId="0" borderId="0" xfId="0" applyNumberFormat="1" applyFont="1" applyAlignment="1">
      <alignment horizontal="left"/>
    </xf>
    <xf numFmtId="174" fontId="122" fillId="0" borderId="0" xfId="521" applyNumberFormat="1" applyFont="1"/>
    <xf numFmtId="174" fontId="124" fillId="72" borderId="22" xfId="524" applyNumberFormat="1" applyFont="1" applyFill="1" applyBorder="1" applyAlignment="1">
      <alignment horizontal="center"/>
    </xf>
    <xf numFmtId="174" fontId="124" fillId="0" borderId="69" xfId="521" applyNumberFormat="1" applyFont="1" applyBorder="1"/>
    <xf numFmtId="174" fontId="125" fillId="0" borderId="69" xfId="521" applyNumberFormat="1" applyFont="1" applyBorder="1"/>
    <xf numFmtId="174" fontId="124" fillId="0" borderId="22" xfId="521" applyNumberFormat="1" applyFont="1" applyBorder="1" applyAlignment="1">
      <alignment horizontal="left"/>
    </xf>
    <xf numFmtId="174" fontId="122" fillId="0" borderId="69" xfId="524" applyNumberFormat="1" applyFont="1" applyFill="1" applyBorder="1" applyAlignment="1">
      <alignment horizontal="left" indent="1"/>
    </xf>
    <xf numFmtId="174" fontId="124" fillId="74" borderId="22" xfId="524" applyNumberFormat="1" applyFont="1" applyFill="1" applyBorder="1"/>
    <xf numFmtId="174" fontId="126" fillId="0" borderId="69" xfId="524" applyNumberFormat="1" applyFont="1" applyFill="1" applyBorder="1" applyAlignment="1">
      <alignment horizontal="left" indent="1"/>
    </xf>
    <xf numFmtId="174" fontId="126" fillId="0" borderId="68" xfId="521" applyNumberFormat="1" applyFont="1" applyBorder="1" applyAlignment="1">
      <alignment horizontal="left" indent="1"/>
    </xf>
    <xf numFmtId="174" fontId="124" fillId="74" borderId="68" xfId="524" applyNumberFormat="1" applyFont="1" applyFill="1" applyBorder="1"/>
    <xf numFmtId="174" fontId="126" fillId="0" borderId="21" xfId="521" applyNumberFormat="1" applyFont="1" applyBorder="1" applyAlignment="1">
      <alignment horizontal="left" indent="1"/>
    </xf>
    <xf numFmtId="174" fontId="124" fillId="74" borderId="3" xfId="524" applyNumberFormat="1" applyFont="1" applyFill="1" applyBorder="1"/>
    <xf numFmtId="174" fontId="126" fillId="0" borderId="21" xfId="524" applyNumberFormat="1" applyFont="1" applyFill="1" applyBorder="1" applyAlignment="1">
      <alignment horizontal="left" indent="1"/>
    </xf>
    <xf numFmtId="174" fontId="126" fillId="0" borderId="4" xfId="521" applyNumberFormat="1" applyFont="1" applyBorder="1"/>
    <xf numFmtId="174" fontId="126" fillId="0" borderId="10" xfId="524" applyNumberFormat="1" applyFont="1" applyFill="1" applyBorder="1" applyAlignment="1">
      <alignment horizontal="left" indent="1"/>
    </xf>
    <xf numFmtId="174" fontId="124" fillId="74" borderId="11" xfId="524" applyNumberFormat="1" applyFont="1" applyFill="1" applyBorder="1"/>
    <xf numFmtId="174" fontId="126" fillId="0" borderId="26" xfId="524" applyNumberFormat="1" applyFont="1" applyFill="1" applyBorder="1" applyAlignment="1">
      <alignment horizontal="left" indent="1"/>
    </xf>
    <xf numFmtId="174" fontId="124" fillId="75" borderId="3" xfId="525" applyNumberFormat="1" applyFont="1" applyFill="1" applyBorder="1"/>
    <xf numFmtId="174" fontId="126" fillId="0" borderId="4" xfId="524" applyNumberFormat="1" applyFont="1" applyFill="1" applyBorder="1" applyAlignment="1">
      <alignment horizontal="left" indent="1"/>
    </xf>
    <xf numFmtId="174" fontId="127" fillId="66" borderId="3" xfId="524" applyNumberFormat="1" applyFont="1" applyFill="1" applyBorder="1"/>
    <xf numFmtId="0" fontId="128" fillId="0" borderId="46" xfId="526" applyFont="1" applyBorder="1" applyAlignment="1">
      <alignment horizontal="left" vertical="top" wrapText="1"/>
    </xf>
    <xf numFmtId="0" fontId="129" fillId="0" borderId="48" xfId="526" applyFont="1" applyBorder="1" applyAlignment="1">
      <alignment horizontal="left" vertical="top" wrapText="1"/>
    </xf>
    <xf numFmtId="174" fontId="126" fillId="0" borderId="4" xfId="525" applyNumberFormat="1" applyFont="1" applyBorder="1"/>
    <xf numFmtId="174" fontId="124" fillId="64" borderId="11" xfId="525" applyNumberFormat="1" applyFont="1" applyFill="1" applyBorder="1"/>
    <xf numFmtId="174" fontId="122" fillId="0" borderId="4" xfId="521" applyNumberFormat="1" applyFont="1" applyBorder="1"/>
    <xf numFmtId="174" fontId="126" fillId="76" borderId="3" xfId="524" applyNumberFormat="1" applyFont="1" applyFill="1" applyBorder="1" applyAlignment="1">
      <alignment horizontal="left" wrapText="1"/>
    </xf>
    <xf numFmtId="165" fontId="44" fillId="0" borderId="0" xfId="98" applyFont="1" applyFill="1" applyAlignment="1">
      <alignment horizontal="right" wrapText="1"/>
    </xf>
    <xf numFmtId="10" fontId="91" fillId="0" borderId="0" xfId="337" applyNumberFormat="1" applyFont="1"/>
    <xf numFmtId="44" fontId="101" fillId="0" borderId="0" xfId="528" applyFont="1"/>
    <xf numFmtId="9" fontId="101" fillId="0" borderId="0" xfId="529" applyFont="1"/>
    <xf numFmtId="37" fontId="101" fillId="0" borderId="0" xfId="528" applyNumberFormat="1" applyFont="1" applyAlignment="1">
      <alignment horizontal="center"/>
    </xf>
    <xf numFmtId="37" fontId="104" fillId="0" borderId="0" xfId="528" applyNumberFormat="1" applyFont="1" applyAlignment="1">
      <alignment horizontal="center"/>
    </xf>
    <xf numFmtId="44" fontId="102" fillId="64" borderId="24" xfId="528" applyFont="1" applyFill="1" applyBorder="1" applyAlignment="1">
      <alignment horizontal="center" vertical="center" wrapText="1"/>
    </xf>
    <xf numFmtId="9" fontId="102" fillId="64" borderId="24" xfId="529" applyFont="1" applyFill="1" applyBorder="1" applyAlignment="1">
      <alignment horizontal="center" vertical="center" wrapText="1"/>
    </xf>
    <xf numFmtId="44" fontId="102" fillId="64" borderId="10" xfId="528" applyFont="1" applyFill="1" applyBorder="1" applyAlignment="1">
      <alignment horizontal="center" vertical="center" wrapText="1"/>
    </xf>
    <xf numFmtId="44" fontId="106" fillId="72" borderId="20" xfId="528" applyFont="1" applyFill="1" applyBorder="1"/>
    <xf numFmtId="9" fontId="106" fillId="72" borderId="24" xfId="529" applyFont="1" applyFill="1" applyBorder="1"/>
    <xf numFmtId="44" fontId="106" fillId="72" borderId="10" xfId="528" applyFont="1" applyFill="1" applyBorder="1"/>
    <xf numFmtId="44" fontId="106" fillId="72" borderId="24" xfId="528" applyFont="1" applyFill="1" applyBorder="1"/>
    <xf numFmtId="44" fontId="106" fillId="72" borderId="23" xfId="528" applyFont="1" applyFill="1" applyBorder="1"/>
    <xf numFmtId="44" fontId="106" fillId="0" borderId="0" xfId="528" applyFont="1" applyAlignment="1">
      <alignment horizontal="right"/>
    </xf>
    <xf numFmtId="9" fontId="106" fillId="0" borderId="0" xfId="529" applyFont="1" applyAlignment="1">
      <alignment horizontal="right"/>
    </xf>
    <xf numFmtId="44" fontId="106" fillId="0" borderId="4" xfId="528" applyFont="1" applyBorder="1" applyAlignment="1">
      <alignment horizontal="right"/>
    </xf>
    <xf numFmtId="44" fontId="106" fillId="0" borderId="4" xfId="528" quotePrefix="1" applyFont="1" applyBorder="1" applyAlignment="1">
      <alignment horizontal="right"/>
    </xf>
    <xf numFmtId="172" fontId="106" fillId="0" borderId="4" xfId="528" quotePrefix="1" applyNumberFormat="1" applyFont="1" applyBorder="1" applyAlignment="1">
      <alignment horizontal="right"/>
    </xf>
    <xf numFmtId="0" fontId="109" fillId="0" borderId="4" xfId="530" applyFont="1" applyBorder="1" applyAlignment="1">
      <alignment horizontal="left" vertical="top" wrapText="1"/>
    </xf>
    <xf numFmtId="44" fontId="101" fillId="0" borderId="0" xfId="528" applyFont="1" applyAlignment="1">
      <alignment horizontal="right" indent="1"/>
    </xf>
    <xf numFmtId="2" fontId="101" fillId="0" borderId="0" xfId="529" applyNumberFormat="1" applyFont="1" applyAlignment="1">
      <alignment horizontal="right"/>
    </xf>
    <xf numFmtId="44" fontId="101" fillId="0" borderId="0" xfId="528" applyFont="1" applyAlignment="1">
      <alignment horizontal="right"/>
    </xf>
    <xf numFmtId="172" fontId="101" fillId="0" borderId="4" xfId="528" applyNumberFormat="1" applyFont="1" applyBorder="1"/>
    <xf numFmtId="44" fontId="101" fillId="67" borderId="6" xfId="528" applyFont="1" applyFill="1" applyBorder="1"/>
    <xf numFmtId="172" fontId="106" fillId="67" borderId="10" xfId="528" applyNumberFormat="1" applyFont="1" applyFill="1" applyBorder="1"/>
    <xf numFmtId="44" fontId="101" fillId="0" borderId="0" xfId="528" applyFont="1" applyBorder="1"/>
    <xf numFmtId="44" fontId="101" fillId="0" borderId="4" xfId="528" applyFont="1" applyBorder="1"/>
    <xf numFmtId="172" fontId="101" fillId="0" borderId="4" xfId="528" applyNumberFormat="1" applyFont="1" applyFill="1" applyBorder="1"/>
    <xf numFmtId="9" fontId="101" fillId="0" borderId="6" xfId="529" applyFont="1" applyBorder="1"/>
    <xf numFmtId="44" fontId="101" fillId="0" borderId="11" xfId="528" applyFont="1" applyBorder="1"/>
    <xf numFmtId="44" fontId="106" fillId="74" borderId="6" xfId="528" applyFont="1" applyFill="1" applyBorder="1"/>
    <xf numFmtId="9" fontId="106" fillId="74" borderId="6" xfId="529" applyFont="1" applyFill="1" applyBorder="1"/>
    <xf numFmtId="174" fontId="106" fillId="74" borderId="23" xfId="528" applyNumberFormat="1" applyFont="1" applyFill="1" applyBorder="1"/>
    <xf numFmtId="37" fontId="104" fillId="0" borderId="24" xfId="528" applyNumberFormat="1" applyFont="1" applyBorder="1" applyAlignment="1">
      <alignment horizontal="center"/>
    </xf>
    <xf numFmtId="174" fontId="101" fillId="0" borderId="0" xfId="528" applyNumberFormat="1" applyFont="1" applyBorder="1"/>
    <xf numFmtId="172" fontId="101" fillId="0" borderId="11" xfId="528" applyNumberFormat="1" applyFont="1" applyBorder="1"/>
    <xf numFmtId="37" fontId="104" fillId="0" borderId="0" xfId="528" applyNumberFormat="1" applyFont="1" applyFill="1" applyAlignment="1">
      <alignment horizontal="center"/>
    </xf>
    <xf numFmtId="44" fontId="106" fillId="67" borderId="10" xfId="528" applyFont="1" applyFill="1" applyBorder="1"/>
    <xf numFmtId="44" fontId="106" fillId="74" borderId="24" xfId="528" applyFont="1" applyFill="1" applyBorder="1"/>
    <xf numFmtId="9" fontId="106" fillId="74" borderId="24" xfId="529" applyFont="1" applyFill="1" applyBorder="1"/>
    <xf numFmtId="37" fontId="112" fillId="0" borderId="24" xfId="528" applyNumberFormat="1" applyFont="1" applyBorder="1" applyAlignment="1">
      <alignment horizontal="center"/>
    </xf>
    <xf numFmtId="37" fontId="112" fillId="0" borderId="0" xfId="528" applyNumberFormat="1" applyFont="1" applyAlignment="1">
      <alignment horizontal="center"/>
    </xf>
    <xf numFmtId="9" fontId="101" fillId="0" borderId="0" xfId="529" applyFont="1" applyFill="1"/>
    <xf numFmtId="44" fontId="101" fillId="0" borderId="4" xfId="528" applyFont="1" applyFill="1" applyBorder="1"/>
    <xf numFmtId="44" fontId="101" fillId="0" borderId="0" xfId="528" applyFont="1" applyFill="1"/>
    <xf numFmtId="44" fontId="101" fillId="0" borderId="10" xfId="528" applyFont="1" applyBorder="1"/>
    <xf numFmtId="2" fontId="101" fillId="0" borderId="0" xfId="529" applyNumberFormat="1" applyFont="1"/>
    <xf numFmtId="44" fontId="101" fillId="0" borderId="0" xfId="528" applyFont="1" applyFill="1" applyBorder="1"/>
    <xf numFmtId="44" fontId="101" fillId="0" borderId="24" xfId="528" applyFont="1" applyFill="1" applyBorder="1"/>
    <xf numFmtId="44" fontId="106" fillId="75" borderId="6" xfId="528" applyFont="1" applyFill="1" applyBorder="1"/>
    <xf numFmtId="9" fontId="106" fillId="75" borderId="6" xfId="529" applyFont="1" applyFill="1" applyBorder="1"/>
    <xf numFmtId="0" fontId="117" fillId="0" borderId="46" xfId="530" applyFont="1" applyBorder="1" applyAlignment="1">
      <alignment horizontal="left" vertical="top" wrapText="1"/>
    </xf>
    <xf numFmtId="174" fontId="101" fillId="0" borderId="0" xfId="528" applyNumberFormat="1" applyFont="1" applyAlignment="1">
      <alignment horizontal="right"/>
    </xf>
    <xf numFmtId="0" fontId="13" fillId="0" borderId="48" xfId="530" applyFont="1" applyBorder="1" applyAlignment="1">
      <alignment horizontal="left" vertical="top" wrapText="1"/>
    </xf>
    <xf numFmtId="2" fontId="101" fillId="0" borderId="0" xfId="529" applyNumberFormat="1" applyFont="1" applyFill="1"/>
    <xf numFmtId="9" fontId="101" fillId="0" borderId="0" xfId="529" applyFont="1" applyAlignment="1">
      <alignment horizontal="right"/>
    </xf>
    <xf numFmtId="2" fontId="101" fillId="0" borderId="24" xfId="529" applyNumberFormat="1" applyFont="1" applyFill="1" applyBorder="1"/>
    <xf numFmtId="9" fontId="101" fillId="0" borderId="24" xfId="529" applyFont="1" applyBorder="1" applyAlignment="1">
      <alignment horizontal="right"/>
    </xf>
    <xf numFmtId="44" fontId="106" fillId="64" borderId="24" xfId="528" applyFont="1" applyFill="1" applyBorder="1"/>
    <xf numFmtId="9" fontId="106" fillId="64" borderId="24" xfId="529" applyFont="1" applyFill="1" applyBorder="1"/>
    <xf numFmtId="174" fontId="106" fillId="64" borderId="11" xfId="528" applyNumberFormat="1" applyFont="1" applyFill="1" applyBorder="1"/>
    <xf numFmtId="44" fontId="101" fillId="0" borderId="24" xfId="528" applyFont="1" applyBorder="1"/>
    <xf numFmtId="9" fontId="101" fillId="0" borderId="24" xfId="529" applyFont="1" applyBorder="1"/>
    <xf numFmtId="44" fontId="101" fillId="76" borderId="6" xfId="528" applyFont="1" applyFill="1" applyBorder="1"/>
    <xf numFmtId="9" fontId="101" fillId="76" borderId="6" xfId="529" applyFont="1" applyFill="1" applyBorder="1"/>
    <xf numFmtId="44" fontId="101" fillId="76" borderId="23" xfId="528" applyFont="1" applyFill="1" applyBorder="1"/>
    <xf numFmtId="9" fontId="44" fillId="0" borderId="0" xfId="0" applyNumberFormat="1" applyFont="1"/>
    <xf numFmtId="9" fontId="94" fillId="62" borderId="0" xfId="337" applyFont="1" applyFill="1" applyAlignment="1">
      <alignment horizontal="left" wrapText="1"/>
    </xf>
    <xf numFmtId="10" fontId="44" fillId="0" borderId="0" xfId="337" applyNumberFormat="1" applyFont="1" applyFill="1" applyAlignment="1">
      <alignment horizontal="right" wrapText="1"/>
    </xf>
    <xf numFmtId="170" fontId="44" fillId="0" borderId="0" xfId="337" applyNumberFormat="1" applyFont="1"/>
    <xf numFmtId="0" fontId="15" fillId="0" borderId="70" xfId="0" applyFont="1" applyBorder="1" applyAlignment="1">
      <alignment horizontal="center" wrapText="1"/>
    </xf>
    <xf numFmtId="9" fontId="15" fillId="0" borderId="70" xfId="337" applyFont="1" applyBorder="1" applyAlignment="1">
      <alignment horizontal="center" wrapText="1"/>
    </xf>
    <xf numFmtId="3" fontId="15" fillId="0" borderId="70" xfId="0" applyNumberFormat="1" applyFont="1" applyBorder="1" applyAlignment="1">
      <alignment horizontal="center" wrapText="1"/>
    </xf>
    <xf numFmtId="3" fontId="15" fillId="0" borderId="70" xfId="0" applyNumberFormat="1" applyFont="1" applyBorder="1" applyAlignment="1">
      <alignment horizontal="center"/>
    </xf>
    <xf numFmtId="0" fontId="15" fillId="61" borderId="70" xfId="0" applyFont="1" applyFill="1" applyBorder="1" applyAlignment="1">
      <alignment wrapText="1"/>
    </xf>
    <xf numFmtId="0" fontId="15" fillId="61" borderId="70" xfId="0" applyFont="1" applyFill="1" applyBorder="1" applyAlignment="1">
      <alignment horizontal="center" wrapText="1"/>
    </xf>
    <xf numFmtId="173" fontId="15" fillId="61" borderId="70" xfId="0" applyNumberFormat="1" applyFont="1" applyFill="1" applyBorder="1" applyAlignment="1">
      <alignment horizontal="right" wrapText="1"/>
    </xf>
    <xf numFmtId="0" fontId="15" fillId="61" borderId="70" xfId="0" applyFont="1" applyFill="1" applyBorder="1" applyAlignment="1">
      <alignment horizontal="left" wrapText="1"/>
    </xf>
    <xf numFmtId="9" fontId="15" fillId="61" borderId="70" xfId="337" applyFont="1" applyFill="1" applyBorder="1" applyAlignment="1">
      <alignment horizontal="center" wrapText="1"/>
    </xf>
    <xf numFmtId="3" fontId="15" fillId="61" borderId="70" xfId="0" applyNumberFormat="1" applyFont="1" applyFill="1" applyBorder="1" applyAlignment="1">
      <alignment horizontal="right" wrapText="1"/>
    </xf>
    <xf numFmtId="0" fontId="15" fillId="61" borderId="70" xfId="0" applyFont="1" applyFill="1" applyBorder="1" applyAlignment="1">
      <alignment horizontal="right" wrapText="1"/>
    </xf>
    <xf numFmtId="172" fontId="15" fillId="61" borderId="70" xfId="0" applyNumberFormat="1" applyFont="1" applyFill="1" applyBorder="1" applyAlignment="1">
      <alignment horizontal="right" wrapText="1"/>
    </xf>
    <xf numFmtId="3" fontId="15" fillId="61" borderId="70" xfId="0" applyNumberFormat="1" applyFont="1" applyFill="1" applyBorder="1" applyAlignment="1">
      <alignment wrapText="1"/>
    </xf>
    <xf numFmtId="173" fontId="15" fillId="61" borderId="70" xfId="98" applyNumberFormat="1" applyFont="1" applyFill="1" applyBorder="1" applyAlignment="1">
      <alignment horizontal="right" wrapText="1"/>
    </xf>
    <xf numFmtId="167" fontId="15" fillId="61" borderId="70" xfId="0" applyNumberFormat="1" applyFont="1" applyFill="1" applyBorder="1" applyAlignment="1">
      <alignment horizontal="right" wrapText="1"/>
    </xf>
    <xf numFmtId="0" fontId="15" fillId="62" borderId="70" xfId="0" applyFont="1" applyFill="1" applyBorder="1" applyAlignment="1">
      <alignment wrapText="1"/>
    </xf>
    <xf numFmtId="9" fontId="15" fillId="62" borderId="70" xfId="337" applyFont="1" applyFill="1" applyBorder="1" applyAlignment="1">
      <alignment horizontal="center" wrapText="1"/>
    </xf>
    <xf numFmtId="3" fontId="15" fillId="62" borderId="70" xfId="0" applyNumberFormat="1" applyFont="1" applyFill="1" applyBorder="1" applyAlignment="1">
      <alignment horizontal="right" wrapText="1"/>
    </xf>
    <xf numFmtId="173" fontId="15" fillId="62" borderId="70" xfId="0" applyNumberFormat="1" applyFont="1" applyFill="1" applyBorder="1" applyAlignment="1">
      <alignment horizontal="right" wrapText="1"/>
    </xf>
    <xf numFmtId="172" fontId="44" fillId="0" borderId="0" xfId="0" applyNumberFormat="1" applyFont="1"/>
    <xf numFmtId="167" fontId="44" fillId="0" borderId="0" xfId="0" applyNumberFormat="1" applyFont="1"/>
    <xf numFmtId="167" fontId="91" fillId="0" borderId="0" xfId="0" applyNumberFormat="1" applyFont="1" applyAlignment="1">
      <alignment horizontal="center" vertical="center" wrapText="1"/>
    </xf>
    <xf numFmtId="43" fontId="91" fillId="0" borderId="0" xfId="0" applyNumberFormat="1" applyFont="1" applyAlignment="1">
      <alignment horizontal="center" vertical="center" wrapText="1"/>
    </xf>
    <xf numFmtId="37" fontId="90" fillId="0" borderId="0" xfId="522" applyNumberFormat="1" applyFont="1" applyAlignment="1">
      <alignment horizontal="center"/>
    </xf>
    <xf numFmtId="175" fontId="22" fillId="0" borderId="39" xfId="0" applyNumberFormat="1" applyFont="1" applyBorder="1" applyAlignment="1">
      <alignment horizontal="right" wrapText="1"/>
    </xf>
    <xf numFmtId="169" fontId="22" fillId="0" borderId="39" xfId="0" applyNumberFormat="1" applyFont="1" applyBorder="1" applyAlignment="1">
      <alignment horizontal="right" wrapText="1"/>
    </xf>
    <xf numFmtId="175" fontId="117" fillId="0" borderId="53" xfId="0" applyNumberFormat="1" applyFont="1" applyBorder="1" applyAlignment="1">
      <alignment horizontal="right" wrapText="1"/>
    </xf>
    <xf numFmtId="169" fontId="117" fillId="0" borderId="53" xfId="0" applyNumberFormat="1" applyFont="1" applyBorder="1" applyAlignment="1">
      <alignment horizontal="right" wrapText="1"/>
    </xf>
    <xf numFmtId="176" fontId="117" fillId="0" borderId="53" xfId="0" applyNumberFormat="1" applyFont="1" applyBorder="1" applyAlignment="1">
      <alignment horizontal="right" wrapText="1"/>
    </xf>
    <xf numFmtId="172" fontId="101" fillId="0" borderId="0" xfId="523" applyNumberFormat="1" applyFont="1"/>
    <xf numFmtId="0" fontId="131" fillId="0" borderId="71" xfId="0" applyFont="1" applyBorder="1" applyAlignment="1">
      <alignment horizontal="left" vertical="center"/>
    </xf>
    <xf numFmtId="0" fontId="131" fillId="0" borderId="72" xfId="0" applyFont="1" applyBorder="1" applyAlignment="1">
      <alignment horizontal="left" vertical="center"/>
    </xf>
    <xf numFmtId="0" fontId="131" fillId="0" borderId="73" xfId="0" applyFont="1" applyBorder="1" applyAlignment="1">
      <alignment horizontal="left" vertical="center"/>
    </xf>
    <xf numFmtId="0" fontId="131" fillId="0" borderId="74" xfId="0" applyFont="1" applyBorder="1" applyAlignment="1">
      <alignment horizontal="left" vertical="center"/>
    </xf>
    <xf numFmtId="0" fontId="131" fillId="0" borderId="75" xfId="0" applyFont="1" applyBorder="1" applyAlignment="1">
      <alignment horizontal="left" vertical="center"/>
    </xf>
    <xf numFmtId="0" fontId="131" fillId="0" borderId="76" xfId="0" applyFont="1" applyBorder="1" applyAlignment="1">
      <alignment horizontal="left" vertical="center"/>
    </xf>
    <xf numFmtId="0" fontId="44" fillId="0" borderId="0" xfId="0" applyFont="1" applyAlignment="1">
      <alignment horizontal="right" wrapText="1"/>
    </xf>
    <xf numFmtId="0" fontId="22" fillId="0" borderId="61" xfId="0" applyFont="1" applyBorder="1" applyAlignment="1">
      <alignment horizontal="right" wrapText="1"/>
    </xf>
    <xf numFmtId="0" fontId="119" fillId="0" borderId="62" xfId="0" applyFont="1" applyBorder="1" applyAlignment="1">
      <alignment horizontal="right" wrapText="1"/>
    </xf>
    <xf numFmtId="0" fontId="119" fillId="0" borderId="0" xfId="0" applyFont="1" applyAlignment="1">
      <alignment horizontal="center" wrapText="1"/>
    </xf>
    <xf numFmtId="0" fontId="119" fillId="0" borderId="55" xfId="0" applyFont="1" applyBorder="1" applyAlignment="1">
      <alignment horizontal="center" wrapText="1"/>
    </xf>
    <xf numFmtId="0" fontId="22" fillId="61" borderId="52" xfId="0" applyFont="1" applyFill="1" applyBorder="1" applyAlignment="1">
      <alignment horizontal="left" vertical="top" wrapText="1"/>
    </xf>
    <xf numFmtId="0" fontId="22" fillId="61" borderId="42" xfId="0" applyFont="1" applyFill="1" applyBorder="1" applyAlignment="1">
      <alignment horizontal="left" vertical="top" wrapText="1"/>
    </xf>
    <xf numFmtId="0" fontId="32" fillId="0" borderId="56" xfId="0" applyFont="1" applyBorder="1" applyAlignment="1">
      <alignment vertical="top" wrapText="1"/>
    </xf>
    <xf numFmtId="0" fontId="32" fillId="0" borderId="50" xfId="0" applyFont="1" applyBorder="1" applyAlignment="1">
      <alignment horizontal="left" vertical="top" wrapText="1"/>
    </xf>
    <xf numFmtId="0" fontId="22" fillId="61" borderId="41" xfId="0" applyFont="1" applyFill="1" applyBorder="1" applyAlignment="1">
      <alignment horizontal="left" vertical="top" wrapText="1"/>
    </xf>
    <xf numFmtId="0" fontId="32" fillId="0" borderId="57" xfId="0" applyFont="1" applyBorder="1" applyAlignment="1">
      <alignment vertical="top" wrapText="1"/>
    </xf>
    <xf numFmtId="0" fontId="32" fillId="61" borderId="42" xfId="0" applyFont="1" applyFill="1" applyBorder="1" applyAlignment="1">
      <alignment vertical="top" wrapText="1"/>
    </xf>
    <xf numFmtId="0" fontId="121" fillId="61" borderId="58" xfId="0" applyFont="1" applyFill="1" applyBorder="1" applyAlignment="1">
      <alignment horizontal="left" vertical="top" wrapText="1"/>
    </xf>
    <xf numFmtId="0" fontId="32" fillId="61" borderId="59" xfId="0" applyFont="1" applyFill="1" applyBorder="1" applyAlignment="1">
      <alignment wrapText="1"/>
    </xf>
    <xf numFmtId="0" fontId="32" fillId="0" borderId="60" xfId="0" applyFont="1" applyBorder="1" applyAlignment="1">
      <alignment wrapText="1"/>
    </xf>
    <xf numFmtId="174" fontId="102" fillId="64" borderId="65" xfId="524" applyNumberFormat="1" applyFont="1" applyFill="1" applyBorder="1" applyAlignment="1">
      <alignment horizontal="center" vertical="center" wrapText="1"/>
    </xf>
    <xf numFmtId="174" fontId="102" fillId="64" borderId="66" xfId="524" applyNumberFormat="1" applyFont="1" applyFill="1" applyBorder="1" applyAlignment="1">
      <alignment horizontal="center" vertical="center" wrapText="1"/>
    </xf>
    <xf numFmtId="174" fontId="102" fillId="64" borderId="67" xfId="524" applyNumberFormat="1" applyFont="1" applyFill="1" applyBorder="1" applyAlignment="1">
      <alignment horizontal="center" vertical="center" wrapText="1"/>
    </xf>
    <xf numFmtId="44" fontId="103" fillId="64" borderId="64" xfId="522" applyFont="1" applyFill="1" applyBorder="1" applyAlignment="1">
      <alignment horizontal="center" vertical="center" wrapText="1"/>
    </xf>
    <xf numFmtId="44" fontId="103" fillId="64" borderId="11" xfId="522" applyFont="1" applyFill="1" applyBorder="1" applyAlignment="1">
      <alignment horizontal="center" vertical="center" wrapText="1"/>
    </xf>
    <xf numFmtId="174" fontId="123" fillId="64" borderId="63" xfId="524" applyNumberFormat="1" applyFont="1" applyFill="1" applyBorder="1" applyAlignment="1">
      <alignment horizontal="left"/>
    </xf>
    <xf numFmtId="174" fontId="123" fillId="64" borderId="68" xfId="524" applyNumberFormat="1" applyFont="1" applyFill="1" applyBorder="1" applyAlignment="1">
      <alignment horizontal="left"/>
    </xf>
    <xf numFmtId="174" fontId="102" fillId="64" borderId="64" xfId="524" applyNumberFormat="1" applyFont="1" applyFill="1" applyBorder="1" applyAlignment="1">
      <alignment horizontal="center" wrapText="1"/>
    </xf>
    <xf numFmtId="174" fontId="102" fillId="64" borderId="11" xfId="524" applyNumberFormat="1" applyFont="1" applyFill="1" applyBorder="1" applyAlignment="1">
      <alignment horizontal="center" wrapText="1"/>
    </xf>
    <xf numFmtId="172" fontId="103" fillId="64" borderId="64" xfId="522" applyNumberFormat="1" applyFont="1" applyFill="1" applyBorder="1" applyAlignment="1">
      <alignment horizontal="center" vertical="center" wrapText="1"/>
    </xf>
    <xf numFmtId="172" fontId="103" fillId="64" borderId="11" xfId="522" applyNumberFormat="1" applyFont="1" applyFill="1" applyBorder="1" applyAlignment="1">
      <alignment horizontal="center" vertical="center" wrapText="1"/>
    </xf>
    <xf numFmtId="174" fontId="102" fillId="64" borderId="63" xfId="524" applyNumberFormat="1" applyFont="1" applyFill="1" applyBorder="1" applyAlignment="1">
      <alignment horizontal="left"/>
    </xf>
    <xf numFmtId="174" fontId="102" fillId="64" borderId="68" xfId="524" applyNumberFormat="1" applyFont="1" applyFill="1" applyBorder="1" applyAlignment="1">
      <alignment horizontal="left"/>
    </xf>
    <xf numFmtId="0" fontId="98" fillId="69" borderId="3" xfId="0" applyFont="1" applyFill="1" applyBorder="1" applyAlignment="1">
      <alignment horizontal="center" vertical="center" wrapText="1"/>
    </xf>
    <xf numFmtId="0" fontId="98" fillId="0" borderId="25" xfId="0" applyFont="1" applyBorder="1" applyAlignment="1">
      <alignment horizontal="center" wrapText="1"/>
    </xf>
    <xf numFmtId="0" fontId="98" fillId="69" borderId="20" xfId="0" applyFont="1" applyFill="1" applyBorder="1" applyAlignment="1">
      <alignment horizontal="center" vertical="center" wrapText="1"/>
    </xf>
    <xf numFmtId="44" fontId="103" fillId="64" borderId="64" xfId="528" applyFont="1" applyFill="1" applyBorder="1" applyAlignment="1">
      <alignment horizontal="center" vertical="center" wrapText="1"/>
    </xf>
    <xf numFmtId="44" fontId="103" fillId="64" borderId="11" xfId="528" applyFont="1" applyFill="1" applyBorder="1" applyAlignment="1">
      <alignment horizontal="center" vertical="center" wrapText="1"/>
    </xf>
    <xf numFmtId="174" fontId="130" fillId="73" borderId="70" xfId="521" applyNumberFormat="1" applyFont="1" applyFill="1" applyBorder="1" applyAlignment="1">
      <alignment horizontal="center"/>
    </xf>
    <xf numFmtId="0" fontId="91" fillId="69" borderId="3" xfId="0" applyFont="1" applyFill="1" applyBorder="1" applyAlignment="1">
      <alignment horizontal="center" vertical="center" wrapText="1"/>
    </xf>
  </cellXfs>
  <cellStyles count="531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4 3" xfId="5" xr:uid="{00000000-0005-0000-0000-000004000000}"/>
    <cellStyle name="20% - Accent5 2" xfId="6" xr:uid="{00000000-0005-0000-0000-000005000000}"/>
    <cellStyle name="20% - Accent6 2" xfId="7" xr:uid="{00000000-0005-0000-0000-000006000000}"/>
    <cellStyle name="20% - アクセント 1" xfId="8" xr:uid="{00000000-0005-0000-0000-000007000000}"/>
    <cellStyle name="20% - アクセント 2" xfId="9" xr:uid="{00000000-0005-0000-0000-000008000000}"/>
    <cellStyle name="20% - アクセント 3" xfId="10" xr:uid="{00000000-0005-0000-0000-000009000000}"/>
    <cellStyle name="20% - アクセント 4" xfId="11" xr:uid="{00000000-0005-0000-0000-00000A000000}"/>
    <cellStyle name="20% - アクセント 5" xfId="12" xr:uid="{00000000-0005-0000-0000-00000B000000}"/>
    <cellStyle name="20% - アクセント 6" xfId="13" xr:uid="{00000000-0005-0000-0000-00000C000000}"/>
    <cellStyle name="40% - Accent1 2" xfId="14" xr:uid="{00000000-0005-0000-0000-00000D000000}"/>
    <cellStyle name="40% - Accent2 2" xfId="15" xr:uid="{00000000-0005-0000-0000-00000E000000}"/>
    <cellStyle name="40% - Accent3 2" xfId="16" xr:uid="{00000000-0005-0000-0000-00000F000000}"/>
    <cellStyle name="40% - Accent4 2" xfId="17" xr:uid="{00000000-0005-0000-0000-000010000000}"/>
    <cellStyle name="40% - Accent5 2" xfId="18" xr:uid="{00000000-0005-0000-0000-000011000000}"/>
    <cellStyle name="40% - Accent6 2" xfId="19" xr:uid="{00000000-0005-0000-0000-000012000000}"/>
    <cellStyle name="40% - アクセント 1" xfId="20" xr:uid="{00000000-0005-0000-0000-000013000000}"/>
    <cellStyle name="40% - アクセント 2" xfId="21" xr:uid="{00000000-0005-0000-0000-000014000000}"/>
    <cellStyle name="40% - アクセント 3" xfId="22" xr:uid="{00000000-0005-0000-0000-000015000000}"/>
    <cellStyle name="40% - アクセント 4" xfId="23" xr:uid="{00000000-0005-0000-0000-000016000000}"/>
    <cellStyle name="40% - アクセント 5" xfId="24" xr:uid="{00000000-0005-0000-0000-000017000000}"/>
    <cellStyle name="40% - アクセント 6" xfId="25" xr:uid="{00000000-0005-0000-0000-000018000000}"/>
    <cellStyle name="60% - Accent1 2" xfId="26" xr:uid="{00000000-0005-0000-0000-000019000000}"/>
    <cellStyle name="60% - Accent2 2" xfId="27" xr:uid="{00000000-0005-0000-0000-00001A000000}"/>
    <cellStyle name="60% - Accent3 2" xfId="28" xr:uid="{00000000-0005-0000-0000-00001B000000}"/>
    <cellStyle name="60% - Accent4 2" xfId="29" xr:uid="{00000000-0005-0000-0000-00001C000000}"/>
    <cellStyle name="60% - Accent5 2" xfId="30" xr:uid="{00000000-0005-0000-0000-00001D000000}"/>
    <cellStyle name="60% - Accent6 2" xfId="31" xr:uid="{00000000-0005-0000-0000-00001E000000}"/>
    <cellStyle name="60% - アクセント 1" xfId="32" xr:uid="{00000000-0005-0000-0000-00001F000000}"/>
    <cellStyle name="60% - アクセント 2" xfId="33" xr:uid="{00000000-0005-0000-0000-000020000000}"/>
    <cellStyle name="60% - アクセント 3" xfId="34" xr:uid="{00000000-0005-0000-0000-000021000000}"/>
    <cellStyle name="60% - アクセント 4" xfId="35" xr:uid="{00000000-0005-0000-0000-000022000000}"/>
    <cellStyle name="60% - アクセント 5" xfId="36" xr:uid="{00000000-0005-0000-0000-000023000000}"/>
    <cellStyle name="60% - アクセント 6" xfId="37" xr:uid="{00000000-0005-0000-0000-000024000000}"/>
    <cellStyle name="Accent1 2" xfId="38" xr:uid="{00000000-0005-0000-0000-000025000000}"/>
    <cellStyle name="Accent2 2" xfId="39" xr:uid="{00000000-0005-0000-0000-000026000000}"/>
    <cellStyle name="Accent2 3" xfId="40" xr:uid="{00000000-0005-0000-0000-000027000000}"/>
    <cellStyle name="Accent3 2" xfId="41" xr:uid="{00000000-0005-0000-0000-000028000000}"/>
    <cellStyle name="Accent4 2" xfId="42" xr:uid="{00000000-0005-0000-0000-000029000000}"/>
    <cellStyle name="Accent5 2" xfId="43" xr:uid="{00000000-0005-0000-0000-00002A000000}"/>
    <cellStyle name="Accent6 2" xfId="44" xr:uid="{00000000-0005-0000-0000-00002B000000}"/>
    <cellStyle name="arial12" xfId="45" xr:uid="{00000000-0005-0000-0000-00002C000000}"/>
    <cellStyle name="arial14" xfId="46" xr:uid="{00000000-0005-0000-0000-00002D000000}"/>
    <cellStyle name="B&amp;P" xfId="47" xr:uid="{00000000-0005-0000-0000-00002E000000}"/>
    <cellStyle name="Bad 2" xfId="48" xr:uid="{00000000-0005-0000-0000-00002F000000}"/>
    <cellStyle name="Calculation 2" xfId="49" xr:uid="{00000000-0005-0000-0000-000030000000}"/>
    <cellStyle name="Check Cell 2" xfId="50" xr:uid="{00000000-0005-0000-0000-000031000000}"/>
    <cellStyle name="Check Cell 3" xfId="51" xr:uid="{00000000-0005-0000-0000-000032000000}"/>
    <cellStyle name="Comma" xfId="52" builtinId="3"/>
    <cellStyle name="Comma 2" xfId="53" xr:uid="{00000000-0005-0000-0000-000034000000}"/>
    <cellStyle name="Comma 2 2" xfId="54" xr:uid="{00000000-0005-0000-0000-000035000000}"/>
    <cellStyle name="Comma 2 2 2" xfId="55" xr:uid="{00000000-0005-0000-0000-000036000000}"/>
    <cellStyle name="Comma 2 2 2 2" xfId="56" xr:uid="{00000000-0005-0000-0000-000037000000}"/>
    <cellStyle name="Comma 2 2 3" xfId="57" xr:uid="{00000000-0005-0000-0000-000038000000}"/>
    <cellStyle name="Comma 2 2 4" xfId="58" xr:uid="{00000000-0005-0000-0000-000039000000}"/>
    <cellStyle name="Comma 2 3" xfId="59" xr:uid="{00000000-0005-0000-0000-00003A000000}"/>
    <cellStyle name="Comma 2 3 2" xfId="60" xr:uid="{00000000-0005-0000-0000-00003B000000}"/>
    <cellStyle name="Comma 2 4" xfId="61" xr:uid="{00000000-0005-0000-0000-00003C000000}"/>
    <cellStyle name="Comma 2 5" xfId="516" xr:uid="{66BAD9F9-31B2-4317-B24D-5D5A31C0F80D}"/>
    <cellStyle name="Comma 2_CHF Armenia SSIP Budget 08 22 2009 Final Internal" xfId="62" xr:uid="{00000000-0005-0000-0000-00003D000000}"/>
    <cellStyle name="Comma 3" xfId="63" xr:uid="{00000000-0005-0000-0000-00003E000000}"/>
    <cellStyle name="Comma 3 2" xfId="64" xr:uid="{00000000-0005-0000-0000-00003F000000}"/>
    <cellStyle name="Comma 3 3" xfId="65" xr:uid="{00000000-0005-0000-0000-000040000000}"/>
    <cellStyle name="Comma 3 4" xfId="66" xr:uid="{00000000-0005-0000-0000-000041000000}"/>
    <cellStyle name="Comma 4" xfId="67" xr:uid="{00000000-0005-0000-0000-000042000000}"/>
    <cellStyle name="Comma 4 2" xfId="68" xr:uid="{00000000-0005-0000-0000-000043000000}"/>
    <cellStyle name="Comma 4 3" xfId="69" xr:uid="{00000000-0005-0000-0000-000044000000}"/>
    <cellStyle name="Comma 4 4" xfId="70" xr:uid="{00000000-0005-0000-0000-000045000000}"/>
    <cellStyle name="Comma 5" xfId="71" xr:uid="{00000000-0005-0000-0000-000046000000}"/>
    <cellStyle name="Comma 5 2" xfId="72" xr:uid="{00000000-0005-0000-0000-000047000000}"/>
    <cellStyle name="Comma 5 2 2" xfId="73" xr:uid="{00000000-0005-0000-0000-000048000000}"/>
    <cellStyle name="Comma 5 3" xfId="74" xr:uid="{00000000-0005-0000-0000-000049000000}"/>
    <cellStyle name="Comma 6" xfId="75" xr:uid="{00000000-0005-0000-0000-00004A000000}"/>
    <cellStyle name="Comma 6 2" xfId="76" xr:uid="{00000000-0005-0000-0000-00004B000000}"/>
    <cellStyle name="Comma 6 2 2" xfId="77" xr:uid="{00000000-0005-0000-0000-00004C000000}"/>
    <cellStyle name="Comma 6 3" xfId="78" xr:uid="{00000000-0005-0000-0000-00004D000000}"/>
    <cellStyle name="Comma 6 4" xfId="79" xr:uid="{00000000-0005-0000-0000-00004E000000}"/>
    <cellStyle name="Comma 7" xfId="80" xr:uid="{00000000-0005-0000-0000-00004F000000}"/>
    <cellStyle name="Comma 7 2" xfId="81" xr:uid="{00000000-0005-0000-0000-000050000000}"/>
    <cellStyle name="Comma 8" xfId="82" xr:uid="{00000000-0005-0000-0000-000051000000}"/>
    <cellStyle name="Comma 8 2" xfId="83" xr:uid="{00000000-0005-0000-0000-000052000000}"/>
    <cellStyle name="Comma 9" xfId="84" xr:uid="{00000000-0005-0000-0000-000053000000}"/>
    <cellStyle name="Comma0" xfId="85" xr:uid="{00000000-0005-0000-0000-000054000000}"/>
    <cellStyle name="Comma0 - Style2" xfId="86" xr:uid="{00000000-0005-0000-0000-000055000000}"/>
    <cellStyle name="Comma0 - Style3" xfId="87" xr:uid="{00000000-0005-0000-0000-000056000000}"/>
    <cellStyle name="Comma0 2" xfId="88" xr:uid="{00000000-0005-0000-0000-000057000000}"/>
    <cellStyle name="Comma0 3" xfId="89" xr:uid="{00000000-0005-0000-0000-000058000000}"/>
    <cellStyle name="Comma0 4" xfId="90" xr:uid="{00000000-0005-0000-0000-000059000000}"/>
    <cellStyle name="Comma0_Copy of S3R-0167pricing v3 Option B _ GMH" xfId="91" xr:uid="{00000000-0005-0000-0000-00005A000000}"/>
    <cellStyle name="Comma1 - Style1" xfId="92" xr:uid="{00000000-0005-0000-0000-00005B000000}"/>
    <cellStyle name="Curren - Style1" xfId="93" xr:uid="{00000000-0005-0000-0000-00005C000000}"/>
    <cellStyle name="Curren - Style2" xfId="94" xr:uid="{00000000-0005-0000-0000-00005D000000}"/>
    <cellStyle name="Curren - Style3" xfId="95" xr:uid="{00000000-0005-0000-0000-00005E000000}"/>
    <cellStyle name="Curren - Style4" xfId="96" xr:uid="{00000000-0005-0000-0000-00005F000000}"/>
    <cellStyle name="Curren - Style5" xfId="97" xr:uid="{00000000-0005-0000-0000-000060000000}"/>
    <cellStyle name="Currency" xfId="98" builtinId="4"/>
    <cellStyle name="Currency 10" xfId="99" xr:uid="{00000000-0005-0000-0000-000062000000}"/>
    <cellStyle name="Currency 11" xfId="522" xr:uid="{7F3E61D0-D818-4CF7-82EE-724BBD2C8466}"/>
    <cellStyle name="Currency 11 2" xfId="528" xr:uid="{43C13C6A-E932-4A48-92D6-662B27E8DB40}"/>
    <cellStyle name="Currency 2" xfId="100" xr:uid="{00000000-0005-0000-0000-000063000000}"/>
    <cellStyle name="Currency 2 2" xfId="101" xr:uid="{00000000-0005-0000-0000-000064000000}"/>
    <cellStyle name="Currency 2 2 2" xfId="102" xr:uid="{00000000-0005-0000-0000-000065000000}"/>
    <cellStyle name="Currency 2 3" xfId="103" xr:uid="{00000000-0005-0000-0000-000066000000}"/>
    <cellStyle name="Currency 2 4" xfId="525" xr:uid="{6C32C04A-8938-4B05-8897-490CAB41CAA0}"/>
    <cellStyle name="Currency 22" xfId="104" xr:uid="{00000000-0005-0000-0000-000067000000}"/>
    <cellStyle name="Currency 3" xfId="105" xr:uid="{00000000-0005-0000-0000-000068000000}"/>
    <cellStyle name="Currency 3 2" xfId="106" xr:uid="{00000000-0005-0000-0000-000069000000}"/>
    <cellStyle name="Currency 4" xfId="107" xr:uid="{00000000-0005-0000-0000-00006A000000}"/>
    <cellStyle name="Currency 4 2" xfId="108" xr:uid="{00000000-0005-0000-0000-00006B000000}"/>
    <cellStyle name="Currency 4 2 2" xfId="109" xr:uid="{00000000-0005-0000-0000-00006C000000}"/>
    <cellStyle name="Currency 4 3" xfId="110" xr:uid="{00000000-0005-0000-0000-00006D000000}"/>
    <cellStyle name="Currency 5" xfId="111" xr:uid="{00000000-0005-0000-0000-00006E000000}"/>
    <cellStyle name="Currency 5 2" xfId="112" xr:uid="{00000000-0005-0000-0000-00006F000000}"/>
    <cellStyle name="Currency 5 3" xfId="113" xr:uid="{00000000-0005-0000-0000-000070000000}"/>
    <cellStyle name="Currency 5 4" xfId="114" xr:uid="{00000000-0005-0000-0000-000071000000}"/>
    <cellStyle name="Currency 6" xfId="115" xr:uid="{00000000-0005-0000-0000-000072000000}"/>
    <cellStyle name="Currency 6 2" xfId="116" xr:uid="{00000000-0005-0000-0000-000073000000}"/>
    <cellStyle name="Currency 7" xfId="117" xr:uid="{00000000-0005-0000-0000-000074000000}"/>
    <cellStyle name="Currency 8" xfId="118" xr:uid="{00000000-0005-0000-0000-000075000000}"/>
    <cellStyle name="Currency 9" xfId="119" xr:uid="{00000000-0005-0000-0000-000076000000}"/>
    <cellStyle name="Currency0" xfId="120" xr:uid="{00000000-0005-0000-0000-000077000000}"/>
    <cellStyle name="Date" xfId="121" xr:uid="{00000000-0005-0000-0000-000078000000}"/>
    <cellStyle name="Date 2" xfId="122" xr:uid="{00000000-0005-0000-0000-000079000000}"/>
    <cellStyle name="DateTime" xfId="123" xr:uid="{00000000-0005-0000-0000-00007A000000}"/>
    <cellStyle name="Desc" xfId="124" xr:uid="{00000000-0005-0000-0000-00007B000000}"/>
    <cellStyle name="dollar" xfId="125" xr:uid="{00000000-0005-0000-0000-00007C000000}"/>
    <cellStyle name="Euro" xfId="126" xr:uid="{00000000-0005-0000-0000-00007D000000}"/>
    <cellStyle name="Explanatory Text 2" xfId="127" xr:uid="{00000000-0005-0000-0000-00007E000000}"/>
    <cellStyle name="F2" xfId="128" xr:uid="{00000000-0005-0000-0000-00007F000000}"/>
    <cellStyle name="F3" xfId="129" xr:uid="{00000000-0005-0000-0000-000080000000}"/>
    <cellStyle name="F4" xfId="130" xr:uid="{00000000-0005-0000-0000-000081000000}"/>
    <cellStyle name="F5" xfId="131" xr:uid="{00000000-0005-0000-0000-000082000000}"/>
    <cellStyle name="F6" xfId="132" xr:uid="{00000000-0005-0000-0000-000083000000}"/>
    <cellStyle name="F7" xfId="133" xr:uid="{00000000-0005-0000-0000-000084000000}"/>
    <cellStyle name="F8" xfId="134" xr:uid="{00000000-0005-0000-0000-000085000000}"/>
    <cellStyle name="Fixed" xfId="135" xr:uid="{00000000-0005-0000-0000-000086000000}"/>
    <cellStyle name="Fixed 2" xfId="136" xr:uid="{00000000-0005-0000-0000-000087000000}"/>
    <cellStyle name="FRxAmtStyle" xfId="137" xr:uid="{00000000-0005-0000-0000-000088000000}"/>
    <cellStyle name="FRxCurrStyle" xfId="138" xr:uid="{00000000-0005-0000-0000-000089000000}"/>
    <cellStyle name="FRxPcntStyle" xfId="139" xr:uid="{00000000-0005-0000-0000-00008A000000}"/>
    <cellStyle name="Good 2" xfId="140" xr:uid="{00000000-0005-0000-0000-00008B000000}"/>
    <cellStyle name="Good 3" xfId="141" xr:uid="{00000000-0005-0000-0000-00008C000000}"/>
    <cellStyle name="Good 4" xfId="142" xr:uid="{00000000-0005-0000-0000-00008D000000}"/>
    <cellStyle name="Green cell" xfId="143" xr:uid="{00000000-0005-0000-0000-00008E000000}"/>
    <cellStyle name="Green cell 2" xfId="144" xr:uid="{00000000-0005-0000-0000-00008F000000}"/>
    <cellStyle name="Green cell 2 2" xfId="145" xr:uid="{00000000-0005-0000-0000-000090000000}"/>
    <cellStyle name="Green cell 2 2 2" xfId="146" xr:uid="{00000000-0005-0000-0000-000091000000}"/>
    <cellStyle name="Green cell 2 3" xfId="147" xr:uid="{00000000-0005-0000-0000-000092000000}"/>
    <cellStyle name="Green cell 3" xfId="148" xr:uid="{00000000-0005-0000-0000-000093000000}"/>
    <cellStyle name="Green cell 3 2" xfId="149" xr:uid="{00000000-0005-0000-0000-000094000000}"/>
    <cellStyle name="Green cell 3 2 2" xfId="150" xr:uid="{00000000-0005-0000-0000-000095000000}"/>
    <cellStyle name="Green cell 3 3" xfId="151" xr:uid="{00000000-0005-0000-0000-000096000000}"/>
    <cellStyle name="Green cell 4" xfId="152" xr:uid="{00000000-0005-0000-0000-000097000000}"/>
    <cellStyle name="Green cell 4 2" xfId="153" xr:uid="{00000000-0005-0000-0000-000098000000}"/>
    <cellStyle name="Green cell 4 2 2" xfId="154" xr:uid="{00000000-0005-0000-0000-000099000000}"/>
    <cellStyle name="Green cell 4 3" xfId="155" xr:uid="{00000000-0005-0000-0000-00009A000000}"/>
    <cellStyle name="Green cell 5" xfId="156" xr:uid="{00000000-0005-0000-0000-00009B000000}"/>
    <cellStyle name="Green cell 5 2" xfId="157" xr:uid="{00000000-0005-0000-0000-00009C000000}"/>
    <cellStyle name="Grey" xfId="158" xr:uid="{00000000-0005-0000-0000-00009D000000}"/>
    <cellStyle name="Header" xfId="159" xr:uid="{00000000-0005-0000-0000-00009E000000}"/>
    <cellStyle name="Header1" xfId="160" xr:uid="{00000000-0005-0000-0000-00009F000000}"/>
    <cellStyle name="Header2" xfId="161" xr:uid="{00000000-0005-0000-0000-0000A0000000}"/>
    <cellStyle name="Header2 2" xfId="162" xr:uid="{00000000-0005-0000-0000-0000A1000000}"/>
    <cellStyle name="Header2 2 2" xfId="163" xr:uid="{00000000-0005-0000-0000-0000A2000000}"/>
    <cellStyle name="Header2 2 2 2" xfId="164" xr:uid="{00000000-0005-0000-0000-0000A3000000}"/>
    <cellStyle name="Header2 2 3" xfId="165" xr:uid="{00000000-0005-0000-0000-0000A4000000}"/>
    <cellStyle name="Header2 3" xfId="166" xr:uid="{00000000-0005-0000-0000-0000A5000000}"/>
    <cellStyle name="Header2 3 2" xfId="167" xr:uid="{00000000-0005-0000-0000-0000A6000000}"/>
    <cellStyle name="Header2 3 2 2" xfId="168" xr:uid="{00000000-0005-0000-0000-0000A7000000}"/>
    <cellStyle name="Header2 3 3" xfId="169" xr:uid="{00000000-0005-0000-0000-0000A8000000}"/>
    <cellStyle name="Header2 4" xfId="170" xr:uid="{00000000-0005-0000-0000-0000A9000000}"/>
    <cellStyle name="Header2 4 2" xfId="171" xr:uid="{00000000-0005-0000-0000-0000AA000000}"/>
    <cellStyle name="Heading 1 2" xfId="172" xr:uid="{00000000-0005-0000-0000-0000AB000000}"/>
    <cellStyle name="Heading 2 2" xfId="173" xr:uid="{00000000-0005-0000-0000-0000AC000000}"/>
    <cellStyle name="Heading 3 2" xfId="174" xr:uid="{00000000-0005-0000-0000-0000AD000000}"/>
    <cellStyle name="Heading 4 2" xfId="175" xr:uid="{00000000-0005-0000-0000-0000AE000000}"/>
    <cellStyle name="HEADING1" xfId="176" xr:uid="{00000000-0005-0000-0000-0000AF000000}"/>
    <cellStyle name="HEADING2" xfId="177" xr:uid="{00000000-0005-0000-0000-0000B0000000}"/>
    <cellStyle name="Hyperlink 2" xfId="178" xr:uid="{00000000-0005-0000-0000-0000B1000000}"/>
    <cellStyle name="Hyperlink 2 2" xfId="179" xr:uid="{00000000-0005-0000-0000-0000B2000000}"/>
    <cellStyle name="Hyperlink 2 3" xfId="180" xr:uid="{00000000-0005-0000-0000-0000B3000000}"/>
    <cellStyle name="Hyperlink 3" xfId="181" xr:uid="{00000000-0005-0000-0000-0000B4000000}"/>
    <cellStyle name="Hyperlink 3 2" xfId="182" xr:uid="{00000000-0005-0000-0000-0000B5000000}"/>
    <cellStyle name="Hyperlink 3 3" xfId="183" xr:uid="{00000000-0005-0000-0000-0000B6000000}"/>
    <cellStyle name="Hyperlink 3 4" xfId="184" xr:uid="{00000000-0005-0000-0000-0000B7000000}"/>
    <cellStyle name="Hyperlink 3 5" xfId="185" xr:uid="{00000000-0005-0000-0000-0000B8000000}"/>
    <cellStyle name="Hyperlink 4" xfId="186" xr:uid="{00000000-0005-0000-0000-0000B9000000}"/>
    <cellStyle name="Hyperlink 5" xfId="187" xr:uid="{00000000-0005-0000-0000-0000BA000000}"/>
    <cellStyle name="Input [yellow]" xfId="188" xr:uid="{00000000-0005-0000-0000-0000BB000000}"/>
    <cellStyle name="Input [yellow] 2" xfId="189" xr:uid="{00000000-0005-0000-0000-0000BC000000}"/>
    <cellStyle name="Input [yellow] 2 2" xfId="190" xr:uid="{00000000-0005-0000-0000-0000BD000000}"/>
    <cellStyle name="Input [yellow] 2 2 2" xfId="191" xr:uid="{00000000-0005-0000-0000-0000BE000000}"/>
    <cellStyle name="Input [yellow] 2 3" xfId="192" xr:uid="{00000000-0005-0000-0000-0000BF000000}"/>
    <cellStyle name="Input [yellow] 3" xfId="193" xr:uid="{00000000-0005-0000-0000-0000C0000000}"/>
    <cellStyle name="Input [yellow] 3 2" xfId="194" xr:uid="{00000000-0005-0000-0000-0000C1000000}"/>
    <cellStyle name="Input [yellow] 3 2 2" xfId="195" xr:uid="{00000000-0005-0000-0000-0000C2000000}"/>
    <cellStyle name="Input [yellow] 3 3" xfId="196" xr:uid="{00000000-0005-0000-0000-0000C3000000}"/>
    <cellStyle name="Input [yellow] 4" xfId="197" xr:uid="{00000000-0005-0000-0000-0000C4000000}"/>
    <cellStyle name="Input [yellow] 4 2" xfId="198" xr:uid="{00000000-0005-0000-0000-0000C5000000}"/>
    <cellStyle name="Input [yellow] 4 2 2" xfId="199" xr:uid="{00000000-0005-0000-0000-0000C6000000}"/>
    <cellStyle name="Input [yellow] 4 3" xfId="200" xr:uid="{00000000-0005-0000-0000-0000C7000000}"/>
    <cellStyle name="Input [yellow] 5" xfId="201" xr:uid="{00000000-0005-0000-0000-0000C8000000}"/>
    <cellStyle name="Input [yellow] 5 2" xfId="202" xr:uid="{00000000-0005-0000-0000-0000C9000000}"/>
    <cellStyle name="Input 2" xfId="203" xr:uid="{00000000-0005-0000-0000-0000CA000000}"/>
    <cellStyle name="Jim" xfId="204" xr:uid="{00000000-0005-0000-0000-0000CB000000}"/>
    <cellStyle name="Jim 2" xfId="205" xr:uid="{00000000-0005-0000-0000-0000CC000000}"/>
    <cellStyle name="Jim 2 2" xfId="206" xr:uid="{00000000-0005-0000-0000-0000CD000000}"/>
    <cellStyle name="Jim 2 2 2" xfId="207" xr:uid="{00000000-0005-0000-0000-0000CE000000}"/>
    <cellStyle name="Jim 2 3" xfId="208" xr:uid="{00000000-0005-0000-0000-0000CF000000}"/>
    <cellStyle name="Jim 3" xfId="209" xr:uid="{00000000-0005-0000-0000-0000D0000000}"/>
    <cellStyle name="Jim 3 2" xfId="210" xr:uid="{00000000-0005-0000-0000-0000D1000000}"/>
    <cellStyle name="Jim 3 2 2" xfId="211" xr:uid="{00000000-0005-0000-0000-0000D2000000}"/>
    <cellStyle name="Jim 3 3" xfId="212" xr:uid="{00000000-0005-0000-0000-0000D3000000}"/>
    <cellStyle name="Jim 4" xfId="213" xr:uid="{00000000-0005-0000-0000-0000D4000000}"/>
    <cellStyle name="Jim 4 2" xfId="214" xr:uid="{00000000-0005-0000-0000-0000D5000000}"/>
    <cellStyle name="Jim 4 2 2" xfId="215" xr:uid="{00000000-0005-0000-0000-0000D6000000}"/>
    <cellStyle name="Jim 4 3" xfId="216" xr:uid="{00000000-0005-0000-0000-0000D7000000}"/>
    <cellStyle name="Jim 5" xfId="217" xr:uid="{00000000-0005-0000-0000-0000D8000000}"/>
    <cellStyle name="Jim 5 2" xfId="218" xr:uid="{00000000-0005-0000-0000-0000D9000000}"/>
    <cellStyle name="Linked Cell 2" xfId="219" xr:uid="{00000000-0005-0000-0000-0000DA000000}"/>
    <cellStyle name="Linked Cell 3" xfId="220" xr:uid="{00000000-0005-0000-0000-0000DB000000}"/>
    <cellStyle name="Locked" xfId="221" xr:uid="{00000000-0005-0000-0000-0000DC000000}"/>
    <cellStyle name="m/d/y" xfId="222" xr:uid="{00000000-0005-0000-0000-0000DD000000}"/>
    <cellStyle name="mm/dd/yy" xfId="223" xr:uid="{00000000-0005-0000-0000-0000DE000000}"/>
    <cellStyle name="N,NNN (blank 0)" xfId="224" xr:uid="{00000000-0005-0000-0000-0000DF000000}"/>
    <cellStyle name="Neutral 2" xfId="225" xr:uid="{00000000-0005-0000-0000-0000E0000000}"/>
    <cellStyle name="Neutral 3" xfId="226" xr:uid="{00000000-0005-0000-0000-0000E1000000}"/>
    <cellStyle name="Normal" xfId="0" builtinId="0"/>
    <cellStyle name="Normal - Style1" xfId="227" xr:uid="{00000000-0005-0000-0000-0000E3000000}"/>
    <cellStyle name="Normal 10" xfId="228" xr:uid="{00000000-0005-0000-0000-0000E4000000}"/>
    <cellStyle name="Normal 10 2" xfId="229" xr:uid="{00000000-0005-0000-0000-0000E5000000}"/>
    <cellStyle name="Normal 10 2 2" xfId="230" xr:uid="{00000000-0005-0000-0000-0000E6000000}"/>
    <cellStyle name="Normal 10 8" xfId="231" xr:uid="{00000000-0005-0000-0000-0000E7000000}"/>
    <cellStyle name="Normal 11" xfId="232" xr:uid="{00000000-0005-0000-0000-0000E8000000}"/>
    <cellStyle name="Normal 12" xfId="233" xr:uid="{00000000-0005-0000-0000-0000E9000000}"/>
    <cellStyle name="Normal 13" xfId="234" xr:uid="{00000000-0005-0000-0000-0000EA000000}"/>
    <cellStyle name="Normal 14" xfId="235" xr:uid="{00000000-0005-0000-0000-0000EB000000}"/>
    <cellStyle name="Normal 15" xfId="236" xr:uid="{00000000-0005-0000-0000-0000EC000000}"/>
    <cellStyle name="Normal 16" xfId="237" xr:uid="{00000000-0005-0000-0000-0000ED000000}"/>
    <cellStyle name="Normal 17" xfId="238" xr:uid="{00000000-0005-0000-0000-0000EE000000}"/>
    <cellStyle name="Normal 18" xfId="239" xr:uid="{00000000-0005-0000-0000-0000EF000000}"/>
    <cellStyle name="Normal 19" xfId="240" xr:uid="{00000000-0005-0000-0000-0000F0000000}"/>
    <cellStyle name="Normal 2" xfId="241" xr:uid="{00000000-0005-0000-0000-0000F1000000}"/>
    <cellStyle name="Normal 2 10" xfId="242" xr:uid="{00000000-0005-0000-0000-0000F2000000}"/>
    <cellStyle name="Normal 2 11" xfId="243" xr:uid="{00000000-0005-0000-0000-0000F3000000}"/>
    <cellStyle name="Normal 2 12" xfId="244" xr:uid="{00000000-0005-0000-0000-0000F4000000}"/>
    <cellStyle name="Normal 2 13" xfId="245" xr:uid="{00000000-0005-0000-0000-0000F5000000}"/>
    <cellStyle name="Normal 2 14" xfId="246" xr:uid="{00000000-0005-0000-0000-0000F6000000}"/>
    <cellStyle name="Normal 2 15" xfId="247" xr:uid="{00000000-0005-0000-0000-0000F7000000}"/>
    <cellStyle name="Normal 2 16" xfId="248" xr:uid="{00000000-0005-0000-0000-0000F8000000}"/>
    <cellStyle name="Normal 2 17" xfId="249" xr:uid="{00000000-0005-0000-0000-0000F9000000}"/>
    <cellStyle name="Normal 2 18" xfId="250" xr:uid="{00000000-0005-0000-0000-0000FA000000}"/>
    <cellStyle name="Normal 2 19" xfId="251" xr:uid="{00000000-0005-0000-0000-0000FB000000}"/>
    <cellStyle name="Normal 2 2" xfId="252" xr:uid="{00000000-0005-0000-0000-0000FC000000}"/>
    <cellStyle name="Normal 2 2 2" xfId="253" xr:uid="{00000000-0005-0000-0000-0000FD000000}"/>
    <cellStyle name="Normal 2 2 3" xfId="254" xr:uid="{00000000-0005-0000-0000-0000FE000000}"/>
    <cellStyle name="Normal 2 2 4" xfId="255" xr:uid="{00000000-0005-0000-0000-0000FF000000}"/>
    <cellStyle name="Normal 2 20" xfId="256" xr:uid="{00000000-0005-0000-0000-000000010000}"/>
    <cellStyle name="Normal 2 21" xfId="257" xr:uid="{00000000-0005-0000-0000-000001010000}"/>
    <cellStyle name="Normal 2 22" xfId="258" xr:uid="{00000000-0005-0000-0000-000002010000}"/>
    <cellStyle name="Normal 2 23" xfId="521" xr:uid="{3117EBDE-CC54-46E8-AF1B-1A5252C13AEC}"/>
    <cellStyle name="Normal 2 3" xfId="259" xr:uid="{00000000-0005-0000-0000-000003010000}"/>
    <cellStyle name="Normal 2 3 2" xfId="260" xr:uid="{00000000-0005-0000-0000-000004010000}"/>
    <cellStyle name="Normal 2 4" xfId="261" xr:uid="{00000000-0005-0000-0000-000005010000}"/>
    <cellStyle name="Normal 2 5" xfId="262" xr:uid="{00000000-0005-0000-0000-000006010000}"/>
    <cellStyle name="Normal 2 6" xfId="263" xr:uid="{00000000-0005-0000-0000-000007010000}"/>
    <cellStyle name="Normal 2 7" xfId="264" xr:uid="{00000000-0005-0000-0000-000008010000}"/>
    <cellStyle name="Normal 2 8" xfId="265" xr:uid="{00000000-0005-0000-0000-000009010000}"/>
    <cellStyle name="Normal 2 9" xfId="266" xr:uid="{00000000-0005-0000-0000-00000A010000}"/>
    <cellStyle name="Normal 2_ARD CEP 2 Budget Final" xfId="267" xr:uid="{00000000-0005-0000-0000-00000B010000}"/>
    <cellStyle name="Normal 20" xfId="268" xr:uid="{00000000-0005-0000-0000-00000C010000}"/>
    <cellStyle name="Normal 21" xfId="269" xr:uid="{00000000-0005-0000-0000-00000D010000}"/>
    <cellStyle name="Normal 22" xfId="270" xr:uid="{00000000-0005-0000-0000-00000E010000}"/>
    <cellStyle name="Normal 23" xfId="271" xr:uid="{00000000-0005-0000-0000-00000F010000}"/>
    <cellStyle name="Normal 24" xfId="272" xr:uid="{00000000-0005-0000-0000-000010010000}"/>
    <cellStyle name="Normal 25" xfId="273" xr:uid="{00000000-0005-0000-0000-000011010000}"/>
    <cellStyle name="Normal 26" xfId="274" xr:uid="{00000000-0005-0000-0000-000012010000}"/>
    <cellStyle name="Normal 27" xfId="275" xr:uid="{00000000-0005-0000-0000-000013010000}"/>
    <cellStyle name="Normal 28" xfId="276" xr:uid="{00000000-0005-0000-0000-000014010000}"/>
    <cellStyle name="Normal 29" xfId="277" xr:uid="{00000000-0005-0000-0000-000015010000}"/>
    <cellStyle name="Normal 3" xfId="278" xr:uid="{00000000-0005-0000-0000-000016010000}"/>
    <cellStyle name="Normal 3 2" xfId="279" xr:uid="{00000000-0005-0000-0000-000017010000}"/>
    <cellStyle name="Normal 3 2 2" xfId="280" xr:uid="{00000000-0005-0000-0000-000018010000}"/>
    <cellStyle name="Normal 3 2 2 2" xfId="281" xr:uid="{00000000-0005-0000-0000-000019010000}"/>
    <cellStyle name="Normal 3 2 2 3" xfId="282" xr:uid="{00000000-0005-0000-0000-00001A010000}"/>
    <cellStyle name="Normal 3 2 3" xfId="283" xr:uid="{00000000-0005-0000-0000-00001B010000}"/>
    <cellStyle name="Normal 3 2 3 2" xfId="284" xr:uid="{00000000-0005-0000-0000-00001C010000}"/>
    <cellStyle name="Normal 3 3" xfId="285" xr:uid="{00000000-0005-0000-0000-00001D010000}"/>
    <cellStyle name="Normal 3 4" xfId="286" xr:uid="{00000000-0005-0000-0000-00001E010000}"/>
    <cellStyle name="Normal 3_CHF-GEII Schools Rehab &amp; WatSan Combined Budget 9 7 2009 FINAL" xfId="287" xr:uid="{00000000-0005-0000-0000-00001F010000}"/>
    <cellStyle name="Normal 30" xfId="288" xr:uid="{00000000-0005-0000-0000-000020010000}"/>
    <cellStyle name="Normal 31" xfId="289" xr:uid="{00000000-0005-0000-0000-000021010000}"/>
    <cellStyle name="Normal 32" xfId="290" xr:uid="{00000000-0005-0000-0000-000022010000}"/>
    <cellStyle name="Normal 33" xfId="291" xr:uid="{00000000-0005-0000-0000-000023010000}"/>
    <cellStyle name="Normal 34" xfId="292" xr:uid="{00000000-0005-0000-0000-000024010000}"/>
    <cellStyle name="Normal 35" xfId="293" xr:uid="{00000000-0005-0000-0000-000025010000}"/>
    <cellStyle name="Normal 36" xfId="294" xr:uid="{00000000-0005-0000-0000-000026010000}"/>
    <cellStyle name="Normal 37" xfId="295" xr:uid="{00000000-0005-0000-0000-000027010000}"/>
    <cellStyle name="Normal 38" xfId="515" xr:uid="{D98FBAD3-AA2F-4AD7-8C43-93B948557DDD}"/>
    <cellStyle name="Normal 39" xfId="517" xr:uid="{9AB7FD94-7D35-4FE5-AF55-7668E4611BB7}"/>
    <cellStyle name="Normal 39 2" xfId="518" xr:uid="{318D78A5-79CE-4202-9905-7E5E7A60F1E7}"/>
    <cellStyle name="Normal 39 3" xfId="520" xr:uid="{7A9F400D-4917-4B3A-BDDD-8E81E9712054}"/>
    <cellStyle name="Normal 4" xfId="296" xr:uid="{00000000-0005-0000-0000-000028010000}"/>
    <cellStyle name="Normal 4 2" xfId="297" xr:uid="{00000000-0005-0000-0000-000029010000}"/>
    <cellStyle name="Normal 40" xfId="519" xr:uid="{8A08F67B-C5C6-4B8C-AA4A-943DE13FB1D9}"/>
    <cellStyle name="Normal 41" xfId="526" xr:uid="{229B1DDF-56C3-4C6A-889C-68A2198DEAF8}"/>
    <cellStyle name="Normal 41 2" xfId="530" xr:uid="{E46DE119-4089-491A-89BF-514573746923}"/>
    <cellStyle name="Normal 44" xfId="298" xr:uid="{00000000-0005-0000-0000-00002A010000}"/>
    <cellStyle name="Normal 5" xfId="299" xr:uid="{00000000-0005-0000-0000-00002B010000}"/>
    <cellStyle name="Normal 5 2" xfId="300" xr:uid="{00000000-0005-0000-0000-00002C010000}"/>
    <cellStyle name="Normal 5 2 2" xfId="301" xr:uid="{00000000-0005-0000-0000-00002D010000}"/>
    <cellStyle name="Normal 5 2 3" xfId="302" xr:uid="{00000000-0005-0000-0000-00002E010000}"/>
    <cellStyle name="Normal 5_12 04 20 Iraq Budget_ICNL BACKUP" xfId="303" xr:uid="{00000000-0005-0000-0000-00002F010000}"/>
    <cellStyle name="Normal 6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7" xfId="307" xr:uid="{00000000-0005-0000-0000-000033010000}"/>
    <cellStyle name="Normal 7 2" xfId="308" xr:uid="{00000000-0005-0000-0000-000034010000}"/>
    <cellStyle name="Normal 7 2 2" xfId="309" xr:uid="{00000000-0005-0000-0000-000035010000}"/>
    <cellStyle name="Normal 7 2 3" xfId="310" xr:uid="{00000000-0005-0000-0000-000036010000}"/>
    <cellStyle name="Normal 7 2_12 04 20 Iraq Budget_ICNL BACKUP" xfId="311" xr:uid="{00000000-0005-0000-0000-000037010000}"/>
    <cellStyle name="Normal 7 3" xfId="312" xr:uid="{00000000-0005-0000-0000-000038010000}"/>
    <cellStyle name="Normal 7 3 2" xfId="313" xr:uid="{00000000-0005-0000-0000-000039010000}"/>
    <cellStyle name="Normal 7 3_12 04 20 Iraq Budget_ICNL BACKUP" xfId="314" xr:uid="{00000000-0005-0000-0000-00003A010000}"/>
    <cellStyle name="Normal 7 4" xfId="315" xr:uid="{00000000-0005-0000-0000-00003B010000}"/>
    <cellStyle name="Normal 7 5" xfId="316" xr:uid="{00000000-0005-0000-0000-00003C010000}"/>
    <cellStyle name="Normal 7 6" xfId="317" xr:uid="{00000000-0005-0000-0000-00003D010000}"/>
    <cellStyle name="Normal 7_12 04 20 Iraq Budget_ICNL BACKUP" xfId="318" xr:uid="{00000000-0005-0000-0000-00003E010000}"/>
    <cellStyle name="Normal 8" xfId="319" xr:uid="{00000000-0005-0000-0000-00003F010000}"/>
    <cellStyle name="Normal 8 2" xfId="320" xr:uid="{00000000-0005-0000-0000-000040010000}"/>
    <cellStyle name="Normal 8 3" xfId="321" xr:uid="{00000000-0005-0000-0000-000041010000}"/>
    <cellStyle name="Normal 8 4" xfId="322" xr:uid="{00000000-0005-0000-0000-000042010000}"/>
    <cellStyle name="Normal 8 5" xfId="323" xr:uid="{00000000-0005-0000-0000-000043010000}"/>
    <cellStyle name="Normal 8 6" xfId="324" xr:uid="{00000000-0005-0000-0000-000044010000}"/>
    <cellStyle name="Normal 8_12 04 20 Iraq Budget_ICNL BACKUP" xfId="325" xr:uid="{00000000-0005-0000-0000-000045010000}"/>
    <cellStyle name="Normal 9" xfId="326" xr:uid="{00000000-0005-0000-0000-000046010000}"/>
    <cellStyle name="Normal 9 2" xfId="327" xr:uid="{00000000-0005-0000-0000-000047010000}"/>
    <cellStyle name="Normal_UKRAINE SME BUDGET" xfId="524" xr:uid="{0F1D21C7-9B1E-4AEC-B138-93CE5E548B08}"/>
    <cellStyle name="Note 2" xfId="328" xr:uid="{00000000-0005-0000-0000-000048010000}"/>
    <cellStyle name="Number" xfId="329" xr:uid="{00000000-0005-0000-0000-000049010000}"/>
    <cellStyle name="Number 2" xfId="330" xr:uid="{00000000-0005-0000-0000-00004A010000}"/>
    <cellStyle name="number 3" xfId="331" xr:uid="{00000000-0005-0000-0000-00004B010000}"/>
    <cellStyle name="number 3 2" xfId="332" xr:uid="{00000000-0005-0000-0000-00004C010000}"/>
    <cellStyle name="Option" xfId="333" xr:uid="{00000000-0005-0000-0000-00004D010000}"/>
    <cellStyle name="Output 2" xfId="334" xr:uid="{00000000-0005-0000-0000-00004E010000}"/>
    <cellStyle name="Percen - Style1" xfId="335" xr:uid="{00000000-0005-0000-0000-00004F010000}"/>
    <cellStyle name="Percen - Style3" xfId="336" xr:uid="{00000000-0005-0000-0000-000050010000}"/>
    <cellStyle name="Percent" xfId="337" builtinId="5"/>
    <cellStyle name="Percent [0]" xfId="338" xr:uid="{00000000-0005-0000-0000-000052010000}"/>
    <cellStyle name="Percent [2]" xfId="339" xr:uid="{00000000-0005-0000-0000-000053010000}"/>
    <cellStyle name="Percent 10" xfId="523" xr:uid="{F2AB75FB-EB56-43CF-9F9C-054A28781697}"/>
    <cellStyle name="Percent 10 2" xfId="529" xr:uid="{62DD32DF-E0B8-4509-9B7D-5E1B9DEFDCF2}"/>
    <cellStyle name="Percent 2" xfId="340" xr:uid="{00000000-0005-0000-0000-000054010000}"/>
    <cellStyle name="Percent 2 2" xfId="341" xr:uid="{00000000-0005-0000-0000-000055010000}"/>
    <cellStyle name="Percent 2 2 2" xfId="342" xr:uid="{00000000-0005-0000-0000-000056010000}"/>
    <cellStyle name="Percent 2 2 3" xfId="343" xr:uid="{00000000-0005-0000-0000-000057010000}"/>
    <cellStyle name="Percent 2 2 4" xfId="344" xr:uid="{00000000-0005-0000-0000-000058010000}"/>
    <cellStyle name="Percent 2 3" xfId="345" xr:uid="{00000000-0005-0000-0000-000059010000}"/>
    <cellStyle name="Percent 2 3 2" xfId="346" xr:uid="{00000000-0005-0000-0000-00005A010000}"/>
    <cellStyle name="Percent 2 4" xfId="527" xr:uid="{3F9F6B81-C47C-4496-B2B1-30CC3037A95D}"/>
    <cellStyle name="Percent 3" xfId="347" xr:uid="{00000000-0005-0000-0000-00005B010000}"/>
    <cellStyle name="Percent 3 2" xfId="348" xr:uid="{00000000-0005-0000-0000-00005C010000}"/>
    <cellStyle name="Percent 4" xfId="349" xr:uid="{00000000-0005-0000-0000-00005D010000}"/>
    <cellStyle name="Percent 4 2" xfId="350" xr:uid="{00000000-0005-0000-0000-00005E010000}"/>
    <cellStyle name="Percent 4 2 2" xfId="351" xr:uid="{00000000-0005-0000-0000-00005F010000}"/>
    <cellStyle name="Percent 4 3" xfId="352" xr:uid="{00000000-0005-0000-0000-000060010000}"/>
    <cellStyle name="Percent 5" xfId="353" xr:uid="{00000000-0005-0000-0000-000061010000}"/>
    <cellStyle name="Percent 5 2" xfId="354" xr:uid="{00000000-0005-0000-0000-000062010000}"/>
    <cellStyle name="Percent 5 2 2" xfId="355" xr:uid="{00000000-0005-0000-0000-000063010000}"/>
    <cellStyle name="Percent 5 3" xfId="356" xr:uid="{00000000-0005-0000-0000-000064010000}"/>
    <cellStyle name="Percent 6" xfId="357" xr:uid="{00000000-0005-0000-0000-000065010000}"/>
    <cellStyle name="Percent 6 2" xfId="358" xr:uid="{00000000-0005-0000-0000-000066010000}"/>
    <cellStyle name="Percent 7" xfId="359" xr:uid="{00000000-0005-0000-0000-000067010000}"/>
    <cellStyle name="Percent 8" xfId="360" xr:uid="{00000000-0005-0000-0000-000068010000}"/>
    <cellStyle name="Percent 9" xfId="361" xr:uid="{00000000-0005-0000-0000-000069010000}"/>
    <cellStyle name="Period" xfId="362" xr:uid="{00000000-0005-0000-0000-00006A010000}"/>
    <cellStyle name="PROJ_NUM" xfId="363" xr:uid="{00000000-0005-0000-0000-00006B010000}"/>
    <cellStyle name="PSChar" xfId="364" xr:uid="{00000000-0005-0000-0000-00006C010000}"/>
    <cellStyle name="PSDate" xfId="365" xr:uid="{00000000-0005-0000-0000-00006D010000}"/>
    <cellStyle name="PSDec" xfId="366" xr:uid="{00000000-0005-0000-0000-00006E010000}"/>
    <cellStyle name="PSHeading" xfId="367" xr:uid="{00000000-0005-0000-0000-00006F010000}"/>
    <cellStyle name="PSInt" xfId="368" xr:uid="{00000000-0005-0000-0000-000070010000}"/>
    <cellStyle name="PSSpacer" xfId="369" xr:uid="{00000000-0005-0000-0000-000071010000}"/>
    <cellStyle name="RAMEY" xfId="370" xr:uid="{00000000-0005-0000-0000-000072010000}"/>
    <cellStyle name="Ramey $k" xfId="371" xr:uid="{00000000-0005-0000-0000-000073010000}"/>
    <cellStyle name="RAMEY_P&amp;O BKUP" xfId="372" xr:uid="{00000000-0005-0000-0000-000074010000}"/>
    <cellStyle name="STYL1 - Style1" xfId="373" xr:uid="{00000000-0005-0000-0000-000075010000}"/>
    <cellStyle name="Style 1" xfId="374" xr:uid="{00000000-0005-0000-0000-000076010000}"/>
    <cellStyle name="Style 21" xfId="375" xr:uid="{00000000-0005-0000-0000-000077010000}"/>
    <cellStyle name="Style 22" xfId="376" xr:uid="{00000000-0005-0000-0000-000078010000}"/>
    <cellStyle name="Style 23" xfId="377" xr:uid="{00000000-0005-0000-0000-000079010000}"/>
    <cellStyle name="Style 24" xfId="378" xr:uid="{00000000-0005-0000-0000-00007A010000}"/>
    <cellStyle name="Style 25" xfId="379" xr:uid="{00000000-0005-0000-0000-00007B010000}"/>
    <cellStyle name="Style 26" xfId="380" xr:uid="{00000000-0005-0000-0000-00007C010000}"/>
    <cellStyle name="Style 27" xfId="381" xr:uid="{00000000-0005-0000-0000-00007D010000}"/>
    <cellStyle name="STYLE1" xfId="382" xr:uid="{00000000-0005-0000-0000-00007E010000}"/>
    <cellStyle name="STYLE1 2" xfId="383" xr:uid="{00000000-0005-0000-0000-00007F010000}"/>
    <cellStyle name="STYLE1 3" xfId="384" xr:uid="{00000000-0005-0000-0000-000080010000}"/>
    <cellStyle name="STYLE2" xfId="385" xr:uid="{00000000-0005-0000-0000-000081010000}"/>
    <cellStyle name="STYLE3" xfId="386" xr:uid="{00000000-0005-0000-0000-000082010000}"/>
    <cellStyle name="STYLE4" xfId="387" xr:uid="{00000000-0005-0000-0000-000083010000}"/>
    <cellStyle name="STYLE5" xfId="388" xr:uid="{00000000-0005-0000-0000-000084010000}"/>
    <cellStyle name="þ_x0011_Í-&amp;ý&amp;‰ýG_x0008_Æ_x0009__x000a__x0007__x0001__x0001_" xfId="389" xr:uid="{00000000-0005-0000-0000-000085010000}"/>
    <cellStyle name="Thousands" xfId="390" xr:uid="{00000000-0005-0000-0000-000086010000}"/>
    <cellStyle name="Title 2" xfId="391" xr:uid="{00000000-0005-0000-0000-000087010000}"/>
    <cellStyle name="Total 2" xfId="392" xr:uid="{00000000-0005-0000-0000-000088010000}"/>
    <cellStyle name="Unit" xfId="393" xr:uid="{00000000-0005-0000-0000-000089010000}"/>
    <cellStyle name="Unlocked" xfId="394" xr:uid="{00000000-0005-0000-0000-00008A010000}"/>
    <cellStyle name="Warning Text 2" xfId="395" xr:uid="{00000000-0005-0000-0000-00008B010000}"/>
    <cellStyle name="Обычный_Budget_final_25_02_02" xfId="396" xr:uid="{00000000-0005-0000-0000-00008C010000}"/>
    <cellStyle name="アクセント 1" xfId="397" xr:uid="{00000000-0005-0000-0000-00008D010000}"/>
    <cellStyle name="アクセント 2" xfId="398" xr:uid="{00000000-0005-0000-0000-00008E010000}"/>
    <cellStyle name="アクセント 3" xfId="399" xr:uid="{00000000-0005-0000-0000-00008F010000}"/>
    <cellStyle name="アクセント 4" xfId="400" xr:uid="{00000000-0005-0000-0000-000090010000}"/>
    <cellStyle name="アクセント 5" xfId="401" xr:uid="{00000000-0005-0000-0000-000091010000}"/>
    <cellStyle name="アクセント 6" xfId="402" xr:uid="{00000000-0005-0000-0000-000092010000}"/>
    <cellStyle name="タイトル" xfId="403" xr:uid="{00000000-0005-0000-0000-000093010000}"/>
    <cellStyle name="チェック セル" xfId="404" xr:uid="{00000000-0005-0000-0000-000094010000}"/>
    <cellStyle name="どちらでもない" xfId="405" xr:uid="{00000000-0005-0000-0000-000095010000}"/>
    <cellStyle name="メモ" xfId="406" xr:uid="{00000000-0005-0000-0000-000096010000}"/>
    <cellStyle name="メモ 2" xfId="407" xr:uid="{00000000-0005-0000-0000-000097010000}"/>
    <cellStyle name="メモ 2 2" xfId="408" xr:uid="{00000000-0005-0000-0000-000098010000}"/>
    <cellStyle name="メモ 2 2 2" xfId="409" xr:uid="{00000000-0005-0000-0000-000099010000}"/>
    <cellStyle name="メモ 2 3" xfId="410" xr:uid="{00000000-0005-0000-0000-00009A010000}"/>
    <cellStyle name="メモ 3" xfId="411" xr:uid="{00000000-0005-0000-0000-00009B010000}"/>
    <cellStyle name="メモ 3 2" xfId="412" xr:uid="{00000000-0005-0000-0000-00009C010000}"/>
    <cellStyle name="メモ 3 2 2" xfId="413" xr:uid="{00000000-0005-0000-0000-00009D010000}"/>
    <cellStyle name="メモ 3 3" xfId="414" xr:uid="{00000000-0005-0000-0000-00009E010000}"/>
    <cellStyle name="メモ 4" xfId="415" xr:uid="{00000000-0005-0000-0000-00009F010000}"/>
    <cellStyle name="メモ 4 2" xfId="416" xr:uid="{00000000-0005-0000-0000-0000A0010000}"/>
    <cellStyle name="メモ 4 2 2" xfId="417" xr:uid="{00000000-0005-0000-0000-0000A1010000}"/>
    <cellStyle name="メモ 4 3" xfId="418" xr:uid="{00000000-0005-0000-0000-0000A2010000}"/>
    <cellStyle name="メモ 5" xfId="419" xr:uid="{00000000-0005-0000-0000-0000A3010000}"/>
    <cellStyle name="メモ 5 2" xfId="420" xr:uid="{00000000-0005-0000-0000-0000A4010000}"/>
    <cellStyle name="メモ 5 2 2" xfId="421" xr:uid="{00000000-0005-0000-0000-0000A5010000}"/>
    <cellStyle name="メモ 5 3" xfId="422" xr:uid="{00000000-0005-0000-0000-0000A6010000}"/>
    <cellStyle name="メモ 6" xfId="423" xr:uid="{00000000-0005-0000-0000-0000A7010000}"/>
    <cellStyle name="メモ 6 2" xfId="424" xr:uid="{00000000-0005-0000-0000-0000A8010000}"/>
    <cellStyle name="メモ 7" xfId="425" xr:uid="{00000000-0005-0000-0000-0000A9010000}"/>
    <cellStyle name="リンク セル" xfId="426" xr:uid="{00000000-0005-0000-0000-0000AA010000}"/>
    <cellStyle name="入力" xfId="427" xr:uid="{00000000-0005-0000-0000-0000AB010000}"/>
    <cellStyle name="入力 2" xfId="428" xr:uid="{00000000-0005-0000-0000-0000AC010000}"/>
    <cellStyle name="入力 2 2" xfId="429" xr:uid="{00000000-0005-0000-0000-0000AD010000}"/>
    <cellStyle name="入力 2 2 2" xfId="430" xr:uid="{00000000-0005-0000-0000-0000AE010000}"/>
    <cellStyle name="入力 2 3" xfId="431" xr:uid="{00000000-0005-0000-0000-0000AF010000}"/>
    <cellStyle name="入力 3" xfId="432" xr:uid="{00000000-0005-0000-0000-0000B0010000}"/>
    <cellStyle name="入力 3 2" xfId="433" xr:uid="{00000000-0005-0000-0000-0000B1010000}"/>
    <cellStyle name="入力 3 2 2" xfId="434" xr:uid="{00000000-0005-0000-0000-0000B2010000}"/>
    <cellStyle name="入力 3 3" xfId="435" xr:uid="{00000000-0005-0000-0000-0000B3010000}"/>
    <cellStyle name="入力 4" xfId="436" xr:uid="{00000000-0005-0000-0000-0000B4010000}"/>
    <cellStyle name="入力 4 2" xfId="437" xr:uid="{00000000-0005-0000-0000-0000B5010000}"/>
    <cellStyle name="入力 4 2 2" xfId="438" xr:uid="{00000000-0005-0000-0000-0000B6010000}"/>
    <cellStyle name="入力 4 3" xfId="439" xr:uid="{00000000-0005-0000-0000-0000B7010000}"/>
    <cellStyle name="入力 5" xfId="440" xr:uid="{00000000-0005-0000-0000-0000B8010000}"/>
    <cellStyle name="入力 5 2" xfId="441" xr:uid="{00000000-0005-0000-0000-0000B9010000}"/>
    <cellStyle name="入力 5 2 2" xfId="442" xr:uid="{00000000-0005-0000-0000-0000BA010000}"/>
    <cellStyle name="入力 5 3" xfId="443" xr:uid="{00000000-0005-0000-0000-0000BB010000}"/>
    <cellStyle name="入力 6" xfId="444" xr:uid="{00000000-0005-0000-0000-0000BC010000}"/>
    <cellStyle name="入力 6 2" xfId="445" xr:uid="{00000000-0005-0000-0000-0000BD010000}"/>
    <cellStyle name="入力 7" xfId="446" xr:uid="{00000000-0005-0000-0000-0000BE010000}"/>
    <cellStyle name="出力" xfId="447" xr:uid="{00000000-0005-0000-0000-0000BF010000}"/>
    <cellStyle name="出力 2" xfId="448" xr:uid="{00000000-0005-0000-0000-0000C0010000}"/>
    <cellStyle name="出力 2 2" xfId="449" xr:uid="{00000000-0005-0000-0000-0000C1010000}"/>
    <cellStyle name="出力 2 2 2" xfId="450" xr:uid="{00000000-0005-0000-0000-0000C2010000}"/>
    <cellStyle name="出力 2 3" xfId="451" xr:uid="{00000000-0005-0000-0000-0000C3010000}"/>
    <cellStyle name="出力 3" xfId="452" xr:uid="{00000000-0005-0000-0000-0000C4010000}"/>
    <cellStyle name="出力 3 2" xfId="453" xr:uid="{00000000-0005-0000-0000-0000C5010000}"/>
    <cellStyle name="出力 3 2 2" xfId="454" xr:uid="{00000000-0005-0000-0000-0000C6010000}"/>
    <cellStyle name="出力 3 3" xfId="455" xr:uid="{00000000-0005-0000-0000-0000C7010000}"/>
    <cellStyle name="出力 4" xfId="456" xr:uid="{00000000-0005-0000-0000-0000C8010000}"/>
    <cellStyle name="出力 4 2" xfId="457" xr:uid="{00000000-0005-0000-0000-0000C9010000}"/>
    <cellStyle name="出力 4 2 2" xfId="458" xr:uid="{00000000-0005-0000-0000-0000CA010000}"/>
    <cellStyle name="出力 4 3" xfId="459" xr:uid="{00000000-0005-0000-0000-0000CB010000}"/>
    <cellStyle name="出力 5" xfId="460" xr:uid="{00000000-0005-0000-0000-0000CC010000}"/>
    <cellStyle name="出力 5 2" xfId="461" xr:uid="{00000000-0005-0000-0000-0000CD010000}"/>
    <cellStyle name="出力 5 2 2" xfId="462" xr:uid="{00000000-0005-0000-0000-0000CE010000}"/>
    <cellStyle name="出力 5 3" xfId="463" xr:uid="{00000000-0005-0000-0000-0000CF010000}"/>
    <cellStyle name="出力 6" xfId="464" xr:uid="{00000000-0005-0000-0000-0000D0010000}"/>
    <cellStyle name="出力 6 2" xfId="465" xr:uid="{00000000-0005-0000-0000-0000D1010000}"/>
    <cellStyle name="出力 7" xfId="466" xr:uid="{00000000-0005-0000-0000-0000D2010000}"/>
    <cellStyle name="悪い" xfId="467" xr:uid="{00000000-0005-0000-0000-0000D3010000}"/>
    <cellStyle name="良い" xfId="468" xr:uid="{00000000-0005-0000-0000-0000D4010000}"/>
    <cellStyle name="見出し 1" xfId="469" xr:uid="{00000000-0005-0000-0000-0000D5010000}"/>
    <cellStyle name="見出し 2" xfId="470" xr:uid="{00000000-0005-0000-0000-0000D6010000}"/>
    <cellStyle name="見出し 3" xfId="471" xr:uid="{00000000-0005-0000-0000-0000D7010000}"/>
    <cellStyle name="見出し 4" xfId="472" xr:uid="{00000000-0005-0000-0000-0000D8010000}"/>
    <cellStyle name="計算" xfId="473" xr:uid="{00000000-0005-0000-0000-0000D9010000}"/>
    <cellStyle name="計算 2" xfId="474" xr:uid="{00000000-0005-0000-0000-0000DA010000}"/>
    <cellStyle name="計算 2 2" xfId="475" xr:uid="{00000000-0005-0000-0000-0000DB010000}"/>
    <cellStyle name="計算 2 2 2" xfId="476" xr:uid="{00000000-0005-0000-0000-0000DC010000}"/>
    <cellStyle name="計算 2 3" xfId="477" xr:uid="{00000000-0005-0000-0000-0000DD010000}"/>
    <cellStyle name="計算 3" xfId="478" xr:uid="{00000000-0005-0000-0000-0000DE010000}"/>
    <cellStyle name="計算 3 2" xfId="479" xr:uid="{00000000-0005-0000-0000-0000DF010000}"/>
    <cellStyle name="計算 3 2 2" xfId="480" xr:uid="{00000000-0005-0000-0000-0000E0010000}"/>
    <cellStyle name="計算 3 3" xfId="481" xr:uid="{00000000-0005-0000-0000-0000E1010000}"/>
    <cellStyle name="計算 4" xfId="482" xr:uid="{00000000-0005-0000-0000-0000E2010000}"/>
    <cellStyle name="計算 4 2" xfId="483" xr:uid="{00000000-0005-0000-0000-0000E3010000}"/>
    <cellStyle name="計算 4 2 2" xfId="484" xr:uid="{00000000-0005-0000-0000-0000E4010000}"/>
    <cellStyle name="計算 4 3" xfId="485" xr:uid="{00000000-0005-0000-0000-0000E5010000}"/>
    <cellStyle name="計算 5" xfId="486" xr:uid="{00000000-0005-0000-0000-0000E6010000}"/>
    <cellStyle name="計算 5 2" xfId="487" xr:uid="{00000000-0005-0000-0000-0000E7010000}"/>
    <cellStyle name="計算 5 2 2" xfId="488" xr:uid="{00000000-0005-0000-0000-0000E8010000}"/>
    <cellStyle name="計算 5 3" xfId="489" xr:uid="{00000000-0005-0000-0000-0000E9010000}"/>
    <cellStyle name="計算 6" xfId="490" xr:uid="{00000000-0005-0000-0000-0000EA010000}"/>
    <cellStyle name="計算 6 2" xfId="491" xr:uid="{00000000-0005-0000-0000-0000EB010000}"/>
    <cellStyle name="計算 7" xfId="492" xr:uid="{00000000-0005-0000-0000-0000EC010000}"/>
    <cellStyle name="説明文" xfId="493" xr:uid="{00000000-0005-0000-0000-0000ED010000}"/>
    <cellStyle name="警告文" xfId="494" xr:uid="{00000000-0005-0000-0000-0000EE010000}"/>
    <cellStyle name="集計" xfId="495" xr:uid="{00000000-0005-0000-0000-0000EF010000}"/>
    <cellStyle name="集計 2" xfId="496" xr:uid="{00000000-0005-0000-0000-0000F0010000}"/>
    <cellStyle name="集計 2 2" xfId="497" xr:uid="{00000000-0005-0000-0000-0000F1010000}"/>
    <cellStyle name="集計 2 2 2" xfId="498" xr:uid="{00000000-0005-0000-0000-0000F2010000}"/>
    <cellStyle name="集計 2 3" xfId="499" xr:uid="{00000000-0005-0000-0000-0000F3010000}"/>
    <cellStyle name="集計 3" xfId="500" xr:uid="{00000000-0005-0000-0000-0000F4010000}"/>
    <cellStyle name="集計 3 2" xfId="501" xr:uid="{00000000-0005-0000-0000-0000F5010000}"/>
    <cellStyle name="集計 3 2 2" xfId="502" xr:uid="{00000000-0005-0000-0000-0000F6010000}"/>
    <cellStyle name="集計 3 3" xfId="503" xr:uid="{00000000-0005-0000-0000-0000F7010000}"/>
    <cellStyle name="集計 4" xfId="504" xr:uid="{00000000-0005-0000-0000-0000F8010000}"/>
    <cellStyle name="集計 4 2" xfId="505" xr:uid="{00000000-0005-0000-0000-0000F9010000}"/>
    <cellStyle name="集計 4 2 2" xfId="506" xr:uid="{00000000-0005-0000-0000-0000FA010000}"/>
    <cellStyle name="集計 4 3" xfId="507" xr:uid="{00000000-0005-0000-0000-0000FB010000}"/>
    <cellStyle name="集計 5" xfId="508" xr:uid="{00000000-0005-0000-0000-0000FC010000}"/>
    <cellStyle name="集計 5 2" xfId="509" xr:uid="{00000000-0005-0000-0000-0000FD010000}"/>
    <cellStyle name="集計 5 2 2" xfId="510" xr:uid="{00000000-0005-0000-0000-0000FE010000}"/>
    <cellStyle name="集計 5 3" xfId="511" xr:uid="{00000000-0005-0000-0000-0000FF010000}"/>
    <cellStyle name="集計 6" xfId="512" xr:uid="{00000000-0005-0000-0000-000000020000}"/>
    <cellStyle name="集計 6 2" xfId="513" xr:uid="{00000000-0005-0000-0000-000001020000}"/>
    <cellStyle name="集計 7" xfId="514" xr:uid="{00000000-0005-0000-0000-00000202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63" Type="http://schemas.openxmlformats.org/officeDocument/2006/relationships/sharedStrings" Target="sharedStrings.xml"/><Relationship Id="rId68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externalLink" Target="externalLinks/externalLink44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customXml" Target="../customXml/item3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p3.ncsc.dni.us/My%20Documents/NCSC/Macedonia/Business%20Proposal/NCSC%20Macedonia%20Budget--internal%20final%203-21-02%207%20p.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My%20Documents/NCSC/Macedonia/Business%20Proposal/NCSC%20Macedonia%20Budget--internal%20final%203-21-02%207%20p.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Documents%20and%20Settings/sprotacio/My%20Documents/SMTs/Copy%20of%20SC_Budget_ARMM_HEALTH_Jun19%20with%20Community%20Matc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%20v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Katya/AppData/Local/Microsoft/Windows/Temporary%20Internet%20Files/Content.Outlook/3MW8ZO8X/Peru_Decentralization_Cost_5_9_CM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BUSOPS/CEP/Ra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Cost,%20RAMP,%20consistent%20with%20contract,%20with%20subs%20chang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Documents%20and%20Settings/Dewey%20Thomas/Local%20Settings/Temporary%20Internet%20Files/OLK2/SubK%20TM%20budget%20template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C%20disk\vahan.CP\Desktop\Acc%20CPI\300_Salary\Salary%20Calculatin\Salary%20FY%20201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RAISE%20Ethiopia%20MLVP%20to%20DAI%20Budget%2011-1-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GL%20!!!/Voucher%20form-fin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FINAL_Cost_Spreadsheets.Mali_TRADE_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BASAR%20Timor%20Leste%20Budget%20and%20Track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S1028023222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NI%20COST%20MOD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BE%20Budget%20-%20Overall%20v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v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Jazami/OneDrive%20-%20Counterpart%20International/Desktop/PSR%20review%20summary%20-%20FY19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C%20disk/vahan.CP/Desktop/Acc%20CPI/777_Vouchers/2009/11/Voucher/CPI-GL-2010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harepoint.cnfa.org\DavWWWRoot\Project%20Accounting\Archives\Archive%20Files_Vinod%20Goyal\Documents\AGP-LMD%202015-16\INVOICE%20TO%20USAID\Invoice%202017\LMD%20August%202017%20Voucher%2062\(08b)%20August%2031%202017_ETH%20Payroll%20and%20Reconciliation%20Revised%20AG.xlsx?5421C9AF" TargetMode="External"/><Relationship Id="rId1" Type="http://schemas.openxmlformats.org/officeDocument/2006/relationships/externalLinkPath" Target="file:///\\5421C9AF\(08b)%20August%2031%202017_ETH%20Payroll%20and%20Reconciliation%20Revised%20AG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personal/carlodaniel_abuyuan_usda_gov/Documents/Budget%20templates/Nofo/Revised%20Agribusiness%20Investment%20Budget_8.1.2022%20CA%20(2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Users\Karen\Desktop\Salary%20Calculation%20for%20April%202012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program%20files/eudora/attach/BUDGET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imadanat\Documents\Programs\Cameron%20FFP%202012\REV6254%20of%20Cameroon%20FFE%202012Budget%20-%20Sep%2030%20-%20Entered%20in%20FAIS%20syste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gram%20Development%20Unit\2.%20Proposals\REGIONAL%20-%20Africa\2013%20REGIS-AG\5.%20Cost%20Application\Counterpart%20REGIS-AG%20Draft%20Version%2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\MDREXLER\RFP\BUD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DAI_MOBIS%20Peru%20ADP%20Budget%20Comp%20Range%20DLB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unterpart1org-my.sharepoint.com/Budgets%20--%20Funded/Belarus/PACT/Proposed%20Revisions/08%2008%2012%20%20Pact%20Proposal%20Budget-%20ICN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SEGIR%20MACRO%20II%20-%20El%20Salvador%20Profitability%20Analysis%20Fina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Budget%20Template--AMAP-MF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WestBankGaz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Mexico%20AMAP%20Budget%20final.da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.chemonics.net\regions\eaf\Proposals\Ethiopia_SIPED_II\Cost\CPFF%20Spreadsheet%20Shell_SIPED%20II%20v9%20to%20editor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S\International\Indonesia\2004\Q1\I3R\JE%20I3R%20Mar2004%202004004%20mapping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backup3\lgasparian\Desktop\Training\Trackers%20and%20templates\Project%20Equipment%20Inventory%20Tracker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Romania%20Civil%20Society%20Strenghtening/Cost%20Application/Budget%20&amp;%20Notes/MSI/MSI%20Budge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Part%2009_DAI%20Peru%20AD%20Cost%20Proposal%20-%20Comp%20Range24nov03.lh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S\International\Indonesia\2003\Q4_2003\I3RH\I3RH-12120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FILES/RFP/MALIRC/MAL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lgasparian/Desktop/Training/Trackers%20and%20templates/Project%20Equipment%20Inventory%20Tracker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Users\lgasparian\Desktop\Training\Trackers%20and%20templates\Project%20Equipment%20Inventory%20Tracker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SENADA%20Budget%20BAFO%20II_final%20(unprotected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lgasparian/Desktop/Training/Trackers%20and%20templates/Project%20Equipment%20Inventory%20Tracker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Part%2002_Mexico%20AMAP%20Budget%20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grams/EDH/USDA602/Donor/Approvals%20(Email%20approvals)/Budget%20Amendment/Attachments%20C-3%20&amp;%20C-3%2011-07-2025/IRG%20PhP_ECA%20Budget_FIN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09\Africa\Morocco%20-%20Youth%20Education%20Program%20RFA\Submission\Morocco%20Youth%20Budget%20FIN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10\Africa\Mozambique%20-%20Integrated%20Health%20Social%20Marketing\Budget\Mozambique%20Draft%20Budget%20Dec%201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fkarim\LOCALS~1\Temp\XPgrpwise\Kosovo%20KASS%20Budget%206.16-ep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  <sheetName val="."/>
      <sheetName val="Sheet2"/>
      <sheetName val="Drop downs"/>
      <sheetName val="IRC SUMMARY"/>
      <sheetName val="Dropdown Menus"/>
      <sheetName val="ABR"/>
      <sheetName val="Key"/>
      <sheetName val="Details GG266"/>
      <sheetName val="IVAP Budget (IRC)"/>
      <sheetName val="Formula Sheet"/>
      <sheetName val="NCSC_SUMMARY"/>
      <sheetName val="NCSC_DETAIL"/>
      <sheetName val="Schedule_A"/>
      <sheetName val="Schedule_B"/>
      <sheetName val="SB_ESTIMATE"/>
      <sheetName val="IRC_SUMMARY"/>
      <sheetName val="_"/>
      <sheetName val="Dropdown_Menus"/>
      <sheetName val="Drop_downs"/>
      <sheetName val="Details_GG266"/>
      <sheetName val="Summary"/>
      <sheetName val="Range_Page6"/>
      <sheetName val="AdminNames"/>
      <sheetName val="Range_Page1"/>
      <sheetName val="Signature_sheet"/>
      <sheetName val="Pricing"/>
      <sheetName val="CODES"/>
      <sheetName val="Baseline_Calc1"/>
      <sheetName val="DropDown"/>
      <sheetName val="Config"/>
      <sheetName val="Summary_Pact"/>
      <sheetName val="Account_code_lookups-_internal"/>
      <sheetName val="Rates"/>
      <sheetName val="Option-Year2"/>
      <sheetName val="CIOSP"/>
      <sheetName val="COST___CASE1"/>
      <sheetName val="Definitions"/>
      <sheetName val="Backend_serv"/>
      <sheetName val="List"/>
      <sheetName val="Budget"/>
      <sheetName val="1411"/>
      <sheetName val="Data,Jan-Mar"/>
      <sheetName val="Data,Apr-Jun"/>
      <sheetName val="Data,Jul-Sept"/>
      <sheetName val="IRC_Format1"/>
      <sheetName val="template"/>
      <sheetName val="Detail_Pact"/>
      <sheetName val="PARAMETER"/>
      <sheetName val="Backend_drugs"/>
      <sheetName val="PARAMETRES"/>
      <sheetName val="#Lookup"/>
      <sheetName val="Budget__by_Objective2"/>
      <sheetName val="Original_Budget1"/>
      <sheetName val="Refs"/>
      <sheetName val="Lists"/>
      <sheetName val="IRC_Format-Detailed_Budget"/>
      <sheetName val="COMMITMENT_TO_BVA2"/>
      <sheetName val="TablesCodes"/>
      <sheetName val="COMMITMENT_TO_BVA1"/>
      <sheetName val="ALL_ACTUALS1"/>
      <sheetName val="Budget__by_Objective4"/>
      <sheetName val="Do_Not_Touch1"/>
      <sheetName val="1_Parameters"/>
      <sheetName val="Budget_Line_Item"/>
      <sheetName val="renvoi"/>
      <sheetName val="Summary_KE_&amp;_SO"/>
      <sheetName val="Grants_in_Pipeline"/>
      <sheetName val="Budget_Line_Item1"/>
      <sheetName val="Country_Budget_x_66"/>
      <sheetName val="Personnel_Costs"/>
      <sheetName val="Facilities"/>
      <sheetName val="insurance_current-SEPT-work"/>
      <sheetName val="Budget__by_Objective1"/>
      <sheetName val="ref1"/>
      <sheetName val="quarters"/>
      <sheetName val="Share_cost_allocation_sheet1"/>
      <sheetName val="Shared_costs_table1"/>
      <sheetName val="SDAs_impact_datasources"/>
      <sheetName val="Sdc's"/>
      <sheetName val="ALL_ACTUALS3"/>
      <sheetName val="Parameters"/>
      <sheetName val="Worksheet_1_Project_budget1"/>
      <sheetName val="Actuals"/>
      <sheetName val="Currencies"/>
      <sheetName val="paramètres"/>
      <sheetName val="CONSOLIDATED SHEET"/>
      <sheetName val="Categories"/>
      <sheetName val="2NER_SF Financial overview - Y2"/>
      <sheetName val="2NER_SF Financial overview - Y3"/>
      <sheetName val="Account"/>
      <sheetName val="Sammary"/>
      <sheetName val="Scenario 1"/>
      <sheetName val="01. Summary Comb"/>
      <sheetName val="CN28302Entry"/>
      <sheetName val="CN28302"/>
      <sheetName val="Cost Notes &amp; Analysi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</sheetNames>
    <sheetDataSet>
      <sheetData sheetId="0"/>
      <sheetData sheetId="1"/>
      <sheetData sheetId="2" refreshError="1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Notes1"/>
      <sheetName val="Budget Notes2"/>
      <sheetName val="Budget Summary-SAVE"/>
      <sheetName val="Detailed Budget-SAVE"/>
      <sheetName val="Fringes-SAVE"/>
      <sheetName val="Equipment, Materials &amp; Suppls"/>
      <sheetName val="Component 1- COMMUNITY"/>
      <sheetName val="Component 2- HEALTH SYSTEM"/>
      <sheetName val="Component 3- LG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ed"/>
      <sheetName val="JHPIEGO"/>
      <sheetName val="HKI"/>
      <sheetName val="TRG"/>
      <sheetName val="Georgetown"/>
      <sheetName val="The Mitchell Group"/>
      <sheetName val="Pop Council"/>
      <sheetName val="Prospect International"/>
      <sheetName val="EVF"/>
      <sheetName val="Training"/>
      <sheetName val="LOE"/>
      <sheetName val="Parameters"/>
      <sheetName val="Chart of Account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1a. USAID Summary Budget"/>
      <sheetName val="1b. USAID Detail Budget"/>
      <sheetName val="1c. Summary"/>
      <sheetName val="1d. Summary by CLIN"/>
      <sheetName val="2a. LOE"/>
      <sheetName val="CLIN factor"/>
      <sheetName val="2b. LOE by CLIN"/>
      <sheetName val="3a. Main Detailed"/>
      <sheetName val="3b. CLIN 1 Detailed"/>
      <sheetName val="3c. CLIN 2 Detailed"/>
      <sheetName val="3d. CLIN 3 Detailed"/>
      <sheetName val="4. Travel"/>
      <sheetName val="5. Allowances"/>
      <sheetName val="6. EVF"/>
      <sheetName val="7. Training"/>
      <sheetName val="Annex A. Quals for LT Positions"/>
      <sheetName val="Annex B. STTA Scale"/>
      <sheetName val="Annex C. Fee Percent Breakdown"/>
      <sheetName val="Annex D. Fee Breakdown"/>
      <sheetName val="1a__USAID_Summary_Budget"/>
      <sheetName val="1b__USAID_Detail_Budget"/>
      <sheetName val="1c__Summary"/>
      <sheetName val="1d__Summary_by_CLIN"/>
      <sheetName val="2a__LOE"/>
      <sheetName val="CLIN_factor"/>
      <sheetName val="2b__LOE_by_CLIN"/>
      <sheetName val="3a__Main_Detailed"/>
      <sheetName val="3b__CLIN_1_Detailed"/>
      <sheetName val="3c__CLIN_2_Detailed"/>
      <sheetName val="3d__CLIN_3_Detailed"/>
      <sheetName val="4__Travel"/>
      <sheetName val="5__Allowances"/>
      <sheetName val="6__EVF"/>
      <sheetName val="7__Training"/>
      <sheetName val="Annex_A__Quals_for_LT_Positions"/>
      <sheetName val="Annex_B__STTA_Scale"/>
      <sheetName val="Annex_C__Fee_Percent_Breakdown"/>
      <sheetName val="Annex_D__Fee_Breakdown"/>
      <sheetName val="1a__USAID_Summary_Budget1"/>
      <sheetName val="1b__USAID_Detail_Budget1"/>
      <sheetName val="1c__Summary1"/>
      <sheetName val="1d__Summary_by_CLIN1"/>
      <sheetName val="2a__LOE1"/>
      <sheetName val="CLIN_factor1"/>
      <sheetName val="2b__LOE_by_CLIN1"/>
      <sheetName val="3a__Main_Detailed1"/>
      <sheetName val="3b__CLIN_1_Detailed1"/>
      <sheetName val="3c__CLIN_2_Detailed1"/>
      <sheetName val="3d__CLIN_3_Detailed1"/>
      <sheetName val="4__Travel1"/>
      <sheetName val="5__Allowances1"/>
      <sheetName val="6__EVF1"/>
      <sheetName val="7__Training1"/>
      <sheetName val="Annex_A__Quals_for_LT_Position1"/>
      <sheetName val="Annex_B__STTA_Scale1"/>
      <sheetName val="Annex_C__Fee_Percent_Breakdown1"/>
      <sheetName val="Annex_D__Fee_Breakdow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Chart2"/>
      <sheetName val="Bill Rates"/>
      <sheetName val="#REF"/>
      <sheetName val="Actuals"/>
      <sheetName val="Profit"/>
      <sheetName val="Task 000"/>
      <sheetName val="Forecast"/>
      <sheetName val="001"/>
      <sheetName val="1618000 Roll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ummary"/>
      <sheetName val="Summary by CLIN"/>
      <sheetName val="LOE CLIN 1"/>
      <sheetName val="LOE Total"/>
      <sheetName val="Chemonics"/>
      <sheetName val="CLIN 1"/>
      <sheetName val="CLIN 2"/>
      <sheetName val="CLIN 3"/>
      <sheetName val="CLIN 4"/>
      <sheetName val="Shorebank CLIN 1"/>
      <sheetName val="IFDC CLIN 1"/>
      <sheetName val="Profitability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-Wide Fringe Benefit Calc"/>
      <sheetName val="Fringe Benefit Calc"/>
      <sheetName val="OH calc"/>
      <sheetName val="Labor Calc"/>
      <sheetName val="Notes"/>
      <sheetName val="sample fringe calc"/>
      <sheetName val="sample OH calc"/>
      <sheetName val="sample labor ca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11NH 1"/>
      <sheetName val="1111KT"/>
      <sheetName val="1111NH 2"/>
      <sheetName val="November-11"/>
      <sheetName val="December-11"/>
      <sheetName val="1211LG"/>
      <sheetName val="1211AS"/>
      <sheetName val="Increase &amp; Bonus 2011"/>
      <sheetName val="January-12"/>
      <sheetName val="0112RM"/>
      <sheetName val="February-12"/>
      <sheetName val="March-12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0512TM"/>
      <sheetName val="June-12"/>
      <sheetName val="0612MT"/>
      <sheetName val="0612VD"/>
      <sheetName val="0612AA"/>
      <sheetName val="0612MS"/>
      <sheetName val="July-12"/>
      <sheetName val="0712NH"/>
      <sheetName val="0712SS"/>
      <sheetName val="0712TM"/>
      <sheetName val="0712GM"/>
      <sheetName val="0712VA"/>
      <sheetName val="0712PY"/>
      <sheetName val="0712AM"/>
      <sheetName val="0712AP"/>
      <sheetName val="0712KH"/>
      <sheetName val="0712AA"/>
      <sheetName val="0712AD"/>
      <sheetName val="0712VD"/>
      <sheetName val="0712AS"/>
      <sheetName val="Aug-12"/>
      <sheetName val="Guards recalculation Aug-12"/>
      <sheetName val="Armen A. recalculation Aug-12"/>
      <sheetName val="0812AD"/>
      <sheetName val="0812AS"/>
      <sheetName val="0812AM"/>
      <sheetName val="0812MH"/>
      <sheetName val="0812LH"/>
      <sheetName val="0812MS"/>
      <sheetName val="0812LA"/>
      <sheetName val="0812TD"/>
      <sheetName val="0812GV"/>
      <sheetName val="0812AK"/>
      <sheetName val="0812KT"/>
      <sheetName val="0812MT"/>
      <sheetName val="Sep-12"/>
      <sheetName val="0912MH"/>
      <sheetName val="0912KH"/>
      <sheetName val="0912KH (2)"/>
      <sheetName val="0912TM"/>
      <sheetName val="Ani Melikyan 1003 Project"/>
      <sheetName val="0912GP"/>
      <sheetName val="0912VD"/>
      <sheetName val="0912SS"/>
      <sheetName val="Oct-12"/>
      <sheetName val="1012AM"/>
      <sheetName val="Nov-12"/>
      <sheetName val="Salary recalculation for KH"/>
      <sheetName val="1112LA"/>
      <sheetName val="1112NH"/>
      <sheetName val="1112RH"/>
      <sheetName val="Dec-12"/>
      <sheetName val="13-th salary for 2012"/>
      <sheetName val="Jan-13"/>
      <sheetName val="Salary recalculation for KH &amp;AA"/>
      <sheetName val="0113LG"/>
      <sheetName val="0113MT"/>
      <sheetName val="0113AM"/>
      <sheetName val="Feb-13"/>
      <sheetName val="March-13"/>
      <sheetName val="0313AM"/>
      <sheetName val="Sheet2"/>
      <sheetName val="484CR"/>
      <sheetName val="1033Cr"/>
      <sheetName val="PO 484CR"/>
      <sheetName val="PO 1033CR"/>
      <sheetName val="Sheet1"/>
      <sheetName val="Sheet1 (2)"/>
      <sheetName val="Sheet1 (3)"/>
      <sheetName val="Rounding"/>
      <sheetName val="Data-in proces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Year1"/>
      <sheetName val="Year2"/>
      <sheetName val="RATES"/>
      <sheetName val="Parameter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Voucher"/>
      <sheetName val="Sheet3"/>
      <sheetName val="Sheet2"/>
      <sheetName val="Sheet1"/>
      <sheetName val="Sheet5"/>
      <sheetName val="Nomenclatura Contab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3. LOE"/>
      <sheetName val="Links"/>
      <sheetName val="1. CLIN"/>
      <sheetName val="2. Sum-Yr"/>
      <sheetName val="4. Main"/>
      <sheetName val="5. Travel"/>
      <sheetName val="6. Allow"/>
      <sheetName val="7. EVF"/>
      <sheetName val="8. AIRD"/>
      <sheetName val="9. CARE"/>
      <sheetName val="10. IBI"/>
      <sheetName val="RATES"/>
      <sheetName val="Parameters"/>
      <sheetName val="Travel Vouche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line"/>
      <sheetName val="LOE Tracker"/>
      <sheetName val="Burn Chart"/>
      <sheetName val="INPUTS - Totals by Units"/>
      <sheetName val="INPUTS Year 1"/>
      <sheetName val="INPUTS Year 2"/>
      <sheetName val="INPUTS Year 3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arly Planner"/>
      <sheetName val="Appointments"/>
      <sheetName val="calcs"/>
      <sheetName val="TS1028023222"/>
      <sheetName val="Legend"/>
    </sheetNames>
    <definedNames>
      <definedName name="StartYear" sheetId="0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"/>
      <sheetName val="BAHODC"/>
      <sheetName val="SUB1"/>
      <sheetName val="SUB2"/>
      <sheetName val="SUB3"/>
      <sheetName val="SUB4"/>
      <sheetName val="SUB5"/>
      <sheetName val="SUB6"/>
      <sheetName val="SUB7"/>
      <sheetName val="SUB8"/>
      <sheetName val="SUB9"/>
      <sheetName val="INDIRECTS"/>
      <sheetName val="RATES"/>
      <sheetName val="read me first"/>
      <sheetName val="DCAA APPROVED INDIRECT RATES"/>
      <sheetName val="Parameter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Assumptions"/>
      <sheetName val="Summary"/>
      <sheetName val="Loaded"/>
      <sheetName val="Overall"/>
      <sheetName val="CORE"/>
      <sheetName val="Liberia"/>
      <sheetName val="Nigeria"/>
      <sheetName val="Jordan"/>
      <sheetName val="Pakistan"/>
      <sheetName val="ENE"/>
      <sheetName val="LAC"/>
      <sheetName val="ANE"/>
      <sheetName val="AFR"/>
      <sheetName val="ENE(b)"/>
      <sheetName val="LAC1"/>
      <sheetName val="LAC2"/>
      <sheetName val="ANE1"/>
      <sheetName val="ANE2"/>
      <sheetName val="ARF1"/>
      <sheetName val="ARF2"/>
      <sheetName val="ENE1"/>
      <sheetName val="ENE2"/>
      <sheetName val="Budget Notes"/>
      <sheetName val="Cost Shar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byYear"/>
      <sheetName val="Detailed"/>
      <sheetName val="LOE"/>
      <sheetName val="EVF"/>
      <sheetName val="EVF-OVC"/>
      <sheetName val="TRG"/>
      <sheetName val="Dev Assoc"/>
      <sheetName val="IGH CEIHD"/>
      <sheetName val="Porter Novelli"/>
      <sheetName val="Citizens"/>
      <sheetName val="HealthScope"/>
      <sheetName val="Parameters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RA"/>
      <sheetName val="Active Project"/>
      <sheetName val="Summary"/>
      <sheetName val="Cash Receipt by Project"/>
      <sheetName val="Cost Share"/>
      <sheetName val="Cash Adjustment"/>
      <sheetName val="Cash Receipt-Master"/>
      <sheetName val="FY19"/>
      <sheetName val="FY18"/>
      <sheetName val="FY17"/>
      <sheetName val="FY16"/>
      <sheetName val="FY15"/>
      <sheetName val="FY14"/>
      <sheetName val="FY13"/>
      <sheetName val="FY12"/>
      <sheetName val="FY11"/>
      <sheetName val="FY1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GL-Bank"/>
      <sheetName val="PT"/>
      <sheetName val="PT (2)"/>
      <sheetName val="Chart of Acc"/>
      <sheetName val="Tx-Acc"/>
      <sheetName val="Classes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ciliation"/>
      <sheetName val="Payroll August "/>
      <sheetName val="Bank Transfer CBE"/>
      <sheetName val="Income tax"/>
      <sheetName val="Tax rec."/>
      <sheetName val="Inc. tax Rec."/>
      <sheetName val="Pension"/>
      <sheetName val="Pen. rec"/>
      <sheetName val="Pension Rec."/>
      <sheetName val="Abebe Tafa "/>
      <sheetName val="Zenah Aug"/>
      <sheetName val="Severance"/>
      <sheetName val="Rec. work out"/>
      <sheetName val="July back pay"/>
      <sheetName val="Payroll July"/>
      <sheetName val="Backup Formul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udget"/>
      <sheetName val="Revised Budget - CNFA"/>
      <sheetName val="Sheet1"/>
      <sheetName val="Year 4  Projected Budget"/>
      <sheetName val="Consultancies"/>
      <sheetName val="To do"/>
      <sheetName val="100120-Nigeria-Pipeline"/>
      <sheetName val="Y4 2022 Budget Tracker"/>
      <sheetName val="Y5 2022 Budget Tracker"/>
      <sheetName val="Subs"/>
      <sheetName val="rev summary 5-31 (2)"/>
      <sheetName val="Payroll Jan22"/>
      <sheetName val="Allowances"/>
      <sheetName val="JE Austin"/>
      <sheetName val="rev summary 5-31"/>
      <sheetName val="JAA Projections Y4"/>
      <sheetName val="JAA Projections Y5"/>
      <sheetName val="Connexus"/>
      <sheetName val="FY22 Connexus Budget"/>
      <sheetName val="FY23 Connexus Budget"/>
      <sheetName val="LOE"/>
      <sheetName val="Chart of Accou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0-HA"/>
      <sheetName val="1110-HA"/>
      <sheetName val="Oct10"/>
      <sheetName val="Nov10"/>
      <sheetName val="12-10SH"/>
      <sheetName val="Ani"/>
      <sheetName val="Dec10"/>
      <sheetName val="01-11AKh"/>
      <sheetName val="01-11HM"/>
      <sheetName val="Jan11"/>
      <sheetName val="02-11HM"/>
      <sheetName val="02-11AKh"/>
      <sheetName val="02-11SH"/>
      <sheetName val="Feb11"/>
      <sheetName val="March11"/>
      <sheetName val="0411AA"/>
      <sheetName val="0411NH"/>
      <sheetName val="0411AD"/>
      <sheetName val="Apr11"/>
      <sheetName val="May-11"/>
      <sheetName val="0611VM"/>
      <sheetName val="0611NA"/>
      <sheetName val="June-11"/>
      <sheetName val="0711PY"/>
      <sheetName val="0711AM"/>
      <sheetName val="0711AD"/>
      <sheetName val="0711MS"/>
      <sheetName val="0711AsM"/>
      <sheetName val="0711MB"/>
      <sheetName val="0711GV"/>
      <sheetName val="0711HS"/>
      <sheetName val="0711AV"/>
      <sheetName val="0711AKh"/>
      <sheetName val="0711LA"/>
      <sheetName val="July-11"/>
      <sheetName val="0811AV"/>
      <sheetName val="0811AKh"/>
      <sheetName val="0811LA"/>
      <sheetName val="0811MB"/>
      <sheetName val="0811AA"/>
      <sheetName val="0811KnH"/>
      <sheetName val="0811NH"/>
      <sheetName val="0811PY"/>
      <sheetName val="0811KH"/>
      <sheetName val="0811AS"/>
      <sheetName val="0811MS"/>
      <sheetName val="0811RH"/>
      <sheetName val="0811AD"/>
      <sheetName val="0811TD"/>
      <sheetName val="0811SA"/>
      <sheetName val="August-11"/>
      <sheetName val="0911AA"/>
      <sheetName val="0911SA"/>
      <sheetName val="0911GP"/>
      <sheetName val="0911HS"/>
      <sheetName val="0911HM"/>
      <sheetName val="September-11"/>
      <sheetName val="1011AsM"/>
      <sheetName val="1011SH"/>
      <sheetName val="1011TD"/>
      <sheetName val="1011MB"/>
      <sheetName val="October-11"/>
      <sheetName val="1111NH 1"/>
      <sheetName val="1111KT"/>
      <sheetName val="1111NH 2"/>
      <sheetName val="November-11"/>
      <sheetName val="December-11"/>
      <sheetName val="1211LG"/>
      <sheetName val="1211AS"/>
      <sheetName val="January-12"/>
      <sheetName val="0112RM"/>
      <sheetName val="February-12"/>
      <sheetName val="March-12"/>
      <sheetName val="Increase &amp; Bonus 2011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484CR"/>
      <sheetName val="816Cr"/>
      <sheetName val="1000Cr"/>
      <sheetName val="PO 484CR"/>
      <sheetName val="PO 816CR"/>
      <sheetName val="PO 1000CR"/>
      <sheetName val="Data-in process"/>
      <sheetName val="Sheet1"/>
      <sheetName val="Sheet1 (2)"/>
      <sheetName val="Sheet1 (3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E"/>
      <sheetName val="Budget"/>
      <sheetName val="formulas"/>
    </sheetNames>
    <sheetDataSet>
      <sheetData sheetId="0"/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New Format Budget Y1-3"/>
      <sheetName val="Budget Summary  "/>
      <sheetName val=" Budget Y1  "/>
      <sheetName val="Budget Y2"/>
      <sheetName val="Budget Y3"/>
      <sheetName val="Drp Down Menu lists "/>
      <sheetName val="HK Budget"/>
      <sheetName val="Pricing Table"/>
      <sheetName val="LOE"/>
      <sheetName val="Activity - Detailed Budget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 Burkina Faso"/>
      <sheetName val="DETAIL Niger"/>
      <sheetName val="Travel Table"/>
      <sheetName val="Training"/>
      <sheetName val="NXP"/>
      <sheetName val="DETAIL_Burkina_Fas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ong-term project staff"/>
      <sheetName val="Short Term Technical Assistance"/>
      <sheetName val="Travel"/>
      <sheetName val="Other Direct Costs"/>
      <sheetName val="Allowances"/>
      <sheetName val="EDP"/>
      <sheetName val="formulas"/>
      <sheetName val="Long-term_project_staff"/>
      <sheetName val="Short_Term_Technical_Assistance"/>
      <sheetName val="Other_Direct_Costs"/>
      <sheetName val="Long-term_project_staff1"/>
      <sheetName val="Short_Term_Technical_Assistanc1"/>
      <sheetName val="Other_Direct_Cost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Review"/>
      <sheetName val="MOBIS Schedule-Salary Analysis"/>
      <sheetName val="Summary by Year"/>
      <sheetName val="Summary by CLIN"/>
      <sheetName val="Staffing List"/>
      <sheetName val="Profitability"/>
      <sheetName val="Schedule Items-Labor"/>
      <sheetName val="Summary-Non-Labor"/>
      <sheetName val="Schedule Items-Other"/>
      <sheetName val="Non-Sch ODCs"/>
      <sheetName val="Procurement"/>
      <sheetName val="Local Travel "/>
      <sheetName val="Project Activity ODCs"/>
      <sheetName val="CLIN Ref"/>
      <sheetName val="DAI CLIN 1"/>
      <sheetName val="DAI CLIN 2"/>
      <sheetName val="DAI CLIN 3"/>
      <sheetName val="DAI CLIN 4"/>
      <sheetName val="Assumptions"/>
      <sheetName val="MOBIS Labor Categories"/>
      <sheetName val="MOBIS Schedule"/>
      <sheetName val="MOBIS Sch Expat"/>
      <sheetName val="MOBIS Schedule CCN "/>
      <sheetName val="Referenc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SF424"/>
      <sheetName val="SF424A1"/>
      <sheetName val="SF424A2"/>
      <sheetName val="Links"/>
    </sheetNames>
    <sheetDataSet>
      <sheetData sheetId="0">
        <row r="1">
          <cell r="J1">
            <v>1.05</v>
          </cell>
        </row>
      </sheetData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Review"/>
      <sheetName val="Profitability"/>
      <sheetName val="Summary"/>
      <sheetName val="DAI Budget "/>
      <sheetName val="DevTech"/>
      <sheetName val="The M Group "/>
      <sheetName val="Office"/>
      <sheetName val="US FBR"/>
      <sheetName val="Assumptions"/>
      <sheetName val="Schedule Items-Labo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MAP-MF"/>
      <sheetName val="DAI Budget "/>
      <sheetName val="Pricing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AP-MF"/>
      <sheetName val="IT Specs"/>
      <sheetName val="Office Gear"/>
      <sheetName val="Assumptions"/>
      <sheetName val="Summary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ervice Revenue"/>
      <sheetName val="Profitabilit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AMAP-M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arameters"/>
      <sheetName val="Back of Envelope"/>
      <sheetName val="1A. USAID Summary"/>
      <sheetName val="1B. Summary"/>
      <sheetName val="2. LOE"/>
      <sheetName val="3. Main Detailed"/>
      <sheetName val="4. Travel"/>
      <sheetName val="5. Allowances"/>
      <sheetName val="6. EVF"/>
      <sheetName val="7. CRS"/>
      <sheetName val="Subplan Goal Estimator"/>
      <sheetName val="Profit Analysis"/>
      <sheetName val="Unallowable Costs"/>
      <sheetName val="Back_of_Envelope"/>
      <sheetName val="1A__USAID_Summary"/>
      <sheetName val="1B__Summary"/>
      <sheetName val="2__LOE"/>
      <sheetName val="3__Main_Detailed"/>
      <sheetName val="4__Travel"/>
      <sheetName val="5__Allowances"/>
      <sheetName val="6__EVF"/>
      <sheetName val="7__CRS"/>
      <sheetName val="Subplan_Goal_Estimator"/>
      <sheetName val="Profit_Analysis"/>
      <sheetName val="Unallowable_Costs"/>
      <sheetName val="Back_of_Envelope1"/>
      <sheetName val="1A__USAID_Summary1"/>
      <sheetName val="1B__Summary1"/>
      <sheetName val="2__LOE1"/>
      <sheetName val="3__Main_Detailed1"/>
      <sheetName val="4__Travel1"/>
      <sheetName val="5__Allowances1"/>
      <sheetName val="6__EVF1"/>
      <sheetName val="7__CRS1"/>
      <sheetName val="Subplan_Goal_Estimator1"/>
      <sheetName val="Profit_Analysis1"/>
      <sheetName val="Unallowable_Costs1"/>
      <sheetName val="Back_of_Envelope2"/>
      <sheetName val="1A__USAID_Summary2"/>
      <sheetName val="1B__Summary2"/>
      <sheetName val="2__LOE2"/>
      <sheetName val="3__Main_Detailed2"/>
      <sheetName val="4__Travel2"/>
      <sheetName val="5__Allowances2"/>
      <sheetName val="6__EVF2"/>
      <sheetName val="7__CRS2"/>
      <sheetName val="Subplan_Goal_Estimator2"/>
      <sheetName val="Profit_Analysis2"/>
      <sheetName val="Unallowable_Cost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 Entry"/>
      <sheetName val="mapping"/>
      <sheetName val="Categories"/>
      <sheetName val="TRANSACTION I3R Mar 2004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udget"/>
      <sheetName val="Info"/>
      <sheetName val="Summary_Budget"/>
    </sheetNames>
    <sheetDataSet>
      <sheetData sheetId="0"/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Comp"/>
      <sheetName val="Summary by Year"/>
      <sheetName val="Summary by CLIN"/>
      <sheetName val="Summary Fee"/>
      <sheetName val="CLIN 1 Fee"/>
      <sheetName val="CLIN 2 Fee "/>
      <sheetName val="CLIN 3 Fee"/>
      <sheetName val="CLIN 4 Fee"/>
      <sheetName val="CLIN 5 Fee "/>
      <sheetName val="LABOR SUMMARY by CLIN"/>
      <sheetName val="Prof Labor by Year"/>
      <sheetName val="CCN Rates"/>
      <sheetName val="Prof Labor by CLIN"/>
      <sheetName val="Service &amp; Support Staff by Year"/>
      <sheetName val="Service &amp; Support by CLIN "/>
      <sheetName val="Fringe-US Expats by Year"/>
      <sheetName val="Fringe-US Expats by CLIN"/>
      <sheetName val="Social Charges-CCN by Year"/>
      <sheetName val="Social Charges-CCNs by CLIN"/>
      <sheetName val="Social Charges-S&amp;S by Year"/>
      <sheetName val="Social Charges-S&amp;S by CLIN"/>
      <sheetName val="Overhead-Prof Labor by Year"/>
      <sheetName val="Overhead-Prof Labor by CLIN"/>
      <sheetName val="Local Labor by Year"/>
      <sheetName val="Local Labor by CLIN"/>
      <sheetName val="LOCAL OH&amp;Soc. Costs"/>
      <sheetName val="Post Diff by Year"/>
      <sheetName val="Post Diff by CLIN"/>
      <sheetName val="Post Allow by Year"/>
      <sheetName val="Post Allow by CLIN"/>
      <sheetName val="Danger Pay by Year"/>
      <sheetName val="Danger Pay by CLIN"/>
      <sheetName val=" DBA-FGL by Year"/>
      <sheetName val=" DBA-FGL by CLIN"/>
      <sheetName val="US Allow by Year"/>
      <sheetName val="US Allow by CLIN"/>
      <sheetName val=" Travel-Start-up"/>
      <sheetName val="Local Travel by Year"/>
      <sheetName val=" Int'l Travel by Year"/>
      <sheetName val="Travel by CLIN"/>
      <sheetName val=" Program Support Costs"/>
      <sheetName val="Program Support Detail"/>
      <sheetName val="Computer Equipment"/>
      <sheetName val="Office Gear"/>
      <sheetName val="G&amp; C by Year"/>
      <sheetName val="G&amp;C by CLIN"/>
      <sheetName val="G&amp;C Detail"/>
      <sheetName val="Annex B Mtg-Wsho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TRIAL"/>
      <sheetName val="02CASH BANK"/>
      <sheetName val="03PAYABLE"/>
      <sheetName val="04EXPEND"/>
      <sheetName val="05TRA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 Values"/>
      <sheetName val="Formula_Values"/>
      <sheetName val="formulas"/>
      <sheetName val="Info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ob Cost"/>
      <sheetName val="Michael T."/>
      <sheetName val="COMPENSATION"/>
      <sheetName val="DAI Summary (CPFF)"/>
      <sheetName val="Salaries (CPFF)"/>
      <sheetName val="Fringe"/>
      <sheetName val="Overhead"/>
      <sheetName val="Gross Margin"/>
      <sheetName val="Profit Sum"/>
      <sheetName val="Labor Profit"/>
      <sheetName val="LOE Totals"/>
      <sheetName val="Sum By Yr"/>
      <sheetName val="Sum By Component"/>
      <sheetName val="Budget Comp 1"/>
      <sheetName val="Budget Comp 2 "/>
      <sheetName val="Budget Comp 3"/>
      <sheetName val="Budget Comp 4"/>
      <sheetName val="Budget Comp 5"/>
      <sheetName val="Est. Labor LOE by Comp."/>
      <sheetName val="ODCs"/>
      <sheetName val="Travel"/>
      <sheetName val="Allowances"/>
      <sheetName val="Training"/>
      <sheetName val="Equipment"/>
      <sheetName val="Severence Pay"/>
      <sheetName val="OTF Sum"/>
      <sheetName val="WRI Sum"/>
      <sheetName val="changes"/>
      <sheetName val="Changes2"/>
      <sheetName val="Assumptions"/>
      <sheetName val="Labor By Comp"/>
      <sheetName val="MOBIS Days"/>
      <sheetName val="Salaries"/>
      <sheetName val="TQSA Calc"/>
      <sheetName val="HH Exp Calc"/>
      <sheetName val="OTF Budget"/>
      <sheetName val="WRI Budget"/>
      <sheetName val="MOBIS Schedule"/>
      <sheetName val="Subcontracts"/>
      <sheetName val="IRM (old)"/>
      <sheetName val="IRM (dai)"/>
      <sheetName val="PACT (ol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 Program Support Co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SF 1411"/>
      <sheetName val="Budget Summary by Cost Element"/>
      <sheetName val="LTTA and STTA Summary"/>
      <sheetName val="Summary Staffing Matrix"/>
      <sheetName val="5-Year Detailed Budget Estimate"/>
      <sheetName val="Rate Approval Request"/>
      <sheetName val="CCN Social Cost Estimate"/>
      <sheetName val="Travel Fares Analysis"/>
      <sheetName val="IRG Inflation &amp; Merit Factors"/>
      <sheetName val="IQC Labor categories"/>
      <sheetName val="Graph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F424"/>
      <sheetName val="SF424-A"/>
      <sheetName val="SUMMARY"/>
      <sheetName val="DETAIL"/>
    </sheetNames>
    <sheetDataSet>
      <sheetData sheetId="0"/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F424A"/>
      <sheetName val="SF424"/>
      <sheetName val="SUMMARY"/>
      <sheetName val="DETAIL"/>
      <sheetName val="STTA LOE"/>
      <sheetName val="STTA_LOE"/>
      <sheetName val="STTA_LOE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D SUMMARY BUDGET"/>
      <sheetName val="AED DETAILED BUDGET"/>
      <sheetName val="AED EQUIPMENT SCHEDULE"/>
      <sheetName val="KEC"/>
      <sheetName val="AED_SUMMARY_BUDGET"/>
      <sheetName val="AED_DETAILED_BUDGET"/>
      <sheetName val="AED_EQUIPMENT_SCHEDULE"/>
      <sheetName val="AED_SUMMARY_BUDGET1"/>
      <sheetName val="AED_DETAILED_BUDGET1"/>
      <sheetName val="AED_EQUIPMENT_SCHEDULE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3"/>
  <sheetViews>
    <sheetView topLeftCell="A36" zoomScale="85" zoomScaleNormal="85" workbookViewId="0">
      <selection activeCell="L33" sqref="L33"/>
    </sheetView>
  </sheetViews>
  <sheetFormatPr defaultColWidth="8.71875" defaultRowHeight="12.6"/>
  <cols>
    <col min="1" max="1" width="62.5546875" style="5" customWidth="1"/>
    <col min="2" max="2" width="19.27734375" style="58" customWidth="1"/>
    <col min="3" max="3" width="16" style="5" customWidth="1"/>
    <col min="4" max="4" width="15.5546875" style="5" customWidth="1"/>
    <col min="5" max="5" width="18.44140625" style="5" customWidth="1"/>
    <col min="6" max="6" width="17.71875" style="5" bestFit="1" customWidth="1"/>
    <col min="7" max="8" width="9.1640625" style="5" bestFit="1" customWidth="1"/>
    <col min="9" max="16384" width="8.71875" style="5"/>
  </cols>
  <sheetData>
    <row r="1" spans="1:6" ht="15">
      <c r="A1" s="568" t="s">
        <v>0</v>
      </c>
      <c r="B1" s="568"/>
      <c r="C1" s="568"/>
      <c r="D1" s="568"/>
      <c r="E1" s="568"/>
      <c r="F1" s="568"/>
    </row>
    <row r="2" spans="1:6" ht="15">
      <c r="A2" s="568" t="s">
        <v>1</v>
      </c>
      <c r="B2" s="568"/>
      <c r="C2" s="568"/>
      <c r="D2" s="568"/>
      <c r="E2" s="568"/>
      <c r="F2" s="568"/>
    </row>
    <row r="3" spans="1:6" ht="15.3">
      <c r="A3" s="360"/>
      <c r="B3" s="361"/>
      <c r="C3" s="360"/>
      <c r="D3" s="362"/>
      <c r="E3" s="360"/>
      <c r="F3" s="360"/>
    </row>
    <row r="4" spans="1:6" ht="15.3">
      <c r="A4" s="363" t="s">
        <v>2</v>
      </c>
      <c r="B4" s="364" t="s">
        <v>3</v>
      </c>
      <c r="C4" s="360"/>
      <c r="D4" s="362"/>
      <c r="E4" s="360"/>
      <c r="F4" s="360"/>
    </row>
    <row r="5" spans="1:6" ht="15.3">
      <c r="A5" s="363" t="s">
        <v>4</v>
      </c>
      <c r="B5" s="364" t="s">
        <v>5</v>
      </c>
      <c r="C5" s="360"/>
      <c r="D5" s="362"/>
      <c r="E5" s="360"/>
      <c r="F5" s="360"/>
    </row>
    <row r="6" spans="1:6" ht="15.3">
      <c r="A6" s="363" t="s">
        <v>6</v>
      </c>
      <c r="B6" s="364" t="s">
        <v>7</v>
      </c>
      <c r="C6" s="360"/>
      <c r="D6" s="362"/>
      <c r="E6" s="360"/>
      <c r="F6" s="360"/>
    </row>
    <row r="7" spans="1:6" ht="15.3">
      <c r="A7" s="363" t="s">
        <v>8</v>
      </c>
      <c r="B7" s="365" t="s">
        <v>9</v>
      </c>
      <c r="C7" s="360"/>
      <c r="D7" s="362"/>
      <c r="E7" s="360"/>
      <c r="F7" s="360"/>
    </row>
    <row r="8" spans="1:6" ht="15.3">
      <c r="A8" s="363" t="s">
        <v>10</v>
      </c>
      <c r="B8" s="364" t="s">
        <v>11</v>
      </c>
      <c r="C8" s="360"/>
      <c r="D8" s="362"/>
      <c r="E8" s="360"/>
      <c r="F8" s="360"/>
    </row>
    <row r="9" spans="1:6" ht="15.3">
      <c r="A9" s="360"/>
      <c r="B9" s="361"/>
      <c r="C9" s="360"/>
      <c r="D9" s="362"/>
      <c r="E9" s="360"/>
      <c r="F9" s="360"/>
    </row>
    <row r="10" spans="1:6" ht="15">
      <c r="A10" s="569" t="s">
        <v>12</v>
      </c>
      <c r="B10" s="569"/>
      <c r="C10" s="569"/>
      <c r="D10" s="569"/>
      <c r="E10" s="569"/>
      <c r="F10" s="569"/>
    </row>
    <row r="11" spans="1:6" ht="45">
      <c r="A11" s="366" t="s">
        <v>13</v>
      </c>
      <c r="B11" s="367" t="s">
        <v>14</v>
      </c>
      <c r="C11" s="366" t="s">
        <v>15</v>
      </c>
      <c r="D11" s="368" t="s">
        <v>16</v>
      </c>
      <c r="E11" s="368" t="s">
        <v>17</v>
      </c>
      <c r="F11" s="366" t="s">
        <v>18</v>
      </c>
    </row>
    <row r="12" spans="1:6" ht="15.3">
      <c r="A12" s="369"/>
      <c r="B12" s="370" t="s">
        <v>9</v>
      </c>
      <c r="C12" s="371">
        <v>19350000</v>
      </c>
      <c r="D12" s="372">
        <v>4000000</v>
      </c>
      <c r="E12" s="372">
        <v>1500000</v>
      </c>
      <c r="F12" s="371">
        <f>E12+D12+C12</f>
        <v>24850000</v>
      </c>
    </row>
    <row r="13" spans="1:6" ht="15.3">
      <c r="A13" s="373"/>
      <c r="B13" s="374"/>
      <c r="C13" s="374"/>
      <c r="D13" s="375"/>
      <c r="E13" s="375"/>
      <c r="F13" s="376"/>
    </row>
    <row r="14" spans="1:6" ht="15">
      <c r="A14" s="569" t="s">
        <v>19</v>
      </c>
      <c r="B14" s="569"/>
      <c r="C14" s="569"/>
      <c r="D14" s="569"/>
      <c r="E14" s="569"/>
      <c r="F14" s="569"/>
    </row>
    <row r="15" spans="1:6" ht="45">
      <c r="A15" s="377" t="s">
        <v>20</v>
      </c>
      <c r="B15" s="378" t="s">
        <v>21</v>
      </c>
      <c r="C15" s="377" t="s">
        <v>22</v>
      </c>
      <c r="D15" s="379" t="s">
        <v>23</v>
      </c>
      <c r="E15" s="377" t="s">
        <v>24</v>
      </c>
      <c r="F15" s="377" t="s">
        <v>25</v>
      </c>
    </row>
    <row r="16" spans="1:6" ht="15.3">
      <c r="A16" s="570" t="s">
        <v>26</v>
      </c>
      <c r="B16" s="571"/>
      <c r="C16" s="571"/>
      <c r="D16" s="571"/>
      <c r="E16" s="571"/>
      <c r="F16" s="572"/>
    </row>
    <row r="17" spans="1:8" ht="15.3">
      <c r="A17" s="380" t="s">
        <v>27</v>
      </c>
      <c r="B17" s="381">
        <f>'Program Budget'!V37-C17</f>
        <v>520668.28924479173</v>
      </c>
      <c r="C17" s="429">
        <v>577000</v>
      </c>
      <c r="D17" s="382">
        <f>'Program Budget'!W37</f>
        <v>0</v>
      </c>
      <c r="E17" s="381">
        <f>B17+C17</f>
        <v>1097668.2892447917</v>
      </c>
      <c r="F17" s="381">
        <f>B17+C17+D17</f>
        <v>1097668.2892447917</v>
      </c>
    </row>
    <row r="18" spans="1:8" ht="15.3">
      <c r="A18" s="380" t="s">
        <v>28</v>
      </c>
      <c r="B18" s="381">
        <f>'Program Budget'!V43-C18</f>
        <v>112887.37357450521</v>
      </c>
      <c r="C18" s="381">
        <v>244128</v>
      </c>
      <c r="D18" s="382">
        <f>'Program Budget'!W43</f>
        <v>0</v>
      </c>
      <c r="E18" s="381">
        <f t="shared" ref="E18:E24" si="0">B18+C18</f>
        <v>357015.37357450521</v>
      </c>
      <c r="F18" s="381">
        <f t="shared" ref="F18:F24" si="1">B18+C18+D18</f>
        <v>357015.37357450521</v>
      </c>
      <c r="G18" s="428"/>
      <c r="H18" s="428"/>
    </row>
    <row r="19" spans="1:8" ht="15.3">
      <c r="A19" s="380" t="s">
        <v>29</v>
      </c>
      <c r="B19" s="381">
        <f>'Program Budget'!V60-C19</f>
        <v>297871.00328674004</v>
      </c>
      <c r="C19" s="429">
        <v>20789.12</v>
      </c>
      <c r="D19" s="382">
        <f>'Program Budget'!W60</f>
        <v>0</v>
      </c>
      <c r="E19" s="381">
        <f t="shared" si="0"/>
        <v>318660.12328674004</v>
      </c>
      <c r="F19" s="381">
        <f t="shared" si="1"/>
        <v>318660.12328674004</v>
      </c>
    </row>
    <row r="20" spans="1:8" ht="15.3">
      <c r="A20" s="380" t="s">
        <v>30</v>
      </c>
      <c r="B20" s="381">
        <f>'Program Budget'!V86-C20</f>
        <v>1215333.8237999999</v>
      </c>
      <c r="C20" s="429">
        <v>293800</v>
      </c>
      <c r="D20" s="382">
        <f>'Program Budget'!W86</f>
        <v>0</v>
      </c>
      <c r="E20" s="381">
        <f t="shared" si="0"/>
        <v>1509133.8237999999</v>
      </c>
      <c r="F20" s="381">
        <f t="shared" si="1"/>
        <v>1509133.8237999999</v>
      </c>
    </row>
    <row r="21" spans="1:8" ht="15.3">
      <c r="A21" s="380" t="s">
        <v>31</v>
      </c>
      <c r="B21" s="381">
        <f>'Program Budget'!V91-C21</f>
        <v>180000</v>
      </c>
      <c r="C21" s="429">
        <v>0</v>
      </c>
      <c r="D21" s="382">
        <f>'Program Budget'!W91</f>
        <v>0</v>
      </c>
      <c r="E21" s="381">
        <f t="shared" si="0"/>
        <v>180000</v>
      </c>
      <c r="F21" s="381">
        <f t="shared" si="1"/>
        <v>180000</v>
      </c>
    </row>
    <row r="22" spans="1:8" ht="15.3">
      <c r="A22" s="380" t="s">
        <v>32</v>
      </c>
      <c r="B22" s="381">
        <f>'Program Budget'!V110-C22</f>
        <v>438775.83808135008</v>
      </c>
      <c r="C22" s="429">
        <v>12000</v>
      </c>
      <c r="D22" s="382">
        <f>'Program Budget'!W110</f>
        <v>0</v>
      </c>
      <c r="E22" s="381">
        <f t="shared" si="0"/>
        <v>450775.83808135008</v>
      </c>
      <c r="F22" s="381">
        <f t="shared" si="1"/>
        <v>450775.83808135008</v>
      </c>
    </row>
    <row r="23" spans="1:8" ht="15.3">
      <c r="A23" s="380" t="s">
        <v>33</v>
      </c>
      <c r="B23" s="381">
        <f>'Program Budget'!V125-C23</f>
        <v>64091.970022500012</v>
      </c>
      <c r="C23" s="429">
        <v>18600</v>
      </c>
      <c r="D23" s="382">
        <f>'Program Budget'!W125</f>
        <v>0</v>
      </c>
      <c r="E23" s="381">
        <f t="shared" si="0"/>
        <v>82691.970022500012</v>
      </c>
      <c r="F23" s="381">
        <f t="shared" si="1"/>
        <v>82691.970022500012</v>
      </c>
    </row>
    <row r="24" spans="1:8" ht="15.3">
      <c r="A24" s="380" t="s">
        <v>34</v>
      </c>
      <c r="B24" s="381">
        <f>'Program Budget'!V135-C24</f>
        <v>57728.879947750007</v>
      </c>
      <c r="C24" s="429">
        <v>3000</v>
      </c>
      <c r="D24" s="382">
        <v>0</v>
      </c>
      <c r="E24" s="381">
        <f t="shared" si="0"/>
        <v>60728.879947750007</v>
      </c>
      <c r="F24" s="381">
        <f t="shared" si="1"/>
        <v>60728.879947750007</v>
      </c>
    </row>
    <row r="25" spans="1:8" s="30" customFormat="1" ht="15">
      <c r="A25" s="383" t="s">
        <v>35</v>
      </c>
      <c r="B25" s="384">
        <f>SUM(B17:B24)</f>
        <v>2887357.1779576368</v>
      </c>
      <c r="C25" s="384">
        <f>SUM(C17:C24)</f>
        <v>1169317.1200000001</v>
      </c>
      <c r="D25" s="384">
        <f>SUM(D17:D24)</f>
        <v>0</v>
      </c>
      <c r="E25" s="384">
        <f>SUM(E17:E24)</f>
        <v>4056674.2979576369</v>
      </c>
      <c r="F25" s="384">
        <f>SUM(F17:F24)</f>
        <v>4056674.2979576369</v>
      </c>
    </row>
    <row r="26" spans="1:8" ht="15.3">
      <c r="A26" s="573"/>
      <c r="B26" s="573"/>
      <c r="C26" s="573"/>
      <c r="D26" s="573"/>
      <c r="E26" s="573"/>
      <c r="F26" s="385"/>
    </row>
    <row r="27" spans="1:8" ht="15.3">
      <c r="A27" s="574" t="s">
        <v>36</v>
      </c>
      <c r="B27" s="571"/>
      <c r="C27" s="571"/>
      <c r="D27" s="571"/>
      <c r="E27" s="571"/>
      <c r="F27" s="575"/>
    </row>
    <row r="28" spans="1:8" ht="30.6">
      <c r="A28" s="386" t="s">
        <v>37</v>
      </c>
      <c r="B28" s="387">
        <f>'Program Budget'!V211</f>
        <v>3860925.1304944386</v>
      </c>
      <c r="C28" s="387">
        <v>0</v>
      </c>
      <c r="D28" s="387">
        <f>'Program Budget'!W211</f>
        <v>96476</v>
      </c>
      <c r="E28" s="387">
        <f>B28+C28</f>
        <v>3860925.1304944386</v>
      </c>
      <c r="F28" s="387">
        <f t="shared" ref="F28:F29" si="2">B28+C28+D28</f>
        <v>3957401.1304944386</v>
      </c>
    </row>
    <row r="29" spans="1:8" ht="15.3">
      <c r="A29" s="386" t="s">
        <v>38</v>
      </c>
      <c r="B29" s="387">
        <f>'Program Budget'!V282</f>
        <v>2395689.2992801252</v>
      </c>
      <c r="C29" s="387">
        <v>0</v>
      </c>
      <c r="D29" s="387">
        <f>'Program Budget'!W282</f>
        <v>165000</v>
      </c>
      <c r="E29" s="387">
        <f t="shared" ref="E29:E30" si="3">B29+C29</f>
        <v>2395689.2992801252</v>
      </c>
      <c r="F29" s="387">
        <f t="shared" si="2"/>
        <v>2560689.2992801252</v>
      </c>
    </row>
    <row r="30" spans="1:8" ht="30.6">
      <c r="A30" s="386" t="s">
        <v>39</v>
      </c>
      <c r="B30" s="387">
        <f>'Program Budget'!V379</f>
        <v>2938971.9493847722</v>
      </c>
      <c r="C30" s="387">
        <v>0</v>
      </c>
      <c r="D30" s="387">
        <f>ROUND('Program Budget'!W379,0)</f>
        <v>43750</v>
      </c>
      <c r="E30" s="387">
        <f t="shared" si="3"/>
        <v>2938971.9493847722</v>
      </c>
      <c r="F30" s="387">
        <f>B30+C30+D30</f>
        <v>2982721.9493847722</v>
      </c>
    </row>
    <row r="31" spans="1:8" s="30" customFormat="1" ht="15">
      <c r="A31" s="388" t="s">
        <v>40</v>
      </c>
      <c r="B31" s="389">
        <f>SUM(B28:B30)</f>
        <v>9195586.379159335</v>
      </c>
      <c r="C31" s="389">
        <f>SUM(C28:C30)</f>
        <v>0</v>
      </c>
      <c r="D31" s="390">
        <f>SUM(D28:D30)</f>
        <v>305226</v>
      </c>
      <c r="E31" s="389">
        <f>SUM(E28:E30)</f>
        <v>9195586.379159335</v>
      </c>
      <c r="F31" s="389">
        <f>SUM(F28:F30)</f>
        <v>9500812.379159335</v>
      </c>
    </row>
    <row r="32" spans="1:8" ht="15.3">
      <c r="A32" s="391"/>
      <c r="B32" s="385"/>
      <c r="C32" s="392"/>
      <c r="D32" s="393"/>
      <c r="E32" s="385"/>
      <c r="F32" s="385"/>
    </row>
    <row r="33" spans="1:6" ht="15.3">
      <c r="A33" s="574" t="s">
        <v>41</v>
      </c>
      <c r="B33" s="576"/>
      <c r="C33" s="576"/>
      <c r="D33" s="576"/>
      <c r="E33" s="576"/>
      <c r="F33" s="575"/>
    </row>
    <row r="34" spans="1:6" ht="15.3">
      <c r="A34" s="394" t="s">
        <v>42</v>
      </c>
      <c r="B34" s="387">
        <v>0</v>
      </c>
      <c r="C34" s="395">
        <v>0</v>
      </c>
      <c r="D34" s="396">
        <v>0</v>
      </c>
      <c r="E34" s="387">
        <f>B34+C34</f>
        <v>0</v>
      </c>
      <c r="F34" s="387">
        <f>B34+C34+D34</f>
        <v>0</v>
      </c>
    </row>
    <row r="35" spans="1:6" ht="15.3">
      <c r="A35" s="397" t="s">
        <v>43</v>
      </c>
      <c r="B35" s="398"/>
      <c r="C35" s="398"/>
      <c r="D35" s="398"/>
      <c r="E35" s="398"/>
      <c r="F35" s="398"/>
    </row>
    <row r="36" spans="1:6" ht="15.3">
      <c r="A36" s="397" t="s">
        <v>44</v>
      </c>
      <c r="B36" s="398"/>
      <c r="C36" s="398"/>
      <c r="D36" s="398"/>
      <c r="E36" s="398"/>
      <c r="F36" s="398"/>
    </row>
    <row r="37" spans="1:6" s="30" customFormat="1" ht="15">
      <c r="A37" s="388" t="s">
        <v>45</v>
      </c>
      <c r="B37" s="389">
        <f>SUM(B34:B36)</f>
        <v>0</v>
      </c>
      <c r="C37" s="389">
        <f>SUM(C34:C36)</f>
        <v>0</v>
      </c>
      <c r="D37" s="389">
        <f>SUM(D34:D36)</f>
        <v>0</v>
      </c>
      <c r="E37" s="389">
        <f>SUM(E34:E36)</f>
        <v>0</v>
      </c>
      <c r="F37" s="389">
        <f>SUM(F34:F36)</f>
        <v>0</v>
      </c>
    </row>
    <row r="38" spans="1:6" ht="15.3">
      <c r="A38" s="391"/>
      <c r="B38" s="385"/>
      <c r="C38" s="392"/>
      <c r="D38" s="393"/>
      <c r="E38" s="385"/>
      <c r="F38" s="385"/>
    </row>
    <row r="39" spans="1:6" ht="15.3">
      <c r="A39" s="574" t="s">
        <v>46</v>
      </c>
      <c r="B39" s="571"/>
      <c r="C39" s="571"/>
      <c r="D39" s="571"/>
      <c r="E39" s="571"/>
      <c r="F39" s="575"/>
    </row>
    <row r="40" spans="1:6" ht="15.3">
      <c r="A40" s="399" t="s">
        <v>47</v>
      </c>
      <c r="B40" s="387">
        <v>0</v>
      </c>
      <c r="C40" s="387">
        <v>0</v>
      </c>
      <c r="D40" s="396">
        <v>0</v>
      </c>
      <c r="E40" s="387">
        <f t="shared" ref="E40:E46" si="4">B40+C40</f>
        <v>0</v>
      </c>
      <c r="F40" s="387">
        <f>B40+C40+D40</f>
        <v>0</v>
      </c>
    </row>
    <row r="41" spans="1:6" ht="15.3">
      <c r="A41" s="386" t="s">
        <v>28</v>
      </c>
      <c r="B41" s="387">
        <v>0</v>
      </c>
      <c r="C41" s="387">
        <v>0</v>
      </c>
      <c r="D41" s="396">
        <v>0</v>
      </c>
      <c r="E41" s="387">
        <f t="shared" si="4"/>
        <v>0</v>
      </c>
      <c r="F41" s="387">
        <f t="shared" ref="F41:F46" si="5">B41+C41+D41</f>
        <v>0</v>
      </c>
    </row>
    <row r="42" spans="1:6" ht="15.3">
      <c r="A42" s="386" t="s">
        <v>48</v>
      </c>
      <c r="B42" s="387">
        <v>0</v>
      </c>
      <c r="C42" s="387">
        <v>0</v>
      </c>
      <c r="D42" s="396">
        <v>0</v>
      </c>
      <c r="E42" s="387">
        <f t="shared" si="4"/>
        <v>0</v>
      </c>
      <c r="F42" s="387">
        <f t="shared" si="5"/>
        <v>0</v>
      </c>
    </row>
    <row r="43" spans="1:6" ht="15.3">
      <c r="A43" s="386" t="s">
        <v>49</v>
      </c>
      <c r="B43" s="387">
        <v>0</v>
      </c>
      <c r="C43" s="387">
        <v>0</v>
      </c>
      <c r="D43" s="396">
        <f>0</f>
        <v>0</v>
      </c>
      <c r="E43" s="387">
        <f t="shared" si="4"/>
        <v>0</v>
      </c>
      <c r="F43" s="387">
        <f t="shared" si="5"/>
        <v>0</v>
      </c>
    </row>
    <row r="44" spans="1:6" ht="15.3">
      <c r="A44" s="386" t="s">
        <v>50</v>
      </c>
      <c r="B44" s="387">
        <v>0</v>
      </c>
      <c r="C44" s="387">
        <v>0</v>
      </c>
      <c r="D44" s="396">
        <v>0</v>
      </c>
      <c r="E44" s="387">
        <f t="shared" si="4"/>
        <v>0</v>
      </c>
      <c r="F44" s="387">
        <f t="shared" si="5"/>
        <v>0</v>
      </c>
    </row>
    <row r="45" spans="1:6" ht="15.3">
      <c r="A45" s="386" t="s">
        <v>33</v>
      </c>
      <c r="B45" s="387">
        <v>0</v>
      </c>
      <c r="C45" s="387">
        <v>0</v>
      </c>
      <c r="D45" s="396">
        <v>0</v>
      </c>
      <c r="E45" s="387">
        <f t="shared" si="4"/>
        <v>0</v>
      </c>
      <c r="F45" s="387">
        <f t="shared" si="5"/>
        <v>0</v>
      </c>
    </row>
    <row r="46" spans="1:6" ht="15.3">
      <c r="A46" s="386" t="s">
        <v>34</v>
      </c>
      <c r="B46" s="387">
        <v>0</v>
      </c>
      <c r="C46" s="387">
        <v>0</v>
      </c>
      <c r="D46" s="396">
        <v>0</v>
      </c>
      <c r="E46" s="387">
        <f t="shared" si="4"/>
        <v>0</v>
      </c>
      <c r="F46" s="387">
        <f t="shared" si="5"/>
        <v>0</v>
      </c>
    </row>
    <row r="47" spans="1:6" s="30" customFormat="1" ht="15">
      <c r="A47" s="400" t="s">
        <v>51</v>
      </c>
      <c r="B47" s="389">
        <f>SUM(B40:B46)</f>
        <v>0</v>
      </c>
      <c r="C47" s="389">
        <v>0</v>
      </c>
      <c r="D47" s="390">
        <f>SUM(D40:D46)</f>
        <v>0</v>
      </c>
      <c r="E47" s="390">
        <f>SUM(E40:E46)</f>
        <v>0</v>
      </c>
      <c r="F47" s="389">
        <f>SUM(F40:F46)</f>
        <v>0</v>
      </c>
    </row>
    <row r="48" spans="1:6" ht="15.3">
      <c r="A48" s="401"/>
      <c r="B48" s="402"/>
      <c r="C48" s="403"/>
      <c r="D48" s="404"/>
      <c r="E48" s="403"/>
      <c r="F48" s="387"/>
    </row>
    <row r="49" spans="1:6" s="30" customFormat="1" ht="15">
      <c r="A49" s="400" t="s">
        <v>52</v>
      </c>
      <c r="B49" s="405">
        <f>B25+B31+B47+B37</f>
        <v>12082943.557116972</v>
      </c>
      <c r="C49" s="405">
        <f>C25+C31+C47+C37</f>
        <v>1169317.1200000001</v>
      </c>
      <c r="D49" s="406">
        <f>D25+D31+D47+D37</f>
        <v>305226</v>
      </c>
      <c r="E49" s="405">
        <f>E37+E31+E25+E47</f>
        <v>13252260.677116971</v>
      </c>
      <c r="F49" s="405">
        <f>F37+F31+F25+F47</f>
        <v>13557486.677116971</v>
      </c>
    </row>
    <row r="50" spans="1:6" ht="15.3">
      <c r="A50" s="407"/>
      <c r="B50" s="408"/>
      <c r="C50" s="408"/>
      <c r="D50" s="409"/>
      <c r="E50" s="408"/>
      <c r="F50" s="385"/>
    </row>
    <row r="51" spans="1:6" ht="15.3">
      <c r="A51" s="577" t="s">
        <v>53</v>
      </c>
      <c r="B51" s="578"/>
      <c r="C51" s="578"/>
      <c r="D51" s="578"/>
      <c r="E51" s="578"/>
      <c r="F51" s="579"/>
    </row>
    <row r="52" spans="1:6" ht="15.3">
      <c r="A52" s="410" t="s">
        <v>54</v>
      </c>
      <c r="B52" s="411">
        <f>((B25*0.2828))</f>
        <v>816544.60992641968</v>
      </c>
      <c r="C52" s="411">
        <f>((C25*0.2828))</f>
        <v>330682.881536</v>
      </c>
      <c r="D52" s="398"/>
      <c r="E52" s="412">
        <f>B52+C52</f>
        <v>1147227.4914624197</v>
      </c>
      <c r="F52" s="398"/>
    </row>
    <row r="53" spans="1:6" ht="15.3">
      <c r="A53" s="410" t="s">
        <v>55</v>
      </c>
      <c r="B53" s="411">
        <f>((B31*0.2828))</f>
        <v>2600511.8280262598</v>
      </c>
      <c r="C53" s="413">
        <f>C31*0.2828</f>
        <v>0</v>
      </c>
      <c r="D53" s="398"/>
      <c r="E53" s="414">
        <f>B53+C53</f>
        <v>2600511.8280262598</v>
      </c>
      <c r="F53" s="398"/>
    </row>
    <row r="54" spans="1:6" ht="15.3">
      <c r="A54" s="383" t="s">
        <v>56</v>
      </c>
      <c r="B54" s="413">
        <f>B37*0.2828</f>
        <v>0</v>
      </c>
      <c r="C54" s="413">
        <f>C37*0.2828</f>
        <v>0</v>
      </c>
      <c r="D54" s="398"/>
      <c r="E54" s="414">
        <f>B54+C54</f>
        <v>0</v>
      </c>
      <c r="F54" s="398"/>
    </row>
    <row r="55" spans="1:6" ht="15.3">
      <c r="A55" s="415" t="s">
        <v>57</v>
      </c>
      <c r="B55" s="413">
        <f>B47*0.2828</f>
        <v>0</v>
      </c>
      <c r="C55" s="413">
        <f>C47*0.2828</f>
        <v>0</v>
      </c>
      <c r="D55" s="398"/>
      <c r="E55" s="414">
        <f>B55+C55</f>
        <v>0</v>
      </c>
      <c r="F55" s="398"/>
    </row>
    <row r="56" spans="1:6" ht="15.3">
      <c r="A56" s="383" t="s">
        <v>58</v>
      </c>
      <c r="B56" s="413">
        <f>(SUM(B52:B55))</f>
        <v>3417056.4379526796</v>
      </c>
      <c r="C56" s="413">
        <f>(SUM(C52:C55))</f>
        <v>330682.881536</v>
      </c>
      <c r="D56" s="398"/>
      <c r="E56" s="413">
        <f>(SUM(E52:E55))</f>
        <v>3747739.3194886795</v>
      </c>
      <c r="F56" s="398"/>
    </row>
    <row r="57" spans="1:6" ht="15.3">
      <c r="A57" s="416"/>
      <c r="B57" s="417"/>
      <c r="C57" s="417"/>
      <c r="D57" s="417"/>
      <c r="E57" s="417"/>
      <c r="F57" s="418"/>
    </row>
    <row r="58" spans="1:6" ht="15.3">
      <c r="A58" s="419" t="s">
        <v>59</v>
      </c>
      <c r="B58" s="398"/>
      <c r="C58" s="398"/>
      <c r="D58" s="398"/>
      <c r="E58" s="398"/>
      <c r="F58" s="413">
        <v>342285.93000000005</v>
      </c>
    </row>
    <row r="59" spans="1:6" ht="15.3">
      <c r="A59" s="420"/>
      <c r="B59" s="421"/>
      <c r="C59" s="422"/>
      <c r="D59" s="423"/>
      <c r="E59" s="422"/>
      <c r="F59" s="424"/>
    </row>
    <row r="60" spans="1:6" s="30" customFormat="1" ht="15">
      <c r="A60" s="425" t="s">
        <v>60</v>
      </c>
      <c r="B60" s="553">
        <f>(B56+B49)</f>
        <v>15499999.995069653</v>
      </c>
      <c r="C60" s="553">
        <f>(C56+C49)</f>
        <v>1500000.0015360001</v>
      </c>
      <c r="D60" s="553">
        <f>(D56+D49)</f>
        <v>305226</v>
      </c>
      <c r="E60" s="553">
        <f>(E56+E49)</f>
        <v>16999999.99660565</v>
      </c>
      <c r="F60" s="554">
        <f>(F49+E56)</f>
        <v>17305225.99660565</v>
      </c>
    </row>
    <row r="61" spans="1:6" ht="15.3">
      <c r="A61" s="426"/>
      <c r="B61" s="555"/>
      <c r="C61" s="555"/>
      <c r="D61" s="556"/>
      <c r="E61" s="555"/>
      <c r="F61" s="557"/>
    </row>
    <row r="62" spans="1:6" ht="15">
      <c r="A62" s="566" t="s">
        <v>61</v>
      </c>
      <c r="B62" s="567"/>
      <c r="C62" s="567"/>
      <c r="D62" s="567"/>
      <c r="E62" s="567"/>
      <c r="F62" s="427">
        <f>F12+D60</f>
        <v>25155226</v>
      </c>
    </row>
    <row r="63" spans="1:6">
      <c r="D63" s="59"/>
    </row>
    <row r="64" spans="1:6">
      <c r="C64" s="59"/>
      <c r="D64" s="59"/>
      <c r="E64" s="428"/>
    </row>
    <row r="65" spans="3:5">
      <c r="C65" s="54"/>
      <c r="D65" s="54"/>
      <c r="E65" s="32"/>
    </row>
    <row r="66" spans="3:5">
      <c r="C66" s="428"/>
      <c r="D66" s="59"/>
    </row>
    <row r="67" spans="3:5">
      <c r="D67" s="59"/>
    </row>
    <row r="68" spans="3:5">
      <c r="D68" s="59"/>
    </row>
    <row r="69" spans="3:5">
      <c r="D69" s="59"/>
    </row>
    <row r="70" spans="3:5">
      <c r="D70" s="59"/>
    </row>
    <row r="71" spans="3:5">
      <c r="D71" s="59"/>
    </row>
    <row r="72" spans="3:5">
      <c r="D72" s="59"/>
    </row>
    <row r="73" spans="3:5">
      <c r="D73" s="59"/>
    </row>
    <row r="74" spans="3:5">
      <c r="D74" s="59"/>
    </row>
    <row r="75" spans="3:5">
      <c r="D75" s="59"/>
    </row>
    <row r="76" spans="3:5">
      <c r="D76" s="59"/>
    </row>
    <row r="77" spans="3:5">
      <c r="D77" s="59"/>
    </row>
    <row r="78" spans="3:5">
      <c r="D78" s="59"/>
    </row>
    <row r="79" spans="3:5">
      <c r="D79" s="59"/>
    </row>
    <row r="80" spans="3:5">
      <c r="D80" s="59"/>
    </row>
    <row r="81" spans="4:4">
      <c r="D81" s="59"/>
    </row>
    <row r="82" spans="4:4">
      <c r="D82" s="59"/>
    </row>
    <row r="83" spans="4:4">
      <c r="D83" s="59"/>
    </row>
    <row r="84" spans="4:4">
      <c r="D84" s="59"/>
    </row>
    <row r="85" spans="4:4">
      <c r="D85" s="59"/>
    </row>
    <row r="86" spans="4:4">
      <c r="D86" s="59"/>
    </row>
    <row r="87" spans="4:4">
      <c r="D87" s="59"/>
    </row>
    <row r="88" spans="4:4">
      <c r="D88" s="59"/>
    </row>
    <row r="89" spans="4:4">
      <c r="D89" s="59"/>
    </row>
    <row r="90" spans="4:4">
      <c r="D90" s="59"/>
    </row>
    <row r="91" spans="4:4">
      <c r="D91" s="59"/>
    </row>
    <row r="92" spans="4:4">
      <c r="D92" s="59"/>
    </row>
    <row r="93" spans="4:4">
      <c r="D93" s="59"/>
    </row>
    <row r="94" spans="4:4">
      <c r="D94" s="59"/>
    </row>
    <row r="95" spans="4:4">
      <c r="D95" s="59"/>
    </row>
    <row r="96" spans="4:4">
      <c r="D96" s="59"/>
    </row>
    <row r="97" spans="4:4">
      <c r="D97" s="59"/>
    </row>
    <row r="98" spans="4:4">
      <c r="D98" s="59"/>
    </row>
    <row r="99" spans="4:4">
      <c r="D99" s="59"/>
    </row>
    <row r="100" spans="4:4">
      <c r="D100" s="59"/>
    </row>
    <row r="101" spans="4:4">
      <c r="D101" s="59"/>
    </row>
    <row r="102" spans="4:4">
      <c r="D102" s="59"/>
    </row>
    <row r="103" spans="4:4">
      <c r="D103" s="59"/>
    </row>
    <row r="104" spans="4:4">
      <c r="D104" s="59"/>
    </row>
    <row r="105" spans="4:4">
      <c r="D105" s="59"/>
    </row>
    <row r="106" spans="4:4">
      <c r="D106" s="59"/>
    </row>
    <row r="107" spans="4:4">
      <c r="D107" s="59"/>
    </row>
    <row r="108" spans="4:4">
      <c r="D108" s="59"/>
    </row>
    <row r="109" spans="4:4">
      <c r="D109" s="59"/>
    </row>
    <row r="110" spans="4:4">
      <c r="D110" s="59"/>
    </row>
    <row r="111" spans="4:4">
      <c r="D111" s="59"/>
    </row>
    <row r="112" spans="4:4">
      <c r="D112" s="59"/>
    </row>
    <row r="113" spans="4:4">
      <c r="D113" s="59"/>
    </row>
    <row r="114" spans="4:4">
      <c r="D114" s="59"/>
    </row>
    <row r="115" spans="4:4">
      <c r="D115" s="59"/>
    </row>
    <row r="116" spans="4:4">
      <c r="D116" s="59"/>
    </row>
    <row r="117" spans="4:4">
      <c r="D117" s="59"/>
    </row>
    <row r="118" spans="4:4">
      <c r="D118" s="59"/>
    </row>
    <row r="119" spans="4:4">
      <c r="D119" s="59"/>
    </row>
    <row r="120" spans="4:4">
      <c r="D120" s="59"/>
    </row>
    <row r="121" spans="4:4">
      <c r="D121" s="59"/>
    </row>
    <row r="122" spans="4:4">
      <c r="D122" s="59"/>
    </row>
    <row r="123" spans="4:4">
      <c r="D123" s="59"/>
    </row>
  </sheetData>
  <mergeCells count="11">
    <mergeCell ref="A62:E62"/>
    <mergeCell ref="A1:F1"/>
    <mergeCell ref="A2:F2"/>
    <mergeCell ref="A10:F10"/>
    <mergeCell ref="A14:F14"/>
    <mergeCell ref="A16:F16"/>
    <mergeCell ref="A26:E26"/>
    <mergeCell ref="A27:F27"/>
    <mergeCell ref="A33:F33"/>
    <mergeCell ref="A39:F39"/>
    <mergeCell ref="A51:F51"/>
  </mergeCells>
  <pageMargins left="1" right="1" top="1" bottom="1" header="0.5" footer="0.5"/>
  <pageSetup scale="56" orientation="portrait" r:id="rId1"/>
  <headerFooter>
    <oddFooter>&amp;C&amp;"Times New Roman,Regular"&amp;12&amp;K01+000                                                                          Partners of the Americas – FY 2023 FFPr Mauritania – USDA-FAS-10.606-0700-23-(557) &amp;R&amp;"Times New Roman,Regular"&amp;12 73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2619-CD80-4D26-90A5-6BE6A04DDEDE}">
  <sheetPr>
    <tabColor theme="9" tint="0.39997558519241921"/>
    <pageSetUpPr fitToPage="1"/>
  </sheetPr>
  <dimension ref="A1:AE235"/>
  <sheetViews>
    <sheetView showOutlineSymbols="0" showWhiteSpace="0" topLeftCell="E168" zoomScale="80" zoomScaleNormal="80" workbookViewId="0">
      <selection activeCell="W194" sqref="W194"/>
    </sheetView>
  </sheetViews>
  <sheetFormatPr defaultRowHeight="14.4" outlineLevelRow="1" outlineLevelCol="1"/>
  <cols>
    <col min="1" max="1" width="75.44140625" style="432" customWidth="1"/>
    <col min="2" max="2" width="16.1640625" style="142" bestFit="1" customWidth="1"/>
    <col min="3" max="3" width="12.44140625" style="317" bestFit="1" customWidth="1" outlineLevel="1"/>
    <col min="4" max="4" width="11.5546875" style="144" bestFit="1" customWidth="1" outlineLevel="1"/>
    <col min="5" max="5" width="12.83203125" style="145" bestFit="1" customWidth="1" outlineLevel="1"/>
    <col min="6" max="6" width="10.83203125" style="142" bestFit="1" customWidth="1"/>
    <col min="7" max="7" width="12.1640625" style="317" bestFit="1" customWidth="1" outlineLevel="1"/>
    <col min="8" max="8" width="11.5546875" style="144" bestFit="1" customWidth="1" outlineLevel="1"/>
    <col min="9" max="9" width="12.83203125" style="146" bestFit="1" customWidth="1" outlineLevel="1"/>
    <col min="10" max="10" width="10.83203125" style="143" bestFit="1" customWidth="1"/>
    <col min="11" max="11" width="12.1640625" style="317" bestFit="1" customWidth="1" outlineLevel="1"/>
    <col min="12" max="12" width="11.5546875" style="144" bestFit="1" customWidth="1" outlineLevel="1"/>
    <col min="13" max="13" width="12.83203125" style="145" bestFit="1" customWidth="1" outlineLevel="1"/>
    <col min="14" max="14" width="10.83203125" style="143" bestFit="1" customWidth="1"/>
    <col min="15" max="15" width="12.1640625" style="317" bestFit="1" customWidth="1" outlineLevel="1"/>
    <col min="16" max="16" width="11.5546875" style="144" bestFit="1" customWidth="1" outlineLevel="1"/>
    <col min="17" max="17" width="12.83203125" style="146" bestFit="1" customWidth="1" outlineLevel="1"/>
    <col min="18" max="18" width="10.83203125" style="143" bestFit="1" customWidth="1"/>
    <col min="19" max="19" width="12.1640625" style="317" bestFit="1" customWidth="1" outlineLevel="1"/>
    <col min="20" max="20" width="11.5546875" style="144" bestFit="1" customWidth="1" outlineLevel="1"/>
    <col min="21" max="21" width="12.83203125" style="146" bestFit="1" customWidth="1" outlineLevel="1"/>
    <col min="22" max="22" width="10.83203125" style="143" bestFit="1" customWidth="1"/>
    <col min="23" max="23" width="13.44140625" style="143" bestFit="1" customWidth="1"/>
    <col min="24" max="25" width="10.27734375" style="142" bestFit="1" customWidth="1"/>
    <col min="26" max="179" width="8.83203125" style="142"/>
    <col min="180" max="180" width="38.27734375" style="142" customWidth="1"/>
    <col min="181" max="181" width="23.44140625" style="142" bestFit="1" customWidth="1"/>
    <col min="182" max="183" width="9.1640625" style="142" customWidth="1"/>
    <col min="184" max="184" width="11.27734375" style="142" bestFit="1" customWidth="1"/>
    <col min="185" max="185" width="14.44140625" style="142" bestFit="1" customWidth="1"/>
    <col min="186" max="186" width="8.1640625" style="142" customWidth="1"/>
    <col min="187" max="187" width="10.83203125" style="142" bestFit="1" customWidth="1"/>
    <col min="188" max="188" width="12.27734375" style="142" bestFit="1" customWidth="1"/>
    <col min="189" max="189" width="9.1640625" style="142" customWidth="1"/>
    <col min="190" max="190" width="10.83203125" style="142" bestFit="1" customWidth="1"/>
    <col min="191" max="191" width="12.27734375" style="142" bestFit="1" customWidth="1"/>
    <col min="192" max="192" width="8" style="142" customWidth="1"/>
    <col min="193" max="193" width="10.83203125" style="142" bestFit="1" customWidth="1"/>
    <col min="194" max="194" width="12.27734375" style="142" bestFit="1" customWidth="1"/>
    <col min="195" max="195" width="8.1640625" style="142" bestFit="1" customWidth="1"/>
    <col min="196" max="196" width="10.83203125" style="142" bestFit="1" customWidth="1"/>
    <col min="197" max="197" width="12.27734375" style="142" bestFit="1" customWidth="1"/>
    <col min="198" max="198" width="18.27734375" style="142" bestFit="1" customWidth="1"/>
    <col min="199" max="199" width="10.83203125" style="142" bestFit="1" customWidth="1"/>
    <col min="200" max="435" width="8.83203125" style="142"/>
    <col min="436" max="436" width="38.27734375" style="142" customWidth="1"/>
    <col min="437" max="437" width="23.44140625" style="142" bestFit="1" customWidth="1"/>
    <col min="438" max="439" width="9.1640625" style="142" customWidth="1"/>
    <col min="440" max="440" width="11.27734375" style="142" bestFit="1" customWidth="1"/>
    <col min="441" max="441" width="14.44140625" style="142" bestFit="1" customWidth="1"/>
    <col min="442" max="442" width="8.1640625" style="142" customWidth="1"/>
    <col min="443" max="443" width="10.83203125" style="142" bestFit="1" customWidth="1"/>
    <col min="444" max="444" width="12.27734375" style="142" bestFit="1" customWidth="1"/>
    <col min="445" max="445" width="9.1640625" style="142" customWidth="1"/>
    <col min="446" max="446" width="10.83203125" style="142" bestFit="1" customWidth="1"/>
    <col min="447" max="447" width="12.27734375" style="142" bestFit="1" customWidth="1"/>
    <col min="448" max="448" width="8" style="142" customWidth="1"/>
    <col min="449" max="449" width="10.83203125" style="142" bestFit="1" customWidth="1"/>
    <col min="450" max="450" width="12.27734375" style="142" bestFit="1" customWidth="1"/>
    <col min="451" max="451" width="8.1640625" style="142" bestFit="1" customWidth="1"/>
    <col min="452" max="452" width="10.83203125" style="142" bestFit="1" customWidth="1"/>
    <col min="453" max="453" width="12.27734375" style="142" bestFit="1" customWidth="1"/>
    <col min="454" max="454" width="18.27734375" style="142" bestFit="1" customWidth="1"/>
    <col min="455" max="455" width="10.83203125" style="142" bestFit="1" customWidth="1"/>
    <col min="456" max="691" width="8.83203125" style="142"/>
    <col min="692" max="692" width="38.27734375" style="142" customWidth="1"/>
    <col min="693" max="693" width="23.44140625" style="142" bestFit="1" customWidth="1"/>
    <col min="694" max="695" width="9.1640625" style="142" customWidth="1"/>
    <col min="696" max="696" width="11.27734375" style="142" bestFit="1" customWidth="1"/>
    <col min="697" max="697" width="14.44140625" style="142" bestFit="1" customWidth="1"/>
    <col min="698" max="698" width="8.1640625" style="142" customWidth="1"/>
    <col min="699" max="699" width="10.83203125" style="142" bestFit="1" customWidth="1"/>
    <col min="700" max="700" width="12.27734375" style="142" bestFit="1" customWidth="1"/>
    <col min="701" max="701" width="9.1640625" style="142" customWidth="1"/>
    <col min="702" max="702" width="10.83203125" style="142" bestFit="1" customWidth="1"/>
    <col min="703" max="703" width="12.27734375" style="142" bestFit="1" customWidth="1"/>
    <col min="704" max="704" width="8" style="142" customWidth="1"/>
    <col min="705" max="705" width="10.83203125" style="142" bestFit="1" customWidth="1"/>
    <col min="706" max="706" width="12.27734375" style="142" bestFit="1" customWidth="1"/>
    <col min="707" max="707" width="8.1640625" style="142" bestFit="1" customWidth="1"/>
    <col min="708" max="708" width="10.83203125" style="142" bestFit="1" customWidth="1"/>
    <col min="709" max="709" width="12.27734375" style="142" bestFit="1" customWidth="1"/>
    <col min="710" max="710" width="18.27734375" style="142" bestFit="1" customWidth="1"/>
    <col min="711" max="711" width="10.83203125" style="142" bestFit="1" customWidth="1"/>
    <col min="712" max="947" width="8.83203125" style="142"/>
    <col min="948" max="948" width="38.27734375" style="142" customWidth="1"/>
    <col min="949" max="949" width="23.44140625" style="142" bestFit="1" customWidth="1"/>
    <col min="950" max="951" width="9.1640625" style="142" customWidth="1"/>
    <col min="952" max="952" width="11.27734375" style="142" bestFit="1" customWidth="1"/>
    <col min="953" max="953" width="14.44140625" style="142" bestFit="1" customWidth="1"/>
    <col min="954" max="954" width="8.1640625" style="142" customWidth="1"/>
    <col min="955" max="955" width="10.83203125" style="142" bestFit="1" customWidth="1"/>
    <col min="956" max="956" width="12.27734375" style="142" bestFit="1" customWidth="1"/>
    <col min="957" max="957" width="9.1640625" style="142" customWidth="1"/>
    <col min="958" max="958" width="10.83203125" style="142" bestFit="1" customWidth="1"/>
    <col min="959" max="959" width="12.27734375" style="142" bestFit="1" customWidth="1"/>
    <col min="960" max="960" width="8" style="142" customWidth="1"/>
    <col min="961" max="961" width="10.83203125" style="142" bestFit="1" customWidth="1"/>
    <col min="962" max="962" width="12.27734375" style="142" bestFit="1" customWidth="1"/>
    <col min="963" max="963" width="8.1640625" style="142" bestFit="1" customWidth="1"/>
    <col min="964" max="964" width="10.83203125" style="142" bestFit="1" customWidth="1"/>
    <col min="965" max="965" width="12.27734375" style="142" bestFit="1" customWidth="1"/>
    <col min="966" max="966" width="18.27734375" style="142" bestFit="1" customWidth="1"/>
    <col min="967" max="967" width="10.83203125" style="142" bestFit="1" customWidth="1"/>
    <col min="968" max="1203" width="8.83203125" style="142"/>
    <col min="1204" max="1204" width="38.27734375" style="142" customWidth="1"/>
    <col min="1205" max="1205" width="23.44140625" style="142" bestFit="1" customWidth="1"/>
    <col min="1206" max="1207" width="9.1640625" style="142" customWidth="1"/>
    <col min="1208" max="1208" width="11.27734375" style="142" bestFit="1" customWidth="1"/>
    <col min="1209" max="1209" width="14.44140625" style="142" bestFit="1" customWidth="1"/>
    <col min="1210" max="1210" width="8.1640625" style="142" customWidth="1"/>
    <col min="1211" max="1211" width="10.83203125" style="142" bestFit="1" customWidth="1"/>
    <col min="1212" max="1212" width="12.27734375" style="142" bestFit="1" customWidth="1"/>
    <col min="1213" max="1213" width="9.1640625" style="142" customWidth="1"/>
    <col min="1214" max="1214" width="10.83203125" style="142" bestFit="1" customWidth="1"/>
    <col min="1215" max="1215" width="12.27734375" style="142" bestFit="1" customWidth="1"/>
    <col min="1216" max="1216" width="8" style="142" customWidth="1"/>
    <col min="1217" max="1217" width="10.83203125" style="142" bestFit="1" customWidth="1"/>
    <col min="1218" max="1218" width="12.27734375" style="142" bestFit="1" customWidth="1"/>
    <col min="1219" max="1219" width="8.1640625" style="142" bestFit="1" customWidth="1"/>
    <col min="1220" max="1220" width="10.83203125" style="142" bestFit="1" customWidth="1"/>
    <col min="1221" max="1221" width="12.27734375" style="142" bestFit="1" customWidth="1"/>
    <col min="1222" max="1222" width="18.27734375" style="142" bestFit="1" customWidth="1"/>
    <col min="1223" max="1223" width="10.83203125" style="142" bestFit="1" customWidth="1"/>
    <col min="1224" max="1459" width="8.83203125" style="142"/>
    <col min="1460" max="1460" width="38.27734375" style="142" customWidth="1"/>
    <col min="1461" max="1461" width="23.44140625" style="142" bestFit="1" customWidth="1"/>
    <col min="1462" max="1463" width="9.1640625" style="142" customWidth="1"/>
    <col min="1464" max="1464" width="11.27734375" style="142" bestFit="1" customWidth="1"/>
    <col min="1465" max="1465" width="14.44140625" style="142" bestFit="1" customWidth="1"/>
    <col min="1466" max="1466" width="8.1640625" style="142" customWidth="1"/>
    <col min="1467" max="1467" width="10.83203125" style="142" bestFit="1" customWidth="1"/>
    <col min="1468" max="1468" width="12.27734375" style="142" bestFit="1" customWidth="1"/>
    <col min="1469" max="1469" width="9.1640625" style="142" customWidth="1"/>
    <col min="1470" max="1470" width="10.83203125" style="142" bestFit="1" customWidth="1"/>
    <col min="1471" max="1471" width="12.27734375" style="142" bestFit="1" customWidth="1"/>
    <col min="1472" max="1472" width="8" style="142" customWidth="1"/>
    <col min="1473" max="1473" width="10.83203125" style="142" bestFit="1" customWidth="1"/>
    <col min="1474" max="1474" width="12.27734375" style="142" bestFit="1" customWidth="1"/>
    <col min="1475" max="1475" width="8.1640625" style="142" bestFit="1" customWidth="1"/>
    <col min="1476" max="1476" width="10.83203125" style="142" bestFit="1" customWidth="1"/>
    <col min="1477" max="1477" width="12.27734375" style="142" bestFit="1" customWidth="1"/>
    <col min="1478" max="1478" width="18.27734375" style="142" bestFit="1" customWidth="1"/>
    <col min="1479" max="1479" width="10.83203125" style="142" bestFit="1" customWidth="1"/>
    <col min="1480" max="1715" width="8.83203125" style="142"/>
    <col min="1716" max="1716" width="38.27734375" style="142" customWidth="1"/>
    <col min="1717" max="1717" width="23.44140625" style="142" bestFit="1" customWidth="1"/>
    <col min="1718" max="1719" width="9.1640625" style="142" customWidth="1"/>
    <col min="1720" max="1720" width="11.27734375" style="142" bestFit="1" customWidth="1"/>
    <col min="1721" max="1721" width="14.44140625" style="142" bestFit="1" customWidth="1"/>
    <col min="1722" max="1722" width="8.1640625" style="142" customWidth="1"/>
    <col min="1723" max="1723" width="10.83203125" style="142" bestFit="1" customWidth="1"/>
    <col min="1724" max="1724" width="12.27734375" style="142" bestFit="1" customWidth="1"/>
    <col min="1725" max="1725" width="9.1640625" style="142" customWidth="1"/>
    <col min="1726" max="1726" width="10.83203125" style="142" bestFit="1" customWidth="1"/>
    <col min="1727" max="1727" width="12.27734375" style="142" bestFit="1" customWidth="1"/>
    <col min="1728" max="1728" width="8" style="142" customWidth="1"/>
    <col min="1729" max="1729" width="10.83203125" style="142" bestFit="1" customWidth="1"/>
    <col min="1730" max="1730" width="12.27734375" style="142" bestFit="1" customWidth="1"/>
    <col min="1731" max="1731" width="8.1640625" style="142" bestFit="1" customWidth="1"/>
    <col min="1732" max="1732" width="10.83203125" style="142" bestFit="1" customWidth="1"/>
    <col min="1733" max="1733" width="12.27734375" style="142" bestFit="1" customWidth="1"/>
    <col min="1734" max="1734" width="18.27734375" style="142" bestFit="1" customWidth="1"/>
    <col min="1735" max="1735" width="10.83203125" style="142" bestFit="1" customWidth="1"/>
    <col min="1736" max="1971" width="8.83203125" style="142"/>
    <col min="1972" max="1972" width="38.27734375" style="142" customWidth="1"/>
    <col min="1973" max="1973" width="23.44140625" style="142" bestFit="1" customWidth="1"/>
    <col min="1974" max="1975" width="9.1640625" style="142" customWidth="1"/>
    <col min="1976" max="1976" width="11.27734375" style="142" bestFit="1" customWidth="1"/>
    <col min="1977" max="1977" width="14.44140625" style="142" bestFit="1" customWidth="1"/>
    <col min="1978" max="1978" width="8.1640625" style="142" customWidth="1"/>
    <col min="1979" max="1979" width="10.83203125" style="142" bestFit="1" customWidth="1"/>
    <col min="1980" max="1980" width="12.27734375" style="142" bestFit="1" customWidth="1"/>
    <col min="1981" max="1981" width="9.1640625" style="142" customWidth="1"/>
    <col min="1982" max="1982" width="10.83203125" style="142" bestFit="1" customWidth="1"/>
    <col min="1983" max="1983" width="12.27734375" style="142" bestFit="1" customWidth="1"/>
    <col min="1984" max="1984" width="8" style="142" customWidth="1"/>
    <col min="1985" max="1985" width="10.83203125" style="142" bestFit="1" customWidth="1"/>
    <col min="1986" max="1986" width="12.27734375" style="142" bestFit="1" customWidth="1"/>
    <col min="1987" max="1987" width="8.1640625" style="142" bestFit="1" customWidth="1"/>
    <col min="1988" max="1988" width="10.83203125" style="142" bestFit="1" customWidth="1"/>
    <col min="1989" max="1989" width="12.27734375" style="142" bestFit="1" customWidth="1"/>
    <col min="1990" max="1990" width="18.27734375" style="142" bestFit="1" customWidth="1"/>
    <col min="1991" max="1991" width="10.83203125" style="142" bestFit="1" customWidth="1"/>
    <col min="1992" max="2227" width="8.83203125" style="142"/>
    <col min="2228" max="2228" width="38.27734375" style="142" customWidth="1"/>
    <col min="2229" max="2229" width="23.44140625" style="142" bestFit="1" customWidth="1"/>
    <col min="2230" max="2231" width="9.1640625" style="142" customWidth="1"/>
    <col min="2232" max="2232" width="11.27734375" style="142" bestFit="1" customWidth="1"/>
    <col min="2233" max="2233" width="14.44140625" style="142" bestFit="1" customWidth="1"/>
    <col min="2234" max="2234" width="8.1640625" style="142" customWidth="1"/>
    <col min="2235" max="2235" width="10.83203125" style="142" bestFit="1" customWidth="1"/>
    <col min="2236" max="2236" width="12.27734375" style="142" bestFit="1" customWidth="1"/>
    <col min="2237" max="2237" width="9.1640625" style="142" customWidth="1"/>
    <col min="2238" max="2238" width="10.83203125" style="142" bestFit="1" customWidth="1"/>
    <col min="2239" max="2239" width="12.27734375" style="142" bestFit="1" customWidth="1"/>
    <col min="2240" max="2240" width="8" style="142" customWidth="1"/>
    <col min="2241" max="2241" width="10.83203125" style="142" bestFit="1" customWidth="1"/>
    <col min="2242" max="2242" width="12.27734375" style="142" bestFit="1" customWidth="1"/>
    <col min="2243" max="2243" width="8.1640625" style="142" bestFit="1" customWidth="1"/>
    <col min="2244" max="2244" width="10.83203125" style="142" bestFit="1" customWidth="1"/>
    <col min="2245" max="2245" width="12.27734375" style="142" bestFit="1" customWidth="1"/>
    <col min="2246" max="2246" width="18.27734375" style="142" bestFit="1" customWidth="1"/>
    <col min="2247" max="2247" width="10.83203125" style="142" bestFit="1" customWidth="1"/>
    <col min="2248" max="2483" width="8.83203125" style="142"/>
    <col min="2484" max="2484" width="38.27734375" style="142" customWidth="1"/>
    <col min="2485" max="2485" width="23.44140625" style="142" bestFit="1" customWidth="1"/>
    <col min="2486" max="2487" width="9.1640625" style="142" customWidth="1"/>
    <col min="2488" max="2488" width="11.27734375" style="142" bestFit="1" customWidth="1"/>
    <col min="2489" max="2489" width="14.44140625" style="142" bestFit="1" customWidth="1"/>
    <col min="2490" max="2490" width="8.1640625" style="142" customWidth="1"/>
    <col min="2491" max="2491" width="10.83203125" style="142" bestFit="1" customWidth="1"/>
    <col min="2492" max="2492" width="12.27734375" style="142" bestFit="1" customWidth="1"/>
    <col min="2493" max="2493" width="9.1640625" style="142" customWidth="1"/>
    <col min="2494" max="2494" width="10.83203125" style="142" bestFit="1" customWidth="1"/>
    <col min="2495" max="2495" width="12.27734375" style="142" bestFit="1" customWidth="1"/>
    <col min="2496" max="2496" width="8" style="142" customWidth="1"/>
    <col min="2497" max="2497" width="10.83203125" style="142" bestFit="1" customWidth="1"/>
    <col min="2498" max="2498" width="12.27734375" style="142" bestFit="1" customWidth="1"/>
    <col min="2499" max="2499" width="8.1640625" style="142" bestFit="1" customWidth="1"/>
    <col min="2500" max="2500" width="10.83203125" style="142" bestFit="1" customWidth="1"/>
    <col min="2501" max="2501" width="12.27734375" style="142" bestFit="1" customWidth="1"/>
    <col min="2502" max="2502" width="18.27734375" style="142" bestFit="1" customWidth="1"/>
    <col min="2503" max="2503" width="10.83203125" style="142" bestFit="1" customWidth="1"/>
    <col min="2504" max="2739" width="8.83203125" style="142"/>
    <col min="2740" max="2740" width="38.27734375" style="142" customWidth="1"/>
    <col min="2741" max="2741" width="23.44140625" style="142" bestFit="1" customWidth="1"/>
    <col min="2742" max="2743" width="9.1640625" style="142" customWidth="1"/>
    <col min="2744" max="2744" width="11.27734375" style="142" bestFit="1" customWidth="1"/>
    <col min="2745" max="2745" width="14.44140625" style="142" bestFit="1" customWidth="1"/>
    <col min="2746" max="2746" width="8.1640625" style="142" customWidth="1"/>
    <col min="2747" max="2747" width="10.83203125" style="142" bestFit="1" customWidth="1"/>
    <col min="2748" max="2748" width="12.27734375" style="142" bestFit="1" customWidth="1"/>
    <col min="2749" max="2749" width="9.1640625" style="142" customWidth="1"/>
    <col min="2750" max="2750" width="10.83203125" style="142" bestFit="1" customWidth="1"/>
    <col min="2751" max="2751" width="12.27734375" style="142" bestFit="1" customWidth="1"/>
    <col min="2752" max="2752" width="8" style="142" customWidth="1"/>
    <col min="2753" max="2753" width="10.83203125" style="142" bestFit="1" customWidth="1"/>
    <col min="2754" max="2754" width="12.27734375" style="142" bestFit="1" customWidth="1"/>
    <col min="2755" max="2755" width="8.1640625" style="142" bestFit="1" customWidth="1"/>
    <col min="2756" max="2756" width="10.83203125" style="142" bestFit="1" customWidth="1"/>
    <col min="2757" max="2757" width="12.27734375" style="142" bestFit="1" customWidth="1"/>
    <col min="2758" max="2758" width="18.27734375" style="142" bestFit="1" customWidth="1"/>
    <col min="2759" max="2759" width="10.83203125" style="142" bestFit="1" customWidth="1"/>
    <col min="2760" max="2995" width="8.83203125" style="142"/>
    <col min="2996" max="2996" width="38.27734375" style="142" customWidth="1"/>
    <col min="2997" max="2997" width="23.44140625" style="142" bestFit="1" customWidth="1"/>
    <col min="2998" max="2999" width="9.1640625" style="142" customWidth="1"/>
    <col min="3000" max="3000" width="11.27734375" style="142" bestFit="1" customWidth="1"/>
    <col min="3001" max="3001" width="14.44140625" style="142" bestFit="1" customWidth="1"/>
    <col min="3002" max="3002" width="8.1640625" style="142" customWidth="1"/>
    <col min="3003" max="3003" width="10.83203125" style="142" bestFit="1" customWidth="1"/>
    <col min="3004" max="3004" width="12.27734375" style="142" bestFit="1" customWidth="1"/>
    <col min="3005" max="3005" width="9.1640625" style="142" customWidth="1"/>
    <col min="3006" max="3006" width="10.83203125" style="142" bestFit="1" customWidth="1"/>
    <col min="3007" max="3007" width="12.27734375" style="142" bestFit="1" customWidth="1"/>
    <col min="3008" max="3008" width="8" style="142" customWidth="1"/>
    <col min="3009" max="3009" width="10.83203125" style="142" bestFit="1" customWidth="1"/>
    <col min="3010" max="3010" width="12.27734375" style="142" bestFit="1" customWidth="1"/>
    <col min="3011" max="3011" width="8.1640625" style="142" bestFit="1" customWidth="1"/>
    <col min="3012" max="3012" width="10.83203125" style="142" bestFit="1" customWidth="1"/>
    <col min="3013" max="3013" width="12.27734375" style="142" bestFit="1" customWidth="1"/>
    <col min="3014" max="3014" width="18.27734375" style="142" bestFit="1" customWidth="1"/>
    <col min="3015" max="3015" width="10.83203125" style="142" bestFit="1" customWidth="1"/>
    <col min="3016" max="3251" width="8.83203125" style="142"/>
    <col min="3252" max="3252" width="38.27734375" style="142" customWidth="1"/>
    <col min="3253" max="3253" width="23.44140625" style="142" bestFit="1" customWidth="1"/>
    <col min="3254" max="3255" width="9.1640625" style="142" customWidth="1"/>
    <col min="3256" max="3256" width="11.27734375" style="142" bestFit="1" customWidth="1"/>
    <col min="3257" max="3257" width="14.44140625" style="142" bestFit="1" customWidth="1"/>
    <col min="3258" max="3258" width="8.1640625" style="142" customWidth="1"/>
    <col min="3259" max="3259" width="10.83203125" style="142" bestFit="1" customWidth="1"/>
    <col min="3260" max="3260" width="12.27734375" style="142" bestFit="1" customWidth="1"/>
    <col min="3261" max="3261" width="9.1640625" style="142" customWidth="1"/>
    <col min="3262" max="3262" width="10.83203125" style="142" bestFit="1" customWidth="1"/>
    <col min="3263" max="3263" width="12.27734375" style="142" bestFit="1" customWidth="1"/>
    <col min="3264" max="3264" width="8" style="142" customWidth="1"/>
    <col min="3265" max="3265" width="10.83203125" style="142" bestFit="1" customWidth="1"/>
    <col min="3266" max="3266" width="12.27734375" style="142" bestFit="1" customWidth="1"/>
    <col min="3267" max="3267" width="8.1640625" style="142" bestFit="1" customWidth="1"/>
    <col min="3268" max="3268" width="10.83203125" style="142" bestFit="1" customWidth="1"/>
    <col min="3269" max="3269" width="12.27734375" style="142" bestFit="1" customWidth="1"/>
    <col min="3270" max="3270" width="18.27734375" style="142" bestFit="1" customWidth="1"/>
    <col min="3271" max="3271" width="10.83203125" style="142" bestFit="1" customWidth="1"/>
    <col min="3272" max="3507" width="8.83203125" style="142"/>
    <col min="3508" max="3508" width="38.27734375" style="142" customWidth="1"/>
    <col min="3509" max="3509" width="23.44140625" style="142" bestFit="1" customWidth="1"/>
    <col min="3510" max="3511" width="9.1640625" style="142" customWidth="1"/>
    <col min="3512" max="3512" width="11.27734375" style="142" bestFit="1" customWidth="1"/>
    <col min="3513" max="3513" width="14.44140625" style="142" bestFit="1" customWidth="1"/>
    <col min="3514" max="3514" width="8.1640625" style="142" customWidth="1"/>
    <col min="3515" max="3515" width="10.83203125" style="142" bestFit="1" customWidth="1"/>
    <col min="3516" max="3516" width="12.27734375" style="142" bestFit="1" customWidth="1"/>
    <col min="3517" max="3517" width="9.1640625" style="142" customWidth="1"/>
    <col min="3518" max="3518" width="10.83203125" style="142" bestFit="1" customWidth="1"/>
    <col min="3519" max="3519" width="12.27734375" style="142" bestFit="1" customWidth="1"/>
    <col min="3520" max="3520" width="8" style="142" customWidth="1"/>
    <col min="3521" max="3521" width="10.83203125" style="142" bestFit="1" customWidth="1"/>
    <col min="3522" max="3522" width="12.27734375" style="142" bestFit="1" customWidth="1"/>
    <col min="3523" max="3523" width="8.1640625" style="142" bestFit="1" customWidth="1"/>
    <col min="3524" max="3524" width="10.83203125" style="142" bestFit="1" customWidth="1"/>
    <col min="3525" max="3525" width="12.27734375" style="142" bestFit="1" customWidth="1"/>
    <col min="3526" max="3526" width="18.27734375" style="142" bestFit="1" customWidth="1"/>
    <col min="3527" max="3527" width="10.83203125" style="142" bestFit="1" customWidth="1"/>
    <col min="3528" max="3763" width="8.83203125" style="142"/>
    <col min="3764" max="3764" width="38.27734375" style="142" customWidth="1"/>
    <col min="3765" max="3765" width="23.44140625" style="142" bestFit="1" customWidth="1"/>
    <col min="3766" max="3767" width="9.1640625" style="142" customWidth="1"/>
    <col min="3768" max="3768" width="11.27734375" style="142" bestFit="1" customWidth="1"/>
    <col min="3769" max="3769" width="14.44140625" style="142" bestFit="1" customWidth="1"/>
    <col min="3770" max="3770" width="8.1640625" style="142" customWidth="1"/>
    <col min="3771" max="3771" width="10.83203125" style="142" bestFit="1" customWidth="1"/>
    <col min="3772" max="3772" width="12.27734375" style="142" bestFit="1" customWidth="1"/>
    <col min="3773" max="3773" width="9.1640625" style="142" customWidth="1"/>
    <col min="3774" max="3774" width="10.83203125" style="142" bestFit="1" customWidth="1"/>
    <col min="3775" max="3775" width="12.27734375" style="142" bestFit="1" customWidth="1"/>
    <col min="3776" max="3776" width="8" style="142" customWidth="1"/>
    <col min="3777" max="3777" width="10.83203125" style="142" bestFit="1" customWidth="1"/>
    <col min="3778" max="3778" width="12.27734375" style="142" bestFit="1" customWidth="1"/>
    <col min="3779" max="3779" width="8.1640625" style="142" bestFit="1" customWidth="1"/>
    <col min="3780" max="3780" width="10.83203125" style="142" bestFit="1" customWidth="1"/>
    <col min="3781" max="3781" width="12.27734375" style="142" bestFit="1" customWidth="1"/>
    <col min="3782" max="3782" width="18.27734375" style="142" bestFit="1" customWidth="1"/>
    <col min="3783" max="3783" width="10.83203125" style="142" bestFit="1" customWidth="1"/>
    <col min="3784" max="4019" width="8.83203125" style="142"/>
    <col min="4020" max="4020" width="38.27734375" style="142" customWidth="1"/>
    <col min="4021" max="4021" width="23.44140625" style="142" bestFit="1" customWidth="1"/>
    <col min="4022" max="4023" width="9.1640625" style="142" customWidth="1"/>
    <col min="4024" max="4024" width="11.27734375" style="142" bestFit="1" customWidth="1"/>
    <col min="4025" max="4025" width="14.44140625" style="142" bestFit="1" customWidth="1"/>
    <col min="4026" max="4026" width="8.1640625" style="142" customWidth="1"/>
    <col min="4027" max="4027" width="10.83203125" style="142" bestFit="1" customWidth="1"/>
    <col min="4028" max="4028" width="12.27734375" style="142" bestFit="1" customWidth="1"/>
    <col min="4029" max="4029" width="9.1640625" style="142" customWidth="1"/>
    <col min="4030" max="4030" width="10.83203125" style="142" bestFit="1" customWidth="1"/>
    <col min="4031" max="4031" width="12.27734375" style="142" bestFit="1" customWidth="1"/>
    <col min="4032" max="4032" width="8" style="142" customWidth="1"/>
    <col min="4033" max="4033" width="10.83203125" style="142" bestFit="1" customWidth="1"/>
    <col min="4034" max="4034" width="12.27734375" style="142" bestFit="1" customWidth="1"/>
    <col min="4035" max="4035" width="8.1640625" style="142" bestFit="1" customWidth="1"/>
    <col min="4036" max="4036" width="10.83203125" style="142" bestFit="1" customWidth="1"/>
    <col min="4037" max="4037" width="12.27734375" style="142" bestFit="1" customWidth="1"/>
    <col min="4038" max="4038" width="18.27734375" style="142" bestFit="1" customWidth="1"/>
    <col min="4039" max="4039" width="10.83203125" style="142" bestFit="1" customWidth="1"/>
    <col min="4040" max="4275" width="8.83203125" style="142"/>
    <col min="4276" max="4276" width="38.27734375" style="142" customWidth="1"/>
    <col min="4277" max="4277" width="23.44140625" style="142" bestFit="1" customWidth="1"/>
    <col min="4278" max="4279" width="9.1640625" style="142" customWidth="1"/>
    <col min="4280" max="4280" width="11.27734375" style="142" bestFit="1" customWidth="1"/>
    <col min="4281" max="4281" width="14.44140625" style="142" bestFit="1" customWidth="1"/>
    <col min="4282" max="4282" width="8.1640625" style="142" customWidth="1"/>
    <col min="4283" max="4283" width="10.83203125" style="142" bestFit="1" customWidth="1"/>
    <col min="4284" max="4284" width="12.27734375" style="142" bestFit="1" customWidth="1"/>
    <col min="4285" max="4285" width="9.1640625" style="142" customWidth="1"/>
    <col min="4286" max="4286" width="10.83203125" style="142" bestFit="1" customWidth="1"/>
    <col min="4287" max="4287" width="12.27734375" style="142" bestFit="1" customWidth="1"/>
    <col min="4288" max="4288" width="8" style="142" customWidth="1"/>
    <col min="4289" max="4289" width="10.83203125" style="142" bestFit="1" customWidth="1"/>
    <col min="4290" max="4290" width="12.27734375" style="142" bestFit="1" customWidth="1"/>
    <col min="4291" max="4291" width="8.1640625" style="142" bestFit="1" customWidth="1"/>
    <col min="4292" max="4292" width="10.83203125" style="142" bestFit="1" customWidth="1"/>
    <col min="4293" max="4293" width="12.27734375" style="142" bestFit="1" customWidth="1"/>
    <col min="4294" max="4294" width="18.27734375" style="142" bestFit="1" customWidth="1"/>
    <col min="4295" max="4295" width="10.83203125" style="142" bestFit="1" customWidth="1"/>
    <col min="4296" max="4531" width="8.83203125" style="142"/>
    <col min="4532" max="4532" width="38.27734375" style="142" customWidth="1"/>
    <col min="4533" max="4533" width="23.44140625" style="142" bestFit="1" customWidth="1"/>
    <col min="4534" max="4535" width="9.1640625" style="142" customWidth="1"/>
    <col min="4536" max="4536" width="11.27734375" style="142" bestFit="1" customWidth="1"/>
    <col min="4537" max="4537" width="14.44140625" style="142" bestFit="1" customWidth="1"/>
    <col min="4538" max="4538" width="8.1640625" style="142" customWidth="1"/>
    <col min="4539" max="4539" width="10.83203125" style="142" bestFit="1" customWidth="1"/>
    <col min="4540" max="4540" width="12.27734375" style="142" bestFit="1" customWidth="1"/>
    <col min="4541" max="4541" width="9.1640625" style="142" customWidth="1"/>
    <col min="4542" max="4542" width="10.83203125" style="142" bestFit="1" customWidth="1"/>
    <col min="4543" max="4543" width="12.27734375" style="142" bestFit="1" customWidth="1"/>
    <col min="4544" max="4544" width="8" style="142" customWidth="1"/>
    <col min="4545" max="4545" width="10.83203125" style="142" bestFit="1" customWidth="1"/>
    <col min="4546" max="4546" width="12.27734375" style="142" bestFit="1" customWidth="1"/>
    <col min="4547" max="4547" width="8.1640625" style="142" bestFit="1" customWidth="1"/>
    <col min="4548" max="4548" width="10.83203125" style="142" bestFit="1" customWidth="1"/>
    <col min="4549" max="4549" width="12.27734375" style="142" bestFit="1" customWidth="1"/>
    <col min="4550" max="4550" width="18.27734375" style="142" bestFit="1" customWidth="1"/>
    <col min="4551" max="4551" width="10.83203125" style="142" bestFit="1" customWidth="1"/>
    <col min="4552" max="4787" width="8.83203125" style="142"/>
    <col min="4788" max="4788" width="38.27734375" style="142" customWidth="1"/>
    <col min="4789" max="4789" width="23.44140625" style="142" bestFit="1" customWidth="1"/>
    <col min="4790" max="4791" width="9.1640625" style="142" customWidth="1"/>
    <col min="4792" max="4792" width="11.27734375" style="142" bestFit="1" customWidth="1"/>
    <col min="4793" max="4793" width="14.44140625" style="142" bestFit="1" customWidth="1"/>
    <col min="4794" max="4794" width="8.1640625" style="142" customWidth="1"/>
    <col min="4795" max="4795" width="10.83203125" style="142" bestFit="1" customWidth="1"/>
    <col min="4796" max="4796" width="12.27734375" style="142" bestFit="1" customWidth="1"/>
    <col min="4797" max="4797" width="9.1640625" style="142" customWidth="1"/>
    <col min="4798" max="4798" width="10.83203125" style="142" bestFit="1" customWidth="1"/>
    <col min="4799" max="4799" width="12.27734375" style="142" bestFit="1" customWidth="1"/>
    <col min="4800" max="4800" width="8" style="142" customWidth="1"/>
    <col min="4801" max="4801" width="10.83203125" style="142" bestFit="1" customWidth="1"/>
    <col min="4802" max="4802" width="12.27734375" style="142" bestFit="1" customWidth="1"/>
    <col min="4803" max="4803" width="8.1640625" style="142" bestFit="1" customWidth="1"/>
    <col min="4804" max="4804" width="10.83203125" style="142" bestFit="1" customWidth="1"/>
    <col min="4805" max="4805" width="12.27734375" style="142" bestFit="1" customWidth="1"/>
    <col min="4806" max="4806" width="18.27734375" style="142" bestFit="1" customWidth="1"/>
    <col min="4807" max="4807" width="10.83203125" style="142" bestFit="1" customWidth="1"/>
    <col min="4808" max="5043" width="8.83203125" style="142"/>
    <col min="5044" max="5044" width="38.27734375" style="142" customWidth="1"/>
    <col min="5045" max="5045" width="23.44140625" style="142" bestFit="1" customWidth="1"/>
    <col min="5046" max="5047" width="9.1640625" style="142" customWidth="1"/>
    <col min="5048" max="5048" width="11.27734375" style="142" bestFit="1" customWidth="1"/>
    <col min="5049" max="5049" width="14.44140625" style="142" bestFit="1" customWidth="1"/>
    <col min="5050" max="5050" width="8.1640625" style="142" customWidth="1"/>
    <col min="5051" max="5051" width="10.83203125" style="142" bestFit="1" customWidth="1"/>
    <col min="5052" max="5052" width="12.27734375" style="142" bestFit="1" customWidth="1"/>
    <col min="5053" max="5053" width="9.1640625" style="142" customWidth="1"/>
    <col min="5054" max="5054" width="10.83203125" style="142" bestFit="1" customWidth="1"/>
    <col min="5055" max="5055" width="12.27734375" style="142" bestFit="1" customWidth="1"/>
    <col min="5056" max="5056" width="8" style="142" customWidth="1"/>
    <col min="5057" max="5057" width="10.83203125" style="142" bestFit="1" customWidth="1"/>
    <col min="5058" max="5058" width="12.27734375" style="142" bestFit="1" customWidth="1"/>
    <col min="5059" max="5059" width="8.1640625" style="142" bestFit="1" customWidth="1"/>
    <col min="5060" max="5060" width="10.83203125" style="142" bestFit="1" customWidth="1"/>
    <col min="5061" max="5061" width="12.27734375" style="142" bestFit="1" customWidth="1"/>
    <col min="5062" max="5062" width="18.27734375" style="142" bestFit="1" customWidth="1"/>
    <col min="5063" max="5063" width="10.83203125" style="142" bestFit="1" customWidth="1"/>
    <col min="5064" max="5299" width="8.83203125" style="142"/>
    <col min="5300" max="5300" width="38.27734375" style="142" customWidth="1"/>
    <col min="5301" max="5301" width="23.44140625" style="142" bestFit="1" customWidth="1"/>
    <col min="5302" max="5303" width="9.1640625" style="142" customWidth="1"/>
    <col min="5304" max="5304" width="11.27734375" style="142" bestFit="1" customWidth="1"/>
    <col min="5305" max="5305" width="14.44140625" style="142" bestFit="1" customWidth="1"/>
    <col min="5306" max="5306" width="8.1640625" style="142" customWidth="1"/>
    <col min="5307" max="5307" width="10.83203125" style="142" bestFit="1" customWidth="1"/>
    <col min="5308" max="5308" width="12.27734375" style="142" bestFit="1" customWidth="1"/>
    <col min="5309" max="5309" width="9.1640625" style="142" customWidth="1"/>
    <col min="5310" max="5310" width="10.83203125" style="142" bestFit="1" customWidth="1"/>
    <col min="5311" max="5311" width="12.27734375" style="142" bestFit="1" customWidth="1"/>
    <col min="5312" max="5312" width="8" style="142" customWidth="1"/>
    <col min="5313" max="5313" width="10.83203125" style="142" bestFit="1" customWidth="1"/>
    <col min="5314" max="5314" width="12.27734375" style="142" bestFit="1" customWidth="1"/>
    <col min="5315" max="5315" width="8.1640625" style="142" bestFit="1" customWidth="1"/>
    <col min="5316" max="5316" width="10.83203125" style="142" bestFit="1" customWidth="1"/>
    <col min="5317" max="5317" width="12.27734375" style="142" bestFit="1" customWidth="1"/>
    <col min="5318" max="5318" width="18.27734375" style="142" bestFit="1" customWidth="1"/>
    <col min="5319" max="5319" width="10.83203125" style="142" bestFit="1" customWidth="1"/>
    <col min="5320" max="5555" width="8.83203125" style="142"/>
    <col min="5556" max="5556" width="38.27734375" style="142" customWidth="1"/>
    <col min="5557" max="5557" width="23.44140625" style="142" bestFit="1" customWidth="1"/>
    <col min="5558" max="5559" width="9.1640625" style="142" customWidth="1"/>
    <col min="5560" max="5560" width="11.27734375" style="142" bestFit="1" customWidth="1"/>
    <col min="5561" max="5561" width="14.44140625" style="142" bestFit="1" customWidth="1"/>
    <col min="5562" max="5562" width="8.1640625" style="142" customWidth="1"/>
    <col min="5563" max="5563" width="10.83203125" style="142" bestFit="1" customWidth="1"/>
    <col min="5564" max="5564" width="12.27734375" style="142" bestFit="1" customWidth="1"/>
    <col min="5565" max="5565" width="9.1640625" style="142" customWidth="1"/>
    <col min="5566" max="5566" width="10.83203125" style="142" bestFit="1" customWidth="1"/>
    <col min="5567" max="5567" width="12.27734375" style="142" bestFit="1" customWidth="1"/>
    <col min="5568" max="5568" width="8" style="142" customWidth="1"/>
    <col min="5569" max="5569" width="10.83203125" style="142" bestFit="1" customWidth="1"/>
    <col min="5570" max="5570" width="12.27734375" style="142" bestFit="1" customWidth="1"/>
    <col min="5571" max="5571" width="8.1640625" style="142" bestFit="1" customWidth="1"/>
    <col min="5572" max="5572" width="10.83203125" style="142" bestFit="1" customWidth="1"/>
    <col min="5573" max="5573" width="12.27734375" style="142" bestFit="1" customWidth="1"/>
    <col min="5574" max="5574" width="18.27734375" style="142" bestFit="1" customWidth="1"/>
    <col min="5575" max="5575" width="10.83203125" style="142" bestFit="1" customWidth="1"/>
    <col min="5576" max="5811" width="8.83203125" style="142"/>
    <col min="5812" max="5812" width="38.27734375" style="142" customWidth="1"/>
    <col min="5813" max="5813" width="23.44140625" style="142" bestFit="1" customWidth="1"/>
    <col min="5814" max="5815" width="9.1640625" style="142" customWidth="1"/>
    <col min="5816" max="5816" width="11.27734375" style="142" bestFit="1" customWidth="1"/>
    <col min="5817" max="5817" width="14.44140625" style="142" bestFit="1" customWidth="1"/>
    <col min="5818" max="5818" width="8.1640625" style="142" customWidth="1"/>
    <col min="5819" max="5819" width="10.83203125" style="142" bestFit="1" customWidth="1"/>
    <col min="5820" max="5820" width="12.27734375" style="142" bestFit="1" customWidth="1"/>
    <col min="5821" max="5821" width="9.1640625" style="142" customWidth="1"/>
    <col min="5822" max="5822" width="10.83203125" style="142" bestFit="1" customWidth="1"/>
    <col min="5823" max="5823" width="12.27734375" style="142" bestFit="1" customWidth="1"/>
    <col min="5824" max="5824" width="8" style="142" customWidth="1"/>
    <col min="5825" max="5825" width="10.83203125" style="142" bestFit="1" customWidth="1"/>
    <col min="5826" max="5826" width="12.27734375" style="142" bestFit="1" customWidth="1"/>
    <col min="5827" max="5827" width="8.1640625" style="142" bestFit="1" customWidth="1"/>
    <col min="5828" max="5828" width="10.83203125" style="142" bestFit="1" customWidth="1"/>
    <col min="5829" max="5829" width="12.27734375" style="142" bestFit="1" customWidth="1"/>
    <col min="5830" max="5830" width="18.27734375" style="142" bestFit="1" customWidth="1"/>
    <col min="5831" max="5831" width="10.83203125" style="142" bestFit="1" customWidth="1"/>
    <col min="5832" max="6067" width="8.83203125" style="142"/>
    <col min="6068" max="6068" width="38.27734375" style="142" customWidth="1"/>
    <col min="6069" max="6069" width="23.44140625" style="142" bestFit="1" customWidth="1"/>
    <col min="6070" max="6071" width="9.1640625" style="142" customWidth="1"/>
    <col min="6072" max="6072" width="11.27734375" style="142" bestFit="1" customWidth="1"/>
    <col min="6073" max="6073" width="14.44140625" style="142" bestFit="1" customWidth="1"/>
    <col min="6074" max="6074" width="8.1640625" style="142" customWidth="1"/>
    <col min="6075" max="6075" width="10.83203125" style="142" bestFit="1" customWidth="1"/>
    <col min="6076" max="6076" width="12.27734375" style="142" bestFit="1" customWidth="1"/>
    <col min="6077" max="6077" width="9.1640625" style="142" customWidth="1"/>
    <col min="6078" max="6078" width="10.83203125" style="142" bestFit="1" customWidth="1"/>
    <col min="6079" max="6079" width="12.27734375" style="142" bestFit="1" customWidth="1"/>
    <col min="6080" max="6080" width="8" style="142" customWidth="1"/>
    <col min="6081" max="6081" width="10.83203125" style="142" bestFit="1" customWidth="1"/>
    <col min="6082" max="6082" width="12.27734375" style="142" bestFit="1" customWidth="1"/>
    <col min="6083" max="6083" width="8.1640625" style="142" bestFit="1" customWidth="1"/>
    <col min="6084" max="6084" width="10.83203125" style="142" bestFit="1" customWidth="1"/>
    <col min="6085" max="6085" width="12.27734375" style="142" bestFit="1" customWidth="1"/>
    <col min="6086" max="6086" width="18.27734375" style="142" bestFit="1" customWidth="1"/>
    <col min="6087" max="6087" width="10.83203125" style="142" bestFit="1" customWidth="1"/>
    <col min="6088" max="6323" width="8.83203125" style="142"/>
    <col min="6324" max="6324" width="38.27734375" style="142" customWidth="1"/>
    <col min="6325" max="6325" width="23.44140625" style="142" bestFit="1" customWidth="1"/>
    <col min="6326" max="6327" width="9.1640625" style="142" customWidth="1"/>
    <col min="6328" max="6328" width="11.27734375" style="142" bestFit="1" customWidth="1"/>
    <col min="6329" max="6329" width="14.44140625" style="142" bestFit="1" customWidth="1"/>
    <col min="6330" max="6330" width="8.1640625" style="142" customWidth="1"/>
    <col min="6331" max="6331" width="10.83203125" style="142" bestFit="1" customWidth="1"/>
    <col min="6332" max="6332" width="12.27734375" style="142" bestFit="1" customWidth="1"/>
    <col min="6333" max="6333" width="9.1640625" style="142" customWidth="1"/>
    <col min="6334" max="6334" width="10.83203125" style="142" bestFit="1" customWidth="1"/>
    <col min="6335" max="6335" width="12.27734375" style="142" bestFit="1" customWidth="1"/>
    <col min="6336" max="6336" width="8" style="142" customWidth="1"/>
    <col min="6337" max="6337" width="10.83203125" style="142" bestFit="1" customWidth="1"/>
    <col min="6338" max="6338" width="12.27734375" style="142" bestFit="1" customWidth="1"/>
    <col min="6339" max="6339" width="8.1640625" style="142" bestFit="1" customWidth="1"/>
    <col min="6340" max="6340" width="10.83203125" style="142" bestFit="1" customWidth="1"/>
    <col min="6341" max="6341" width="12.27734375" style="142" bestFit="1" customWidth="1"/>
    <col min="6342" max="6342" width="18.27734375" style="142" bestFit="1" customWidth="1"/>
    <col min="6343" max="6343" width="10.83203125" style="142" bestFit="1" customWidth="1"/>
    <col min="6344" max="6579" width="8.83203125" style="142"/>
    <col min="6580" max="6580" width="38.27734375" style="142" customWidth="1"/>
    <col min="6581" max="6581" width="23.44140625" style="142" bestFit="1" customWidth="1"/>
    <col min="6582" max="6583" width="9.1640625" style="142" customWidth="1"/>
    <col min="6584" max="6584" width="11.27734375" style="142" bestFit="1" customWidth="1"/>
    <col min="6585" max="6585" width="14.44140625" style="142" bestFit="1" customWidth="1"/>
    <col min="6586" max="6586" width="8.1640625" style="142" customWidth="1"/>
    <col min="6587" max="6587" width="10.83203125" style="142" bestFit="1" customWidth="1"/>
    <col min="6588" max="6588" width="12.27734375" style="142" bestFit="1" customWidth="1"/>
    <col min="6589" max="6589" width="9.1640625" style="142" customWidth="1"/>
    <col min="6590" max="6590" width="10.83203125" style="142" bestFit="1" customWidth="1"/>
    <col min="6591" max="6591" width="12.27734375" style="142" bestFit="1" customWidth="1"/>
    <col min="6592" max="6592" width="8" style="142" customWidth="1"/>
    <col min="6593" max="6593" width="10.83203125" style="142" bestFit="1" customWidth="1"/>
    <col min="6594" max="6594" width="12.27734375" style="142" bestFit="1" customWidth="1"/>
    <col min="6595" max="6595" width="8.1640625" style="142" bestFit="1" customWidth="1"/>
    <col min="6596" max="6596" width="10.83203125" style="142" bestFit="1" customWidth="1"/>
    <col min="6597" max="6597" width="12.27734375" style="142" bestFit="1" customWidth="1"/>
    <col min="6598" max="6598" width="18.27734375" style="142" bestFit="1" customWidth="1"/>
    <col min="6599" max="6599" width="10.83203125" style="142" bestFit="1" customWidth="1"/>
    <col min="6600" max="6835" width="8.83203125" style="142"/>
    <col min="6836" max="6836" width="38.27734375" style="142" customWidth="1"/>
    <col min="6837" max="6837" width="23.44140625" style="142" bestFit="1" customWidth="1"/>
    <col min="6838" max="6839" width="9.1640625" style="142" customWidth="1"/>
    <col min="6840" max="6840" width="11.27734375" style="142" bestFit="1" customWidth="1"/>
    <col min="6841" max="6841" width="14.44140625" style="142" bestFit="1" customWidth="1"/>
    <col min="6842" max="6842" width="8.1640625" style="142" customWidth="1"/>
    <col min="6843" max="6843" width="10.83203125" style="142" bestFit="1" customWidth="1"/>
    <col min="6844" max="6844" width="12.27734375" style="142" bestFit="1" customWidth="1"/>
    <col min="6845" max="6845" width="9.1640625" style="142" customWidth="1"/>
    <col min="6846" max="6846" width="10.83203125" style="142" bestFit="1" customWidth="1"/>
    <col min="6847" max="6847" width="12.27734375" style="142" bestFit="1" customWidth="1"/>
    <col min="6848" max="6848" width="8" style="142" customWidth="1"/>
    <col min="6849" max="6849" width="10.83203125" style="142" bestFit="1" customWidth="1"/>
    <col min="6850" max="6850" width="12.27734375" style="142" bestFit="1" customWidth="1"/>
    <col min="6851" max="6851" width="8.1640625" style="142" bestFit="1" customWidth="1"/>
    <col min="6852" max="6852" width="10.83203125" style="142" bestFit="1" customWidth="1"/>
    <col min="6853" max="6853" width="12.27734375" style="142" bestFit="1" customWidth="1"/>
    <col min="6854" max="6854" width="18.27734375" style="142" bestFit="1" customWidth="1"/>
    <col min="6855" max="6855" width="10.83203125" style="142" bestFit="1" customWidth="1"/>
    <col min="6856" max="7091" width="8.83203125" style="142"/>
    <col min="7092" max="7092" width="38.27734375" style="142" customWidth="1"/>
    <col min="7093" max="7093" width="23.44140625" style="142" bestFit="1" customWidth="1"/>
    <col min="7094" max="7095" width="9.1640625" style="142" customWidth="1"/>
    <col min="7096" max="7096" width="11.27734375" style="142" bestFit="1" customWidth="1"/>
    <col min="7097" max="7097" width="14.44140625" style="142" bestFit="1" customWidth="1"/>
    <col min="7098" max="7098" width="8.1640625" style="142" customWidth="1"/>
    <col min="7099" max="7099" width="10.83203125" style="142" bestFit="1" customWidth="1"/>
    <col min="7100" max="7100" width="12.27734375" style="142" bestFit="1" customWidth="1"/>
    <col min="7101" max="7101" width="9.1640625" style="142" customWidth="1"/>
    <col min="7102" max="7102" width="10.83203125" style="142" bestFit="1" customWidth="1"/>
    <col min="7103" max="7103" width="12.27734375" style="142" bestFit="1" customWidth="1"/>
    <col min="7104" max="7104" width="8" style="142" customWidth="1"/>
    <col min="7105" max="7105" width="10.83203125" style="142" bestFit="1" customWidth="1"/>
    <col min="7106" max="7106" width="12.27734375" style="142" bestFit="1" customWidth="1"/>
    <col min="7107" max="7107" width="8.1640625" style="142" bestFit="1" customWidth="1"/>
    <col min="7108" max="7108" width="10.83203125" style="142" bestFit="1" customWidth="1"/>
    <col min="7109" max="7109" width="12.27734375" style="142" bestFit="1" customWidth="1"/>
    <col min="7110" max="7110" width="18.27734375" style="142" bestFit="1" customWidth="1"/>
    <col min="7111" max="7111" width="10.83203125" style="142" bestFit="1" customWidth="1"/>
    <col min="7112" max="7347" width="8.83203125" style="142"/>
    <col min="7348" max="7348" width="38.27734375" style="142" customWidth="1"/>
    <col min="7349" max="7349" width="23.44140625" style="142" bestFit="1" customWidth="1"/>
    <col min="7350" max="7351" width="9.1640625" style="142" customWidth="1"/>
    <col min="7352" max="7352" width="11.27734375" style="142" bestFit="1" customWidth="1"/>
    <col min="7353" max="7353" width="14.44140625" style="142" bestFit="1" customWidth="1"/>
    <col min="7354" max="7354" width="8.1640625" style="142" customWidth="1"/>
    <col min="7355" max="7355" width="10.83203125" style="142" bestFit="1" customWidth="1"/>
    <col min="7356" max="7356" width="12.27734375" style="142" bestFit="1" customWidth="1"/>
    <col min="7357" max="7357" width="9.1640625" style="142" customWidth="1"/>
    <col min="7358" max="7358" width="10.83203125" style="142" bestFit="1" customWidth="1"/>
    <col min="7359" max="7359" width="12.27734375" style="142" bestFit="1" customWidth="1"/>
    <col min="7360" max="7360" width="8" style="142" customWidth="1"/>
    <col min="7361" max="7361" width="10.83203125" style="142" bestFit="1" customWidth="1"/>
    <col min="7362" max="7362" width="12.27734375" style="142" bestFit="1" customWidth="1"/>
    <col min="7363" max="7363" width="8.1640625" style="142" bestFit="1" customWidth="1"/>
    <col min="7364" max="7364" width="10.83203125" style="142" bestFit="1" customWidth="1"/>
    <col min="7365" max="7365" width="12.27734375" style="142" bestFit="1" customWidth="1"/>
    <col min="7366" max="7366" width="18.27734375" style="142" bestFit="1" customWidth="1"/>
    <col min="7367" max="7367" width="10.83203125" style="142" bestFit="1" customWidth="1"/>
    <col min="7368" max="7603" width="8.83203125" style="142"/>
    <col min="7604" max="7604" width="38.27734375" style="142" customWidth="1"/>
    <col min="7605" max="7605" width="23.44140625" style="142" bestFit="1" customWidth="1"/>
    <col min="7606" max="7607" width="9.1640625" style="142" customWidth="1"/>
    <col min="7608" max="7608" width="11.27734375" style="142" bestFit="1" customWidth="1"/>
    <col min="7609" max="7609" width="14.44140625" style="142" bestFit="1" customWidth="1"/>
    <col min="7610" max="7610" width="8.1640625" style="142" customWidth="1"/>
    <col min="7611" max="7611" width="10.83203125" style="142" bestFit="1" customWidth="1"/>
    <col min="7612" max="7612" width="12.27734375" style="142" bestFit="1" customWidth="1"/>
    <col min="7613" max="7613" width="9.1640625" style="142" customWidth="1"/>
    <col min="7614" max="7614" width="10.83203125" style="142" bestFit="1" customWidth="1"/>
    <col min="7615" max="7615" width="12.27734375" style="142" bestFit="1" customWidth="1"/>
    <col min="7616" max="7616" width="8" style="142" customWidth="1"/>
    <col min="7617" max="7617" width="10.83203125" style="142" bestFit="1" customWidth="1"/>
    <col min="7618" max="7618" width="12.27734375" style="142" bestFit="1" customWidth="1"/>
    <col min="7619" max="7619" width="8.1640625" style="142" bestFit="1" customWidth="1"/>
    <col min="7620" max="7620" width="10.83203125" style="142" bestFit="1" customWidth="1"/>
    <col min="7621" max="7621" width="12.27734375" style="142" bestFit="1" customWidth="1"/>
    <col min="7622" max="7622" width="18.27734375" style="142" bestFit="1" customWidth="1"/>
    <col min="7623" max="7623" width="10.83203125" style="142" bestFit="1" customWidth="1"/>
    <col min="7624" max="7859" width="8.83203125" style="142"/>
    <col min="7860" max="7860" width="38.27734375" style="142" customWidth="1"/>
    <col min="7861" max="7861" width="23.44140625" style="142" bestFit="1" customWidth="1"/>
    <col min="7862" max="7863" width="9.1640625" style="142" customWidth="1"/>
    <col min="7864" max="7864" width="11.27734375" style="142" bestFit="1" customWidth="1"/>
    <col min="7865" max="7865" width="14.44140625" style="142" bestFit="1" customWidth="1"/>
    <col min="7866" max="7866" width="8.1640625" style="142" customWidth="1"/>
    <col min="7867" max="7867" width="10.83203125" style="142" bestFit="1" customWidth="1"/>
    <col min="7868" max="7868" width="12.27734375" style="142" bestFit="1" customWidth="1"/>
    <col min="7869" max="7869" width="9.1640625" style="142" customWidth="1"/>
    <col min="7870" max="7870" width="10.83203125" style="142" bestFit="1" customWidth="1"/>
    <col min="7871" max="7871" width="12.27734375" style="142" bestFit="1" customWidth="1"/>
    <col min="7872" max="7872" width="8" style="142" customWidth="1"/>
    <col min="7873" max="7873" width="10.83203125" style="142" bestFit="1" customWidth="1"/>
    <col min="7874" max="7874" width="12.27734375" style="142" bestFit="1" customWidth="1"/>
    <col min="7875" max="7875" width="8.1640625" style="142" bestFit="1" customWidth="1"/>
    <col min="7876" max="7876" width="10.83203125" style="142" bestFit="1" customWidth="1"/>
    <col min="7877" max="7877" width="12.27734375" style="142" bestFit="1" customWidth="1"/>
    <col min="7878" max="7878" width="18.27734375" style="142" bestFit="1" customWidth="1"/>
    <col min="7879" max="7879" width="10.83203125" style="142" bestFit="1" customWidth="1"/>
    <col min="7880" max="8115" width="8.83203125" style="142"/>
    <col min="8116" max="8116" width="38.27734375" style="142" customWidth="1"/>
    <col min="8117" max="8117" width="23.44140625" style="142" bestFit="1" customWidth="1"/>
    <col min="8118" max="8119" width="9.1640625" style="142" customWidth="1"/>
    <col min="8120" max="8120" width="11.27734375" style="142" bestFit="1" customWidth="1"/>
    <col min="8121" max="8121" width="14.44140625" style="142" bestFit="1" customWidth="1"/>
    <col min="8122" max="8122" width="8.1640625" style="142" customWidth="1"/>
    <col min="8123" max="8123" width="10.83203125" style="142" bestFit="1" customWidth="1"/>
    <col min="8124" max="8124" width="12.27734375" style="142" bestFit="1" customWidth="1"/>
    <col min="8125" max="8125" width="9.1640625" style="142" customWidth="1"/>
    <col min="8126" max="8126" width="10.83203125" style="142" bestFit="1" customWidth="1"/>
    <col min="8127" max="8127" width="12.27734375" style="142" bestFit="1" customWidth="1"/>
    <col min="8128" max="8128" width="8" style="142" customWidth="1"/>
    <col min="8129" max="8129" width="10.83203125" style="142" bestFit="1" customWidth="1"/>
    <col min="8130" max="8130" width="12.27734375" style="142" bestFit="1" customWidth="1"/>
    <col min="8131" max="8131" width="8.1640625" style="142" bestFit="1" customWidth="1"/>
    <col min="8132" max="8132" width="10.83203125" style="142" bestFit="1" customWidth="1"/>
    <col min="8133" max="8133" width="12.27734375" style="142" bestFit="1" customWidth="1"/>
    <col min="8134" max="8134" width="18.27734375" style="142" bestFit="1" customWidth="1"/>
    <col min="8135" max="8135" width="10.83203125" style="142" bestFit="1" customWidth="1"/>
    <col min="8136" max="8371" width="8.83203125" style="142"/>
    <col min="8372" max="8372" width="38.27734375" style="142" customWidth="1"/>
    <col min="8373" max="8373" width="23.44140625" style="142" bestFit="1" customWidth="1"/>
    <col min="8374" max="8375" width="9.1640625" style="142" customWidth="1"/>
    <col min="8376" max="8376" width="11.27734375" style="142" bestFit="1" customWidth="1"/>
    <col min="8377" max="8377" width="14.44140625" style="142" bestFit="1" customWidth="1"/>
    <col min="8378" max="8378" width="8.1640625" style="142" customWidth="1"/>
    <col min="8379" max="8379" width="10.83203125" style="142" bestFit="1" customWidth="1"/>
    <col min="8380" max="8380" width="12.27734375" style="142" bestFit="1" customWidth="1"/>
    <col min="8381" max="8381" width="9.1640625" style="142" customWidth="1"/>
    <col min="8382" max="8382" width="10.83203125" style="142" bestFit="1" customWidth="1"/>
    <col min="8383" max="8383" width="12.27734375" style="142" bestFit="1" customWidth="1"/>
    <col min="8384" max="8384" width="8" style="142" customWidth="1"/>
    <col min="8385" max="8385" width="10.83203125" style="142" bestFit="1" customWidth="1"/>
    <col min="8386" max="8386" width="12.27734375" style="142" bestFit="1" customWidth="1"/>
    <col min="8387" max="8387" width="8.1640625" style="142" bestFit="1" customWidth="1"/>
    <col min="8388" max="8388" width="10.83203125" style="142" bestFit="1" customWidth="1"/>
    <col min="8389" max="8389" width="12.27734375" style="142" bestFit="1" customWidth="1"/>
    <col min="8390" max="8390" width="18.27734375" style="142" bestFit="1" customWidth="1"/>
    <col min="8391" max="8391" width="10.83203125" style="142" bestFit="1" customWidth="1"/>
    <col min="8392" max="8627" width="8.83203125" style="142"/>
    <col min="8628" max="8628" width="38.27734375" style="142" customWidth="1"/>
    <col min="8629" max="8629" width="23.44140625" style="142" bestFit="1" customWidth="1"/>
    <col min="8630" max="8631" width="9.1640625" style="142" customWidth="1"/>
    <col min="8632" max="8632" width="11.27734375" style="142" bestFit="1" customWidth="1"/>
    <col min="8633" max="8633" width="14.44140625" style="142" bestFit="1" customWidth="1"/>
    <col min="8634" max="8634" width="8.1640625" style="142" customWidth="1"/>
    <col min="8635" max="8635" width="10.83203125" style="142" bestFit="1" customWidth="1"/>
    <col min="8636" max="8636" width="12.27734375" style="142" bestFit="1" customWidth="1"/>
    <col min="8637" max="8637" width="9.1640625" style="142" customWidth="1"/>
    <col min="8638" max="8638" width="10.83203125" style="142" bestFit="1" customWidth="1"/>
    <col min="8639" max="8639" width="12.27734375" style="142" bestFit="1" customWidth="1"/>
    <col min="8640" max="8640" width="8" style="142" customWidth="1"/>
    <col min="8641" max="8641" width="10.83203125" style="142" bestFit="1" customWidth="1"/>
    <col min="8642" max="8642" width="12.27734375" style="142" bestFit="1" customWidth="1"/>
    <col min="8643" max="8643" width="8.1640625" style="142" bestFit="1" customWidth="1"/>
    <col min="8644" max="8644" width="10.83203125" style="142" bestFit="1" customWidth="1"/>
    <col min="8645" max="8645" width="12.27734375" style="142" bestFit="1" customWidth="1"/>
    <col min="8646" max="8646" width="18.27734375" style="142" bestFit="1" customWidth="1"/>
    <col min="8647" max="8647" width="10.83203125" style="142" bestFit="1" customWidth="1"/>
    <col min="8648" max="8883" width="8.83203125" style="142"/>
    <col min="8884" max="8884" width="38.27734375" style="142" customWidth="1"/>
    <col min="8885" max="8885" width="23.44140625" style="142" bestFit="1" customWidth="1"/>
    <col min="8886" max="8887" width="9.1640625" style="142" customWidth="1"/>
    <col min="8888" max="8888" width="11.27734375" style="142" bestFit="1" customWidth="1"/>
    <col min="8889" max="8889" width="14.44140625" style="142" bestFit="1" customWidth="1"/>
    <col min="8890" max="8890" width="8.1640625" style="142" customWidth="1"/>
    <col min="8891" max="8891" width="10.83203125" style="142" bestFit="1" customWidth="1"/>
    <col min="8892" max="8892" width="12.27734375" style="142" bestFit="1" customWidth="1"/>
    <col min="8893" max="8893" width="9.1640625" style="142" customWidth="1"/>
    <col min="8894" max="8894" width="10.83203125" style="142" bestFit="1" customWidth="1"/>
    <col min="8895" max="8895" width="12.27734375" style="142" bestFit="1" customWidth="1"/>
    <col min="8896" max="8896" width="8" style="142" customWidth="1"/>
    <col min="8897" max="8897" width="10.83203125" style="142" bestFit="1" customWidth="1"/>
    <col min="8898" max="8898" width="12.27734375" style="142" bestFit="1" customWidth="1"/>
    <col min="8899" max="8899" width="8.1640625" style="142" bestFit="1" customWidth="1"/>
    <col min="8900" max="8900" width="10.83203125" style="142" bestFit="1" customWidth="1"/>
    <col min="8901" max="8901" width="12.27734375" style="142" bestFit="1" customWidth="1"/>
    <col min="8902" max="8902" width="18.27734375" style="142" bestFit="1" customWidth="1"/>
    <col min="8903" max="8903" width="10.83203125" style="142" bestFit="1" customWidth="1"/>
    <col min="8904" max="9139" width="8.83203125" style="142"/>
    <col min="9140" max="9140" width="38.27734375" style="142" customWidth="1"/>
    <col min="9141" max="9141" width="23.44140625" style="142" bestFit="1" customWidth="1"/>
    <col min="9142" max="9143" width="9.1640625" style="142" customWidth="1"/>
    <col min="9144" max="9144" width="11.27734375" style="142" bestFit="1" customWidth="1"/>
    <col min="9145" max="9145" width="14.44140625" style="142" bestFit="1" customWidth="1"/>
    <col min="9146" max="9146" width="8.1640625" style="142" customWidth="1"/>
    <col min="9147" max="9147" width="10.83203125" style="142" bestFit="1" customWidth="1"/>
    <col min="9148" max="9148" width="12.27734375" style="142" bestFit="1" customWidth="1"/>
    <col min="9149" max="9149" width="9.1640625" style="142" customWidth="1"/>
    <col min="9150" max="9150" width="10.83203125" style="142" bestFit="1" customWidth="1"/>
    <col min="9151" max="9151" width="12.27734375" style="142" bestFit="1" customWidth="1"/>
    <col min="9152" max="9152" width="8" style="142" customWidth="1"/>
    <col min="9153" max="9153" width="10.83203125" style="142" bestFit="1" customWidth="1"/>
    <col min="9154" max="9154" width="12.27734375" style="142" bestFit="1" customWidth="1"/>
    <col min="9155" max="9155" width="8.1640625" style="142" bestFit="1" customWidth="1"/>
    <col min="9156" max="9156" width="10.83203125" style="142" bestFit="1" customWidth="1"/>
    <col min="9157" max="9157" width="12.27734375" style="142" bestFit="1" customWidth="1"/>
    <col min="9158" max="9158" width="18.27734375" style="142" bestFit="1" customWidth="1"/>
    <col min="9159" max="9159" width="10.83203125" style="142" bestFit="1" customWidth="1"/>
    <col min="9160" max="9395" width="8.83203125" style="142"/>
    <col min="9396" max="9396" width="38.27734375" style="142" customWidth="1"/>
    <col min="9397" max="9397" width="23.44140625" style="142" bestFit="1" customWidth="1"/>
    <col min="9398" max="9399" width="9.1640625" style="142" customWidth="1"/>
    <col min="9400" max="9400" width="11.27734375" style="142" bestFit="1" customWidth="1"/>
    <col min="9401" max="9401" width="14.44140625" style="142" bestFit="1" customWidth="1"/>
    <col min="9402" max="9402" width="8.1640625" style="142" customWidth="1"/>
    <col min="9403" max="9403" width="10.83203125" style="142" bestFit="1" customWidth="1"/>
    <col min="9404" max="9404" width="12.27734375" style="142" bestFit="1" customWidth="1"/>
    <col min="9405" max="9405" width="9.1640625" style="142" customWidth="1"/>
    <col min="9406" max="9406" width="10.83203125" style="142" bestFit="1" customWidth="1"/>
    <col min="9407" max="9407" width="12.27734375" style="142" bestFit="1" customWidth="1"/>
    <col min="9408" max="9408" width="8" style="142" customWidth="1"/>
    <col min="9409" max="9409" width="10.83203125" style="142" bestFit="1" customWidth="1"/>
    <col min="9410" max="9410" width="12.27734375" style="142" bestFit="1" customWidth="1"/>
    <col min="9411" max="9411" width="8.1640625" style="142" bestFit="1" customWidth="1"/>
    <col min="9412" max="9412" width="10.83203125" style="142" bestFit="1" customWidth="1"/>
    <col min="9413" max="9413" width="12.27734375" style="142" bestFit="1" customWidth="1"/>
    <col min="9414" max="9414" width="18.27734375" style="142" bestFit="1" customWidth="1"/>
    <col min="9415" max="9415" width="10.83203125" style="142" bestFit="1" customWidth="1"/>
    <col min="9416" max="9651" width="8.83203125" style="142"/>
    <col min="9652" max="9652" width="38.27734375" style="142" customWidth="1"/>
    <col min="9653" max="9653" width="23.44140625" style="142" bestFit="1" customWidth="1"/>
    <col min="9654" max="9655" width="9.1640625" style="142" customWidth="1"/>
    <col min="9656" max="9656" width="11.27734375" style="142" bestFit="1" customWidth="1"/>
    <col min="9657" max="9657" width="14.44140625" style="142" bestFit="1" customWidth="1"/>
    <col min="9658" max="9658" width="8.1640625" style="142" customWidth="1"/>
    <col min="9659" max="9659" width="10.83203125" style="142" bestFit="1" customWidth="1"/>
    <col min="9660" max="9660" width="12.27734375" style="142" bestFit="1" customWidth="1"/>
    <col min="9661" max="9661" width="9.1640625" style="142" customWidth="1"/>
    <col min="9662" max="9662" width="10.83203125" style="142" bestFit="1" customWidth="1"/>
    <col min="9663" max="9663" width="12.27734375" style="142" bestFit="1" customWidth="1"/>
    <col min="9664" max="9664" width="8" style="142" customWidth="1"/>
    <col min="9665" max="9665" width="10.83203125" style="142" bestFit="1" customWidth="1"/>
    <col min="9666" max="9666" width="12.27734375" style="142" bestFit="1" customWidth="1"/>
    <col min="9667" max="9667" width="8.1640625" style="142" bestFit="1" customWidth="1"/>
    <col min="9668" max="9668" width="10.83203125" style="142" bestFit="1" customWidth="1"/>
    <col min="9669" max="9669" width="12.27734375" style="142" bestFit="1" customWidth="1"/>
    <col min="9670" max="9670" width="18.27734375" style="142" bestFit="1" customWidth="1"/>
    <col min="9671" max="9671" width="10.83203125" style="142" bestFit="1" customWidth="1"/>
    <col min="9672" max="9907" width="8.83203125" style="142"/>
    <col min="9908" max="9908" width="38.27734375" style="142" customWidth="1"/>
    <col min="9909" max="9909" width="23.44140625" style="142" bestFit="1" customWidth="1"/>
    <col min="9910" max="9911" width="9.1640625" style="142" customWidth="1"/>
    <col min="9912" max="9912" width="11.27734375" style="142" bestFit="1" customWidth="1"/>
    <col min="9913" max="9913" width="14.44140625" style="142" bestFit="1" customWidth="1"/>
    <col min="9914" max="9914" width="8.1640625" style="142" customWidth="1"/>
    <col min="9915" max="9915" width="10.83203125" style="142" bestFit="1" customWidth="1"/>
    <col min="9916" max="9916" width="12.27734375" style="142" bestFit="1" customWidth="1"/>
    <col min="9917" max="9917" width="9.1640625" style="142" customWidth="1"/>
    <col min="9918" max="9918" width="10.83203125" style="142" bestFit="1" customWidth="1"/>
    <col min="9919" max="9919" width="12.27734375" style="142" bestFit="1" customWidth="1"/>
    <col min="9920" max="9920" width="8" style="142" customWidth="1"/>
    <col min="9921" max="9921" width="10.83203125" style="142" bestFit="1" customWidth="1"/>
    <col min="9922" max="9922" width="12.27734375" style="142" bestFit="1" customWidth="1"/>
    <col min="9923" max="9923" width="8.1640625" style="142" bestFit="1" customWidth="1"/>
    <col min="9924" max="9924" width="10.83203125" style="142" bestFit="1" customWidth="1"/>
    <col min="9925" max="9925" width="12.27734375" style="142" bestFit="1" customWidth="1"/>
    <col min="9926" max="9926" width="18.27734375" style="142" bestFit="1" customWidth="1"/>
    <col min="9927" max="9927" width="10.83203125" style="142" bestFit="1" customWidth="1"/>
    <col min="9928" max="10163" width="8.83203125" style="142"/>
    <col min="10164" max="10164" width="38.27734375" style="142" customWidth="1"/>
    <col min="10165" max="10165" width="23.44140625" style="142" bestFit="1" customWidth="1"/>
    <col min="10166" max="10167" width="9.1640625" style="142" customWidth="1"/>
    <col min="10168" max="10168" width="11.27734375" style="142" bestFit="1" customWidth="1"/>
    <col min="10169" max="10169" width="14.44140625" style="142" bestFit="1" customWidth="1"/>
    <col min="10170" max="10170" width="8.1640625" style="142" customWidth="1"/>
    <col min="10171" max="10171" width="10.83203125" style="142" bestFit="1" customWidth="1"/>
    <col min="10172" max="10172" width="12.27734375" style="142" bestFit="1" customWidth="1"/>
    <col min="10173" max="10173" width="9.1640625" style="142" customWidth="1"/>
    <col min="10174" max="10174" width="10.83203125" style="142" bestFit="1" customWidth="1"/>
    <col min="10175" max="10175" width="12.27734375" style="142" bestFit="1" customWidth="1"/>
    <col min="10176" max="10176" width="8" style="142" customWidth="1"/>
    <col min="10177" max="10177" width="10.83203125" style="142" bestFit="1" customWidth="1"/>
    <col min="10178" max="10178" width="12.27734375" style="142" bestFit="1" customWidth="1"/>
    <col min="10179" max="10179" width="8.1640625" style="142" bestFit="1" customWidth="1"/>
    <col min="10180" max="10180" width="10.83203125" style="142" bestFit="1" customWidth="1"/>
    <col min="10181" max="10181" width="12.27734375" style="142" bestFit="1" customWidth="1"/>
    <col min="10182" max="10182" width="18.27734375" style="142" bestFit="1" customWidth="1"/>
    <col min="10183" max="10183" width="10.83203125" style="142" bestFit="1" customWidth="1"/>
    <col min="10184" max="10419" width="8.83203125" style="142"/>
    <col min="10420" max="10420" width="38.27734375" style="142" customWidth="1"/>
    <col min="10421" max="10421" width="23.44140625" style="142" bestFit="1" customWidth="1"/>
    <col min="10422" max="10423" width="9.1640625" style="142" customWidth="1"/>
    <col min="10424" max="10424" width="11.27734375" style="142" bestFit="1" customWidth="1"/>
    <col min="10425" max="10425" width="14.44140625" style="142" bestFit="1" customWidth="1"/>
    <col min="10426" max="10426" width="8.1640625" style="142" customWidth="1"/>
    <col min="10427" max="10427" width="10.83203125" style="142" bestFit="1" customWidth="1"/>
    <col min="10428" max="10428" width="12.27734375" style="142" bestFit="1" customWidth="1"/>
    <col min="10429" max="10429" width="9.1640625" style="142" customWidth="1"/>
    <col min="10430" max="10430" width="10.83203125" style="142" bestFit="1" customWidth="1"/>
    <col min="10431" max="10431" width="12.27734375" style="142" bestFit="1" customWidth="1"/>
    <col min="10432" max="10432" width="8" style="142" customWidth="1"/>
    <col min="10433" max="10433" width="10.83203125" style="142" bestFit="1" customWidth="1"/>
    <col min="10434" max="10434" width="12.27734375" style="142" bestFit="1" customWidth="1"/>
    <col min="10435" max="10435" width="8.1640625" style="142" bestFit="1" customWidth="1"/>
    <col min="10436" max="10436" width="10.83203125" style="142" bestFit="1" customWidth="1"/>
    <col min="10437" max="10437" width="12.27734375" style="142" bestFit="1" customWidth="1"/>
    <col min="10438" max="10438" width="18.27734375" style="142" bestFit="1" customWidth="1"/>
    <col min="10439" max="10439" width="10.83203125" style="142" bestFit="1" customWidth="1"/>
    <col min="10440" max="10675" width="8.83203125" style="142"/>
    <col min="10676" max="10676" width="38.27734375" style="142" customWidth="1"/>
    <col min="10677" max="10677" width="23.44140625" style="142" bestFit="1" customWidth="1"/>
    <col min="10678" max="10679" width="9.1640625" style="142" customWidth="1"/>
    <col min="10680" max="10680" width="11.27734375" style="142" bestFit="1" customWidth="1"/>
    <col min="10681" max="10681" width="14.44140625" style="142" bestFit="1" customWidth="1"/>
    <col min="10682" max="10682" width="8.1640625" style="142" customWidth="1"/>
    <col min="10683" max="10683" width="10.83203125" style="142" bestFit="1" customWidth="1"/>
    <col min="10684" max="10684" width="12.27734375" style="142" bestFit="1" customWidth="1"/>
    <col min="10685" max="10685" width="9.1640625" style="142" customWidth="1"/>
    <col min="10686" max="10686" width="10.83203125" style="142" bestFit="1" customWidth="1"/>
    <col min="10687" max="10687" width="12.27734375" style="142" bestFit="1" customWidth="1"/>
    <col min="10688" max="10688" width="8" style="142" customWidth="1"/>
    <col min="10689" max="10689" width="10.83203125" style="142" bestFit="1" customWidth="1"/>
    <col min="10690" max="10690" width="12.27734375" style="142" bestFit="1" customWidth="1"/>
    <col min="10691" max="10691" width="8.1640625" style="142" bestFit="1" customWidth="1"/>
    <col min="10692" max="10692" width="10.83203125" style="142" bestFit="1" customWidth="1"/>
    <col min="10693" max="10693" width="12.27734375" style="142" bestFit="1" customWidth="1"/>
    <col min="10694" max="10694" width="18.27734375" style="142" bestFit="1" customWidth="1"/>
    <col min="10695" max="10695" width="10.83203125" style="142" bestFit="1" customWidth="1"/>
    <col min="10696" max="10931" width="8.83203125" style="142"/>
    <col min="10932" max="10932" width="38.27734375" style="142" customWidth="1"/>
    <col min="10933" max="10933" width="23.44140625" style="142" bestFit="1" customWidth="1"/>
    <col min="10934" max="10935" width="9.1640625" style="142" customWidth="1"/>
    <col min="10936" max="10936" width="11.27734375" style="142" bestFit="1" customWidth="1"/>
    <col min="10937" max="10937" width="14.44140625" style="142" bestFit="1" customWidth="1"/>
    <col min="10938" max="10938" width="8.1640625" style="142" customWidth="1"/>
    <col min="10939" max="10939" width="10.83203125" style="142" bestFit="1" customWidth="1"/>
    <col min="10940" max="10940" width="12.27734375" style="142" bestFit="1" customWidth="1"/>
    <col min="10941" max="10941" width="9.1640625" style="142" customWidth="1"/>
    <col min="10942" max="10942" width="10.83203125" style="142" bestFit="1" customWidth="1"/>
    <col min="10943" max="10943" width="12.27734375" style="142" bestFit="1" customWidth="1"/>
    <col min="10944" max="10944" width="8" style="142" customWidth="1"/>
    <col min="10945" max="10945" width="10.83203125" style="142" bestFit="1" customWidth="1"/>
    <col min="10946" max="10946" width="12.27734375" style="142" bestFit="1" customWidth="1"/>
    <col min="10947" max="10947" width="8.1640625" style="142" bestFit="1" customWidth="1"/>
    <col min="10948" max="10948" width="10.83203125" style="142" bestFit="1" customWidth="1"/>
    <col min="10949" max="10949" width="12.27734375" style="142" bestFit="1" customWidth="1"/>
    <col min="10950" max="10950" width="18.27734375" style="142" bestFit="1" customWidth="1"/>
    <col min="10951" max="10951" width="10.83203125" style="142" bestFit="1" customWidth="1"/>
    <col min="10952" max="11187" width="8.83203125" style="142"/>
    <col min="11188" max="11188" width="38.27734375" style="142" customWidth="1"/>
    <col min="11189" max="11189" width="23.44140625" style="142" bestFit="1" customWidth="1"/>
    <col min="11190" max="11191" width="9.1640625" style="142" customWidth="1"/>
    <col min="11192" max="11192" width="11.27734375" style="142" bestFit="1" customWidth="1"/>
    <col min="11193" max="11193" width="14.44140625" style="142" bestFit="1" customWidth="1"/>
    <col min="11194" max="11194" width="8.1640625" style="142" customWidth="1"/>
    <col min="11195" max="11195" width="10.83203125" style="142" bestFit="1" customWidth="1"/>
    <col min="11196" max="11196" width="12.27734375" style="142" bestFit="1" customWidth="1"/>
    <col min="11197" max="11197" width="9.1640625" style="142" customWidth="1"/>
    <col min="11198" max="11198" width="10.83203125" style="142" bestFit="1" customWidth="1"/>
    <col min="11199" max="11199" width="12.27734375" style="142" bestFit="1" customWidth="1"/>
    <col min="11200" max="11200" width="8" style="142" customWidth="1"/>
    <col min="11201" max="11201" width="10.83203125" style="142" bestFit="1" customWidth="1"/>
    <col min="11202" max="11202" width="12.27734375" style="142" bestFit="1" customWidth="1"/>
    <col min="11203" max="11203" width="8.1640625" style="142" bestFit="1" customWidth="1"/>
    <col min="11204" max="11204" width="10.83203125" style="142" bestFit="1" customWidth="1"/>
    <col min="11205" max="11205" width="12.27734375" style="142" bestFit="1" customWidth="1"/>
    <col min="11206" max="11206" width="18.27734375" style="142" bestFit="1" customWidth="1"/>
    <col min="11207" max="11207" width="10.83203125" style="142" bestFit="1" customWidth="1"/>
    <col min="11208" max="11443" width="8.83203125" style="142"/>
    <col min="11444" max="11444" width="38.27734375" style="142" customWidth="1"/>
    <col min="11445" max="11445" width="23.44140625" style="142" bestFit="1" customWidth="1"/>
    <col min="11446" max="11447" width="9.1640625" style="142" customWidth="1"/>
    <col min="11448" max="11448" width="11.27734375" style="142" bestFit="1" customWidth="1"/>
    <col min="11449" max="11449" width="14.44140625" style="142" bestFit="1" customWidth="1"/>
    <col min="11450" max="11450" width="8.1640625" style="142" customWidth="1"/>
    <col min="11451" max="11451" width="10.83203125" style="142" bestFit="1" customWidth="1"/>
    <col min="11452" max="11452" width="12.27734375" style="142" bestFit="1" customWidth="1"/>
    <col min="11453" max="11453" width="9.1640625" style="142" customWidth="1"/>
    <col min="11454" max="11454" width="10.83203125" style="142" bestFit="1" customWidth="1"/>
    <col min="11455" max="11455" width="12.27734375" style="142" bestFit="1" customWidth="1"/>
    <col min="11456" max="11456" width="8" style="142" customWidth="1"/>
    <col min="11457" max="11457" width="10.83203125" style="142" bestFit="1" customWidth="1"/>
    <col min="11458" max="11458" width="12.27734375" style="142" bestFit="1" customWidth="1"/>
    <col min="11459" max="11459" width="8.1640625" style="142" bestFit="1" customWidth="1"/>
    <col min="11460" max="11460" width="10.83203125" style="142" bestFit="1" customWidth="1"/>
    <col min="11461" max="11461" width="12.27734375" style="142" bestFit="1" customWidth="1"/>
    <col min="11462" max="11462" width="18.27734375" style="142" bestFit="1" customWidth="1"/>
    <col min="11463" max="11463" width="10.83203125" style="142" bestFit="1" customWidth="1"/>
    <col min="11464" max="11699" width="8.83203125" style="142"/>
    <col min="11700" max="11700" width="38.27734375" style="142" customWidth="1"/>
    <col min="11701" max="11701" width="23.44140625" style="142" bestFit="1" customWidth="1"/>
    <col min="11702" max="11703" width="9.1640625" style="142" customWidth="1"/>
    <col min="11704" max="11704" width="11.27734375" style="142" bestFit="1" customWidth="1"/>
    <col min="11705" max="11705" width="14.44140625" style="142" bestFit="1" customWidth="1"/>
    <col min="11706" max="11706" width="8.1640625" style="142" customWidth="1"/>
    <col min="11707" max="11707" width="10.83203125" style="142" bestFit="1" customWidth="1"/>
    <col min="11708" max="11708" width="12.27734375" style="142" bestFit="1" customWidth="1"/>
    <col min="11709" max="11709" width="9.1640625" style="142" customWidth="1"/>
    <col min="11710" max="11710" width="10.83203125" style="142" bestFit="1" customWidth="1"/>
    <col min="11711" max="11711" width="12.27734375" style="142" bestFit="1" customWidth="1"/>
    <col min="11712" max="11712" width="8" style="142" customWidth="1"/>
    <col min="11713" max="11713" width="10.83203125" style="142" bestFit="1" customWidth="1"/>
    <col min="11714" max="11714" width="12.27734375" style="142" bestFit="1" customWidth="1"/>
    <col min="11715" max="11715" width="8.1640625" style="142" bestFit="1" customWidth="1"/>
    <col min="11716" max="11716" width="10.83203125" style="142" bestFit="1" customWidth="1"/>
    <col min="11717" max="11717" width="12.27734375" style="142" bestFit="1" customWidth="1"/>
    <col min="11718" max="11718" width="18.27734375" style="142" bestFit="1" customWidth="1"/>
    <col min="11719" max="11719" width="10.83203125" style="142" bestFit="1" customWidth="1"/>
    <col min="11720" max="11955" width="8.83203125" style="142"/>
    <col min="11956" max="11956" width="38.27734375" style="142" customWidth="1"/>
    <col min="11957" max="11957" width="23.44140625" style="142" bestFit="1" customWidth="1"/>
    <col min="11958" max="11959" width="9.1640625" style="142" customWidth="1"/>
    <col min="11960" max="11960" width="11.27734375" style="142" bestFit="1" customWidth="1"/>
    <col min="11961" max="11961" width="14.44140625" style="142" bestFit="1" customWidth="1"/>
    <col min="11962" max="11962" width="8.1640625" style="142" customWidth="1"/>
    <col min="11963" max="11963" width="10.83203125" style="142" bestFit="1" customWidth="1"/>
    <col min="11964" max="11964" width="12.27734375" style="142" bestFit="1" customWidth="1"/>
    <col min="11965" max="11965" width="9.1640625" style="142" customWidth="1"/>
    <col min="11966" max="11966" width="10.83203125" style="142" bestFit="1" customWidth="1"/>
    <col min="11967" max="11967" width="12.27734375" style="142" bestFit="1" customWidth="1"/>
    <col min="11968" max="11968" width="8" style="142" customWidth="1"/>
    <col min="11969" max="11969" width="10.83203125" style="142" bestFit="1" customWidth="1"/>
    <col min="11970" max="11970" width="12.27734375" style="142" bestFit="1" customWidth="1"/>
    <col min="11971" max="11971" width="8.1640625" style="142" bestFit="1" customWidth="1"/>
    <col min="11972" max="11972" width="10.83203125" style="142" bestFit="1" customWidth="1"/>
    <col min="11973" max="11973" width="12.27734375" style="142" bestFit="1" customWidth="1"/>
    <col min="11974" max="11974" width="18.27734375" style="142" bestFit="1" customWidth="1"/>
    <col min="11975" max="11975" width="10.83203125" style="142" bestFit="1" customWidth="1"/>
    <col min="11976" max="12211" width="8.83203125" style="142"/>
    <col min="12212" max="12212" width="38.27734375" style="142" customWidth="1"/>
    <col min="12213" max="12213" width="23.44140625" style="142" bestFit="1" customWidth="1"/>
    <col min="12214" max="12215" width="9.1640625" style="142" customWidth="1"/>
    <col min="12216" max="12216" width="11.27734375" style="142" bestFit="1" customWidth="1"/>
    <col min="12217" max="12217" width="14.44140625" style="142" bestFit="1" customWidth="1"/>
    <col min="12218" max="12218" width="8.1640625" style="142" customWidth="1"/>
    <col min="12219" max="12219" width="10.83203125" style="142" bestFit="1" customWidth="1"/>
    <col min="12220" max="12220" width="12.27734375" style="142" bestFit="1" customWidth="1"/>
    <col min="12221" max="12221" width="9.1640625" style="142" customWidth="1"/>
    <col min="12222" max="12222" width="10.83203125" style="142" bestFit="1" customWidth="1"/>
    <col min="12223" max="12223" width="12.27734375" style="142" bestFit="1" customWidth="1"/>
    <col min="12224" max="12224" width="8" style="142" customWidth="1"/>
    <col min="12225" max="12225" width="10.83203125" style="142" bestFit="1" customWidth="1"/>
    <col min="12226" max="12226" width="12.27734375" style="142" bestFit="1" customWidth="1"/>
    <col min="12227" max="12227" width="8.1640625" style="142" bestFit="1" customWidth="1"/>
    <col min="12228" max="12228" width="10.83203125" style="142" bestFit="1" customWidth="1"/>
    <col min="12229" max="12229" width="12.27734375" style="142" bestFit="1" customWidth="1"/>
    <col min="12230" max="12230" width="18.27734375" style="142" bestFit="1" customWidth="1"/>
    <col min="12231" max="12231" width="10.83203125" style="142" bestFit="1" customWidth="1"/>
    <col min="12232" max="12467" width="8.83203125" style="142"/>
    <col min="12468" max="12468" width="38.27734375" style="142" customWidth="1"/>
    <col min="12469" max="12469" width="23.44140625" style="142" bestFit="1" customWidth="1"/>
    <col min="12470" max="12471" width="9.1640625" style="142" customWidth="1"/>
    <col min="12472" max="12472" width="11.27734375" style="142" bestFit="1" customWidth="1"/>
    <col min="12473" max="12473" width="14.44140625" style="142" bestFit="1" customWidth="1"/>
    <col min="12474" max="12474" width="8.1640625" style="142" customWidth="1"/>
    <col min="12475" max="12475" width="10.83203125" style="142" bestFit="1" customWidth="1"/>
    <col min="12476" max="12476" width="12.27734375" style="142" bestFit="1" customWidth="1"/>
    <col min="12477" max="12477" width="9.1640625" style="142" customWidth="1"/>
    <col min="12478" max="12478" width="10.83203125" style="142" bestFit="1" customWidth="1"/>
    <col min="12479" max="12479" width="12.27734375" style="142" bestFit="1" customWidth="1"/>
    <col min="12480" max="12480" width="8" style="142" customWidth="1"/>
    <col min="12481" max="12481" width="10.83203125" style="142" bestFit="1" customWidth="1"/>
    <col min="12482" max="12482" width="12.27734375" style="142" bestFit="1" customWidth="1"/>
    <col min="12483" max="12483" width="8.1640625" style="142" bestFit="1" customWidth="1"/>
    <col min="12484" max="12484" width="10.83203125" style="142" bestFit="1" customWidth="1"/>
    <col min="12485" max="12485" width="12.27734375" style="142" bestFit="1" customWidth="1"/>
    <col min="12486" max="12486" width="18.27734375" style="142" bestFit="1" customWidth="1"/>
    <col min="12487" max="12487" width="10.83203125" style="142" bestFit="1" customWidth="1"/>
    <col min="12488" max="12723" width="8.83203125" style="142"/>
    <col min="12724" max="12724" width="38.27734375" style="142" customWidth="1"/>
    <col min="12725" max="12725" width="23.44140625" style="142" bestFit="1" customWidth="1"/>
    <col min="12726" max="12727" width="9.1640625" style="142" customWidth="1"/>
    <col min="12728" max="12728" width="11.27734375" style="142" bestFit="1" customWidth="1"/>
    <col min="12729" max="12729" width="14.44140625" style="142" bestFit="1" customWidth="1"/>
    <col min="12730" max="12730" width="8.1640625" style="142" customWidth="1"/>
    <col min="12731" max="12731" width="10.83203125" style="142" bestFit="1" customWidth="1"/>
    <col min="12732" max="12732" width="12.27734375" style="142" bestFit="1" customWidth="1"/>
    <col min="12733" max="12733" width="9.1640625" style="142" customWidth="1"/>
    <col min="12734" max="12734" width="10.83203125" style="142" bestFit="1" customWidth="1"/>
    <col min="12735" max="12735" width="12.27734375" style="142" bestFit="1" customWidth="1"/>
    <col min="12736" max="12736" width="8" style="142" customWidth="1"/>
    <col min="12737" max="12737" width="10.83203125" style="142" bestFit="1" customWidth="1"/>
    <col min="12738" max="12738" width="12.27734375" style="142" bestFit="1" customWidth="1"/>
    <col min="12739" max="12739" width="8.1640625" style="142" bestFit="1" customWidth="1"/>
    <col min="12740" max="12740" width="10.83203125" style="142" bestFit="1" customWidth="1"/>
    <col min="12741" max="12741" width="12.27734375" style="142" bestFit="1" customWidth="1"/>
    <col min="12742" max="12742" width="18.27734375" style="142" bestFit="1" customWidth="1"/>
    <col min="12743" max="12743" width="10.83203125" style="142" bestFit="1" customWidth="1"/>
    <col min="12744" max="12979" width="8.83203125" style="142"/>
    <col min="12980" max="12980" width="38.27734375" style="142" customWidth="1"/>
    <col min="12981" max="12981" width="23.44140625" style="142" bestFit="1" customWidth="1"/>
    <col min="12982" max="12983" width="9.1640625" style="142" customWidth="1"/>
    <col min="12984" max="12984" width="11.27734375" style="142" bestFit="1" customWidth="1"/>
    <col min="12985" max="12985" width="14.44140625" style="142" bestFit="1" customWidth="1"/>
    <col min="12986" max="12986" width="8.1640625" style="142" customWidth="1"/>
    <col min="12987" max="12987" width="10.83203125" style="142" bestFit="1" customWidth="1"/>
    <col min="12988" max="12988" width="12.27734375" style="142" bestFit="1" customWidth="1"/>
    <col min="12989" max="12989" width="9.1640625" style="142" customWidth="1"/>
    <col min="12990" max="12990" width="10.83203125" style="142" bestFit="1" customWidth="1"/>
    <col min="12991" max="12991" width="12.27734375" style="142" bestFit="1" customWidth="1"/>
    <col min="12992" max="12992" width="8" style="142" customWidth="1"/>
    <col min="12993" max="12993" width="10.83203125" style="142" bestFit="1" customWidth="1"/>
    <col min="12994" max="12994" width="12.27734375" style="142" bestFit="1" customWidth="1"/>
    <col min="12995" max="12995" width="8.1640625" style="142" bestFit="1" customWidth="1"/>
    <col min="12996" max="12996" width="10.83203125" style="142" bestFit="1" customWidth="1"/>
    <col min="12997" max="12997" width="12.27734375" style="142" bestFit="1" customWidth="1"/>
    <col min="12998" max="12998" width="18.27734375" style="142" bestFit="1" customWidth="1"/>
    <col min="12999" max="12999" width="10.83203125" style="142" bestFit="1" customWidth="1"/>
    <col min="13000" max="13235" width="8.83203125" style="142"/>
    <col min="13236" max="13236" width="38.27734375" style="142" customWidth="1"/>
    <col min="13237" max="13237" width="23.44140625" style="142" bestFit="1" customWidth="1"/>
    <col min="13238" max="13239" width="9.1640625" style="142" customWidth="1"/>
    <col min="13240" max="13240" width="11.27734375" style="142" bestFit="1" customWidth="1"/>
    <col min="13241" max="13241" width="14.44140625" style="142" bestFit="1" customWidth="1"/>
    <col min="13242" max="13242" width="8.1640625" style="142" customWidth="1"/>
    <col min="13243" max="13243" width="10.83203125" style="142" bestFit="1" customWidth="1"/>
    <col min="13244" max="13244" width="12.27734375" style="142" bestFit="1" customWidth="1"/>
    <col min="13245" max="13245" width="9.1640625" style="142" customWidth="1"/>
    <col min="13246" max="13246" width="10.83203125" style="142" bestFit="1" customWidth="1"/>
    <col min="13247" max="13247" width="12.27734375" style="142" bestFit="1" customWidth="1"/>
    <col min="13248" max="13248" width="8" style="142" customWidth="1"/>
    <col min="13249" max="13249" width="10.83203125" style="142" bestFit="1" customWidth="1"/>
    <col min="13250" max="13250" width="12.27734375" style="142" bestFit="1" customWidth="1"/>
    <col min="13251" max="13251" width="8.1640625" style="142" bestFit="1" customWidth="1"/>
    <col min="13252" max="13252" width="10.83203125" style="142" bestFit="1" customWidth="1"/>
    <col min="13253" max="13253" width="12.27734375" style="142" bestFit="1" customWidth="1"/>
    <col min="13254" max="13254" width="18.27734375" style="142" bestFit="1" customWidth="1"/>
    <col min="13255" max="13255" width="10.83203125" style="142" bestFit="1" customWidth="1"/>
    <col min="13256" max="13491" width="8.83203125" style="142"/>
    <col min="13492" max="13492" width="38.27734375" style="142" customWidth="1"/>
    <col min="13493" max="13493" width="23.44140625" style="142" bestFit="1" customWidth="1"/>
    <col min="13494" max="13495" width="9.1640625" style="142" customWidth="1"/>
    <col min="13496" max="13496" width="11.27734375" style="142" bestFit="1" customWidth="1"/>
    <col min="13497" max="13497" width="14.44140625" style="142" bestFit="1" customWidth="1"/>
    <col min="13498" max="13498" width="8.1640625" style="142" customWidth="1"/>
    <col min="13499" max="13499" width="10.83203125" style="142" bestFit="1" customWidth="1"/>
    <col min="13500" max="13500" width="12.27734375" style="142" bestFit="1" customWidth="1"/>
    <col min="13501" max="13501" width="9.1640625" style="142" customWidth="1"/>
    <col min="13502" max="13502" width="10.83203125" style="142" bestFit="1" customWidth="1"/>
    <col min="13503" max="13503" width="12.27734375" style="142" bestFit="1" customWidth="1"/>
    <col min="13504" max="13504" width="8" style="142" customWidth="1"/>
    <col min="13505" max="13505" width="10.83203125" style="142" bestFit="1" customWidth="1"/>
    <col min="13506" max="13506" width="12.27734375" style="142" bestFit="1" customWidth="1"/>
    <col min="13507" max="13507" width="8.1640625" style="142" bestFit="1" customWidth="1"/>
    <col min="13508" max="13508" width="10.83203125" style="142" bestFit="1" customWidth="1"/>
    <col min="13509" max="13509" width="12.27734375" style="142" bestFit="1" customWidth="1"/>
    <col min="13510" max="13510" width="18.27734375" style="142" bestFit="1" customWidth="1"/>
    <col min="13511" max="13511" width="10.83203125" style="142" bestFit="1" customWidth="1"/>
    <col min="13512" max="13747" width="8.83203125" style="142"/>
    <col min="13748" max="13748" width="38.27734375" style="142" customWidth="1"/>
    <col min="13749" max="13749" width="23.44140625" style="142" bestFit="1" customWidth="1"/>
    <col min="13750" max="13751" width="9.1640625" style="142" customWidth="1"/>
    <col min="13752" max="13752" width="11.27734375" style="142" bestFit="1" customWidth="1"/>
    <col min="13753" max="13753" width="14.44140625" style="142" bestFit="1" customWidth="1"/>
    <col min="13754" max="13754" width="8.1640625" style="142" customWidth="1"/>
    <col min="13755" max="13755" width="10.83203125" style="142" bestFit="1" customWidth="1"/>
    <col min="13756" max="13756" width="12.27734375" style="142" bestFit="1" customWidth="1"/>
    <col min="13757" max="13757" width="9.1640625" style="142" customWidth="1"/>
    <col min="13758" max="13758" width="10.83203125" style="142" bestFit="1" customWidth="1"/>
    <col min="13759" max="13759" width="12.27734375" style="142" bestFit="1" customWidth="1"/>
    <col min="13760" max="13760" width="8" style="142" customWidth="1"/>
    <col min="13761" max="13761" width="10.83203125" style="142" bestFit="1" customWidth="1"/>
    <col min="13762" max="13762" width="12.27734375" style="142" bestFit="1" customWidth="1"/>
    <col min="13763" max="13763" width="8.1640625" style="142" bestFit="1" customWidth="1"/>
    <col min="13764" max="13764" width="10.83203125" style="142" bestFit="1" customWidth="1"/>
    <col min="13765" max="13765" width="12.27734375" style="142" bestFit="1" customWidth="1"/>
    <col min="13766" max="13766" width="18.27734375" style="142" bestFit="1" customWidth="1"/>
    <col min="13767" max="13767" width="10.83203125" style="142" bestFit="1" customWidth="1"/>
    <col min="13768" max="14003" width="8.83203125" style="142"/>
    <col min="14004" max="14004" width="38.27734375" style="142" customWidth="1"/>
    <col min="14005" max="14005" width="23.44140625" style="142" bestFit="1" customWidth="1"/>
    <col min="14006" max="14007" width="9.1640625" style="142" customWidth="1"/>
    <col min="14008" max="14008" width="11.27734375" style="142" bestFit="1" customWidth="1"/>
    <col min="14009" max="14009" width="14.44140625" style="142" bestFit="1" customWidth="1"/>
    <col min="14010" max="14010" width="8.1640625" style="142" customWidth="1"/>
    <col min="14011" max="14011" width="10.83203125" style="142" bestFit="1" customWidth="1"/>
    <col min="14012" max="14012" width="12.27734375" style="142" bestFit="1" customWidth="1"/>
    <col min="14013" max="14013" width="9.1640625" style="142" customWidth="1"/>
    <col min="14014" max="14014" width="10.83203125" style="142" bestFit="1" customWidth="1"/>
    <col min="14015" max="14015" width="12.27734375" style="142" bestFit="1" customWidth="1"/>
    <col min="14016" max="14016" width="8" style="142" customWidth="1"/>
    <col min="14017" max="14017" width="10.83203125" style="142" bestFit="1" customWidth="1"/>
    <col min="14018" max="14018" width="12.27734375" style="142" bestFit="1" customWidth="1"/>
    <col min="14019" max="14019" width="8.1640625" style="142" bestFit="1" customWidth="1"/>
    <col min="14020" max="14020" width="10.83203125" style="142" bestFit="1" customWidth="1"/>
    <col min="14021" max="14021" width="12.27734375" style="142" bestFit="1" customWidth="1"/>
    <col min="14022" max="14022" width="18.27734375" style="142" bestFit="1" customWidth="1"/>
    <col min="14023" max="14023" width="10.83203125" style="142" bestFit="1" customWidth="1"/>
    <col min="14024" max="14259" width="8.83203125" style="142"/>
    <col min="14260" max="14260" width="38.27734375" style="142" customWidth="1"/>
    <col min="14261" max="14261" width="23.44140625" style="142" bestFit="1" customWidth="1"/>
    <col min="14262" max="14263" width="9.1640625" style="142" customWidth="1"/>
    <col min="14264" max="14264" width="11.27734375" style="142" bestFit="1" customWidth="1"/>
    <col min="14265" max="14265" width="14.44140625" style="142" bestFit="1" customWidth="1"/>
    <col min="14266" max="14266" width="8.1640625" style="142" customWidth="1"/>
    <col min="14267" max="14267" width="10.83203125" style="142" bestFit="1" customWidth="1"/>
    <col min="14268" max="14268" width="12.27734375" style="142" bestFit="1" customWidth="1"/>
    <col min="14269" max="14269" width="9.1640625" style="142" customWidth="1"/>
    <col min="14270" max="14270" width="10.83203125" style="142" bestFit="1" customWidth="1"/>
    <col min="14271" max="14271" width="12.27734375" style="142" bestFit="1" customWidth="1"/>
    <col min="14272" max="14272" width="8" style="142" customWidth="1"/>
    <col min="14273" max="14273" width="10.83203125" style="142" bestFit="1" customWidth="1"/>
    <col min="14274" max="14274" width="12.27734375" style="142" bestFit="1" customWidth="1"/>
    <col min="14275" max="14275" width="8.1640625" style="142" bestFit="1" customWidth="1"/>
    <col min="14276" max="14276" width="10.83203125" style="142" bestFit="1" customWidth="1"/>
    <col min="14277" max="14277" width="12.27734375" style="142" bestFit="1" customWidth="1"/>
    <col min="14278" max="14278" width="18.27734375" style="142" bestFit="1" customWidth="1"/>
    <col min="14279" max="14279" width="10.83203125" style="142" bestFit="1" customWidth="1"/>
    <col min="14280" max="14515" width="8.83203125" style="142"/>
    <col min="14516" max="14516" width="38.27734375" style="142" customWidth="1"/>
    <col min="14517" max="14517" width="23.44140625" style="142" bestFit="1" customWidth="1"/>
    <col min="14518" max="14519" width="9.1640625" style="142" customWidth="1"/>
    <col min="14520" max="14520" width="11.27734375" style="142" bestFit="1" customWidth="1"/>
    <col min="14521" max="14521" width="14.44140625" style="142" bestFit="1" customWidth="1"/>
    <col min="14522" max="14522" width="8.1640625" style="142" customWidth="1"/>
    <col min="14523" max="14523" width="10.83203125" style="142" bestFit="1" customWidth="1"/>
    <col min="14524" max="14524" width="12.27734375" style="142" bestFit="1" customWidth="1"/>
    <col min="14525" max="14525" width="9.1640625" style="142" customWidth="1"/>
    <col min="14526" max="14526" width="10.83203125" style="142" bestFit="1" customWidth="1"/>
    <col min="14527" max="14527" width="12.27734375" style="142" bestFit="1" customWidth="1"/>
    <col min="14528" max="14528" width="8" style="142" customWidth="1"/>
    <col min="14529" max="14529" width="10.83203125" style="142" bestFit="1" customWidth="1"/>
    <col min="14530" max="14530" width="12.27734375" style="142" bestFit="1" customWidth="1"/>
    <col min="14531" max="14531" width="8.1640625" style="142" bestFit="1" customWidth="1"/>
    <col min="14532" max="14532" width="10.83203125" style="142" bestFit="1" customWidth="1"/>
    <col min="14533" max="14533" width="12.27734375" style="142" bestFit="1" customWidth="1"/>
    <col min="14534" max="14534" width="18.27734375" style="142" bestFit="1" customWidth="1"/>
    <col min="14535" max="14535" width="10.83203125" style="142" bestFit="1" customWidth="1"/>
    <col min="14536" max="14771" width="8.83203125" style="142"/>
    <col min="14772" max="14772" width="38.27734375" style="142" customWidth="1"/>
    <col min="14773" max="14773" width="23.44140625" style="142" bestFit="1" customWidth="1"/>
    <col min="14774" max="14775" width="9.1640625" style="142" customWidth="1"/>
    <col min="14776" max="14776" width="11.27734375" style="142" bestFit="1" customWidth="1"/>
    <col min="14777" max="14777" width="14.44140625" style="142" bestFit="1" customWidth="1"/>
    <col min="14778" max="14778" width="8.1640625" style="142" customWidth="1"/>
    <col min="14779" max="14779" width="10.83203125" style="142" bestFit="1" customWidth="1"/>
    <col min="14780" max="14780" width="12.27734375" style="142" bestFit="1" customWidth="1"/>
    <col min="14781" max="14781" width="9.1640625" style="142" customWidth="1"/>
    <col min="14782" max="14782" width="10.83203125" style="142" bestFit="1" customWidth="1"/>
    <col min="14783" max="14783" width="12.27734375" style="142" bestFit="1" customWidth="1"/>
    <col min="14784" max="14784" width="8" style="142" customWidth="1"/>
    <col min="14785" max="14785" width="10.83203125" style="142" bestFit="1" customWidth="1"/>
    <col min="14786" max="14786" width="12.27734375" style="142" bestFit="1" customWidth="1"/>
    <col min="14787" max="14787" width="8.1640625" style="142" bestFit="1" customWidth="1"/>
    <col min="14788" max="14788" width="10.83203125" style="142" bestFit="1" customWidth="1"/>
    <col min="14789" max="14789" width="12.27734375" style="142" bestFit="1" customWidth="1"/>
    <col min="14790" max="14790" width="18.27734375" style="142" bestFit="1" customWidth="1"/>
    <col min="14791" max="14791" width="10.83203125" style="142" bestFit="1" customWidth="1"/>
    <col min="14792" max="15027" width="8.83203125" style="142"/>
    <col min="15028" max="15028" width="38.27734375" style="142" customWidth="1"/>
    <col min="15029" max="15029" width="23.44140625" style="142" bestFit="1" customWidth="1"/>
    <col min="15030" max="15031" width="9.1640625" style="142" customWidth="1"/>
    <col min="15032" max="15032" width="11.27734375" style="142" bestFit="1" customWidth="1"/>
    <col min="15033" max="15033" width="14.44140625" style="142" bestFit="1" customWidth="1"/>
    <col min="15034" max="15034" width="8.1640625" style="142" customWidth="1"/>
    <col min="15035" max="15035" width="10.83203125" style="142" bestFit="1" customWidth="1"/>
    <col min="15036" max="15036" width="12.27734375" style="142" bestFit="1" customWidth="1"/>
    <col min="15037" max="15037" width="9.1640625" style="142" customWidth="1"/>
    <col min="15038" max="15038" width="10.83203125" style="142" bestFit="1" customWidth="1"/>
    <col min="15039" max="15039" width="12.27734375" style="142" bestFit="1" customWidth="1"/>
    <col min="15040" max="15040" width="8" style="142" customWidth="1"/>
    <col min="15041" max="15041" width="10.83203125" style="142" bestFit="1" customWidth="1"/>
    <col min="15042" max="15042" width="12.27734375" style="142" bestFit="1" customWidth="1"/>
    <col min="15043" max="15043" width="8.1640625" style="142" bestFit="1" customWidth="1"/>
    <col min="15044" max="15044" width="10.83203125" style="142" bestFit="1" customWidth="1"/>
    <col min="15045" max="15045" width="12.27734375" style="142" bestFit="1" customWidth="1"/>
    <col min="15046" max="15046" width="18.27734375" style="142" bestFit="1" customWidth="1"/>
    <col min="15047" max="15047" width="10.83203125" style="142" bestFit="1" customWidth="1"/>
    <col min="15048" max="15283" width="8.83203125" style="142"/>
    <col min="15284" max="15284" width="38.27734375" style="142" customWidth="1"/>
    <col min="15285" max="15285" width="23.44140625" style="142" bestFit="1" customWidth="1"/>
    <col min="15286" max="15287" width="9.1640625" style="142" customWidth="1"/>
    <col min="15288" max="15288" width="11.27734375" style="142" bestFit="1" customWidth="1"/>
    <col min="15289" max="15289" width="14.44140625" style="142" bestFit="1" customWidth="1"/>
    <col min="15290" max="15290" width="8.1640625" style="142" customWidth="1"/>
    <col min="15291" max="15291" width="10.83203125" style="142" bestFit="1" customWidth="1"/>
    <col min="15292" max="15292" width="12.27734375" style="142" bestFit="1" customWidth="1"/>
    <col min="15293" max="15293" width="9.1640625" style="142" customWidth="1"/>
    <col min="15294" max="15294" width="10.83203125" style="142" bestFit="1" customWidth="1"/>
    <col min="15295" max="15295" width="12.27734375" style="142" bestFit="1" customWidth="1"/>
    <col min="15296" max="15296" width="8" style="142" customWidth="1"/>
    <col min="15297" max="15297" width="10.83203125" style="142" bestFit="1" customWidth="1"/>
    <col min="15298" max="15298" width="12.27734375" style="142" bestFit="1" customWidth="1"/>
    <col min="15299" max="15299" width="8.1640625" style="142" bestFit="1" customWidth="1"/>
    <col min="15300" max="15300" width="10.83203125" style="142" bestFit="1" customWidth="1"/>
    <col min="15301" max="15301" width="12.27734375" style="142" bestFit="1" customWidth="1"/>
    <col min="15302" max="15302" width="18.27734375" style="142" bestFit="1" customWidth="1"/>
    <col min="15303" max="15303" width="10.83203125" style="142" bestFit="1" customWidth="1"/>
    <col min="15304" max="15539" width="8.83203125" style="142"/>
    <col min="15540" max="15540" width="38.27734375" style="142" customWidth="1"/>
    <col min="15541" max="15541" width="23.44140625" style="142" bestFit="1" customWidth="1"/>
    <col min="15542" max="15543" width="9.1640625" style="142" customWidth="1"/>
    <col min="15544" max="15544" width="11.27734375" style="142" bestFit="1" customWidth="1"/>
    <col min="15545" max="15545" width="14.44140625" style="142" bestFit="1" customWidth="1"/>
    <col min="15546" max="15546" width="8.1640625" style="142" customWidth="1"/>
    <col min="15547" max="15547" width="10.83203125" style="142" bestFit="1" customWidth="1"/>
    <col min="15548" max="15548" width="12.27734375" style="142" bestFit="1" customWidth="1"/>
    <col min="15549" max="15549" width="9.1640625" style="142" customWidth="1"/>
    <col min="15550" max="15550" width="10.83203125" style="142" bestFit="1" customWidth="1"/>
    <col min="15551" max="15551" width="12.27734375" style="142" bestFit="1" customWidth="1"/>
    <col min="15552" max="15552" width="8" style="142" customWidth="1"/>
    <col min="15553" max="15553" width="10.83203125" style="142" bestFit="1" customWidth="1"/>
    <col min="15554" max="15554" width="12.27734375" style="142" bestFit="1" customWidth="1"/>
    <col min="15555" max="15555" width="8.1640625" style="142" bestFit="1" customWidth="1"/>
    <col min="15556" max="15556" width="10.83203125" style="142" bestFit="1" customWidth="1"/>
    <col min="15557" max="15557" width="12.27734375" style="142" bestFit="1" customWidth="1"/>
    <col min="15558" max="15558" width="18.27734375" style="142" bestFit="1" customWidth="1"/>
    <col min="15559" max="15559" width="10.83203125" style="142" bestFit="1" customWidth="1"/>
    <col min="15560" max="15795" width="8.83203125" style="142"/>
    <col min="15796" max="15796" width="38.27734375" style="142" customWidth="1"/>
    <col min="15797" max="15797" width="23.44140625" style="142" bestFit="1" customWidth="1"/>
    <col min="15798" max="15799" width="9.1640625" style="142" customWidth="1"/>
    <col min="15800" max="15800" width="11.27734375" style="142" bestFit="1" customWidth="1"/>
    <col min="15801" max="15801" width="14.44140625" style="142" bestFit="1" customWidth="1"/>
    <col min="15802" max="15802" width="8.1640625" style="142" customWidth="1"/>
    <col min="15803" max="15803" width="10.83203125" style="142" bestFit="1" customWidth="1"/>
    <col min="15804" max="15804" width="12.27734375" style="142" bestFit="1" customWidth="1"/>
    <col min="15805" max="15805" width="9.1640625" style="142" customWidth="1"/>
    <col min="15806" max="15806" width="10.83203125" style="142" bestFit="1" customWidth="1"/>
    <col min="15807" max="15807" width="12.27734375" style="142" bestFit="1" customWidth="1"/>
    <col min="15808" max="15808" width="8" style="142" customWidth="1"/>
    <col min="15809" max="15809" width="10.83203125" style="142" bestFit="1" customWidth="1"/>
    <col min="15810" max="15810" width="12.27734375" style="142" bestFit="1" customWidth="1"/>
    <col min="15811" max="15811" width="8.1640625" style="142" bestFit="1" customWidth="1"/>
    <col min="15812" max="15812" width="10.83203125" style="142" bestFit="1" customWidth="1"/>
    <col min="15813" max="15813" width="12.27734375" style="142" bestFit="1" customWidth="1"/>
    <col min="15814" max="15814" width="18.27734375" style="142" bestFit="1" customWidth="1"/>
    <col min="15815" max="15815" width="10.83203125" style="142" bestFit="1" customWidth="1"/>
    <col min="15816" max="16051" width="8.83203125" style="142"/>
    <col min="16052" max="16052" width="38.27734375" style="142" customWidth="1"/>
    <col min="16053" max="16053" width="23.44140625" style="142" bestFit="1" customWidth="1"/>
    <col min="16054" max="16055" width="9.1640625" style="142" customWidth="1"/>
    <col min="16056" max="16056" width="11.27734375" style="142" bestFit="1" customWidth="1"/>
    <col min="16057" max="16057" width="14.44140625" style="142" bestFit="1" customWidth="1"/>
    <col min="16058" max="16058" width="8.1640625" style="142" customWidth="1"/>
    <col min="16059" max="16059" width="10.83203125" style="142" bestFit="1" customWidth="1"/>
    <col min="16060" max="16060" width="12.27734375" style="142" bestFit="1" customWidth="1"/>
    <col min="16061" max="16061" width="9.1640625" style="142" customWidth="1"/>
    <col min="16062" max="16062" width="10.83203125" style="142" bestFit="1" customWidth="1"/>
    <col min="16063" max="16063" width="12.27734375" style="142" bestFit="1" customWidth="1"/>
    <col min="16064" max="16064" width="8" style="142" customWidth="1"/>
    <col min="16065" max="16065" width="10.83203125" style="142" bestFit="1" customWidth="1"/>
    <col min="16066" max="16066" width="12.27734375" style="142" bestFit="1" customWidth="1"/>
    <col min="16067" max="16067" width="8.1640625" style="142" bestFit="1" customWidth="1"/>
    <col min="16068" max="16068" width="10.83203125" style="142" bestFit="1" customWidth="1"/>
    <col min="16069" max="16069" width="12.27734375" style="142" bestFit="1" customWidth="1"/>
    <col min="16070" max="16070" width="18.27734375" style="142" bestFit="1" customWidth="1"/>
    <col min="16071" max="16071" width="10.83203125" style="142" bestFit="1" customWidth="1"/>
    <col min="16072" max="16299" width="8.83203125" style="142"/>
    <col min="16300" max="16384" width="8.83203125" style="142" customWidth="1"/>
  </cols>
  <sheetData>
    <row r="1" spans="1:28" ht="14.7" thickBot="1"/>
    <row r="2" spans="1:28" ht="23.5" customHeight="1">
      <c r="A2" s="585" t="s">
        <v>62</v>
      </c>
      <c r="B2" s="587" t="s">
        <v>63</v>
      </c>
      <c r="C2" s="580" t="s">
        <v>64</v>
      </c>
      <c r="D2" s="581"/>
      <c r="E2" s="581"/>
      <c r="F2" s="582"/>
      <c r="G2" s="580" t="s">
        <v>65</v>
      </c>
      <c r="H2" s="581"/>
      <c r="I2" s="581"/>
      <c r="J2" s="582"/>
      <c r="K2" s="580" t="s">
        <v>66</v>
      </c>
      <c r="L2" s="581"/>
      <c r="M2" s="581"/>
      <c r="N2" s="582"/>
      <c r="O2" s="580" t="s">
        <v>67</v>
      </c>
      <c r="P2" s="581"/>
      <c r="Q2" s="581"/>
      <c r="R2" s="582"/>
      <c r="S2" s="580" t="s">
        <v>68</v>
      </c>
      <c r="T2" s="581"/>
      <c r="U2" s="581"/>
      <c r="V2" s="582"/>
      <c r="W2" s="583" t="s">
        <v>69</v>
      </c>
    </row>
    <row r="3" spans="1:28" ht="47.65" customHeight="1">
      <c r="A3" s="586"/>
      <c r="B3" s="588"/>
      <c r="C3" s="340" t="s">
        <v>70</v>
      </c>
      <c r="D3" s="150" t="s">
        <v>71</v>
      </c>
      <c r="E3" s="151" t="s">
        <v>72</v>
      </c>
      <c r="F3" s="152" t="s">
        <v>69</v>
      </c>
      <c r="G3" s="340" t="s">
        <v>70</v>
      </c>
      <c r="H3" s="150" t="s">
        <v>71</v>
      </c>
      <c r="I3" s="153" t="s">
        <v>72</v>
      </c>
      <c r="J3" s="154" t="s">
        <v>69</v>
      </c>
      <c r="K3" s="340" t="s">
        <v>70</v>
      </c>
      <c r="L3" s="150" t="s">
        <v>71</v>
      </c>
      <c r="M3" s="151" t="s">
        <v>72</v>
      </c>
      <c r="N3" s="154" t="s">
        <v>69</v>
      </c>
      <c r="O3" s="340" t="s">
        <v>70</v>
      </c>
      <c r="P3" s="150" t="s">
        <v>71</v>
      </c>
      <c r="Q3" s="153" t="s">
        <v>72</v>
      </c>
      <c r="R3" s="154" t="s">
        <v>69</v>
      </c>
      <c r="S3" s="340" t="s">
        <v>70</v>
      </c>
      <c r="T3" s="150" t="s">
        <v>71</v>
      </c>
      <c r="U3" s="153" t="s">
        <v>72</v>
      </c>
      <c r="V3" s="154" t="s">
        <v>69</v>
      </c>
      <c r="W3" s="584"/>
    </row>
    <row r="4" spans="1:28" ht="18.3">
      <c r="A4" s="433" t="s">
        <v>73</v>
      </c>
      <c r="B4" s="155"/>
      <c r="C4" s="356"/>
      <c r="D4" s="157"/>
      <c r="E4" s="158"/>
      <c r="F4" s="159"/>
      <c r="G4" s="356"/>
      <c r="H4" s="157"/>
      <c r="I4" s="160"/>
      <c r="J4" s="161"/>
      <c r="K4" s="356"/>
      <c r="L4" s="157"/>
      <c r="M4" s="158"/>
      <c r="N4" s="161"/>
      <c r="O4" s="341"/>
      <c r="P4" s="157"/>
      <c r="Q4" s="160"/>
      <c r="R4" s="161"/>
      <c r="S4" s="341"/>
      <c r="T4" s="157"/>
      <c r="U4" s="160"/>
      <c r="V4" s="163"/>
      <c r="W4" s="161"/>
    </row>
    <row r="5" spans="1:28" s="175" customFormat="1" ht="15" customHeight="1" outlineLevel="1">
      <c r="A5" s="434" t="s">
        <v>47</v>
      </c>
      <c r="B5" s="166"/>
      <c r="C5" s="342"/>
      <c r="D5" s="168"/>
      <c r="E5" s="169"/>
      <c r="F5" s="170"/>
      <c r="G5" s="342"/>
      <c r="H5" s="168"/>
      <c r="I5" s="171"/>
      <c r="J5" s="172"/>
      <c r="K5" s="342"/>
      <c r="L5" s="168"/>
      <c r="M5" s="169"/>
      <c r="N5" s="172"/>
      <c r="O5" s="342"/>
      <c r="P5" s="168"/>
      <c r="Q5" s="171"/>
      <c r="R5" s="172"/>
      <c r="S5" s="342"/>
      <c r="T5" s="168"/>
      <c r="U5" s="171"/>
      <c r="V5" s="172"/>
      <c r="W5" s="173"/>
    </row>
    <row r="6" spans="1:28" s="175" customFormat="1" ht="15.6" outlineLevel="1">
      <c r="A6" s="435" t="s">
        <v>74</v>
      </c>
      <c r="B6" s="177"/>
      <c r="C6" s="342"/>
      <c r="D6" s="168"/>
      <c r="E6" s="169"/>
      <c r="F6" s="170"/>
      <c r="G6" s="342"/>
      <c r="H6" s="168"/>
      <c r="I6" s="171"/>
      <c r="J6" s="172"/>
      <c r="K6" s="342"/>
      <c r="L6" s="168"/>
      <c r="M6" s="169"/>
      <c r="N6" s="172"/>
      <c r="O6" s="342"/>
      <c r="P6" s="168"/>
      <c r="Q6" s="171"/>
      <c r="R6" s="172"/>
      <c r="S6" s="342"/>
      <c r="T6" s="168"/>
      <c r="U6" s="171"/>
      <c r="V6" s="172"/>
      <c r="W6" s="319"/>
      <c r="X6" s="142"/>
      <c r="Y6" s="142"/>
      <c r="Z6" s="142"/>
    </row>
    <row r="7" spans="1:28" outlineLevel="1">
      <c r="A7" s="179" t="s">
        <v>75</v>
      </c>
      <c r="B7" s="202"/>
      <c r="C7" s="143"/>
      <c r="D7" s="251"/>
      <c r="F7" s="184">
        <f>C7*D7*E7</f>
        <v>0</v>
      </c>
      <c r="G7" s="143"/>
      <c r="H7" s="251"/>
      <c r="I7" s="145"/>
      <c r="J7" s="184">
        <f>G7*H7*I7</f>
        <v>0</v>
      </c>
      <c r="K7" s="143"/>
      <c r="L7" s="251"/>
      <c r="N7" s="184">
        <f>K7*L7*M7</f>
        <v>0</v>
      </c>
      <c r="O7" s="143"/>
      <c r="P7" s="251"/>
      <c r="Q7" s="145"/>
      <c r="R7" s="184">
        <f>O7*P7*Q7</f>
        <v>0</v>
      </c>
      <c r="S7" s="143"/>
      <c r="T7" s="251"/>
      <c r="U7" s="145"/>
      <c r="V7" s="184">
        <f>S7*T7*U7</f>
        <v>0</v>
      </c>
      <c r="W7" s="192">
        <f t="shared" ref="W7" si="0">F7+J7+N7+R7+V7</f>
        <v>0</v>
      </c>
    </row>
    <row r="8" spans="1:28" ht="15" customHeight="1" outlineLevel="1">
      <c r="A8" s="436" t="s">
        <v>76</v>
      </c>
      <c r="B8" s="195"/>
      <c r="C8" s="344"/>
      <c r="D8" s="197"/>
      <c r="E8" s="198"/>
      <c r="F8" s="199">
        <f>SUM(F7:F7)</f>
        <v>0</v>
      </c>
      <c r="G8" s="344"/>
      <c r="H8" s="197"/>
      <c r="I8" s="200"/>
      <c r="J8" s="199">
        <f>SUM(J7:J7)</f>
        <v>0</v>
      </c>
      <c r="K8" s="344"/>
      <c r="L8" s="197"/>
      <c r="M8" s="198"/>
      <c r="N8" s="199">
        <f>SUM(N7:N7)</f>
        <v>0</v>
      </c>
      <c r="O8" s="344"/>
      <c r="P8" s="197"/>
      <c r="Q8" s="200"/>
      <c r="R8" s="199">
        <f>SUM(R7:R7)</f>
        <v>0</v>
      </c>
      <c r="S8" s="344"/>
      <c r="T8" s="197"/>
      <c r="U8" s="200"/>
      <c r="V8" s="199">
        <f>SUM(V7:V7)</f>
        <v>0</v>
      </c>
      <c r="W8" s="321">
        <f>+F8+J8+N8+R8+V8</f>
        <v>0</v>
      </c>
    </row>
    <row r="9" spans="1:28" s="175" customFormat="1" ht="15" customHeight="1" outlineLevel="1">
      <c r="A9" s="435" t="s">
        <v>77</v>
      </c>
      <c r="B9" s="202"/>
      <c r="C9" s="345"/>
      <c r="D9" s="204"/>
      <c r="E9" s="205"/>
      <c r="F9" s="184"/>
      <c r="G9" s="345"/>
      <c r="H9" s="204"/>
      <c r="I9" s="206"/>
      <c r="J9" s="186"/>
      <c r="K9" s="345"/>
      <c r="L9" s="204"/>
      <c r="M9" s="205"/>
      <c r="N9" s="186"/>
      <c r="O9" s="345"/>
      <c r="P9" s="204"/>
      <c r="Q9" s="206"/>
      <c r="R9" s="186"/>
      <c r="S9" s="345"/>
      <c r="T9" s="204"/>
      <c r="U9" s="206"/>
      <c r="V9" s="186"/>
      <c r="W9" s="320"/>
      <c r="X9" s="142"/>
      <c r="Y9" s="142"/>
      <c r="Z9" s="142"/>
    </row>
    <row r="10" spans="1:28" ht="15" customHeight="1" outlineLevel="1">
      <c r="A10" s="179" t="str">
        <f>'Program Budget'!D12</f>
        <v>Key Personnel: Chief of Party - Ms. Rym Ayari</v>
      </c>
      <c r="B10" s="180" t="str">
        <f>'Program Budget'!F12</f>
        <v>Month</v>
      </c>
      <c r="C10" s="181">
        <f>'Program Budget'!H12</f>
        <v>13000</v>
      </c>
      <c r="D10" s="182">
        <f>'Program Budget'!G12</f>
        <v>12</v>
      </c>
      <c r="E10" s="183">
        <f>Admin!E10+'Activity 1'!E10+'Activity 2'!E10+'Activity 3'!E10</f>
        <v>1</v>
      </c>
      <c r="F10" s="184">
        <f>C10*D10*E10</f>
        <v>156000</v>
      </c>
      <c r="G10" s="181">
        <f>C10*1.05</f>
        <v>13650</v>
      </c>
      <c r="H10" s="182">
        <f>'Program Budget'!K12</f>
        <v>12</v>
      </c>
      <c r="I10" s="183">
        <f>Admin!I10+'Activity 1'!I10+'Activity 2'!I10+'Activity 3'!I10</f>
        <v>1</v>
      </c>
      <c r="J10" s="184">
        <f>G10*H10*I10</f>
        <v>163800</v>
      </c>
      <c r="K10" s="181">
        <f>G10*1.05</f>
        <v>14332.5</v>
      </c>
      <c r="L10" s="182">
        <f>'Program Budget'!N12</f>
        <v>12</v>
      </c>
      <c r="M10" s="183">
        <f>Admin!M10+'Activity 1'!M10+'Activity 2'!M10+'Activity 3'!M10</f>
        <v>1</v>
      </c>
      <c r="N10" s="184">
        <f>K10*L10*M10</f>
        <v>171990</v>
      </c>
      <c r="O10" s="181">
        <f>K10*1.05</f>
        <v>15049.125</v>
      </c>
      <c r="P10" s="182">
        <f>'Program Budget'!Q12</f>
        <v>12</v>
      </c>
      <c r="Q10" s="183">
        <f>Admin!Q10+'Activity 1'!Q10+'Activity 2'!Q10+'Activity 3'!Q10</f>
        <v>1</v>
      </c>
      <c r="R10" s="184">
        <f>O10*P10*Q10</f>
        <v>180589.5</v>
      </c>
      <c r="S10" s="181">
        <f>O10*1.05</f>
        <v>15801.581250000001</v>
      </c>
      <c r="T10" s="182">
        <f>'Program Budget'!T12</f>
        <v>12</v>
      </c>
      <c r="U10" s="183">
        <f>Admin!U10+'Activity 1'!U10+'Activity 2'!U10+'Activity 3'!U10</f>
        <v>1</v>
      </c>
      <c r="V10" s="184">
        <f>S10*T10*U10</f>
        <v>189618.97500000001</v>
      </c>
      <c r="W10" s="320">
        <f>F10+J10+N10+R10+V10</f>
        <v>861998.47499999998</v>
      </c>
      <c r="AB10" s="191"/>
    </row>
    <row r="11" spans="1:28" ht="15" customHeight="1" outlineLevel="1">
      <c r="A11" s="179" t="str">
        <f>'Program Budget'!D13</f>
        <v>Key Personnel: Technical Director</v>
      </c>
      <c r="B11" s="180" t="str">
        <f>'Program Budget'!F13</f>
        <v>Month</v>
      </c>
      <c r="C11" s="181">
        <f>'Program Budget'!H13</f>
        <v>3916.6666666666665</v>
      </c>
      <c r="D11" s="182">
        <f>'Program Budget'!G13</f>
        <v>9</v>
      </c>
      <c r="E11" s="183">
        <f>Admin!E11+'Activity 1'!E11+'Activity 2'!E11+'Activity 3'!E11</f>
        <v>1</v>
      </c>
      <c r="F11" s="184">
        <f t="shared" ref="F11:F30" si="1">C11*D11*E11</f>
        <v>35250</v>
      </c>
      <c r="G11" s="181">
        <f t="shared" ref="G11:G30" si="2">C11*1.05</f>
        <v>4112.5</v>
      </c>
      <c r="H11" s="182">
        <f>'Program Budget'!K13</f>
        <v>12</v>
      </c>
      <c r="I11" s="183">
        <f>Admin!I11+'Activity 1'!I11+'Activity 2'!I11+'Activity 3'!I11</f>
        <v>1</v>
      </c>
      <c r="J11" s="184">
        <f t="shared" ref="J11:J30" si="3">G11*H11*I11</f>
        <v>49350</v>
      </c>
      <c r="K11" s="181">
        <f t="shared" ref="K11:K29" si="4">G11*1.05</f>
        <v>4318.125</v>
      </c>
      <c r="L11" s="182">
        <f>'Program Budget'!N13</f>
        <v>12</v>
      </c>
      <c r="M11" s="183">
        <f>Admin!M11+'Activity 1'!M11+'Activity 2'!M11+'Activity 3'!M11</f>
        <v>1</v>
      </c>
      <c r="N11" s="184">
        <f t="shared" ref="N11:N30" si="5">K11*L11*M11</f>
        <v>51817.5</v>
      </c>
      <c r="O11" s="181">
        <f t="shared" ref="O11:O30" si="6">K11*1.05</f>
        <v>4534.03125</v>
      </c>
      <c r="P11" s="182">
        <f>'Program Budget'!Q13</f>
        <v>12</v>
      </c>
      <c r="Q11" s="183">
        <f>Admin!Q11+'Activity 1'!Q11+'Activity 2'!Q11+'Activity 3'!Q11</f>
        <v>1</v>
      </c>
      <c r="R11" s="184">
        <f t="shared" ref="R11:R30" si="7">O11*P11*Q11</f>
        <v>54408.375</v>
      </c>
      <c r="S11" s="181">
        <f t="shared" ref="S11:S30" si="8">O11*1.05</f>
        <v>4760.7328125000004</v>
      </c>
      <c r="T11" s="182">
        <f>'Program Budget'!T13</f>
        <v>9</v>
      </c>
      <c r="U11" s="183">
        <f>Admin!U11+'Activity 1'!U11+'Activity 2'!U11+'Activity 3'!U11</f>
        <v>1</v>
      </c>
      <c r="V11" s="184">
        <f t="shared" ref="V11:V30" si="9">S11*T11*U11</f>
        <v>42846.595312500001</v>
      </c>
      <c r="W11" s="320">
        <f t="shared" ref="W11:W30" si="10">F11+J11+N11+R11+V11</f>
        <v>233672.47031249999</v>
      </c>
      <c r="AB11" s="191"/>
    </row>
    <row r="12" spans="1:28" ht="15" customHeight="1" outlineLevel="1">
      <c r="A12" s="179" t="str">
        <f>'Program Budget'!D14</f>
        <v>Technical Lead Component 1</v>
      </c>
      <c r="B12" s="180" t="str">
        <f>'Program Budget'!F14</f>
        <v>Month</v>
      </c>
      <c r="C12" s="181">
        <f>'Program Budget'!H14</f>
        <v>2500</v>
      </c>
      <c r="D12" s="182">
        <f>'Program Budget'!G14</f>
        <v>6</v>
      </c>
      <c r="E12" s="183">
        <f>Admin!E12+'Activity 1'!E12+'Activity 2'!E12+'Activity 3'!E12</f>
        <v>1</v>
      </c>
      <c r="F12" s="184">
        <f t="shared" si="1"/>
        <v>15000</v>
      </c>
      <c r="G12" s="181">
        <f t="shared" si="2"/>
        <v>2625</v>
      </c>
      <c r="H12" s="182">
        <f>'Program Budget'!K14</f>
        <v>12</v>
      </c>
      <c r="I12" s="183">
        <f>Admin!I12+'Activity 1'!I12+'Activity 2'!I12+'Activity 3'!I12</f>
        <v>1</v>
      </c>
      <c r="J12" s="184">
        <f t="shared" si="3"/>
        <v>31500</v>
      </c>
      <c r="K12" s="181">
        <f t="shared" si="4"/>
        <v>2756.25</v>
      </c>
      <c r="L12" s="182">
        <f>'Program Budget'!N14</f>
        <v>12</v>
      </c>
      <c r="M12" s="183">
        <f>Admin!M12+'Activity 1'!M12+'Activity 2'!M12+'Activity 3'!M12</f>
        <v>1</v>
      </c>
      <c r="N12" s="184">
        <f t="shared" si="5"/>
        <v>33075</v>
      </c>
      <c r="O12" s="181">
        <f t="shared" si="6"/>
        <v>2894.0625</v>
      </c>
      <c r="P12" s="182">
        <f>'Program Budget'!Q14</f>
        <v>12</v>
      </c>
      <c r="Q12" s="183">
        <f>Admin!Q12+'Activity 1'!Q12+'Activity 2'!Q12+'Activity 3'!Q12</f>
        <v>1</v>
      </c>
      <c r="R12" s="184">
        <f t="shared" si="7"/>
        <v>34728.75</v>
      </c>
      <c r="S12" s="181">
        <f t="shared" si="8"/>
        <v>3038.765625</v>
      </c>
      <c r="T12" s="182">
        <f>'Program Budget'!T14</f>
        <v>9</v>
      </c>
      <c r="U12" s="183">
        <f>Admin!U12+'Activity 1'!U12+'Activity 2'!U12+'Activity 3'!U12</f>
        <v>1</v>
      </c>
      <c r="V12" s="184">
        <f t="shared" si="9"/>
        <v>27348.890625</v>
      </c>
      <c r="W12" s="320">
        <f t="shared" si="10"/>
        <v>141652.640625</v>
      </c>
      <c r="AB12" s="191"/>
    </row>
    <row r="13" spans="1:28" ht="15" customHeight="1" outlineLevel="1">
      <c r="A13" s="179" t="str">
        <f>'Program Budget'!D15</f>
        <v>Technical Lead Component 2</v>
      </c>
      <c r="B13" s="180" t="str">
        <f>'Program Budget'!F15</f>
        <v>Month</v>
      </c>
      <c r="C13" s="181">
        <f>'Program Budget'!H15</f>
        <v>2500</v>
      </c>
      <c r="D13" s="182">
        <f>'Program Budget'!G15</f>
        <v>6</v>
      </c>
      <c r="E13" s="183">
        <f>Admin!E13+'Activity 1'!E13+'Activity 2'!E13+'Activity 3'!E13</f>
        <v>1</v>
      </c>
      <c r="F13" s="184">
        <f t="shared" si="1"/>
        <v>15000</v>
      </c>
      <c r="G13" s="181">
        <f t="shared" si="2"/>
        <v>2625</v>
      </c>
      <c r="H13" s="182">
        <f>'Program Budget'!K15</f>
        <v>12</v>
      </c>
      <c r="I13" s="183">
        <f>Admin!I13+'Activity 1'!I13+'Activity 2'!I13+'Activity 3'!I13</f>
        <v>1</v>
      </c>
      <c r="J13" s="184">
        <f t="shared" si="3"/>
        <v>31500</v>
      </c>
      <c r="K13" s="181">
        <f t="shared" si="4"/>
        <v>2756.25</v>
      </c>
      <c r="L13" s="182">
        <f>'Program Budget'!N15</f>
        <v>12</v>
      </c>
      <c r="M13" s="183">
        <f>Admin!M13+'Activity 1'!M13+'Activity 2'!M13+'Activity 3'!M13</f>
        <v>1</v>
      </c>
      <c r="N13" s="184">
        <f t="shared" si="5"/>
        <v>33075</v>
      </c>
      <c r="O13" s="181">
        <f t="shared" si="6"/>
        <v>2894.0625</v>
      </c>
      <c r="P13" s="182">
        <f>'Program Budget'!Q15</f>
        <v>12</v>
      </c>
      <c r="Q13" s="183">
        <f>Admin!Q13+'Activity 1'!Q13+'Activity 2'!Q13+'Activity 3'!Q13</f>
        <v>1</v>
      </c>
      <c r="R13" s="184">
        <f t="shared" si="7"/>
        <v>34728.75</v>
      </c>
      <c r="S13" s="181">
        <f t="shared" si="8"/>
        <v>3038.765625</v>
      </c>
      <c r="T13" s="182">
        <f>'Program Budget'!T15</f>
        <v>9</v>
      </c>
      <c r="U13" s="183">
        <f>Admin!U13+'Activity 1'!U13+'Activity 2'!U13+'Activity 3'!U13</f>
        <v>1</v>
      </c>
      <c r="V13" s="184">
        <f t="shared" si="9"/>
        <v>27348.890625</v>
      </c>
      <c r="W13" s="320">
        <f t="shared" si="10"/>
        <v>141652.640625</v>
      </c>
      <c r="AB13" s="191"/>
    </row>
    <row r="14" spans="1:28" ht="15" customHeight="1" outlineLevel="1">
      <c r="A14" s="179" t="str">
        <f>'Program Budget'!D16</f>
        <v>Technical Lead Component 3</v>
      </c>
      <c r="B14" s="180" t="str">
        <f>'Program Budget'!F16</f>
        <v>Month</v>
      </c>
      <c r="C14" s="181">
        <f>'Program Budget'!H16</f>
        <v>2500</v>
      </c>
      <c r="D14" s="182">
        <f>'Program Budget'!G16</f>
        <v>6</v>
      </c>
      <c r="E14" s="183">
        <f>Admin!E14+'Activity 1'!E14+'Activity 2'!E14+'Activity 3'!E14</f>
        <v>1</v>
      </c>
      <c r="F14" s="184">
        <f t="shared" si="1"/>
        <v>15000</v>
      </c>
      <c r="G14" s="181">
        <f t="shared" si="2"/>
        <v>2625</v>
      </c>
      <c r="H14" s="182">
        <f>'Program Budget'!K16</f>
        <v>12</v>
      </c>
      <c r="I14" s="183">
        <f>Admin!I14+'Activity 1'!I14+'Activity 2'!I14+'Activity 3'!I14</f>
        <v>1</v>
      </c>
      <c r="J14" s="184">
        <f t="shared" si="3"/>
        <v>31500</v>
      </c>
      <c r="K14" s="181">
        <f t="shared" si="4"/>
        <v>2756.25</v>
      </c>
      <c r="L14" s="182">
        <f>'Program Budget'!N16</f>
        <v>12</v>
      </c>
      <c r="M14" s="183">
        <f>Admin!M14+'Activity 1'!M14+'Activity 2'!M14+'Activity 3'!M14</f>
        <v>1</v>
      </c>
      <c r="N14" s="184">
        <f t="shared" si="5"/>
        <v>33075</v>
      </c>
      <c r="O14" s="181">
        <f t="shared" si="6"/>
        <v>2894.0625</v>
      </c>
      <c r="P14" s="182">
        <f>'Program Budget'!Q16</f>
        <v>12</v>
      </c>
      <c r="Q14" s="183">
        <f>Admin!Q14+'Activity 1'!Q14+'Activity 2'!Q14+'Activity 3'!Q14</f>
        <v>1</v>
      </c>
      <c r="R14" s="184">
        <f t="shared" si="7"/>
        <v>34728.75</v>
      </c>
      <c r="S14" s="181">
        <f t="shared" si="8"/>
        <v>3038.765625</v>
      </c>
      <c r="T14" s="182">
        <f>'Program Budget'!T16</f>
        <v>9</v>
      </c>
      <c r="U14" s="183">
        <f>Admin!U14+'Activity 1'!U14+'Activity 2'!U14+'Activity 3'!U14</f>
        <v>1</v>
      </c>
      <c r="V14" s="184">
        <f t="shared" si="9"/>
        <v>27348.890625</v>
      </c>
      <c r="W14" s="320">
        <f t="shared" si="10"/>
        <v>141652.640625</v>
      </c>
    </row>
    <row r="15" spans="1:28" ht="15" customHeight="1" outlineLevel="1">
      <c r="A15" s="179" t="str">
        <f>'Program Budget'!D17</f>
        <v>Technical Specialist Component 1</v>
      </c>
      <c r="B15" s="180" t="str">
        <f>'Program Budget'!F17</f>
        <v>Month</v>
      </c>
      <c r="C15" s="181">
        <f>'Program Budget'!H17</f>
        <v>1833.3333333333333</v>
      </c>
      <c r="D15" s="182">
        <f>'Program Budget'!G17</f>
        <v>6</v>
      </c>
      <c r="E15" s="183">
        <f>Admin!E15+'Activity 1'!E15+'Activity 2'!E15+'Activity 3'!E15</f>
        <v>1</v>
      </c>
      <c r="F15" s="184">
        <f t="shared" si="1"/>
        <v>11000</v>
      </c>
      <c r="G15" s="181">
        <f t="shared" si="2"/>
        <v>1925</v>
      </c>
      <c r="H15" s="182">
        <f>'Program Budget'!K17</f>
        <v>12</v>
      </c>
      <c r="I15" s="183">
        <f>Admin!I15+'Activity 1'!I15+'Activity 2'!I15+'Activity 3'!I15</f>
        <v>1</v>
      </c>
      <c r="J15" s="184">
        <f t="shared" si="3"/>
        <v>23100</v>
      </c>
      <c r="K15" s="181">
        <f t="shared" si="4"/>
        <v>2021.25</v>
      </c>
      <c r="L15" s="182">
        <f>'Program Budget'!N17</f>
        <v>12</v>
      </c>
      <c r="M15" s="183">
        <f>Admin!M15+'Activity 1'!M15+'Activity 2'!M15+'Activity 3'!M15</f>
        <v>1</v>
      </c>
      <c r="N15" s="184">
        <f t="shared" si="5"/>
        <v>24255</v>
      </c>
      <c r="O15" s="181">
        <f t="shared" si="6"/>
        <v>2122.3125</v>
      </c>
      <c r="P15" s="182">
        <f>'Program Budget'!Q17</f>
        <v>12</v>
      </c>
      <c r="Q15" s="183">
        <f>Admin!Q15+'Activity 1'!Q15+'Activity 2'!Q15+'Activity 3'!Q15</f>
        <v>1</v>
      </c>
      <c r="R15" s="184">
        <f t="shared" si="7"/>
        <v>25467.75</v>
      </c>
      <c r="S15" s="181">
        <f t="shared" si="8"/>
        <v>2228.4281249999999</v>
      </c>
      <c r="T15" s="182">
        <f>'Program Budget'!T17</f>
        <v>6</v>
      </c>
      <c r="U15" s="183">
        <f>Admin!U15+'Activity 1'!U15+'Activity 2'!U15+'Activity 3'!U15</f>
        <v>1</v>
      </c>
      <c r="V15" s="184">
        <f t="shared" si="9"/>
        <v>13370.568749999999</v>
      </c>
      <c r="W15" s="320">
        <f t="shared" si="10"/>
        <v>97193.318750000006</v>
      </c>
    </row>
    <row r="16" spans="1:28" ht="15" customHeight="1" outlineLevel="1">
      <c r="A16" s="179" t="str">
        <f>'Program Budget'!D18</f>
        <v>Technical Specialist Component 2</v>
      </c>
      <c r="B16" s="180" t="str">
        <f>'Program Budget'!F18</f>
        <v>Month</v>
      </c>
      <c r="C16" s="181">
        <f>'Program Budget'!H18</f>
        <v>1833.3333333333333</v>
      </c>
      <c r="D16" s="182">
        <f>'Program Budget'!G18</f>
        <v>6</v>
      </c>
      <c r="E16" s="183">
        <f>Admin!E16+'Activity 1'!E16+'Activity 2'!E16+'Activity 3'!E16</f>
        <v>1</v>
      </c>
      <c r="F16" s="184">
        <f t="shared" si="1"/>
        <v>11000</v>
      </c>
      <c r="G16" s="181">
        <f t="shared" si="2"/>
        <v>1925</v>
      </c>
      <c r="H16" s="182">
        <f>'Program Budget'!K18</f>
        <v>12</v>
      </c>
      <c r="I16" s="183">
        <f>Admin!I16+'Activity 1'!I16+'Activity 2'!I16+'Activity 3'!I16</f>
        <v>1</v>
      </c>
      <c r="J16" s="184">
        <f t="shared" si="3"/>
        <v>23100</v>
      </c>
      <c r="K16" s="181">
        <f t="shared" si="4"/>
        <v>2021.25</v>
      </c>
      <c r="L16" s="182">
        <f>'Program Budget'!N18</f>
        <v>12</v>
      </c>
      <c r="M16" s="183">
        <f>Admin!M16+'Activity 1'!M16+'Activity 2'!M16+'Activity 3'!M16</f>
        <v>1</v>
      </c>
      <c r="N16" s="184">
        <f t="shared" si="5"/>
        <v>24255</v>
      </c>
      <c r="O16" s="181">
        <f t="shared" si="6"/>
        <v>2122.3125</v>
      </c>
      <c r="P16" s="182">
        <f>'Program Budget'!Q18</f>
        <v>12</v>
      </c>
      <c r="Q16" s="183">
        <f>Admin!Q16+'Activity 1'!Q16+'Activity 2'!Q16+'Activity 3'!Q16</f>
        <v>1</v>
      </c>
      <c r="R16" s="184">
        <f t="shared" si="7"/>
        <v>25467.75</v>
      </c>
      <c r="S16" s="181">
        <f t="shared" si="8"/>
        <v>2228.4281249999999</v>
      </c>
      <c r="T16" s="182">
        <f>'Program Budget'!T18</f>
        <v>6</v>
      </c>
      <c r="U16" s="183">
        <f>Admin!U16+'Activity 1'!U16+'Activity 2'!U16+'Activity 3'!U16</f>
        <v>1</v>
      </c>
      <c r="V16" s="184">
        <f t="shared" si="9"/>
        <v>13370.568749999999</v>
      </c>
      <c r="W16" s="320">
        <f t="shared" si="10"/>
        <v>97193.318750000006</v>
      </c>
    </row>
    <row r="17" spans="1:23" ht="15" customHeight="1" outlineLevel="1">
      <c r="A17" s="179" t="str">
        <f>'Program Budget'!D19</f>
        <v>Technical Specialist Component 3</v>
      </c>
      <c r="B17" s="180" t="str">
        <f>'Program Budget'!F19</f>
        <v>Month</v>
      </c>
      <c r="C17" s="181">
        <f>'Program Budget'!H19</f>
        <v>1833.3333333333333</v>
      </c>
      <c r="D17" s="182">
        <f>'Program Budget'!G19</f>
        <v>6</v>
      </c>
      <c r="E17" s="183">
        <f>Admin!E17+'Activity 1'!E17+'Activity 2'!E17+'Activity 3'!E17</f>
        <v>1</v>
      </c>
      <c r="F17" s="184">
        <f t="shared" si="1"/>
        <v>11000</v>
      </c>
      <c r="G17" s="181">
        <f t="shared" si="2"/>
        <v>1925</v>
      </c>
      <c r="H17" s="182">
        <f>'Program Budget'!K19</f>
        <v>12</v>
      </c>
      <c r="I17" s="183">
        <f>Admin!I17+'Activity 1'!I17+'Activity 2'!I17+'Activity 3'!I17</f>
        <v>1</v>
      </c>
      <c r="J17" s="184">
        <f t="shared" si="3"/>
        <v>23100</v>
      </c>
      <c r="K17" s="181">
        <f t="shared" si="4"/>
        <v>2021.25</v>
      </c>
      <c r="L17" s="182">
        <f>'Program Budget'!N19</f>
        <v>12</v>
      </c>
      <c r="M17" s="183">
        <f>Admin!M17+'Activity 1'!M17+'Activity 2'!M17+'Activity 3'!M17</f>
        <v>1</v>
      </c>
      <c r="N17" s="184">
        <f t="shared" si="5"/>
        <v>24255</v>
      </c>
      <c r="O17" s="181">
        <f t="shared" si="6"/>
        <v>2122.3125</v>
      </c>
      <c r="P17" s="182">
        <f>'Program Budget'!Q19</f>
        <v>12</v>
      </c>
      <c r="Q17" s="183">
        <f>Admin!Q17+'Activity 1'!Q17+'Activity 2'!Q17+'Activity 3'!Q17</f>
        <v>1</v>
      </c>
      <c r="R17" s="184">
        <f t="shared" si="7"/>
        <v>25467.75</v>
      </c>
      <c r="S17" s="181">
        <f t="shared" si="8"/>
        <v>2228.4281249999999</v>
      </c>
      <c r="T17" s="182">
        <f>'Program Budget'!T19</f>
        <v>6</v>
      </c>
      <c r="U17" s="183">
        <f>Admin!U17+'Activity 1'!U17+'Activity 2'!U17+'Activity 3'!U17</f>
        <v>1</v>
      </c>
      <c r="V17" s="184">
        <f t="shared" si="9"/>
        <v>13370.568749999999</v>
      </c>
      <c r="W17" s="320">
        <f t="shared" si="10"/>
        <v>97193.318750000006</v>
      </c>
    </row>
    <row r="18" spans="1:23" ht="15" customHeight="1" outlineLevel="1">
      <c r="A18" s="179" t="str">
        <f>'Program Budget'!D20</f>
        <v>Capacity Building Specialist (2)</v>
      </c>
      <c r="B18" s="180" t="str">
        <f>'Program Budget'!F20</f>
        <v>Month</v>
      </c>
      <c r="C18" s="181">
        <f>'Program Budget'!H20</f>
        <v>3333.3333333333335</v>
      </c>
      <c r="D18" s="182">
        <f>'Program Budget'!G20</f>
        <v>4</v>
      </c>
      <c r="E18" s="183">
        <f>Admin!E18+'Activity 1'!E18+'Activity 2'!E18+'Activity 3'!E18</f>
        <v>1</v>
      </c>
      <c r="F18" s="184">
        <f t="shared" ref="F18" si="11">C18*D18*E18</f>
        <v>13333.333333333334</v>
      </c>
      <c r="G18" s="181">
        <f t="shared" ref="G18" si="12">C18*1.05</f>
        <v>3500.0000000000005</v>
      </c>
      <c r="H18" s="182">
        <f>'Program Budget'!K20</f>
        <v>12</v>
      </c>
      <c r="I18" s="183">
        <f>Admin!I18+'Activity 1'!I18+'Activity 2'!I18+'Activity 3'!I18</f>
        <v>1</v>
      </c>
      <c r="J18" s="184">
        <f t="shared" ref="J18" si="13">G18*H18*I18</f>
        <v>42000.000000000007</v>
      </c>
      <c r="K18" s="181">
        <f t="shared" ref="K18" si="14">G18*1.05</f>
        <v>3675.0000000000005</v>
      </c>
      <c r="L18" s="182">
        <f>'Program Budget'!N20</f>
        <v>12</v>
      </c>
      <c r="M18" s="183">
        <f>Admin!M18+'Activity 1'!M18+'Activity 2'!M18+'Activity 3'!M18</f>
        <v>1</v>
      </c>
      <c r="N18" s="184">
        <f t="shared" ref="N18" si="15">K18*L18*M18</f>
        <v>44100.000000000007</v>
      </c>
      <c r="O18" s="181">
        <f t="shared" ref="O18" si="16">K18*1.05</f>
        <v>3858.7500000000005</v>
      </c>
      <c r="P18" s="182">
        <f>'Program Budget'!Q20</f>
        <v>12</v>
      </c>
      <c r="Q18" s="183">
        <f>Admin!Q18+'Activity 1'!Q18+'Activity 2'!Q18+'Activity 3'!Q18</f>
        <v>1</v>
      </c>
      <c r="R18" s="184">
        <f t="shared" ref="R18" si="17">O18*P18*Q18</f>
        <v>46305.000000000007</v>
      </c>
      <c r="S18" s="181">
        <f t="shared" ref="S18" si="18">O18*1.05</f>
        <v>4051.6875000000005</v>
      </c>
      <c r="T18" s="182">
        <f>'Program Budget'!T20</f>
        <v>5</v>
      </c>
      <c r="U18" s="183">
        <f>Admin!U18+'Activity 1'!U18+'Activity 2'!U18+'Activity 3'!U18</f>
        <v>1</v>
      </c>
      <c r="V18" s="184">
        <f t="shared" ref="V18" si="19">S18*T18*U18</f>
        <v>20258.437500000004</v>
      </c>
      <c r="W18" s="320">
        <f t="shared" ref="W18" si="20">F18+J18+N18+R18+V18</f>
        <v>165996.77083333334</v>
      </c>
    </row>
    <row r="19" spans="1:23" ht="15" customHeight="1" outlineLevel="1">
      <c r="A19" s="179" t="str">
        <f>'Program Budget'!D21</f>
        <v>Sociocultural and Gender Specialist</v>
      </c>
      <c r="B19" s="180" t="str">
        <f>'Program Budget'!F21</f>
        <v>Month</v>
      </c>
      <c r="C19" s="181">
        <f>'Program Budget'!H21</f>
        <v>1833.3333333333333</v>
      </c>
      <c r="D19" s="182">
        <f>'Program Budget'!G21</f>
        <v>7</v>
      </c>
      <c r="E19" s="183">
        <f>Admin!E19+'Activity 1'!E19+'Activity 2'!E19+'Activity 3'!E19</f>
        <v>1</v>
      </c>
      <c r="F19" s="184">
        <f t="shared" si="1"/>
        <v>12833.333333333332</v>
      </c>
      <c r="G19" s="181">
        <f t="shared" si="2"/>
        <v>1925</v>
      </c>
      <c r="H19" s="182">
        <f>'Program Budget'!K21</f>
        <v>12</v>
      </c>
      <c r="I19" s="183">
        <f>Admin!I19+'Activity 1'!I19+'Activity 2'!I19+'Activity 3'!I19</f>
        <v>1</v>
      </c>
      <c r="J19" s="184">
        <f t="shared" si="3"/>
        <v>23100</v>
      </c>
      <c r="K19" s="181">
        <f t="shared" si="4"/>
        <v>2021.25</v>
      </c>
      <c r="L19" s="182">
        <f>'Program Budget'!N21</f>
        <v>12</v>
      </c>
      <c r="M19" s="183">
        <f>Admin!M19+'Activity 1'!M19+'Activity 2'!M19+'Activity 3'!M19</f>
        <v>0.99999999999999989</v>
      </c>
      <c r="N19" s="184">
        <f t="shared" si="5"/>
        <v>24254.999999999996</v>
      </c>
      <c r="O19" s="181">
        <f t="shared" si="6"/>
        <v>2122.3125</v>
      </c>
      <c r="P19" s="182">
        <f>'Program Budget'!Q21</f>
        <v>12</v>
      </c>
      <c r="Q19" s="183">
        <f>Admin!Q19+'Activity 1'!Q19+'Activity 2'!Q19+'Activity 3'!Q19</f>
        <v>0.99999999999999989</v>
      </c>
      <c r="R19" s="184">
        <f t="shared" si="7"/>
        <v>25467.749999999996</v>
      </c>
      <c r="S19" s="181">
        <f t="shared" si="8"/>
        <v>2228.4281249999999</v>
      </c>
      <c r="T19" s="182">
        <f>'Program Budget'!T21</f>
        <v>9</v>
      </c>
      <c r="U19" s="183">
        <f>Admin!U19+'Activity 1'!U19+'Activity 2'!U19+'Activity 3'!U19</f>
        <v>0.99999999999999989</v>
      </c>
      <c r="V19" s="184">
        <f t="shared" si="9"/>
        <v>20055.853124999994</v>
      </c>
      <c r="W19" s="320">
        <f t="shared" si="10"/>
        <v>105711.93645833332</v>
      </c>
    </row>
    <row r="20" spans="1:23" ht="15" customHeight="1" outlineLevel="1">
      <c r="A20" s="179" t="str">
        <f>'Program Budget'!D22</f>
        <v>Sociocultural and Gender Officers (3)</v>
      </c>
      <c r="B20" s="180" t="str">
        <f>'Program Budget'!F22</f>
        <v>Month</v>
      </c>
      <c r="C20" s="181">
        <f>'Program Budget'!H22</f>
        <v>3750</v>
      </c>
      <c r="D20" s="182">
        <f>'Program Budget'!G22</f>
        <v>7</v>
      </c>
      <c r="E20" s="183">
        <f>Admin!E20+'Activity 1'!E20+'Activity 2'!E20+'Activity 3'!E20</f>
        <v>1</v>
      </c>
      <c r="F20" s="184">
        <f t="shared" si="1"/>
        <v>26250</v>
      </c>
      <c r="G20" s="181">
        <f t="shared" si="2"/>
        <v>3937.5</v>
      </c>
      <c r="H20" s="182">
        <f>'Program Budget'!K22</f>
        <v>12</v>
      </c>
      <c r="I20" s="183">
        <f>Admin!I20+'Activity 1'!I20+'Activity 2'!I20+'Activity 3'!I20</f>
        <v>1</v>
      </c>
      <c r="J20" s="184">
        <f t="shared" si="3"/>
        <v>47250</v>
      </c>
      <c r="K20" s="181">
        <f t="shared" si="4"/>
        <v>4134.375</v>
      </c>
      <c r="L20" s="182">
        <f>'Program Budget'!N22</f>
        <v>12</v>
      </c>
      <c r="M20" s="183">
        <f>Admin!M20+'Activity 1'!M20+'Activity 2'!M20+'Activity 3'!M20</f>
        <v>0.99999999999999989</v>
      </c>
      <c r="N20" s="184">
        <f t="shared" si="5"/>
        <v>49612.499999999993</v>
      </c>
      <c r="O20" s="181">
        <f t="shared" si="6"/>
        <v>4341.09375</v>
      </c>
      <c r="P20" s="182">
        <f>'Program Budget'!Q22</f>
        <v>12</v>
      </c>
      <c r="Q20" s="183">
        <f>Admin!Q20+'Activity 1'!Q20+'Activity 2'!Q20+'Activity 3'!Q20</f>
        <v>0.99999999999999989</v>
      </c>
      <c r="R20" s="184">
        <f t="shared" si="7"/>
        <v>52093.124999999993</v>
      </c>
      <c r="S20" s="181">
        <f t="shared" si="8"/>
        <v>4558.1484375</v>
      </c>
      <c r="T20" s="182">
        <f>'Program Budget'!T22</f>
        <v>9</v>
      </c>
      <c r="U20" s="183">
        <f>Admin!U20+'Activity 1'!U20+'Activity 2'!U20+'Activity 3'!U20</f>
        <v>0.99999999999999989</v>
      </c>
      <c r="V20" s="184">
        <f t="shared" si="9"/>
        <v>41023.335937499993</v>
      </c>
      <c r="W20" s="320">
        <f t="shared" si="10"/>
        <v>216228.9609375</v>
      </c>
    </row>
    <row r="21" spans="1:23" ht="15" customHeight="1" outlineLevel="1">
      <c r="A21" s="179" t="str">
        <f>'Program Budget'!D23</f>
        <v>Communications Specialists</v>
      </c>
      <c r="B21" s="180" t="str">
        <f>'Program Budget'!F23</f>
        <v>Month</v>
      </c>
      <c r="C21" s="181">
        <f>'Program Budget'!H23</f>
        <v>1500</v>
      </c>
      <c r="D21" s="182">
        <f>'Program Budget'!G23</f>
        <v>7</v>
      </c>
      <c r="E21" s="183">
        <f>Admin!E21+'Activity 1'!E21+'Activity 2'!E21+'Activity 3'!E21</f>
        <v>1</v>
      </c>
      <c r="F21" s="184">
        <f t="shared" si="1"/>
        <v>10500</v>
      </c>
      <c r="G21" s="181">
        <f t="shared" si="2"/>
        <v>1575</v>
      </c>
      <c r="H21" s="182">
        <f>'Program Budget'!K23</f>
        <v>12</v>
      </c>
      <c r="I21" s="183">
        <f>Admin!I21+'Activity 1'!I21+'Activity 2'!I21+'Activity 3'!I21</f>
        <v>1</v>
      </c>
      <c r="J21" s="184">
        <f t="shared" si="3"/>
        <v>18900</v>
      </c>
      <c r="K21" s="181">
        <f t="shared" si="4"/>
        <v>1653.75</v>
      </c>
      <c r="L21" s="182">
        <f>'Program Budget'!N23</f>
        <v>12</v>
      </c>
      <c r="M21" s="183">
        <f>Admin!M21+'Activity 1'!M21+'Activity 2'!M21+'Activity 3'!M21</f>
        <v>1</v>
      </c>
      <c r="N21" s="184">
        <f t="shared" si="5"/>
        <v>19845</v>
      </c>
      <c r="O21" s="181">
        <f t="shared" si="6"/>
        <v>1736.4375</v>
      </c>
      <c r="P21" s="182">
        <f>'Program Budget'!Q23</f>
        <v>12</v>
      </c>
      <c r="Q21" s="183">
        <f>Admin!Q21+'Activity 1'!Q21+'Activity 2'!Q21+'Activity 3'!Q21</f>
        <v>1</v>
      </c>
      <c r="R21" s="184">
        <f t="shared" si="7"/>
        <v>20837.25</v>
      </c>
      <c r="S21" s="181">
        <f t="shared" si="8"/>
        <v>1823.2593750000001</v>
      </c>
      <c r="T21" s="182">
        <f>'Program Budget'!T23</f>
        <v>10</v>
      </c>
      <c r="U21" s="183">
        <f>Admin!U21+'Activity 1'!U21+'Activity 2'!U21+'Activity 3'!U21</f>
        <v>1</v>
      </c>
      <c r="V21" s="184">
        <f t="shared" si="9"/>
        <v>18232.59375</v>
      </c>
      <c r="W21" s="320">
        <f t="shared" si="10"/>
        <v>88314.84375</v>
      </c>
    </row>
    <row r="22" spans="1:23" ht="15" customHeight="1" outlineLevel="1">
      <c r="A22" s="179" t="str">
        <f>'Program Budget'!D24</f>
        <v xml:space="preserve">M&amp;E Director </v>
      </c>
      <c r="B22" s="180" t="str">
        <f>'Program Budget'!F24</f>
        <v>Month</v>
      </c>
      <c r="C22" s="181">
        <f>'Program Budget'!H24</f>
        <v>3916.6666666666665</v>
      </c>
      <c r="D22" s="182">
        <f>'Program Budget'!G24</f>
        <v>9</v>
      </c>
      <c r="E22" s="183">
        <f>Admin!E22+'Activity 1'!E22+'Activity 2'!E22+'Activity 3'!E22</f>
        <v>1</v>
      </c>
      <c r="F22" s="184">
        <f t="shared" si="1"/>
        <v>35250</v>
      </c>
      <c r="G22" s="181">
        <f t="shared" si="2"/>
        <v>4112.5</v>
      </c>
      <c r="H22" s="182">
        <f>'Program Budget'!K24</f>
        <v>12</v>
      </c>
      <c r="I22" s="183">
        <f>Admin!I22+'Activity 1'!I22+'Activity 2'!I22+'Activity 3'!I22</f>
        <v>1</v>
      </c>
      <c r="J22" s="184">
        <f t="shared" si="3"/>
        <v>49350</v>
      </c>
      <c r="K22" s="181">
        <f t="shared" si="4"/>
        <v>4318.125</v>
      </c>
      <c r="L22" s="182">
        <f>'Program Budget'!N24</f>
        <v>12</v>
      </c>
      <c r="M22" s="183">
        <f>Admin!M22+'Activity 1'!M22+'Activity 2'!M22+'Activity 3'!M22</f>
        <v>1</v>
      </c>
      <c r="N22" s="184">
        <f t="shared" si="5"/>
        <v>51817.5</v>
      </c>
      <c r="O22" s="181">
        <f t="shared" si="6"/>
        <v>4534.03125</v>
      </c>
      <c r="P22" s="182">
        <f>'Program Budget'!Q24</f>
        <v>12</v>
      </c>
      <c r="Q22" s="183">
        <f>Admin!Q22+'Activity 1'!Q22+'Activity 2'!Q22+'Activity 3'!Q22</f>
        <v>1</v>
      </c>
      <c r="R22" s="184">
        <f t="shared" si="7"/>
        <v>54408.375</v>
      </c>
      <c r="S22" s="181">
        <f t="shared" si="8"/>
        <v>4760.7328125000004</v>
      </c>
      <c r="T22" s="182">
        <f>'Program Budget'!T24</f>
        <v>12</v>
      </c>
      <c r="U22" s="183">
        <f>Admin!U22+'Activity 1'!U22+'Activity 2'!U22+'Activity 3'!U22</f>
        <v>1</v>
      </c>
      <c r="V22" s="184">
        <f t="shared" si="9"/>
        <v>57128.793750000004</v>
      </c>
      <c r="W22" s="320">
        <f t="shared" si="10"/>
        <v>247954.66875000001</v>
      </c>
    </row>
    <row r="23" spans="1:23" ht="15" customHeight="1" outlineLevel="1">
      <c r="A23" s="179" t="str">
        <f>'Program Budget'!D25</f>
        <v>M&amp;E Specialist</v>
      </c>
      <c r="B23" s="180" t="str">
        <f>'Program Budget'!F25</f>
        <v>Month</v>
      </c>
      <c r="C23" s="181">
        <f>'Program Budget'!H25</f>
        <v>1833.3333333333333</v>
      </c>
      <c r="D23" s="182">
        <f>'Program Budget'!G25</f>
        <v>8</v>
      </c>
      <c r="E23" s="183">
        <f>Admin!E23+'Activity 1'!E23+'Activity 2'!E23+'Activity 3'!E23</f>
        <v>1</v>
      </c>
      <c r="F23" s="184">
        <f t="shared" si="1"/>
        <v>14666.666666666666</v>
      </c>
      <c r="G23" s="181">
        <f t="shared" si="2"/>
        <v>1925</v>
      </c>
      <c r="H23" s="182">
        <f>'Program Budget'!K25</f>
        <v>12</v>
      </c>
      <c r="I23" s="183">
        <f>Admin!I23+'Activity 1'!I23+'Activity 2'!I23+'Activity 3'!I23</f>
        <v>1</v>
      </c>
      <c r="J23" s="184">
        <f t="shared" si="3"/>
        <v>23100</v>
      </c>
      <c r="K23" s="181">
        <f t="shared" si="4"/>
        <v>2021.25</v>
      </c>
      <c r="L23" s="182">
        <f>'Program Budget'!N25</f>
        <v>12</v>
      </c>
      <c r="M23" s="183">
        <f>Admin!M23+'Activity 1'!M23+'Activity 2'!M23+'Activity 3'!M23</f>
        <v>1</v>
      </c>
      <c r="N23" s="184">
        <f t="shared" si="5"/>
        <v>24255</v>
      </c>
      <c r="O23" s="181">
        <f t="shared" si="6"/>
        <v>2122.3125</v>
      </c>
      <c r="P23" s="182">
        <f>'Program Budget'!Q25</f>
        <v>12</v>
      </c>
      <c r="Q23" s="183">
        <f>Admin!Q23+'Activity 1'!Q23+'Activity 2'!Q23+'Activity 3'!Q23</f>
        <v>1</v>
      </c>
      <c r="R23" s="184">
        <f t="shared" si="7"/>
        <v>25467.75</v>
      </c>
      <c r="S23" s="181">
        <f t="shared" si="8"/>
        <v>2228.4281249999999</v>
      </c>
      <c r="T23" s="182">
        <f>'Program Budget'!T25</f>
        <v>10</v>
      </c>
      <c r="U23" s="183">
        <f>Admin!U23+'Activity 1'!U23+'Activity 2'!U23+'Activity 3'!U23</f>
        <v>1</v>
      </c>
      <c r="V23" s="184">
        <f t="shared" si="9"/>
        <v>22284.28125</v>
      </c>
      <c r="W23" s="320">
        <f t="shared" si="10"/>
        <v>109773.69791666666</v>
      </c>
    </row>
    <row r="24" spans="1:23" ht="15" customHeight="1" outlineLevel="1">
      <c r="A24" s="179" t="str">
        <f>'Program Budget'!D26</f>
        <v xml:space="preserve">Key Personnel: Finance Director </v>
      </c>
      <c r="B24" s="180" t="str">
        <f>'Program Budget'!F26</f>
        <v>Month</v>
      </c>
      <c r="C24" s="181">
        <f>'Program Budget'!H26</f>
        <v>3916.6666666666665</v>
      </c>
      <c r="D24" s="182">
        <f>'Program Budget'!G26</f>
        <v>11</v>
      </c>
      <c r="E24" s="183">
        <f>Admin!E24+'Activity 1'!E24+'Activity 2'!E24+'Activity 3'!E24</f>
        <v>1</v>
      </c>
      <c r="F24" s="184">
        <f t="shared" si="1"/>
        <v>43083.333333333328</v>
      </c>
      <c r="G24" s="181">
        <f t="shared" si="2"/>
        <v>4112.5</v>
      </c>
      <c r="H24" s="182">
        <f>'Program Budget'!K26</f>
        <v>12</v>
      </c>
      <c r="I24" s="183">
        <f>Admin!I24+'Activity 1'!I24+'Activity 2'!I24+'Activity 3'!I24</f>
        <v>1</v>
      </c>
      <c r="J24" s="184">
        <f t="shared" si="3"/>
        <v>49350</v>
      </c>
      <c r="K24" s="181">
        <f t="shared" si="4"/>
        <v>4318.125</v>
      </c>
      <c r="L24" s="182">
        <f>'Program Budget'!N26</f>
        <v>12</v>
      </c>
      <c r="M24" s="183">
        <f>Admin!M24+'Activity 1'!M24+'Activity 2'!M24+'Activity 3'!M24</f>
        <v>1</v>
      </c>
      <c r="N24" s="184">
        <f t="shared" si="5"/>
        <v>51817.5</v>
      </c>
      <c r="O24" s="181">
        <f t="shared" si="6"/>
        <v>4534.03125</v>
      </c>
      <c r="P24" s="182">
        <f>'Program Budget'!Q26</f>
        <v>12</v>
      </c>
      <c r="Q24" s="183">
        <f>Admin!Q24+'Activity 1'!Q24+'Activity 2'!Q24+'Activity 3'!Q24</f>
        <v>1</v>
      </c>
      <c r="R24" s="184">
        <f t="shared" si="7"/>
        <v>54408.375</v>
      </c>
      <c r="S24" s="181">
        <f t="shared" si="8"/>
        <v>4760.7328125000004</v>
      </c>
      <c r="T24" s="182">
        <f>'Program Budget'!T26</f>
        <v>12</v>
      </c>
      <c r="U24" s="183">
        <f>Admin!U24+'Activity 1'!U24+'Activity 2'!U24+'Activity 3'!U24</f>
        <v>1</v>
      </c>
      <c r="V24" s="184">
        <f t="shared" si="9"/>
        <v>57128.793750000004</v>
      </c>
      <c r="W24" s="320">
        <f t="shared" si="10"/>
        <v>255788.00208333333</v>
      </c>
    </row>
    <row r="25" spans="1:23" ht="15" customHeight="1" outlineLevel="1">
      <c r="A25" s="179" t="str">
        <f>'Program Budget'!D27</f>
        <v>Contracts &amp; Compliance Specialist</v>
      </c>
      <c r="B25" s="180" t="str">
        <f>'Program Budget'!F27</f>
        <v>Month</v>
      </c>
      <c r="C25" s="181">
        <f>'Program Budget'!H27</f>
        <v>1833.3333333333333</v>
      </c>
      <c r="D25" s="182">
        <f>'Program Budget'!G27</f>
        <v>9</v>
      </c>
      <c r="E25" s="183">
        <f>Admin!E25+'Activity 1'!E25+'Activity 2'!E25+'Activity 3'!E25</f>
        <v>1</v>
      </c>
      <c r="F25" s="184">
        <f t="shared" si="1"/>
        <v>16500</v>
      </c>
      <c r="G25" s="181">
        <f t="shared" si="2"/>
        <v>1925</v>
      </c>
      <c r="H25" s="182">
        <f>'Program Budget'!K27</f>
        <v>12</v>
      </c>
      <c r="I25" s="183">
        <f>Admin!I25+'Activity 1'!I25+'Activity 2'!I25+'Activity 3'!I25</f>
        <v>1</v>
      </c>
      <c r="J25" s="184">
        <f t="shared" si="3"/>
        <v>23100</v>
      </c>
      <c r="K25" s="181">
        <f t="shared" si="4"/>
        <v>2021.25</v>
      </c>
      <c r="L25" s="182">
        <f>'Program Budget'!N27</f>
        <v>12</v>
      </c>
      <c r="M25" s="183">
        <f>Admin!M25+'Activity 1'!M25+'Activity 2'!M25+'Activity 3'!M25</f>
        <v>1</v>
      </c>
      <c r="N25" s="184">
        <f t="shared" si="5"/>
        <v>24255</v>
      </c>
      <c r="O25" s="181">
        <f t="shared" si="6"/>
        <v>2122.3125</v>
      </c>
      <c r="P25" s="182">
        <f>'Program Budget'!Q27</f>
        <v>12</v>
      </c>
      <c r="Q25" s="183">
        <f>Admin!Q25+'Activity 1'!Q25+'Activity 2'!Q25+'Activity 3'!Q25</f>
        <v>1</v>
      </c>
      <c r="R25" s="184">
        <f t="shared" si="7"/>
        <v>25467.75</v>
      </c>
      <c r="S25" s="181">
        <f t="shared" si="8"/>
        <v>2228.4281249999999</v>
      </c>
      <c r="T25" s="182">
        <f>'Program Budget'!T27</f>
        <v>12</v>
      </c>
      <c r="U25" s="183">
        <f>Admin!U25+'Activity 1'!U25+'Activity 2'!U25+'Activity 3'!U25</f>
        <v>1</v>
      </c>
      <c r="V25" s="184">
        <f t="shared" si="9"/>
        <v>26741.137499999997</v>
      </c>
      <c r="W25" s="320">
        <f t="shared" si="10"/>
        <v>116063.8875</v>
      </c>
    </row>
    <row r="26" spans="1:23" ht="15" customHeight="1" outlineLevel="1">
      <c r="A26" s="179" t="str">
        <f>'Program Budget'!D28</f>
        <v>Grants &amp; Procurement Officer (2)</v>
      </c>
      <c r="B26" s="180" t="str">
        <f>'Program Budget'!F28</f>
        <v>Month</v>
      </c>
      <c r="C26" s="181">
        <f>'Program Budget'!H28</f>
        <v>2500</v>
      </c>
      <c r="D26" s="182">
        <f>'Program Budget'!G28</f>
        <v>9</v>
      </c>
      <c r="E26" s="183">
        <f>Admin!E26+'Activity 1'!E26+'Activity 2'!E26+'Activity 3'!E26</f>
        <v>1</v>
      </c>
      <c r="F26" s="184">
        <f t="shared" si="1"/>
        <v>22500</v>
      </c>
      <c r="G26" s="181">
        <f t="shared" si="2"/>
        <v>2625</v>
      </c>
      <c r="H26" s="182">
        <f>'Program Budget'!K28</f>
        <v>12</v>
      </c>
      <c r="I26" s="183">
        <f>Admin!I26+'Activity 1'!I26+'Activity 2'!I26+'Activity 3'!I26</f>
        <v>1</v>
      </c>
      <c r="J26" s="184">
        <f t="shared" si="3"/>
        <v>31500</v>
      </c>
      <c r="K26" s="181">
        <f t="shared" si="4"/>
        <v>2756.25</v>
      </c>
      <c r="L26" s="182">
        <f>'Program Budget'!N28</f>
        <v>12</v>
      </c>
      <c r="M26" s="183">
        <f>Admin!M26+'Activity 1'!M26+'Activity 2'!M26+'Activity 3'!M26</f>
        <v>1</v>
      </c>
      <c r="N26" s="184">
        <f t="shared" si="5"/>
        <v>33075</v>
      </c>
      <c r="O26" s="181">
        <f t="shared" si="6"/>
        <v>2894.0625</v>
      </c>
      <c r="P26" s="182">
        <f>'Program Budget'!Q28</f>
        <v>12</v>
      </c>
      <c r="Q26" s="183">
        <f>Admin!Q26+'Activity 1'!Q26+'Activity 2'!Q26+'Activity 3'!Q26</f>
        <v>1</v>
      </c>
      <c r="R26" s="184">
        <f t="shared" si="7"/>
        <v>34728.75</v>
      </c>
      <c r="S26" s="181">
        <f t="shared" si="8"/>
        <v>3038.765625</v>
      </c>
      <c r="T26" s="182">
        <f>'Program Budget'!T28</f>
        <v>12</v>
      </c>
      <c r="U26" s="183">
        <f>Admin!U26+'Activity 1'!U26+'Activity 2'!U26+'Activity 3'!U26</f>
        <v>1</v>
      </c>
      <c r="V26" s="184">
        <f t="shared" si="9"/>
        <v>36465.1875</v>
      </c>
      <c r="W26" s="320">
        <f t="shared" si="10"/>
        <v>158268.9375</v>
      </c>
    </row>
    <row r="27" spans="1:23" ht="15" customHeight="1" outlineLevel="1">
      <c r="A27" s="179" t="str">
        <f>'Program Budget'!D29</f>
        <v xml:space="preserve">Accountant </v>
      </c>
      <c r="B27" s="180" t="str">
        <f>'Program Budget'!F29</f>
        <v>Month</v>
      </c>
      <c r="C27" s="181">
        <f>'Program Budget'!H29</f>
        <v>1666.6666666666667</v>
      </c>
      <c r="D27" s="182">
        <f>'Program Budget'!G29</f>
        <v>10</v>
      </c>
      <c r="E27" s="183">
        <f>Admin!E27+'Activity 1'!E27+'Activity 2'!E27+'Activity 3'!E27</f>
        <v>1</v>
      </c>
      <c r="F27" s="184">
        <f t="shared" si="1"/>
        <v>16666.666666666668</v>
      </c>
      <c r="G27" s="181">
        <f t="shared" si="2"/>
        <v>1750.0000000000002</v>
      </c>
      <c r="H27" s="182">
        <f>'Program Budget'!K29</f>
        <v>12</v>
      </c>
      <c r="I27" s="183">
        <f>Admin!I27+'Activity 1'!I27+'Activity 2'!I27+'Activity 3'!I27</f>
        <v>1</v>
      </c>
      <c r="J27" s="184">
        <f t="shared" si="3"/>
        <v>21000.000000000004</v>
      </c>
      <c r="K27" s="181">
        <f t="shared" si="4"/>
        <v>1837.5000000000002</v>
      </c>
      <c r="L27" s="182">
        <f>'Program Budget'!N29</f>
        <v>12</v>
      </c>
      <c r="M27" s="183">
        <f>Admin!M27+'Activity 1'!M27+'Activity 2'!M27+'Activity 3'!M27</f>
        <v>1</v>
      </c>
      <c r="N27" s="184">
        <f t="shared" si="5"/>
        <v>22050.000000000004</v>
      </c>
      <c r="O27" s="181">
        <f t="shared" si="6"/>
        <v>1929.3750000000002</v>
      </c>
      <c r="P27" s="182">
        <f>'Program Budget'!Q29</f>
        <v>12</v>
      </c>
      <c r="Q27" s="183">
        <f>Admin!Q27+'Activity 1'!Q27+'Activity 2'!Q27+'Activity 3'!Q27</f>
        <v>1</v>
      </c>
      <c r="R27" s="184">
        <f t="shared" si="7"/>
        <v>23152.500000000004</v>
      </c>
      <c r="S27" s="181">
        <f t="shared" si="8"/>
        <v>2025.8437500000002</v>
      </c>
      <c r="T27" s="182">
        <f>'Program Budget'!T29</f>
        <v>11</v>
      </c>
      <c r="U27" s="183">
        <f>Admin!U27+'Activity 1'!U27+'Activity 2'!U27+'Activity 3'!U27</f>
        <v>1</v>
      </c>
      <c r="V27" s="184">
        <f t="shared" si="9"/>
        <v>22284.281250000004</v>
      </c>
      <c r="W27" s="320">
        <f t="shared" si="10"/>
        <v>105153.44791666667</v>
      </c>
    </row>
    <row r="28" spans="1:23" ht="15" customHeight="1" outlineLevel="1">
      <c r="A28" s="179" t="str">
        <f>'Program Budget'!D30</f>
        <v>Administrative Officer</v>
      </c>
      <c r="B28" s="180" t="str">
        <f>'Program Budget'!F30</f>
        <v>Month</v>
      </c>
      <c r="C28" s="181">
        <f>'Program Budget'!H30</f>
        <v>833.33333333333337</v>
      </c>
      <c r="D28" s="182">
        <f>'Program Budget'!G30</f>
        <v>9</v>
      </c>
      <c r="E28" s="183">
        <f>Admin!E28+'Activity 1'!E28+'Activity 2'!E28+'Activity 3'!E28</f>
        <v>1</v>
      </c>
      <c r="F28" s="184">
        <f t="shared" si="1"/>
        <v>7500</v>
      </c>
      <c r="G28" s="181">
        <f t="shared" si="2"/>
        <v>875.00000000000011</v>
      </c>
      <c r="H28" s="182">
        <f>'Program Budget'!K30</f>
        <v>12</v>
      </c>
      <c r="I28" s="183">
        <f>Admin!I28+'Activity 1'!I28+'Activity 2'!I28+'Activity 3'!I28</f>
        <v>1</v>
      </c>
      <c r="J28" s="184">
        <f t="shared" si="3"/>
        <v>10500.000000000002</v>
      </c>
      <c r="K28" s="181">
        <f t="shared" si="4"/>
        <v>918.75000000000011</v>
      </c>
      <c r="L28" s="182">
        <f>'Program Budget'!N30</f>
        <v>12</v>
      </c>
      <c r="M28" s="183">
        <f>Admin!M28+'Activity 1'!M28+'Activity 2'!M28+'Activity 3'!M28</f>
        <v>1</v>
      </c>
      <c r="N28" s="184">
        <f t="shared" si="5"/>
        <v>11025.000000000002</v>
      </c>
      <c r="O28" s="181">
        <f t="shared" si="6"/>
        <v>964.68750000000011</v>
      </c>
      <c r="P28" s="182">
        <f>'Program Budget'!Q30</f>
        <v>12</v>
      </c>
      <c r="Q28" s="183">
        <f>Admin!Q28+'Activity 1'!Q28+'Activity 2'!Q28+'Activity 3'!Q28</f>
        <v>1</v>
      </c>
      <c r="R28" s="184">
        <f t="shared" si="7"/>
        <v>11576.250000000002</v>
      </c>
      <c r="S28" s="181">
        <f t="shared" si="8"/>
        <v>1012.9218750000001</v>
      </c>
      <c r="T28" s="182">
        <f>'Program Budget'!T30</f>
        <v>10</v>
      </c>
      <c r="U28" s="183">
        <f>Admin!U28+'Activity 1'!U28+'Activity 2'!U28+'Activity 3'!U28</f>
        <v>1</v>
      </c>
      <c r="V28" s="184">
        <f t="shared" si="9"/>
        <v>10129.218750000002</v>
      </c>
      <c r="W28" s="320">
        <f t="shared" si="10"/>
        <v>50730.46875</v>
      </c>
    </row>
    <row r="29" spans="1:23" ht="15" customHeight="1" outlineLevel="1">
      <c r="A29" s="179" t="str">
        <f>'Program Budget'!D31</f>
        <v>Human Resources Manager</v>
      </c>
      <c r="B29" s="180" t="str">
        <f>'Program Budget'!F31</f>
        <v>Month</v>
      </c>
      <c r="C29" s="181">
        <f>'Program Budget'!H31</f>
        <v>2500</v>
      </c>
      <c r="D29" s="182">
        <f>'Program Budget'!G31</f>
        <v>11</v>
      </c>
      <c r="E29" s="183">
        <f>Admin!E29+'Activity 1'!E29+'Activity 2'!E29+'Activity 3'!E29</f>
        <v>1</v>
      </c>
      <c r="F29" s="184">
        <f t="shared" si="1"/>
        <v>27500</v>
      </c>
      <c r="G29" s="181">
        <f t="shared" si="2"/>
        <v>2625</v>
      </c>
      <c r="H29" s="182">
        <f>'Program Budget'!K31</f>
        <v>12</v>
      </c>
      <c r="I29" s="183">
        <f>Admin!I29+'Activity 1'!I29+'Activity 2'!I29+'Activity 3'!I29</f>
        <v>1</v>
      </c>
      <c r="J29" s="184">
        <f t="shared" si="3"/>
        <v>31500</v>
      </c>
      <c r="K29" s="181">
        <f t="shared" si="4"/>
        <v>2756.25</v>
      </c>
      <c r="L29" s="182">
        <f>'Program Budget'!N31</f>
        <v>12</v>
      </c>
      <c r="M29" s="183">
        <f>Admin!M29+'Activity 1'!M29+'Activity 2'!M29+'Activity 3'!M29</f>
        <v>1</v>
      </c>
      <c r="N29" s="184">
        <f t="shared" si="5"/>
        <v>33075</v>
      </c>
      <c r="O29" s="181">
        <f t="shared" si="6"/>
        <v>2894.0625</v>
      </c>
      <c r="P29" s="182">
        <f>'Program Budget'!Q31</f>
        <v>12</v>
      </c>
      <c r="Q29" s="183">
        <f>Admin!Q29+'Activity 1'!Q29+'Activity 2'!Q29+'Activity 3'!Q29</f>
        <v>1</v>
      </c>
      <c r="R29" s="184">
        <f t="shared" si="7"/>
        <v>34728.75</v>
      </c>
      <c r="S29" s="181">
        <f t="shared" si="8"/>
        <v>3038.765625</v>
      </c>
      <c r="T29" s="182">
        <f>'Program Budget'!T31</f>
        <v>12</v>
      </c>
      <c r="U29" s="183">
        <f>Admin!U29+'Activity 1'!U29+'Activity 2'!U29+'Activity 3'!U29</f>
        <v>1</v>
      </c>
      <c r="V29" s="184">
        <f t="shared" si="9"/>
        <v>36465.1875</v>
      </c>
      <c r="W29" s="320">
        <f t="shared" si="10"/>
        <v>163268.9375</v>
      </c>
    </row>
    <row r="30" spans="1:23" ht="15" customHeight="1" outlineLevel="1">
      <c r="A30" s="179" t="str">
        <f>'Program Budget'!D32</f>
        <v>Driver (3 Individuals)</v>
      </c>
      <c r="B30" s="180" t="str">
        <f>'Program Budget'!F32</f>
        <v>Month</v>
      </c>
      <c r="C30" s="181">
        <f>'Program Budget'!H32</f>
        <v>2250</v>
      </c>
      <c r="D30" s="182">
        <f>'Program Budget'!G32</f>
        <v>3</v>
      </c>
      <c r="E30" s="183">
        <f>Admin!E30+'Activity 1'!E30+'Activity 2'!E30+'Activity 3'!E30</f>
        <v>1</v>
      </c>
      <c r="F30" s="184">
        <f t="shared" si="1"/>
        <v>6750</v>
      </c>
      <c r="G30" s="181">
        <f t="shared" si="2"/>
        <v>2362.5</v>
      </c>
      <c r="H30" s="182">
        <f>'Program Budget'!K32</f>
        <v>12</v>
      </c>
      <c r="I30" s="183">
        <f>Admin!I30+'Activity 1'!I30+'Activity 2'!I30+'Activity 3'!I30</f>
        <v>1</v>
      </c>
      <c r="J30" s="184">
        <f t="shared" si="3"/>
        <v>28350</v>
      </c>
      <c r="K30" s="181">
        <f>G30*1.05</f>
        <v>2480.625</v>
      </c>
      <c r="L30" s="182">
        <f>'Program Budget'!N32</f>
        <v>12</v>
      </c>
      <c r="M30" s="183">
        <f>Admin!M30+'Activity 1'!M30+'Activity 2'!M30+'Activity 3'!M30</f>
        <v>1</v>
      </c>
      <c r="N30" s="184">
        <f t="shared" si="5"/>
        <v>29767.5</v>
      </c>
      <c r="O30" s="181">
        <f t="shared" si="6"/>
        <v>2604.65625</v>
      </c>
      <c r="P30" s="182">
        <f>'Program Budget'!Q32</f>
        <v>12</v>
      </c>
      <c r="Q30" s="183">
        <f>Admin!Q30+'Activity 1'!Q30+'Activity 2'!Q30+'Activity 3'!Q30</f>
        <v>1</v>
      </c>
      <c r="R30" s="184">
        <f t="shared" si="7"/>
        <v>31255.875</v>
      </c>
      <c r="S30" s="181">
        <f t="shared" si="8"/>
        <v>2734.8890624999999</v>
      </c>
      <c r="T30" s="182">
        <f>'Program Budget'!T32</f>
        <v>9</v>
      </c>
      <c r="U30" s="183">
        <f>Admin!U30+'Activity 1'!U30+'Activity 2'!U30+'Activity 3'!U30</f>
        <v>1</v>
      </c>
      <c r="V30" s="184">
        <f t="shared" si="9"/>
        <v>24614.001562499998</v>
      </c>
      <c r="W30" s="322">
        <f t="shared" si="10"/>
        <v>120737.37656249999</v>
      </c>
    </row>
    <row r="31" spans="1:23" ht="15" customHeight="1" outlineLevel="1">
      <c r="A31" s="436" t="s">
        <v>78</v>
      </c>
      <c r="B31" s="195"/>
      <c r="C31" s="344"/>
      <c r="D31" s="197"/>
      <c r="E31" s="198"/>
      <c r="F31" s="208">
        <f>SUM(F10:F30)</f>
        <v>522583.33333333331</v>
      </c>
      <c r="G31" s="344"/>
      <c r="H31" s="197"/>
      <c r="I31" s="200"/>
      <c r="J31" s="208">
        <f>SUM(J10:J30)</f>
        <v>775950</v>
      </c>
      <c r="K31" s="344"/>
      <c r="L31" s="197"/>
      <c r="M31" s="198"/>
      <c r="N31" s="208">
        <f>SUM(N10:N30)</f>
        <v>814747.5</v>
      </c>
      <c r="O31" s="344"/>
      <c r="P31" s="197"/>
      <c r="Q31" s="200"/>
      <c r="R31" s="208">
        <f>SUM(R10:R30)</f>
        <v>855484.875</v>
      </c>
      <c r="S31" s="344"/>
      <c r="T31" s="197"/>
      <c r="U31" s="200"/>
      <c r="V31" s="208">
        <f>SUM(V10:V30)</f>
        <v>747435.05156249984</v>
      </c>
      <c r="W31" s="321">
        <f>F31+J31+N31+R31+V31</f>
        <v>3716200.7598958327</v>
      </c>
    </row>
    <row r="32" spans="1:23" s="175" customFormat="1" ht="15.6" outlineLevel="1">
      <c r="A32" s="435" t="s">
        <v>79</v>
      </c>
      <c r="B32" s="177"/>
      <c r="C32" s="342"/>
      <c r="D32" s="168"/>
      <c r="E32" s="169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319"/>
    </row>
    <row r="33" spans="1:31" ht="15" customHeight="1" outlineLevel="1">
      <c r="A33" s="179" t="str">
        <f>'Program Budget'!D34</f>
        <v xml:space="preserve">Senior Program Director </v>
      </c>
      <c r="B33" s="180" t="str">
        <f>'Program Budget'!F34</f>
        <v>Month</v>
      </c>
      <c r="C33" s="343">
        <f>'Program Budget'!H34</f>
        <v>11250</v>
      </c>
      <c r="D33" s="182">
        <f>'Program Budget'!G34</f>
        <v>12</v>
      </c>
      <c r="E33" s="183">
        <f>'Program Budget'!E34</f>
        <v>0.2</v>
      </c>
      <c r="F33" s="184">
        <f>C33*D33*E33</f>
        <v>27000</v>
      </c>
      <c r="G33" s="181">
        <f t="shared" ref="G33:G34" si="21">C33*1.05</f>
        <v>11812.5</v>
      </c>
      <c r="H33" s="182">
        <f>'Program Budget'!K34</f>
        <v>12</v>
      </c>
      <c r="I33" s="185">
        <f>'Program Budget'!J34</f>
        <v>0.2</v>
      </c>
      <c r="J33" s="184">
        <f>G33*H33*I33</f>
        <v>28350</v>
      </c>
      <c r="K33" s="181">
        <f t="shared" ref="K33" si="22">G33*1.05</f>
        <v>12403.125</v>
      </c>
      <c r="L33" s="182">
        <f>'Program Budget'!N34</f>
        <v>12</v>
      </c>
      <c r="M33" s="185">
        <f>'Program Budget'!M34</f>
        <v>0.2</v>
      </c>
      <c r="N33" s="184">
        <f>K33*L33*M33</f>
        <v>29767.5</v>
      </c>
      <c r="O33" s="181">
        <f t="shared" ref="O33:O34" si="23">K33*1.05</f>
        <v>13023.28125</v>
      </c>
      <c r="P33" s="182">
        <f>'Program Budget'!Q34</f>
        <v>12</v>
      </c>
      <c r="Q33" s="185">
        <f>'Program Budget'!P34</f>
        <v>0.2</v>
      </c>
      <c r="R33" s="184">
        <f>O33*P33*Q33</f>
        <v>31255.875</v>
      </c>
      <c r="S33" s="181">
        <f t="shared" ref="S33:S34" si="24">O33*1.05</f>
        <v>13674.4453125</v>
      </c>
      <c r="T33" s="182">
        <f>'Program Budget'!T34</f>
        <v>12</v>
      </c>
      <c r="U33" s="185">
        <f>'Program Budget'!S34</f>
        <v>0.2</v>
      </c>
      <c r="V33" s="184">
        <f>S33*T33*U33</f>
        <v>32818.668750000004</v>
      </c>
      <c r="W33" s="320">
        <f>F33+J33+N33+R33+V33</f>
        <v>149192.04375000001</v>
      </c>
    </row>
    <row r="34" spans="1:31" ht="15" customHeight="1" outlineLevel="1">
      <c r="A34" s="179" t="str">
        <f>'Program Budget'!D35</f>
        <v>Associate Director</v>
      </c>
      <c r="B34" s="180" t="str">
        <f>'Program Budget'!F35</f>
        <v>Month</v>
      </c>
      <c r="C34" s="343">
        <f>'Program Budget'!H35</f>
        <v>7500</v>
      </c>
      <c r="D34" s="182">
        <f>'Program Budget'!G35</f>
        <v>12</v>
      </c>
      <c r="E34" s="183">
        <f>'Program Budget'!E35</f>
        <v>1</v>
      </c>
      <c r="F34" s="184">
        <f>C34*D34*E34</f>
        <v>90000</v>
      </c>
      <c r="G34" s="181">
        <f t="shared" si="21"/>
        <v>7875</v>
      </c>
      <c r="H34" s="182">
        <f>'Program Budget'!K35</f>
        <v>12</v>
      </c>
      <c r="I34" s="185">
        <f>'Program Budget'!J35</f>
        <v>1</v>
      </c>
      <c r="J34" s="184">
        <f>G34*H34*I34</f>
        <v>94500</v>
      </c>
      <c r="K34" s="181">
        <f>G34*1.05</f>
        <v>8268.75</v>
      </c>
      <c r="L34" s="182">
        <f>'Program Budget'!N35</f>
        <v>12</v>
      </c>
      <c r="M34" s="185">
        <f>'Program Budget'!M35</f>
        <v>1</v>
      </c>
      <c r="N34" s="184">
        <f>K34*L34*M34</f>
        <v>99225</v>
      </c>
      <c r="O34" s="181">
        <f t="shared" si="23"/>
        <v>8682.1875</v>
      </c>
      <c r="P34" s="182">
        <f>'Program Budget'!Q35</f>
        <v>12</v>
      </c>
      <c r="Q34" s="185">
        <f>'Program Budget'!P35</f>
        <v>1</v>
      </c>
      <c r="R34" s="184">
        <f>O34*P34*Q34</f>
        <v>104186.25</v>
      </c>
      <c r="S34" s="181">
        <f t="shared" si="24"/>
        <v>9116.296875</v>
      </c>
      <c r="T34" s="182">
        <f>'Program Budget'!T35</f>
        <v>12</v>
      </c>
      <c r="U34" s="185">
        <f>'Program Budget'!S35</f>
        <v>1</v>
      </c>
      <c r="V34" s="184">
        <f>S34*T34*U34</f>
        <v>109395.5625</v>
      </c>
      <c r="W34" s="322">
        <f>F34+J34+N34+R34+V34</f>
        <v>497306.8125</v>
      </c>
    </row>
    <row r="35" spans="1:31" ht="15" customHeight="1" outlineLevel="1">
      <c r="A35" s="436" t="s">
        <v>80</v>
      </c>
      <c r="B35" s="195"/>
      <c r="C35" s="344"/>
      <c r="D35" s="197"/>
      <c r="E35" s="198"/>
      <c r="F35" s="199">
        <f>SUM(F33:F34)</f>
        <v>117000</v>
      </c>
      <c r="G35" s="344"/>
      <c r="H35" s="197"/>
      <c r="I35" s="200"/>
      <c r="J35" s="199">
        <f>SUM(J33:J34)</f>
        <v>122850</v>
      </c>
      <c r="K35" s="344"/>
      <c r="L35" s="197"/>
      <c r="M35" s="198"/>
      <c r="N35" s="199">
        <f>SUM(N33:N34)</f>
        <v>128992.5</v>
      </c>
      <c r="O35" s="344"/>
      <c r="P35" s="197"/>
      <c r="Q35" s="200"/>
      <c r="R35" s="199">
        <f>SUM(R33:R34)</f>
        <v>135442.125</v>
      </c>
      <c r="S35" s="344"/>
      <c r="T35" s="197"/>
      <c r="U35" s="200"/>
      <c r="V35" s="199">
        <f>SUM(V33:V34)</f>
        <v>142214.23125000001</v>
      </c>
      <c r="W35" s="321">
        <f>+F35+J35+N35+R35+V35</f>
        <v>646498.85624999995</v>
      </c>
    </row>
    <row r="36" spans="1:31" s="175" customFormat="1" ht="15" customHeight="1" outlineLevel="1">
      <c r="A36" s="437"/>
      <c r="B36" s="202"/>
      <c r="C36" s="345"/>
      <c r="D36" s="204"/>
      <c r="E36" s="145"/>
      <c r="F36" s="184"/>
      <c r="G36" s="345"/>
      <c r="H36" s="204"/>
      <c r="I36" s="145"/>
      <c r="J36" s="184"/>
      <c r="K36" s="345"/>
      <c r="L36" s="204"/>
      <c r="M36" s="145"/>
      <c r="N36" s="184"/>
      <c r="O36" s="345"/>
      <c r="P36" s="204"/>
      <c r="Q36" s="145"/>
      <c r="R36" s="184"/>
      <c r="S36" s="345"/>
      <c r="T36" s="204"/>
      <c r="U36" s="145"/>
      <c r="V36" s="184"/>
      <c r="W36" s="192"/>
    </row>
    <row r="37" spans="1:31" s="222" customFormat="1" ht="15" customHeight="1">
      <c r="A37" s="438" t="s">
        <v>81</v>
      </c>
      <c r="B37" s="213"/>
      <c r="C37" s="346"/>
      <c r="D37" s="215"/>
      <c r="E37" s="216"/>
      <c r="F37" s="217">
        <f>F35+F31+F8</f>
        <v>639583.33333333326</v>
      </c>
      <c r="G37" s="346"/>
      <c r="H37" s="215"/>
      <c r="I37" s="218"/>
      <c r="J37" s="217">
        <f>J35+J31+J8</f>
        <v>898800</v>
      </c>
      <c r="K37" s="346"/>
      <c r="L37" s="215"/>
      <c r="M37" s="216"/>
      <c r="N37" s="217">
        <f>N35+N31+N8</f>
        <v>943740</v>
      </c>
      <c r="O37" s="346"/>
      <c r="P37" s="215"/>
      <c r="Q37" s="218"/>
      <c r="R37" s="217">
        <f>R35+R31+R8</f>
        <v>990927</v>
      </c>
      <c r="S37" s="346"/>
      <c r="T37" s="215"/>
      <c r="U37" s="218"/>
      <c r="V37" s="217">
        <f>V35+V31+V8</f>
        <v>889649.28281249991</v>
      </c>
      <c r="W37" s="219">
        <f>+F37+J37+N37+R37+V37</f>
        <v>4362699.6161458325</v>
      </c>
    </row>
    <row r="38" spans="1:31" s="175" customFormat="1" ht="15" customHeight="1" outlineLevel="1">
      <c r="A38" s="435" t="s">
        <v>82</v>
      </c>
      <c r="B38" s="177"/>
      <c r="C38" s="342"/>
      <c r="D38" s="168"/>
      <c r="E38" s="169"/>
      <c r="F38" s="170"/>
      <c r="G38" s="342"/>
      <c r="H38" s="168"/>
      <c r="I38" s="171"/>
      <c r="J38" s="172"/>
      <c r="K38" s="342"/>
      <c r="L38" s="168"/>
      <c r="M38" s="169"/>
      <c r="N38" s="172"/>
      <c r="O38" s="342"/>
      <c r="P38" s="168"/>
      <c r="Q38" s="171"/>
      <c r="R38" s="172"/>
      <c r="S38" s="342"/>
      <c r="T38" s="168"/>
      <c r="U38" s="171"/>
      <c r="V38" s="172"/>
      <c r="W38" s="173"/>
    </row>
    <row r="39" spans="1:31" s="175" customFormat="1" ht="15" customHeight="1" outlineLevel="1">
      <c r="A39" s="223" t="s">
        <v>74</v>
      </c>
      <c r="B39" s="202"/>
      <c r="C39" s="143"/>
      <c r="D39" s="251"/>
      <c r="E39" s="145"/>
      <c r="F39" s="184">
        <f>C39*D39*E39</f>
        <v>0</v>
      </c>
      <c r="G39" s="143"/>
      <c r="H39" s="251"/>
      <c r="I39" s="145"/>
      <c r="J39" s="184">
        <f>G39*H39*I39</f>
        <v>0</v>
      </c>
      <c r="K39" s="143"/>
      <c r="L39" s="251"/>
      <c r="M39" s="145"/>
      <c r="N39" s="184">
        <f>K39*L39*M39</f>
        <v>0</v>
      </c>
      <c r="O39" s="143"/>
      <c r="P39" s="251"/>
      <c r="Q39" s="145"/>
      <c r="R39" s="184">
        <f>O39*P39*Q39</f>
        <v>0</v>
      </c>
      <c r="S39" s="143"/>
      <c r="T39" s="251"/>
      <c r="U39" s="145"/>
      <c r="V39" s="184">
        <f>S39*T39*U39</f>
        <v>0</v>
      </c>
      <c r="W39" s="192">
        <f t="shared" ref="W39" si="25">F39+J39+N39+R39+V39</f>
        <v>0</v>
      </c>
      <c r="X39" s="142"/>
      <c r="Y39" s="142"/>
      <c r="Z39" s="142"/>
      <c r="AA39" s="142"/>
      <c r="AB39" s="142"/>
      <c r="AC39" s="142"/>
      <c r="AD39" s="142"/>
      <c r="AE39" s="142"/>
    </row>
    <row r="40" spans="1:31" s="175" customFormat="1" ht="15" customHeight="1" outlineLevel="1">
      <c r="A40" s="439" t="s">
        <v>83</v>
      </c>
      <c r="B40" s="202" t="str">
        <f>'Program Budget'!F41</f>
        <v>%</v>
      </c>
      <c r="C40" s="330">
        <f>F31</f>
        <v>522583.33333333331</v>
      </c>
      <c r="D40" s="204">
        <v>1</v>
      </c>
      <c r="E40" s="145">
        <f>'Program Budget'!H40</f>
        <v>0.45500000000000002</v>
      </c>
      <c r="F40" s="184">
        <f>C40*D40*E40</f>
        <v>237775.41666666666</v>
      </c>
      <c r="G40" s="330">
        <f>J31</f>
        <v>775950</v>
      </c>
      <c r="H40" s="204">
        <v>1</v>
      </c>
      <c r="I40" s="145">
        <f t="shared" ref="I40:I41" si="26">E40</f>
        <v>0.45500000000000002</v>
      </c>
      <c r="J40" s="184">
        <f t="shared" ref="J40:J41" si="27">G40*H40*I40</f>
        <v>353057.25</v>
      </c>
      <c r="K40" s="330">
        <f>N31</f>
        <v>814747.5</v>
      </c>
      <c r="L40" s="204">
        <v>1</v>
      </c>
      <c r="M40" s="145">
        <f t="shared" ref="M40:M41" si="28">I40</f>
        <v>0.45500000000000002</v>
      </c>
      <c r="N40" s="184">
        <f t="shared" ref="N40:N41" si="29">K40*L40*M40</f>
        <v>370710.11249999999</v>
      </c>
      <c r="O40" s="330">
        <f>R31</f>
        <v>855484.875</v>
      </c>
      <c r="P40" s="204">
        <v>1</v>
      </c>
      <c r="Q40" s="145">
        <f t="shared" ref="Q40:Q41" si="30">M40</f>
        <v>0.45500000000000002</v>
      </c>
      <c r="R40" s="184">
        <f t="shared" ref="R40:R41" si="31">O40*P40*Q40</f>
        <v>389245.61812500004</v>
      </c>
      <c r="S40" s="330">
        <f>V31</f>
        <v>747435.05156249984</v>
      </c>
      <c r="T40" s="204">
        <v>1</v>
      </c>
      <c r="U40" s="145">
        <f t="shared" ref="U40:U41" si="32">Q40</f>
        <v>0.45500000000000002</v>
      </c>
      <c r="V40" s="184">
        <f t="shared" ref="V40:V41" si="33">S40*T40*U40</f>
        <v>340082.94846093742</v>
      </c>
      <c r="W40" s="320">
        <f t="shared" ref="W40:W41" si="34">F40+J40+N40+R40+V40</f>
        <v>1690871.3457526041</v>
      </c>
      <c r="X40" s="142"/>
      <c r="Y40" s="142"/>
      <c r="Z40" s="142"/>
      <c r="AB40" s="142"/>
    </row>
    <row r="41" spans="1:31" s="175" customFormat="1" ht="15" customHeight="1" outlineLevel="1">
      <c r="A41" s="440" t="s">
        <v>84</v>
      </c>
      <c r="B41" s="202" t="str">
        <f>'Program Budget'!F41</f>
        <v>%</v>
      </c>
      <c r="C41" s="331">
        <f>F35</f>
        <v>117000</v>
      </c>
      <c r="D41" s="229">
        <v>1</v>
      </c>
      <c r="E41" s="145">
        <f>'Program Budget'!H41</f>
        <v>0.23469999999999999</v>
      </c>
      <c r="F41" s="231">
        <f>C41*D41*E41</f>
        <v>27459.899999999998</v>
      </c>
      <c r="G41" s="331">
        <f>J35</f>
        <v>122850</v>
      </c>
      <c r="H41" s="229">
        <v>1</v>
      </c>
      <c r="I41" s="145">
        <f t="shared" si="26"/>
        <v>0.23469999999999999</v>
      </c>
      <c r="J41" s="231">
        <f t="shared" si="27"/>
        <v>28832.895</v>
      </c>
      <c r="K41" s="331">
        <f>N35</f>
        <v>128992.5</v>
      </c>
      <c r="L41" s="229">
        <v>1</v>
      </c>
      <c r="M41" s="145">
        <f t="shared" si="28"/>
        <v>0.23469999999999999</v>
      </c>
      <c r="N41" s="231">
        <f t="shared" si="29"/>
        <v>30274.53975</v>
      </c>
      <c r="O41" s="331">
        <f>R35</f>
        <v>135442.125</v>
      </c>
      <c r="P41" s="229">
        <v>1</v>
      </c>
      <c r="Q41" s="145">
        <f t="shared" si="30"/>
        <v>0.23469999999999999</v>
      </c>
      <c r="R41" s="231">
        <f t="shared" si="31"/>
        <v>31788.266737499998</v>
      </c>
      <c r="S41" s="331">
        <f>V35</f>
        <v>142214.23125000001</v>
      </c>
      <c r="T41" s="229">
        <v>1</v>
      </c>
      <c r="U41" s="145">
        <f t="shared" si="32"/>
        <v>0.23469999999999999</v>
      </c>
      <c r="V41" s="231">
        <f t="shared" si="33"/>
        <v>33377.680074374999</v>
      </c>
      <c r="W41" s="324">
        <f t="shared" si="34"/>
        <v>151733.28156187499</v>
      </c>
      <c r="X41" s="142"/>
      <c r="Y41" s="142"/>
      <c r="Z41" s="142"/>
      <c r="AB41" s="142"/>
    </row>
    <row r="42" spans="1:31" ht="15" customHeight="1" outlineLevel="1">
      <c r="A42" s="436" t="s">
        <v>85</v>
      </c>
      <c r="B42" s="195"/>
      <c r="C42" s="344"/>
      <c r="D42" s="197"/>
      <c r="E42" s="198"/>
      <c r="F42" s="199">
        <f>+SUM(F39:F41)</f>
        <v>265235.31666666665</v>
      </c>
      <c r="G42" s="344"/>
      <c r="H42" s="197"/>
      <c r="I42" s="200"/>
      <c r="J42" s="199">
        <f>+SUM(J39:J41)</f>
        <v>381890.14500000002</v>
      </c>
      <c r="K42" s="344"/>
      <c r="L42" s="197"/>
      <c r="M42" s="198"/>
      <c r="N42" s="199">
        <f>+SUM(N39:N41)</f>
        <v>400984.65224999998</v>
      </c>
      <c r="O42" s="344"/>
      <c r="P42" s="197"/>
      <c r="Q42" s="200"/>
      <c r="R42" s="199">
        <f>+SUM(R39:R41)</f>
        <v>421033.88486250001</v>
      </c>
      <c r="S42" s="344"/>
      <c r="T42" s="197"/>
      <c r="U42" s="200"/>
      <c r="V42" s="199">
        <f>+SUM(V39:V41)</f>
        <v>373460.62853531243</v>
      </c>
      <c r="W42" s="321">
        <f>+F42+J42+N42+R42+V42</f>
        <v>1842604.6273144791</v>
      </c>
    </row>
    <row r="43" spans="1:31" s="175" customFormat="1" ht="15" customHeight="1" outlineLevel="1">
      <c r="A43" s="435" t="s">
        <v>86</v>
      </c>
      <c r="B43" s="233"/>
      <c r="C43" s="345"/>
      <c r="D43" s="204"/>
      <c r="E43" s="145"/>
      <c r="F43" s="234"/>
      <c r="G43" s="345"/>
      <c r="H43" s="204"/>
      <c r="I43" s="146"/>
      <c r="J43" s="207"/>
      <c r="K43" s="345"/>
      <c r="L43" s="204"/>
      <c r="M43" s="145"/>
      <c r="N43" s="207"/>
      <c r="O43" s="345"/>
      <c r="P43" s="204"/>
      <c r="Q43" s="146"/>
      <c r="R43" s="207"/>
      <c r="S43" s="345"/>
      <c r="T43" s="204"/>
      <c r="U43" s="146"/>
      <c r="V43" s="207"/>
      <c r="W43" s="320"/>
      <c r="X43" s="142"/>
      <c r="Y43" s="142"/>
      <c r="Z43" s="142"/>
    </row>
    <row r="44" spans="1:31" s="175" customFormat="1" ht="15" customHeight="1" outlineLevel="1">
      <c r="A44" s="439" t="s">
        <v>74</v>
      </c>
      <c r="B44" s="202"/>
      <c r="C44" s="317"/>
      <c r="D44" s="144"/>
      <c r="E44" s="145"/>
      <c r="F44" s="184"/>
      <c r="G44" s="317"/>
      <c r="H44" s="144"/>
      <c r="I44" s="146"/>
      <c r="J44" s="184"/>
      <c r="K44" s="317"/>
      <c r="L44" s="144"/>
      <c r="M44" s="145"/>
      <c r="N44" s="184"/>
      <c r="O44" s="317"/>
      <c r="P44" s="144"/>
      <c r="Q44" s="146"/>
      <c r="R44" s="184"/>
      <c r="S44" s="317"/>
      <c r="T44" s="144"/>
      <c r="U44" s="146"/>
      <c r="V44" s="184"/>
      <c r="W44" s="320"/>
      <c r="X44" s="142"/>
      <c r="Y44" s="142"/>
      <c r="Z44" s="142"/>
    </row>
    <row r="45" spans="1:31" outlineLevel="1">
      <c r="A45" s="179" t="s">
        <v>75</v>
      </c>
      <c r="B45" s="202"/>
      <c r="C45" s="143"/>
      <c r="D45" s="251"/>
      <c r="F45" s="184">
        <f>C45*D45*E45</f>
        <v>0</v>
      </c>
      <c r="G45" s="143"/>
      <c r="H45" s="251"/>
      <c r="I45" s="145"/>
      <c r="J45" s="184">
        <f>G45*H45*I45</f>
        <v>0</v>
      </c>
      <c r="K45" s="143"/>
      <c r="L45" s="251"/>
      <c r="N45" s="184">
        <f>K45*L45*M45</f>
        <v>0</v>
      </c>
      <c r="O45" s="143"/>
      <c r="P45" s="251"/>
      <c r="Q45" s="145"/>
      <c r="R45" s="184">
        <f>O45*P45*Q45</f>
        <v>0</v>
      </c>
      <c r="S45" s="143"/>
      <c r="T45" s="251"/>
      <c r="U45" s="145"/>
      <c r="V45" s="184">
        <f>S45*T45*U45</f>
        <v>0</v>
      </c>
      <c r="W45" s="192">
        <f t="shared" ref="W45" si="35">F45+J45+N45+R45+V45</f>
        <v>0</v>
      </c>
    </row>
    <row r="46" spans="1:31" ht="15" customHeight="1" outlineLevel="1">
      <c r="A46" s="436" t="s">
        <v>87</v>
      </c>
      <c r="B46" s="195"/>
      <c r="C46" s="344"/>
      <c r="D46" s="197"/>
      <c r="E46" s="198"/>
      <c r="F46" s="199">
        <f>SUM(F44:F45)</f>
        <v>0</v>
      </c>
      <c r="G46" s="344"/>
      <c r="H46" s="197"/>
      <c r="I46" s="200"/>
      <c r="J46" s="199">
        <f>SUM(J44:J45)</f>
        <v>0</v>
      </c>
      <c r="K46" s="344"/>
      <c r="L46" s="197"/>
      <c r="M46" s="198"/>
      <c r="N46" s="199">
        <f>SUM(N44:N45)</f>
        <v>0</v>
      </c>
      <c r="O46" s="344"/>
      <c r="P46" s="197"/>
      <c r="Q46" s="200"/>
      <c r="R46" s="199">
        <f>SUM(R44:R45)</f>
        <v>0</v>
      </c>
      <c r="S46" s="344"/>
      <c r="T46" s="197"/>
      <c r="U46" s="200"/>
      <c r="V46" s="199">
        <f>SUM(V44:V45)</f>
        <v>0</v>
      </c>
      <c r="W46" s="321">
        <f>F46+J46+N46+R46+V46</f>
        <v>0</v>
      </c>
    </row>
    <row r="47" spans="1:31" s="175" customFormat="1" ht="15" customHeight="1" outlineLevel="1">
      <c r="A47" s="179"/>
      <c r="B47" s="202"/>
      <c r="C47" s="317"/>
      <c r="D47" s="144"/>
      <c r="E47" s="145"/>
      <c r="F47" s="184"/>
      <c r="G47" s="317"/>
      <c r="H47" s="144"/>
      <c r="I47" s="146"/>
      <c r="J47" s="184"/>
      <c r="K47" s="317"/>
      <c r="L47" s="144"/>
      <c r="M47" s="145"/>
      <c r="N47" s="184"/>
      <c r="O47" s="317"/>
      <c r="P47" s="144"/>
      <c r="Q47" s="146"/>
      <c r="R47" s="184"/>
      <c r="S47" s="317"/>
      <c r="T47" s="144"/>
      <c r="U47" s="146"/>
      <c r="V47" s="184"/>
      <c r="W47" s="232"/>
    </row>
    <row r="48" spans="1:31" s="244" customFormat="1" ht="18.3" outlineLevel="1">
      <c r="A48" s="441" t="s">
        <v>88</v>
      </c>
      <c r="B48" s="236"/>
      <c r="C48" s="347"/>
      <c r="D48" s="238"/>
      <c r="E48" s="239"/>
      <c r="F48" s="240">
        <f>F46+F42</f>
        <v>265235.31666666665</v>
      </c>
      <c r="G48" s="347"/>
      <c r="H48" s="238"/>
      <c r="I48" s="241"/>
      <c r="J48" s="240">
        <f>J46+J42</f>
        <v>381890.14500000002</v>
      </c>
      <c r="K48" s="347"/>
      <c r="L48" s="238"/>
      <c r="M48" s="239"/>
      <c r="N48" s="240">
        <f>N46+N42</f>
        <v>400984.65224999998</v>
      </c>
      <c r="O48" s="347"/>
      <c r="P48" s="238"/>
      <c r="Q48" s="241"/>
      <c r="R48" s="240">
        <f>R46+R42</f>
        <v>421033.88486250001</v>
      </c>
      <c r="S48" s="347"/>
      <c r="T48" s="238"/>
      <c r="U48" s="241"/>
      <c r="V48" s="240">
        <f>V46+V42</f>
        <v>373460.62853531243</v>
      </c>
      <c r="W48" s="219">
        <f>+F48+J48+N48+R48+V48</f>
        <v>1842604.6273144791</v>
      </c>
    </row>
    <row r="49" spans="1:23" s="246" customFormat="1" ht="15.6" outlineLevel="1">
      <c r="A49" s="435" t="s">
        <v>89</v>
      </c>
      <c r="B49" s="177"/>
      <c r="C49" s="317"/>
      <c r="D49" s="144"/>
      <c r="E49" s="169"/>
      <c r="F49" s="184"/>
      <c r="G49" s="317"/>
      <c r="H49" s="144"/>
      <c r="I49" s="171"/>
      <c r="J49" s="184"/>
      <c r="K49" s="317"/>
      <c r="L49" s="144"/>
      <c r="M49" s="169"/>
      <c r="N49" s="184"/>
      <c r="O49" s="317"/>
      <c r="P49" s="144"/>
      <c r="Q49" s="171"/>
      <c r="R49" s="184"/>
      <c r="S49" s="317"/>
      <c r="T49" s="144"/>
      <c r="U49" s="171"/>
      <c r="V49" s="184"/>
      <c r="W49" s="320"/>
    </row>
    <row r="50" spans="1:23" ht="15" customHeight="1" outlineLevel="1">
      <c r="A50" s="179" t="str">
        <f>'Program Budget'!D47</f>
        <v>Airfare - DC-Tunisia - HQ Project Management Trip</v>
      </c>
      <c r="B50" s="180" t="str">
        <f>'Program Budget'!F47</f>
        <v>Trip</v>
      </c>
      <c r="C50" s="343">
        <f>'Program Budget'!H47</f>
        <v>1400</v>
      </c>
      <c r="D50" s="182">
        <f>'Program Budget'!G47</f>
        <v>5</v>
      </c>
      <c r="E50" s="183">
        <v>1</v>
      </c>
      <c r="F50" s="184">
        <f t="shared" ref="F50:F55" si="36">C50*D50*E50</f>
        <v>7000</v>
      </c>
      <c r="G50" s="343">
        <f>C50*1.07</f>
        <v>1498</v>
      </c>
      <c r="H50" s="182">
        <f>'Program Budget'!K47</f>
        <v>5</v>
      </c>
      <c r="I50" s="183">
        <v>1</v>
      </c>
      <c r="J50" s="184">
        <f t="shared" ref="J50:J55" si="37">G50*H50*I50</f>
        <v>7490</v>
      </c>
      <c r="K50" s="343">
        <f>G50*1.07</f>
        <v>1602.8600000000001</v>
      </c>
      <c r="L50" s="182">
        <f>'Program Budget'!N47</f>
        <v>5</v>
      </c>
      <c r="M50" s="183">
        <v>1</v>
      </c>
      <c r="N50" s="184">
        <f t="shared" ref="N50:N55" si="38">K50*L50*M50</f>
        <v>8014.3000000000011</v>
      </c>
      <c r="O50" s="343">
        <f>K50*1.07</f>
        <v>1715.0602000000001</v>
      </c>
      <c r="P50" s="182">
        <f>'Program Budget'!Q47</f>
        <v>5</v>
      </c>
      <c r="Q50" s="183">
        <v>1</v>
      </c>
      <c r="R50" s="184">
        <f t="shared" ref="R50:R55" si="39">O50*P50*Q50</f>
        <v>8575.3010000000013</v>
      </c>
      <c r="S50" s="343">
        <f>O50*1.07</f>
        <v>1835.1144140000001</v>
      </c>
      <c r="T50" s="182">
        <f>'Program Budget'!T47</f>
        <v>5</v>
      </c>
      <c r="U50" s="183">
        <v>1</v>
      </c>
      <c r="V50" s="184">
        <f t="shared" ref="V50:V55" si="40">S50*T50*U50</f>
        <v>9175.5720700000002</v>
      </c>
      <c r="W50" s="338">
        <f t="shared" ref="W50:W55" si="41">F50+J50+N50+R50+V50</f>
        <v>40255.173070000004</v>
      </c>
    </row>
    <row r="51" spans="1:23" ht="15" customHeight="1" outlineLevel="1">
      <c r="A51" s="179" t="str">
        <f>'Program Budget'!D52</f>
        <v>Airfare - Roundtrip - Tunisia to USA</v>
      </c>
      <c r="B51" s="180" t="str">
        <f>'Program Budget'!F52</f>
        <v>Trip</v>
      </c>
      <c r="C51" s="343">
        <f>'Program Budget'!H52</f>
        <v>1400</v>
      </c>
      <c r="D51" s="182">
        <f>'Program Budget'!G52</f>
        <v>4</v>
      </c>
      <c r="E51" s="183">
        <v>1</v>
      </c>
      <c r="F51" s="184">
        <f t="shared" si="36"/>
        <v>5600</v>
      </c>
      <c r="G51" s="343">
        <f t="shared" ref="G51:G91" si="42">C51*1.07</f>
        <v>1498</v>
      </c>
      <c r="H51" s="182">
        <f>'Program Budget'!K52</f>
        <v>4</v>
      </c>
      <c r="I51" s="183">
        <v>1</v>
      </c>
      <c r="J51" s="184">
        <f t="shared" si="37"/>
        <v>5992</v>
      </c>
      <c r="K51" s="343">
        <f t="shared" ref="K51:K91" si="43">G51*1.07</f>
        <v>1602.8600000000001</v>
      </c>
      <c r="L51" s="182">
        <f>'Program Budget'!N52</f>
        <v>4</v>
      </c>
      <c r="M51" s="183">
        <v>1</v>
      </c>
      <c r="N51" s="184">
        <f t="shared" si="38"/>
        <v>6411.4400000000005</v>
      </c>
      <c r="O51" s="343">
        <f t="shared" ref="O51:O91" si="44">K51*1.07</f>
        <v>1715.0602000000001</v>
      </c>
      <c r="P51" s="182">
        <f>'Program Budget'!Q52</f>
        <v>4</v>
      </c>
      <c r="Q51" s="183">
        <v>1</v>
      </c>
      <c r="R51" s="184">
        <f t="shared" si="39"/>
        <v>6860.2408000000005</v>
      </c>
      <c r="S51" s="343">
        <f t="shared" ref="S51:S91" si="45">O51*1.07</f>
        <v>1835.1144140000001</v>
      </c>
      <c r="T51" s="182">
        <f>'Program Budget'!T52</f>
        <v>4</v>
      </c>
      <c r="U51" s="183">
        <v>1</v>
      </c>
      <c r="V51" s="184">
        <f t="shared" si="40"/>
        <v>7340.4576560000005</v>
      </c>
      <c r="W51" s="338">
        <f t="shared" si="41"/>
        <v>32204.138456000001</v>
      </c>
    </row>
    <row r="52" spans="1:23" ht="15" customHeight="1" outlineLevel="1">
      <c r="A52" s="179" t="str">
        <f>'Program Budget'!D339</f>
        <v>Airfare and Local Transport for Two-Way Trade (US to Tunisia) to - 50% of Cost</v>
      </c>
      <c r="B52" s="180" t="str">
        <f>'Program Budget'!F339</f>
        <v>Trip</v>
      </c>
      <c r="C52" s="343">
        <f>'Program Budget'!H339</f>
        <v>775</v>
      </c>
      <c r="D52" s="182">
        <f>'Program Budget'!G339</f>
        <v>0</v>
      </c>
      <c r="E52" s="183">
        <v>0</v>
      </c>
      <c r="F52" s="184">
        <f t="shared" si="36"/>
        <v>0</v>
      </c>
      <c r="G52" s="343">
        <f t="shared" si="42"/>
        <v>829.25</v>
      </c>
      <c r="H52" s="182">
        <f>'Program Budget'!K339</f>
        <v>0</v>
      </c>
      <c r="I52" s="183">
        <v>0</v>
      </c>
      <c r="J52" s="184">
        <f t="shared" si="37"/>
        <v>0</v>
      </c>
      <c r="K52" s="343">
        <f t="shared" si="43"/>
        <v>887.29750000000001</v>
      </c>
      <c r="L52" s="182">
        <f>'Program Budget'!N339</f>
        <v>10</v>
      </c>
      <c r="M52" s="183">
        <v>1</v>
      </c>
      <c r="N52" s="184">
        <f t="shared" si="38"/>
        <v>8872.9750000000004</v>
      </c>
      <c r="O52" s="343">
        <f t="shared" si="44"/>
        <v>949.4083250000001</v>
      </c>
      <c r="P52" s="182">
        <f>'Program Budget'!Q339</f>
        <v>0</v>
      </c>
      <c r="Q52" s="183">
        <v>0</v>
      </c>
      <c r="R52" s="184">
        <f t="shared" si="39"/>
        <v>0</v>
      </c>
      <c r="S52" s="343">
        <f t="shared" si="45"/>
        <v>1015.8669077500002</v>
      </c>
      <c r="T52" s="182">
        <f>'Program Budget'!T339</f>
        <v>0</v>
      </c>
      <c r="U52" s="183">
        <v>0</v>
      </c>
      <c r="V52" s="184">
        <f t="shared" si="40"/>
        <v>0</v>
      </c>
      <c r="W52" s="338">
        <f t="shared" si="41"/>
        <v>8872.9750000000004</v>
      </c>
    </row>
    <row r="53" spans="1:23" ht="15" customHeight="1" outlineLevel="1">
      <c r="A53" s="179" t="str">
        <f>'Program Budget'!D340</f>
        <v>Airfare and Local Transport for Two-Way Trade (Tunisia to US)</v>
      </c>
      <c r="B53" s="180" t="str">
        <f>'Program Budget'!F340</f>
        <v>Trip</v>
      </c>
      <c r="C53" s="343">
        <f>'Program Budget'!H340</f>
        <v>1550</v>
      </c>
      <c r="D53" s="182">
        <f>'Program Budget'!G340</f>
        <v>0</v>
      </c>
      <c r="E53" s="183">
        <v>0</v>
      </c>
      <c r="F53" s="184">
        <f t="shared" si="36"/>
        <v>0</v>
      </c>
      <c r="G53" s="343">
        <f t="shared" si="42"/>
        <v>1658.5</v>
      </c>
      <c r="H53" s="182">
        <f>'Program Budget'!K340</f>
        <v>0</v>
      </c>
      <c r="I53" s="183">
        <v>0</v>
      </c>
      <c r="J53" s="184">
        <f t="shared" si="37"/>
        <v>0</v>
      </c>
      <c r="K53" s="343">
        <f t="shared" si="43"/>
        <v>1774.595</v>
      </c>
      <c r="L53" s="182">
        <f>'Program Budget'!N340</f>
        <v>10</v>
      </c>
      <c r="M53" s="183">
        <v>1</v>
      </c>
      <c r="N53" s="184">
        <f t="shared" si="38"/>
        <v>17745.95</v>
      </c>
      <c r="O53" s="343">
        <f t="shared" si="44"/>
        <v>1898.8166500000002</v>
      </c>
      <c r="P53" s="182">
        <f>'Program Budget'!Q340</f>
        <v>0</v>
      </c>
      <c r="Q53" s="183">
        <v>0</v>
      </c>
      <c r="R53" s="184">
        <f t="shared" si="39"/>
        <v>0</v>
      </c>
      <c r="S53" s="343">
        <f t="shared" si="45"/>
        <v>2031.7338155000004</v>
      </c>
      <c r="T53" s="182">
        <f>'Program Budget'!T340</f>
        <v>0</v>
      </c>
      <c r="U53" s="183">
        <v>0</v>
      </c>
      <c r="V53" s="184">
        <f t="shared" si="40"/>
        <v>0</v>
      </c>
      <c r="W53" s="338">
        <f t="shared" si="41"/>
        <v>17745.95</v>
      </c>
    </row>
    <row r="54" spans="1:23" ht="15" customHeight="1" outlineLevel="1">
      <c r="A54" s="179" t="str">
        <f>'Program Budget'!D344</f>
        <v>Airfare and Local Transport for International Food Shows (Tunisia to Dubai)</v>
      </c>
      <c r="B54" s="180" t="str">
        <f>'Program Budget'!F344</f>
        <v>Trip</v>
      </c>
      <c r="C54" s="343">
        <f>'Program Budget'!H344</f>
        <v>750</v>
      </c>
      <c r="D54" s="182">
        <f>'Program Budget'!G344</f>
        <v>0</v>
      </c>
      <c r="E54" s="183">
        <v>0</v>
      </c>
      <c r="F54" s="184">
        <f t="shared" si="36"/>
        <v>0</v>
      </c>
      <c r="G54" s="343">
        <f t="shared" si="42"/>
        <v>802.5</v>
      </c>
      <c r="H54" s="182">
        <f>'Program Budget'!K344</f>
        <v>5</v>
      </c>
      <c r="I54" s="183">
        <v>1</v>
      </c>
      <c r="J54" s="184">
        <f t="shared" si="37"/>
        <v>4012.5</v>
      </c>
      <c r="K54" s="343">
        <f t="shared" si="43"/>
        <v>858.67500000000007</v>
      </c>
      <c r="L54" s="182">
        <f>'Program Budget'!N344</f>
        <v>5</v>
      </c>
      <c r="M54" s="183">
        <v>1</v>
      </c>
      <c r="N54" s="184">
        <f t="shared" si="38"/>
        <v>4293.375</v>
      </c>
      <c r="O54" s="343">
        <f t="shared" si="44"/>
        <v>918.78225000000009</v>
      </c>
      <c r="P54" s="182">
        <f>'Program Budget'!Q344</f>
        <v>0</v>
      </c>
      <c r="Q54" s="183">
        <v>0</v>
      </c>
      <c r="R54" s="184">
        <f t="shared" si="39"/>
        <v>0</v>
      </c>
      <c r="S54" s="343">
        <f t="shared" si="45"/>
        <v>983.09700750000013</v>
      </c>
      <c r="T54" s="182">
        <f>'Program Budget'!T344</f>
        <v>0</v>
      </c>
      <c r="U54" s="183">
        <v>0</v>
      </c>
      <c r="V54" s="184">
        <f t="shared" si="40"/>
        <v>0</v>
      </c>
      <c r="W54" s="338">
        <f t="shared" si="41"/>
        <v>8305.875</v>
      </c>
    </row>
    <row r="55" spans="1:23" ht="15" customHeight="1" outlineLevel="1">
      <c r="A55" s="179" t="str">
        <f>'Program Budget'!D345</f>
        <v>Airfare and Local Transport for International Food Shows (Tunisia to US)</v>
      </c>
      <c r="B55" s="180" t="str">
        <f>'Program Budget'!F345</f>
        <v>Trip</v>
      </c>
      <c r="C55" s="343">
        <f>'Program Budget'!H345</f>
        <v>1550</v>
      </c>
      <c r="D55" s="182">
        <f>'Program Budget'!G345</f>
        <v>0</v>
      </c>
      <c r="E55" s="183">
        <v>0</v>
      </c>
      <c r="F55" s="184">
        <f t="shared" si="36"/>
        <v>0</v>
      </c>
      <c r="G55" s="343">
        <f t="shared" si="42"/>
        <v>1658.5</v>
      </c>
      <c r="H55" s="182">
        <f>'Program Budget'!K345</f>
        <v>0</v>
      </c>
      <c r="I55" s="183">
        <v>0</v>
      </c>
      <c r="J55" s="184">
        <f t="shared" si="37"/>
        <v>0</v>
      </c>
      <c r="K55" s="343">
        <f t="shared" si="43"/>
        <v>1774.595</v>
      </c>
      <c r="L55" s="182">
        <f>'Program Budget'!N345</f>
        <v>5</v>
      </c>
      <c r="M55" s="183">
        <v>1</v>
      </c>
      <c r="N55" s="184">
        <f t="shared" si="38"/>
        <v>8872.9750000000004</v>
      </c>
      <c r="O55" s="343">
        <f t="shared" si="44"/>
        <v>1898.8166500000002</v>
      </c>
      <c r="P55" s="182">
        <f>'Program Budget'!Q345</f>
        <v>5</v>
      </c>
      <c r="Q55" s="183">
        <v>1</v>
      </c>
      <c r="R55" s="184">
        <f t="shared" si="39"/>
        <v>9494.0832500000015</v>
      </c>
      <c r="S55" s="343">
        <f t="shared" si="45"/>
        <v>2031.7338155000004</v>
      </c>
      <c r="T55" s="182">
        <f>'Program Budget'!T345</f>
        <v>0</v>
      </c>
      <c r="U55" s="183">
        <v>0</v>
      </c>
      <c r="V55" s="184">
        <f t="shared" si="40"/>
        <v>0</v>
      </c>
      <c r="W55" s="338">
        <f t="shared" si="41"/>
        <v>18367.058250000002</v>
      </c>
    </row>
    <row r="56" spans="1:23" s="246" customFormat="1" ht="15.6" outlineLevel="1">
      <c r="A56" s="435" t="s">
        <v>90</v>
      </c>
      <c r="B56" s="177"/>
      <c r="C56" s="317"/>
      <c r="D56" s="144"/>
      <c r="E56" s="169"/>
      <c r="F56" s="184"/>
      <c r="G56" s="343"/>
      <c r="H56" s="144"/>
      <c r="I56" s="171"/>
      <c r="J56" s="184"/>
      <c r="K56" s="343"/>
      <c r="L56" s="144"/>
      <c r="M56" s="169"/>
      <c r="N56" s="184"/>
      <c r="O56" s="343"/>
      <c r="P56" s="144"/>
      <c r="Q56" s="171"/>
      <c r="R56" s="184"/>
      <c r="S56" s="343"/>
      <c r="T56" s="144"/>
      <c r="U56" s="171"/>
      <c r="V56" s="184"/>
      <c r="W56" s="338"/>
    </row>
    <row r="57" spans="1:23" ht="15" customHeight="1" outlineLevel="1">
      <c r="A57" s="179" t="str">
        <f>'Program Budget'!D49</f>
        <v>Ground Transportation – HQ Project Management Trip</v>
      </c>
      <c r="B57" s="180" t="str">
        <f>'Program Budget'!F49</f>
        <v>Trip</v>
      </c>
      <c r="C57" s="343">
        <f>'Program Budget'!H49</f>
        <v>150</v>
      </c>
      <c r="D57" s="182">
        <f>'Program Budget'!G49</f>
        <v>5</v>
      </c>
      <c r="E57" s="183">
        <v>1</v>
      </c>
      <c r="F57" s="184">
        <f>C57*D57*E57</f>
        <v>750</v>
      </c>
      <c r="G57" s="343">
        <f t="shared" si="42"/>
        <v>160.5</v>
      </c>
      <c r="H57" s="182">
        <f>'Program Budget'!K49</f>
        <v>5</v>
      </c>
      <c r="I57" s="183">
        <v>1</v>
      </c>
      <c r="J57" s="184">
        <f>G57*H57*I57</f>
        <v>802.5</v>
      </c>
      <c r="K57" s="343">
        <f t="shared" si="43"/>
        <v>171.73500000000001</v>
      </c>
      <c r="L57" s="182">
        <f>'Program Budget'!N49</f>
        <v>5</v>
      </c>
      <c r="M57" s="183">
        <v>1</v>
      </c>
      <c r="N57" s="184">
        <f>K57*L57*M57</f>
        <v>858.67500000000007</v>
      </c>
      <c r="O57" s="343">
        <f t="shared" si="44"/>
        <v>183.75645000000003</v>
      </c>
      <c r="P57" s="182">
        <f>'Program Budget'!Q49</f>
        <v>5</v>
      </c>
      <c r="Q57" s="183">
        <v>1</v>
      </c>
      <c r="R57" s="184">
        <f>O57*P57*Q57</f>
        <v>918.7822500000002</v>
      </c>
      <c r="S57" s="343">
        <f t="shared" si="45"/>
        <v>196.61940150000004</v>
      </c>
      <c r="T57" s="182">
        <f>'Program Budget'!T49</f>
        <v>5</v>
      </c>
      <c r="U57" s="183">
        <v>1</v>
      </c>
      <c r="V57" s="184">
        <f>S57*T57*U57</f>
        <v>983.09700750000025</v>
      </c>
      <c r="W57" s="338">
        <f>F57+J57+N57+R57+V57</f>
        <v>4313.0542575000009</v>
      </c>
    </row>
    <row r="58" spans="1:23" ht="15" customHeight="1" outlineLevel="1">
      <c r="A58" s="179" t="str">
        <f>'Program Budget'!D54</f>
        <v>Ground Transportation for Tunisia Staff Travel</v>
      </c>
      <c r="B58" s="180" t="str">
        <f>'Program Budget'!F58</f>
        <v>Trip</v>
      </c>
      <c r="C58" s="343">
        <f>'Program Budget'!H54</f>
        <v>150</v>
      </c>
      <c r="D58" s="182">
        <f>'Program Budget'!G54</f>
        <v>4</v>
      </c>
      <c r="E58" s="183">
        <v>1</v>
      </c>
      <c r="F58" s="184">
        <f>C58*D58*E58</f>
        <v>600</v>
      </c>
      <c r="G58" s="343">
        <f t="shared" si="42"/>
        <v>160.5</v>
      </c>
      <c r="H58" s="182">
        <f>'Program Budget'!K54</f>
        <v>4</v>
      </c>
      <c r="I58" s="183">
        <v>1</v>
      </c>
      <c r="J58" s="184">
        <f>G58*H58*I58</f>
        <v>642</v>
      </c>
      <c r="K58" s="343">
        <f t="shared" si="43"/>
        <v>171.73500000000001</v>
      </c>
      <c r="L58" s="182">
        <f>'Program Budget'!N54</f>
        <v>4</v>
      </c>
      <c r="M58" s="183">
        <v>1</v>
      </c>
      <c r="N58" s="184">
        <f>K58*L58*M58</f>
        <v>686.94</v>
      </c>
      <c r="O58" s="343">
        <f t="shared" si="44"/>
        <v>183.75645000000003</v>
      </c>
      <c r="P58" s="182">
        <f>'Program Budget'!Q54</f>
        <v>4</v>
      </c>
      <c r="Q58" s="183">
        <v>1</v>
      </c>
      <c r="R58" s="184">
        <f>O58*P58*Q58</f>
        <v>735.02580000000012</v>
      </c>
      <c r="S58" s="343">
        <f t="shared" si="45"/>
        <v>196.61940150000004</v>
      </c>
      <c r="T58" s="182">
        <f>'Program Budget'!T54</f>
        <v>4</v>
      </c>
      <c r="U58" s="183">
        <v>1</v>
      </c>
      <c r="V58" s="184">
        <f>S58*T58*U58</f>
        <v>786.47760600000015</v>
      </c>
      <c r="W58" s="338">
        <f>F58+J58+N58+R58+V58</f>
        <v>3450.4434060000003</v>
      </c>
    </row>
    <row r="59" spans="1:23" ht="15" customHeight="1" outlineLevel="1">
      <c r="A59" s="179" t="str">
        <f>'Program Budget'!D58</f>
        <v>Local Transportation (Car Rental, Taxis)  – Training, M&amp;E, &amp; Data Collection</v>
      </c>
      <c r="B59" s="180" t="str">
        <f>'Program Budget'!F58</f>
        <v>Trip</v>
      </c>
      <c r="C59" s="343">
        <f>'Program Budget'!H58</f>
        <v>100</v>
      </c>
      <c r="D59" s="182">
        <f>'Program Budget'!G58</f>
        <v>36</v>
      </c>
      <c r="E59" s="183">
        <v>1</v>
      </c>
      <c r="F59" s="184">
        <f>C59*D59*E59</f>
        <v>3600</v>
      </c>
      <c r="G59" s="343">
        <f t="shared" si="42"/>
        <v>107</v>
      </c>
      <c r="H59" s="182">
        <f>'Program Budget'!K58</f>
        <v>36</v>
      </c>
      <c r="I59" s="183">
        <v>1</v>
      </c>
      <c r="J59" s="184">
        <f>G59*H59*I59</f>
        <v>3852</v>
      </c>
      <c r="K59" s="343">
        <f t="shared" si="43"/>
        <v>114.49000000000001</v>
      </c>
      <c r="L59" s="182">
        <f>'Program Budget'!N58</f>
        <v>36</v>
      </c>
      <c r="M59" s="183">
        <v>1</v>
      </c>
      <c r="N59" s="184">
        <f>K59*L59*M59</f>
        <v>4121.6400000000003</v>
      </c>
      <c r="O59" s="343">
        <f t="shared" si="44"/>
        <v>122.50430000000001</v>
      </c>
      <c r="P59" s="182">
        <f>'Program Budget'!Q58</f>
        <v>36</v>
      </c>
      <c r="Q59" s="183">
        <v>1</v>
      </c>
      <c r="R59" s="184">
        <f>O59*P59*Q59</f>
        <v>4410.1548000000003</v>
      </c>
      <c r="S59" s="343">
        <f t="shared" si="45"/>
        <v>131.07960100000003</v>
      </c>
      <c r="T59" s="182">
        <f>'Program Budget'!T58</f>
        <v>36</v>
      </c>
      <c r="U59" s="183">
        <v>1</v>
      </c>
      <c r="V59" s="184">
        <f>S59*T59*U59</f>
        <v>4718.8656360000004</v>
      </c>
      <c r="W59" s="338">
        <f>F59+J59+N59+R59+V59</f>
        <v>20702.660435999998</v>
      </c>
    </row>
    <row r="60" spans="1:23" ht="15" customHeight="1" outlineLevel="1">
      <c r="A60" s="179" t="s">
        <v>91</v>
      </c>
      <c r="B60" s="180" t="str">
        <f>'Program Budget'!F183</f>
        <v>Month</v>
      </c>
      <c r="C60" s="357">
        <f>'Program Budget'!H183</f>
        <v>50</v>
      </c>
      <c r="D60" s="358">
        <f>'Program Budget'!G183</f>
        <v>3</v>
      </c>
      <c r="E60" s="183">
        <v>1</v>
      </c>
      <c r="F60" s="184">
        <f t="shared" ref="F60" si="46">C60*D60*E60</f>
        <v>150</v>
      </c>
      <c r="G60" s="343">
        <f t="shared" ref="G60" si="47">C60*1.07</f>
        <v>53.5</v>
      </c>
      <c r="H60" s="182">
        <f>'Program Budget'!K183</f>
        <v>12</v>
      </c>
      <c r="I60" s="183">
        <v>1</v>
      </c>
      <c r="J60" s="184">
        <f t="shared" ref="J60" si="48">G60*H60*I60</f>
        <v>642</v>
      </c>
      <c r="K60" s="343">
        <f t="shared" ref="K60" si="49">G60*1.07</f>
        <v>57.245000000000005</v>
      </c>
      <c r="L60" s="182">
        <f>'Program Budget'!N183</f>
        <v>12</v>
      </c>
      <c r="M60" s="183">
        <v>1</v>
      </c>
      <c r="N60" s="184">
        <f t="shared" ref="N60" si="50">K60*L60*M60</f>
        <v>686.94</v>
      </c>
      <c r="O60" s="343">
        <f t="shared" ref="O60" si="51">K60*1.07</f>
        <v>61.252150000000007</v>
      </c>
      <c r="P60" s="182">
        <f>'Program Budget'!Q183</f>
        <v>12</v>
      </c>
      <c r="Q60" s="183">
        <v>1</v>
      </c>
      <c r="R60" s="184">
        <f t="shared" ref="R60" si="52">O60*P60*Q60</f>
        <v>735.02580000000012</v>
      </c>
      <c r="S60" s="343">
        <f t="shared" ref="S60" si="53">O60*1.07</f>
        <v>65.539800500000013</v>
      </c>
      <c r="T60" s="182">
        <f>'Program Budget'!T183</f>
        <v>9</v>
      </c>
      <c r="U60" s="183">
        <v>1</v>
      </c>
      <c r="V60" s="184">
        <f t="shared" ref="V60" si="54">S60*T60*U60</f>
        <v>589.85820450000006</v>
      </c>
      <c r="W60" s="338">
        <f t="shared" ref="W60" si="55">F60+J60+N60+R60+V60</f>
        <v>2803.8240045000002</v>
      </c>
    </row>
    <row r="61" spans="1:23" ht="15" customHeight="1" outlineLevel="1">
      <c r="A61" s="179" t="str">
        <f>'Program Budget'!D184</f>
        <v>Local Transportation for Staff for Communication Materials Development</v>
      </c>
      <c r="B61" s="180" t="str">
        <f>'Program Budget'!F184</f>
        <v>Trip</v>
      </c>
      <c r="C61" s="357">
        <f>'Program Budget'!H184</f>
        <v>300</v>
      </c>
      <c r="D61" s="358">
        <f>'Program Budget'!G184</f>
        <v>3</v>
      </c>
      <c r="E61" s="183">
        <v>1</v>
      </c>
      <c r="F61" s="184">
        <f t="shared" ref="F61" si="56">C61*D61*E61</f>
        <v>900</v>
      </c>
      <c r="G61" s="343">
        <f t="shared" si="42"/>
        <v>321</v>
      </c>
      <c r="H61" s="182">
        <f>'Program Budget'!K184</f>
        <v>3</v>
      </c>
      <c r="I61" s="183">
        <v>1</v>
      </c>
      <c r="J61" s="184">
        <f t="shared" ref="J61" si="57">G61*H61*I61</f>
        <v>963</v>
      </c>
      <c r="K61" s="343">
        <f t="shared" si="43"/>
        <v>343.47</v>
      </c>
      <c r="L61" s="182">
        <f>'Program Budget'!N184</f>
        <v>0</v>
      </c>
      <c r="M61" s="183">
        <v>0</v>
      </c>
      <c r="N61" s="184">
        <f t="shared" ref="N61" si="58">K61*L61*M61</f>
        <v>0</v>
      </c>
      <c r="O61" s="343">
        <f t="shared" si="44"/>
        <v>367.51290000000006</v>
      </c>
      <c r="P61" s="182">
        <f>'Program Budget'!Q184</f>
        <v>0</v>
      </c>
      <c r="Q61" s="183">
        <v>0</v>
      </c>
      <c r="R61" s="184">
        <f t="shared" ref="R61" si="59">O61*P61*Q61</f>
        <v>0</v>
      </c>
      <c r="S61" s="343">
        <f t="shared" si="45"/>
        <v>393.23880300000008</v>
      </c>
      <c r="T61" s="182">
        <f>'Program Budget'!T184</f>
        <v>0</v>
      </c>
      <c r="U61" s="183">
        <v>0</v>
      </c>
      <c r="V61" s="184">
        <f t="shared" ref="V61" si="60">S61*T61*U61</f>
        <v>0</v>
      </c>
      <c r="W61" s="338">
        <f t="shared" ref="W61" si="61">F61+J61+N61+R61+V61</f>
        <v>1863</v>
      </c>
    </row>
    <row r="62" spans="1:23" ht="15" customHeight="1" outlineLevel="1">
      <c r="A62" s="179" t="str">
        <f>'Program Budget'!D186</f>
        <v>Local Transportation for Staff to Attend Local Agriculture Events</v>
      </c>
      <c r="B62" s="180" t="str">
        <f>'Program Budget'!F186</f>
        <v>Trip</v>
      </c>
      <c r="C62" s="357">
        <f>'Program Budget'!H186</f>
        <v>200</v>
      </c>
      <c r="D62" s="358">
        <f>'Program Budget'!G186</f>
        <v>0</v>
      </c>
      <c r="E62" s="183">
        <v>0</v>
      </c>
      <c r="F62" s="184">
        <f t="shared" ref="F62" si="62">C62*D62*E62</f>
        <v>0</v>
      </c>
      <c r="G62" s="343">
        <f t="shared" si="42"/>
        <v>214</v>
      </c>
      <c r="H62" s="182">
        <f>'Program Budget'!K186</f>
        <v>6</v>
      </c>
      <c r="I62" s="183">
        <v>1</v>
      </c>
      <c r="J62" s="184">
        <f t="shared" ref="J62" si="63">G62*H62*I62</f>
        <v>1284</v>
      </c>
      <c r="K62" s="343">
        <f t="shared" si="43"/>
        <v>228.98000000000002</v>
      </c>
      <c r="L62" s="182">
        <f>'Program Budget'!N186</f>
        <v>6</v>
      </c>
      <c r="M62" s="183">
        <v>1</v>
      </c>
      <c r="N62" s="184">
        <f t="shared" ref="N62" si="64">K62*L62*M62</f>
        <v>1373.88</v>
      </c>
      <c r="O62" s="343">
        <f t="shared" si="44"/>
        <v>245.00860000000003</v>
      </c>
      <c r="P62" s="182">
        <f>'Program Budget'!Q186</f>
        <v>6</v>
      </c>
      <c r="Q62" s="183">
        <v>1</v>
      </c>
      <c r="R62" s="184">
        <f t="shared" ref="R62" si="65">O62*P62*Q62</f>
        <v>1470.0516000000002</v>
      </c>
      <c r="S62" s="343">
        <f t="shared" si="45"/>
        <v>262.15920200000005</v>
      </c>
      <c r="T62" s="182">
        <f>'Program Budget'!T186</f>
        <v>6</v>
      </c>
      <c r="U62" s="183">
        <v>1</v>
      </c>
      <c r="V62" s="184">
        <f t="shared" ref="V62" si="66">S62*T62*U62</f>
        <v>1572.9552120000003</v>
      </c>
      <c r="W62" s="338">
        <f t="shared" ref="W62" si="67">F62+J62+N62+R62+V62</f>
        <v>5700.8868120000006</v>
      </c>
    </row>
    <row r="63" spans="1:23" ht="15" customHeight="1" outlineLevel="1">
      <c r="A63" s="179" t="str">
        <f>'Program Budget'!D188</f>
        <v>Local Transportation for Leaders of Northern Tunisian Cooperatives to Attend Trainings</v>
      </c>
      <c r="B63" s="180" t="str">
        <f>'Program Budget'!F188</f>
        <v>Trip</v>
      </c>
      <c r="C63" s="357">
        <f>'Program Budget'!H188</f>
        <v>200</v>
      </c>
      <c r="D63" s="358">
        <f>'Program Budget'!G188</f>
        <v>0</v>
      </c>
      <c r="E63" s="183">
        <v>0</v>
      </c>
      <c r="F63" s="184">
        <f t="shared" ref="F63:F66" si="68">C63*D63*E63</f>
        <v>0</v>
      </c>
      <c r="G63" s="343">
        <f t="shared" si="42"/>
        <v>214</v>
      </c>
      <c r="H63" s="182">
        <f>'Program Budget'!K188</f>
        <v>2</v>
      </c>
      <c r="I63" s="183">
        <v>1</v>
      </c>
      <c r="J63" s="184">
        <f t="shared" ref="J63:J66" si="69">G63*H63*I63</f>
        <v>428</v>
      </c>
      <c r="K63" s="343">
        <f t="shared" si="43"/>
        <v>228.98000000000002</v>
      </c>
      <c r="L63" s="182">
        <f>'Program Budget'!N188</f>
        <v>2</v>
      </c>
      <c r="M63" s="183">
        <v>1</v>
      </c>
      <c r="N63" s="184">
        <f t="shared" ref="N63:N66" si="70">K63*L63*M63</f>
        <v>457.96000000000004</v>
      </c>
      <c r="O63" s="343">
        <f t="shared" si="44"/>
        <v>245.00860000000003</v>
      </c>
      <c r="P63" s="182">
        <f>'Program Budget'!Q188</f>
        <v>0</v>
      </c>
      <c r="Q63" s="183">
        <v>0</v>
      </c>
      <c r="R63" s="184">
        <f t="shared" ref="R63:R66" si="71">O63*P63*Q63</f>
        <v>0</v>
      </c>
      <c r="S63" s="343">
        <f t="shared" si="45"/>
        <v>262.15920200000005</v>
      </c>
      <c r="T63" s="182">
        <f>'Program Budget'!T188</f>
        <v>0</v>
      </c>
      <c r="U63" s="183">
        <v>0</v>
      </c>
      <c r="V63" s="184">
        <f t="shared" ref="V63:V66" si="72">S63*T63*U63</f>
        <v>0</v>
      </c>
      <c r="W63" s="338">
        <f t="shared" ref="W63:W66" si="73">F63+J63+N63+R63+V63</f>
        <v>885.96</v>
      </c>
    </row>
    <row r="64" spans="1:23" ht="15" customHeight="1" outlineLevel="1">
      <c r="A64" s="179" t="str">
        <f>'Program Budget'!D190</f>
        <v>Transport Stipends for Participants to Attend Farmer Field School</v>
      </c>
      <c r="B64" s="180" t="str">
        <f>'Program Budget'!F190</f>
        <v>Participant</v>
      </c>
      <c r="C64" s="357">
        <f>'Program Budget'!H190</f>
        <v>10</v>
      </c>
      <c r="D64" s="358">
        <f>'Program Budget'!G190</f>
        <v>500</v>
      </c>
      <c r="E64" s="183">
        <v>1</v>
      </c>
      <c r="F64" s="184">
        <f t="shared" si="68"/>
        <v>5000</v>
      </c>
      <c r="G64" s="343">
        <f t="shared" si="42"/>
        <v>10.700000000000001</v>
      </c>
      <c r="H64" s="182">
        <f>'Program Budget'!K190</f>
        <v>1000</v>
      </c>
      <c r="I64" s="183">
        <v>1</v>
      </c>
      <c r="J64" s="184">
        <f t="shared" si="69"/>
        <v>10700.000000000002</v>
      </c>
      <c r="K64" s="343">
        <f t="shared" si="43"/>
        <v>11.449000000000002</v>
      </c>
      <c r="L64" s="182">
        <f>'Program Budget'!N190</f>
        <v>500</v>
      </c>
      <c r="M64" s="183">
        <v>1</v>
      </c>
      <c r="N64" s="184">
        <f t="shared" si="70"/>
        <v>5724.5000000000009</v>
      </c>
      <c r="O64" s="343">
        <f t="shared" si="44"/>
        <v>12.250430000000003</v>
      </c>
      <c r="P64" s="182">
        <f>'Program Budget'!Q190</f>
        <v>0</v>
      </c>
      <c r="Q64" s="183">
        <v>0</v>
      </c>
      <c r="R64" s="184">
        <f t="shared" si="71"/>
        <v>0</v>
      </c>
      <c r="S64" s="343">
        <f t="shared" si="45"/>
        <v>13.107960100000005</v>
      </c>
      <c r="T64" s="182">
        <f>'Program Budget'!T190</f>
        <v>0</v>
      </c>
      <c r="U64" s="183">
        <v>0</v>
      </c>
      <c r="V64" s="184">
        <f t="shared" si="72"/>
        <v>0</v>
      </c>
      <c r="W64" s="338">
        <f t="shared" si="73"/>
        <v>21424.500000000004</v>
      </c>
    </row>
    <row r="65" spans="1:23" ht="15" customHeight="1" outlineLevel="1">
      <c r="A65" s="179" t="str">
        <f>'Program Budget'!D256</f>
        <v>Local Transportation (Car Rental, Taxis)</v>
      </c>
      <c r="B65" s="180" t="str">
        <f>'Program Budget'!F256</f>
        <v>Month</v>
      </c>
      <c r="C65" s="357">
        <f>'Program Budget'!H256</f>
        <v>50</v>
      </c>
      <c r="D65" s="358">
        <f>'Program Budget'!G256</f>
        <v>3</v>
      </c>
      <c r="E65" s="183">
        <v>1</v>
      </c>
      <c r="F65" s="184">
        <f t="shared" ref="F65" si="74">C65*D65*E65</f>
        <v>150</v>
      </c>
      <c r="G65" s="343">
        <f t="shared" ref="G65" si="75">C65*1.07</f>
        <v>53.5</v>
      </c>
      <c r="H65" s="182">
        <f>'Program Budget'!K256</f>
        <v>12</v>
      </c>
      <c r="I65" s="183">
        <v>1</v>
      </c>
      <c r="J65" s="184">
        <f t="shared" ref="J65" si="76">G65*H65*I65</f>
        <v>642</v>
      </c>
      <c r="K65" s="343">
        <f t="shared" ref="K65" si="77">G65*1.07</f>
        <v>57.245000000000005</v>
      </c>
      <c r="L65" s="182">
        <f>'Program Budget'!N256</f>
        <v>12</v>
      </c>
      <c r="M65" s="183">
        <v>1</v>
      </c>
      <c r="N65" s="184">
        <f t="shared" ref="N65" si="78">K65*L65*M65</f>
        <v>686.94</v>
      </c>
      <c r="O65" s="343">
        <f t="shared" ref="O65" si="79">K65*1.07</f>
        <v>61.252150000000007</v>
      </c>
      <c r="P65" s="182">
        <f>'Program Budget'!Q256</f>
        <v>12</v>
      </c>
      <c r="Q65" s="183">
        <v>1</v>
      </c>
      <c r="R65" s="184">
        <f t="shared" ref="R65" si="80">O65*P65*Q65</f>
        <v>735.02580000000012</v>
      </c>
      <c r="S65" s="343">
        <f t="shared" ref="S65" si="81">O65*1.07</f>
        <v>65.539800500000013</v>
      </c>
      <c r="T65" s="182">
        <f>'Program Budget'!T256</f>
        <v>9</v>
      </c>
      <c r="U65" s="183">
        <v>1</v>
      </c>
      <c r="V65" s="184">
        <f t="shared" ref="V65" si="82">S65*T65*U65</f>
        <v>589.85820450000006</v>
      </c>
      <c r="W65" s="338">
        <f t="shared" ref="W65" si="83">F65+J65+N65+R65+V65</f>
        <v>2803.8240045000002</v>
      </c>
    </row>
    <row r="66" spans="1:23" ht="15" customHeight="1" outlineLevel="1">
      <c r="A66" s="179" t="str">
        <f>'Program Budget'!D257</f>
        <v>Local Transportation for Stakeholder Workshop</v>
      </c>
      <c r="B66" s="180" t="str">
        <f>'Program Budget'!F257</f>
        <v>Trip</v>
      </c>
      <c r="C66" s="357">
        <f>'Program Budget'!H257</f>
        <v>100</v>
      </c>
      <c r="D66" s="358">
        <f>'Program Budget'!G257</f>
        <v>3</v>
      </c>
      <c r="E66" s="183">
        <v>1</v>
      </c>
      <c r="F66" s="184">
        <f t="shared" si="68"/>
        <v>300</v>
      </c>
      <c r="G66" s="343">
        <f t="shared" si="42"/>
        <v>107</v>
      </c>
      <c r="H66" s="182">
        <f>'Program Budget'!K257</f>
        <v>0</v>
      </c>
      <c r="I66" s="183">
        <v>0</v>
      </c>
      <c r="J66" s="184">
        <f t="shared" si="69"/>
        <v>0</v>
      </c>
      <c r="K66" s="343">
        <f t="shared" si="43"/>
        <v>114.49000000000001</v>
      </c>
      <c r="L66" s="182">
        <f>'Program Budget'!N257</f>
        <v>0</v>
      </c>
      <c r="M66" s="183">
        <v>0</v>
      </c>
      <c r="N66" s="184">
        <f t="shared" si="70"/>
        <v>0</v>
      </c>
      <c r="O66" s="343">
        <f t="shared" si="44"/>
        <v>122.50430000000001</v>
      </c>
      <c r="P66" s="182">
        <f>'Program Budget'!Q257</f>
        <v>0</v>
      </c>
      <c r="Q66" s="183">
        <v>0</v>
      </c>
      <c r="R66" s="184">
        <f t="shared" si="71"/>
        <v>0</v>
      </c>
      <c r="S66" s="343">
        <f t="shared" si="45"/>
        <v>131.07960100000003</v>
      </c>
      <c r="T66" s="182">
        <f>'Program Budget'!T257</f>
        <v>0</v>
      </c>
      <c r="U66" s="183">
        <v>0</v>
      </c>
      <c r="V66" s="184">
        <f t="shared" si="72"/>
        <v>0</v>
      </c>
      <c r="W66" s="338">
        <f t="shared" si="73"/>
        <v>300</v>
      </c>
    </row>
    <row r="67" spans="1:23" ht="15" customHeight="1" outlineLevel="1">
      <c r="A67" s="179" t="str">
        <f>'Program Budget'!D259</f>
        <v>Local Transportation for Technical Package Design</v>
      </c>
      <c r="B67" s="180" t="str">
        <f>'Program Budget'!F259</f>
        <v>Trip</v>
      </c>
      <c r="C67" s="357">
        <f>'Program Budget'!H259</f>
        <v>100</v>
      </c>
      <c r="D67" s="358">
        <f>'Program Budget'!G259</f>
        <v>8</v>
      </c>
      <c r="E67" s="183">
        <v>1</v>
      </c>
      <c r="F67" s="184">
        <f t="shared" ref="F67:F69" si="84">C67*D67*E67</f>
        <v>800</v>
      </c>
      <c r="G67" s="343">
        <f t="shared" si="42"/>
        <v>107</v>
      </c>
      <c r="H67" s="182">
        <f>'Program Budget'!K259</f>
        <v>0</v>
      </c>
      <c r="I67" s="183">
        <v>0</v>
      </c>
      <c r="J67" s="184">
        <f t="shared" ref="J67:J69" si="85">G67*H67*I67</f>
        <v>0</v>
      </c>
      <c r="K67" s="343">
        <f t="shared" si="43"/>
        <v>114.49000000000001</v>
      </c>
      <c r="L67" s="182">
        <f>'Program Budget'!N259</f>
        <v>0</v>
      </c>
      <c r="M67" s="183">
        <v>0</v>
      </c>
      <c r="N67" s="184">
        <f t="shared" ref="N67:N69" si="86">K67*L67*M67</f>
        <v>0</v>
      </c>
      <c r="O67" s="343">
        <f t="shared" si="44"/>
        <v>122.50430000000001</v>
      </c>
      <c r="P67" s="182">
        <f>'Program Budget'!Q259</f>
        <v>0</v>
      </c>
      <c r="Q67" s="183">
        <v>0</v>
      </c>
      <c r="R67" s="184">
        <f t="shared" ref="R67:R69" si="87">O67*P67*Q67</f>
        <v>0</v>
      </c>
      <c r="S67" s="343">
        <f t="shared" si="45"/>
        <v>131.07960100000003</v>
      </c>
      <c r="T67" s="182">
        <f>'Program Budget'!T259</f>
        <v>0</v>
      </c>
      <c r="U67" s="183">
        <v>0</v>
      </c>
      <c r="V67" s="184">
        <f t="shared" ref="V67:V69" si="88">S67*T67*U67</f>
        <v>0</v>
      </c>
      <c r="W67" s="338">
        <f t="shared" ref="W67:W69" si="89">F67+J67+N67+R67+V67</f>
        <v>800</v>
      </c>
    </row>
    <row r="68" spans="1:23" ht="15" customHeight="1" outlineLevel="1">
      <c r="A68" s="179" t="s">
        <v>92</v>
      </c>
      <c r="B68" s="180" t="str">
        <f>'Program Budget'!F260</f>
        <v>Day</v>
      </c>
      <c r="C68" s="357">
        <f>'Program Budget'!H332</f>
        <v>75</v>
      </c>
      <c r="D68" s="358">
        <f>'Program Budget'!G332</f>
        <v>3</v>
      </c>
      <c r="E68" s="183">
        <v>1</v>
      </c>
      <c r="F68" s="184">
        <f t="shared" ref="F68" si="90">C68*D68*E68</f>
        <v>225</v>
      </c>
      <c r="G68" s="343">
        <f t="shared" ref="G68" si="91">C68*1.07</f>
        <v>80.25</v>
      </c>
      <c r="H68" s="182">
        <f>'Program Budget'!K332</f>
        <v>12</v>
      </c>
      <c r="I68" s="183">
        <v>1</v>
      </c>
      <c r="J68" s="184">
        <f t="shared" ref="J68" si="92">G68*H68*I68</f>
        <v>963</v>
      </c>
      <c r="K68" s="343">
        <f t="shared" ref="K68" si="93">G68*1.07</f>
        <v>85.867500000000007</v>
      </c>
      <c r="L68" s="182">
        <f>'Program Budget'!N332</f>
        <v>12</v>
      </c>
      <c r="M68" s="183">
        <v>1</v>
      </c>
      <c r="N68" s="184">
        <f t="shared" ref="N68" si="94">K68*L68*M68</f>
        <v>1030.4100000000001</v>
      </c>
      <c r="O68" s="343">
        <f t="shared" ref="O68" si="95">K68*1.07</f>
        <v>91.878225000000015</v>
      </c>
      <c r="P68" s="182">
        <f>'Program Budget'!Q332</f>
        <v>12</v>
      </c>
      <c r="Q68" s="183">
        <v>1</v>
      </c>
      <c r="R68" s="184">
        <f t="shared" ref="R68" si="96">O68*P68*Q68</f>
        <v>1102.5387000000001</v>
      </c>
      <c r="S68" s="343">
        <f t="shared" ref="S68" si="97">O68*1.07</f>
        <v>98.309700750000019</v>
      </c>
      <c r="T68" s="182">
        <f>'Program Budget'!T332</f>
        <v>7</v>
      </c>
      <c r="U68" s="183">
        <v>1</v>
      </c>
      <c r="V68" s="184">
        <f t="shared" ref="V68" si="98">S68*T68*U68</f>
        <v>688.1679052500001</v>
      </c>
      <c r="W68" s="338">
        <f t="shared" ref="W68" si="99">F68+J68+N68+R68+V68</f>
        <v>4009.1166052500002</v>
      </c>
    </row>
    <row r="69" spans="1:23" ht="15" customHeight="1" outlineLevel="1">
      <c r="A69" s="179" t="str">
        <f>'Program Budget'!D261</f>
        <v>Transport Stipends for Producers Organization Leaders to Attend PASPs Trainings</v>
      </c>
      <c r="B69" s="180" t="str">
        <f>'Program Budget'!F261</f>
        <v>Participant</v>
      </c>
      <c r="C69" s="357">
        <f>'Program Budget'!H261+'Program Budget'!H333</f>
        <v>14</v>
      </c>
      <c r="D69" s="358">
        <f>'Program Budget'!G261</f>
        <v>0</v>
      </c>
      <c r="E69" s="183">
        <v>0</v>
      </c>
      <c r="F69" s="184">
        <f t="shared" si="84"/>
        <v>0</v>
      </c>
      <c r="G69" s="343">
        <f t="shared" si="42"/>
        <v>14.98</v>
      </c>
      <c r="H69" s="182">
        <f>'Program Budget'!K261</f>
        <v>36</v>
      </c>
      <c r="I69" s="183">
        <v>1</v>
      </c>
      <c r="J69" s="184">
        <f t="shared" si="85"/>
        <v>539.28</v>
      </c>
      <c r="K69" s="343">
        <f t="shared" si="43"/>
        <v>16.028600000000001</v>
      </c>
      <c r="L69" s="182">
        <f>'Program Budget'!N261</f>
        <v>38</v>
      </c>
      <c r="M69" s="183">
        <v>1</v>
      </c>
      <c r="N69" s="184">
        <f t="shared" si="86"/>
        <v>609.08680000000004</v>
      </c>
      <c r="O69" s="343">
        <f t="shared" si="44"/>
        <v>17.150602000000003</v>
      </c>
      <c r="P69" s="182">
        <f>'Program Budget'!Q261</f>
        <v>36</v>
      </c>
      <c r="Q69" s="183">
        <v>1</v>
      </c>
      <c r="R69" s="184">
        <f t="shared" si="87"/>
        <v>617.42167200000006</v>
      </c>
      <c r="S69" s="343">
        <f t="shared" si="45"/>
        <v>18.351144140000002</v>
      </c>
      <c r="T69" s="182">
        <f>'Program Budget'!T261</f>
        <v>0</v>
      </c>
      <c r="U69" s="183">
        <v>0</v>
      </c>
      <c r="V69" s="184">
        <f t="shared" si="88"/>
        <v>0</v>
      </c>
      <c r="W69" s="338">
        <f t="shared" si="89"/>
        <v>1765.7884720000002</v>
      </c>
    </row>
    <row r="70" spans="1:23" ht="15" customHeight="1" outlineLevel="1">
      <c r="A70" s="179" t="str">
        <f>'Program Budget'!D334</f>
        <v>Transport Stipends for Producers Organization to Attend Market Access Training</v>
      </c>
      <c r="B70" s="180" t="str">
        <f>'Program Budget'!F334</f>
        <v>Participant</v>
      </c>
      <c r="C70" s="357">
        <f>'Program Budget'!H334</f>
        <v>10</v>
      </c>
      <c r="D70" s="358">
        <f>'Program Budget'!G334</f>
        <v>0</v>
      </c>
      <c r="E70" s="183">
        <v>0</v>
      </c>
      <c r="F70" s="184">
        <f t="shared" ref="F70:F72" si="100">C70*D70*E70</f>
        <v>0</v>
      </c>
      <c r="G70" s="343">
        <f t="shared" si="42"/>
        <v>10.700000000000001</v>
      </c>
      <c r="H70" s="182">
        <f>'Program Budget'!K334</f>
        <v>200</v>
      </c>
      <c r="I70" s="183">
        <v>1</v>
      </c>
      <c r="J70" s="184">
        <f t="shared" ref="J70:J72" si="101">G70*H70*I70</f>
        <v>2140</v>
      </c>
      <c r="K70" s="343">
        <f t="shared" si="43"/>
        <v>11.449000000000002</v>
      </c>
      <c r="L70" s="182">
        <f>'Program Budget'!N334</f>
        <v>0</v>
      </c>
      <c r="M70" s="183">
        <v>0</v>
      </c>
      <c r="N70" s="184">
        <f t="shared" ref="N70:N72" si="102">K70*L70*M70</f>
        <v>0</v>
      </c>
      <c r="O70" s="343">
        <f t="shared" si="44"/>
        <v>12.250430000000003</v>
      </c>
      <c r="P70" s="182">
        <f>'Program Budget'!Q334</f>
        <v>0</v>
      </c>
      <c r="Q70" s="183">
        <v>0</v>
      </c>
      <c r="R70" s="184">
        <f t="shared" ref="R70:R72" si="103">O70*P70*Q70</f>
        <v>0</v>
      </c>
      <c r="S70" s="343">
        <f t="shared" si="45"/>
        <v>13.107960100000005</v>
      </c>
      <c r="T70" s="182">
        <f>'Program Budget'!T334</f>
        <v>0</v>
      </c>
      <c r="U70" s="183">
        <v>1</v>
      </c>
      <c r="V70" s="184">
        <f t="shared" ref="V70:V72" si="104">S70*T70*U70</f>
        <v>0</v>
      </c>
      <c r="W70" s="338">
        <f t="shared" ref="W70:W72" si="105">F70+J70+N70+R70+V70</f>
        <v>2140</v>
      </c>
    </row>
    <row r="71" spans="1:23" ht="15" customHeight="1" outlineLevel="1">
      <c r="A71" s="179" t="str">
        <f>'Program Budget'!D335</f>
        <v>Transportation for US Consultant to Provide Technical Assistance on Farmer Certification</v>
      </c>
      <c r="B71" s="180" t="str">
        <f>'Program Budget'!F335</f>
        <v>Trip</v>
      </c>
      <c r="C71" s="357">
        <f>'Program Budget'!H335</f>
        <v>1550</v>
      </c>
      <c r="D71" s="358">
        <f>'Program Budget'!G335</f>
        <v>0</v>
      </c>
      <c r="E71" s="183">
        <v>0</v>
      </c>
      <c r="F71" s="184">
        <f t="shared" si="100"/>
        <v>0</v>
      </c>
      <c r="G71" s="343">
        <f t="shared" si="42"/>
        <v>1658.5</v>
      </c>
      <c r="H71" s="182">
        <f>'Program Budget'!K335</f>
        <v>0</v>
      </c>
      <c r="I71" s="183">
        <v>0</v>
      </c>
      <c r="J71" s="184">
        <f t="shared" si="101"/>
        <v>0</v>
      </c>
      <c r="K71" s="343">
        <f t="shared" si="43"/>
        <v>1774.595</v>
      </c>
      <c r="L71" s="182">
        <f>'Program Budget'!N335</f>
        <v>1</v>
      </c>
      <c r="M71" s="183">
        <v>1</v>
      </c>
      <c r="N71" s="184">
        <f t="shared" si="102"/>
        <v>1774.595</v>
      </c>
      <c r="O71" s="343">
        <f t="shared" si="44"/>
        <v>1898.8166500000002</v>
      </c>
      <c r="P71" s="182">
        <f>'Program Budget'!Q335</f>
        <v>0</v>
      </c>
      <c r="Q71" s="183">
        <v>0</v>
      </c>
      <c r="R71" s="184">
        <f t="shared" si="103"/>
        <v>0</v>
      </c>
      <c r="S71" s="343">
        <f t="shared" si="45"/>
        <v>2031.7338155000004</v>
      </c>
      <c r="T71" s="182">
        <f>'Program Budget'!T335</f>
        <v>0</v>
      </c>
      <c r="U71" s="183">
        <v>1</v>
      </c>
      <c r="V71" s="184">
        <f t="shared" si="104"/>
        <v>0</v>
      </c>
      <c r="W71" s="338">
        <f t="shared" si="105"/>
        <v>1774.595</v>
      </c>
    </row>
    <row r="72" spans="1:23" ht="15" customHeight="1" outlineLevel="1">
      <c r="A72" s="179" t="str">
        <f>'Program Budget'!D337</f>
        <v>Local Transportation Stipend for Financial Literacy Trainings</v>
      </c>
      <c r="B72" s="180" t="str">
        <f>'Program Budget'!F337</f>
        <v>Trip</v>
      </c>
      <c r="C72" s="357">
        <f>'Program Budget'!H337</f>
        <v>10</v>
      </c>
      <c r="D72" s="358">
        <f>'Program Budget'!G337</f>
        <v>0</v>
      </c>
      <c r="E72" s="183">
        <v>0</v>
      </c>
      <c r="F72" s="184">
        <f t="shared" si="100"/>
        <v>0</v>
      </c>
      <c r="G72" s="343">
        <f t="shared" si="42"/>
        <v>10.700000000000001</v>
      </c>
      <c r="H72" s="182">
        <f>'Program Budget'!K337</f>
        <v>160</v>
      </c>
      <c r="I72" s="183">
        <v>1</v>
      </c>
      <c r="J72" s="184">
        <f t="shared" si="101"/>
        <v>1712.0000000000002</v>
      </c>
      <c r="K72" s="343">
        <f t="shared" si="43"/>
        <v>11.449000000000002</v>
      </c>
      <c r="L72" s="182">
        <f>'Program Budget'!N337</f>
        <v>160</v>
      </c>
      <c r="M72" s="183">
        <v>1</v>
      </c>
      <c r="N72" s="184">
        <f t="shared" si="102"/>
        <v>1831.8400000000001</v>
      </c>
      <c r="O72" s="343">
        <f t="shared" si="44"/>
        <v>12.250430000000003</v>
      </c>
      <c r="P72" s="182">
        <f>'Program Budget'!Q337</f>
        <v>0</v>
      </c>
      <c r="Q72" s="183">
        <v>0</v>
      </c>
      <c r="R72" s="184">
        <f t="shared" si="103"/>
        <v>0</v>
      </c>
      <c r="S72" s="343">
        <f t="shared" si="45"/>
        <v>13.107960100000005</v>
      </c>
      <c r="T72" s="182">
        <f>'Program Budget'!T337</f>
        <v>0</v>
      </c>
      <c r="U72" s="183">
        <v>1</v>
      </c>
      <c r="V72" s="184">
        <f t="shared" si="104"/>
        <v>0</v>
      </c>
      <c r="W72" s="338">
        <f t="shared" si="105"/>
        <v>3543.84</v>
      </c>
    </row>
    <row r="73" spans="1:23" s="246" customFormat="1" ht="15.6" outlineLevel="1">
      <c r="A73" s="435" t="s">
        <v>93</v>
      </c>
      <c r="B73" s="202"/>
      <c r="C73" s="348"/>
      <c r="D73" s="144"/>
      <c r="E73" s="145"/>
      <c r="F73" s="184"/>
      <c r="G73" s="343"/>
      <c r="H73" s="144"/>
      <c r="I73" s="146"/>
      <c r="J73" s="184"/>
      <c r="K73" s="343"/>
      <c r="L73" s="144"/>
      <c r="M73" s="145"/>
      <c r="N73" s="184"/>
      <c r="O73" s="343"/>
      <c r="P73" s="144"/>
      <c r="Q73" s="146"/>
      <c r="R73" s="184"/>
      <c r="S73" s="343"/>
      <c r="T73" s="144"/>
      <c r="U73" s="146"/>
      <c r="V73" s="184"/>
      <c r="W73" s="338"/>
    </row>
    <row r="74" spans="1:23" ht="15" customHeight="1" outlineLevel="1">
      <c r="A74" s="179" t="s">
        <v>94</v>
      </c>
      <c r="B74" s="180" t="str">
        <f>'Program Budget'!F182</f>
        <v>Month</v>
      </c>
      <c r="C74" s="357">
        <f>Admin!C56+'Activity 1'!C50+'Activity 2'!C48</f>
        <v>800</v>
      </c>
      <c r="D74" s="358">
        <f>'Activity 1'!D50</f>
        <v>3</v>
      </c>
      <c r="E74" s="183">
        <v>1</v>
      </c>
      <c r="F74" s="184">
        <f>C74*D74*E74</f>
        <v>2400</v>
      </c>
      <c r="G74" s="343">
        <f t="shared" si="42"/>
        <v>856</v>
      </c>
      <c r="H74" s="182">
        <f>'Activity 1'!H50</f>
        <v>12</v>
      </c>
      <c r="I74" s="183">
        <v>1</v>
      </c>
      <c r="J74" s="184">
        <f>G74*H74*I74</f>
        <v>10272</v>
      </c>
      <c r="K74" s="343">
        <f t="shared" si="43"/>
        <v>915.92000000000007</v>
      </c>
      <c r="L74" s="182">
        <f>'Program Budget'!N182</f>
        <v>12</v>
      </c>
      <c r="M74" s="183">
        <v>1</v>
      </c>
      <c r="N74" s="184">
        <f>K74*L74*M74</f>
        <v>10991.04</v>
      </c>
      <c r="O74" s="343">
        <f t="shared" si="44"/>
        <v>980.03440000000012</v>
      </c>
      <c r="P74" s="182">
        <f>'Program Budget'!Q182</f>
        <v>12</v>
      </c>
      <c r="Q74" s="183">
        <v>1</v>
      </c>
      <c r="R74" s="184">
        <f>O74*P74*Q74</f>
        <v>11760.412800000002</v>
      </c>
      <c r="S74" s="343">
        <f t="shared" si="45"/>
        <v>1048.6368080000002</v>
      </c>
      <c r="T74" s="182">
        <f>'Program Budget'!T182</f>
        <v>9</v>
      </c>
      <c r="U74" s="183">
        <v>1</v>
      </c>
      <c r="V74" s="184">
        <f>S74*T74*U74</f>
        <v>9437.7312720000009</v>
      </c>
      <c r="W74" s="338">
        <f>F74+J74+N74+R74+V74</f>
        <v>44861.184072000004</v>
      </c>
    </row>
    <row r="75" spans="1:23" ht="15" customHeight="1" outlineLevel="1">
      <c r="A75" s="179" t="s">
        <v>95</v>
      </c>
      <c r="B75" s="180" t="str">
        <f>'Activity 3'!B55</f>
        <v>Month</v>
      </c>
      <c r="C75" s="357">
        <f>'Activity 3'!C55</f>
        <v>325</v>
      </c>
      <c r="D75" s="358">
        <f>'Program Budget'!G331</f>
        <v>3</v>
      </c>
      <c r="E75" s="183">
        <v>1</v>
      </c>
      <c r="F75" s="184">
        <f>C75*D75*E75</f>
        <v>975</v>
      </c>
      <c r="G75" s="343">
        <f t="shared" si="42"/>
        <v>347.75</v>
      </c>
      <c r="H75" s="182">
        <f>'Program Budget'!K331</f>
        <v>12</v>
      </c>
      <c r="I75" s="183">
        <v>1</v>
      </c>
      <c r="J75" s="184">
        <f>G75*H75*I75</f>
        <v>4173</v>
      </c>
      <c r="K75" s="343">
        <f t="shared" si="43"/>
        <v>372.09250000000003</v>
      </c>
      <c r="L75" s="182">
        <f>'Program Budget'!N331</f>
        <v>12</v>
      </c>
      <c r="M75" s="183">
        <v>1</v>
      </c>
      <c r="N75" s="184">
        <f>K75*L75*M75</f>
        <v>4465.1100000000006</v>
      </c>
      <c r="O75" s="343">
        <f t="shared" si="44"/>
        <v>398.13897500000007</v>
      </c>
      <c r="P75" s="182">
        <f>'Program Budget'!Q331</f>
        <v>12</v>
      </c>
      <c r="Q75" s="183">
        <v>1</v>
      </c>
      <c r="R75" s="184">
        <f>O75*P75*Q75</f>
        <v>4777.6677000000009</v>
      </c>
      <c r="S75" s="343">
        <f t="shared" si="45"/>
        <v>426.00870325000011</v>
      </c>
      <c r="T75" s="182">
        <f>'Program Budget'!T331</f>
        <v>7</v>
      </c>
      <c r="U75" s="183">
        <v>1</v>
      </c>
      <c r="V75" s="184">
        <f>S75*T75*U75</f>
        <v>2982.0609227500008</v>
      </c>
      <c r="W75" s="338">
        <f>F75+J75+N75+R75+V75</f>
        <v>17372.838622750001</v>
      </c>
    </row>
    <row r="76" spans="1:23" s="246" customFormat="1" ht="15.6" outlineLevel="1">
      <c r="A76" s="176" t="s">
        <v>96</v>
      </c>
      <c r="B76" s="202"/>
      <c r="C76" s="348"/>
      <c r="D76" s="144"/>
      <c r="E76" s="145"/>
      <c r="F76" s="184"/>
      <c r="G76" s="343"/>
      <c r="H76" s="184"/>
      <c r="I76" s="184"/>
      <c r="J76" s="184"/>
      <c r="K76" s="343"/>
      <c r="L76" s="184"/>
      <c r="M76" s="184"/>
      <c r="N76" s="184"/>
      <c r="O76" s="343"/>
      <c r="P76" s="184"/>
      <c r="Q76" s="184"/>
      <c r="R76" s="184"/>
      <c r="S76" s="343"/>
      <c r="T76" s="184"/>
      <c r="U76" s="184"/>
      <c r="V76" s="184"/>
      <c r="W76" s="338"/>
    </row>
    <row r="77" spans="1:23" ht="15" customHeight="1" outlineLevel="1">
      <c r="A77" s="179" t="str">
        <f>'Program Budget'!D48</f>
        <v>Lodging and M&amp;IE - HQ Project Management Trip</v>
      </c>
      <c r="B77" s="180" t="str">
        <f>'Program Budget'!F48</f>
        <v>Day</v>
      </c>
      <c r="C77" s="357">
        <f>'Program Budget'!H48</f>
        <v>212</v>
      </c>
      <c r="D77" s="358">
        <f>'Program Budget'!G48</f>
        <v>35</v>
      </c>
      <c r="E77" s="183">
        <v>1</v>
      </c>
      <c r="F77" s="184">
        <f>C77*D77*E77</f>
        <v>7420</v>
      </c>
      <c r="G77" s="343">
        <f t="shared" si="42"/>
        <v>226.84</v>
      </c>
      <c r="H77" s="182">
        <f>'Program Budget'!K48</f>
        <v>35</v>
      </c>
      <c r="I77" s="183">
        <v>1</v>
      </c>
      <c r="J77" s="184">
        <f>G77*H77*I77</f>
        <v>7939.4000000000005</v>
      </c>
      <c r="K77" s="343">
        <f t="shared" si="43"/>
        <v>242.71880000000002</v>
      </c>
      <c r="L77" s="182">
        <f>'Program Budget'!N48</f>
        <v>35</v>
      </c>
      <c r="M77" s="183">
        <v>1</v>
      </c>
      <c r="N77" s="184">
        <f>K77*L77*M77</f>
        <v>8495.1580000000013</v>
      </c>
      <c r="O77" s="343">
        <f t="shared" si="44"/>
        <v>259.70911600000005</v>
      </c>
      <c r="P77" s="182">
        <f>'Program Budget'!Q48</f>
        <v>35</v>
      </c>
      <c r="Q77" s="183">
        <v>1</v>
      </c>
      <c r="R77" s="184">
        <f>O77*P77*Q77</f>
        <v>9089.8190600000016</v>
      </c>
      <c r="S77" s="343">
        <f t="shared" si="45"/>
        <v>277.88875412000004</v>
      </c>
      <c r="T77" s="182">
        <f>'Program Budget'!T48</f>
        <v>35</v>
      </c>
      <c r="U77" s="183">
        <v>1</v>
      </c>
      <c r="V77" s="184">
        <f>S77*T77*U77</f>
        <v>9726.1063942000019</v>
      </c>
      <c r="W77" s="338">
        <f>F77+J77+N77+R77+V77</f>
        <v>42670.48345420001</v>
      </c>
    </row>
    <row r="78" spans="1:23" ht="15" customHeight="1" outlineLevel="1">
      <c r="A78" s="179" t="str">
        <f>'Program Budget'!D50</f>
        <v>Other Travel Related Expenses – HQ Project Management Trip</v>
      </c>
      <c r="B78" s="180" t="str">
        <f>'Program Budget'!F50</f>
        <v>Trip</v>
      </c>
      <c r="C78" s="343">
        <f>'Program Budget'!H50</f>
        <v>50</v>
      </c>
      <c r="D78" s="182">
        <f>'Program Budget'!G50</f>
        <v>5</v>
      </c>
      <c r="E78" s="183">
        <v>1</v>
      </c>
      <c r="F78" s="184">
        <f>C78*D78*E78</f>
        <v>250</v>
      </c>
      <c r="G78" s="343">
        <f t="shared" si="42"/>
        <v>53.5</v>
      </c>
      <c r="H78" s="182">
        <f>'Program Budget'!K50</f>
        <v>5</v>
      </c>
      <c r="I78" s="183">
        <v>1</v>
      </c>
      <c r="J78" s="184">
        <f>G78*H78*I78</f>
        <v>267.5</v>
      </c>
      <c r="K78" s="343">
        <f t="shared" si="43"/>
        <v>57.245000000000005</v>
      </c>
      <c r="L78" s="182">
        <f>'Program Budget'!N50</f>
        <v>5</v>
      </c>
      <c r="M78" s="183">
        <v>1</v>
      </c>
      <c r="N78" s="184">
        <f>K78*L78*M78</f>
        <v>286.22500000000002</v>
      </c>
      <c r="O78" s="343">
        <f t="shared" si="44"/>
        <v>61.252150000000007</v>
      </c>
      <c r="P78" s="182">
        <f>'Program Budget'!Q50</f>
        <v>5</v>
      </c>
      <c r="Q78" s="183">
        <v>1</v>
      </c>
      <c r="R78" s="184">
        <f>O78*P78*Q78</f>
        <v>306.26075000000003</v>
      </c>
      <c r="S78" s="343">
        <f t="shared" si="45"/>
        <v>65.539800500000013</v>
      </c>
      <c r="T78" s="182">
        <f>'Program Budget'!T50</f>
        <v>5</v>
      </c>
      <c r="U78" s="183">
        <v>1</v>
      </c>
      <c r="V78" s="184">
        <f>S78*T78*U78</f>
        <v>327.69900250000006</v>
      </c>
      <c r="W78" s="338">
        <f>F78+J78+N78+R78+V78</f>
        <v>1437.6847525000001</v>
      </c>
    </row>
    <row r="79" spans="1:23" ht="15" customHeight="1" outlineLevel="1">
      <c r="A79" s="179" t="str">
        <f>'Program Budget'!D53</f>
        <v>Lodging and M&amp;IE for Tunisia Staff Travel</v>
      </c>
      <c r="B79" s="180" t="str">
        <f>'Program Budget'!F53</f>
        <v>Day</v>
      </c>
      <c r="C79" s="343">
        <f>'Program Budget'!H53</f>
        <v>251</v>
      </c>
      <c r="D79" s="182">
        <f>'Program Budget'!G53</f>
        <v>28</v>
      </c>
      <c r="E79" s="183">
        <v>1</v>
      </c>
      <c r="F79" s="184">
        <f>C79*D79*E79</f>
        <v>7028</v>
      </c>
      <c r="G79" s="343">
        <f t="shared" si="42"/>
        <v>268.57</v>
      </c>
      <c r="H79" s="182">
        <f>'Program Budget'!K53</f>
        <v>28</v>
      </c>
      <c r="I79" s="183">
        <v>1</v>
      </c>
      <c r="J79" s="184">
        <f>G79*H79*I79</f>
        <v>7519.96</v>
      </c>
      <c r="K79" s="343">
        <f t="shared" si="43"/>
        <v>287.36990000000003</v>
      </c>
      <c r="L79" s="182">
        <f>'Program Budget'!N53</f>
        <v>28</v>
      </c>
      <c r="M79" s="183">
        <v>1</v>
      </c>
      <c r="N79" s="184">
        <f>K79*L79*M79</f>
        <v>8046.3572000000004</v>
      </c>
      <c r="O79" s="343">
        <f t="shared" si="44"/>
        <v>307.48579300000006</v>
      </c>
      <c r="P79" s="182">
        <f>'Program Budget'!Q53</f>
        <v>28</v>
      </c>
      <c r="Q79" s="183">
        <v>1</v>
      </c>
      <c r="R79" s="184">
        <f>O79*P79*Q79</f>
        <v>8609.6022040000025</v>
      </c>
      <c r="S79" s="343">
        <f t="shared" si="45"/>
        <v>329.00979851000005</v>
      </c>
      <c r="T79" s="182">
        <f>'Program Budget'!T53</f>
        <v>28</v>
      </c>
      <c r="U79" s="183">
        <v>1</v>
      </c>
      <c r="V79" s="184">
        <f>S79*T79*U79</f>
        <v>9212.2743582800013</v>
      </c>
      <c r="W79" s="338">
        <f>F79+J79+N79+R79+V79</f>
        <v>40416.193762280003</v>
      </c>
    </row>
    <row r="80" spans="1:23" ht="15" customHeight="1" outlineLevel="1">
      <c r="A80" s="179" t="str">
        <f>'Program Budget'!D55</f>
        <v>Other Travel Related Expenses for Tunisia Staff Travel</v>
      </c>
      <c r="B80" s="180" t="str">
        <f>'Program Budget'!F55</f>
        <v>Trip</v>
      </c>
      <c r="C80" s="343">
        <f>'Program Budget'!H55</f>
        <v>50</v>
      </c>
      <c r="D80" s="182">
        <f>'Program Budget'!G55</f>
        <v>4</v>
      </c>
      <c r="E80" s="183">
        <v>1</v>
      </c>
      <c r="F80" s="184">
        <f>C80*D80*E80</f>
        <v>200</v>
      </c>
      <c r="G80" s="343">
        <f t="shared" si="42"/>
        <v>53.5</v>
      </c>
      <c r="H80" s="182">
        <f>'Program Budget'!K55</f>
        <v>4</v>
      </c>
      <c r="I80" s="183">
        <v>1</v>
      </c>
      <c r="J80" s="184">
        <f>G80*H80*I80</f>
        <v>214</v>
      </c>
      <c r="K80" s="343">
        <f t="shared" si="43"/>
        <v>57.245000000000005</v>
      </c>
      <c r="L80" s="182">
        <f>'Program Budget'!N55</f>
        <v>4</v>
      </c>
      <c r="M80" s="183">
        <v>1</v>
      </c>
      <c r="N80" s="184">
        <f>K80*L80*M80</f>
        <v>228.98000000000002</v>
      </c>
      <c r="O80" s="343">
        <f t="shared" si="44"/>
        <v>61.252150000000007</v>
      </c>
      <c r="P80" s="182">
        <f>'Program Budget'!Q55</f>
        <v>4</v>
      </c>
      <c r="Q80" s="183">
        <v>1</v>
      </c>
      <c r="R80" s="184">
        <f>O80*P80*Q80</f>
        <v>245.00860000000003</v>
      </c>
      <c r="S80" s="343">
        <f t="shared" si="45"/>
        <v>65.539800500000013</v>
      </c>
      <c r="T80" s="182">
        <f>'Program Budget'!T55</f>
        <v>4</v>
      </c>
      <c r="U80" s="183">
        <v>1</v>
      </c>
      <c r="V80" s="184">
        <f>S80*T80*U80</f>
        <v>262.15920200000005</v>
      </c>
      <c r="W80" s="338">
        <f>F80+J80+N80+R80+V80</f>
        <v>1150.147802</v>
      </c>
    </row>
    <row r="81" spans="1:23" ht="15" customHeight="1" outlineLevel="1">
      <c r="A81" s="179" t="str">
        <f>'Program Budget'!D59</f>
        <v>Lodging and M&amp;IE - Training, M&amp;E, &amp; Data Collection</v>
      </c>
      <c r="B81" s="180" t="str">
        <f>'Program Budget'!F59</f>
        <v>Day</v>
      </c>
      <c r="C81" s="343">
        <f>'Program Budget'!H59</f>
        <v>129</v>
      </c>
      <c r="D81" s="182">
        <f>'Program Budget'!G59</f>
        <v>144</v>
      </c>
      <c r="E81" s="183">
        <v>1</v>
      </c>
      <c r="F81" s="184">
        <f>C81*D81*E81</f>
        <v>18576</v>
      </c>
      <c r="G81" s="343">
        <f t="shared" si="42"/>
        <v>138.03</v>
      </c>
      <c r="H81" s="182">
        <f>'Program Budget'!K59</f>
        <v>144</v>
      </c>
      <c r="I81" s="183">
        <v>1</v>
      </c>
      <c r="J81" s="184">
        <f>G81*H81*I81</f>
        <v>19876.32</v>
      </c>
      <c r="K81" s="343">
        <f t="shared" si="43"/>
        <v>147.69210000000001</v>
      </c>
      <c r="L81" s="182">
        <f>'Program Budget'!N59</f>
        <v>144</v>
      </c>
      <c r="M81" s="183">
        <v>1</v>
      </c>
      <c r="N81" s="184">
        <f>K81*L81*M81</f>
        <v>21267.662400000001</v>
      </c>
      <c r="O81" s="343">
        <f t="shared" si="44"/>
        <v>158.03054700000001</v>
      </c>
      <c r="P81" s="182">
        <f>'Program Budget'!Q59</f>
        <v>144</v>
      </c>
      <c r="Q81" s="183">
        <v>1</v>
      </c>
      <c r="R81" s="184">
        <f>O81*P81*Q81</f>
        <v>22756.398768000003</v>
      </c>
      <c r="S81" s="343">
        <f t="shared" si="45"/>
        <v>169.09268529000002</v>
      </c>
      <c r="T81" s="182">
        <f>'Program Budget'!T59</f>
        <v>144</v>
      </c>
      <c r="U81" s="183">
        <v>1</v>
      </c>
      <c r="V81" s="184">
        <f>S81*T81*U81</f>
        <v>24349.346681760002</v>
      </c>
      <c r="W81" s="338">
        <f>F81+J81+N81+R81+V81</f>
        <v>106825.72784976001</v>
      </c>
    </row>
    <row r="82" spans="1:23" ht="15" customHeight="1" outlineLevel="1">
      <c r="A82" s="179" t="str">
        <f>'Program Budget'!D185</f>
        <v>Lodging and M&amp;IE for Staff for Communication Materials Development</v>
      </c>
      <c r="B82" s="180" t="str">
        <f>'Program Budget'!F185</f>
        <v>Day</v>
      </c>
      <c r="C82" s="343">
        <f>'Program Budget'!H185</f>
        <v>129</v>
      </c>
      <c r="D82" s="182">
        <f>'Program Budget'!G185</f>
        <v>9</v>
      </c>
      <c r="E82" s="183">
        <v>1</v>
      </c>
      <c r="F82" s="184">
        <f t="shared" ref="F82" si="106">C82*D82*E82</f>
        <v>1161</v>
      </c>
      <c r="G82" s="343">
        <f t="shared" si="42"/>
        <v>138.03</v>
      </c>
      <c r="H82" s="182">
        <f>'Program Budget'!K185</f>
        <v>9</v>
      </c>
      <c r="I82" s="183">
        <v>1</v>
      </c>
      <c r="J82" s="184">
        <f t="shared" ref="J82" si="107">G82*H82*I82</f>
        <v>1242.27</v>
      </c>
      <c r="K82" s="343">
        <f t="shared" si="43"/>
        <v>147.69210000000001</v>
      </c>
      <c r="L82" s="182">
        <f>'Program Budget'!N185</f>
        <v>0</v>
      </c>
      <c r="M82" s="183">
        <v>0</v>
      </c>
      <c r="N82" s="184">
        <f t="shared" ref="N82" si="108">K82*L82*M82</f>
        <v>0</v>
      </c>
      <c r="O82" s="343">
        <f t="shared" si="44"/>
        <v>158.03054700000001</v>
      </c>
      <c r="P82" s="182">
        <f>'Program Budget'!Q185</f>
        <v>0</v>
      </c>
      <c r="Q82" s="183">
        <v>0</v>
      </c>
      <c r="R82" s="184">
        <f t="shared" ref="R82" si="109">O82*P82*Q82</f>
        <v>0</v>
      </c>
      <c r="S82" s="343">
        <f t="shared" si="45"/>
        <v>169.09268529000002</v>
      </c>
      <c r="T82" s="182">
        <f>'Program Budget'!T185</f>
        <v>0</v>
      </c>
      <c r="U82" s="183">
        <v>0</v>
      </c>
      <c r="V82" s="184">
        <f t="shared" ref="V82" si="110">S82*T82*U82</f>
        <v>0</v>
      </c>
      <c r="W82" s="338">
        <f t="shared" ref="W82" si="111">F82+J82+N82+R82+V82</f>
        <v>2403.27</v>
      </c>
    </row>
    <row r="83" spans="1:23" ht="15" customHeight="1" outlineLevel="1">
      <c r="A83" s="179" t="str">
        <f>'Program Budget'!D187</f>
        <v>Lodging and M&amp;IE for Staff to Attend Local Agriculture Events</v>
      </c>
      <c r="B83" s="180" t="str">
        <f>'Program Budget'!F187</f>
        <v>Day</v>
      </c>
      <c r="C83" s="343">
        <f>'Program Budget'!H187</f>
        <v>129</v>
      </c>
      <c r="D83" s="182">
        <f>'Program Budget'!G187</f>
        <v>0</v>
      </c>
      <c r="E83" s="183">
        <v>0</v>
      </c>
      <c r="F83" s="184">
        <f t="shared" ref="F83:F84" si="112">C83*D83*E83</f>
        <v>0</v>
      </c>
      <c r="G83" s="343">
        <f t="shared" si="42"/>
        <v>138.03</v>
      </c>
      <c r="H83" s="182">
        <f>'Program Budget'!K187</f>
        <v>18</v>
      </c>
      <c r="I83" s="183">
        <v>1</v>
      </c>
      <c r="J83" s="184">
        <f t="shared" ref="J83:J84" si="113">G83*H83*I83</f>
        <v>2484.54</v>
      </c>
      <c r="K83" s="343">
        <f t="shared" si="43"/>
        <v>147.69210000000001</v>
      </c>
      <c r="L83" s="182">
        <f>'Program Budget'!N187</f>
        <v>18</v>
      </c>
      <c r="M83" s="183">
        <v>1</v>
      </c>
      <c r="N83" s="184">
        <f t="shared" ref="N83:N84" si="114">K83*L83*M83</f>
        <v>2658.4578000000001</v>
      </c>
      <c r="O83" s="343">
        <f t="shared" si="44"/>
        <v>158.03054700000001</v>
      </c>
      <c r="P83" s="182">
        <f>'Program Budget'!Q187</f>
        <v>18</v>
      </c>
      <c r="Q83" s="183">
        <v>1</v>
      </c>
      <c r="R83" s="184">
        <f t="shared" ref="R83:R84" si="115">O83*P83*Q83</f>
        <v>2844.5498460000003</v>
      </c>
      <c r="S83" s="343">
        <f t="shared" si="45"/>
        <v>169.09268529000002</v>
      </c>
      <c r="T83" s="182">
        <f>'Program Budget'!T187</f>
        <v>18</v>
      </c>
      <c r="U83" s="183">
        <v>1</v>
      </c>
      <c r="V83" s="184">
        <f t="shared" ref="V83:V84" si="116">S83*T83*U83</f>
        <v>3043.6683352200002</v>
      </c>
      <c r="W83" s="338">
        <f t="shared" ref="W83:W84" si="117">F83+J83+N83+R83+V83</f>
        <v>11031.215981220001</v>
      </c>
    </row>
    <row r="84" spans="1:23" ht="15" customHeight="1" outlineLevel="1">
      <c r="A84" s="179" t="str">
        <f>'Program Budget'!D189</f>
        <v>Lodging and M&amp;IE for Staff Leaders of Northern Tunisian Cooperatives to Attend Trainings</v>
      </c>
      <c r="B84" s="180" t="str">
        <f>'Program Budget'!F189</f>
        <v>Day</v>
      </c>
      <c r="C84" s="343">
        <f>'Program Budget'!H189</f>
        <v>129</v>
      </c>
      <c r="D84" s="182">
        <f>'Program Budget'!G189</f>
        <v>0</v>
      </c>
      <c r="E84" s="183">
        <v>0</v>
      </c>
      <c r="F84" s="184">
        <f t="shared" si="112"/>
        <v>0</v>
      </c>
      <c r="G84" s="343">
        <f t="shared" si="42"/>
        <v>138.03</v>
      </c>
      <c r="H84" s="182">
        <f>'Program Budget'!K189</f>
        <v>6</v>
      </c>
      <c r="I84" s="183">
        <v>1</v>
      </c>
      <c r="J84" s="184">
        <f t="shared" si="113"/>
        <v>828.18000000000006</v>
      </c>
      <c r="K84" s="343">
        <f t="shared" si="43"/>
        <v>147.69210000000001</v>
      </c>
      <c r="L84" s="182">
        <f>'Program Budget'!N189</f>
        <v>6</v>
      </c>
      <c r="M84" s="183">
        <v>1</v>
      </c>
      <c r="N84" s="184">
        <f t="shared" si="114"/>
        <v>886.15260000000012</v>
      </c>
      <c r="O84" s="343">
        <f t="shared" si="44"/>
        <v>158.03054700000001</v>
      </c>
      <c r="P84" s="182">
        <f>'Program Budget'!Q189</f>
        <v>0</v>
      </c>
      <c r="Q84" s="183">
        <v>0</v>
      </c>
      <c r="R84" s="184">
        <f t="shared" si="115"/>
        <v>0</v>
      </c>
      <c r="S84" s="343">
        <f t="shared" si="45"/>
        <v>169.09268529000002</v>
      </c>
      <c r="T84" s="182">
        <f>'Program Budget'!T189</f>
        <v>0</v>
      </c>
      <c r="U84" s="183">
        <v>0</v>
      </c>
      <c r="V84" s="184">
        <f t="shared" si="116"/>
        <v>0</v>
      </c>
      <c r="W84" s="338">
        <f t="shared" si="117"/>
        <v>1714.3326000000002</v>
      </c>
    </row>
    <row r="85" spans="1:23" ht="15" customHeight="1" outlineLevel="1">
      <c r="A85" s="179" t="str">
        <f>'Program Budget'!D258</f>
        <v>Lodging and M&amp;IE for Stakeholder Workshop</v>
      </c>
      <c r="B85" s="180" t="str">
        <f>'Program Budget'!F258</f>
        <v>Day</v>
      </c>
      <c r="C85" s="343">
        <f>'Program Budget'!H258</f>
        <v>129</v>
      </c>
      <c r="D85" s="182">
        <f>'Program Budget'!G258</f>
        <v>6</v>
      </c>
      <c r="E85" s="183">
        <v>1</v>
      </c>
      <c r="F85" s="184">
        <f t="shared" ref="F85" si="118">C85*D85*E85</f>
        <v>774</v>
      </c>
      <c r="G85" s="343">
        <f t="shared" si="42"/>
        <v>138.03</v>
      </c>
      <c r="H85" s="182">
        <f>'Program Budget'!K258</f>
        <v>0</v>
      </c>
      <c r="I85" s="183">
        <v>0</v>
      </c>
      <c r="J85" s="184">
        <f t="shared" ref="J85" si="119">G85*H85*I85</f>
        <v>0</v>
      </c>
      <c r="K85" s="343">
        <f t="shared" si="43"/>
        <v>147.69210000000001</v>
      </c>
      <c r="L85" s="182">
        <f>'Program Budget'!N258</f>
        <v>0</v>
      </c>
      <c r="M85" s="183">
        <v>0</v>
      </c>
      <c r="N85" s="184">
        <f t="shared" ref="N85" si="120">K85*L85*M85</f>
        <v>0</v>
      </c>
      <c r="O85" s="343">
        <f t="shared" si="44"/>
        <v>158.03054700000001</v>
      </c>
      <c r="P85" s="182">
        <f>'Program Budget'!Q258</f>
        <v>0</v>
      </c>
      <c r="Q85" s="183">
        <v>0</v>
      </c>
      <c r="R85" s="184">
        <f t="shared" ref="R85" si="121">O85*P85*Q85</f>
        <v>0</v>
      </c>
      <c r="S85" s="343">
        <f t="shared" si="45"/>
        <v>169.09268529000002</v>
      </c>
      <c r="T85" s="182">
        <f>'Program Budget'!T258</f>
        <v>0</v>
      </c>
      <c r="U85" s="183">
        <v>0</v>
      </c>
      <c r="V85" s="184">
        <f t="shared" ref="V85" si="122">S85*T85*U85</f>
        <v>0</v>
      </c>
      <c r="W85" s="338">
        <f t="shared" ref="W85" si="123">F85+J85+N85+R85+V85</f>
        <v>774</v>
      </c>
    </row>
    <row r="86" spans="1:23" ht="15" customHeight="1" outlineLevel="1">
      <c r="A86" s="179" t="str">
        <f>'Program Budget'!D260</f>
        <v>Lodging and M&amp;IE for Technical Package Design</v>
      </c>
      <c r="B86" s="180" t="str">
        <f>'Program Budget'!F260</f>
        <v>Day</v>
      </c>
      <c r="C86" s="343">
        <f>'Program Budget'!H260</f>
        <v>129</v>
      </c>
      <c r="D86" s="182">
        <f>'Program Budget'!G260</f>
        <v>16</v>
      </c>
      <c r="E86" s="183">
        <v>1</v>
      </c>
      <c r="F86" s="184">
        <f t="shared" ref="F86" si="124">C86*D86*E86</f>
        <v>2064</v>
      </c>
      <c r="G86" s="343">
        <f t="shared" si="42"/>
        <v>138.03</v>
      </c>
      <c r="H86" s="182">
        <f>'Program Budget'!K260</f>
        <v>0</v>
      </c>
      <c r="I86" s="183">
        <v>0</v>
      </c>
      <c r="J86" s="184">
        <f t="shared" ref="J86" si="125">G86*H86*I86</f>
        <v>0</v>
      </c>
      <c r="K86" s="343">
        <f t="shared" si="43"/>
        <v>147.69210000000001</v>
      </c>
      <c r="L86" s="182">
        <f>'Program Budget'!N260</f>
        <v>0</v>
      </c>
      <c r="M86" s="183">
        <v>0</v>
      </c>
      <c r="N86" s="184">
        <f t="shared" ref="N86" si="126">K86*L86*M86</f>
        <v>0</v>
      </c>
      <c r="O86" s="343">
        <f t="shared" si="44"/>
        <v>158.03054700000001</v>
      </c>
      <c r="P86" s="182">
        <f>'Program Budget'!Q260</f>
        <v>0</v>
      </c>
      <c r="Q86" s="183">
        <v>0</v>
      </c>
      <c r="R86" s="184">
        <f t="shared" ref="R86" si="127">O86*P86*Q86</f>
        <v>0</v>
      </c>
      <c r="S86" s="343">
        <f t="shared" si="45"/>
        <v>169.09268529000002</v>
      </c>
      <c r="T86" s="182">
        <f>'Program Budget'!T260</f>
        <v>0</v>
      </c>
      <c r="U86" s="183">
        <v>0</v>
      </c>
      <c r="V86" s="184">
        <f t="shared" ref="V86" si="128">S86*T86*U86</f>
        <v>0</v>
      </c>
      <c r="W86" s="338">
        <f t="shared" ref="W86" si="129">F86+J86+N86+R86+V86</f>
        <v>2064</v>
      </c>
    </row>
    <row r="87" spans="1:23" ht="15" customHeight="1" outlineLevel="1">
      <c r="A87" s="179" t="str">
        <f>'Program Budget'!D336</f>
        <v>Lodging and M&amp;IE  for US Consultant to Provide Technical Assistance on Farmer Certification</v>
      </c>
      <c r="B87" s="180" t="str">
        <f>'Program Budget'!F336</f>
        <v>Day</v>
      </c>
      <c r="C87" s="343">
        <f>'Program Budget'!H336</f>
        <v>212</v>
      </c>
      <c r="D87" s="182">
        <f>'Program Budget'!G336</f>
        <v>0</v>
      </c>
      <c r="E87" s="183">
        <v>0</v>
      </c>
      <c r="F87" s="184">
        <f t="shared" ref="F87" si="130">C87*D87*E87</f>
        <v>0</v>
      </c>
      <c r="G87" s="343">
        <f t="shared" si="42"/>
        <v>226.84</v>
      </c>
      <c r="H87" s="182">
        <f>'Program Budget'!K336</f>
        <v>0</v>
      </c>
      <c r="I87" s="183">
        <v>0</v>
      </c>
      <c r="J87" s="184">
        <f t="shared" ref="J87" si="131">G87*H87*I87</f>
        <v>0</v>
      </c>
      <c r="K87" s="343">
        <f t="shared" si="43"/>
        <v>242.71880000000002</v>
      </c>
      <c r="L87" s="182">
        <f>'Program Budget'!N336</f>
        <v>15</v>
      </c>
      <c r="M87" s="183">
        <v>1</v>
      </c>
      <c r="N87" s="184">
        <f t="shared" ref="N87" si="132">K87*L87*M87</f>
        <v>3640.7820000000002</v>
      </c>
      <c r="O87" s="343">
        <f t="shared" si="44"/>
        <v>259.70911600000005</v>
      </c>
      <c r="P87" s="182">
        <f>'Program Budget'!Q336</f>
        <v>0</v>
      </c>
      <c r="Q87" s="183">
        <v>0</v>
      </c>
      <c r="R87" s="184">
        <f t="shared" ref="R87" si="133">O87*P87*Q87</f>
        <v>0</v>
      </c>
      <c r="S87" s="343">
        <f t="shared" si="45"/>
        <v>277.88875412000004</v>
      </c>
      <c r="T87" s="182">
        <f>'Program Budget'!T336</f>
        <v>0</v>
      </c>
      <c r="U87" s="183">
        <v>0</v>
      </c>
      <c r="V87" s="184">
        <f t="shared" ref="V87" si="134">S87*T87*U87</f>
        <v>0</v>
      </c>
      <c r="W87" s="338">
        <f t="shared" ref="W87" si="135">F87+J87+N87+R87+V87</f>
        <v>3640.7820000000002</v>
      </c>
    </row>
    <row r="88" spans="1:23" ht="15" customHeight="1" outlineLevel="1">
      <c r="A88" s="179" t="str">
        <f>'Program Budget'!D341</f>
        <v>Lodging and M&amp;IE for Two-Way Trade Travel (Tunisia to US)</v>
      </c>
      <c r="B88" s="180" t="str">
        <f>'Program Budget'!F341</f>
        <v>Day</v>
      </c>
      <c r="C88" s="343">
        <f>'Program Budget'!H341</f>
        <v>219</v>
      </c>
      <c r="D88" s="182">
        <f>'Program Budget'!G341</f>
        <v>0</v>
      </c>
      <c r="E88" s="183">
        <v>0</v>
      </c>
      <c r="F88" s="184">
        <f t="shared" ref="F88:F91" si="136">C88*D88*E88</f>
        <v>0</v>
      </c>
      <c r="G88" s="343">
        <f t="shared" si="42"/>
        <v>234.33</v>
      </c>
      <c r="H88" s="182">
        <f>'Program Budget'!K341</f>
        <v>0</v>
      </c>
      <c r="I88" s="183">
        <v>0</v>
      </c>
      <c r="J88" s="184">
        <f t="shared" ref="J88:J91" si="137">G88*H88*I88</f>
        <v>0</v>
      </c>
      <c r="K88" s="343">
        <f t="shared" si="43"/>
        <v>250.73310000000004</v>
      </c>
      <c r="L88" s="182">
        <f>'Program Budget'!N341</f>
        <v>70</v>
      </c>
      <c r="M88" s="183">
        <v>1</v>
      </c>
      <c r="N88" s="184">
        <f t="shared" ref="N88:N91" si="138">K88*L88*M88</f>
        <v>17551.317000000003</v>
      </c>
      <c r="O88" s="343">
        <f t="shared" si="44"/>
        <v>268.28441700000008</v>
      </c>
      <c r="P88" s="182">
        <f>'Program Budget'!Q341</f>
        <v>0</v>
      </c>
      <c r="Q88" s="183">
        <v>0</v>
      </c>
      <c r="R88" s="184">
        <f t="shared" ref="R88:R91" si="139">O88*P88*Q88</f>
        <v>0</v>
      </c>
      <c r="S88" s="343">
        <f t="shared" si="45"/>
        <v>287.06432619000009</v>
      </c>
      <c r="T88" s="182">
        <f>'Program Budget'!T341</f>
        <v>0</v>
      </c>
      <c r="U88" s="183">
        <v>0</v>
      </c>
      <c r="V88" s="184">
        <f t="shared" ref="V88:V91" si="140">S88*T88*U88</f>
        <v>0</v>
      </c>
      <c r="W88" s="338">
        <f t="shared" ref="W88:W91" si="141">F88+J88+N88+R88+V88</f>
        <v>17551.317000000003</v>
      </c>
    </row>
    <row r="89" spans="1:23" ht="15" customHeight="1" outlineLevel="1">
      <c r="A89" s="179" t="str">
        <f>'Program Budget'!D342</f>
        <v>Lodging and M&amp;IE for Two-Way Trade (US to Tunisia)</v>
      </c>
      <c r="B89" s="180" t="str">
        <f>'Program Budget'!F342</f>
        <v>Day</v>
      </c>
      <c r="C89" s="343">
        <f>'Program Budget'!H342</f>
        <v>212</v>
      </c>
      <c r="D89" s="182">
        <f>'Program Budget'!G342</f>
        <v>0</v>
      </c>
      <c r="E89" s="183">
        <v>0</v>
      </c>
      <c r="F89" s="184">
        <f t="shared" si="136"/>
        <v>0</v>
      </c>
      <c r="G89" s="343">
        <f t="shared" si="42"/>
        <v>226.84</v>
      </c>
      <c r="H89" s="182">
        <f>'Program Budget'!K342</f>
        <v>0</v>
      </c>
      <c r="I89" s="183">
        <v>0</v>
      </c>
      <c r="J89" s="184">
        <f t="shared" si="137"/>
        <v>0</v>
      </c>
      <c r="K89" s="343">
        <f t="shared" si="43"/>
        <v>242.71880000000002</v>
      </c>
      <c r="L89" s="182">
        <f>'Program Budget'!N342</f>
        <v>70</v>
      </c>
      <c r="M89" s="183">
        <v>1</v>
      </c>
      <c r="N89" s="184">
        <f t="shared" si="138"/>
        <v>16990.316000000003</v>
      </c>
      <c r="O89" s="343">
        <f t="shared" si="44"/>
        <v>259.70911600000005</v>
      </c>
      <c r="P89" s="182">
        <f>'Program Budget'!Q342</f>
        <v>0</v>
      </c>
      <c r="Q89" s="183">
        <v>0</v>
      </c>
      <c r="R89" s="184">
        <f t="shared" si="139"/>
        <v>0</v>
      </c>
      <c r="S89" s="343">
        <f t="shared" si="45"/>
        <v>277.88875412000004</v>
      </c>
      <c r="T89" s="182">
        <f>'Program Budget'!T342</f>
        <v>0</v>
      </c>
      <c r="U89" s="183">
        <v>0</v>
      </c>
      <c r="V89" s="184">
        <f t="shared" si="140"/>
        <v>0</v>
      </c>
      <c r="W89" s="338">
        <f t="shared" si="141"/>
        <v>16990.316000000003</v>
      </c>
    </row>
    <row r="90" spans="1:23" ht="15" customHeight="1" outlineLevel="1">
      <c r="A90" s="179" t="str">
        <f>'Program Budget'!D346</f>
        <v>Lodging and M&amp;IE for International Food Shows (Dubai)</v>
      </c>
      <c r="B90" s="180" t="str">
        <f>'Program Budget'!F346</f>
        <v>Day</v>
      </c>
      <c r="C90" s="343">
        <f>'Program Budget'!H346</f>
        <v>236</v>
      </c>
      <c r="D90" s="182">
        <f>'Program Budget'!G346</f>
        <v>0</v>
      </c>
      <c r="E90" s="183">
        <v>0</v>
      </c>
      <c r="F90" s="184">
        <f t="shared" si="136"/>
        <v>0</v>
      </c>
      <c r="G90" s="343">
        <f t="shared" si="42"/>
        <v>252.52</v>
      </c>
      <c r="H90" s="182">
        <f>'Program Budget'!K346</f>
        <v>35</v>
      </c>
      <c r="I90" s="183">
        <v>1</v>
      </c>
      <c r="J90" s="184">
        <f t="shared" si="137"/>
        <v>8838.2000000000007</v>
      </c>
      <c r="K90" s="343">
        <f t="shared" si="43"/>
        <v>270.19640000000004</v>
      </c>
      <c r="L90" s="182">
        <f>'Program Budget'!N346</f>
        <v>35</v>
      </c>
      <c r="M90" s="183">
        <v>1</v>
      </c>
      <c r="N90" s="184">
        <f t="shared" si="138"/>
        <v>9456.8740000000016</v>
      </c>
      <c r="O90" s="343">
        <f t="shared" si="44"/>
        <v>289.11014800000004</v>
      </c>
      <c r="P90" s="182">
        <f>'Program Budget'!Q346</f>
        <v>0</v>
      </c>
      <c r="Q90" s="183">
        <v>0</v>
      </c>
      <c r="R90" s="184">
        <f t="shared" si="139"/>
        <v>0</v>
      </c>
      <c r="S90" s="343">
        <f t="shared" si="45"/>
        <v>309.34785836000003</v>
      </c>
      <c r="T90" s="182">
        <f>'Program Budget'!T346</f>
        <v>0</v>
      </c>
      <c r="U90" s="183">
        <v>0</v>
      </c>
      <c r="V90" s="184">
        <f t="shared" si="140"/>
        <v>0</v>
      </c>
      <c r="W90" s="338">
        <f t="shared" si="141"/>
        <v>18295.074000000001</v>
      </c>
    </row>
    <row r="91" spans="1:23" ht="15" customHeight="1" outlineLevel="1">
      <c r="A91" s="179" t="str">
        <f>'Program Budget'!D347</f>
        <v>Lodging and M&amp;IE for International Food Shows (USA)</v>
      </c>
      <c r="B91" s="180" t="str">
        <f>'Program Budget'!F347</f>
        <v>Day</v>
      </c>
      <c r="C91" s="343">
        <f>'Program Budget'!H347</f>
        <v>321</v>
      </c>
      <c r="D91" s="182">
        <f>'Program Budget'!G347</f>
        <v>0</v>
      </c>
      <c r="E91" s="183">
        <v>0</v>
      </c>
      <c r="F91" s="184">
        <f t="shared" si="136"/>
        <v>0</v>
      </c>
      <c r="G91" s="343">
        <f t="shared" si="42"/>
        <v>343.47</v>
      </c>
      <c r="H91" s="182">
        <f>'Program Budget'!K347</f>
        <v>0</v>
      </c>
      <c r="I91" s="183">
        <v>0</v>
      </c>
      <c r="J91" s="184">
        <f t="shared" si="137"/>
        <v>0</v>
      </c>
      <c r="K91" s="343">
        <f t="shared" si="43"/>
        <v>367.51290000000006</v>
      </c>
      <c r="L91" s="182">
        <f>'Program Budget'!N347</f>
        <v>35</v>
      </c>
      <c r="M91" s="183">
        <v>1</v>
      </c>
      <c r="N91" s="184">
        <f t="shared" si="138"/>
        <v>12862.951500000003</v>
      </c>
      <c r="O91" s="343">
        <f t="shared" si="44"/>
        <v>393.23880300000008</v>
      </c>
      <c r="P91" s="182">
        <f>'Program Budget'!Q347</f>
        <v>35</v>
      </c>
      <c r="Q91" s="183">
        <v>1</v>
      </c>
      <c r="R91" s="184">
        <f t="shared" si="139"/>
        <v>13763.358105000003</v>
      </c>
      <c r="S91" s="343">
        <f t="shared" si="45"/>
        <v>420.76551921000009</v>
      </c>
      <c r="T91" s="182">
        <f>'Program Budget'!T347</f>
        <v>0</v>
      </c>
      <c r="U91" s="183">
        <v>0</v>
      </c>
      <c r="V91" s="184">
        <f t="shared" si="140"/>
        <v>0</v>
      </c>
      <c r="W91" s="338">
        <f t="shared" si="141"/>
        <v>26626.309605000006</v>
      </c>
    </row>
    <row r="92" spans="1:23" ht="15.6" outlineLevel="1">
      <c r="A92" s="442"/>
      <c r="B92" s="202"/>
      <c r="F92" s="184"/>
      <c r="J92" s="184"/>
      <c r="N92" s="184"/>
      <c r="R92" s="184"/>
      <c r="V92" s="184"/>
      <c r="W92" s="186"/>
    </row>
    <row r="93" spans="1:23" ht="18.3">
      <c r="A93" s="443" t="s">
        <v>97</v>
      </c>
      <c r="B93" s="213"/>
      <c r="C93" s="346"/>
      <c r="D93" s="248"/>
      <c r="E93" s="249"/>
      <c r="F93" s="217">
        <f>SUM(F50:F92)</f>
        <v>65923</v>
      </c>
      <c r="G93" s="346"/>
      <c r="H93" s="248"/>
      <c r="I93" s="218"/>
      <c r="J93" s="217">
        <f>SUM(J50:J92)</f>
        <v>106459.64999999998</v>
      </c>
      <c r="K93" s="346"/>
      <c r="L93" s="248"/>
      <c r="M93" s="249"/>
      <c r="N93" s="217">
        <f>SUM(N50:N92)</f>
        <v>191881.80530000004</v>
      </c>
      <c r="O93" s="346"/>
      <c r="P93" s="248"/>
      <c r="Q93" s="218"/>
      <c r="R93" s="217">
        <f>SUM(R50:R92)</f>
        <v>109806.729305</v>
      </c>
      <c r="S93" s="346"/>
      <c r="T93" s="248"/>
      <c r="U93" s="218"/>
      <c r="V93" s="217">
        <f>SUM(V50:V92)</f>
        <v>85786.35567046002</v>
      </c>
      <c r="W93" s="217">
        <f>SUM(W50:W92)</f>
        <v>559857.54027545999</v>
      </c>
    </row>
    <row r="94" spans="1:23" ht="15.6" outlineLevel="1">
      <c r="A94" s="435" t="s">
        <v>49</v>
      </c>
      <c r="B94" s="250"/>
      <c r="D94" s="251"/>
      <c r="E94" s="252"/>
      <c r="F94" s="234"/>
      <c r="H94" s="251"/>
      <c r="I94" s="253"/>
      <c r="J94" s="207"/>
      <c r="L94" s="251"/>
      <c r="M94" s="252"/>
      <c r="N94" s="207"/>
      <c r="P94" s="251"/>
      <c r="Q94" s="253"/>
      <c r="R94" s="207"/>
      <c r="T94" s="251"/>
      <c r="U94" s="253"/>
      <c r="V94" s="207"/>
      <c r="W94" s="186"/>
    </row>
    <row r="95" spans="1:23" ht="15.6" outlineLevel="1">
      <c r="A95" s="444" t="str">
        <f>'Program Budget'!D63</f>
        <v>Monetization Agent Fee</v>
      </c>
      <c r="B95" s="180" t="str">
        <f>'Program Budget'!F63</f>
        <v>%</v>
      </c>
      <c r="C95" s="343">
        <f>15157714</f>
        <v>15157714</v>
      </c>
      <c r="D95" s="182">
        <f>'Program Budget'!G63</f>
        <v>1</v>
      </c>
      <c r="E95" s="183">
        <v>1.67E-2</v>
      </c>
      <c r="F95" s="184">
        <f>C95*D95*E95</f>
        <v>253133.82379999998</v>
      </c>
      <c r="G95" s="343">
        <v>0</v>
      </c>
      <c r="H95" s="182">
        <v>0</v>
      </c>
      <c r="I95" s="183">
        <v>0</v>
      </c>
      <c r="J95" s="184">
        <f>G95*H95*I95</f>
        <v>0</v>
      </c>
      <c r="K95" s="343">
        <f>G95</f>
        <v>0</v>
      </c>
      <c r="L95" s="182">
        <f>'Program Budget'!N63</f>
        <v>0</v>
      </c>
      <c r="M95" s="183">
        <v>0</v>
      </c>
      <c r="N95" s="184">
        <f>K95*L95*M95</f>
        <v>0</v>
      </c>
      <c r="O95" s="343">
        <f>K95</f>
        <v>0</v>
      </c>
      <c r="P95" s="182">
        <f>'Program Budget'!Q674</f>
        <v>0</v>
      </c>
      <c r="Q95" s="183">
        <v>0</v>
      </c>
      <c r="R95" s="184">
        <f>O95*P95*Q95</f>
        <v>0</v>
      </c>
      <c r="S95" s="343">
        <f>O95</f>
        <v>0</v>
      </c>
      <c r="T95" s="182">
        <f>'Program Budget'!T63</f>
        <v>0</v>
      </c>
      <c r="U95" s="183">
        <v>0</v>
      </c>
      <c r="V95" s="184">
        <f>S95*T95*U95</f>
        <v>0</v>
      </c>
      <c r="W95" s="320">
        <f>F95+J95+N95+R95+V95</f>
        <v>253133.82379999998</v>
      </c>
    </row>
    <row r="96" spans="1:23" ht="15.6" outlineLevel="1">
      <c r="A96" s="444" t="str">
        <f>'Program Budget'!D64</f>
        <v>Monetization Impact Assessment</v>
      </c>
      <c r="B96" s="180" t="str">
        <f>'Program Budget'!F64</f>
        <v>Unit</v>
      </c>
      <c r="C96" s="343">
        <f>'Program Budget'!H64</f>
        <v>60000</v>
      </c>
      <c r="D96" s="182">
        <f>'Program Budget'!G64</f>
        <v>0</v>
      </c>
      <c r="E96" s="183">
        <v>0</v>
      </c>
      <c r="F96" s="184">
        <f t="shared" ref="F96" si="142">C96*D96*E96</f>
        <v>0</v>
      </c>
      <c r="G96" s="343">
        <f t="shared" ref="G96" si="143">C96</f>
        <v>60000</v>
      </c>
      <c r="H96" s="182">
        <f>'Program Budget'!K64</f>
        <v>1</v>
      </c>
      <c r="I96" s="183">
        <v>1</v>
      </c>
      <c r="J96" s="184">
        <f t="shared" ref="J96" si="144">G96*H96*I96</f>
        <v>60000</v>
      </c>
      <c r="K96" s="343">
        <f t="shared" ref="K96" si="145">G96</f>
        <v>60000</v>
      </c>
      <c r="L96" s="182">
        <f>'Program Budget'!N64</f>
        <v>0</v>
      </c>
      <c r="M96" s="183">
        <v>0</v>
      </c>
      <c r="N96" s="184">
        <f t="shared" ref="N96" si="146">K96*L96*M96</f>
        <v>0</v>
      </c>
      <c r="O96" s="343">
        <f t="shared" ref="O96" si="147">K96</f>
        <v>60000</v>
      </c>
      <c r="P96" s="182">
        <f>'Program Budget'!Q64</f>
        <v>0</v>
      </c>
      <c r="Q96" s="183">
        <v>0</v>
      </c>
      <c r="R96" s="184">
        <f t="shared" ref="R96" si="148">O96*P96*Q96</f>
        <v>0</v>
      </c>
      <c r="S96" s="343">
        <f t="shared" ref="S96" si="149">O96</f>
        <v>60000</v>
      </c>
      <c r="T96" s="182">
        <f>'Program Budget'!T64</f>
        <v>0</v>
      </c>
      <c r="U96" s="183">
        <v>0</v>
      </c>
      <c r="V96" s="184">
        <f t="shared" ref="V96" si="150">S96*T96*U96</f>
        <v>0</v>
      </c>
      <c r="W96" s="320">
        <f t="shared" ref="W96" si="151">F96+J96+N96+R96+V96</f>
        <v>60000</v>
      </c>
    </row>
    <row r="97" spans="1:23" ht="15.6" outlineLevel="1">
      <c r="A97" s="444" t="str">
        <f>'Program Budget'!D65</f>
        <v xml:space="preserve">Local Program Audit Costs </v>
      </c>
      <c r="B97" s="180" t="str">
        <f>'Program Budget'!F65</f>
        <v>Year</v>
      </c>
      <c r="C97" s="343">
        <f>'Program Budget'!H65</f>
        <v>1500</v>
      </c>
      <c r="D97" s="182">
        <f>'Program Budget'!G65</f>
        <v>1</v>
      </c>
      <c r="E97" s="183">
        <v>1</v>
      </c>
      <c r="F97" s="184">
        <f t="shared" ref="F97:F101" si="152">C97*D97*E97</f>
        <v>1500</v>
      </c>
      <c r="G97" s="343">
        <f t="shared" ref="G97:G101" si="153">C97</f>
        <v>1500</v>
      </c>
      <c r="H97" s="182">
        <f>'Program Budget'!K65</f>
        <v>1</v>
      </c>
      <c r="I97" s="183">
        <v>1</v>
      </c>
      <c r="J97" s="184">
        <f t="shared" ref="J97:J101" si="154">G97*H97*I97</f>
        <v>1500</v>
      </c>
      <c r="K97" s="343">
        <f t="shared" ref="K97:K101" si="155">G97</f>
        <v>1500</v>
      </c>
      <c r="L97" s="182">
        <f>'Program Budget'!N65</f>
        <v>1</v>
      </c>
      <c r="M97" s="183">
        <v>1</v>
      </c>
      <c r="N97" s="184">
        <f t="shared" ref="N97:N101" si="156">K97*L97*M97</f>
        <v>1500</v>
      </c>
      <c r="O97" s="343">
        <f t="shared" ref="O97:O101" si="157">K97</f>
        <v>1500</v>
      </c>
      <c r="P97" s="182">
        <f>'Program Budget'!Q65</f>
        <v>1</v>
      </c>
      <c r="Q97" s="183">
        <v>1</v>
      </c>
      <c r="R97" s="184">
        <f t="shared" ref="R97:R101" si="158">O97*P97*Q97</f>
        <v>1500</v>
      </c>
      <c r="S97" s="343">
        <f t="shared" ref="S97:S101" si="159">O97</f>
        <v>1500</v>
      </c>
      <c r="T97" s="182">
        <f>'Program Budget'!T65</f>
        <v>1</v>
      </c>
      <c r="U97" s="183">
        <v>1</v>
      </c>
      <c r="V97" s="184">
        <f t="shared" ref="V97:V101" si="160">S97*T97*U97</f>
        <v>1500</v>
      </c>
      <c r="W97" s="320">
        <f t="shared" ref="W97:W101" si="161">F97+J97+N97+R97+V97</f>
        <v>7500</v>
      </c>
    </row>
    <row r="98" spans="1:23" ht="15.6" outlineLevel="1">
      <c r="A98" s="444" t="str">
        <f>'Program Budget'!D66</f>
        <v>Legal &amp; Registration Fees</v>
      </c>
      <c r="B98" s="180" t="str">
        <f>'Program Budget'!F66</f>
        <v>Year</v>
      </c>
      <c r="C98" s="343">
        <f>'Program Budget'!H66</f>
        <v>4500</v>
      </c>
      <c r="D98" s="182">
        <f>'Program Budget'!G66</f>
        <v>1</v>
      </c>
      <c r="E98" s="183">
        <v>1</v>
      </c>
      <c r="F98" s="184">
        <f t="shared" si="152"/>
        <v>4500</v>
      </c>
      <c r="G98" s="343">
        <f t="shared" si="153"/>
        <v>4500</v>
      </c>
      <c r="H98" s="182">
        <f>'Program Budget'!K66</f>
        <v>1</v>
      </c>
      <c r="I98" s="183">
        <v>1</v>
      </c>
      <c r="J98" s="184">
        <f t="shared" si="154"/>
        <v>4500</v>
      </c>
      <c r="K98" s="343">
        <f t="shared" si="155"/>
        <v>4500</v>
      </c>
      <c r="L98" s="182">
        <f>'Program Budget'!N66</f>
        <v>1</v>
      </c>
      <c r="M98" s="183">
        <v>1</v>
      </c>
      <c r="N98" s="184">
        <f t="shared" si="156"/>
        <v>4500</v>
      </c>
      <c r="O98" s="343">
        <f t="shared" si="157"/>
        <v>4500</v>
      </c>
      <c r="P98" s="182">
        <f>'Program Budget'!Q66</f>
        <v>1</v>
      </c>
      <c r="Q98" s="183">
        <v>1</v>
      </c>
      <c r="R98" s="184">
        <f t="shared" si="158"/>
        <v>4500</v>
      </c>
      <c r="S98" s="343">
        <f t="shared" si="159"/>
        <v>4500</v>
      </c>
      <c r="T98" s="182">
        <f>'Program Budget'!T66</f>
        <v>1</v>
      </c>
      <c r="U98" s="183">
        <v>1</v>
      </c>
      <c r="V98" s="184">
        <f t="shared" si="160"/>
        <v>4500</v>
      </c>
      <c r="W98" s="320">
        <f t="shared" si="161"/>
        <v>22500</v>
      </c>
    </row>
    <row r="99" spans="1:23" ht="15.6" outlineLevel="1">
      <c r="A99" s="444" t="str">
        <f>'Program Budget'!D67</f>
        <v>Security Services, Risk Assessments, &amp; Security Assessment</v>
      </c>
      <c r="B99" s="180" t="str">
        <f>'Program Budget'!F67</f>
        <v>Year</v>
      </c>
      <c r="C99" s="343">
        <f>'Program Budget'!H67+'Program Budget'!H173+'Program Budget'!H247+'Program Budget'!H321</f>
        <v>15500</v>
      </c>
      <c r="D99" s="182">
        <f>'Program Budget'!G67</f>
        <v>1</v>
      </c>
      <c r="E99" s="183">
        <v>1</v>
      </c>
      <c r="F99" s="184">
        <f t="shared" si="152"/>
        <v>15500</v>
      </c>
      <c r="G99" s="343">
        <f t="shared" si="153"/>
        <v>15500</v>
      </c>
      <c r="H99" s="182">
        <f>'Program Budget'!K67</f>
        <v>1</v>
      </c>
      <c r="I99" s="183">
        <v>1</v>
      </c>
      <c r="J99" s="184">
        <f t="shared" si="154"/>
        <v>15500</v>
      </c>
      <c r="K99" s="343">
        <f t="shared" si="155"/>
        <v>15500</v>
      </c>
      <c r="L99" s="182">
        <f>'Program Budget'!N67</f>
        <v>1</v>
      </c>
      <c r="M99" s="183">
        <v>1</v>
      </c>
      <c r="N99" s="184">
        <f t="shared" si="156"/>
        <v>15500</v>
      </c>
      <c r="O99" s="343">
        <f t="shared" si="157"/>
        <v>15500</v>
      </c>
      <c r="P99" s="182">
        <f>'Program Budget'!Q67</f>
        <v>1</v>
      </c>
      <c r="Q99" s="183">
        <v>1</v>
      </c>
      <c r="R99" s="184">
        <f t="shared" si="158"/>
        <v>15500</v>
      </c>
      <c r="S99" s="343">
        <f t="shared" si="159"/>
        <v>15500</v>
      </c>
      <c r="T99" s="182">
        <f>'Program Budget'!T67</f>
        <v>1</v>
      </c>
      <c r="U99" s="183">
        <v>1</v>
      </c>
      <c r="V99" s="184">
        <f t="shared" si="160"/>
        <v>15500</v>
      </c>
      <c r="W99" s="320">
        <f t="shared" si="161"/>
        <v>77500</v>
      </c>
    </row>
    <row r="100" spans="1:23" ht="15.6" outlineLevel="1">
      <c r="A100" s="444" t="str">
        <f>'Program Budget'!D68</f>
        <v>Short-Term Technical Advisors</v>
      </c>
      <c r="B100" s="180" t="str">
        <f>'Program Budget'!F68</f>
        <v>Month</v>
      </c>
      <c r="C100" s="343">
        <f>'Program Budget'!H68</f>
        <v>3500</v>
      </c>
      <c r="D100" s="182">
        <f>'Program Budget'!G68</f>
        <v>9</v>
      </c>
      <c r="E100" s="183">
        <v>1</v>
      </c>
      <c r="F100" s="184">
        <f t="shared" si="152"/>
        <v>31500</v>
      </c>
      <c r="G100" s="343">
        <f t="shared" si="153"/>
        <v>3500</v>
      </c>
      <c r="H100" s="182">
        <f>'Program Budget'!K68</f>
        <v>12</v>
      </c>
      <c r="I100" s="183">
        <v>1</v>
      </c>
      <c r="J100" s="184">
        <f t="shared" si="154"/>
        <v>42000</v>
      </c>
      <c r="K100" s="343">
        <f t="shared" si="155"/>
        <v>3500</v>
      </c>
      <c r="L100" s="182">
        <f>'Program Budget'!N68</f>
        <v>12</v>
      </c>
      <c r="M100" s="183">
        <v>1</v>
      </c>
      <c r="N100" s="184">
        <f t="shared" si="156"/>
        <v>42000</v>
      </c>
      <c r="O100" s="343">
        <f t="shared" si="157"/>
        <v>3500</v>
      </c>
      <c r="P100" s="182">
        <f>'Program Budget'!Q68</f>
        <v>12</v>
      </c>
      <c r="Q100" s="183">
        <v>1</v>
      </c>
      <c r="R100" s="184">
        <f t="shared" si="158"/>
        <v>42000</v>
      </c>
      <c r="S100" s="343">
        <f t="shared" si="159"/>
        <v>3500</v>
      </c>
      <c r="T100" s="182">
        <f>'Program Budget'!T68</f>
        <v>9</v>
      </c>
      <c r="U100" s="183">
        <v>1</v>
      </c>
      <c r="V100" s="184">
        <f t="shared" si="160"/>
        <v>31500</v>
      </c>
      <c r="W100" s="320">
        <f t="shared" si="161"/>
        <v>189000</v>
      </c>
    </row>
    <row r="101" spans="1:23" ht="15.6" outlineLevel="1">
      <c r="A101" s="444" t="str">
        <f>'Program Budget'!D69</f>
        <v>Start-up Consultant</v>
      </c>
      <c r="B101" s="180" t="str">
        <f>'Program Budget'!F69</f>
        <v>Day</v>
      </c>
      <c r="C101" s="343">
        <f>'Program Budget'!H69</f>
        <v>520</v>
      </c>
      <c r="D101" s="182">
        <f>'Program Budget'!G69</f>
        <v>50</v>
      </c>
      <c r="E101" s="183">
        <v>1</v>
      </c>
      <c r="F101" s="184">
        <f t="shared" si="152"/>
        <v>26000</v>
      </c>
      <c r="G101" s="343">
        <f t="shared" si="153"/>
        <v>520</v>
      </c>
      <c r="H101" s="182">
        <f>'Program Budget'!K69</f>
        <v>0</v>
      </c>
      <c r="I101" s="183">
        <v>0</v>
      </c>
      <c r="J101" s="184">
        <f t="shared" si="154"/>
        <v>0</v>
      </c>
      <c r="K101" s="343">
        <f t="shared" si="155"/>
        <v>520</v>
      </c>
      <c r="L101" s="182">
        <f>'Program Budget'!N69</f>
        <v>0</v>
      </c>
      <c r="M101" s="183">
        <v>0</v>
      </c>
      <c r="N101" s="184">
        <f t="shared" si="156"/>
        <v>0</v>
      </c>
      <c r="O101" s="343">
        <f t="shared" si="157"/>
        <v>520</v>
      </c>
      <c r="P101" s="182">
        <f>'Program Budget'!Q69</f>
        <v>0</v>
      </c>
      <c r="Q101" s="183">
        <v>0</v>
      </c>
      <c r="R101" s="184">
        <f t="shared" si="158"/>
        <v>0</v>
      </c>
      <c r="S101" s="343">
        <f t="shared" si="159"/>
        <v>520</v>
      </c>
      <c r="T101" s="182">
        <f>'Program Budget'!T69</f>
        <v>0</v>
      </c>
      <c r="U101" s="183">
        <v>0</v>
      </c>
      <c r="V101" s="184">
        <f t="shared" si="160"/>
        <v>0</v>
      </c>
      <c r="W101" s="320">
        <f t="shared" si="161"/>
        <v>26000</v>
      </c>
    </row>
    <row r="102" spans="1:23" ht="15.6" outlineLevel="1">
      <c r="A102" s="444" t="str">
        <f>'Program Budget'!D168</f>
        <v>Contract for Development of Materials for Communications Campaign (includes budget for videos, social media reels, etc.)</v>
      </c>
      <c r="B102" s="180" t="str">
        <f>'Program Budget'!F168</f>
        <v>Year</v>
      </c>
      <c r="C102" s="343">
        <f>'Program Budget'!H168</f>
        <v>100000</v>
      </c>
      <c r="D102" s="182">
        <f>'Program Budget'!G168</f>
        <v>0.5</v>
      </c>
      <c r="E102" s="183">
        <v>1</v>
      </c>
      <c r="F102" s="184">
        <f t="shared" ref="F102" si="162">C102*D102*E102</f>
        <v>50000</v>
      </c>
      <c r="G102" s="343">
        <f t="shared" ref="G102" si="163">C102</f>
        <v>100000</v>
      </c>
      <c r="H102" s="182">
        <f>'Program Budget'!K168</f>
        <v>0.5</v>
      </c>
      <c r="I102" s="183">
        <v>1</v>
      </c>
      <c r="J102" s="184">
        <f t="shared" ref="J102" si="164">G102*H102*I102</f>
        <v>50000</v>
      </c>
      <c r="K102" s="343">
        <f t="shared" ref="K102" si="165">G102</f>
        <v>100000</v>
      </c>
      <c r="L102" s="182">
        <f>'Program Budget'!N168</f>
        <v>0</v>
      </c>
      <c r="M102" s="183">
        <v>0</v>
      </c>
      <c r="N102" s="184">
        <f t="shared" ref="N102" si="166">K102*L102*M102</f>
        <v>0</v>
      </c>
      <c r="O102" s="343">
        <f t="shared" ref="O102" si="167">K102</f>
        <v>100000</v>
      </c>
      <c r="P102" s="182">
        <f>'Program Budget'!Q168</f>
        <v>0</v>
      </c>
      <c r="Q102" s="183">
        <v>0</v>
      </c>
      <c r="R102" s="184">
        <f t="shared" ref="R102" si="168">O102*P102*Q102</f>
        <v>0</v>
      </c>
      <c r="S102" s="343">
        <f t="shared" ref="S102" si="169">O102</f>
        <v>100000</v>
      </c>
      <c r="T102" s="182">
        <f>'Program Budget'!T168</f>
        <v>0</v>
      </c>
      <c r="U102" s="183">
        <v>0</v>
      </c>
      <c r="V102" s="184">
        <f t="shared" ref="V102" si="170">S102*T102*U102</f>
        <v>0</v>
      </c>
      <c r="W102" s="320">
        <f t="shared" ref="W102" si="171">F102+J102+N102+R102+V102</f>
        <v>100000</v>
      </c>
    </row>
    <row r="103" spans="1:23" ht="15.6" outlineLevel="1">
      <c r="A103" s="444" t="str">
        <f>'Program Budget'!D169</f>
        <v>Contract for Communications Campaign Dissemination</v>
      </c>
      <c r="B103" s="180" t="str">
        <f>'Program Budget'!F169</f>
        <v>Year</v>
      </c>
      <c r="C103" s="343">
        <f>'Program Budget'!H169</f>
        <v>25000</v>
      </c>
      <c r="D103" s="182">
        <f>'Program Budget'!G169</f>
        <v>0</v>
      </c>
      <c r="E103" s="183">
        <v>0</v>
      </c>
      <c r="F103" s="184">
        <f t="shared" ref="F103:F105" si="172">C103*D103*E103</f>
        <v>0</v>
      </c>
      <c r="G103" s="343">
        <f t="shared" ref="G103:G105" si="173">C103</f>
        <v>25000</v>
      </c>
      <c r="H103" s="182">
        <f>'Program Budget'!K169</f>
        <v>1</v>
      </c>
      <c r="I103" s="183">
        <v>1</v>
      </c>
      <c r="J103" s="184">
        <f t="shared" ref="J103:J105" si="174">G103*H103*I103</f>
        <v>25000</v>
      </c>
      <c r="K103" s="343">
        <f t="shared" ref="K103:K105" si="175">G103</f>
        <v>25000</v>
      </c>
      <c r="L103" s="182">
        <f>'Program Budget'!N169</f>
        <v>1</v>
      </c>
      <c r="M103" s="183">
        <v>1</v>
      </c>
      <c r="N103" s="184">
        <f t="shared" ref="N103:N105" si="176">K103*L103*M103</f>
        <v>25000</v>
      </c>
      <c r="O103" s="343">
        <f t="shared" ref="O103:O105" si="177">K103</f>
        <v>25000</v>
      </c>
      <c r="P103" s="182">
        <f>'Program Budget'!Q169</f>
        <v>1</v>
      </c>
      <c r="Q103" s="183">
        <v>1</v>
      </c>
      <c r="R103" s="184">
        <f t="shared" ref="R103:R105" si="178">O103*P103*Q103</f>
        <v>25000</v>
      </c>
      <c r="S103" s="343">
        <f t="shared" ref="S103:S105" si="179">O103</f>
        <v>25000</v>
      </c>
      <c r="T103" s="182">
        <f>'Program Budget'!T169</f>
        <v>1</v>
      </c>
      <c r="U103" s="183">
        <v>1</v>
      </c>
      <c r="V103" s="184">
        <f t="shared" ref="V103:V105" si="180">S103*T103*U103</f>
        <v>25000</v>
      </c>
      <c r="W103" s="320">
        <f t="shared" ref="W103:W105" si="181">F103+J103+N103+R103+V103</f>
        <v>100000</v>
      </c>
    </row>
    <row r="104" spans="1:23" ht="15.6" outlineLevel="1">
      <c r="A104" s="444" t="str">
        <f>'Program Budget'!D170</f>
        <v>Contract for Private Agriculture Service Providers (PASPs) to Manage Model Farms and Training for Farmer Field Days</v>
      </c>
      <c r="B104" s="180" t="str">
        <f>'Program Budget'!F170</f>
        <v>Day</v>
      </c>
      <c r="C104" s="343">
        <f>'Program Budget'!H170</f>
        <v>700</v>
      </c>
      <c r="D104" s="182">
        <f>'Program Budget'!G170</f>
        <v>8</v>
      </c>
      <c r="E104" s="183">
        <v>1</v>
      </c>
      <c r="F104" s="184">
        <f t="shared" si="172"/>
        <v>5600</v>
      </c>
      <c r="G104" s="343">
        <f t="shared" si="173"/>
        <v>700</v>
      </c>
      <c r="H104" s="182">
        <f>'Program Budget'!K170</f>
        <v>16</v>
      </c>
      <c r="I104" s="183">
        <v>1</v>
      </c>
      <c r="J104" s="184">
        <f t="shared" si="174"/>
        <v>11200</v>
      </c>
      <c r="K104" s="343">
        <f t="shared" si="175"/>
        <v>700</v>
      </c>
      <c r="L104" s="182">
        <f>'Program Budget'!N170</f>
        <v>8</v>
      </c>
      <c r="M104" s="183">
        <v>1</v>
      </c>
      <c r="N104" s="184">
        <f t="shared" si="176"/>
        <v>5600</v>
      </c>
      <c r="O104" s="343">
        <f t="shared" si="177"/>
        <v>700</v>
      </c>
      <c r="P104" s="182">
        <f>'Program Budget'!Q170</f>
        <v>0</v>
      </c>
      <c r="Q104" s="183">
        <v>0</v>
      </c>
      <c r="R104" s="184">
        <f t="shared" si="178"/>
        <v>0</v>
      </c>
      <c r="S104" s="343">
        <f t="shared" si="179"/>
        <v>700</v>
      </c>
      <c r="T104" s="182">
        <f>'Program Budget'!T170</f>
        <v>0</v>
      </c>
      <c r="U104" s="183">
        <v>0</v>
      </c>
      <c r="V104" s="184">
        <f t="shared" si="180"/>
        <v>0</v>
      </c>
      <c r="W104" s="320">
        <f t="shared" si="181"/>
        <v>22400</v>
      </c>
    </row>
    <row r="105" spans="1:23" ht="15.6" outlineLevel="1">
      <c r="A105" s="444" t="str">
        <f>'Program Budget'!D171</f>
        <v xml:space="preserve">Consultant for Producer Organization Capacity Building </v>
      </c>
      <c r="B105" s="180" t="str">
        <f>'Program Budget'!F171</f>
        <v>Month</v>
      </c>
      <c r="C105" s="343">
        <f>'Program Budget'!H171</f>
        <v>4500</v>
      </c>
      <c r="D105" s="182">
        <f>'Program Budget'!G171</f>
        <v>0</v>
      </c>
      <c r="E105" s="183">
        <v>0</v>
      </c>
      <c r="F105" s="184">
        <f t="shared" si="172"/>
        <v>0</v>
      </c>
      <c r="G105" s="343">
        <f t="shared" si="173"/>
        <v>4500</v>
      </c>
      <c r="H105" s="182">
        <f>'Program Budget'!K171</f>
        <v>3</v>
      </c>
      <c r="I105" s="183">
        <v>1</v>
      </c>
      <c r="J105" s="184">
        <f t="shared" si="174"/>
        <v>13500</v>
      </c>
      <c r="K105" s="343">
        <f t="shared" si="175"/>
        <v>4500</v>
      </c>
      <c r="L105" s="182">
        <f>'Program Budget'!N171</f>
        <v>3</v>
      </c>
      <c r="M105" s="183">
        <v>1</v>
      </c>
      <c r="N105" s="184">
        <f t="shared" si="176"/>
        <v>13500</v>
      </c>
      <c r="O105" s="343">
        <f t="shared" si="177"/>
        <v>4500</v>
      </c>
      <c r="P105" s="182">
        <f>'Program Budget'!Q171</f>
        <v>0</v>
      </c>
      <c r="Q105" s="183">
        <v>0</v>
      </c>
      <c r="R105" s="184">
        <f t="shared" si="178"/>
        <v>0</v>
      </c>
      <c r="S105" s="343">
        <f t="shared" si="179"/>
        <v>4500</v>
      </c>
      <c r="T105" s="182">
        <f>'Program Budget'!T171</f>
        <v>0</v>
      </c>
      <c r="U105" s="183">
        <v>0</v>
      </c>
      <c r="V105" s="184">
        <f t="shared" si="180"/>
        <v>0</v>
      </c>
      <c r="W105" s="320">
        <f t="shared" si="181"/>
        <v>27000</v>
      </c>
    </row>
    <row r="106" spans="1:23" ht="15.6" outlineLevel="1">
      <c r="A106" s="444" t="str">
        <f>'Program Budget'!D172</f>
        <v>Consultant (Financial &amp; Legal) to Advise on Grant Mechanism and Blended Finance Structure</v>
      </c>
      <c r="B106" s="180" t="str">
        <f>'Program Budget'!F172</f>
        <v>Day</v>
      </c>
      <c r="C106" s="343">
        <f>'Program Budget'!H172</f>
        <v>625</v>
      </c>
      <c r="D106" s="182">
        <f>'Program Budget'!G172</f>
        <v>20</v>
      </c>
      <c r="E106" s="183">
        <v>1</v>
      </c>
      <c r="F106" s="184">
        <f t="shared" ref="F106" si="182">C106*D106*E106</f>
        <v>12500</v>
      </c>
      <c r="G106" s="343">
        <f t="shared" ref="G106" si="183">C106</f>
        <v>625</v>
      </c>
      <c r="H106" s="182">
        <f>'Program Budget'!K172</f>
        <v>0</v>
      </c>
      <c r="I106" s="183">
        <v>0</v>
      </c>
      <c r="J106" s="184">
        <f t="shared" ref="J106" si="184">G106*H106*I106</f>
        <v>0</v>
      </c>
      <c r="K106" s="343">
        <f t="shared" ref="K106" si="185">G106</f>
        <v>625</v>
      </c>
      <c r="L106" s="182">
        <f>'Program Budget'!N172</f>
        <v>0</v>
      </c>
      <c r="M106" s="183">
        <v>0</v>
      </c>
      <c r="N106" s="184">
        <f t="shared" ref="N106" si="186">K106*L106*M106</f>
        <v>0</v>
      </c>
      <c r="O106" s="343">
        <f t="shared" ref="O106" si="187">K106</f>
        <v>625</v>
      </c>
      <c r="P106" s="182">
        <f>'Program Budget'!Q172</f>
        <v>0</v>
      </c>
      <c r="Q106" s="183">
        <v>0</v>
      </c>
      <c r="R106" s="184">
        <f t="shared" ref="R106" si="188">O106*P106*Q106</f>
        <v>0</v>
      </c>
      <c r="S106" s="343">
        <f t="shared" ref="S106" si="189">O106</f>
        <v>625</v>
      </c>
      <c r="T106" s="182">
        <f>'Program Budget'!T172</f>
        <v>0</v>
      </c>
      <c r="U106" s="183">
        <v>0</v>
      </c>
      <c r="V106" s="184">
        <f t="shared" ref="V106" si="190">S106*T106*U106</f>
        <v>0</v>
      </c>
      <c r="W106" s="320">
        <f t="shared" ref="W106" si="191">F106+J106+N106+R106+V106</f>
        <v>12500</v>
      </c>
    </row>
    <row r="107" spans="1:23" ht="15.6" outlineLevel="1">
      <c r="A107" s="444" t="str">
        <f>'Program Budget'!D244</f>
        <v>Contract for Private Agriculture Service Providers (PASPs) to Train on Technical Assistance Business Models</v>
      </c>
      <c r="B107" s="180" t="str">
        <f>'Program Budget'!F244</f>
        <v>Region</v>
      </c>
      <c r="C107" s="343">
        <f>'Program Budget'!H244</f>
        <v>25000</v>
      </c>
      <c r="D107" s="182">
        <f>'Program Budget'!G244</f>
        <v>4</v>
      </c>
      <c r="E107" s="183">
        <v>1</v>
      </c>
      <c r="F107" s="184">
        <f t="shared" ref="F107" si="192">C107*D107*E107</f>
        <v>100000</v>
      </c>
      <c r="G107" s="343">
        <f>(C107/2)</f>
        <v>12500</v>
      </c>
      <c r="H107" s="182">
        <f>'Program Budget'!K244</f>
        <v>4</v>
      </c>
      <c r="I107" s="183">
        <v>1</v>
      </c>
      <c r="J107" s="184">
        <f t="shared" ref="J107" si="193">G107*H107*I107</f>
        <v>50000</v>
      </c>
      <c r="K107" s="343">
        <f t="shared" ref="K107" si="194">G107</f>
        <v>12500</v>
      </c>
      <c r="L107" s="182">
        <f>'Program Budget'!N244</f>
        <v>4</v>
      </c>
      <c r="M107" s="183">
        <v>1</v>
      </c>
      <c r="N107" s="184">
        <f t="shared" ref="N107" si="195">K107*L107*M107</f>
        <v>50000</v>
      </c>
      <c r="O107" s="343">
        <f t="shared" ref="O107" si="196">K107</f>
        <v>12500</v>
      </c>
      <c r="P107" s="182">
        <f>'Program Budget'!Q244</f>
        <v>4</v>
      </c>
      <c r="Q107" s="183">
        <v>1</v>
      </c>
      <c r="R107" s="184">
        <f t="shared" ref="R107" si="197">O107*P107*Q107</f>
        <v>50000</v>
      </c>
      <c r="S107" s="343">
        <f t="shared" ref="S107" si="198">O107</f>
        <v>12500</v>
      </c>
      <c r="T107" s="182">
        <f>'Program Budget'!T244</f>
        <v>0</v>
      </c>
      <c r="U107" s="183">
        <v>0</v>
      </c>
      <c r="V107" s="184">
        <f t="shared" ref="V107" si="199">S107*T107*U107</f>
        <v>0</v>
      </c>
      <c r="W107" s="320">
        <f t="shared" ref="W107" si="200">F107+J107+N107+R107+V107</f>
        <v>250000</v>
      </c>
    </row>
    <row r="108" spans="1:23" ht="15.6" outlineLevel="1">
      <c r="A108" s="444" t="str">
        <f>'Program Budget'!D245</f>
        <v>Contract for Private Agriculture Service Providers (PASPs) to Support Capacity-Building Efforts for Producer Organizations</v>
      </c>
      <c r="B108" s="180" t="str">
        <f>'Program Budget'!F245</f>
        <v>Day</v>
      </c>
      <c r="C108" s="343">
        <f>'Program Budget'!H245</f>
        <v>350</v>
      </c>
      <c r="D108" s="182">
        <f>'Program Budget'!G245</f>
        <v>0</v>
      </c>
      <c r="E108" s="183">
        <v>0</v>
      </c>
      <c r="F108" s="184">
        <f t="shared" ref="F108" si="201">C108*D108*E108</f>
        <v>0</v>
      </c>
      <c r="G108" s="343">
        <f t="shared" ref="G108" si="202">C108</f>
        <v>350</v>
      </c>
      <c r="H108" s="182">
        <f>'Program Budget'!K245</f>
        <v>4</v>
      </c>
      <c r="I108" s="183">
        <v>1</v>
      </c>
      <c r="J108" s="184">
        <f t="shared" ref="J108" si="203">G108*H108*I108</f>
        <v>1400</v>
      </c>
      <c r="K108" s="343">
        <f t="shared" ref="K108" si="204">G108</f>
        <v>350</v>
      </c>
      <c r="L108" s="182">
        <f>'Program Budget'!N245</f>
        <v>4</v>
      </c>
      <c r="M108" s="183">
        <v>1</v>
      </c>
      <c r="N108" s="184">
        <f t="shared" ref="N108" si="205">K108*L108*M108</f>
        <v>1400</v>
      </c>
      <c r="O108" s="343">
        <f t="shared" ref="O108" si="206">K108</f>
        <v>350</v>
      </c>
      <c r="P108" s="182">
        <f>'Program Budget'!Q245</f>
        <v>4</v>
      </c>
      <c r="Q108" s="183">
        <v>1</v>
      </c>
      <c r="R108" s="184">
        <f t="shared" ref="R108" si="207">O108*P108*Q108</f>
        <v>1400</v>
      </c>
      <c r="S108" s="343">
        <f t="shared" ref="S108" si="208">O108</f>
        <v>350</v>
      </c>
      <c r="T108" s="182">
        <f>'Program Budget'!T245</f>
        <v>0</v>
      </c>
      <c r="U108" s="183">
        <v>0</v>
      </c>
      <c r="V108" s="184">
        <f t="shared" ref="V108" si="209">S108*T108*U108</f>
        <v>0</v>
      </c>
      <c r="W108" s="320">
        <f t="shared" ref="W108" si="210">F108+J108+N108+R108+V108</f>
        <v>4200</v>
      </c>
    </row>
    <row r="109" spans="1:23" ht="15.6" outlineLevel="1">
      <c r="A109" s="444" t="str">
        <f>'Program Budget'!D246</f>
        <v>Contract for Women-Led Enterprise Development Technical Assistance</v>
      </c>
      <c r="B109" s="180" t="str">
        <f>'Program Budget'!F246</f>
        <v>Unit</v>
      </c>
      <c r="C109" s="343">
        <f>'Program Budget'!H246</f>
        <v>5000</v>
      </c>
      <c r="D109" s="182">
        <f>'Program Budget'!G246</f>
        <v>0</v>
      </c>
      <c r="E109" s="183">
        <v>0</v>
      </c>
      <c r="F109" s="184">
        <f t="shared" ref="F109" si="211">C109*D109*E109</f>
        <v>0</v>
      </c>
      <c r="G109" s="343">
        <f t="shared" ref="G109" si="212">C109</f>
        <v>5000</v>
      </c>
      <c r="H109" s="182">
        <f>'Program Budget'!K246</f>
        <v>12</v>
      </c>
      <c r="I109" s="183">
        <v>1</v>
      </c>
      <c r="J109" s="184">
        <f t="shared" ref="J109" si="213">G109*H109*I109</f>
        <v>60000</v>
      </c>
      <c r="K109" s="343">
        <f t="shared" ref="K109" si="214">G109</f>
        <v>5000</v>
      </c>
      <c r="L109" s="182">
        <f>'Program Budget'!N246</f>
        <v>13</v>
      </c>
      <c r="M109" s="183">
        <v>1</v>
      </c>
      <c r="N109" s="184">
        <f t="shared" ref="N109" si="215">K109*L109*M109</f>
        <v>65000</v>
      </c>
      <c r="O109" s="343">
        <f t="shared" ref="O109" si="216">K109</f>
        <v>5000</v>
      </c>
      <c r="P109" s="182">
        <f>'Program Budget'!Q246</f>
        <v>0</v>
      </c>
      <c r="Q109" s="183">
        <v>0</v>
      </c>
      <c r="R109" s="184">
        <f t="shared" ref="R109" si="217">O109*P109*Q109</f>
        <v>0</v>
      </c>
      <c r="S109" s="343">
        <f t="shared" ref="S109" si="218">O109</f>
        <v>5000</v>
      </c>
      <c r="T109" s="182">
        <f>'Program Budget'!T246</f>
        <v>0</v>
      </c>
      <c r="U109" s="183">
        <v>0</v>
      </c>
      <c r="V109" s="184">
        <f t="shared" ref="V109" si="219">S109*T109*U109</f>
        <v>0</v>
      </c>
      <c r="W109" s="320">
        <f t="shared" ref="W109" si="220">F109+J109+N109+R109+V109</f>
        <v>125000</v>
      </c>
    </row>
    <row r="110" spans="1:23" ht="15.6" outlineLevel="1">
      <c r="A110" s="444" t="str">
        <f>'Program Budget'!D315</f>
        <v>Subrecipient: 6th Grain</v>
      </c>
      <c r="B110" s="180" t="str">
        <f>'Program Budget'!F315</f>
        <v>Subrecipient</v>
      </c>
      <c r="C110" s="343">
        <f>'Program Budget'!I315</f>
        <v>189531.67200000002</v>
      </c>
      <c r="D110" s="182">
        <f>'Program Budget'!G315</f>
        <v>1</v>
      </c>
      <c r="E110" s="183">
        <v>1</v>
      </c>
      <c r="F110" s="184">
        <f t="shared" ref="F110" si="221">C110*D110*E110</f>
        <v>189531.67200000002</v>
      </c>
      <c r="G110" s="343">
        <f>'Program Budget'!L315</f>
        <v>176568.93408000001</v>
      </c>
      <c r="H110" s="182">
        <f>'Program Budget'!K315</f>
        <v>1</v>
      </c>
      <c r="I110" s="183">
        <v>1</v>
      </c>
      <c r="J110" s="184">
        <f t="shared" ref="J110" si="222">G110*H110*I110</f>
        <v>176568.93408000001</v>
      </c>
      <c r="K110" s="343">
        <f>'Program Budget'!O315</f>
        <v>135632.77544960001</v>
      </c>
      <c r="L110" s="182">
        <f>'Program Budget'!N315</f>
        <v>1</v>
      </c>
      <c r="M110" s="183">
        <v>1</v>
      </c>
      <c r="N110" s="184">
        <f t="shared" ref="N110" si="223">K110*L110*M110</f>
        <v>135632.77544960001</v>
      </c>
      <c r="O110" s="343">
        <f>'Program Budget'!R315</f>
        <v>0</v>
      </c>
      <c r="P110" s="182">
        <f>'Program Budget'!Q315</f>
        <v>0</v>
      </c>
      <c r="Q110" s="183">
        <v>0</v>
      </c>
      <c r="R110" s="184">
        <f t="shared" ref="R110" si="224">O110*P110*Q110</f>
        <v>0</v>
      </c>
      <c r="S110" s="343">
        <f>'Program Budget'!U315</f>
        <v>0</v>
      </c>
      <c r="T110" s="182">
        <f>'Program Budget'!T315</f>
        <v>0</v>
      </c>
      <c r="U110" s="183">
        <v>0</v>
      </c>
      <c r="V110" s="184">
        <f t="shared" ref="V110" si="225">S110*T110*U110</f>
        <v>0</v>
      </c>
      <c r="W110" s="320">
        <f t="shared" ref="W110" si="226">F110+J110+N110+R110+V110</f>
        <v>501733.38152960007</v>
      </c>
    </row>
    <row r="111" spans="1:23" ht="15.6" outlineLevel="1">
      <c r="A111" s="444" t="str">
        <f>'Program Budget'!D316</f>
        <v>Contract for Private Agriculture Service Providers (PASPs) to Train Producer Organizations to Leverage Economies of Scale</v>
      </c>
      <c r="B111" s="180" t="str">
        <f>'Program Budget'!F316</f>
        <v>Day</v>
      </c>
      <c r="C111" s="343">
        <f>'Program Budget'!H316</f>
        <v>350</v>
      </c>
      <c r="D111" s="182">
        <f>'Program Budget'!G316</f>
        <v>0</v>
      </c>
      <c r="E111" s="183">
        <v>0</v>
      </c>
      <c r="F111" s="184">
        <f t="shared" ref="F111:F115" si="227">C111*D111*E111</f>
        <v>0</v>
      </c>
      <c r="G111" s="343">
        <f t="shared" ref="G111:G115" si="228">C111</f>
        <v>350</v>
      </c>
      <c r="H111" s="182">
        <f>'Program Budget'!K316</f>
        <v>4</v>
      </c>
      <c r="I111" s="183">
        <v>1</v>
      </c>
      <c r="J111" s="184">
        <f t="shared" ref="J111:J115" si="229">G111*H111*I111</f>
        <v>1400</v>
      </c>
      <c r="K111" s="343">
        <f t="shared" ref="K111:K115" si="230">G111</f>
        <v>350</v>
      </c>
      <c r="L111" s="182">
        <f>'Program Budget'!N316</f>
        <v>4</v>
      </c>
      <c r="M111" s="183">
        <v>1</v>
      </c>
      <c r="N111" s="184">
        <f t="shared" ref="N111:N115" si="231">K111*L111*M111</f>
        <v>1400</v>
      </c>
      <c r="O111" s="343">
        <f t="shared" ref="O111:O115" si="232">K111</f>
        <v>350</v>
      </c>
      <c r="P111" s="182">
        <f>'Program Budget'!Q316</f>
        <v>4</v>
      </c>
      <c r="Q111" s="183">
        <v>1</v>
      </c>
      <c r="R111" s="184">
        <f t="shared" ref="R111:R115" si="233">O111*P111*Q111</f>
        <v>1400</v>
      </c>
      <c r="S111" s="343">
        <f t="shared" ref="S111:S115" si="234">O111</f>
        <v>350</v>
      </c>
      <c r="T111" s="182">
        <f>'Program Budget'!T316</f>
        <v>0</v>
      </c>
      <c r="U111" s="183">
        <v>0</v>
      </c>
      <c r="V111" s="184">
        <f t="shared" ref="V111:V115" si="235">S111*T111*U111</f>
        <v>0</v>
      </c>
      <c r="W111" s="320">
        <f t="shared" ref="W111:W115" si="236">F111+J111+N111+R111+V111</f>
        <v>4200</v>
      </c>
    </row>
    <row r="112" spans="1:23" ht="15.6" outlineLevel="1">
      <c r="A112" s="444" t="str">
        <f>'Program Budget'!D317</f>
        <v>Contract for Organization to Provide Farmers Organic Certifications</v>
      </c>
      <c r="B112" s="180" t="str">
        <f>'Program Budget'!F317</f>
        <v>Certification</v>
      </c>
      <c r="C112" s="343">
        <f>'Program Budget'!H317</f>
        <v>100</v>
      </c>
      <c r="D112" s="182">
        <f>'Program Budget'!G317</f>
        <v>0</v>
      </c>
      <c r="E112" s="183">
        <v>0</v>
      </c>
      <c r="F112" s="184">
        <f t="shared" si="227"/>
        <v>0</v>
      </c>
      <c r="G112" s="343">
        <f t="shared" si="228"/>
        <v>100</v>
      </c>
      <c r="H112" s="182">
        <f>'Program Budget'!K317</f>
        <v>0</v>
      </c>
      <c r="I112" s="183">
        <v>0</v>
      </c>
      <c r="J112" s="184">
        <f t="shared" si="229"/>
        <v>0</v>
      </c>
      <c r="K112" s="343">
        <f t="shared" si="230"/>
        <v>100</v>
      </c>
      <c r="L112" s="182">
        <f>'Program Budget'!N317</f>
        <v>1000</v>
      </c>
      <c r="M112" s="183">
        <v>1</v>
      </c>
      <c r="N112" s="184">
        <f t="shared" si="231"/>
        <v>100000</v>
      </c>
      <c r="O112" s="343">
        <f t="shared" si="232"/>
        <v>100</v>
      </c>
      <c r="P112" s="182">
        <f>'Program Budget'!Q317</f>
        <v>0</v>
      </c>
      <c r="Q112" s="183">
        <v>0</v>
      </c>
      <c r="R112" s="184">
        <f t="shared" si="233"/>
        <v>0</v>
      </c>
      <c r="S112" s="343">
        <f t="shared" si="234"/>
        <v>100</v>
      </c>
      <c r="T112" s="182">
        <f>'Program Budget'!T317</f>
        <v>0</v>
      </c>
      <c r="U112" s="183">
        <v>0</v>
      </c>
      <c r="V112" s="184">
        <f t="shared" si="235"/>
        <v>0</v>
      </c>
      <c r="W112" s="320">
        <f t="shared" si="236"/>
        <v>100000</v>
      </c>
    </row>
    <row r="113" spans="1:23" ht="15.6" outlineLevel="1">
      <c r="A113" s="444" t="str">
        <f>'Program Budget'!D318</f>
        <v>US Consultant to Provide Technical Assistance for Processers and Exporters</v>
      </c>
      <c r="B113" s="180" t="str">
        <f>'Program Budget'!F318</f>
        <v>Day</v>
      </c>
      <c r="C113" s="343">
        <f>'Program Budget'!H318</f>
        <v>720</v>
      </c>
      <c r="D113" s="182">
        <f>'Program Budget'!G318</f>
        <v>0</v>
      </c>
      <c r="E113" s="183">
        <v>0</v>
      </c>
      <c r="F113" s="184">
        <f t="shared" si="227"/>
        <v>0</v>
      </c>
      <c r="G113" s="343">
        <f t="shared" si="228"/>
        <v>720</v>
      </c>
      <c r="H113" s="182">
        <f>'Program Budget'!K318</f>
        <v>0</v>
      </c>
      <c r="I113" s="183">
        <v>0</v>
      </c>
      <c r="J113" s="184">
        <f t="shared" si="229"/>
        <v>0</v>
      </c>
      <c r="K113" s="343">
        <f t="shared" si="230"/>
        <v>720</v>
      </c>
      <c r="L113" s="182">
        <f>'Program Budget'!N318</f>
        <v>15</v>
      </c>
      <c r="M113" s="183">
        <v>1</v>
      </c>
      <c r="N113" s="184">
        <f t="shared" si="231"/>
        <v>10800</v>
      </c>
      <c r="O113" s="343">
        <f t="shared" si="232"/>
        <v>720</v>
      </c>
      <c r="P113" s="182">
        <f>'Program Budget'!Q318</f>
        <v>0</v>
      </c>
      <c r="Q113" s="183">
        <v>0</v>
      </c>
      <c r="R113" s="184">
        <f t="shared" si="233"/>
        <v>0</v>
      </c>
      <c r="S113" s="343">
        <f t="shared" si="234"/>
        <v>720</v>
      </c>
      <c r="T113" s="182">
        <f>'Program Budget'!T318</f>
        <v>0</v>
      </c>
      <c r="U113" s="183">
        <v>0</v>
      </c>
      <c r="V113" s="184">
        <f t="shared" si="235"/>
        <v>0</v>
      </c>
      <c r="W113" s="320">
        <f t="shared" si="236"/>
        <v>10800</v>
      </c>
    </row>
    <row r="114" spans="1:23" ht="15.6" outlineLevel="1">
      <c r="A114" s="444" t="str">
        <f>'Program Budget'!D319</f>
        <v>Legal Advisors for Review of Farming Contracts</v>
      </c>
      <c r="B114" s="180" t="str">
        <f>'Program Budget'!F319</f>
        <v>Day</v>
      </c>
      <c r="C114" s="343">
        <f>'Program Budget'!H319</f>
        <v>325</v>
      </c>
      <c r="D114" s="182">
        <f>'Program Budget'!G319</f>
        <v>0</v>
      </c>
      <c r="E114" s="183">
        <v>0</v>
      </c>
      <c r="F114" s="184">
        <f t="shared" si="227"/>
        <v>0</v>
      </c>
      <c r="G114" s="343">
        <f t="shared" si="228"/>
        <v>325</v>
      </c>
      <c r="H114" s="182">
        <f>'Program Budget'!K319</f>
        <v>10</v>
      </c>
      <c r="I114" s="183">
        <v>1</v>
      </c>
      <c r="J114" s="184">
        <f t="shared" si="229"/>
        <v>3250</v>
      </c>
      <c r="K114" s="343">
        <f t="shared" si="230"/>
        <v>325</v>
      </c>
      <c r="L114" s="182">
        <f>'Program Budget'!N319</f>
        <v>0</v>
      </c>
      <c r="M114" s="183">
        <v>0</v>
      </c>
      <c r="N114" s="184">
        <f t="shared" si="231"/>
        <v>0</v>
      </c>
      <c r="O114" s="343">
        <f t="shared" si="232"/>
        <v>325</v>
      </c>
      <c r="P114" s="182">
        <f>'Program Budget'!Q319</f>
        <v>0</v>
      </c>
      <c r="Q114" s="183">
        <v>0</v>
      </c>
      <c r="R114" s="184">
        <f t="shared" si="233"/>
        <v>0</v>
      </c>
      <c r="S114" s="343">
        <f t="shared" si="234"/>
        <v>325</v>
      </c>
      <c r="T114" s="182">
        <f>'Program Budget'!T319</f>
        <v>0</v>
      </c>
      <c r="U114" s="183">
        <v>0</v>
      </c>
      <c r="V114" s="184">
        <f t="shared" si="235"/>
        <v>0</v>
      </c>
      <c r="W114" s="320">
        <f t="shared" si="236"/>
        <v>3250</v>
      </c>
    </row>
    <row r="115" spans="1:23" ht="15.6" outlineLevel="1">
      <c r="A115" s="444" t="str">
        <f>'Program Budget'!D320</f>
        <v>Contract for Expert on Agriculture Finance</v>
      </c>
      <c r="B115" s="180" t="str">
        <f>'Program Budget'!F320</f>
        <v>Month</v>
      </c>
      <c r="C115" s="343">
        <f>'Program Budget'!H320</f>
        <v>5250</v>
      </c>
      <c r="D115" s="182">
        <f>'Program Budget'!G320</f>
        <v>0</v>
      </c>
      <c r="E115" s="183">
        <v>0</v>
      </c>
      <c r="F115" s="184">
        <f t="shared" si="227"/>
        <v>0</v>
      </c>
      <c r="G115" s="343">
        <f t="shared" si="228"/>
        <v>5250</v>
      </c>
      <c r="H115" s="182">
        <f>'Program Budget'!K320</f>
        <v>2</v>
      </c>
      <c r="I115" s="183">
        <v>1</v>
      </c>
      <c r="J115" s="184">
        <f t="shared" si="229"/>
        <v>10500</v>
      </c>
      <c r="K115" s="343">
        <f t="shared" si="230"/>
        <v>5250</v>
      </c>
      <c r="L115" s="182">
        <f>'Program Budget'!N320</f>
        <v>0</v>
      </c>
      <c r="M115" s="183">
        <v>0</v>
      </c>
      <c r="N115" s="184">
        <f t="shared" si="231"/>
        <v>0</v>
      </c>
      <c r="O115" s="343">
        <f t="shared" si="232"/>
        <v>5250</v>
      </c>
      <c r="P115" s="182">
        <f>'Program Budget'!Q320</f>
        <v>0</v>
      </c>
      <c r="Q115" s="183">
        <v>0</v>
      </c>
      <c r="R115" s="184">
        <f t="shared" si="233"/>
        <v>0</v>
      </c>
      <c r="S115" s="343">
        <f t="shared" si="234"/>
        <v>5250</v>
      </c>
      <c r="T115" s="182">
        <f>'Program Budget'!T320</f>
        <v>0</v>
      </c>
      <c r="U115" s="183">
        <v>0</v>
      </c>
      <c r="V115" s="184">
        <f t="shared" si="235"/>
        <v>0</v>
      </c>
      <c r="W115" s="320">
        <f t="shared" si="236"/>
        <v>10500</v>
      </c>
    </row>
    <row r="116" spans="1:23" ht="15.6" outlineLevel="1">
      <c r="A116" s="435" t="str">
        <f>'Program Budget'!D70</f>
        <v>Monitoring, Evaluation, and Collection of Reliable Data</v>
      </c>
      <c r="B116" s="180"/>
      <c r="C116" s="343"/>
      <c r="D116" s="182"/>
      <c r="E116" s="183"/>
      <c r="F116" s="184"/>
      <c r="G116" s="343"/>
      <c r="H116" s="182"/>
      <c r="I116" s="183"/>
      <c r="J116" s="184"/>
      <c r="K116" s="343"/>
      <c r="L116" s="182"/>
      <c r="M116" s="183"/>
      <c r="N116" s="184"/>
      <c r="O116" s="343"/>
      <c r="P116" s="182"/>
      <c r="Q116" s="183"/>
      <c r="R116" s="184"/>
      <c r="S116" s="343"/>
      <c r="T116" s="182"/>
      <c r="U116" s="183"/>
      <c r="V116" s="184"/>
      <c r="W116" s="320"/>
    </row>
    <row r="117" spans="1:23" ht="15.6" outlineLevel="1">
      <c r="A117" s="435" t="str">
        <f>'Program Budget'!D71</f>
        <v>Evaluations</v>
      </c>
      <c r="B117" s="180"/>
      <c r="C117" s="343"/>
      <c r="D117" s="182"/>
      <c r="E117" s="183"/>
      <c r="F117" s="184"/>
      <c r="G117" s="343"/>
      <c r="H117" s="182"/>
      <c r="I117" s="183"/>
      <c r="J117" s="184"/>
      <c r="K117" s="343"/>
      <c r="L117" s="182"/>
      <c r="M117" s="183"/>
      <c r="N117" s="184"/>
      <c r="O117" s="343"/>
      <c r="P117" s="182"/>
      <c r="Q117" s="183"/>
      <c r="R117" s="184"/>
      <c r="S117" s="343"/>
      <c r="T117" s="182"/>
      <c r="U117" s="183"/>
      <c r="V117" s="184"/>
      <c r="W117" s="320"/>
    </row>
    <row r="118" spans="1:23" ht="15.6" outlineLevel="1">
      <c r="A118" s="444" t="str">
        <f>'Program Budget'!D72</f>
        <v>Baseline Evaluation</v>
      </c>
      <c r="B118" s="180" t="str">
        <f>'Program Budget'!F72</f>
        <v>Unit</v>
      </c>
      <c r="C118" s="343">
        <f>'Program Budget'!H72</f>
        <v>150000</v>
      </c>
      <c r="D118" s="182">
        <f>'Program Budget'!G72</f>
        <v>1</v>
      </c>
      <c r="E118" s="183">
        <v>1</v>
      </c>
      <c r="F118" s="184">
        <f t="shared" ref="F118:F129" si="237">C118*D118*E118</f>
        <v>150000</v>
      </c>
      <c r="G118" s="343">
        <f t="shared" ref="G118:G129" si="238">C118</f>
        <v>150000</v>
      </c>
      <c r="H118" s="182">
        <f>'Program Budget'!K72</f>
        <v>0</v>
      </c>
      <c r="I118" s="183">
        <v>1</v>
      </c>
      <c r="J118" s="184">
        <f t="shared" ref="J118:J129" si="239">G118*H118*I118</f>
        <v>0</v>
      </c>
      <c r="K118" s="343">
        <f t="shared" ref="K118:K129" si="240">G118</f>
        <v>150000</v>
      </c>
      <c r="L118" s="182">
        <f>'Program Budget'!N72</f>
        <v>0</v>
      </c>
      <c r="M118" s="183">
        <v>1</v>
      </c>
      <c r="N118" s="184">
        <f t="shared" ref="N118:N129" si="241">K118*L118*M118</f>
        <v>0</v>
      </c>
      <c r="O118" s="343">
        <f t="shared" ref="O118:O129" si="242">K118</f>
        <v>150000</v>
      </c>
      <c r="P118" s="182">
        <f>'Program Budget'!Q72</f>
        <v>0</v>
      </c>
      <c r="Q118" s="183">
        <v>1</v>
      </c>
      <c r="R118" s="184">
        <f t="shared" ref="R118:R129" si="243">O118*P118*Q118</f>
        <v>0</v>
      </c>
      <c r="S118" s="343">
        <f t="shared" ref="S118:S129" si="244">O118</f>
        <v>150000</v>
      </c>
      <c r="T118" s="182">
        <f>'Program Budget'!T72</f>
        <v>0</v>
      </c>
      <c r="U118" s="183">
        <v>1</v>
      </c>
      <c r="V118" s="184">
        <f t="shared" ref="V118:V129" si="245">S118*T118*U118</f>
        <v>0</v>
      </c>
      <c r="W118" s="320">
        <f t="shared" ref="W118:W129" si="246">F118+J118+N118+R118+V118</f>
        <v>150000</v>
      </c>
    </row>
    <row r="119" spans="1:23" ht="15.6" outlineLevel="1">
      <c r="A119" s="444" t="str">
        <f>'Program Budget'!D73</f>
        <v>Midterm Evaluation</v>
      </c>
      <c r="B119" s="180" t="str">
        <f>'Program Budget'!F73</f>
        <v>Unit</v>
      </c>
      <c r="C119" s="343">
        <f>'Program Budget'!H73</f>
        <v>170000</v>
      </c>
      <c r="D119" s="182">
        <f>'Program Budget'!G73</f>
        <v>0</v>
      </c>
      <c r="E119" s="183">
        <v>1</v>
      </c>
      <c r="F119" s="184">
        <f t="shared" si="237"/>
        <v>0</v>
      </c>
      <c r="G119" s="343">
        <f t="shared" si="238"/>
        <v>170000</v>
      </c>
      <c r="H119" s="182">
        <f>'Program Budget'!K73</f>
        <v>0</v>
      </c>
      <c r="I119" s="183">
        <v>1</v>
      </c>
      <c r="J119" s="184">
        <f t="shared" si="239"/>
        <v>0</v>
      </c>
      <c r="K119" s="343">
        <f t="shared" si="240"/>
        <v>170000</v>
      </c>
      <c r="L119" s="182">
        <f>'Program Budget'!N73</f>
        <v>1</v>
      </c>
      <c r="M119" s="183">
        <v>1</v>
      </c>
      <c r="N119" s="184">
        <f t="shared" si="241"/>
        <v>170000</v>
      </c>
      <c r="O119" s="343">
        <f t="shared" si="242"/>
        <v>170000</v>
      </c>
      <c r="P119" s="182">
        <f>'Program Budget'!Q73</f>
        <v>0</v>
      </c>
      <c r="Q119" s="183">
        <v>1</v>
      </c>
      <c r="R119" s="184">
        <f t="shared" si="243"/>
        <v>0</v>
      </c>
      <c r="S119" s="343">
        <f t="shared" si="244"/>
        <v>170000</v>
      </c>
      <c r="T119" s="182">
        <f>'Program Budget'!T73</f>
        <v>0</v>
      </c>
      <c r="U119" s="183">
        <v>1</v>
      </c>
      <c r="V119" s="184">
        <f t="shared" si="245"/>
        <v>0</v>
      </c>
      <c r="W119" s="320">
        <f t="shared" si="246"/>
        <v>170000</v>
      </c>
    </row>
    <row r="120" spans="1:23" ht="15.6" outlineLevel="1">
      <c r="A120" s="444" t="str">
        <f>'Program Budget'!D74</f>
        <v>Final Evaluation</v>
      </c>
      <c r="B120" s="180" t="str">
        <f>'Program Budget'!F74</f>
        <v>Unit</v>
      </c>
      <c r="C120" s="343">
        <f>'Program Budget'!H74</f>
        <v>180000</v>
      </c>
      <c r="D120" s="182">
        <f>'Program Budget'!G74</f>
        <v>0</v>
      </c>
      <c r="E120" s="183">
        <v>1</v>
      </c>
      <c r="F120" s="184">
        <f t="shared" si="237"/>
        <v>0</v>
      </c>
      <c r="G120" s="343">
        <f t="shared" si="238"/>
        <v>180000</v>
      </c>
      <c r="H120" s="182">
        <f>'Program Budget'!K74</f>
        <v>0</v>
      </c>
      <c r="I120" s="183">
        <v>1</v>
      </c>
      <c r="J120" s="184">
        <f t="shared" si="239"/>
        <v>0</v>
      </c>
      <c r="K120" s="343">
        <f t="shared" si="240"/>
        <v>180000</v>
      </c>
      <c r="L120" s="182">
        <f>'Program Budget'!N74</f>
        <v>0</v>
      </c>
      <c r="M120" s="183">
        <v>1</v>
      </c>
      <c r="N120" s="184">
        <f t="shared" si="241"/>
        <v>0</v>
      </c>
      <c r="O120" s="343">
        <f t="shared" si="242"/>
        <v>180000</v>
      </c>
      <c r="P120" s="182">
        <f>'Program Budget'!Q74</f>
        <v>0</v>
      </c>
      <c r="Q120" s="183">
        <v>1</v>
      </c>
      <c r="R120" s="184">
        <f t="shared" si="243"/>
        <v>0</v>
      </c>
      <c r="S120" s="343">
        <f t="shared" si="244"/>
        <v>180000</v>
      </c>
      <c r="T120" s="182">
        <f>'Program Budget'!T74</f>
        <v>1</v>
      </c>
      <c r="U120" s="183">
        <v>1</v>
      </c>
      <c r="V120" s="184">
        <f t="shared" si="245"/>
        <v>180000</v>
      </c>
      <c r="W120" s="320">
        <f t="shared" si="246"/>
        <v>180000</v>
      </c>
    </row>
    <row r="121" spans="1:23" ht="15.6" outlineLevel="1">
      <c r="A121" s="444" t="str">
        <f>'Program Budget'!D75</f>
        <v xml:space="preserve">Special Studies on Carbon Assessment and Living Incomes </v>
      </c>
      <c r="B121" s="180" t="str">
        <f>'Program Budget'!F75</f>
        <v>Unit</v>
      </c>
      <c r="C121" s="343">
        <f>'Program Budget'!H75</f>
        <v>280000</v>
      </c>
      <c r="D121" s="182">
        <f>'Program Budget'!G75</f>
        <v>0</v>
      </c>
      <c r="E121" s="183">
        <v>1</v>
      </c>
      <c r="F121" s="184">
        <f t="shared" si="237"/>
        <v>0</v>
      </c>
      <c r="G121" s="343">
        <f t="shared" si="238"/>
        <v>280000</v>
      </c>
      <c r="H121" s="182">
        <f>'Program Budget'!K75</f>
        <v>0.5</v>
      </c>
      <c r="I121" s="183">
        <v>1</v>
      </c>
      <c r="J121" s="184">
        <f t="shared" si="239"/>
        <v>140000</v>
      </c>
      <c r="K121" s="343">
        <f t="shared" si="240"/>
        <v>280000</v>
      </c>
      <c r="L121" s="182">
        <f>'Program Budget'!N75</f>
        <v>0.5</v>
      </c>
      <c r="M121" s="183">
        <v>1</v>
      </c>
      <c r="N121" s="184">
        <f t="shared" si="241"/>
        <v>140000</v>
      </c>
      <c r="O121" s="343">
        <f t="shared" si="242"/>
        <v>280000</v>
      </c>
      <c r="P121" s="182">
        <f>'Program Budget'!Q75</f>
        <v>0</v>
      </c>
      <c r="Q121" s="183">
        <v>1</v>
      </c>
      <c r="R121" s="184">
        <f t="shared" si="243"/>
        <v>0</v>
      </c>
      <c r="S121" s="343">
        <f t="shared" si="244"/>
        <v>280000</v>
      </c>
      <c r="T121" s="182">
        <f>'Program Budget'!T75</f>
        <v>0</v>
      </c>
      <c r="U121" s="183">
        <v>1</v>
      </c>
      <c r="V121" s="184">
        <f t="shared" si="245"/>
        <v>0</v>
      </c>
      <c r="W121" s="320">
        <f t="shared" si="246"/>
        <v>280000</v>
      </c>
    </row>
    <row r="122" spans="1:23" ht="15.6" outlineLevel="1">
      <c r="A122" s="444" t="str">
        <f>'Program Budget'!D76</f>
        <v>Conduct Rapid Complementary Cost-Benefit Analysis</v>
      </c>
      <c r="B122" s="180" t="str">
        <f>'Program Budget'!F76</f>
        <v>Unit</v>
      </c>
      <c r="C122" s="343">
        <f>'Program Budget'!H76</f>
        <v>45000</v>
      </c>
      <c r="D122" s="182">
        <f>'Program Budget'!G76</f>
        <v>1</v>
      </c>
      <c r="E122" s="183">
        <v>1</v>
      </c>
      <c r="F122" s="184">
        <f t="shared" ref="F122" si="247">C122*D122*E122</f>
        <v>45000</v>
      </c>
      <c r="G122" s="343">
        <f t="shared" ref="G122" si="248">C122</f>
        <v>45000</v>
      </c>
      <c r="H122" s="182">
        <f>'Program Budget'!K76</f>
        <v>0</v>
      </c>
      <c r="I122" s="183">
        <v>0</v>
      </c>
      <c r="J122" s="184">
        <f t="shared" ref="J122" si="249">G122*H122*I122</f>
        <v>0</v>
      </c>
      <c r="K122" s="343">
        <f t="shared" ref="K122" si="250">G122</f>
        <v>45000</v>
      </c>
      <c r="L122" s="182">
        <f>'Program Budget'!N76</f>
        <v>0</v>
      </c>
      <c r="M122" s="183">
        <v>0</v>
      </c>
      <c r="N122" s="184">
        <f t="shared" ref="N122" si="251">K122*L122*M122</f>
        <v>0</v>
      </c>
      <c r="O122" s="343">
        <f t="shared" ref="O122" si="252">K122</f>
        <v>45000</v>
      </c>
      <c r="P122" s="182">
        <f>'Program Budget'!Q76</f>
        <v>0</v>
      </c>
      <c r="Q122" s="183">
        <v>0</v>
      </c>
      <c r="R122" s="184">
        <f t="shared" ref="R122" si="253">O122*P122*Q122</f>
        <v>0</v>
      </c>
      <c r="S122" s="343">
        <f t="shared" ref="S122" si="254">O122</f>
        <v>45000</v>
      </c>
      <c r="T122" s="182">
        <f>'Program Budget'!T76</f>
        <v>0</v>
      </c>
      <c r="U122" s="183">
        <v>0</v>
      </c>
      <c r="V122" s="184">
        <f t="shared" ref="V122" si="255">S122*T122*U122</f>
        <v>0</v>
      </c>
      <c r="W122" s="320">
        <f t="shared" ref="W122" si="256">F122+J122+N122+R122+V122</f>
        <v>45000</v>
      </c>
    </row>
    <row r="123" spans="1:23" ht="15.6" outlineLevel="1">
      <c r="A123" s="435" t="str">
        <f>'Program Budget'!D77</f>
        <v>Monitoring Guidelines Development</v>
      </c>
      <c r="B123" s="180"/>
      <c r="C123" s="343"/>
      <c r="D123" s="182"/>
      <c r="E123" s="183"/>
      <c r="F123" s="184"/>
      <c r="G123" s="343"/>
      <c r="H123" s="182"/>
      <c r="I123" s="183"/>
      <c r="J123" s="184"/>
      <c r="K123" s="343"/>
      <c r="L123" s="182"/>
      <c r="M123" s="183"/>
      <c r="N123" s="184"/>
      <c r="O123" s="343"/>
      <c r="P123" s="182"/>
      <c r="Q123" s="183"/>
      <c r="R123" s="184"/>
      <c r="S123" s="343"/>
      <c r="T123" s="182"/>
      <c r="U123" s="183"/>
      <c r="V123" s="184"/>
      <c r="W123" s="320"/>
    </row>
    <row r="124" spans="1:23" ht="15.6" outlineLevel="1">
      <c r="A124" s="444" t="str">
        <f>'Program Budget'!D78</f>
        <v>Monitoring Guidelines Creation, Translation &amp; Printing</v>
      </c>
      <c r="B124" s="180" t="str">
        <f>'Program Budget'!F78</f>
        <v>Document</v>
      </c>
      <c r="C124" s="343">
        <f>'Program Budget'!H78</f>
        <v>8000</v>
      </c>
      <c r="D124" s="182">
        <f>'Program Budget'!G78</f>
        <v>1</v>
      </c>
      <c r="E124" s="183">
        <v>1</v>
      </c>
      <c r="F124" s="184">
        <f t="shared" si="237"/>
        <v>8000</v>
      </c>
      <c r="G124" s="343">
        <f t="shared" si="238"/>
        <v>8000</v>
      </c>
      <c r="H124" s="182">
        <f>'Program Budget'!K78</f>
        <v>0</v>
      </c>
      <c r="I124" s="183">
        <v>1</v>
      </c>
      <c r="J124" s="184">
        <f t="shared" si="239"/>
        <v>0</v>
      </c>
      <c r="K124" s="343">
        <f t="shared" si="240"/>
        <v>8000</v>
      </c>
      <c r="L124" s="182">
        <f>'Program Budget'!N78</f>
        <v>0</v>
      </c>
      <c r="M124" s="183">
        <v>1</v>
      </c>
      <c r="N124" s="184">
        <f t="shared" si="241"/>
        <v>0</v>
      </c>
      <c r="O124" s="343">
        <f t="shared" si="242"/>
        <v>8000</v>
      </c>
      <c r="P124" s="182">
        <f>'Program Budget'!Q78</f>
        <v>0</v>
      </c>
      <c r="Q124" s="183">
        <v>1</v>
      </c>
      <c r="R124" s="184">
        <f t="shared" si="243"/>
        <v>0</v>
      </c>
      <c r="S124" s="343">
        <f t="shared" si="244"/>
        <v>8000</v>
      </c>
      <c r="T124" s="182">
        <f>'Program Budget'!T78</f>
        <v>0</v>
      </c>
      <c r="U124" s="183">
        <v>1</v>
      </c>
      <c r="V124" s="184">
        <f t="shared" si="245"/>
        <v>0</v>
      </c>
      <c r="W124" s="320">
        <f t="shared" si="246"/>
        <v>8000</v>
      </c>
    </row>
    <row r="125" spans="1:23" ht="15.6" outlineLevel="1">
      <c r="A125" s="444" t="str">
        <f>'Program Budget'!D79</f>
        <v>Monitoring Guidelines Revision, Translation &amp; Printing</v>
      </c>
      <c r="B125" s="180" t="str">
        <f>'Program Budget'!F79</f>
        <v>Year</v>
      </c>
      <c r="C125" s="343">
        <f>'Program Budget'!H79</f>
        <v>2000</v>
      </c>
      <c r="D125" s="182">
        <f>'Program Budget'!G79</f>
        <v>0</v>
      </c>
      <c r="E125" s="183">
        <v>1</v>
      </c>
      <c r="F125" s="184">
        <f t="shared" si="237"/>
        <v>0</v>
      </c>
      <c r="G125" s="343">
        <f t="shared" si="238"/>
        <v>2000</v>
      </c>
      <c r="H125" s="182">
        <f>'Program Budget'!K79</f>
        <v>1</v>
      </c>
      <c r="I125" s="183">
        <v>1</v>
      </c>
      <c r="J125" s="184">
        <f t="shared" si="239"/>
        <v>2000</v>
      </c>
      <c r="K125" s="343">
        <f t="shared" si="240"/>
        <v>2000</v>
      </c>
      <c r="L125" s="182">
        <f>'Program Budget'!N79</f>
        <v>1</v>
      </c>
      <c r="M125" s="183">
        <v>1</v>
      </c>
      <c r="N125" s="184">
        <f t="shared" si="241"/>
        <v>2000</v>
      </c>
      <c r="O125" s="343">
        <f t="shared" si="242"/>
        <v>2000</v>
      </c>
      <c r="P125" s="182">
        <f>'Program Budget'!Q79</f>
        <v>1</v>
      </c>
      <c r="Q125" s="183">
        <v>1</v>
      </c>
      <c r="R125" s="184">
        <f t="shared" si="243"/>
        <v>2000</v>
      </c>
      <c r="S125" s="343">
        <f t="shared" si="244"/>
        <v>2000</v>
      </c>
      <c r="T125" s="182">
        <f>'Program Budget'!T79</f>
        <v>1</v>
      </c>
      <c r="U125" s="183">
        <v>1</v>
      </c>
      <c r="V125" s="184">
        <f t="shared" si="245"/>
        <v>2000</v>
      </c>
      <c r="W125" s="320">
        <f t="shared" si="246"/>
        <v>8000</v>
      </c>
    </row>
    <row r="126" spans="1:23" ht="15.6" outlineLevel="1">
      <c r="A126" s="444" t="str">
        <f>'Program Budget'!D80</f>
        <v>Monitoring Guidelines Staff Training on Indicators and Data Collection/Analysis</v>
      </c>
      <c r="B126" s="180" t="str">
        <f>'Program Budget'!F80</f>
        <v xml:space="preserve">Workshop </v>
      </c>
      <c r="C126" s="343">
        <f>'Program Budget'!H80</f>
        <v>6000</v>
      </c>
      <c r="D126" s="182">
        <f>'Program Budget'!G80</f>
        <v>1</v>
      </c>
      <c r="E126" s="183">
        <v>1</v>
      </c>
      <c r="F126" s="184">
        <f t="shared" si="237"/>
        <v>6000</v>
      </c>
      <c r="G126" s="343">
        <f t="shared" si="238"/>
        <v>6000</v>
      </c>
      <c r="H126" s="182">
        <f>'Program Budget'!K80</f>
        <v>1</v>
      </c>
      <c r="I126" s="183">
        <v>1</v>
      </c>
      <c r="J126" s="184">
        <f t="shared" si="239"/>
        <v>6000</v>
      </c>
      <c r="K126" s="343">
        <f t="shared" si="240"/>
        <v>6000</v>
      </c>
      <c r="L126" s="182">
        <f>'Program Budget'!N80</f>
        <v>1</v>
      </c>
      <c r="M126" s="183">
        <v>1</v>
      </c>
      <c r="N126" s="184">
        <f t="shared" si="241"/>
        <v>6000</v>
      </c>
      <c r="O126" s="343">
        <f t="shared" si="242"/>
        <v>6000</v>
      </c>
      <c r="P126" s="182">
        <f>'Program Budget'!Q80</f>
        <v>1</v>
      </c>
      <c r="Q126" s="183">
        <v>1</v>
      </c>
      <c r="R126" s="184">
        <f t="shared" si="243"/>
        <v>6000</v>
      </c>
      <c r="S126" s="343">
        <f t="shared" si="244"/>
        <v>6000</v>
      </c>
      <c r="T126" s="182">
        <f>'Program Budget'!T80</f>
        <v>1</v>
      </c>
      <c r="U126" s="183">
        <v>1</v>
      </c>
      <c r="V126" s="184">
        <f t="shared" si="245"/>
        <v>6000</v>
      </c>
      <c r="W126" s="320">
        <f t="shared" si="246"/>
        <v>30000</v>
      </c>
    </row>
    <row r="127" spans="1:23" ht="15.6" outlineLevel="1">
      <c r="A127" s="435" t="str">
        <f>'Program Budget'!D81</f>
        <v>M&amp;E Database</v>
      </c>
      <c r="B127" s="180"/>
      <c r="C127" s="343"/>
      <c r="D127" s="182"/>
      <c r="E127" s="183"/>
      <c r="F127" s="184"/>
      <c r="G127" s="343"/>
      <c r="H127" s="182"/>
      <c r="I127" s="183"/>
      <c r="J127" s="184"/>
      <c r="K127" s="343"/>
      <c r="L127" s="182"/>
      <c r="M127" s="183"/>
      <c r="N127" s="184"/>
      <c r="O127" s="343"/>
      <c r="P127" s="182"/>
      <c r="Q127" s="183"/>
      <c r="R127" s="184"/>
      <c r="S127" s="343"/>
      <c r="T127" s="182"/>
      <c r="U127" s="183"/>
      <c r="V127" s="184"/>
      <c r="W127" s="320"/>
    </row>
    <row r="128" spans="1:23" ht="15.6" outlineLevel="1">
      <c r="A128" s="444" t="str">
        <f>'Program Budget'!D82</f>
        <v>M&amp;E Database Trainings</v>
      </c>
      <c r="B128" s="180" t="str">
        <f>'Program Budget'!F82</f>
        <v>Year</v>
      </c>
      <c r="C128" s="343">
        <f>'Program Budget'!H82</f>
        <v>500</v>
      </c>
      <c r="D128" s="182">
        <f>'Program Budget'!G82</f>
        <v>1</v>
      </c>
      <c r="E128" s="183">
        <v>1</v>
      </c>
      <c r="F128" s="184">
        <f t="shared" ref="F128" si="257">C128*D128*E128</f>
        <v>500</v>
      </c>
      <c r="G128" s="343">
        <f t="shared" ref="G128" si="258">C128</f>
        <v>500</v>
      </c>
      <c r="H128" s="182">
        <f>'Program Budget'!K82</f>
        <v>1</v>
      </c>
      <c r="I128" s="183">
        <v>1</v>
      </c>
      <c r="J128" s="184">
        <f t="shared" ref="J128" si="259">G128*H128*I128</f>
        <v>500</v>
      </c>
      <c r="K128" s="343">
        <f t="shared" ref="K128" si="260">G128</f>
        <v>500</v>
      </c>
      <c r="L128" s="182">
        <f>'Program Budget'!N82</f>
        <v>1</v>
      </c>
      <c r="M128" s="183">
        <v>1</v>
      </c>
      <c r="N128" s="184">
        <f t="shared" ref="N128" si="261">K128*L128*M128</f>
        <v>500</v>
      </c>
      <c r="O128" s="343">
        <f t="shared" ref="O128" si="262">K128</f>
        <v>500</v>
      </c>
      <c r="P128" s="182">
        <f>'Program Budget'!Q82</f>
        <v>1</v>
      </c>
      <c r="Q128" s="183">
        <v>1</v>
      </c>
      <c r="R128" s="184">
        <f t="shared" ref="R128" si="263">O128*P128*Q128</f>
        <v>500</v>
      </c>
      <c r="S128" s="343">
        <f t="shared" ref="S128" si="264">O128</f>
        <v>500</v>
      </c>
      <c r="T128" s="182">
        <f>'Program Budget'!T82</f>
        <v>1</v>
      </c>
      <c r="U128" s="183">
        <v>1</v>
      </c>
      <c r="V128" s="184">
        <f t="shared" ref="V128" si="265">S128*T128*U128</f>
        <v>500</v>
      </c>
      <c r="W128" s="320">
        <f t="shared" ref="W128" si="266">F128+J128+N128+R128+V128</f>
        <v>2500</v>
      </c>
    </row>
    <row r="129" spans="1:23" ht="15.6" outlineLevel="1">
      <c r="A129" s="444" t="str">
        <f>'Program Budget'!D83</f>
        <v>M&amp;E Database Platform Subscription and Customization</v>
      </c>
      <c r="B129" s="180" t="str">
        <f>'Program Budget'!F83</f>
        <v>Year</v>
      </c>
      <c r="C129" s="343">
        <f>'Program Budget'!H83</f>
        <v>15000</v>
      </c>
      <c r="D129" s="182">
        <f>'Program Budget'!G83</f>
        <v>1</v>
      </c>
      <c r="E129" s="183">
        <v>1</v>
      </c>
      <c r="F129" s="184">
        <f t="shared" si="237"/>
        <v>15000</v>
      </c>
      <c r="G129" s="343">
        <f t="shared" si="238"/>
        <v>15000</v>
      </c>
      <c r="H129" s="182">
        <f>'Program Budget'!K83</f>
        <v>1</v>
      </c>
      <c r="I129" s="183">
        <v>1</v>
      </c>
      <c r="J129" s="184">
        <f t="shared" si="239"/>
        <v>15000</v>
      </c>
      <c r="K129" s="343">
        <f t="shared" si="240"/>
        <v>15000</v>
      </c>
      <c r="L129" s="182">
        <f>'Program Budget'!N83</f>
        <v>1</v>
      </c>
      <c r="M129" s="183">
        <v>1</v>
      </c>
      <c r="N129" s="184">
        <f t="shared" si="241"/>
        <v>15000</v>
      </c>
      <c r="O129" s="343">
        <f t="shared" si="242"/>
        <v>15000</v>
      </c>
      <c r="P129" s="182">
        <f>'Program Budget'!Q83</f>
        <v>1</v>
      </c>
      <c r="Q129" s="183">
        <v>1</v>
      </c>
      <c r="R129" s="184">
        <f t="shared" si="243"/>
        <v>15000</v>
      </c>
      <c r="S129" s="343">
        <f t="shared" si="244"/>
        <v>15000</v>
      </c>
      <c r="T129" s="182">
        <f>'Program Budget'!T83</f>
        <v>1</v>
      </c>
      <c r="U129" s="183">
        <v>1</v>
      </c>
      <c r="V129" s="184">
        <f t="shared" si="245"/>
        <v>15000</v>
      </c>
      <c r="W129" s="320">
        <f t="shared" si="246"/>
        <v>75000</v>
      </c>
    </row>
    <row r="130" spans="1:23" ht="15.6" outlineLevel="1">
      <c r="A130" s="444"/>
      <c r="B130" s="202"/>
      <c r="C130" s="348"/>
      <c r="D130" s="257"/>
      <c r="F130" s="184"/>
      <c r="G130" s="348"/>
      <c r="H130" s="257"/>
      <c r="I130" s="145"/>
      <c r="J130" s="184"/>
      <c r="K130" s="348"/>
      <c r="L130" s="257"/>
      <c r="N130" s="184"/>
      <c r="O130" s="348"/>
      <c r="P130" s="257"/>
      <c r="Q130" s="145"/>
      <c r="R130" s="184"/>
      <c r="S130" s="348"/>
      <c r="T130" s="257"/>
      <c r="U130" s="145"/>
      <c r="V130" s="184"/>
      <c r="W130" s="258"/>
    </row>
    <row r="131" spans="1:23" ht="18.3" outlineLevel="1">
      <c r="A131" s="443" t="s">
        <v>98</v>
      </c>
      <c r="B131" s="213"/>
      <c r="C131" s="346"/>
      <c r="D131" s="248"/>
      <c r="E131" s="249"/>
      <c r="F131" s="217">
        <f>SUM(F94:F130)</f>
        <v>914265.49580000003</v>
      </c>
      <c r="G131" s="346"/>
      <c r="H131" s="248"/>
      <c r="I131" s="218"/>
      <c r="J131" s="217">
        <f>SUM(J94:J130)</f>
        <v>689818.93408000004</v>
      </c>
      <c r="K131" s="346"/>
      <c r="L131" s="248"/>
      <c r="M131" s="249"/>
      <c r="N131" s="217">
        <f>SUM(N94:N130)</f>
        <v>805332.77544960007</v>
      </c>
      <c r="O131" s="346"/>
      <c r="P131" s="248"/>
      <c r="Q131" s="218"/>
      <c r="R131" s="217">
        <f>SUM(R94:R130)</f>
        <v>164800</v>
      </c>
      <c r="S131" s="346"/>
      <c r="T131" s="248"/>
      <c r="U131" s="218"/>
      <c r="V131" s="217">
        <f>SUM(V94:V130)</f>
        <v>281500</v>
      </c>
      <c r="W131" s="217">
        <f>SUM(W94:W130)</f>
        <v>2855717.2053295998</v>
      </c>
    </row>
    <row r="132" spans="1:23" ht="15.6" outlineLevel="1">
      <c r="A132" s="435" t="s">
        <v>99</v>
      </c>
      <c r="B132" s="259"/>
      <c r="D132" s="251"/>
      <c r="F132" s="184"/>
      <c r="H132" s="251"/>
      <c r="J132" s="186"/>
      <c r="L132" s="251"/>
      <c r="N132" s="186"/>
      <c r="P132" s="251"/>
      <c r="R132" s="186"/>
      <c r="T132" s="251"/>
      <c r="V132" s="186"/>
      <c r="W132" s="186"/>
    </row>
    <row r="133" spans="1:23" ht="15.6" outlineLevel="1">
      <c r="A133" s="444" t="str">
        <f>'Program Budget'!D89</f>
        <v>Vehicles for Field Office</v>
      </c>
      <c r="B133" s="180" t="str">
        <f>'Program Budget'!F89</f>
        <v>Unit</v>
      </c>
      <c r="C133" s="357">
        <f>'Program Budget'!H89</f>
        <v>60000</v>
      </c>
      <c r="D133" s="358">
        <f>'Program Budget'!G89</f>
        <v>3</v>
      </c>
      <c r="E133" s="183">
        <v>1</v>
      </c>
      <c r="F133" s="184">
        <f t="shared" ref="F133" si="267">C133*D133*E133</f>
        <v>180000</v>
      </c>
      <c r="G133" s="343">
        <f t="shared" ref="G133" si="268">C133</f>
        <v>60000</v>
      </c>
      <c r="H133" s="182">
        <f>'Program Budget'!K89</f>
        <v>0</v>
      </c>
      <c r="I133" s="183">
        <v>1</v>
      </c>
      <c r="J133" s="184">
        <f t="shared" ref="J133" si="269">G133*H133*I133</f>
        <v>0</v>
      </c>
      <c r="K133" s="343">
        <f t="shared" ref="K133" si="270">G133</f>
        <v>60000</v>
      </c>
      <c r="L133" s="182">
        <f>'Program Budget'!N89</f>
        <v>0</v>
      </c>
      <c r="M133" s="183">
        <v>1</v>
      </c>
      <c r="N133" s="184">
        <f t="shared" ref="N133" si="271">K133*L133*M133</f>
        <v>0</v>
      </c>
      <c r="O133" s="343">
        <f t="shared" ref="O133" si="272">K133</f>
        <v>60000</v>
      </c>
      <c r="P133" s="182">
        <f>'Program Budget'!Q89</f>
        <v>0</v>
      </c>
      <c r="Q133" s="183">
        <v>1</v>
      </c>
      <c r="R133" s="184">
        <f t="shared" ref="R133" si="273">O133*P133*Q133</f>
        <v>0</v>
      </c>
      <c r="S133" s="343">
        <f t="shared" ref="S133" si="274">O133</f>
        <v>60000</v>
      </c>
      <c r="T133" s="182">
        <f>'Program Budget'!T89</f>
        <v>0</v>
      </c>
      <c r="U133" s="183">
        <v>1</v>
      </c>
      <c r="V133" s="184">
        <f t="shared" ref="V133" si="275">S133*T133*U133</f>
        <v>0</v>
      </c>
      <c r="W133" s="320">
        <f t="shared" ref="W133" si="276">F133+J133+N133+R133+V133</f>
        <v>180000</v>
      </c>
    </row>
    <row r="134" spans="1:23" ht="15.6" outlineLevel="1">
      <c r="A134" s="442"/>
      <c r="B134" s="202"/>
      <c r="D134" s="251"/>
      <c r="F134" s="184"/>
      <c r="H134" s="251"/>
      <c r="I134" s="145"/>
      <c r="J134" s="184"/>
      <c r="L134" s="251"/>
      <c r="N134" s="184"/>
      <c r="P134" s="251"/>
      <c r="Q134" s="145"/>
      <c r="R134" s="184"/>
      <c r="T134" s="251"/>
      <c r="U134" s="145"/>
      <c r="V134" s="184"/>
      <c r="W134" s="261"/>
    </row>
    <row r="135" spans="1:23" ht="18.3" outlineLevel="1">
      <c r="A135" s="443" t="s">
        <v>100</v>
      </c>
      <c r="B135" s="213"/>
      <c r="C135" s="346"/>
      <c r="D135" s="248"/>
      <c r="E135" s="249"/>
      <c r="F135" s="217">
        <f>SUM(F133:F134)</f>
        <v>180000</v>
      </c>
      <c r="G135" s="346"/>
      <c r="H135" s="248"/>
      <c r="I135" s="218"/>
      <c r="J135" s="217">
        <f>SUM(J133:J134)</f>
        <v>0</v>
      </c>
      <c r="K135" s="346"/>
      <c r="L135" s="248"/>
      <c r="M135" s="249"/>
      <c r="N135" s="217">
        <f>SUM(N133:N134)</f>
        <v>0</v>
      </c>
      <c r="O135" s="346"/>
      <c r="P135" s="248"/>
      <c r="Q135" s="218"/>
      <c r="R135" s="217">
        <f>SUM(R133:R134)</f>
        <v>0</v>
      </c>
      <c r="S135" s="346"/>
      <c r="T135" s="248"/>
      <c r="U135" s="218"/>
      <c r="V135" s="217">
        <f>SUM(V133:V134)</f>
        <v>0</v>
      </c>
      <c r="W135" s="219">
        <f>+F135+J135+N135+R135+V135</f>
        <v>180000</v>
      </c>
    </row>
    <row r="136" spans="1:23" ht="15.6" outlineLevel="1">
      <c r="A136" s="435" t="s">
        <v>32</v>
      </c>
      <c r="B136" s="202"/>
      <c r="D136" s="251"/>
      <c r="F136" s="184"/>
      <c r="H136" s="251"/>
      <c r="I136" s="145"/>
      <c r="J136" s="184"/>
      <c r="L136" s="251"/>
      <c r="N136" s="184"/>
      <c r="P136" s="251"/>
      <c r="Q136" s="145"/>
      <c r="R136" s="184"/>
      <c r="T136" s="251"/>
      <c r="U136" s="145"/>
      <c r="V136" s="184"/>
      <c r="W136" s="186"/>
    </row>
    <row r="137" spans="1:23" ht="15" customHeight="1" outlineLevel="1">
      <c r="A137" s="179" t="str">
        <f>'Program Budget'!D95</f>
        <v>Communications Costs (Internet, Phone, Data) (Tunis)</v>
      </c>
      <c r="B137" s="180" t="str">
        <f>'Program Budget'!F95</f>
        <v>Month</v>
      </c>
      <c r="C137" s="343">
        <f>'Program Budget'!H95</f>
        <v>350</v>
      </c>
      <c r="D137" s="182">
        <f>'Program Budget'!G95</f>
        <v>3</v>
      </c>
      <c r="E137" s="183">
        <v>1</v>
      </c>
      <c r="F137" s="184">
        <f>C137*D137*E137</f>
        <v>1050</v>
      </c>
      <c r="G137" s="343">
        <f>C137*1.07</f>
        <v>374.5</v>
      </c>
      <c r="H137" s="182">
        <f>'Program Budget'!K95</f>
        <v>12</v>
      </c>
      <c r="I137" s="183">
        <v>1</v>
      </c>
      <c r="J137" s="184">
        <f>G137*H137*I137</f>
        <v>4494</v>
      </c>
      <c r="K137" s="343">
        <f>G137*1.07</f>
        <v>400.71500000000003</v>
      </c>
      <c r="L137" s="182">
        <f>'Program Budget'!N95</f>
        <v>12</v>
      </c>
      <c r="M137" s="183">
        <v>1</v>
      </c>
      <c r="N137" s="184">
        <f>K137*L137*M137</f>
        <v>4808.58</v>
      </c>
      <c r="O137" s="343">
        <f>K137*1.07</f>
        <v>428.76505000000003</v>
      </c>
      <c r="P137" s="182">
        <f>'Program Budget'!Q95</f>
        <v>12</v>
      </c>
      <c r="Q137" s="183">
        <v>1</v>
      </c>
      <c r="R137" s="184">
        <f>O137*P137*Q137</f>
        <v>5145.1806000000006</v>
      </c>
      <c r="S137" s="343">
        <f>O137*1.07</f>
        <v>458.77860350000003</v>
      </c>
      <c r="T137" s="182">
        <f>'Program Budget'!T95</f>
        <v>6</v>
      </c>
      <c r="U137" s="183">
        <v>1</v>
      </c>
      <c r="V137" s="184">
        <f>S137*T137*U137</f>
        <v>2752.6716210000004</v>
      </c>
      <c r="W137" s="338">
        <f>F137+J137+N137+R137+V137</f>
        <v>18250.432221000003</v>
      </c>
    </row>
    <row r="138" spans="1:23" ht="15" customHeight="1" outlineLevel="1">
      <c r="A138" s="179" t="str">
        <f>'Program Budget'!D96</f>
        <v>Office Rent, Utilities &amp; Cleaning (Tunis) (Furnished) (Coworking Space, rental price includes all costs)</v>
      </c>
      <c r="B138" s="180" t="str">
        <f>'Program Budget'!F96</f>
        <v>Month</v>
      </c>
      <c r="C138" s="357">
        <f>'Program Budget'!H96</f>
        <v>3500</v>
      </c>
      <c r="D138" s="358">
        <f>'Program Budget'!G96</f>
        <v>3</v>
      </c>
      <c r="E138" s="183">
        <v>1</v>
      </c>
      <c r="F138" s="359">
        <f t="shared" ref="F138:F148" si="277">C138*D138*E138</f>
        <v>10500</v>
      </c>
      <c r="G138" s="343">
        <f t="shared" ref="G138:G148" si="278">C138*1.07</f>
        <v>3745</v>
      </c>
      <c r="H138" s="358">
        <f>'Program Budget'!K96</f>
        <v>12</v>
      </c>
      <c r="I138" s="183">
        <v>1</v>
      </c>
      <c r="J138" s="359">
        <f t="shared" ref="J138:J148" si="279">G138*H138*I138</f>
        <v>44940</v>
      </c>
      <c r="K138" s="343">
        <f t="shared" ref="K138:K148" si="280">G138*1.07</f>
        <v>4007.15</v>
      </c>
      <c r="L138" s="358">
        <f>'Program Budget'!N96</f>
        <v>12</v>
      </c>
      <c r="M138" s="183">
        <v>1</v>
      </c>
      <c r="N138" s="359">
        <f t="shared" ref="N138:N148" si="281">K138*L138*M138</f>
        <v>48085.8</v>
      </c>
      <c r="O138" s="343">
        <f t="shared" ref="O138:O148" si="282">K138*1.07</f>
        <v>4287.6505000000006</v>
      </c>
      <c r="P138" s="358">
        <f>'Program Budget'!Q96</f>
        <v>12</v>
      </c>
      <c r="Q138" s="183">
        <v>1</v>
      </c>
      <c r="R138" s="359">
        <f t="shared" ref="R138:R148" si="283">O138*P138*Q138</f>
        <v>51451.806000000011</v>
      </c>
      <c r="S138" s="343">
        <f t="shared" ref="S138:S148" si="284">O138*1.07</f>
        <v>4587.786035000001</v>
      </c>
      <c r="T138" s="358">
        <f>'Program Budget'!T96</f>
        <v>6</v>
      </c>
      <c r="U138" s="183">
        <v>1</v>
      </c>
      <c r="V138" s="359">
        <f t="shared" ref="V138:V148" si="285">S138*T138*U138</f>
        <v>27526.716210000006</v>
      </c>
      <c r="W138" s="338">
        <f t="shared" ref="W138:W148" si="286">F138+J138+N138+R138+V138</f>
        <v>182504.32221000004</v>
      </c>
    </row>
    <row r="139" spans="1:23" ht="15" customHeight="1" outlineLevel="1">
      <c r="A139" s="179" t="str">
        <f>'Program Budget'!D98</f>
        <v>Communications Costs (Internet, Phone, Data) (Tozeur)</v>
      </c>
      <c r="B139" s="180" t="str">
        <f>'Program Budget'!F98</f>
        <v>Month</v>
      </c>
      <c r="C139" s="357">
        <f>'Program Budget'!H98</f>
        <v>500</v>
      </c>
      <c r="D139" s="358">
        <f>'Program Budget'!G98</f>
        <v>3</v>
      </c>
      <c r="E139" s="183">
        <v>1</v>
      </c>
      <c r="F139" s="359">
        <f t="shared" si="277"/>
        <v>1500</v>
      </c>
      <c r="G139" s="343">
        <f t="shared" si="278"/>
        <v>535</v>
      </c>
      <c r="H139" s="358">
        <f>'Program Budget'!K98</f>
        <v>12</v>
      </c>
      <c r="I139" s="183">
        <v>1</v>
      </c>
      <c r="J139" s="359">
        <f t="shared" si="279"/>
        <v>6420</v>
      </c>
      <c r="K139" s="343">
        <f t="shared" si="280"/>
        <v>572.45000000000005</v>
      </c>
      <c r="L139" s="358">
        <f>'Program Budget'!N98</f>
        <v>12</v>
      </c>
      <c r="M139" s="183">
        <v>1</v>
      </c>
      <c r="N139" s="359">
        <f t="shared" si="281"/>
        <v>6869.4000000000005</v>
      </c>
      <c r="O139" s="343">
        <f t="shared" si="282"/>
        <v>612.52150000000006</v>
      </c>
      <c r="P139" s="358">
        <f>'Program Budget'!Q98</f>
        <v>12</v>
      </c>
      <c r="Q139" s="183">
        <v>1</v>
      </c>
      <c r="R139" s="359">
        <f t="shared" si="283"/>
        <v>7350.2580000000007</v>
      </c>
      <c r="S139" s="343">
        <f t="shared" si="284"/>
        <v>655.39800500000013</v>
      </c>
      <c r="T139" s="358">
        <f>'Program Budget'!T98</f>
        <v>6</v>
      </c>
      <c r="U139" s="183">
        <v>1</v>
      </c>
      <c r="V139" s="359">
        <f t="shared" si="285"/>
        <v>3932.388030000001</v>
      </c>
      <c r="W139" s="338">
        <f t="shared" si="286"/>
        <v>26072.046030000005</v>
      </c>
    </row>
    <row r="140" spans="1:23" ht="15" customHeight="1" outlineLevel="1">
      <c r="A140" s="179" t="str">
        <f>'Program Budget'!D99</f>
        <v>Office Rent (Tozeur) (Unfurnished)</v>
      </c>
      <c r="B140" s="180" t="str">
        <f>'Program Budget'!F99</f>
        <v>Month</v>
      </c>
      <c r="C140" s="357">
        <f>'Program Budget'!H99</f>
        <v>825</v>
      </c>
      <c r="D140" s="358">
        <f>'Program Budget'!G99</f>
        <v>3</v>
      </c>
      <c r="E140" s="183">
        <v>1</v>
      </c>
      <c r="F140" s="359">
        <f t="shared" si="277"/>
        <v>2475</v>
      </c>
      <c r="G140" s="343">
        <f t="shared" si="278"/>
        <v>882.75</v>
      </c>
      <c r="H140" s="358">
        <f>'Program Budget'!K99</f>
        <v>12</v>
      </c>
      <c r="I140" s="183">
        <v>1</v>
      </c>
      <c r="J140" s="359">
        <f t="shared" si="279"/>
        <v>10593</v>
      </c>
      <c r="K140" s="343">
        <f t="shared" si="280"/>
        <v>944.54250000000002</v>
      </c>
      <c r="L140" s="358">
        <f>'Program Budget'!N99</f>
        <v>12</v>
      </c>
      <c r="M140" s="183">
        <v>1</v>
      </c>
      <c r="N140" s="359">
        <f t="shared" si="281"/>
        <v>11334.51</v>
      </c>
      <c r="O140" s="343">
        <f t="shared" si="282"/>
        <v>1010.6604750000001</v>
      </c>
      <c r="P140" s="358">
        <f>'Program Budget'!Q99</f>
        <v>12</v>
      </c>
      <c r="Q140" s="183">
        <v>1</v>
      </c>
      <c r="R140" s="359">
        <f t="shared" si="283"/>
        <v>12127.925700000002</v>
      </c>
      <c r="S140" s="343">
        <f t="shared" si="284"/>
        <v>1081.4067082500003</v>
      </c>
      <c r="T140" s="358">
        <f>'Program Budget'!T99</f>
        <v>6</v>
      </c>
      <c r="U140" s="183">
        <v>1</v>
      </c>
      <c r="V140" s="359">
        <f t="shared" si="285"/>
        <v>6488.4402495000013</v>
      </c>
      <c r="W140" s="338">
        <f t="shared" si="286"/>
        <v>43018.875949500005</v>
      </c>
    </row>
    <row r="141" spans="1:23" ht="15" customHeight="1" outlineLevel="1">
      <c r="A141" s="179" t="str">
        <f>'Program Budget'!D100</f>
        <v>Office Utilities (Tozeur)</v>
      </c>
      <c r="B141" s="180" t="str">
        <f>'Program Budget'!F100</f>
        <v>Month</v>
      </c>
      <c r="C141" s="357">
        <f>'Program Budget'!H100</f>
        <v>100</v>
      </c>
      <c r="D141" s="358">
        <f>'Program Budget'!G100</f>
        <v>3</v>
      </c>
      <c r="E141" s="183">
        <v>1</v>
      </c>
      <c r="F141" s="359">
        <f t="shared" ref="F141:F142" si="287">C141*D141*E141</f>
        <v>300</v>
      </c>
      <c r="G141" s="343">
        <f t="shared" ref="G141:G142" si="288">C141*1.07</f>
        <v>107</v>
      </c>
      <c r="H141" s="358">
        <f>'Program Budget'!K100</f>
        <v>12</v>
      </c>
      <c r="I141" s="183">
        <v>1</v>
      </c>
      <c r="J141" s="359">
        <f t="shared" ref="J141:J142" si="289">G141*H141*I141</f>
        <v>1284</v>
      </c>
      <c r="K141" s="343">
        <f t="shared" ref="K141:K142" si="290">G141*1.07</f>
        <v>114.49000000000001</v>
      </c>
      <c r="L141" s="358">
        <f>'Program Budget'!N100</f>
        <v>12</v>
      </c>
      <c r="M141" s="183">
        <v>1</v>
      </c>
      <c r="N141" s="359">
        <f t="shared" ref="N141:N142" si="291">K141*L141*M141</f>
        <v>1373.88</v>
      </c>
      <c r="O141" s="343">
        <f t="shared" ref="O141:O142" si="292">K141*1.07</f>
        <v>122.50430000000001</v>
      </c>
      <c r="P141" s="358">
        <f>'Program Budget'!Q100</f>
        <v>12</v>
      </c>
      <c r="Q141" s="183">
        <v>1</v>
      </c>
      <c r="R141" s="359">
        <f t="shared" ref="R141:R142" si="293">O141*P141*Q141</f>
        <v>1470.0516000000002</v>
      </c>
      <c r="S141" s="343">
        <f t="shared" ref="S141:S142" si="294">O141*1.07</f>
        <v>131.07960100000003</v>
      </c>
      <c r="T141" s="358">
        <f>'Program Budget'!T100</f>
        <v>6</v>
      </c>
      <c r="U141" s="183">
        <v>1</v>
      </c>
      <c r="V141" s="359">
        <f t="shared" ref="V141:V142" si="295">S141*T141*U141</f>
        <v>786.47760600000015</v>
      </c>
      <c r="W141" s="338">
        <f t="shared" ref="W141:W142" si="296">F141+J141+N141+R141+V141</f>
        <v>5214.4092060000003</v>
      </c>
    </row>
    <row r="142" spans="1:23" ht="15" customHeight="1" outlineLevel="1">
      <c r="A142" s="179" t="str">
        <f>'Program Budget'!D101</f>
        <v>Office Cleaning (Tozeur)</v>
      </c>
      <c r="B142" s="180" t="str">
        <f>'Program Budget'!F101</f>
        <v>Month</v>
      </c>
      <c r="C142" s="357">
        <f>'Program Budget'!H101</f>
        <v>75</v>
      </c>
      <c r="D142" s="358">
        <f>'Program Budget'!G101</f>
        <v>3</v>
      </c>
      <c r="E142" s="183">
        <v>1</v>
      </c>
      <c r="F142" s="359">
        <f t="shared" si="287"/>
        <v>225</v>
      </c>
      <c r="G142" s="343">
        <f t="shared" si="288"/>
        <v>80.25</v>
      </c>
      <c r="H142" s="358">
        <f>'Program Budget'!K101</f>
        <v>12</v>
      </c>
      <c r="I142" s="183">
        <v>1</v>
      </c>
      <c r="J142" s="359">
        <f t="shared" si="289"/>
        <v>963</v>
      </c>
      <c r="K142" s="343">
        <f t="shared" si="290"/>
        <v>85.867500000000007</v>
      </c>
      <c r="L142" s="358">
        <f>'Program Budget'!N101</f>
        <v>12</v>
      </c>
      <c r="M142" s="183">
        <v>1</v>
      </c>
      <c r="N142" s="359">
        <f t="shared" si="291"/>
        <v>1030.4100000000001</v>
      </c>
      <c r="O142" s="343">
        <f t="shared" si="292"/>
        <v>91.878225000000015</v>
      </c>
      <c r="P142" s="358">
        <f>'Program Budget'!Q101</f>
        <v>12</v>
      </c>
      <c r="Q142" s="183">
        <v>1</v>
      </c>
      <c r="R142" s="359">
        <f t="shared" si="293"/>
        <v>1102.5387000000001</v>
      </c>
      <c r="S142" s="343">
        <f t="shared" si="294"/>
        <v>98.309700750000019</v>
      </c>
      <c r="T142" s="358">
        <f>'Program Budget'!T101</f>
        <v>6</v>
      </c>
      <c r="U142" s="183">
        <v>1</v>
      </c>
      <c r="V142" s="359">
        <f t="shared" si="295"/>
        <v>589.85820450000006</v>
      </c>
      <c r="W142" s="338">
        <f t="shared" si="296"/>
        <v>3910.8069045000002</v>
      </c>
    </row>
    <row r="143" spans="1:23" ht="15" customHeight="1" outlineLevel="1">
      <c r="A143" s="179" t="str">
        <f>'Program Budget'!D103</f>
        <v>Banking and Cash Handling Fees</v>
      </c>
      <c r="B143" s="180" t="str">
        <f>'Program Budget'!F103</f>
        <v>Month</v>
      </c>
      <c r="C143" s="343">
        <f>'Program Budget'!H103</f>
        <v>150</v>
      </c>
      <c r="D143" s="182">
        <f>'Program Budget'!G103</f>
        <v>9</v>
      </c>
      <c r="E143" s="183">
        <v>1</v>
      </c>
      <c r="F143" s="184">
        <f t="shared" si="277"/>
        <v>1350</v>
      </c>
      <c r="G143" s="343">
        <f t="shared" si="278"/>
        <v>160.5</v>
      </c>
      <c r="H143" s="182">
        <f>'Program Budget'!K103</f>
        <v>12</v>
      </c>
      <c r="I143" s="183">
        <v>1</v>
      </c>
      <c r="J143" s="184">
        <f t="shared" si="279"/>
        <v>1926</v>
      </c>
      <c r="K143" s="343">
        <f t="shared" si="280"/>
        <v>171.73500000000001</v>
      </c>
      <c r="L143" s="182">
        <f>'Program Budget'!N103</f>
        <v>12</v>
      </c>
      <c r="M143" s="183">
        <v>1</v>
      </c>
      <c r="N143" s="184">
        <f t="shared" si="281"/>
        <v>2060.8200000000002</v>
      </c>
      <c r="O143" s="343">
        <f t="shared" si="282"/>
        <v>183.75645000000003</v>
      </c>
      <c r="P143" s="182">
        <f>'Program Budget'!Q103</f>
        <v>12</v>
      </c>
      <c r="Q143" s="183">
        <v>1</v>
      </c>
      <c r="R143" s="184">
        <f t="shared" si="283"/>
        <v>2205.0774000000001</v>
      </c>
      <c r="S143" s="343">
        <f t="shared" si="284"/>
        <v>196.61940150000004</v>
      </c>
      <c r="T143" s="182">
        <f>'Program Budget'!T103</f>
        <v>6</v>
      </c>
      <c r="U143" s="183">
        <v>1</v>
      </c>
      <c r="V143" s="184">
        <f t="shared" si="285"/>
        <v>1179.7164090000001</v>
      </c>
      <c r="W143" s="338">
        <f t="shared" si="286"/>
        <v>8721.6138090000004</v>
      </c>
    </row>
    <row r="144" spans="1:23" ht="15" customHeight="1" outlineLevel="1">
      <c r="A144" s="179" t="str">
        <f>'Program Budget'!D104</f>
        <v>Courier fees/Services/Postage</v>
      </c>
      <c r="B144" s="180" t="str">
        <f>'Program Budget'!F104</f>
        <v>Month</v>
      </c>
      <c r="C144" s="343">
        <f>'Program Budget'!H104</f>
        <v>30</v>
      </c>
      <c r="D144" s="182">
        <f>'Program Budget'!G104</f>
        <v>9</v>
      </c>
      <c r="E144" s="183">
        <v>1</v>
      </c>
      <c r="F144" s="184">
        <f t="shared" si="277"/>
        <v>270</v>
      </c>
      <c r="G144" s="343">
        <f t="shared" si="278"/>
        <v>32.1</v>
      </c>
      <c r="H144" s="182">
        <f>'Program Budget'!K104</f>
        <v>12</v>
      </c>
      <c r="I144" s="183">
        <v>1</v>
      </c>
      <c r="J144" s="184">
        <f t="shared" si="279"/>
        <v>385.20000000000005</v>
      </c>
      <c r="K144" s="343">
        <f t="shared" si="280"/>
        <v>34.347000000000001</v>
      </c>
      <c r="L144" s="182">
        <f>'Program Budget'!N104</f>
        <v>12</v>
      </c>
      <c r="M144" s="183">
        <v>1</v>
      </c>
      <c r="N144" s="184">
        <f t="shared" si="281"/>
        <v>412.16399999999999</v>
      </c>
      <c r="O144" s="343">
        <f t="shared" si="282"/>
        <v>36.751290000000004</v>
      </c>
      <c r="P144" s="182">
        <f>'Program Budget'!Q104</f>
        <v>12</v>
      </c>
      <c r="Q144" s="183">
        <v>1</v>
      </c>
      <c r="R144" s="184">
        <f t="shared" si="283"/>
        <v>441.01548000000003</v>
      </c>
      <c r="S144" s="343">
        <f t="shared" si="284"/>
        <v>39.323880300000006</v>
      </c>
      <c r="T144" s="182">
        <f>'Program Budget'!T104</f>
        <v>6</v>
      </c>
      <c r="U144" s="183">
        <v>1</v>
      </c>
      <c r="V144" s="184">
        <f t="shared" si="285"/>
        <v>235.94328180000002</v>
      </c>
      <c r="W144" s="338">
        <f t="shared" si="286"/>
        <v>1744.3227618000001</v>
      </c>
    </row>
    <row r="145" spans="1:23" outlineLevel="1">
      <c r="A145" s="179" t="str">
        <f>'Program Budget'!D105</f>
        <v xml:space="preserve">Recruitment/Procurement Advertising </v>
      </c>
      <c r="B145" s="180" t="str">
        <f>'Program Budget'!F105</f>
        <v>Year</v>
      </c>
      <c r="C145" s="343">
        <f>'Program Budget'!H105</f>
        <v>2400</v>
      </c>
      <c r="D145" s="182">
        <f>'Program Budget'!G105</f>
        <v>1</v>
      </c>
      <c r="E145" s="183">
        <v>1</v>
      </c>
      <c r="F145" s="184">
        <f t="shared" si="277"/>
        <v>2400</v>
      </c>
      <c r="G145" s="343">
        <f t="shared" si="278"/>
        <v>2568</v>
      </c>
      <c r="H145" s="182">
        <f>'Program Budget'!K105</f>
        <v>1</v>
      </c>
      <c r="I145" s="183">
        <v>1</v>
      </c>
      <c r="J145" s="184">
        <f t="shared" si="279"/>
        <v>2568</v>
      </c>
      <c r="K145" s="343">
        <f t="shared" si="280"/>
        <v>2747.76</v>
      </c>
      <c r="L145" s="182">
        <f>'Program Budget'!N105</f>
        <v>1</v>
      </c>
      <c r="M145" s="183">
        <v>1</v>
      </c>
      <c r="N145" s="184">
        <f t="shared" si="281"/>
        <v>2747.76</v>
      </c>
      <c r="O145" s="343">
        <f t="shared" si="282"/>
        <v>2940.1032000000005</v>
      </c>
      <c r="P145" s="182">
        <f>'Program Budget'!Q105</f>
        <v>1</v>
      </c>
      <c r="Q145" s="183">
        <v>1</v>
      </c>
      <c r="R145" s="184">
        <f t="shared" si="283"/>
        <v>2940.1032000000005</v>
      </c>
      <c r="S145" s="343">
        <f t="shared" si="284"/>
        <v>3145.9104240000006</v>
      </c>
      <c r="T145" s="182">
        <f>'Program Budget'!T105</f>
        <v>1</v>
      </c>
      <c r="U145" s="183">
        <v>1</v>
      </c>
      <c r="V145" s="184">
        <f t="shared" si="285"/>
        <v>3145.9104240000006</v>
      </c>
      <c r="W145" s="338">
        <f t="shared" si="286"/>
        <v>13801.773624000001</v>
      </c>
    </row>
    <row r="146" spans="1:23" ht="28.2" outlineLevel="1">
      <c r="A146" s="179" t="str">
        <f>'Program Budget'!D106</f>
        <v>Meeting Expenses - Room Rental and A/V Equipment (for Small Meeting, Rooms Space Rented per Hour)</v>
      </c>
      <c r="B146" s="180" t="str">
        <f>'Program Budget'!F106</f>
        <v>Hours</v>
      </c>
      <c r="C146" s="357">
        <f>'Program Budget'!H106</f>
        <v>10</v>
      </c>
      <c r="D146" s="358">
        <f>'Program Budget'!G106</f>
        <v>225</v>
      </c>
      <c r="E146" s="183">
        <v>1</v>
      </c>
      <c r="F146" s="359">
        <f t="shared" si="277"/>
        <v>2250</v>
      </c>
      <c r="G146" s="343">
        <f t="shared" si="278"/>
        <v>10.700000000000001</v>
      </c>
      <c r="H146" s="358">
        <f>'Program Budget'!K106</f>
        <v>300</v>
      </c>
      <c r="I146" s="183">
        <v>1</v>
      </c>
      <c r="J146" s="359">
        <f t="shared" si="279"/>
        <v>3210.0000000000005</v>
      </c>
      <c r="K146" s="343">
        <f t="shared" si="280"/>
        <v>11.449000000000002</v>
      </c>
      <c r="L146" s="358">
        <f>'Program Budget'!N106</f>
        <v>300</v>
      </c>
      <c r="M146" s="183">
        <v>1</v>
      </c>
      <c r="N146" s="359">
        <f t="shared" si="281"/>
        <v>3434.7000000000003</v>
      </c>
      <c r="O146" s="343">
        <f t="shared" si="282"/>
        <v>12.250430000000003</v>
      </c>
      <c r="P146" s="358">
        <f>'Program Budget'!Q106</f>
        <v>300</v>
      </c>
      <c r="Q146" s="183">
        <v>1</v>
      </c>
      <c r="R146" s="359">
        <f t="shared" si="283"/>
        <v>3675.1290000000008</v>
      </c>
      <c r="S146" s="343">
        <f t="shared" si="284"/>
        <v>13.107960100000005</v>
      </c>
      <c r="T146" s="358">
        <f>'Program Budget'!T106</f>
        <v>150</v>
      </c>
      <c r="U146" s="183">
        <v>1</v>
      </c>
      <c r="V146" s="359">
        <f t="shared" si="285"/>
        <v>1966.1940150000007</v>
      </c>
      <c r="W146" s="338">
        <f t="shared" si="286"/>
        <v>14536.023015000002</v>
      </c>
    </row>
    <row r="147" spans="1:23" outlineLevel="1">
      <c r="A147" s="179" t="str">
        <f>'Program Budget'!D107</f>
        <v>Payroll Processing and Local Accounting Books Preparation</v>
      </c>
      <c r="B147" s="180" t="str">
        <f>'Program Budget'!F107</f>
        <v>Year</v>
      </c>
      <c r="C147" s="343">
        <f>'Program Budget'!H107</f>
        <v>10660</v>
      </c>
      <c r="D147" s="182">
        <f>'Program Budget'!G107</f>
        <v>1</v>
      </c>
      <c r="E147" s="183">
        <v>1</v>
      </c>
      <c r="F147" s="184">
        <f t="shared" si="277"/>
        <v>10660</v>
      </c>
      <c r="G147" s="343">
        <f t="shared" si="278"/>
        <v>11406.2</v>
      </c>
      <c r="H147" s="182">
        <f>'Program Budget'!K107</f>
        <v>1</v>
      </c>
      <c r="I147" s="183">
        <v>1</v>
      </c>
      <c r="J147" s="184">
        <f t="shared" si="279"/>
        <v>11406.2</v>
      </c>
      <c r="K147" s="343">
        <f t="shared" si="280"/>
        <v>12204.634000000002</v>
      </c>
      <c r="L147" s="182">
        <f>'Program Budget'!N107</f>
        <v>1</v>
      </c>
      <c r="M147" s="183">
        <v>1</v>
      </c>
      <c r="N147" s="184">
        <f t="shared" si="281"/>
        <v>12204.634000000002</v>
      </c>
      <c r="O147" s="343">
        <f t="shared" si="282"/>
        <v>13058.958380000002</v>
      </c>
      <c r="P147" s="182">
        <f>'Program Budget'!Q107</f>
        <v>1</v>
      </c>
      <c r="Q147" s="183">
        <v>1</v>
      </c>
      <c r="R147" s="184">
        <f t="shared" si="283"/>
        <v>13058.958380000002</v>
      </c>
      <c r="S147" s="343">
        <f t="shared" si="284"/>
        <v>13973.085466600003</v>
      </c>
      <c r="T147" s="182">
        <f>'Program Budget'!T107</f>
        <v>1</v>
      </c>
      <c r="U147" s="183">
        <v>1</v>
      </c>
      <c r="V147" s="184">
        <f t="shared" si="285"/>
        <v>13973.085466600003</v>
      </c>
      <c r="W147" s="338">
        <f t="shared" si="286"/>
        <v>61302.877846600008</v>
      </c>
    </row>
    <row r="148" spans="1:23" outlineLevel="1">
      <c r="A148" s="179" t="str">
        <f>'Program Budget'!D108</f>
        <v>Licenses &amp; Subscriptions (Microsoft 365, Replicon, PandaDoc, TripLog, HR Platform)</v>
      </c>
      <c r="B148" s="180" t="str">
        <f>'Program Budget'!F108</f>
        <v>Month</v>
      </c>
      <c r="C148" s="343">
        <f>'Program Budget'!H108</f>
        <v>1155</v>
      </c>
      <c r="D148" s="182">
        <f>'Program Budget'!G108</f>
        <v>9</v>
      </c>
      <c r="E148" s="183">
        <v>1</v>
      </c>
      <c r="F148" s="184">
        <f t="shared" si="277"/>
        <v>10395</v>
      </c>
      <c r="G148" s="343">
        <f t="shared" si="278"/>
        <v>1235.8500000000001</v>
      </c>
      <c r="H148" s="182">
        <f>'Program Budget'!K108</f>
        <v>12</v>
      </c>
      <c r="I148" s="183">
        <v>1</v>
      </c>
      <c r="J148" s="184">
        <f t="shared" si="279"/>
        <v>14830.2</v>
      </c>
      <c r="K148" s="343">
        <f t="shared" si="280"/>
        <v>1322.3595000000003</v>
      </c>
      <c r="L148" s="182">
        <f>'Program Budget'!N108</f>
        <v>12</v>
      </c>
      <c r="M148" s="183">
        <v>1</v>
      </c>
      <c r="N148" s="184">
        <f t="shared" si="281"/>
        <v>15868.314000000002</v>
      </c>
      <c r="O148" s="343">
        <f t="shared" si="282"/>
        <v>1414.9246650000005</v>
      </c>
      <c r="P148" s="182">
        <f>'Program Budget'!Q108</f>
        <v>12</v>
      </c>
      <c r="Q148" s="183">
        <v>1</v>
      </c>
      <c r="R148" s="184">
        <f t="shared" si="283"/>
        <v>16979.095980000006</v>
      </c>
      <c r="S148" s="343">
        <f t="shared" si="284"/>
        <v>1513.9693915500006</v>
      </c>
      <c r="T148" s="182">
        <f>'Program Budget'!T108</f>
        <v>9</v>
      </c>
      <c r="U148" s="183">
        <v>1</v>
      </c>
      <c r="V148" s="184">
        <f t="shared" si="285"/>
        <v>13625.724523950006</v>
      </c>
      <c r="W148" s="338">
        <f t="shared" si="286"/>
        <v>71698.334503950013</v>
      </c>
    </row>
    <row r="149" spans="1:23" ht="15.6" outlineLevel="1">
      <c r="A149" s="442"/>
      <c r="B149" s="202"/>
      <c r="D149" s="251"/>
      <c r="F149" s="184"/>
      <c r="H149" s="251"/>
      <c r="I149" s="145"/>
      <c r="J149" s="184"/>
      <c r="L149" s="251"/>
      <c r="N149" s="184"/>
      <c r="P149" s="251"/>
      <c r="Q149" s="145"/>
      <c r="R149" s="184"/>
      <c r="T149" s="251"/>
      <c r="U149" s="145"/>
      <c r="V149" s="184"/>
      <c r="W149" s="186"/>
    </row>
    <row r="150" spans="1:23" ht="18.3" outlineLevel="1">
      <c r="A150" s="443" t="s">
        <v>101</v>
      </c>
      <c r="B150" s="213"/>
      <c r="C150" s="346"/>
      <c r="D150" s="248"/>
      <c r="E150" s="249"/>
      <c r="F150" s="217">
        <f>SUM(F137:F148)</f>
        <v>43375</v>
      </c>
      <c r="G150" s="346"/>
      <c r="H150" s="248"/>
      <c r="I150" s="218"/>
      <c r="J150" s="217">
        <f>SUM(J137:J148)</f>
        <v>103019.59999999999</v>
      </c>
      <c r="K150" s="346"/>
      <c r="L150" s="248"/>
      <c r="M150" s="249"/>
      <c r="N150" s="217">
        <f>SUM(N137:N148)</f>
        <v>110230.97200000002</v>
      </c>
      <c r="O150" s="346"/>
      <c r="P150" s="248"/>
      <c r="Q150" s="218"/>
      <c r="R150" s="217">
        <f>SUM(R137:R148)</f>
        <v>117947.14004000003</v>
      </c>
      <c r="S150" s="346"/>
      <c r="T150" s="248"/>
      <c r="U150" s="218"/>
      <c r="V150" s="217">
        <f>SUM(V137:V148)</f>
        <v>76203.126041350028</v>
      </c>
      <c r="W150" s="217">
        <f>SUM(W137:W148)</f>
        <v>450775.83808135008</v>
      </c>
    </row>
    <row r="151" spans="1:23" ht="15.6" outlineLevel="1">
      <c r="A151" s="435" t="s">
        <v>33</v>
      </c>
      <c r="B151" s="250"/>
      <c r="D151" s="251"/>
      <c r="E151" s="252"/>
      <c r="F151" s="234"/>
      <c r="H151" s="251"/>
      <c r="I151" s="253"/>
      <c r="J151" s="207"/>
      <c r="L151" s="251"/>
      <c r="M151" s="252"/>
      <c r="N151" s="207"/>
      <c r="P151" s="251"/>
      <c r="Q151" s="253"/>
      <c r="R151" s="207"/>
      <c r="T151" s="251"/>
      <c r="U151" s="253"/>
      <c r="V151" s="207"/>
      <c r="W151" s="186"/>
    </row>
    <row r="152" spans="1:23" outlineLevel="1">
      <c r="A152" s="179" t="str">
        <f>'Program Budget'!D113</f>
        <v xml:space="preserve">Desktop/Laptop Computers </v>
      </c>
      <c r="B152" s="180" t="str">
        <f>'Program Budget'!F113</f>
        <v>Unit</v>
      </c>
      <c r="C152" s="343">
        <f>'Program Budget'!H113</f>
        <v>1460</v>
      </c>
      <c r="D152" s="182">
        <f>'Program Budget'!G113</f>
        <v>26</v>
      </c>
      <c r="E152" s="183">
        <v>1</v>
      </c>
      <c r="F152" s="184">
        <f t="shared" ref="F152" si="297">C152*D152*E152</f>
        <v>37960</v>
      </c>
      <c r="G152" s="343">
        <f>C152</f>
        <v>1460</v>
      </c>
      <c r="H152" s="182">
        <f>'Program Budget'!K113</f>
        <v>0</v>
      </c>
      <c r="I152" s="183">
        <v>0</v>
      </c>
      <c r="J152" s="184">
        <f t="shared" ref="J152" si="298">G152*H152*I152</f>
        <v>0</v>
      </c>
      <c r="K152" s="343">
        <f>G152</f>
        <v>1460</v>
      </c>
      <c r="L152" s="182">
        <f>'Program Budget'!N113</f>
        <v>0</v>
      </c>
      <c r="M152" s="183">
        <v>0</v>
      </c>
      <c r="N152" s="184">
        <f t="shared" ref="N152" si="299">K152*L152*M152</f>
        <v>0</v>
      </c>
      <c r="O152" s="343">
        <f>K152</f>
        <v>1460</v>
      </c>
      <c r="P152" s="182">
        <f>'Program Budget'!Q113</f>
        <v>0</v>
      </c>
      <c r="Q152" s="183">
        <v>0</v>
      </c>
      <c r="R152" s="184">
        <f t="shared" ref="R152" si="300">O152*P152*Q152</f>
        <v>0</v>
      </c>
      <c r="S152" s="343">
        <f>O152</f>
        <v>1460</v>
      </c>
      <c r="T152" s="182">
        <f>'Program Budget'!T113</f>
        <v>0</v>
      </c>
      <c r="U152" s="183">
        <v>0</v>
      </c>
      <c r="V152" s="184">
        <f t="shared" ref="V152" si="301">S152*T152*U152</f>
        <v>0</v>
      </c>
      <c r="W152" s="338">
        <f t="shared" ref="W152" si="302">F152+J152+N152+R152+V152</f>
        <v>37960</v>
      </c>
    </row>
    <row r="153" spans="1:23" outlineLevel="1">
      <c r="A153" s="179" t="str">
        <f>'Program Budget'!D114</f>
        <v>Phones for Staff</v>
      </c>
      <c r="B153" s="180" t="str">
        <f>'Program Budget'!F114</f>
        <v>Unit</v>
      </c>
      <c r="C153" s="343">
        <f>'Program Budget'!H114</f>
        <v>300</v>
      </c>
      <c r="D153" s="182">
        <f>'Program Budget'!G114</f>
        <v>26</v>
      </c>
      <c r="E153" s="183">
        <v>1</v>
      </c>
      <c r="F153" s="184">
        <f t="shared" ref="F153" si="303">C153*D153*E153</f>
        <v>7800</v>
      </c>
      <c r="G153" s="343">
        <f>C153</f>
        <v>300</v>
      </c>
      <c r="H153" s="182">
        <f>'Program Budget'!K114</f>
        <v>0</v>
      </c>
      <c r="I153" s="183">
        <v>0</v>
      </c>
      <c r="J153" s="184">
        <f t="shared" ref="J153" si="304">G153*H153*I153</f>
        <v>0</v>
      </c>
      <c r="K153" s="343">
        <f>G153</f>
        <v>300</v>
      </c>
      <c r="L153" s="182">
        <f>'Program Budget'!N114</f>
        <v>0</v>
      </c>
      <c r="M153" s="183">
        <v>0</v>
      </c>
      <c r="N153" s="184">
        <f t="shared" ref="N153" si="305">K153*L153*M153</f>
        <v>0</v>
      </c>
      <c r="O153" s="343">
        <f>K153</f>
        <v>300</v>
      </c>
      <c r="P153" s="182">
        <f>'Program Budget'!Q114</f>
        <v>0</v>
      </c>
      <c r="Q153" s="183">
        <v>0</v>
      </c>
      <c r="R153" s="184">
        <f t="shared" ref="R153" si="306">O153*P153*Q153</f>
        <v>0</v>
      </c>
      <c r="S153" s="343">
        <f>O153</f>
        <v>300</v>
      </c>
      <c r="T153" s="182">
        <f>'Program Budget'!T114</f>
        <v>0</v>
      </c>
      <c r="U153" s="183">
        <v>0</v>
      </c>
      <c r="V153" s="184">
        <f t="shared" ref="V153" si="307">S153*T153*U153</f>
        <v>0</v>
      </c>
      <c r="W153" s="338">
        <f t="shared" ref="W153" si="308">F153+J153+N153+R153+V153</f>
        <v>7800</v>
      </c>
    </row>
    <row r="154" spans="1:23" outlineLevel="1">
      <c r="A154" s="179" t="str">
        <f>'Program Budget'!D115</f>
        <v>All in One: Printer, Photocopier &amp; Scanner</v>
      </c>
      <c r="B154" s="180" t="str">
        <f>'Program Budget'!F115</f>
        <v>Unit</v>
      </c>
      <c r="C154" s="343">
        <f>'Program Budget'!H115</f>
        <v>653.36</v>
      </c>
      <c r="D154" s="182">
        <f>'Program Budget'!G115</f>
        <v>2</v>
      </c>
      <c r="E154" s="183">
        <v>1</v>
      </c>
      <c r="F154" s="184">
        <f t="shared" ref="F154:F160" si="309">C154*D154*E154</f>
        <v>1306.72</v>
      </c>
      <c r="G154" s="343">
        <f>C154</f>
        <v>653.36</v>
      </c>
      <c r="H154" s="182">
        <f>'Program Budget'!K115</f>
        <v>0</v>
      </c>
      <c r="I154" s="183">
        <v>0</v>
      </c>
      <c r="J154" s="184">
        <f t="shared" ref="J154:J160" si="310">G154*H154*I154</f>
        <v>0</v>
      </c>
      <c r="K154" s="343">
        <f>G154</f>
        <v>653.36</v>
      </c>
      <c r="L154" s="182">
        <f>'Program Budget'!N115</f>
        <v>0</v>
      </c>
      <c r="M154" s="183">
        <v>0</v>
      </c>
      <c r="N154" s="184">
        <f t="shared" ref="N154:N160" si="311">K154*L154*M154</f>
        <v>0</v>
      </c>
      <c r="O154" s="343">
        <f>K154</f>
        <v>653.36</v>
      </c>
      <c r="P154" s="182">
        <f>'Program Budget'!Q115</f>
        <v>0</v>
      </c>
      <c r="Q154" s="183">
        <v>0</v>
      </c>
      <c r="R154" s="184">
        <f t="shared" ref="R154:R160" si="312">O154*P154*Q154</f>
        <v>0</v>
      </c>
      <c r="S154" s="343">
        <f>O154</f>
        <v>653.36</v>
      </c>
      <c r="T154" s="182">
        <f>'Program Budget'!T115</f>
        <v>0</v>
      </c>
      <c r="U154" s="183">
        <v>0</v>
      </c>
      <c r="V154" s="184">
        <f t="shared" ref="V154:V160" si="313">S154*T154*U154</f>
        <v>0</v>
      </c>
      <c r="W154" s="338">
        <f t="shared" ref="W154:W160" si="314">F154+J154+N154+R154+V154</f>
        <v>1306.72</v>
      </c>
    </row>
    <row r="155" spans="1:23" outlineLevel="1">
      <c r="A155" s="179" t="str">
        <f>'Program Budget'!D116</f>
        <v>Tablet</v>
      </c>
      <c r="B155" s="180" t="str">
        <f>'Program Budget'!F116</f>
        <v>Unit</v>
      </c>
      <c r="C155" s="343">
        <f>'Program Budget'!H116</f>
        <v>300</v>
      </c>
      <c r="D155" s="182">
        <f>'Program Budget'!G116</f>
        <v>4</v>
      </c>
      <c r="E155" s="183">
        <v>1</v>
      </c>
      <c r="F155" s="184">
        <f t="shared" si="309"/>
        <v>1200</v>
      </c>
      <c r="G155" s="343">
        <f>C155</f>
        <v>300</v>
      </c>
      <c r="H155" s="182">
        <f>'Program Budget'!K116</f>
        <v>0</v>
      </c>
      <c r="I155" s="183">
        <v>0</v>
      </c>
      <c r="J155" s="184">
        <f t="shared" si="310"/>
        <v>0</v>
      </c>
      <c r="K155" s="343">
        <f>G155</f>
        <v>300</v>
      </c>
      <c r="L155" s="182">
        <f>'Program Budget'!N116</f>
        <v>0</v>
      </c>
      <c r="M155" s="183">
        <v>0</v>
      </c>
      <c r="N155" s="184">
        <f t="shared" si="311"/>
        <v>0</v>
      </c>
      <c r="O155" s="343">
        <f>K155</f>
        <v>300</v>
      </c>
      <c r="P155" s="182">
        <f>'Program Budget'!Q116</f>
        <v>0</v>
      </c>
      <c r="Q155" s="183">
        <v>0</v>
      </c>
      <c r="R155" s="184">
        <f t="shared" si="312"/>
        <v>0</v>
      </c>
      <c r="S155" s="343">
        <f>O155</f>
        <v>300</v>
      </c>
      <c r="T155" s="182">
        <f>'Program Budget'!T116</f>
        <v>0</v>
      </c>
      <c r="U155" s="183">
        <v>0</v>
      </c>
      <c r="V155" s="184">
        <f t="shared" si="313"/>
        <v>0</v>
      </c>
      <c r="W155" s="338">
        <f t="shared" si="314"/>
        <v>1200</v>
      </c>
    </row>
    <row r="156" spans="1:23" outlineLevel="1">
      <c r="A156" s="179" t="str">
        <f>'Program Budget'!D117</f>
        <v>Projector and Video Conferencing Equipment</v>
      </c>
      <c r="B156" s="180" t="str">
        <f>'Program Budget'!F117</f>
        <v>Unit</v>
      </c>
      <c r="C156" s="343">
        <f>'Program Budget'!H117</f>
        <v>1300</v>
      </c>
      <c r="D156" s="182">
        <f>'Program Budget'!G117</f>
        <v>2</v>
      </c>
      <c r="E156" s="183">
        <v>1</v>
      </c>
      <c r="F156" s="184">
        <f t="shared" si="309"/>
        <v>2600</v>
      </c>
      <c r="G156" s="343">
        <f>C156</f>
        <v>1300</v>
      </c>
      <c r="H156" s="182">
        <f>'Program Budget'!K117</f>
        <v>0</v>
      </c>
      <c r="I156" s="183">
        <v>0</v>
      </c>
      <c r="J156" s="184">
        <f t="shared" si="310"/>
        <v>0</v>
      </c>
      <c r="K156" s="343">
        <f>G156</f>
        <v>1300</v>
      </c>
      <c r="L156" s="182">
        <f>'Program Budget'!N117</f>
        <v>0</v>
      </c>
      <c r="M156" s="183">
        <v>0</v>
      </c>
      <c r="N156" s="184">
        <f t="shared" si="311"/>
        <v>0</v>
      </c>
      <c r="O156" s="343">
        <f>K156</f>
        <v>1300</v>
      </c>
      <c r="P156" s="182">
        <f>'Program Budget'!Q117</f>
        <v>0</v>
      </c>
      <c r="Q156" s="183">
        <v>0</v>
      </c>
      <c r="R156" s="184">
        <f t="shared" si="312"/>
        <v>0</v>
      </c>
      <c r="S156" s="343">
        <f>O156</f>
        <v>1300</v>
      </c>
      <c r="T156" s="182">
        <f>'Program Budget'!T117</f>
        <v>0</v>
      </c>
      <c r="U156" s="183">
        <v>0</v>
      </c>
      <c r="V156" s="184">
        <f t="shared" si="313"/>
        <v>0</v>
      </c>
      <c r="W156" s="338">
        <f t="shared" si="314"/>
        <v>2600</v>
      </c>
    </row>
    <row r="157" spans="1:23" ht="15.6" outlineLevel="1">
      <c r="A157" s="435" t="str">
        <f>'Program Budget'!D118</f>
        <v>Furnishing for Satellite Office in Tozeur</v>
      </c>
      <c r="B157" s="180"/>
      <c r="C157" s="343"/>
      <c r="D157" s="182"/>
      <c r="E157" s="183"/>
      <c r="F157" s="184"/>
      <c r="G157" s="343"/>
      <c r="H157" s="182"/>
      <c r="I157" s="183"/>
      <c r="J157" s="184"/>
      <c r="K157" s="343"/>
      <c r="L157" s="182"/>
      <c r="M157" s="183"/>
      <c r="N157" s="184"/>
      <c r="O157" s="343"/>
      <c r="P157" s="182"/>
      <c r="Q157" s="183"/>
      <c r="R157" s="184"/>
      <c r="S157" s="343"/>
      <c r="T157" s="182"/>
      <c r="U157" s="183"/>
      <c r="V157" s="184"/>
      <c r="W157" s="338"/>
    </row>
    <row r="158" spans="1:23" outlineLevel="1">
      <c r="A158" s="179" t="str">
        <f>'Program Budget'!D119</f>
        <v>Desks and Chairs for Office</v>
      </c>
      <c r="B158" s="180" t="str">
        <f>'Program Budget'!F119</f>
        <v>Unit</v>
      </c>
      <c r="C158" s="343">
        <f>'Program Budget'!H119</f>
        <v>725</v>
      </c>
      <c r="D158" s="182">
        <f>'Program Budget'!G119</f>
        <v>16</v>
      </c>
      <c r="E158" s="183">
        <v>1</v>
      </c>
      <c r="F158" s="184">
        <f t="shared" si="309"/>
        <v>11600</v>
      </c>
      <c r="G158" s="343">
        <f>C158</f>
        <v>725</v>
      </c>
      <c r="H158" s="182">
        <f>'Program Budget'!K119</f>
        <v>0</v>
      </c>
      <c r="I158" s="183">
        <v>0</v>
      </c>
      <c r="J158" s="184">
        <f t="shared" si="310"/>
        <v>0</v>
      </c>
      <c r="K158" s="343">
        <f>G158</f>
        <v>725</v>
      </c>
      <c r="L158" s="182">
        <f>'Program Budget'!N119</f>
        <v>0</v>
      </c>
      <c r="M158" s="183">
        <v>0</v>
      </c>
      <c r="N158" s="184">
        <f t="shared" si="311"/>
        <v>0</v>
      </c>
      <c r="O158" s="343">
        <f>K158</f>
        <v>725</v>
      </c>
      <c r="P158" s="182">
        <f>'Program Budget'!Q119</f>
        <v>0</v>
      </c>
      <c r="Q158" s="183">
        <v>0</v>
      </c>
      <c r="R158" s="184">
        <f t="shared" si="312"/>
        <v>0</v>
      </c>
      <c r="S158" s="343">
        <f>O158</f>
        <v>725</v>
      </c>
      <c r="T158" s="182">
        <f>'Program Budget'!T119</f>
        <v>0</v>
      </c>
      <c r="U158" s="183">
        <v>0</v>
      </c>
      <c r="V158" s="184">
        <f t="shared" si="313"/>
        <v>0</v>
      </c>
      <c r="W158" s="338">
        <f t="shared" si="314"/>
        <v>11600</v>
      </c>
    </row>
    <row r="159" spans="1:23" outlineLevel="1">
      <c r="A159" s="179" t="str">
        <f>'Program Budget'!D120</f>
        <v>Meeting Table for Office</v>
      </c>
      <c r="B159" s="180" t="str">
        <f>'Program Budget'!F120</f>
        <v>Unit</v>
      </c>
      <c r="C159" s="343">
        <f>'Program Budget'!H120</f>
        <v>1200</v>
      </c>
      <c r="D159" s="182">
        <f>'Program Budget'!G120</f>
        <v>1</v>
      </c>
      <c r="E159" s="183">
        <v>1</v>
      </c>
      <c r="F159" s="184">
        <f t="shared" si="309"/>
        <v>1200</v>
      </c>
      <c r="G159" s="343">
        <f>C159</f>
        <v>1200</v>
      </c>
      <c r="H159" s="182">
        <f>'Program Budget'!K120</f>
        <v>0</v>
      </c>
      <c r="I159" s="183">
        <v>0</v>
      </c>
      <c r="J159" s="184">
        <f t="shared" si="310"/>
        <v>0</v>
      </c>
      <c r="K159" s="343">
        <f>G159</f>
        <v>1200</v>
      </c>
      <c r="L159" s="182">
        <f>'Program Budget'!N120</f>
        <v>0</v>
      </c>
      <c r="M159" s="183">
        <v>0</v>
      </c>
      <c r="N159" s="184">
        <f t="shared" si="311"/>
        <v>0</v>
      </c>
      <c r="O159" s="343">
        <f>K159</f>
        <v>1200</v>
      </c>
      <c r="P159" s="182">
        <f>'Program Budget'!Q120</f>
        <v>0</v>
      </c>
      <c r="Q159" s="183">
        <v>0</v>
      </c>
      <c r="R159" s="184">
        <f t="shared" si="312"/>
        <v>0</v>
      </c>
      <c r="S159" s="343">
        <f>O159</f>
        <v>1200</v>
      </c>
      <c r="T159" s="182">
        <f>'Program Budget'!T120</f>
        <v>0</v>
      </c>
      <c r="U159" s="183">
        <v>0</v>
      </c>
      <c r="V159" s="184">
        <f t="shared" si="313"/>
        <v>0</v>
      </c>
      <c r="W159" s="338">
        <f t="shared" si="314"/>
        <v>1200</v>
      </c>
    </row>
    <row r="160" spans="1:23" outlineLevel="1">
      <c r="A160" s="179" t="str">
        <f>'Program Budget'!D121</f>
        <v>Shelves and Filing Cabinets, &amp; Safe for Office Storage</v>
      </c>
      <c r="B160" s="180" t="str">
        <f>'Program Budget'!F121</f>
        <v>Unit</v>
      </c>
      <c r="C160" s="343">
        <f>'Program Budget'!H121</f>
        <v>2500</v>
      </c>
      <c r="D160" s="182">
        <f>'Program Budget'!G121</f>
        <v>1</v>
      </c>
      <c r="E160" s="183">
        <v>1</v>
      </c>
      <c r="F160" s="184">
        <f t="shared" si="309"/>
        <v>2500</v>
      </c>
      <c r="G160" s="343">
        <f>C160</f>
        <v>2500</v>
      </c>
      <c r="H160" s="182">
        <f>'Program Budget'!K121</f>
        <v>0</v>
      </c>
      <c r="I160" s="183">
        <v>0</v>
      </c>
      <c r="J160" s="184">
        <f t="shared" si="310"/>
        <v>0</v>
      </c>
      <c r="K160" s="343">
        <f>G160</f>
        <v>2500</v>
      </c>
      <c r="L160" s="182">
        <f>'Program Budget'!N121</f>
        <v>0</v>
      </c>
      <c r="M160" s="183">
        <v>0</v>
      </c>
      <c r="N160" s="184">
        <f t="shared" si="311"/>
        <v>0</v>
      </c>
      <c r="O160" s="343">
        <f>K160</f>
        <v>2500</v>
      </c>
      <c r="P160" s="182">
        <f>'Program Budget'!Q121</f>
        <v>0</v>
      </c>
      <c r="Q160" s="183">
        <v>0</v>
      </c>
      <c r="R160" s="184">
        <f t="shared" si="312"/>
        <v>0</v>
      </c>
      <c r="S160" s="343">
        <f>O160</f>
        <v>2500</v>
      </c>
      <c r="T160" s="182">
        <f>'Program Budget'!T121</f>
        <v>0</v>
      </c>
      <c r="U160" s="183">
        <v>0</v>
      </c>
      <c r="V160" s="184">
        <f t="shared" si="313"/>
        <v>0</v>
      </c>
      <c r="W160" s="338">
        <f t="shared" si="314"/>
        <v>2500</v>
      </c>
    </row>
    <row r="161" spans="1:23" outlineLevel="1">
      <c r="A161" s="179" t="str">
        <f>'Program Budget'!D122</f>
        <v>A/C Unit for Office</v>
      </c>
      <c r="B161" s="180" t="str">
        <f>'Program Budget'!F122</f>
        <v>Unit</v>
      </c>
      <c r="C161" s="343">
        <f>'Program Budget'!H122</f>
        <v>503.065</v>
      </c>
      <c r="D161" s="182">
        <f>'Program Budget'!G122</f>
        <v>2</v>
      </c>
      <c r="E161" s="183">
        <v>1</v>
      </c>
      <c r="F161" s="184">
        <f t="shared" ref="F161:F162" si="315">C161*D161*E161</f>
        <v>1006.13</v>
      </c>
      <c r="G161" s="343">
        <f>C161</f>
        <v>503.065</v>
      </c>
      <c r="H161" s="182">
        <f>'Program Budget'!K122</f>
        <v>0</v>
      </c>
      <c r="I161" s="183">
        <v>0</v>
      </c>
      <c r="J161" s="184">
        <f t="shared" ref="J161:J162" si="316">G161*H161*I161</f>
        <v>0</v>
      </c>
      <c r="K161" s="343">
        <f>G161</f>
        <v>503.065</v>
      </c>
      <c r="L161" s="182">
        <f>'Program Budget'!N122</f>
        <v>0</v>
      </c>
      <c r="M161" s="183">
        <v>0</v>
      </c>
      <c r="N161" s="184">
        <f t="shared" ref="N161:N162" si="317">K161*L161*M161</f>
        <v>0</v>
      </c>
      <c r="O161" s="343">
        <f>K161</f>
        <v>503.065</v>
      </c>
      <c r="P161" s="182">
        <f>'Program Budget'!Q122</f>
        <v>0</v>
      </c>
      <c r="Q161" s="183">
        <v>0</v>
      </c>
      <c r="R161" s="184">
        <f t="shared" ref="R161:R162" si="318">O161*P161*Q161</f>
        <v>0</v>
      </c>
      <c r="S161" s="343">
        <f>O161</f>
        <v>503.065</v>
      </c>
      <c r="T161" s="182">
        <f>'Program Budget'!T122</f>
        <v>0</v>
      </c>
      <c r="U161" s="183">
        <v>0</v>
      </c>
      <c r="V161" s="184">
        <f t="shared" ref="V161:V162" si="319">S161*T161*U161</f>
        <v>0</v>
      </c>
      <c r="W161" s="338">
        <f t="shared" ref="W161:W162" si="320">F161+J161+N161+R161+V161</f>
        <v>1006.13</v>
      </c>
    </row>
    <row r="162" spans="1:23" outlineLevel="1">
      <c r="A162" s="179" t="str">
        <f>'Program Budget'!D123</f>
        <v xml:space="preserve">Office Supplies </v>
      </c>
      <c r="B162" s="180" t="str">
        <f>'Program Budget'!F123</f>
        <v>Month</v>
      </c>
      <c r="C162" s="343">
        <f>'Program Budget'!H123</f>
        <v>250</v>
      </c>
      <c r="D162" s="182">
        <f>'Program Budget'!G123</f>
        <v>9</v>
      </c>
      <c r="E162" s="183">
        <v>1</v>
      </c>
      <c r="F162" s="184">
        <f t="shared" si="315"/>
        <v>2250</v>
      </c>
      <c r="G162" s="357">
        <f>C162*1.07</f>
        <v>267.5</v>
      </c>
      <c r="H162" s="182">
        <f>'Program Budget'!K123</f>
        <v>12</v>
      </c>
      <c r="I162" s="183">
        <v>1</v>
      </c>
      <c r="J162" s="184">
        <f t="shared" si="316"/>
        <v>3210</v>
      </c>
      <c r="K162" s="357">
        <f>G162*1.07</f>
        <v>286.22500000000002</v>
      </c>
      <c r="L162" s="182">
        <f>'Program Budget'!N123</f>
        <v>12</v>
      </c>
      <c r="M162" s="183">
        <v>1</v>
      </c>
      <c r="N162" s="184">
        <f t="shared" si="317"/>
        <v>3434.7000000000003</v>
      </c>
      <c r="O162" s="357">
        <f>K162*1.07</f>
        <v>306.26075000000003</v>
      </c>
      <c r="P162" s="182">
        <f>'Program Budget'!Q123</f>
        <v>12</v>
      </c>
      <c r="Q162" s="183">
        <v>1</v>
      </c>
      <c r="R162" s="184">
        <f t="shared" si="318"/>
        <v>3675.1290000000004</v>
      </c>
      <c r="S162" s="357">
        <f>O162*1.07</f>
        <v>327.69900250000006</v>
      </c>
      <c r="T162" s="182">
        <f>'Program Budget'!T123</f>
        <v>9</v>
      </c>
      <c r="U162" s="183">
        <v>1</v>
      </c>
      <c r="V162" s="184">
        <f t="shared" si="319"/>
        <v>2949.2910225000005</v>
      </c>
      <c r="W162" s="338">
        <f t="shared" si="320"/>
        <v>15519.120022500003</v>
      </c>
    </row>
    <row r="163" spans="1:23" outlineLevel="1">
      <c r="A163" s="179" t="str">
        <f>'Program Budget'!D177</f>
        <v>Inputs for Model Farms (Demonstration Plots) Set-up and Maintenance</v>
      </c>
      <c r="B163" s="180" t="str">
        <f>'Program Budget'!F177</f>
        <v>Unit</v>
      </c>
      <c r="C163" s="357">
        <f>'Program Budget'!H177</f>
        <v>8000</v>
      </c>
      <c r="D163" s="358">
        <f>'Program Budget'!G177</f>
        <v>2</v>
      </c>
      <c r="E163" s="183">
        <v>1</v>
      </c>
      <c r="F163" s="184">
        <f t="shared" ref="F163" si="321">C163*D163*E163</f>
        <v>16000</v>
      </c>
      <c r="G163" s="343">
        <f t="shared" ref="G163" si="322">C163</f>
        <v>8000</v>
      </c>
      <c r="H163" s="182">
        <f>'Program Budget'!K177</f>
        <v>2</v>
      </c>
      <c r="I163" s="183">
        <v>1</v>
      </c>
      <c r="J163" s="184">
        <f t="shared" ref="J163" si="323">G163*H163*I163</f>
        <v>16000</v>
      </c>
      <c r="K163" s="343">
        <f t="shared" ref="K163" si="324">G163</f>
        <v>8000</v>
      </c>
      <c r="L163" s="182">
        <f>'Program Budget'!N177</f>
        <v>0</v>
      </c>
      <c r="M163" s="183">
        <v>0</v>
      </c>
      <c r="N163" s="184">
        <f t="shared" ref="N163" si="325">K163*L163*M163</f>
        <v>0</v>
      </c>
      <c r="O163" s="343">
        <f t="shared" ref="O163" si="326">K163</f>
        <v>8000</v>
      </c>
      <c r="P163" s="182">
        <f>'Program Budget'!Q177</f>
        <v>0</v>
      </c>
      <c r="Q163" s="183">
        <v>0</v>
      </c>
      <c r="R163" s="184">
        <f t="shared" ref="R163" si="327">O163*P163*Q163</f>
        <v>0</v>
      </c>
      <c r="S163" s="343">
        <f t="shared" ref="S163" si="328">O163</f>
        <v>8000</v>
      </c>
      <c r="T163" s="182">
        <f>'Program Budget'!T177</f>
        <v>0</v>
      </c>
      <c r="U163" s="183">
        <v>0</v>
      </c>
      <c r="V163" s="184">
        <f t="shared" ref="V163" si="329">S163*T163*U163</f>
        <v>0</v>
      </c>
      <c r="W163" s="338">
        <f t="shared" ref="W163" si="330">F163+J163+N163+R163+V163</f>
        <v>32000</v>
      </c>
    </row>
    <row r="164" spans="1:23" outlineLevel="1">
      <c r="A164" s="179" t="str">
        <f>'Program Budget'!D178</f>
        <v>Communication Costs for Publication of RFPs/RFAs</v>
      </c>
      <c r="B164" s="180" t="str">
        <f>'Program Budget'!F178</f>
        <v>Unit</v>
      </c>
      <c r="C164" s="357">
        <f>'Program Budget'!H178</f>
        <v>500</v>
      </c>
      <c r="D164" s="358">
        <f>'Program Budget'!G178+'Program Budget'!G251+'Program Budget'!G327</f>
        <v>2</v>
      </c>
      <c r="E164" s="183">
        <v>1</v>
      </c>
      <c r="F164" s="184">
        <f t="shared" ref="F164:F165" si="331">C164*D164*E164</f>
        <v>1000</v>
      </c>
      <c r="G164" s="343">
        <f t="shared" ref="G164" si="332">C164</f>
        <v>500</v>
      </c>
      <c r="H164" s="358">
        <f>'Program Budget'!K178+'Program Budget'!K251+'Program Budget'!K327</f>
        <v>7</v>
      </c>
      <c r="I164" s="183">
        <v>1</v>
      </c>
      <c r="J164" s="184">
        <f t="shared" ref="J164:J165" si="333">G164*H164*I164</f>
        <v>3500</v>
      </c>
      <c r="K164" s="343">
        <f t="shared" ref="K164" si="334">G164</f>
        <v>500</v>
      </c>
      <c r="L164" s="358">
        <f>'Program Budget'!N178+'Program Budget'!N251+'Program Budget'!N327</f>
        <v>5</v>
      </c>
      <c r="M164" s="183">
        <v>1</v>
      </c>
      <c r="N164" s="184">
        <f t="shared" ref="N164:N165" si="335">K164*L164*M164</f>
        <v>2500</v>
      </c>
      <c r="O164" s="343">
        <f t="shared" ref="O164" si="336">K164</f>
        <v>500</v>
      </c>
      <c r="P164" s="358">
        <f>'Program Budget'!Q178+'Program Budget'!Q251+'Program Budget'!Q327</f>
        <v>2</v>
      </c>
      <c r="Q164" s="183">
        <v>1</v>
      </c>
      <c r="R164" s="184">
        <f t="shared" ref="R164:R165" si="337">O164*P164*Q164</f>
        <v>1000</v>
      </c>
      <c r="S164" s="343">
        <f t="shared" ref="S164" si="338">O164</f>
        <v>500</v>
      </c>
      <c r="T164" s="182">
        <f>'Program Budget'!T327+'Program Budget'!T251+'Program Budget'!T178</f>
        <v>0</v>
      </c>
      <c r="U164" s="183">
        <v>0</v>
      </c>
      <c r="V164" s="184">
        <f t="shared" ref="V164:V165" si="339">S164*T164*U164</f>
        <v>0</v>
      </c>
      <c r="W164" s="338">
        <f t="shared" ref="W164:W165" si="340">F164+J164+N164+R164+V164</f>
        <v>8000</v>
      </c>
    </row>
    <row r="165" spans="1:23" outlineLevel="1">
      <c r="A165" s="179" t="str">
        <f>'Program Budget'!D325</f>
        <v xml:space="preserve">Supplies for Remote Irrigation Pilot </v>
      </c>
      <c r="B165" s="180" t="str">
        <f>'Program Budget'!F325</f>
        <v>Unit</v>
      </c>
      <c r="C165" s="357">
        <f>'Program Budget'!H325</f>
        <v>4000</v>
      </c>
      <c r="D165" s="182">
        <f>'Program Budget'!G325</f>
        <v>0</v>
      </c>
      <c r="E165" s="183">
        <v>0</v>
      </c>
      <c r="F165" s="184">
        <f t="shared" si="331"/>
        <v>0</v>
      </c>
      <c r="G165" s="343">
        <f>C165</f>
        <v>4000</v>
      </c>
      <c r="H165" s="182">
        <f>'Program Budget'!K325</f>
        <v>0</v>
      </c>
      <c r="I165" s="183">
        <v>0</v>
      </c>
      <c r="J165" s="184">
        <f t="shared" si="333"/>
        <v>0</v>
      </c>
      <c r="K165" s="343">
        <f>G165</f>
        <v>4000</v>
      </c>
      <c r="L165" s="182">
        <f>'Program Budget'!N325</f>
        <v>4</v>
      </c>
      <c r="M165" s="183">
        <v>1</v>
      </c>
      <c r="N165" s="184">
        <f t="shared" si="335"/>
        <v>16000</v>
      </c>
      <c r="O165" s="343">
        <f>K165</f>
        <v>4000</v>
      </c>
      <c r="P165" s="182">
        <f>'Program Budget'!Q325</f>
        <v>0</v>
      </c>
      <c r="Q165" s="183">
        <v>0</v>
      </c>
      <c r="R165" s="184">
        <f t="shared" si="337"/>
        <v>0</v>
      </c>
      <c r="S165" s="343">
        <f>O165</f>
        <v>4000</v>
      </c>
      <c r="T165" s="182">
        <f>'Program Budget'!T325</f>
        <v>0</v>
      </c>
      <c r="U165" s="183">
        <v>0</v>
      </c>
      <c r="V165" s="184">
        <f t="shared" si="339"/>
        <v>0</v>
      </c>
      <c r="W165" s="338">
        <f t="shared" si="340"/>
        <v>16000</v>
      </c>
    </row>
    <row r="166" spans="1:23" outlineLevel="1">
      <c r="A166" s="179" t="str">
        <f>'Program Budget'!D326</f>
        <v>Supplies for Low-Cost Water Meters</v>
      </c>
      <c r="B166" s="180" t="str">
        <f>'Program Budget'!F326</f>
        <v>Unit</v>
      </c>
      <c r="C166" s="357">
        <f>'Program Budget'!H326</f>
        <v>1000</v>
      </c>
      <c r="D166" s="182">
        <f>'Program Budget'!G326</f>
        <v>0</v>
      </c>
      <c r="E166" s="183">
        <v>0</v>
      </c>
      <c r="F166" s="184">
        <f t="shared" ref="F166" si="341">C166*D166*E166</f>
        <v>0</v>
      </c>
      <c r="G166" s="343">
        <f>C166</f>
        <v>1000</v>
      </c>
      <c r="H166" s="182">
        <f>'Program Budget'!K326</f>
        <v>0</v>
      </c>
      <c r="I166" s="183">
        <v>0</v>
      </c>
      <c r="J166" s="184">
        <f t="shared" ref="J166" si="342">G166*H166*I166</f>
        <v>0</v>
      </c>
      <c r="K166" s="343">
        <f>G166</f>
        <v>1000</v>
      </c>
      <c r="L166" s="182">
        <f>'Program Budget'!N326</f>
        <v>10</v>
      </c>
      <c r="M166" s="183">
        <v>1</v>
      </c>
      <c r="N166" s="184">
        <f t="shared" ref="N166" si="343">K166*L166*M166</f>
        <v>10000</v>
      </c>
      <c r="O166" s="343">
        <f>K166</f>
        <v>1000</v>
      </c>
      <c r="P166" s="182">
        <f>'Program Budget'!Q326</f>
        <v>0</v>
      </c>
      <c r="Q166" s="183">
        <v>0</v>
      </c>
      <c r="R166" s="184">
        <f t="shared" ref="R166" si="344">O166*P166*Q166</f>
        <v>0</v>
      </c>
      <c r="S166" s="343">
        <f>O166</f>
        <v>1000</v>
      </c>
      <c r="T166" s="182">
        <f>'Program Budget'!T326</f>
        <v>0</v>
      </c>
      <c r="U166" s="183">
        <v>0</v>
      </c>
      <c r="V166" s="184">
        <f t="shared" ref="V166" si="345">S166*T166*U166</f>
        <v>0</v>
      </c>
      <c r="W166" s="338">
        <f t="shared" ref="W166" si="346">F166+J166+N166+R166+V166</f>
        <v>10000</v>
      </c>
    </row>
    <row r="167" spans="1:23" ht="15.6" outlineLevel="1">
      <c r="A167" s="444"/>
      <c r="B167" s="202"/>
      <c r="C167" s="348"/>
      <c r="D167" s="257"/>
      <c r="F167" s="184"/>
      <c r="G167" s="348"/>
      <c r="H167" s="257"/>
      <c r="I167" s="145"/>
      <c r="J167" s="184"/>
      <c r="K167" s="348"/>
      <c r="L167" s="257"/>
      <c r="N167" s="184"/>
      <c r="O167" s="348"/>
      <c r="P167" s="257"/>
      <c r="Q167" s="145"/>
      <c r="R167" s="184"/>
      <c r="S167" s="348"/>
      <c r="T167" s="257"/>
      <c r="U167" s="145"/>
      <c r="V167" s="184"/>
      <c r="W167" s="186"/>
    </row>
    <row r="168" spans="1:23" ht="18.3" outlineLevel="1">
      <c r="A168" s="443" t="s">
        <v>102</v>
      </c>
      <c r="B168" s="213"/>
      <c r="C168" s="346"/>
      <c r="D168" s="248"/>
      <c r="E168" s="249"/>
      <c r="F168" s="217">
        <f>SUM(F152:F167)</f>
        <v>86422.85</v>
      </c>
      <c r="G168" s="346"/>
      <c r="H168" s="248"/>
      <c r="I168" s="218"/>
      <c r="J168" s="217">
        <f>SUM(J152:J167)</f>
        <v>22710</v>
      </c>
      <c r="K168" s="346"/>
      <c r="L168" s="248"/>
      <c r="M168" s="249"/>
      <c r="N168" s="217">
        <f>SUM(N152:N167)</f>
        <v>31934.7</v>
      </c>
      <c r="O168" s="346"/>
      <c r="P168" s="248"/>
      <c r="Q168" s="218"/>
      <c r="R168" s="217">
        <f>SUM(R152:R167)</f>
        <v>4675.1290000000008</v>
      </c>
      <c r="S168" s="346"/>
      <c r="T168" s="248"/>
      <c r="U168" s="218"/>
      <c r="V168" s="217">
        <f>SUM(V152:V167)</f>
        <v>2949.2910225000005</v>
      </c>
      <c r="W168" s="217">
        <f>SUM(W152:W167)</f>
        <v>148691.97002250003</v>
      </c>
    </row>
    <row r="169" spans="1:23" ht="15.6" outlineLevel="1">
      <c r="A169" s="445" t="s">
        <v>103</v>
      </c>
      <c r="B169" s="202"/>
      <c r="C169" s="349"/>
      <c r="D169" s="264"/>
      <c r="F169" s="234"/>
      <c r="G169" s="234"/>
      <c r="H169" s="234"/>
      <c r="I169" s="234"/>
      <c r="J169" s="234"/>
      <c r="K169" s="234"/>
      <c r="L169" s="264"/>
      <c r="N169" s="207"/>
      <c r="O169" s="349"/>
      <c r="P169" s="264"/>
      <c r="R169" s="207"/>
      <c r="S169" s="349"/>
      <c r="T169" s="264"/>
      <c r="V169" s="207"/>
      <c r="W169" s="186"/>
    </row>
    <row r="170" spans="1:23" ht="15.6" outlineLevel="1">
      <c r="A170" s="435" t="s">
        <v>104</v>
      </c>
      <c r="B170" s="202"/>
      <c r="C170" s="349"/>
      <c r="D170" s="264"/>
      <c r="F170" s="184"/>
      <c r="G170" s="349"/>
      <c r="H170" s="264"/>
      <c r="I170" s="145"/>
      <c r="J170" s="184"/>
      <c r="K170" s="349"/>
      <c r="L170" s="264"/>
      <c r="N170" s="184"/>
      <c r="O170" s="349"/>
      <c r="P170" s="264"/>
      <c r="Q170" s="145"/>
      <c r="R170" s="184"/>
      <c r="S170" s="349"/>
      <c r="T170" s="264"/>
      <c r="U170" s="145"/>
      <c r="V170" s="184"/>
      <c r="W170" s="207"/>
    </row>
    <row r="171" spans="1:23" outlineLevel="1">
      <c r="A171" s="179" t="str">
        <f>'Program Budget'!D128</f>
        <v xml:space="preserve">Training, Workshops, Conference and Registration Fees </v>
      </c>
      <c r="B171" s="180" t="str">
        <f>'Program Budget'!F128</f>
        <v>Unit</v>
      </c>
      <c r="C171" s="343">
        <f>'Program Budget'!H128</f>
        <v>1500</v>
      </c>
      <c r="D171" s="182">
        <f>'Program Budget'!G128</f>
        <v>6</v>
      </c>
      <c r="E171" s="183">
        <v>1</v>
      </c>
      <c r="F171" s="184">
        <f t="shared" ref="F171" si="347">C171*D171*E171</f>
        <v>9000</v>
      </c>
      <c r="G171" s="343">
        <f t="shared" ref="G171:G185" si="348">C171</f>
        <v>1500</v>
      </c>
      <c r="H171" s="182">
        <f>'Program Budget'!K128</f>
        <v>6</v>
      </c>
      <c r="I171" s="183">
        <v>1</v>
      </c>
      <c r="J171" s="184">
        <f t="shared" ref="J171" si="349">G171*H171*I171</f>
        <v>9000</v>
      </c>
      <c r="K171" s="343">
        <f t="shared" ref="K171:K185" si="350">G171</f>
        <v>1500</v>
      </c>
      <c r="L171" s="182">
        <f>'Program Budget'!N128</f>
        <v>6</v>
      </c>
      <c r="M171" s="183">
        <v>1</v>
      </c>
      <c r="N171" s="184">
        <f t="shared" ref="N171" si="351">K171*L171*M171</f>
        <v>9000</v>
      </c>
      <c r="O171" s="343">
        <f t="shared" ref="O171:O185" si="352">K171</f>
        <v>1500</v>
      </c>
      <c r="P171" s="182">
        <f>'Program Budget'!Q128</f>
        <v>6</v>
      </c>
      <c r="Q171" s="183">
        <v>1</v>
      </c>
      <c r="R171" s="184">
        <f t="shared" ref="R171" si="353">O171*P171*Q171</f>
        <v>9000</v>
      </c>
      <c r="S171" s="343">
        <f t="shared" ref="S171:S185" si="354">O171</f>
        <v>1500</v>
      </c>
      <c r="T171" s="182">
        <f>'Program Budget'!T128</f>
        <v>6</v>
      </c>
      <c r="U171" s="183">
        <v>1</v>
      </c>
      <c r="V171" s="184">
        <f t="shared" ref="V171" si="355">S171*T171*U171</f>
        <v>9000</v>
      </c>
      <c r="W171" s="338">
        <f t="shared" ref="W171" si="356">F171+J171+N171+R171+V171</f>
        <v>45000</v>
      </c>
    </row>
    <row r="172" spans="1:23" outlineLevel="1">
      <c r="A172" s="179" t="str">
        <f>'Program Budget'!D197</f>
        <v>Farmer Field School Trainings (Materials, Food, &amp; Refreshments)</v>
      </c>
      <c r="B172" s="180" t="str">
        <f>'Program Budget'!F197</f>
        <v>Day</v>
      </c>
      <c r="C172" s="343">
        <f>'Program Budget'!H197</f>
        <v>900</v>
      </c>
      <c r="D172" s="182">
        <f>'Program Budget'!G197</f>
        <v>8</v>
      </c>
      <c r="E172" s="183">
        <v>1</v>
      </c>
      <c r="F172" s="184">
        <f t="shared" ref="F172" si="357">C172*D172*E172</f>
        <v>7200</v>
      </c>
      <c r="G172" s="343">
        <f t="shared" si="348"/>
        <v>900</v>
      </c>
      <c r="H172" s="182">
        <f>'Program Budget'!K197</f>
        <v>16</v>
      </c>
      <c r="I172" s="183">
        <v>1</v>
      </c>
      <c r="J172" s="184">
        <f t="shared" ref="J172" si="358">G172*H172*I172</f>
        <v>14400</v>
      </c>
      <c r="K172" s="343">
        <f t="shared" si="350"/>
        <v>900</v>
      </c>
      <c r="L172" s="182">
        <f>'Program Budget'!N197</f>
        <v>8</v>
      </c>
      <c r="M172" s="183">
        <v>1</v>
      </c>
      <c r="N172" s="184">
        <f t="shared" ref="N172" si="359">K172*L172*M172</f>
        <v>7200</v>
      </c>
      <c r="O172" s="343">
        <f t="shared" si="352"/>
        <v>900</v>
      </c>
      <c r="P172" s="182">
        <f>'Program Budget'!Q197</f>
        <v>0</v>
      </c>
      <c r="Q172" s="183">
        <v>0</v>
      </c>
      <c r="R172" s="184">
        <f t="shared" ref="R172" si="360">O172*P172*Q172</f>
        <v>0</v>
      </c>
      <c r="S172" s="343">
        <f t="shared" si="354"/>
        <v>900</v>
      </c>
      <c r="T172" s="182">
        <f>'Program Budget'!T197</f>
        <v>0</v>
      </c>
      <c r="U172" s="183">
        <v>0</v>
      </c>
      <c r="V172" s="184">
        <f t="shared" ref="V172" si="361">S172*T172*U172</f>
        <v>0</v>
      </c>
      <c r="W172" s="338">
        <f t="shared" ref="W172" si="362">F172+J172+N172+R172+V172</f>
        <v>28800</v>
      </c>
    </row>
    <row r="173" spans="1:23" ht="28.2" outlineLevel="1">
      <c r="A173" s="179" t="str">
        <f>'Program Budget'!D198</f>
        <v>Trainings for Producer Organizations to Boost Climate Smart Agriculture Adoption - 3 Days</v>
      </c>
      <c r="B173" s="180" t="str">
        <f>'Program Budget'!F198</f>
        <v>Training</v>
      </c>
      <c r="C173" s="343">
        <f>'Program Budget'!H198</f>
        <v>1890</v>
      </c>
      <c r="D173" s="182">
        <f>'Program Budget'!G198</f>
        <v>0</v>
      </c>
      <c r="E173" s="183">
        <v>0</v>
      </c>
      <c r="F173" s="184">
        <f t="shared" ref="F173:F174" si="363">C173*D173*E173</f>
        <v>0</v>
      </c>
      <c r="G173" s="343">
        <f t="shared" si="348"/>
        <v>1890</v>
      </c>
      <c r="H173" s="182">
        <f>'Program Budget'!K198</f>
        <v>2</v>
      </c>
      <c r="I173" s="183">
        <v>1</v>
      </c>
      <c r="J173" s="184">
        <f t="shared" ref="J173:J174" si="364">G173*H173*I173</f>
        <v>3780</v>
      </c>
      <c r="K173" s="343">
        <f t="shared" si="350"/>
        <v>1890</v>
      </c>
      <c r="L173" s="182">
        <f>'Program Budget'!N198</f>
        <v>2</v>
      </c>
      <c r="M173" s="183">
        <v>1</v>
      </c>
      <c r="N173" s="184">
        <f t="shared" ref="N173:N174" si="365">K173*L173*M173</f>
        <v>3780</v>
      </c>
      <c r="O173" s="343">
        <f t="shared" si="352"/>
        <v>1890</v>
      </c>
      <c r="P173" s="182">
        <f>'Program Budget'!Q198</f>
        <v>0</v>
      </c>
      <c r="Q173" s="183">
        <v>0</v>
      </c>
      <c r="R173" s="184">
        <f t="shared" ref="R173:R174" si="366">O173*P173*Q173</f>
        <v>0</v>
      </c>
      <c r="S173" s="343">
        <f t="shared" si="354"/>
        <v>1890</v>
      </c>
      <c r="T173" s="182">
        <f>'Program Budget'!T198</f>
        <v>0</v>
      </c>
      <c r="U173" s="183">
        <v>0</v>
      </c>
      <c r="V173" s="184">
        <f t="shared" ref="V173:V174" si="367">S173*T173*U173</f>
        <v>0</v>
      </c>
      <c r="W173" s="338">
        <f t="shared" ref="W173:W174" si="368">F173+J173+N173+R173+V173</f>
        <v>7560</v>
      </c>
    </row>
    <row r="174" spans="1:23" outlineLevel="1">
      <c r="A174" s="179" t="str">
        <f>'Program Budget'!D199</f>
        <v>Workshop with Stakeholders on Grants Mechanism</v>
      </c>
      <c r="B174" s="180" t="str">
        <f>'Program Budget'!F199</f>
        <v>Workshop</v>
      </c>
      <c r="C174" s="343">
        <f>'Program Budget'!H199</f>
        <v>1060</v>
      </c>
      <c r="D174" s="182">
        <f>'Program Budget'!G199</f>
        <v>2</v>
      </c>
      <c r="E174" s="183">
        <v>1</v>
      </c>
      <c r="F174" s="184">
        <f t="shared" si="363"/>
        <v>2120</v>
      </c>
      <c r="G174" s="343">
        <f t="shared" si="348"/>
        <v>1060</v>
      </c>
      <c r="H174" s="182">
        <f>'Program Budget'!K199</f>
        <v>0</v>
      </c>
      <c r="I174" s="183">
        <v>0</v>
      </c>
      <c r="J174" s="184">
        <f t="shared" si="364"/>
        <v>0</v>
      </c>
      <c r="K174" s="343">
        <f t="shared" si="350"/>
        <v>1060</v>
      </c>
      <c r="L174" s="182">
        <f>'Program Budget'!N199</f>
        <v>0</v>
      </c>
      <c r="M174" s="183">
        <v>0</v>
      </c>
      <c r="N174" s="184">
        <f t="shared" si="365"/>
        <v>0</v>
      </c>
      <c r="O174" s="343">
        <f t="shared" si="352"/>
        <v>1060</v>
      </c>
      <c r="P174" s="182">
        <f>'Program Budget'!Q199</f>
        <v>0</v>
      </c>
      <c r="Q174" s="183">
        <v>0</v>
      </c>
      <c r="R174" s="184">
        <f t="shared" si="366"/>
        <v>0</v>
      </c>
      <c r="S174" s="343">
        <f t="shared" si="354"/>
        <v>1060</v>
      </c>
      <c r="T174" s="182">
        <f>'Program Budget'!T199</f>
        <v>0</v>
      </c>
      <c r="U174" s="183">
        <v>0</v>
      </c>
      <c r="V174" s="184">
        <f t="shared" si="367"/>
        <v>0</v>
      </c>
      <c r="W174" s="338">
        <f t="shared" si="368"/>
        <v>2120</v>
      </c>
    </row>
    <row r="175" spans="1:23" ht="28.2" outlineLevel="1">
      <c r="A175" s="179" t="str">
        <f>'Program Budget'!D266</f>
        <v>Workshop with Stakeholders on Complementary Crop Feedback (Venue, Materials, Food, &amp; Refreshments)</v>
      </c>
      <c r="B175" s="180" t="str">
        <f>'Program Budget'!F266</f>
        <v>Workshop</v>
      </c>
      <c r="C175" s="343">
        <f>'Program Budget'!H266</f>
        <v>850</v>
      </c>
      <c r="D175" s="182">
        <f>'Program Budget'!G266</f>
        <v>1</v>
      </c>
      <c r="E175" s="183">
        <v>1</v>
      </c>
      <c r="F175" s="184">
        <f t="shared" ref="F175" si="369">C175*D175*E175</f>
        <v>850</v>
      </c>
      <c r="G175" s="343">
        <f t="shared" si="348"/>
        <v>850</v>
      </c>
      <c r="H175" s="182">
        <f>'Program Budget'!K266</f>
        <v>0</v>
      </c>
      <c r="I175" s="183">
        <v>0</v>
      </c>
      <c r="J175" s="184">
        <f t="shared" ref="J175" si="370">G175*H175*I175</f>
        <v>0</v>
      </c>
      <c r="K175" s="343">
        <f t="shared" si="350"/>
        <v>850</v>
      </c>
      <c r="L175" s="182">
        <f>'Program Budget'!N266</f>
        <v>0</v>
      </c>
      <c r="M175" s="183">
        <v>0</v>
      </c>
      <c r="N175" s="184">
        <f t="shared" ref="N175" si="371">K175*L175*M175</f>
        <v>0</v>
      </c>
      <c r="O175" s="343">
        <f t="shared" si="352"/>
        <v>850</v>
      </c>
      <c r="P175" s="182">
        <f>'Program Budget'!Q266</f>
        <v>0</v>
      </c>
      <c r="Q175" s="183">
        <v>0</v>
      </c>
      <c r="R175" s="184">
        <f t="shared" ref="R175" si="372">O175*P175*Q175</f>
        <v>0</v>
      </c>
      <c r="S175" s="343">
        <f t="shared" si="354"/>
        <v>850</v>
      </c>
      <c r="T175" s="182">
        <f>'Program Budget'!T266</f>
        <v>0</v>
      </c>
      <c r="U175" s="183">
        <v>0</v>
      </c>
      <c r="V175" s="184">
        <f t="shared" ref="V175" si="373">S175*T175*U175</f>
        <v>0</v>
      </c>
      <c r="W175" s="338">
        <f t="shared" ref="W175" si="374">F175+J175+N175+R175+V175</f>
        <v>850</v>
      </c>
    </row>
    <row r="176" spans="1:23" outlineLevel="1">
      <c r="A176" s="179" t="str">
        <f>'Program Budget'!D267</f>
        <v>Development of Technical Package (Technical Review, Printing, &amp; Translation)</v>
      </c>
      <c r="B176" s="180" t="str">
        <f>'Program Budget'!F267</f>
        <v>Package</v>
      </c>
      <c r="C176" s="343">
        <f>'Program Budget'!H267</f>
        <v>5000</v>
      </c>
      <c r="D176" s="182">
        <f>'Program Budget'!G267</f>
        <v>4</v>
      </c>
      <c r="E176" s="183">
        <v>1</v>
      </c>
      <c r="F176" s="184">
        <f t="shared" ref="F176:F180" si="375">C176*D176*E176</f>
        <v>20000</v>
      </c>
      <c r="G176" s="343">
        <f t="shared" si="348"/>
        <v>5000</v>
      </c>
      <c r="H176" s="182">
        <f>'Program Budget'!K267</f>
        <v>0</v>
      </c>
      <c r="I176" s="183">
        <v>0</v>
      </c>
      <c r="J176" s="184">
        <f t="shared" ref="J176:J180" si="376">G176*H176*I176</f>
        <v>0</v>
      </c>
      <c r="K176" s="343">
        <f t="shared" si="350"/>
        <v>5000</v>
      </c>
      <c r="L176" s="182">
        <f>'Program Budget'!N267</f>
        <v>0</v>
      </c>
      <c r="M176" s="183">
        <v>0</v>
      </c>
      <c r="N176" s="184">
        <f t="shared" ref="N176:N180" si="377">K176*L176*M176</f>
        <v>0</v>
      </c>
      <c r="O176" s="343">
        <f t="shared" si="352"/>
        <v>5000</v>
      </c>
      <c r="P176" s="182">
        <f>'Program Budget'!Q267</f>
        <v>0</v>
      </c>
      <c r="Q176" s="183">
        <v>0</v>
      </c>
      <c r="R176" s="184">
        <f t="shared" ref="R176:R180" si="378">O176*P176*Q176</f>
        <v>0</v>
      </c>
      <c r="S176" s="343">
        <f t="shared" si="354"/>
        <v>5000</v>
      </c>
      <c r="T176" s="182">
        <f>'Program Budget'!T267</f>
        <v>0</v>
      </c>
      <c r="U176" s="183">
        <v>0</v>
      </c>
      <c r="V176" s="184">
        <f t="shared" ref="V176:V180" si="379">S176*T176*U176</f>
        <v>0</v>
      </c>
      <c r="W176" s="338">
        <f t="shared" ref="W176:W180" si="380">F176+J176+N176+R176+V176</f>
        <v>20000</v>
      </c>
    </row>
    <row r="177" spans="1:23" ht="28.2" outlineLevel="1">
      <c r="A177" s="179" t="str">
        <f>'Program Budget'!D268</f>
        <v>Train PASPs in Cost-Efficient Date and Complementary Oasis Production (Venue, Materials, Food, &amp; Refreshments)</v>
      </c>
      <c r="B177" s="180" t="str">
        <f>'Program Budget'!F268</f>
        <v>Training</v>
      </c>
      <c r="C177" s="343">
        <f>'Program Budget'!H268</f>
        <v>730</v>
      </c>
      <c r="D177" s="182">
        <f>'Program Budget'!G268</f>
        <v>2</v>
      </c>
      <c r="E177" s="183">
        <v>1</v>
      </c>
      <c r="F177" s="184">
        <f t="shared" si="375"/>
        <v>1460</v>
      </c>
      <c r="G177" s="343">
        <f t="shared" si="348"/>
        <v>730</v>
      </c>
      <c r="H177" s="182">
        <f>'Program Budget'!K268</f>
        <v>0</v>
      </c>
      <c r="I177" s="183">
        <v>0</v>
      </c>
      <c r="J177" s="184">
        <f t="shared" si="376"/>
        <v>0</v>
      </c>
      <c r="K177" s="343">
        <f t="shared" si="350"/>
        <v>730</v>
      </c>
      <c r="L177" s="182">
        <f>'Program Budget'!N268</f>
        <v>0</v>
      </c>
      <c r="M177" s="183">
        <v>0</v>
      </c>
      <c r="N177" s="184">
        <f t="shared" si="377"/>
        <v>0</v>
      </c>
      <c r="O177" s="343">
        <f t="shared" si="352"/>
        <v>730</v>
      </c>
      <c r="P177" s="182">
        <f>'Program Budget'!Q268</f>
        <v>0</v>
      </c>
      <c r="Q177" s="183">
        <v>0</v>
      </c>
      <c r="R177" s="184">
        <f t="shared" si="378"/>
        <v>0</v>
      </c>
      <c r="S177" s="343">
        <f t="shared" si="354"/>
        <v>730</v>
      </c>
      <c r="T177" s="182">
        <f>'Program Budget'!T268</f>
        <v>0</v>
      </c>
      <c r="U177" s="183">
        <v>0</v>
      </c>
      <c r="V177" s="184">
        <f t="shared" si="379"/>
        <v>0</v>
      </c>
      <c r="W177" s="338">
        <f t="shared" si="380"/>
        <v>1460</v>
      </c>
    </row>
    <row r="178" spans="1:23" ht="28.2" outlineLevel="1">
      <c r="A178" s="179" t="str">
        <f>'Program Budget'!D269</f>
        <v>PASPs Trainings to Support Capacity-Building Efforts for Producer Organizations (Materials, Food, &amp; Refreshments)</v>
      </c>
      <c r="B178" s="180" t="str">
        <f>'Program Budget'!F269</f>
        <v>Day</v>
      </c>
      <c r="C178" s="343">
        <f>'Program Budget'!H269</f>
        <v>330</v>
      </c>
      <c r="D178" s="182">
        <f>'Program Budget'!G269</f>
        <v>0</v>
      </c>
      <c r="E178" s="183">
        <v>0</v>
      </c>
      <c r="F178" s="184">
        <f t="shared" si="375"/>
        <v>0</v>
      </c>
      <c r="G178" s="343">
        <f t="shared" si="348"/>
        <v>330</v>
      </c>
      <c r="H178" s="182">
        <f>'Program Budget'!K269</f>
        <v>4</v>
      </c>
      <c r="I178" s="183">
        <v>1</v>
      </c>
      <c r="J178" s="184">
        <f t="shared" si="376"/>
        <v>1320</v>
      </c>
      <c r="K178" s="343">
        <f t="shared" si="350"/>
        <v>330</v>
      </c>
      <c r="L178" s="182">
        <f>'Program Budget'!N269</f>
        <v>4</v>
      </c>
      <c r="M178" s="183">
        <v>1</v>
      </c>
      <c r="N178" s="184">
        <f t="shared" si="377"/>
        <v>1320</v>
      </c>
      <c r="O178" s="343">
        <f t="shared" si="352"/>
        <v>330</v>
      </c>
      <c r="P178" s="182">
        <f>'Program Budget'!Q269</f>
        <v>4</v>
      </c>
      <c r="Q178" s="183">
        <v>1</v>
      </c>
      <c r="R178" s="184">
        <f t="shared" si="378"/>
        <v>1320</v>
      </c>
      <c r="S178" s="343">
        <f t="shared" si="354"/>
        <v>330</v>
      </c>
      <c r="T178" s="182">
        <f>'Program Budget'!T269</f>
        <v>0</v>
      </c>
      <c r="U178" s="183">
        <v>0</v>
      </c>
      <c r="V178" s="184">
        <f t="shared" si="379"/>
        <v>0</v>
      </c>
      <c r="W178" s="338">
        <f t="shared" si="380"/>
        <v>3960</v>
      </c>
    </row>
    <row r="179" spans="1:23" ht="28.2" outlineLevel="1">
      <c r="A179" s="179" t="str">
        <f>'Program Budget'!D270</f>
        <v>Training on Best Practices with US Grains Council for Alfalfa Processers (Materials, Food, &amp; Refreshments)</v>
      </c>
      <c r="B179" s="180" t="str">
        <f>'Program Budget'!F270</f>
        <v>Training</v>
      </c>
      <c r="C179" s="343">
        <f>'Program Budget'!H270</f>
        <v>380</v>
      </c>
      <c r="D179" s="182">
        <f>'Program Budget'!G270</f>
        <v>0</v>
      </c>
      <c r="E179" s="183">
        <v>0</v>
      </c>
      <c r="F179" s="184">
        <f t="shared" si="375"/>
        <v>0</v>
      </c>
      <c r="G179" s="343">
        <f t="shared" si="348"/>
        <v>380</v>
      </c>
      <c r="H179" s="182">
        <f>'Program Budget'!K270</f>
        <v>2</v>
      </c>
      <c r="I179" s="183">
        <v>1</v>
      </c>
      <c r="J179" s="184">
        <f t="shared" si="376"/>
        <v>760</v>
      </c>
      <c r="K179" s="343">
        <f t="shared" si="350"/>
        <v>380</v>
      </c>
      <c r="L179" s="182">
        <f>'Program Budget'!N270</f>
        <v>0</v>
      </c>
      <c r="M179" s="183">
        <v>0</v>
      </c>
      <c r="N179" s="184">
        <f t="shared" si="377"/>
        <v>0</v>
      </c>
      <c r="O179" s="343">
        <f t="shared" si="352"/>
        <v>380</v>
      </c>
      <c r="P179" s="182">
        <f>'Program Budget'!Q270</f>
        <v>0</v>
      </c>
      <c r="Q179" s="183">
        <v>0</v>
      </c>
      <c r="R179" s="184">
        <f t="shared" si="378"/>
        <v>0</v>
      </c>
      <c r="S179" s="343">
        <f t="shared" si="354"/>
        <v>380</v>
      </c>
      <c r="T179" s="182">
        <f>'Program Budget'!T270</f>
        <v>0</v>
      </c>
      <c r="U179" s="183">
        <v>0</v>
      </c>
      <c r="V179" s="184">
        <f t="shared" si="379"/>
        <v>0</v>
      </c>
      <c r="W179" s="338">
        <f t="shared" si="380"/>
        <v>760</v>
      </c>
    </row>
    <row r="180" spans="1:23" outlineLevel="1">
      <c r="A180" s="179" t="str">
        <f>'Program Budget'!D271</f>
        <v>Meeting Expenses with Producer Organizations and Stakeholders</v>
      </c>
      <c r="B180" s="180" t="str">
        <f>'Program Budget'!F271</f>
        <v>Meeting</v>
      </c>
      <c r="C180" s="343">
        <f>'Program Budget'!H271</f>
        <v>75</v>
      </c>
      <c r="D180" s="182">
        <f>'Program Budget'!G271</f>
        <v>4</v>
      </c>
      <c r="E180" s="183">
        <v>1</v>
      </c>
      <c r="F180" s="184">
        <f t="shared" si="375"/>
        <v>300</v>
      </c>
      <c r="G180" s="343">
        <f t="shared" si="348"/>
        <v>75</v>
      </c>
      <c r="H180" s="182">
        <f>'Program Budget'!K271</f>
        <v>8</v>
      </c>
      <c r="I180" s="183">
        <v>1</v>
      </c>
      <c r="J180" s="184">
        <f t="shared" si="376"/>
        <v>600</v>
      </c>
      <c r="K180" s="343">
        <f t="shared" si="350"/>
        <v>75</v>
      </c>
      <c r="L180" s="182">
        <f>'Program Budget'!N271</f>
        <v>8</v>
      </c>
      <c r="M180" s="183">
        <v>1</v>
      </c>
      <c r="N180" s="184">
        <f t="shared" si="377"/>
        <v>600</v>
      </c>
      <c r="O180" s="343">
        <f t="shared" si="352"/>
        <v>75</v>
      </c>
      <c r="P180" s="182">
        <f>'Program Budget'!Q271</f>
        <v>4</v>
      </c>
      <c r="Q180" s="183">
        <v>1</v>
      </c>
      <c r="R180" s="184">
        <f t="shared" si="378"/>
        <v>300</v>
      </c>
      <c r="S180" s="343">
        <f t="shared" si="354"/>
        <v>75</v>
      </c>
      <c r="T180" s="182">
        <f>'Program Budget'!T271</f>
        <v>4</v>
      </c>
      <c r="U180" s="183">
        <v>1</v>
      </c>
      <c r="V180" s="184">
        <f t="shared" si="379"/>
        <v>300</v>
      </c>
      <c r="W180" s="338">
        <f t="shared" si="380"/>
        <v>2100</v>
      </c>
    </row>
    <row r="181" spans="1:23" ht="28.2" outlineLevel="1">
      <c r="A181" s="179" t="str">
        <f>'Program Budget'!D357</f>
        <v>PASPs Trainings to Support Capacity-Building Efforts for Producer Organizations (Materials, Food, &amp; Refreshments)</v>
      </c>
      <c r="B181" s="180" t="str">
        <f>'Program Budget'!F357</f>
        <v>Day</v>
      </c>
      <c r="C181" s="343">
        <f>'Program Budget'!H357</f>
        <v>330</v>
      </c>
      <c r="D181" s="182">
        <f>'Program Budget'!G357</f>
        <v>0</v>
      </c>
      <c r="E181" s="183">
        <v>0</v>
      </c>
      <c r="F181" s="184">
        <f t="shared" ref="F181" si="381">C181*D181*E181</f>
        <v>0</v>
      </c>
      <c r="G181" s="343">
        <f t="shared" si="348"/>
        <v>330</v>
      </c>
      <c r="H181" s="182">
        <f>'Program Budget'!K357</f>
        <v>4</v>
      </c>
      <c r="I181" s="183">
        <v>1</v>
      </c>
      <c r="J181" s="184">
        <f t="shared" ref="J181" si="382">G181*H181*I181</f>
        <v>1320</v>
      </c>
      <c r="K181" s="343">
        <f t="shared" si="350"/>
        <v>330</v>
      </c>
      <c r="L181" s="182">
        <f>'Program Budget'!N357</f>
        <v>4</v>
      </c>
      <c r="M181" s="183">
        <v>1</v>
      </c>
      <c r="N181" s="184">
        <f t="shared" ref="N181" si="383">K181*L181*M181</f>
        <v>1320</v>
      </c>
      <c r="O181" s="343">
        <f t="shared" si="352"/>
        <v>330</v>
      </c>
      <c r="P181" s="182">
        <f>'Program Budget'!Q357</f>
        <v>4</v>
      </c>
      <c r="Q181" s="183">
        <v>1</v>
      </c>
      <c r="R181" s="184">
        <f t="shared" ref="R181" si="384">O181*P181*Q181</f>
        <v>1320</v>
      </c>
      <c r="S181" s="343">
        <f t="shared" si="354"/>
        <v>330</v>
      </c>
      <c r="T181" s="182">
        <f>'Program Budget'!T357</f>
        <v>0</v>
      </c>
      <c r="U181" s="183">
        <v>0</v>
      </c>
      <c r="V181" s="184">
        <f t="shared" ref="V181" si="385">S181*T181*U181</f>
        <v>0</v>
      </c>
      <c r="W181" s="338">
        <f t="shared" ref="W181" si="386">F181+J181+N181+R181+V181</f>
        <v>3960</v>
      </c>
    </row>
    <row r="182" spans="1:23" outlineLevel="1">
      <c r="A182" s="179" t="str">
        <f>'Program Budget'!D358</f>
        <v>Market Access Trainings for Independent Producers (Materials, Food, &amp; Refreshments)</v>
      </c>
      <c r="B182" s="180" t="str">
        <f>'Program Budget'!F358</f>
        <v>Training</v>
      </c>
      <c r="C182" s="343">
        <f>'Program Budget'!H358</f>
        <v>1800</v>
      </c>
      <c r="D182" s="182">
        <f>'Program Budget'!G358</f>
        <v>0</v>
      </c>
      <c r="E182" s="183">
        <v>0</v>
      </c>
      <c r="F182" s="184">
        <f t="shared" ref="F182:F185" si="387">C182*D182*E182</f>
        <v>0</v>
      </c>
      <c r="G182" s="343">
        <f t="shared" si="348"/>
        <v>1800</v>
      </c>
      <c r="H182" s="182">
        <f>'Program Budget'!K358</f>
        <v>4</v>
      </c>
      <c r="I182" s="183">
        <v>1</v>
      </c>
      <c r="J182" s="184">
        <f t="shared" ref="J182:J185" si="388">G182*H182*I182</f>
        <v>7200</v>
      </c>
      <c r="K182" s="343">
        <f t="shared" si="350"/>
        <v>1800</v>
      </c>
      <c r="L182" s="182">
        <f>'Program Budget'!N358</f>
        <v>0</v>
      </c>
      <c r="M182" s="183">
        <v>0</v>
      </c>
      <c r="N182" s="184">
        <f t="shared" ref="N182:N185" si="389">K182*L182*M182</f>
        <v>0</v>
      </c>
      <c r="O182" s="343">
        <f t="shared" si="352"/>
        <v>1800</v>
      </c>
      <c r="P182" s="182">
        <f>'Program Budget'!Q358</f>
        <v>0</v>
      </c>
      <c r="Q182" s="183">
        <v>0</v>
      </c>
      <c r="R182" s="184">
        <f t="shared" ref="R182:R185" si="390">O182*P182*Q182</f>
        <v>0</v>
      </c>
      <c r="S182" s="343">
        <f t="shared" si="354"/>
        <v>1800</v>
      </c>
      <c r="T182" s="182">
        <f>'Program Budget'!T358</f>
        <v>0</v>
      </c>
      <c r="U182" s="183">
        <v>0</v>
      </c>
      <c r="V182" s="184">
        <f t="shared" ref="V182:V185" si="391">S182*T182*U182</f>
        <v>0</v>
      </c>
      <c r="W182" s="338">
        <f t="shared" ref="W182:W185" si="392">F182+J182+N182+R182+V182</f>
        <v>7200</v>
      </c>
    </row>
    <row r="183" spans="1:23" outlineLevel="1">
      <c r="A183" s="179" t="str">
        <f>'Program Budget'!D359</f>
        <v>Meeting Expenses for Meetings with Producer Organizations and Exporters</v>
      </c>
      <c r="B183" s="180" t="str">
        <f>'Program Budget'!F359</f>
        <v>Meeting</v>
      </c>
      <c r="C183" s="343">
        <f>'Program Budget'!H359</f>
        <v>150</v>
      </c>
      <c r="D183" s="182">
        <f>'Program Budget'!G359</f>
        <v>6</v>
      </c>
      <c r="E183" s="183">
        <v>1</v>
      </c>
      <c r="F183" s="184">
        <f t="shared" si="387"/>
        <v>900</v>
      </c>
      <c r="G183" s="343">
        <f t="shared" si="348"/>
        <v>150</v>
      </c>
      <c r="H183" s="182">
        <f>'Program Budget'!K359</f>
        <v>12</v>
      </c>
      <c r="I183" s="183">
        <v>1</v>
      </c>
      <c r="J183" s="184">
        <f t="shared" si="388"/>
        <v>1800</v>
      </c>
      <c r="K183" s="343">
        <f t="shared" si="350"/>
        <v>150</v>
      </c>
      <c r="L183" s="182">
        <f>'Program Budget'!N359</f>
        <v>12</v>
      </c>
      <c r="M183" s="183">
        <v>1</v>
      </c>
      <c r="N183" s="184">
        <f t="shared" si="389"/>
        <v>1800</v>
      </c>
      <c r="O183" s="343">
        <f t="shared" si="352"/>
        <v>150</v>
      </c>
      <c r="P183" s="182">
        <f>'Program Budget'!Q359</f>
        <v>12</v>
      </c>
      <c r="Q183" s="183">
        <v>1</v>
      </c>
      <c r="R183" s="184">
        <f t="shared" si="390"/>
        <v>1800</v>
      </c>
      <c r="S183" s="343">
        <f t="shared" si="354"/>
        <v>150</v>
      </c>
      <c r="T183" s="182">
        <f>'Program Budget'!T359</f>
        <v>9</v>
      </c>
      <c r="U183" s="183">
        <v>1</v>
      </c>
      <c r="V183" s="184">
        <f t="shared" si="391"/>
        <v>1350</v>
      </c>
      <c r="W183" s="338">
        <f t="shared" si="392"/>
        <v>7650</v>
      </c>
    </row>
    <row r="184" spans="1:23" outlineLevel="1">
      <c r="A184" s="179" t="str">
        <f>'Program Budget'!D360</f>
        <v>Trainings on Financial Literacy (Materials, Food, &amp; Refreshments)</v>
      </c>
      <c r="B184" s="180" t="str">
        <f>'Program Budget'!F360</f>
        <v>Training</v>
      </c>
      <c r="C184" s="343">
        <f>'Program Budget'!H360</f>
        <v>680</v>
      </c>
      <c r="D184" s="182">
        <f>'Program Budget'!G360</f>
        <v>0</v>
      </c>
      <c r="E184" s="183">
        <v>0</v>
      </c>
      <c r="F184" s="184">
        <f t="shared" si="387"/>
        <v>0</v>
      </c>
      <c r="G184" s="343">
        <f t="shared" si="348"/>
        <v>680</v>
      </c>
      <c r="H184" s="182">
        <f>'Program Budget'!K360</f>
        <v>4</v>
      </c>
      <c r="I184" s="183">
        <v>1</v>
      </c>
      <c r="J184" s="184">
        <f t="shared" si="388"/>
        <v>2720</v>
      </c>
      <c r="K184" s="343">
        <f t="shared" si="350"/>
        <v>680</v>
      </c>
      <c r="L184" s="182">
        <f>'Program Budget'!N360</f>
        <v>4</v>
      </c>
      <c r="M184" s="183">
        <v>1</v>
      </c>
      <c r="N184" s="184">
        <f t="shared" si="389"/>
        <v>2720</v>
      </c>
      <c r="O184" s="343">
        <f t="shared" si="352"/>
        <v>680</v>
      </c>
      <c r="P184" s="182">
        <f>'Program Budget'!Q360</f>
        <v>0</v>
      </c>
      <c r="Q184" s="183">
        <v>0</v>
      </c>
      <c r="R184" s="184">
        <f t="shared" si="390"/>
        <v>0</v>
      </c>
      <c r="S184" s="343">
        <f t="shared" si="354"/>
        <v>680</v>
      </c>
      <c r="T184" s="182">
        <f>'Program Budget'!T360</f>
        <v>0</v>
      </c>
      <c r="U184" s="183">
        <v>0</v>
      </c>
      <c r="V184" s="184">
        <f t="shared" si="391"/>
        <v>0</v>
      </c>
      <c r="W184" s="338">
        <f t="shared" si="392"/>
        <v>5440</v>
      </c>
    </row>
    <row r="185" spans="1:23" outlineLevel="1">
      <c r="A185" s="179" t="str">
        <f>'Program Budget'!D361</f>
        <v>Meeting Expenses for Capacity Building Session with Financial Institutions</v>
      </c>
      <c r="B185" s="180" t="str">
        <f>'Program Budget'!F361</f>
        <v>Meeting</v>
      </c>
      <c r="C185" s="343">
        <f>'Program Budget'!H361</f>
        <v>150</v>
      </c>
      <c r="D185" s="182">
        <f>'Program Budget'!G361</f>
        <v>0</v>
      </c>
      <c r="E185" s="183">
        <v>0</v>
      </c>
      <c r="F185" s="184">
        <f t="shared" si="387"/>
        <v>0</v>
      </c>
      <c r="G185" s="343">
        <f t="shared" si="348"/>
        <v>150</v>
      </c>
      <c r="H185" s="182">
        <f>'Program Budget'!K361</f>
        <v>6</v>
      </c>
      <c r="I185" s="183">
        <v>1</v>
      </c>
      <c r="J185" s="184">
        <f t="shared" si="388"/>
        <v>900</v>
      </c>
      <c r="K185" s="343">
        <f t="shared" si="350"/>
        <v>150</v>
      </c>
      <c r="L185" s="182">
        <f>'Program Budget'!N361</f>
        <v>6</v>
      </c>
      <c r="M185" s="183">
        <v>1</v>
      </c>
      <c r="N185" s="184">
        <f t="shared" si="389"/>
        <v>900</v>
      </c>
      <c r="O185" s="343">
        <f t="shared" si="352"/>
        <v>150</v>
      </c>
      <c r="P185" s="182">
        <f>'Program Budget'!Q361</f>
        <v>0</v>
      </c>
      <c r="Q185" s="183">
        <v>0</v>
      </c>
      <c r="R185" s="184">
        <f t="shared" si="390"/>
        <v>0</v>
      </c>
      <c r="S185" s="343">
        <f t="shared" si="354"/>
        <v>150</v>
      </c>
      <c r="T185" s="182">
        <f>'Program Budget'!T361</f>
        <v>0</v>
      </c>
      <c r="U185" s="183">
        <v>0</v>
      </c>
      <c r="V185" s="184">
        <f t="shared" si="391"/>
        <v>0</v>
      </c>
      <c r="W185" s="338">
        <f t="shared" si="392"/>
        <v>1800</v>
      </c>
    </row>
    <row r="186" spans="1:23" ht="15.6" outlineLevel="1">
      <c r="A186" s="435" t="s">
        <v>105</v>
      </c>
      <c r="B186" s="180"/>
      <c r="C186" s="357"/>
      <c r="D186" s="358"/>
      <c r="E186" s="183"/>
      <c r="F186" s="359"/>
      <c r="G186" s="357"/>
      <c r="H186" s="358"/>
      <c r="I186" s="183"/>
      <c r="J186" s="359"/>
      <c r="K186" s="357"/>
      <c r="L186" s="358"/>
      <c r="M186" s="183"/>
      <c r="N186" s="359"/>
      <c r="O186" s="357"/>
      <c r="P186" s="358"/>
      <c r="Q186" s="183"/>
      <c r="R186" s="359"/>
      <c r="S186" s="357"/>
      <c r="T186" s="358"/>
      <c r="U186" s="183"/>
      <c r="V186" s="359"/>
      <c r="W186" s="338"/>
    </row>
    <row r="187" spans="1:23" ht="28.2" outlineLevel="1">
      <c r="A187" s="179" t="str">
        <f>'Program Budget'!D363</f>
        <v>Develop Marketing Materials for Producer Organizations to Develop Business Models for Membership Benefits</v>
      </c>
      <c r="B187" s="180" t="str">
        <f>'Program Budget'!F363</f>
        <v>Unit</v>
      </c>
      <c r="C187" s="357">
        <f>'Program Budget'!H363</f>
        <v>2000</v>
      </c>
      <c r="D187" s="358">
        <f>'Program Budget'!G363</f>
        <v>0</v>
      </c>
      <c r="E187" s="183">
        <v>0</v>
      </c>
      <c r="F187" s="359">
        <f t="shared" ref="F187" si="393">C187*D187*E187</f>
        <v>0</v>
      </c>
      <c r="G187" s="357">
        <f t="shared" ref="G187" si="394">C187</f>
        <v>2000</v>
      </c>
      <c r="H187" s="358">
        <f>'Program Budget'!K363</f>
        <v>10</v>
      </c>
      <c r="I187" s="183">
        <v>1</v>
      </c>
      <c r="J187" s="359">
        <f t="shared" ref="J187" si="395">G187*H187*I187</f>
        <v>20000</v>
      </c>
      <c r="K187" s="357">
        <f t="shared" ref="K187" si="396">G187</f>
        <v>2000</v>
      </c>
      <c r="L187" s="358">
        <f>'Program Budget'!N363</f>
        <v>0</v>
      </c>
      <c r="M187" s="183">
        <v>0</v>
      </c>
      <c r="N187" s="359">
        <f t="shared" ref="N187" si="397">K187*L187*M187</f>
        <v>0</v>
      </c>
      <c r="O187" s="357">
        <f t="shared" ref="O187" si="398">K187</f>
        <v>2000</v>
      </c>
      <c r="P187" s="358">
        <f>'Program Budget'!Q363</f>
        <v>0</v>
      </c>
      <c r="Q187" s="183">
        <v>0</v>
      </c>
      <c r="R187" s="359">
        <f t="shared" ref="R187" si="399">O187*P187*Q187</f>
        <v>0</v>
      </c>
      <c r="S187" s="357">
        <f t="shared" ref="S187" si="400">O187</f>
        <v>2000</v>
      </c>
      <c r="T187" s="358">
        <f>'Program Budget'!T363</f>
        <v>0</v>
      </c>
      <c r="U187" s="183">
        <v>0</v>
      </c>
      <c r="V187" s="359">
        <f t="shared" ref="V187" si="401">S187*T187*U187</f>
        <v>0</v>
      </c>
      <c r="W187" s="338">
        <f t="shared" ref="W187" si="402">F187+J187+N187+R187+V187</f>
        <v>20000</v>
      </c>
    </row>
    <row r="188" spans="1:23" outlineLevel="1">
      <c r="A188" s="179" t="str">
        <f>'Program Budget'!D364</f>
        <v>Materials Development on Date Grading (Printing &amp; Translation)</v>
      </c>
      <c r="B188" s="180" t="str">
        <f>'Program Budget'!F364</f>
        <v>Unit</v>
      </c>
      <c r="C188" s="357">
        <f>'Program Budget'!H364</f>
        <v>3000</v>
      </c>
      <c r="D188" s="358">
        <f>'Program Budget'!G364</f>
        <v>0</v>
      </c>
      <c r="E188" s="183">
        <v>0</v>
      </c>
      <c r="F188" s="359">
        <f t="shared" ref="F188" si="403">C188*D188*E188</f>
        <v>0</v>
      </c>
      <c r="G188" s="357">
        <f t="shared" ref="G188" si="404">C188</f>
        <v>3000</v>
      </c>
      <c r="H188" s="358">
        <f>'Program Budget'!K364</f>
        <v>1</v>
      </c>
      <c r="I188" s="183">
        <v>1</v>
      </c>
      <c r="J188" s="359">
        <f t="shared" ref="J188" si="405">G188*H188*I188</f>
        <v>3000</v>
      </c>
      <c r="K188" s="357">
        <f t="shared" ref="K188" si="406">G188</f>
        <v>3000</v>
      </c>
      <c r="L188" s="358">
        <f>'Program Budget'!N364</f>
        <v>0</v>
      </c>
      <c r="M188" s="183">
        <v>0</v>
      </c>
      <c r="N188" s="359">
        <f t="shared" ref="N188" si="407">K188*L188*M188</f>
        <v>0</v>
      </c>
      <c r="O188" s="357">
        <f t="shared" ref="O188" si="408">K188</f>
        <v>3000</v>
      </c>
      <c r="P188" s="358">
        <f>'Program Budget'!Q364</f>
        <v>0</v>
      </c>
      <c r="Q188" s="183">
        <v>0</v>
      </c>
      <c r="R188" s="359">
        <f t="shared" ref="R188" si="409">O188*P188*Q188</f>
        <v>0</v>
      </c>
      <c r="S188" s="357">
        <f t="shared" ref="S188" si="410">O188</f>
        <v>3000</v>
      </c>
      <c r="T188" s="358">
        <f>'Program Budget'!T364</f>
        <v>0</v>
      </c>
      <c r="U188" s="183">
        <v>0</v>
      </c>
      <c r="V188" s="359">
        <f t="shared" ref="V188" si="411">S188*T188*U188</f>
        <v>0</v>
      </c>
      <c r="W188" s="338">
        <f t="shared" ref="W188" si="412">F188+J188+N188+R188+V188</f>
        <v>3000</v>
      </c>
    </row>
    <row r="189" spans="1:23" ht="15.6" outlineLevel="1">
      <c r="A189" s="435" t="s">
        <v>106</v>
      </c>
      <c r="B189" s="180"/>
      <c r="C189" s="343"/>
      <c r="D189" s="182"/>
      <c r="E189" s="183"/>
      <c r="F189" s="184"/>
      <c r="G189" s="343"/>
      <c r="H189" s="182"/>
      <c r="I189" s="183"/>
      <c r="J189" s="184"/>
      <c r="K189" s="343"/>
      <c r="L189" s="182"/>
      <c r="M189" s="183"/>
      <c r="N189" s="184"/>
      <c r="O189" s="343"/>
      <c r="P189" s="182"/>
      <c r="Q189" s="183"/>
      <c r="R189" s="184"/>
      <c r="S189" s="343"/>
      <c r="T189" s="182"/>
      <c r="U189" s="183"/>
      <c r="V189" s="184"/>
      <c r="W189" s="338"/>
    </row>
    <row r="190" spans="1:23" outlineLevel="1">
      <c r="A190" s="179" t="str">
        <f>'Program Budget'!D201</f>
        <v>Registration for Agricultural Events and Booths</v>
      </c>
      <c r="B190" s="180" t="str">
        <f>'Program Budget'!F201</f>
        <v>Event</v>
      </c>
      <c r="C190" s="343">
        <f>'Program Budget'!H201</f>
        <v>2500</v>
      </c>
      <c r="D190" s="182">
        <f>'Program Budget'!G201</f>
        <v>0</v>
      </c>
      <c r="E190" s="183">
        <v>0</v>
      </c>
      <c r="F190" s="184">
        <f t="shared" ref="F190" si="413">C190*D190*E190</f>
        <v>0</v>
      </c>
      <c r="G190" s="343">
        <f>C190</f>
        <v>2500</v>
      </c>
      <c r="H190" s="182">
        <f>'Program Budget'!K201</f>
        <v>2</v>
      </c>
      <c r="I190" s="183">
        <v>1</v>
      </c>
      <c r="J190" s="184">
        <f t="shared" ref="J190" si="414">G190*H190*I190</f>
        <v>5000</v>
      </c>
      <c r="K190" s="343">
        <f>G190</f>
        <v>2500</v>
      </c>
      <c r="L190" s="182">
        <f>'Program Budget'!N201</f>
        <v>2</v>
      </c>
      <c r="M190" s="183">
        <v>1</v>
      </c>
      <c r="N190" s="184">
        <f t="shared" ref="N190" si="415">K190*L190*M190</f>
        <v>5000</v>
      </c>
      <c r="O190" s="343">
        <f>K190</f>
        <v>2500</v>
      </c>
      <c r="P190" s="182">
        <f>'Program Budget'!Q201</f>
        <v>2</v>
      </c>
      <c r="Q190" s="183">
        <v>1</v>
      </c>
      <c r="R190" s="184">
        <f t="shared" ref="R190" si="416">O190*P190*Q190</f>
        <v>5000</v>
      </c>
      <c r="S190" s="343">
        <f>O190</f>
        <v>2500</v>
      </c>
      <c r="T190" s="182">
        <f>'Program Budget'!T201</f>
        <v>2</v>
      </c>
      <c r="U190" s="183">
        <v>1</v>
      </c>
      <c r="V190" s="184">
        <f t="shared" ref="V190" si="417">S190*T190*U190</f>
        <v>5000</v>
      </c>
      <c r="W190" s="338">
        <f t="shared" ref="W190" si="418">F190+J190+N190+R190+V190</f>
        <v>20000</v>
      </c>
    </row>
    <row r="191" spans="1:23" outlineLevel="1">
      <c r="A191" s="179" t="str">
        <f>'Program Budget'!D202</f>
        <v>Printing Materials to Distribute at Local Agriculture Events</v>
      </c>
      <c r="B191" s="180" t="str">
        <f>'Program Budget'!F202</f>
        <v>Unit</v>
      </c>
      <c r="C191" s="343">
        <f>'Program Budget'!H202</f>
        <v>15000</v>
      </c>
      <c r="D191" s="182">
        <f>'Program Budget'!G202</f>
        <v>0</v>
      </c>
      <c r="E191" s="183">
        <v>0</v>
      </c>
      <c r="F191" s="184">
        <f t="shared" ref="F191" si="419">C191*D191*E191</f>
        <v>0</v>
      </c>
      <c r="G191" s="343">
        <f>C191</f>
        <v>15000</v>
      </c>
      <c r="H191" s="182">
        <f>'Program Budget'!K202</f>
        <v>1</v>
      </c>
      <c r="I191" s="183">
        <v>1</v>
      </c>
      <c r="J191" s="184">
        <f t="shared" ref="J191" si="420">G191*H191*I191</f>
        <v>15000</v>
      </c>
      <c r="K191" s="343">
        <f>G191</f>
        <v>15000</v>
      </c>
      <c r="L191" s="182">
        <f>'Program Budget'!N202</f>
        <v>0</v>
      </c>
      <c r="M191" s="183">
        <v>0</v>
      </c>
      <c r="N191" s="184">
        <f t="shared" ref="N191" si="421">K191*L191*M191</f>
        <v>0</v>
      </c>
      <c r="O191" s="343">
        <f>K191</f>
        <v>15000</v>
      </c>
      <c r="P191" s="182">
        <f>'Program Budget'!Q202</f>
        <v>0</v>
      </c>
      <c r="Q191" s="183">
        <v>0</v>
      </c>
      <c r="R191" s="184">
        <f t="shared" ref="R191" si="422">O191*P191*Q191</f>
        <v>0</v>
      </c>
      <c r="S191" s="343">
        <f>O191</f>
        <v>15000</v>
      </c>
      <c r="T191" s="182">
        <f>'Program Budget'!T202</f>
        <v>0</v>
      </c>
      <c r="U191" s="183">
        <v>0</v>
      </c>
      <c r="V191" s="184">
        <f t="shared" ref="V191" si="423">S191*T191*U191</f>
        <v>0</v>
      </c>
      <c r="W191" s="338">
        <f t="shared" ref="W191" si="424">F191+J191+N191+R191+V191</f>
        <v>15000</v>
      </c>
    </row>
    <row r="192" spans="1:23" outlineLevel="1">
      <c r="A192" s="179" t="str">
        <f>'Program Budget'!D366</f>
        <v>Registration and Booths for International Food Shows</v>
      </c>
      <c r="B192" s="180" t="str">
        <f>'Program Budget'!F366</f>
        <v>Event</v>
      </c>
      <c r="C192" s="343">
        <f>'Program Budget'!H366</f>
        <v>5000</v>
      </c>
      <c r="D192" s="182">
        <f>'Program Budget'!G366</f>
        <v>0</v>
      </c>
      <c r="E192" s="183">
        <v>0</v>
      </c>
      <c r="F192" s="184">
        <f t="shared" ref="F192" si="425">C192*D192*E192</f>
        <v>0</v>
      </c>
      <c r="G192" s="343">
        <f>C192</f>
        <v>5000</v>
      </c>
      <c r="H192" s="182">
        <f>'Program Budget'!K366</f>
        <v>1</v>
      </c>
      <c r="I192" s="183">
        <v>1</v>
      </c>
      <c r="J192" s="184">
        <f t="shared" ref="J192" si="426">G192*H192*I192</f>
        <v>5000</v>
      </c>
      <c r="K192" s="343">
        <f>G192</f>
        <v>5000</v>
      </c>
      <c r="L192" s="182">
        <f>'Program Budget'!N366</f>
        <v>2</v>
      </c>
      <c r="M192" s="183">
        <v>1</v>
      </c>
      <c r="N192" s="184">
        <f t="shared" ref="N192" si="427">K192*L192*M192</f>
        <v>10000</v>
      </c>
      <c r="O192" s="343">
        <f>K192</f>
        <v>5000</v>
      </c>
      <c r="P192" s="182">
        <f>'Program Budget'!Q366</f>
        <v>1</v>
      </c>
      <c r="Q192" s="183">
        <v>1</v>
      </c>
      <c r="R192" s="184">
        <f t="shared" ref="R192" si="428">O192*P192*Q192</f>
        <v>5000</v>
      </c>
      <c r="S192" s="343">
        <f>O192</f>
        <v>5000</v>
      </c>
      <c r="T192" s="182">
        <f>'Program Budget'!T366</f>
        <v>0</v>
      </c>
      <c r="U192" s="183">
        <v>0</v>
      </c>
      <c r="V192" s="184">
        <f t="shared" ref="V192" si="429">S192*T192*U192</f>
        <v>0</v>
      </c>
      <c r="W192" s="338">
        <f t="shared" ref="W192" si="430">F192+J192+N192+R192+V192</f>
        <v>20000</v>
      </c>
    </row>
    <row r="193" spans="1:23" ht="15.6" outlineLevel="1">
      <c r="A193" s="435" t="s">
        <v>107</v>
      </c>
      <c r="B193" s="180"/>
      <c r="C193" s="343"/>
      <c r="D193" s="182"/>
      <c r="E193" s="183"/>
      <c r="F193" s="184"/>
      <c r="G193" s="343"/>
      <c r="H193" s="182"/>
      <c r="I193" s="183"/>
      <c r="J193" s="184"/>
      <c r="K193" s="343"/>
      <c r="L193" s="182"/>
      <c r="M193" s="183"/>
      <c r="N193" s="184"/>
      <c r="O193" s="343"/>
      <c r="P193" s="182"/>
      <c r="Q193" s="183"/>
      <c r="R193" s="184"/>
      <c r="S193" s="343"/>
      <c r="T193" s="182"/>
      <c r="U193" s="183"/>
      <c r="V193" s="184"/>
      <c r="W193" s="338"/>
    </row>
    <row r="194" spans="1:23" outlineLevel="1">
      <c r="A194" s="179" t="str">
        <f>'Program Budget'!D195</f>
        <v>Climate Smart Agriculture Adaptations Grants</v>
      </c>
      <c r="B194" s="180" t="str">
        <f>'Program Budget'!F195</f>
        <v>Grant</v>
      </c>
      <c r="C194" s="343">
        <f>'Program Budget'!H195</f>
        <v>1425</v>
      </c>
      <c r="D194" s="182">
        <f>'Program Budget'!G195</f>
        <v>0</v>
      </c>
      <c r="E194" s="183">
        <v>0</v>
      </c>
      <c r="F194" s="184">
        <f t="shared" ref="F194" si="431">C194*D194*E194</f>
        <v>0</v>
      </c>
      <c r="G194" s="343">
        <f>C194</f>
        <v>1425</v>
      </c>
      <c r="H194" s="182">
        <f>'Program Budget'!K195</f>
        <v>400</v>
      </c>
      <c r="I194" s="183">
        <v>1</v>
      </c>
      <c r="J194" s="184">
        <f t="shared" ref="J194" si="432">G194*H194*I194</f>
        <v>570000</v>
      </c>
      <c r="K194" s="343">
        <f t="shared" ref="K194" si="433">G194</f>
        <v>1425</v>
      </c>
      <c r="L194" s="182">
        <f>'Program Budget'!N195</f>
        <v>533</v>
      </c>
      <c r="M194" s="183">
        <v>1</v>
      </c>
      <c r="N194" s="184">
        <f t="shared" ref="N194" si="434">K194*L194*M194</f>
        <v>759525</v>
      </c>
      <c r="O194" s="343">
        <f t="shared" ref="O194" si="435">K194</f>
        <v>1425</v>
      </c>
      <c r="P194" s="182">
        <f>'Program Budget'!Q195</f>
        <v>400</v>
      </c>
      <c r="Q194" s="183">
        <v>1</v>
      </c>
      <c r="R194" s="184">
        <f t="shared" ref="R194" si="436">O194*P194*Q194</f>
        <v>570000</v>
      </c>
      <c r="S194" s="343">
        <f t="shared" ref="S194" si="437">O194</f>
        <v>1425</v>
      </c>
      <c r="T194" s="182">
        <f>'Program Budget'!T195</f>
        <v>0</v>
      </c>
      <c r="U194" s="183">
        <v>0</v>
      </c>
      <c r="V194" s="184">
        <f t="shared" ref="V194" si="438">S194*T194*U194</f>
        <v>0</v>
      </c>
      <c r="W194" s="338">
        <f t="shared" ref="W194" si="439">F194+J194+N194+R194+V194</f>
        <v>1899525</v>
      </c>
    </row>
    <row r="195" spans="1:23" outlineLevel="1">
      <c r="A195" s="179" t="str">
        <f>'Program Budget'!D273</f>
        <v xml:space="preserve">Cold Storage Grants </v>
      </c>
      <c r="B195" s="180" t="str">
        <f>'Program Budget'!F273</f>
        <v>Grant</v>
      </c>
      <c r="C195" s="343">
        <f>'Program Budget'!H273</f>
        <v>3750</v>
      </c>
      <c r="D195" s="182">
        <f>'Program Budget'!G273</f>
        <v>0</v>
      </c>
      <c r="E195" s="183">
        <v>0</v>
      </c>
      <c r="F195" s="184">
        <f t="shared" ref="F195" si="440">C195*D195*E195</f>
        <v>0</v>
      </c>
      <c r="G195" s="343">
        <f t="shared" ref="G195" si="441">C195</f>
        <v>3750</v>
      </c>
      <c r="H195" s="182">
        <f>'Program Budget'!K273</f>
        <v>60</v>
      </c>
      <c r="I195" s="183">
        <v>1</v>
      </c>
      <c r="J195" s="184">
        <f t="shared" ref="J195" si="442">G195*H195*I195</f>
        <v>225000</v>
      </c>
      <c r="K195" s="343">
        <f t="shared" ref="K195" si="443">G195</f>
        <v>3750</v>
      </c>
      <c r="L195" s="182">
        <f>'Program Budget'!N273</f>
        <v>0</v>
      </c>
      <c r="M195" s="183">
        <v>0</v>
      </c>
      <c r="N195" s="184">
        <f t="shared" ref="N195" si="444">K195*L195*M195</f>
        <v>0</v>
      </c>
      <c r="O195" s="343">
        <f t="shared" ref="O195" si="445">K195</f>
        <v>3750</v>
      </c>
      <c r="P195" s="182">
        <f>'Program Budget'!Q273</f>
        <v>0</v>
      </c>
      <c r="Q195" s="183">
        <v>0</v>
      </c>
      <c r="R195" s="184">
        <f t="shared" ref="R195" si="446">O195*P195*Q195</f>
        <v>0</v>
      </c>
      <c r="S195" s="343">
        <f t="shared" ref="S195" si="447">O195</f>
        <v>3750</v>
      </c>
      <c r="T195" s="182">
        <f>'Program Budget'!T273</f>
        <v>0</v>
      </c>
      <c r="U195" s="183">
        <v>0</v>
      </c>
      <c r="V195" s="184">
        <f t="shared" ref="V195" si="448">S195*T195*U195</f>
        <v>0</v>
      </c>
      <c r="W195" s="338">
        <f t="shared" ref="W195" si="449">F195+J195+N195+R195+V195</f>
        <v>225000</v>
      </c>
    </row>
    <row r="196" spans="1:23" outlineLevel="1">
      <c r="A196" s="179" t="str">
        <f>'Program Budget'!D274</f>
        <v>Grants for Alfalfa Processers</v>
      </c>
      <c r="B196" s="180" t="str">
        <f>'Program Budget'!F274</f>
        <v>Grant</v>
      </c>
      <c r="C196" s="343">
        <f>'Program Budget'!H274</f>
        <v>5000</v>
      </c>
      <c r="D196" s="182">
        <f>'Program Budget'!G274</f>
        <v>0</v>
      </c>
      <c r="E196" s="183">
        <v>0</v>
      </c>
      <c r="F196" s="184">
        <f t="shared" ref="F196:F197" si="450">C196*D196*E196</f>
        <v>0</v>
      </c>
      <c r="G196" s="343">
        <f t="shared" ref="G196:G197" si="451">C196</f>
        <v>5000</v>
      </c>
      <c r="H196" s="182">
        <f>'Program Budget'!K274</f>
        <v>4</v>
      </c>
      <c r="I196" s="183">
        <v>1</v>
      </c>
      <c r="J196" s="184">
        <f t="shared" ref="J196:J197" si="452">G196*H196*I196</f>
        <v>20000</v>
      </c>
      <c r="K196" s="343">
        <f t="shared" ref="K196:K197" si="453">G196</f>
        <v>5000</v>
      </c>
      <c r="L196" s="182">
        <f>'Program Budget'!N274</f>
        <v>0</v>
      </c>
      <c r="M196" s="183">
        <v>0</v>
      </c>
      <c r="N196" s="184">
        <f t="shared" ref="N196:N197" si="454">K196*L196*M196</f>
        <v>0</v>
      </c>
      <c r="O196" s="343">
        <f t="shared" ref="O196:O197" si="455">K196</f>
        <v>5000</v>
      </c>
      <c r="P196" s="182">
        <f>'Program Budget'!Q274</f>
        <v>0</v>
      </c>
      <c r="Q196" s="183">
        <v>0</v>
      </c>
      <c r="R196" s="184">
        <f t="shared" ref="R196:R197" si="456">O196*P196*Q196</f>
        <v>0</v>
      </c>
      <c r="S196" s="343">
        <f t="shared" ref="S196:S197" si="457">O196</f>
        <v>5000</v>
      </c>
      <c r="T196" s="182">
        <f>'Program Budget'!T274</f>
        <v>0</v>
      </c>
      <c r="U196" s="183">
        <v>0</v>
      </c>
      <c r="V196" s="184">
        <f t="shared" ref="V196:V197" si="458">S196*T196*U196</f>
        <v>0</v>
      </c>
      <c r="W196" s="338">
        <f t="shared" ref="W196:W197" si="459">F196+J196+N196+R196+V196</f>
        <v>20000</v>
      </c>
    </row>
    <row r="197" spans="1:23" outlineLevel="1">
      <c r="A197" s="179" t="str">
        <f>'Program Budget'!D275</f>
        <v>Women-Led Enterprise Development Grants</v>
      </c>
      <c r="B197" s="180" t="str">
        <f>'Program Budget'!F275</f>
        <v>Grant</v>
      </c>
      <c r="C197" s="343">
        <f>'Program Budget'!H275</f>
        <v>7500</v>
      </c>
      <c r="D197" s="182">
        <f>'Program Budget'!G275</f>
        <v>0</v>
      </c>
      <c r="E197" s="183">
        <v>0</v>
      </c>
      <c r="F197" s="184">
        <f t="shared" si="450"/>
        <v>0</v>
      </c>
      <c r="G197" s="343">
        <f t="shared" si="451"/>
        <v>7500</v>
      </c>
      <c r="H197" s="182">
        <f>'Program Budget'!K275</f>
        <v>12</v>
      </c>
      <c r="I197" s="183">
        <v>1</v>
      </c>
      <c r="J197" s="184">
        <f t="shared" si="452"/>
        <v>90000</v>
      </c>
      <c r="K197" s="343">
        <f t="shared" si="453"/>
        <v>7500</v>
      </c>
      <c r="L197" s="182">
        <f>'Program Budget'!N275</f>
        <v>13</v>
      </c>
      <c r="M197" s="183">
        <v>1</v>
      </c>
      <c r="N197" s="184">
        <f t="shared" si="454"/>
        <v>97500</v>
      </c>
      <c r="O197" s="343">
        <f t="shared" si="455"/>
        <v>7500</v>
      </c>
      <c r="P197" s="182">
        <f>'Program Budget'!Q275</f>
        <v>0</v>
      </c>
      <c r="Q197" s="183">
        <v>0</v>
      </c>
      <c r="R197" s="184">
        <f t="shared" si="456"/>
        <v>0</v>
      </c>
      <c r="S197" s="343">
        <f t="shared" si="457"/>
        <v>7500</v>
      </c>
      <c r="T197" s="182">
        <f>'Program Budget'!T275</f>
        <v>0</v>
      </c>
      <c r="U197" s="183">
        <v>0</v>
      </c>
      <c r="V197" s="184">
        <f t="shared" si="458"/>
        <v>0</v>
      </c>
      <c r="W197" s="338">
        <f t="shared" si="459"/>
        <v>187500</v>
      </c>
    </row>
    <row r="198" spans="1:23" outlineLevel="1">
      <c r="A198" s="179" t="str">
        <f>'Program Budget'!D352</f>
        <v>Grant to Scale Solar Energy Technologies</v>
      </c>
      <c r="B198" s="180" t="str">
        <f>'Program Budget'!F352</f>
        <v>Grant</v>
      </c>
      <c r="C198" s="343">
        <f>'Program Budget'!H352</f>
        <v>1000</v>
      </c>
      <c r="D198" s="182">
        <f>'Program Budget'!G352</f>
        <v>0</v>
      </c>
      <c r="E198" s="183">
        <v>0</v>
      </c>
      <c r="F198" s="184">
        <f t="shared" ref="F198" si="460">C198*D198*E198</f>
        <v>0</v>
      </c>
      <c r="G198" s="343">
        <f t="shared" ref="G198" si="461">C198</f>
        <v>1000</v>
      </c>
      <c r="H198" s="182">
        <f>'Program Budget'!K352</f>
        <v>25</v>
      </c>
      <c r="I198" s="183">
        <v>1</v>
      </c>
      <c r="J198" s="184">
        <f t="shared" ref="J198" si="462">G198*H198*I198</f>
        <v>25000</v>
      </c>
      <c r="K198" s="343">
        <f t="shared" ref="K198" si="463">G198</f>
        <v>1000</v>
      </c>
      <c r="L198" s="182">
        <f>'Program Budget'!N352</f>
        <v>25</v>
      </c>
      <c r="M198" s="183">
        <v>1</v>
      </c>
      <c r="N198" s="184">
        <f t="shared" ref="N198" si="464">K198*L198*M198</f>
        <v>25000</v>
      </c>
      <c r="O198" s="343">
        <f t="shared" ref="O198" si="465">K198</f>
        <v>1000</v>
      </c>
      <c r="P198" s="182">
        <f>'Program Budget'!Q352</f>
        <v>0</v>
      </c>
      <c r="Q198" s="183">
        <v>0</v>
      </c>
      <c r="R198" s="184">
        <f t="shared" ref="R198" si="466">O198*P198*Q198</f>
        <v>0</v>
      </c>
      <c r="S198" s="343">
        <f t="shared" ref="S198" si="467">O198</f>
        <v>1000</v>
      </c>
      <c r="T198" s="182">
        <f>'Program Budget'!T352</f>
        <v>0</v>
      </c>
      <c r="U198" s="183">
        <v>0</v>
      </c>
      <c r="V198" s="184">
        <f t="shared" ref="V198" si="468">S198*T198*U198</f>
        <v>0</v>
      </c>
      <c r="W198" s="338">
        <f t="shared" ref="W198" si="469">F198+J198+N198+R198+V198</f>
        <v>50000</v>
      </c>
    </row>
    <row r="199" spans="1:23" outlineLevel="1">
      <c r="A199" s="179" t="str">
        <f>'Program Budget'!D353</f>
        <v>Grants for Producer Organization Mechanization</v>
      </c>
      <c r="B199" s="180" t="str">
        <f>'Program Budget'!F353</f>
        <v>Grant</v>
      </c>
      <c r="C199" s="343">
        <f>'Program Budget'!H353</f>
        <v>5000</v>
      </c>
      <c r="D199" s="182">
        <f>'Program Budget'!G353</f>
        <v>0</v>
      </c>
      <c r="E199" s="183">
        <v>0</v>
      </c>
      <c r="F199" s="184">
        <f t="shared" ref="F199:F201" si="470">C199*D199*E199</f>
        <v>0</v>
      </c>
      <c r="G199" s="343">
        <f t="shared" ref="G199:G201" si="471">C199</f>
        <v>5000</v>
      </c>
      <c r="H199" s="182">
        <f>'Program Budget'!K353</f>
        <v>2</v>
      </c>
      <c r="I199" s="183">
        <v>1</v>
      </c>
      <c r="J199" s="184">
        <f t="shared" ref="J199:J201" si="472">G199*H199*I199</f>
        <v>10000</v>
      </c>
      <c r="K199" s="343">
        <f t="shared" ref="K199:K201" si="473">G199</f>
        <v>5000</v>
      </c>
      <c r="L199" s="182">
        <f>'Program Budget'!N353</f>
        <v>3</v>
      </c>
      <c r="M199" s="183">
        <v>1</v>
      </c>
      <c r="N199" s="184">
        <f t="shared" ref="N199:N201" si="474">K199*L199*M199</f>
        <v>15000</v>
      </c>
      <c r="O199" s="343">
        <f t="shared" ref="O199:O201" si="475">K199</f>
        <v>5000</v>
      </c>
      <c r="P199" s="182">
        <f>'Program Budget'!Q353</f>
        <v>0</v>
      </c>
      <c r="Q199" s="183">
        <v>0</v>
      </c>
      <c r="R199" s="184">
        <f t="shared" ref="R199:R201" si="476">O199*P199*Q199</f>
        <v>0</v>
      </c>
      <c r="S199" s="343">
        <f t="shared" ref="S199:S201" si="477">O199</f>
        <v>5000</v>
      </c>
      <c r="T199" s="182">
        <f>'Program Budget'!T353</f>
        <v>0</v>
      </c>
      <c r="U199" s="183">
        <v>0</v>
      </c>
      <c r="V199" s="184">
        <f t="shared" ref="V199:V201" si="478">S199*T199*U199</f>
        <v>0</v>
      </c>
      <c r="W199" s="338">
        <f t="shared" ref="W199:W201" si="479">F199+J199+N199+R199+V199</f>
        <v>25000</v>
      </c>
    </row>
    <row r="200" spans="1:23" outlineLevel="1">
      <c r="A200" s="179" t="str">
        <f>'Program Budget'!D354</f>
        <v xml:space="preserve">Grants for Youth-Led Mechanization Service Providers  </v>
      </c>
      <c r="B200" s="180" t="str">
        <f>'Program Budget'!F354</f>
        <v>Grant</v>
      </c>
      <c r="C200" s="343">
        <f>'Program Budget'!H354</f>
        <v>5000</v>
      </c>
      <c r="D200" s="182">
        <f>'Program Budget'!G354</f>
        <v>0</v>
      </c>
      <c r="E200" s="183">
        <v>0</v>
      </c>
      <c r="F200" s="184">
        <f t="shared" si="470"/>
        <v>0</v>
      </c>
      <c r="G200" s="343">
        <f t="shared" si="471"/>
        <v>5000</v>
      </c>
      <c r="H200" s="182">
        <f>'Program Budget'!K354</f>
        <v>0</v>
      </c>
      <c r="I200" s="183">
        <v>0</v>
      </c>
      <c r="J200" s="184">
        <f t="shared" si="472"/>
        <v>0</v>
      </c>
      <c r="K200" s="343">
        <f t="shared" si="473"/>
        <v>5000</v>
      </c>
      <c r="L200" s="182">
        <f>'Program Budget'!N354</f>
        <v>2</v>
      </c>
      <c r="M200" s="183">
        <v>1</v>
      </c>
      <c r="N200" s="184">
        <f t="shared" si="474"/>
        <v>10000</v>
      </c>
      <c r="O200" s="343">
        <f t="shared" si="475"/>
        <v>5000</v>
      </c>
      <c r="P200" s="182">
        <f>'Program Budget'!Q354</f>
        <v>3</v>
      </c>
      <c r="Q200" s="183">
        <v>1</v>
      </c>
      <c r="R200" s="184">
        <f t="shared" si="476"/>
        <v>15000</v>
      </c>
      <c r="S200" s="343">
        <f t="shared" si="477"/>
        <v>5000</v>
      </c>
      <c r="T200" s="182">
        <f>'Program Budget'!T354</f>
        <v>0</v>
      </c>
      <c r="U200" s="183">
        <v>0</v>
      </c>
      <c r="V200" s="184">
        <f t="shared" si="478"/>
        <v>0</v>
      </c>
      <c r="W200" s="338">
        <f t="shared" si="479"/>
        <v>25000</v>
      </c>
    </row>
    <row r="201" spans="1:23" outlineLevel="1">
      <c r="A201" s="179" t="str">
        <f>'Program Budget'!D355</f>
        <v>Grants for Women-Led Date Product Processing</v>
      </c>
      <c r="B201" s="180" t="str">
        <f>'Program Budget'!F355</f>
        <v>Grant</v>
      </c>
      <c r="C201" s="343">
        <f>'Program Budget'!H355</f>
        <v>7500</v>
      </c>
      <c r="D201" s="182">
        <f>'Program Budget'!G355</f>
        <v>0</v>
      </c>
      <c r="E201" s="183">
        <v>0</v>
      </c>
      <c r="F201" s="184">
        <f t="shared" si="470"/>
        <v>0</v>
      </c>
      <c r="G201" s="343">
        <f t="shared" si="471"/>
        <v>7500</v>
      </c>
      <c r="H201" s="182">
        <f>'Program Budget'!K355</f>
        <v>25</v>
      </c>
      <c r="I201" s="183">
        <v>1</v>
      </c>
      <c r="J201" s="184">
        <f t="shared" si="472"/>
        <v>187500</v>
      </c>
      <c r="K201" s="343">
        <f t="shared" si="473"/>
        <v>7500</v>
      </c>
      <c r="L201" s="182">
        <f>'Program Budget'!N355</f>
        <v>0</v>
      </c>
      <c r="M201" s="183">
        <v>0</v>
      </c>
      <c r="N201" s="184">
        <f t="shared" si="474"/>
        <v>0</v>
      </c>
      <c r="O201" s="343">
        <f t="shared" si="475"/>
        <v>7500</v>
      </c>
      <c r="P201" s="182">
        <f>'Program Budget'!Q355</f>
        <v>0</v>
      </c>
      <c r="Q201" s="183">
        <v>0</v>
      </c>
      <c r="R201" s="184">
        <f t="shared" si="476"/>
        <v>0</v>
      </c>
      <c r="S201" s="343">
        <f t="shared" si="477"/>
        <v>7500</v>
      </c>
      <c r="T201" s="182">
        <f>'Program Budget'!T355</f>
        <v>0</v>
      </c>
      <c r="U201" s="183">
        <v>0</v>
      </c>
      <c r="V201" s="184">
        <f t="shared" si="478"/>
        <v>0</v>
      </c>
      <c r="W201" s="338">
        <f t="shared" si="479"/>
        <v>187500</v>
      </c>
    </row>
    <row r="202" spans="1:23" ht="15.6" outlineLevel="1">
      <c r="A202" s="435" t="s">
        <v>108</v>
      </c>
      <c r="B202" s="180"/>
      <c r="C202" s="343"/>
      <c r="D202" s="182"/>
      <c r="E202" s="183"/>
      <c r="F202" s="184"/>
      <c r="G202" s="343"/>
      <c r="H202" s="182"/>
      <c r="I202" s="183"/>
      <c r="J202" s="184"/>
      <c r="K202" s="343"/>
      <c r="L202" s="182"/>
      <c r="M202" s="183"/>
      <c r="N202" s="184"/>
      <c r="O202" s="343"/>
      <c r="P202" s="182"/>
      <c r="Q202" s="183"/>
      <c r="R202" s="184"/>
      <c r="S202" s="343"/>
      <c r="T202" s="182"/>
      <c r="U202" s="183"/>
      <c r="V202" s="184"/>
      <c r="W202" s="338"/>
    </row>
    <row r="203" spans="1:23" outlineLevel="1">
      <c r="A203" s="179" t="str">
        <f>'Program Budget'!D130</f>
        <v>Equipment and Office Repairs and Maintenance</v>
      </c>
      <c r="B203" s="180" t="str">
        <f>'Program Budget'!F130</f>
        <v>Year</v>
      </c>
      <c r="C203" s="343">
        <f>'Program Budget'!H130</f>
        <v>500</v>
      </c>
      <c r="D203" s="182">
        <f>'Program Budget'!G130</f>
        <v>1</v>
      </c>
      <c r="E203" s="183">
        <v>1</v>
      </c>
      <c r="F203" s="184">
        <f t="shared" ref="F203:F207" si="480">C203*D203*E203</f>
        <v>500</v>
      </c>
      <c r="G203" s="343">
        <f>C203*1.07</f>
        <v>535</v>
      </c>
      <c r="H203" s="182">
        <f>'Program Budget'!K130</f>
        <v>1</v>
      </c>
      <c r="I203" s="183">
        <v>1</v>
      </c>
      <c r="J203" s="184">
        <f t="shared" ref="J203:J207" si="481">G203*H203*I203</f>
        <v>535</v>
      </c>
      <c r="K203" s="343">
        <f>G203*1.07</f>
        <v>572.45000000000005</v>
      </c>
      <c r="L203" s="182">
        <f>'Program Budget'!N130</f>
        <v>1</v>
      </c>
      <c r="M203" s="183">
        <v>1</v>
      </c>
      <c r="N203" s="184">
        <f t="shared" ref="N203:N207" si="482">K203*L203*M203</f>
        <v>572.45000000000005</v>
      </c>
      <c r="O203" s="343">
        <f>K203*1.07</f>
        <v>612.52150000000006</v>
      </c>
      <c r="P203" s="182">
        <f>'Program Budget'!Q130</f>
        <v>1</v>
      </c>
      <c r="Q203" s="183">
        <v>1</v>
      </c>
      <c r="R203" s="184">
        <f t="shared" ref="R203:R207" si="483">O203*P203*Q203</f>
        <v>612.52150000000006</v>
      </c>
      <c r="S203" s="343">
        <f>O203*1.07</f>
        <v>655.39800500000013</v>
      </c>
      <c r="T203" s="182">
        <f>'Program Budget'!T130</f>
        <v>1</v>
      </c>
      <c r="U203" s="183">
        <v>1</v>
      </c>
      <c r="V203" s="184">
        <f t="shared" ref="V203:V207" si="484">S203*T203*U203</f>
        <v>655.39800500000013</v>
      </c>
      <c r="W203" s="338">
        <f t="shared" ref="W203:W207" si="485">F203+J203+N203+R203+V203</f>
        <v>2875.3695050000001</v>
      </c>
    </row>
    <row r="204" spans="1:23" outlineLevel="1">
      <c r="A204" s="179" t="str">
        <f>'Program Budget'!D131</f>
        <v>Vehicle Maintenance/Repairs/Spare Parts</v>
      </c>
      <c r="B204" s="180" t="str">
        <f>'Program Budget'!F131</f>
        <v>Month</v>
      </c>
      <c r="C204" s="343">
        <f>'Program Budget'!H131</f>
        <v>150</v>
      </c>
      <c r="D204" s="182">
        <f>'Program Budget'!G131</f>
        <v>3</v>
      </c>
      <c r="E204" s="183">
        <v>1</v>
      </c>
      <c r="F204" s="184">
        <f t="shared" si="480"/>
        <v>450</v>
      </c>
      <c r="G204" s="343">
        <f t="shared" ref="G204:G207" si="486">C204*1.07</f>
        <v>160.5</v>
      </c>
      <c r="H204" s="182">
        <f>'Program Budget'!K131</f>
        <v>12</v>
      </c>
      <c r="I204" s="183">
        <v>1</v>
      </c>
      <c r="J204" s="184">
        <f t="shared" si="481"/>
        <v>1926</v>
      </c>
      <c r="K204" s="343">
        <f t="shared" ref="K204:K207" si="487">G204*1.07</f>
        <v>171.73500000000001</v>
      </c>
      <c r="L204" s="182">
        <f>'Program Budget'!N131</f>
        <v>12</v>
      </c>
      <c r="M204" s="183">
        <v>1</v>
      </c>
      <c r="N204" s="184">
        <f t="shared" si="482"/>
        <v>2060.8200000000002</v>
      </c>
      <c r="O204" s="343">
        <f t="shared" ref="O204:O207" si="488">K204*1.07</f>
        <v>183.75645000000003</v>
      </c>
      <c r="P204" s="182">
        <f>'Program Budget'!Q131</f>
        <v>12</v>
      </c>
      <c r="Q204" s="183">
        <v>1</v>
      </c>
      <c r="R204" s="184">
        <f t="shared" si="483"/>
        <v>2205.0774000000001</v>
      </c>
      <c r="S204" s="343">
        <f t="shared" ref="S204:S207" si="489">O204*1.07</f>
        <v>196.61940150000004</v>
      </c>
      <c r="T204" s="182">
        <f>'Program Budget'!T131</f>
        <v>6</v>
      </c>
      <c r="U204" s="183">
        <v>1</v>
      </c>
      <c r="V204" s="184">
        <f t="shared" si="484"/>
        <v>1179.7164090000001</v>
      </c>
      <c r="W204" s="338">
        <f t="shared" si="485"/>
        <v>7821.6138090000004</v>
      </c>
    </row>
    <row r="205" spans="1:23" ht="15.6" outlineLevel="1">
      <c r="A205" s="435" t="s">
        <v>109</v>
      </c>
      <c r="B205" s="180"/>
      <c r="C205" s="343"/>
      <c r="D205" s="182"/>
      <c r="E205" s="183"/>
      <c r="F205" s="184"/>
      <c r="G205" s="343"/>
      <c r="H205" s="182"/>
      <c r="I205" s="183"/>
      <c r="J205" s="184"/>
      <c r="K205" s="343"/>
      <c r="L205" s="182"/>
      <c r="M205" s="183"/>
      <c r="N205" s="184"/>
      <c r="O205" s="343"/>
      <c r="P205" s="182"/>
      <c r="Q205" s="183"/>
      <c r="R205" s="184"/>
      <c r="S205" s="343"/>
      <c r="T205" s="182"/>
      <c r="U205" s="183"/>
      <c r="V205" s="184"/>
      <c r="W205" s="338"/>
    </row>
    <row r="206" spans="1:23" outlineLevel="1">
      <c r="A206" s="179" t="str">
        <f>'Program Budget'!D133</f>
        <v>Property and Liability Insurance</v>
      </c>
      <c r="B206" s="180" t="str">
        <f>'Program Budget'!F133</f>
        <v>Year</v>
      </c>
      <c r="C206" s="343">
        <f>'Program Budget'!H133</f>
        <v>500</v>
      </c>
      <c r="D206" s="182">
        <f>'Program Budget'!G133</f>
        <v>1</v>
      </c>
      <c r="E206" s="183">
        <v>1</v>
      </c>
      <c r="F206" s="184">
        <f t="shared" si="480"/>
        <v>500</v>
      </c>
      <c r="G206" s="343">
        <f t="shared" si="486"/>
        <v>535</v>
      </c>
      <c r="H206" s="182">
        <f>'Program Budget'!K133</f>
        <v>1</v>
      </c>
      <c r="I206" s="183">
        <v>1</v>
      </c>
      <c r="J206" s="184">
        <f t="shared" si="481"/>
        <v>535</v>
      </c>
      <c r="K206" s="343">
        <f t="shared" si="487"/>
        <v>572.45000000000005</v>
      </c>
      <c r="L206" s="182">
        <f>'Program Budget'!N133</f>
        <v>1</v>
      </c>
      <c r="M206" s="183">
        <v>1</v>
      </c>
      <c r="N206" s="184">
        <f t="shared" si="482"/>
        <v>572.45000000000005</v>
      </c>
      <c r="O206" s="343">
        <f t="shared" si="488"/>
        <v>612.52150000000006</v>
      </c>
      <c r="P206" s="182">
        <f>'Program Budget'!Q133</f>
        <v>1</v>
      </c>
      <c r="Q206" s="183">
        <v>1</v>
      </c>
      <c r="R206" s="184">
        <f t="shared" si="483"/>
        <v>612.52150000000006</v>
      </c>
      <c r="S206" s="343">
        <f t="shared" si="489"/>
        <v>655.39800500000013</v>
      </c>
      <c r="T206" s="182">
        <f>'Program Budget'!T133</f>
        <v>1</v>
      </c>
      <c r="U206" s="183">
        <v>1</v>
      </c>
      <c r="V206" s="184">
        <f t="shared" si="484"/>
        <v>655.39800500000013</v>
      </c>
      <c r="W206" s="338">
        <f t="shared" si="485"/>
        <v>2875.3695050000001</v>
      </c>
    </row>
    <row r="207" spans="1:23" outlineLevel="1">
      <c r="A207" s="179" t="str">
        <f>'Program Budget'!D134</f>
        <v>Vehicle Insurance</v>
      </c>
      <c r="B207" s="180" t="str">
        <f>'Program Budget'!F134</f>
        <v>Vehicle</v>
      </c>
      <c r="C207" s="343">
        <f>'Program Budget'!H134</f>
        <v>125</v>
      </c>
      <c r="D207" s="182">
        <f>'Program Budget'!G134</f>
        <v>3</v>
      </c>
      <c r="E207" s="183">
        <v>1</v>
      </c>
      <c r="F207" s="184">
        <f t="shared" si="480"/>
        <v>375</v>
      </c>
      <c r="G207" s="343">
        <f t="shared" si="486"/>
        <v>133.75</v>
      </c>
      <c r="H207" s="182">
        <f>'Program Budget'!K134</f>
        <v>3</v>
      </c>
      <c r="I207" s="183">
        <v>1</v>
      </c>
      <c r="J207" s="184">
        <f t="shared" si="481"/>
        <v>401.25</v>
      </c>
      <c r="K207" s="343">
        <f t="shared" si="487"/>
        <v>143.11250000000001</v>
      </c>
      <c r="L207" s="182">
        <f>'Program Budget'!N134</f>
        <v>3</v>
      </c>
      <c r="M207" s="183">
        <v>1</v>
      </c>
      <c r="N207" s="184">
        <f t="shared" si="482"/>
        <v>429.33750000000003</v>
      </c>
      <c r="O207" s="343">
        <f t="shared" si="488"/>
        <v>153.13037500000002</v>
      </c>
      <c r="P207" s="182">
        <f>'Program Budget'!Q134</f>
        <v>3</v>
      </c>
      <c r="Q207" s="183">
        <v>1</v>
      </c>
      <c r="R207" s="184">
        <f t="shared" si="483"/>
        <v>459.39112500000005</v>
      </c>
      <c r="S207" s="343">
        <f t="shared" si="489"/>
        <v>163.84950125000003</v>
      </c>
      <c r="T207" s="182">
        <f>'Program Budget'!T134</f>
        <v>3</v>
      </c>
      <c r="U207" s="183">
        <v>1</v>
      </c>
      <c r="V207" s="184">
        <f t="shared" si="484"/>
        <v>491.54850375000012</v>
      </c>
      <c r="W207" s="338">
        <f t="shared" si="485"/>
        <v>2156.5271287500004</v>
      </c>
    </row>
    <row r="208" spans="1:23" ht="15.6" outlineLevel="1">
      <c r="A208" s="446"/>
      <c r="B208" s="227"/>
      <c r="C208" s="350"/>
      <c r="D208" s="266"/>
      <c r="E208" s="230"/>
      <c r="F208" s="231"/>
      <c r="G208" s="343"/>
      <c r="H208" s="266"/>
      <c r="I208" s="230"/>
      <c r="J208" s="231"/>
      <c r="K208" s="350"/>
      <c r="L208" s="266"/>
      <c r="M208" s="230"/>
      <c r="N208" s="231"/>
      <c r="O208" s="350"/>
      <c r="P208" s="266"/>
      <c r="Q208" s="230"/>
      <c r="R208" s="231"/>
      <c r="S208" s="350"/>
      <c r="T208" s="266"/>
      <c r="U208" s="230"/>
      <c r="V208" s="231"/>
      <c r="W208" s="186"/>
    </row>
    <row r="209" spans="1:23" ht="18.3" outlineLevel="1">
      <c r="A209" s="447" t="s">
        <v>110</v>
      </c>
      <c r="B209" s="213"/>
      <c r="C209" s="347"/>
      <c r="D209" s="238"/>
      <c r="E209" s="269"/>
      <c r="F209" s="240">
        <f>SUM(F169:F207)</f>
        <v>43655</v>
      </c>
      <c r="G209" s="347"/>
      <c r="H209" s="238"/>
      <c r="I209" s="241"/>
      <c r="J209" s="240">
        <f>SUM(J169:J207)</f>
        <v>1222697.25</v>
      </c>
      <c r="K209" s="347"/>
      <c r="L209" s="238"/>
      <c r="M209" s="269"/>
      <c r="N209" s="240">
        <f>SUM(N169:N207)</f>
        <v>954300.05749999988</v>
      </c>
      <c r="O209" s="347"/>
      <c r="P209" s="238"/>
      <c r="Q209" s="241"/>
      <c r="R209" s="240">
        <f>SUM(R169:R207)</f>
        <v>612629.51152499998</v>
      </c>
      <c r="S209" s="347"/>
      <c r="T209" s="238"/>
      <c r="U209" s="241"/>
      <c r="V209" s="240">
        <f>SUM(V169:V207)</f>
        <v>18632.060922749999</v>
      </c>
      <c r="W209" s="240">
        <f>SUM(W169:W207)</f>
        <v>2851913.8799477494</v>
      </c>
    </row>
    <row r="210" spans="1:23" ht="15.6" outlineLevel="1">
      <c r="A210" s="448"/>
      <c r="B210" s="225"/>
      <c r="C210" s="349"/>
      <c r="D210" s="264"/>
      <c r="F210" s="184"/>
      <c r="G210" s="184"/>
      <c r="H210" s="184"/>
      <c r="I210" s="184"/>
      <c r="J210" s="184"/>
      <c r="K210" s="184"/>
      <c r="L210" s="184"/>
      <c r="N210" s="186"/>
      <c r="O210" s="349"/>
      <c r="P210" s="264"/>
      <c r="R210" s="186"/>
      <c r="S210" s="349"/>
      <c r="T210" s="264"/>
      <c r="V210" s="186"/>
      <c r="W210" s="186"/>
    </row>
    <row r="211" spans="1:23" ht="18.3" outlineLevel="1">
      <c r="A211" s="449" t="s">
        <v>111</v>
      </c>
      <c r="B211" s="272"/>
      <c r="C211" s="351"/>
      <c r="D211" s="274"/>
      <c r="E211" s="275"/>
      <c r="F211" s="276">
        <f>F37+F48+F93+F150+F168+F131+F209+F135</f>
        <v>2238459.9958000001</v>
      </c>
      <c r="G211" s="351"/>
      <c r="H211" s="274"/>
      <c r="I211" s="277"/>
      <c r="J211" s="276">
        <f>J37+J48+J93+J150+J168+J131+J209+J135</f>
        <v>3425395.5790800001</v>
      </c>
      <c r="K211" s="351"/>
      <c r="L211" s="274"/>
      <c r="M211" s="275"/>
      <c r="N211" s="276">
        <f>N37+N48+N93+N150+N168+N131+N209+N135</f>
        <v>3438404.9624995999</v>
      </c>
      <c r="O211" s="351"/>
      <c r="P211" s="274"/>
      <c r="Q211" s="277"/>
      <c r="R211" s="276">
        <f>R37+R48+R93+R150+R168+R131+R209+R135</f>
        <v>2421819.3947325</v>
      </c>
      <c r="S211" s="351"/>
      <c r="T211" s="274"/>
      <c r="U211" s="277"/>
      <c r="V211" s="276">
        <f>V37+V48+V93+V150+V168+V131+V209+V135</f>
        <v>1728180.7450048723</v>
      </c>
      <c r="W211" s="276">
        <f>W37+W48+W93+W150+W168+W131+W209+W135</f>
        <v>13252260.67711697</v>
      </c>
    </row>
    <row r="212" spans="1:23" ht="15.6">
      <c r="A212" s="450"/>
      <c r="B212" s="225"/>
      <c r="C212" s="349"/>
      <c r="D212" s="264"/>
      <c r="F212" s="184"/>
      <c r="G212" s="349"/>
      <c r="H212" s="264"/>
      <c r="J212" s="186"/>
      <c r="K212" s="349"/>
      <c r="L212" s="264"/>
      <c r="N212" s="186"/>
      <c r="O212" s="349"/>
      <c r="P212" s="264"/>
      <c r="R212" s="186"/>
      <c r="S212" s="349"/>
      <c r="T212" s="264"/>
      <c r="V212" s="186"/>
      <c r="W212" s="186"/>
    </row>
    <row r="213" spans="1:23" ht="20.399999999999999">
      <c r="A213" s="451" t="s">
        <v>53</v>
      </c>
      <c r="B213" s="279"/>
      <c r="C213" s="352"/>
      <c r="D213" s="280"/>
      <c r="E213" s="280"/>
      <c r="F213" s="280"/>
      <c r="G213" s="352"/>
      <c r="H213" s="280"/>
      <c r="I213" s="280"/>
      <c r="J213" s="280"/>
      <c r="K213" s="352"/>
      <c r="L213" s="280"/>
      <c r="M213" s="280"/>
      <c r="N213" s="280"/>
      <c r="O213" s="352"/>
      <c r="P213" s="280"/>
      <c r="Q213" s="280"/>
      <c r="R213" s="280"/>
      <c r="S213" s="352"/>
      <c r="T213" s="280"/>
      <c r="U213" s="280"/>
      <c r="V213" s="280"/>
      <c r="W213" s="279"/>
    </row>
    <row r="214" spans="1:23" ht="15" customHeight="1">
      <c r="A214" s="452" t="s">
        <v>54</v>
      </c>
      <c r="B214" s="282"/>
      <c r="C214" s="353"/>
      <c r="D214" s="283"/>
      <c r="E214" s="283"/>
      <c r="F214" s="184">
        <f>'Indirect Calculations'!D48</f>
        <v>350099.61599564005</v>
      </c>
      <c r="G214" s="353"/>
      <c r="H214" s="283"/>
      <c r="I214" s="283"/>
      <c r="J214" s="184">
        <f>'Indirect Calculations'!E48</f>
        <v>201027.84974999999</v>
      </c>
      <c r="K214" s="353"/>
      <c r="L214" s="283"/>
      <c r="M214" s="283"/>
      <c r="N214" s="184">
        <f>'Indirect Calculations'!F48</f>
        <v>239175.42523518001</v>
      </c>
      <c r="O214" s="353"/>
      <c r="P214" s="283"/>
      <c r="Q214" s="283"/>
      <c r="R214" s="184">
        <f>'Indirect Calculations'!G48</f>
        <v>158966.28610445658</v>
      </c>
      <c r="S214" s="353"/>
      <c r="T214" s="283"/>
      <c r="U214" s="283"/>
      <c r="V214" s="184">
        <f>'Indirect Calculations'!H48</f>
        <v>197958.31437714316</v>
      </c>
      <c r="W214" s="320">
        <f>ROUNDDOWN(F214+J214+N214+R214+V214,2)</f>
        <v>1147227.49</v>
      </c>
    </row>
    <row r="215" spans="1:23" ht="15" customHeight="1">
      <c r="A215" s="452" t="s">
        <v>55</v>
      </c>
      <c r="B215" s="282"/>
      <c r="C215" s="353"/>
      <c r="D215" s="283"/>
      <c r="E215" s="283"/>
      <c r="F215" s="184">
        <f>'Indirect Calculations'!D60</f>
        <v>282936.87081659999</v>
      </c>
      <c r="G215" s="353"/>
      <c r="H215" s="283"/>
      <c r="I215" s="283"/>
      <c r="J215" s="184">
        <f>'Indirect Calculations'!E60</f>
        <v>767674.02001382387</v>
      </c>
      <c r="K215" s="353"/>
      <c r="L215" s="283"/>
      <c r="M215" s="283"/>
      <c r="N215" s="184">
        <f>'Indirect Calculations'!F60</f>
        <v>733205.49815970694</v>
      </c>
      <c r="O215" s="353"/>
      <c r="P215" s="283"/>
      <c r="Q215" s="283"/>
      <c r="R215" s="184">
        <f>'Indirect Calculations'!G60</f>
        <v>525924.23872589448</v>
      </c>
      <c r="S215" s="353"/>
      <c r="T215" s="283"/>
      <c r="U215" s="283"/>
      <c r="V215" s="184">
        <f>'Indirect Calculations'!H60</f>
        <v>290771.2003102348</v>
      </c>
      <c r="W215" s="320">
        <f>ROUNDDOWN(F215+J215+N215+R215+V215,2)</f>
        <v>2600511.8199999998</v>
      </c>
    </row>
    <row r="216" spans="1:23">
      <c r="A216" s="453"/>
      <c r="B216" s="225"/>
      <c r="C216" s="348"/>
      <c r="D216" s="285"/>
      <c r="E216" s="286"/>
      <c r="F216" s="184"/>
      <c r="G216" s="348"/>
      <c r="H216" s="285"/>
      <c r="I216" s="185"/>
      <c r="J216" s="184"/>
      <c r="K216" s="348"/>
      <c r="L216" s="285"/>
      <c r="M216" s="286"/>
      <c r="N216" s="184"/>
      <c r="O216" s="348"/>
      <c r="P216" s="285"/>
      <c r="Q216" s="185"/>
      <c r="R216" s="184"/>
      <c r="S216" s="348"/>
      <c r="T216" s="285"/>
      <c r="U216" s="185"/>
      <c r="V216" s="184"/>
      <c r="W216" s="186"/>
    </row>
    <row r="217" spans="1:23" ht="18.3">
      <c r="A217" s="449" t="s">
        <v>112</v>
      </c>
      <c r="B217" s="272"/>
      <c r="C217" s="351"/>
      <c r="D217" s="274"/>
      <c r="E217" s="275"/>
      <c r="F217" s="276">
        <f>SUM(F214:F216)</f>
        <v>633036.48681223998</v>
      </c>
      <c r="G217" s="351"/>
      <c r="H217" s="274"/>
      <c r="I217" s="277"/>
      <c r="J217" s="276">
        <f>SUM(J214:J216)</f>
        <v>968701.86976382392</v>
      </c>
      <c r="K217" s="351"/>
      <c r="L217" s="274"/>
      <c r="M217" s="275"/>
      <c r="N217" s="276">
        <f>SUM(N214:N216)</f>
        <v>972380.92339488701</v>
      </c>
      <c r="O217" s="351"/>
      <c r="P217" s="274"/>
      <c r="Q217" s="277"/>
      <c r="R217" s="276">
        <f>SUM(R214:R216)</f>
        <v>684890.52483035112</v>
      </c>
      <c r="S217" s="351"/>
      <c r="T217" s="274"/>
      <c r="U217" s="277"/>
      <c r="V217" s="276">
        <f>SUM(V214:V216)</f>
        <v>488729.51468737796</v>
      </c>
      <c r="W217" s="276">
        <f>SUM(W214:W216)</f>
        <v>3747739.3099999996</v>
      </c>
    </row>
    <row r="218" spans="1:23" ht="15.6">
      <c r="A218" s="454"/>
      <c r="B218" s="225"/>
      <c r="C218" s="348"/>
      <c r="D218" s="285"/>
      <c r="E218" s="286"/>
      <c r="F218" s="184"/>
      <c r="G218" s="348"/>
      <c r="H218" s="285"/>
      <c r="I218" s="185"/>
      <c r="J218" s="184"/>
      <c r="K218" s="348"/>
      <c r="L218" s="285"/>
      <c r="M218" s="286"/>
      <c r="N218" s="184"/>
      <c r="O218" s="348"/>
      <c r="P218" s="285"/>
      <c r="Q218" s="185"/>
      <c r="R218" s="184"/>
      <c r="S218" s="348"/>
      <c r="T218" s="285"/>
      <c r="U218" s="185"/>
      <c r="V218" s="184"/>
      <c r="W218" s="186">
        <f>F218+J218+N218+R218+V218</f>
        <v>0</v>
      </c>
    </row>
    <row r="219" spans="1:23" ht="18.3">
      <c r="A219" s="455" t="s">
        <v>113</v>
      </c>
      <c r="B219" s="292"/>
      <c r="C219" s="354"/>
      <c r="D219" s="294"/>
      <c r="E219" s="295"/>
      <c r="F219" s="296">
        <f>F211+F217</f>
        <v>2871496.4826122401</v>
      </c>
      <c r="G219" s="354"/>
      <c r="H219" s="294"/>
      <c r="I219" s="297"/>
      <c r="J219" s="296">
        <f>J211+J217</f>
        <v>4394097.4488438237</v>
      </c>
      <c r="K219" s="354"/>
      <c r="L219" s="294"/>
      <c r="M219" s="295"/>
      <c r="N219" s="296">
        <f>N211+N217</f>
        <v>4410785.8858944867</v>
      </c>
      <c r="O219" s="354"/>
      <c r="P219" s="294"/>
      <c r="Q219" s="297"/>
      <c r="R219" s="296">
        <f>R211+R217</f>
        <v>3106709.9195628511</v>
      </c>
      <c r="S219" s="354"/>
      <c r="T219" s="294"/>
      <c r="U219" s="297"/>
      <c r="V219" s="296">
        <f>V211+V217</f>
        <v>2216910.2596922503</v>
      </c>
      <c r="W219" s="298">
        <f>F219+J219+N219+R219+V219</f>
        <v>16999999.996605653</v>
      </c>
    </row>
    <row r="220" spans="1:23" outlineLevel="1">
      <c r="A220" s="179" t="str">
        <f>'Program Budget'!D206</f>
        <v>Cost Share for Climate Smart Agriculture Adaptations Grants</v>
      </c>
      <c r="B220" s="180" t="str">
        <f>'Program Budget'!F206</f>
        <v>Unit</v>
      </c>
      <c r="C220" s="343">
        <f>'Program Budget'!H206</f>
        <v>71.25</v>
      </c>
      <c r="D220" s="182">
        <f>'Program Budget'!G206</f>
        <v>0</v>
      </c>
      <c r="E220" s="183">
        <v>0</v>
      </c>
      <c r="F220" s="184">
        <f t="shared" ref="F220" si="490">C220*D220*E220</f>
        <v>0</v>
      </c>
      <c r="G220" s="343">
        <f t="shared" ref="G220:G230" si="491">C220</f>
        <v>71.25</v>
      </c>
      <c r="H220" s="182">
        <f>'Program Budget'!K206</f>
        <v>400</v>
      </c>
      <c r="I220" s="183">
        <v>1</v>
      </c>
      <c r="J220" s="184">
        <f t="shared" ref="J220" si="492">G220*H220*I220</f>
        <v>28500</v>
      </c>
      <c r="K220" s="343">
        <f t="shared" ref="K220:K230" si="493">G220</f>
        <v>71.25</v>
      </c>
      <c r="L220" s="182">
        <f>'Program Budget'!N206</f>
        <v>533</v>
      </c>
      <c r="M220" s="183">
        <v>1</v>
      </c>
      <c r="N220" s="184">
        <f t="shared" ref="N220" si="494">K220*L220*M220</f>
        <v>37976.25</v>
      </c>
      <c r="O220" s="343">
        <f t="shared" ref="O220:O230" si="495">K220</f>
        <v>71.25</v>
      </c>
      <c r="P220" s="182">
        <f>'Program Budget'!Q206</f>
        <v>400</v>
      </c>
      <c r="Q220" s="183">
        <v>1</v>
      </c>
      <c r="R220" s="184">
        <f t="shared" ref="R220" si="496">O220*P220*Q220</f>
        <v>28500</v>
      </c>
      <c r="S220" s="343">
        <f t="shared" ref="S220:S230" si="497">O220</f>
        <v>71.25</v>
      </c>
      <c r="T220" s="182">
        <f>'Program Budget'!T206</f>
        <v>0</v>
      </c>
      <c r="U220" s="183">
        <v>0</v>
      </c>
      <c r="V220" s="184">
        <f t="shared" ref="V220" si="498">S220*T220*U220</f>
        <v>0</v>
      </c>
      <c r="W220" s="338">
        <f t="shared" ref="W220" si="499">F220+J220+N220+R220+V220</f>
        <v>94976.25</v>
      </c>
    </row>
    <row r="221" spans="1:23" outlineLevel="1">
      <c r="A221" s="179" t="str">
        <f>'Program Budget'!D207</f>
        <v>Donated Materials and Time from APIA for Events</v>
      </c>
      <c r="B221" s="180" t="str">
        <f>'Program Budget'!F207</f>
        <v>Event</v>
      </c>
      <c r="C221" s="343">
        <f>'Program Budget'!H207</f>
        <v>249.95</v>
      </c>
      <c r="D221" s="182">
        <f>'Program Budget'!G207</f>
        <v>1</v>
      </c>
      <c r="E221" s="183">
        <v>1</v>
      </c>
      <c r="F221" s="184">
        <f t="shared" ref="F221:F222" si="500">C221*D221*E221</f>
        <v>249.95</v>
      </c>
      <c r="G221" s="343">
        <f t="shared" si="491"/>
        <v>249.95</v>
      </c>
      <c r="H221" s="182">
        <f>'Program Budget'!K207</f>
        <v>1</v>
      </c>
      <c r="I221" s="183">
        <v>1</v>
      </c>
      <c r="J221" s="184">
        <f t="shared" ref="J221:J222" si="501">G221*H221*I221</f>
        <v>249.95</v>
      </c>
      <c r="K221" s="343">
        <f t="shared" si="493"/>
        <v>249.95</v>
      </c>
      <c r="L221" s="182">
        <f>'Program Budget'!N207</f>
        <v>1</v>
      </c>
      <c r="M221" s="183">
        <v>1</v>
      </c>
      <c r="N221" s="184">
        <f t="shared" ref="N221:N222" si="502">K221*L221*M221</f>
        <v>249.95</v>
      </c>
      <c r="O221" s="343">
        <f t="shared" si="495"/>
        <v>249.95</v>
      </c>
      <c r="P221" s="182">
        <f>'Program Budget'!Q207</f>
        <v>1</v>
      </c>
      <c r="Q221" s="183">
        <v>1</v>
      </c>
      <c r="R221" s="184">
        <f t="shared" ref="R221:R222" si="503">O221*P221*Q221</f>
        <v>249.95</v>
      </c>
      <c r="S221" s="343">
        <f t="shared" si="497"/>
        <v>249.95</v>
      </c>
      <c r="T221" s="182">
        <f>'Program Budget'!T207</f>
        <v>1</v>
      </c>
      <c r="U221" s="183">
        <v>1</v>
      </c>
      <c r="V221" s="184">
        <f t="shared" ref="V221:V222" si="504">S221*T221*U221</f>
        <v>249.95</v>
      </c>
      <c r="W221" s="338">
        <f t="shared" ref="W221:W222" si="505">F221+J221+N221+R221+V221</f>
        <v>1249.75</v>
      </c>
    </row>
    <row r="222" spans="1:23" outlineLevel="1">
      <c r="A222" s="179" t="str">
        <f>'Program Budget'!D208</f>
        <v>Venue Space for Grant Mechanism Design Meeting</v>
      </c>
      <c r="B222" s="180" t="str">
        <f>'Program Budget'!F208</f>
        <v>Day</v>
      </c>
      <c r="C222" s="343">
        <f>'Program Budget'!H208</f>
        <v>125</v>
      </c>
      <c r="D222" s="182">
        <f>'Program Budget'!G208</f>
        <v>2</v>
      </c>
      <c r="E222" s="183">
        <v>1</v>
      </c>
      <c r="F222" s="184">
        <f t="shared" si="500"/>
        <v>250</v>
      </c>
      <c r="G222" s="343">
        <f t="shared" si="491"/>
        <v>125</v>
      </c>
      <c r="H222" s="182">
        <f>'Program Budget'!K208</f>
        <v>0</v>
      </c>
      <c r="I222" s="183">
        <v>0</v>
      </c>
      <c r="J222" s="184">
        <f t="shared" si="501"/>
        <v>0</v>
      </c>
      <c r="K222" s="343">
        <f t="shared" si="493"/>
        <v>125</v>
      </c>
      <c r="L222" s="182">
        <f>'Program Budget'!N208</f>
        <v>0</v>
      </c>
      <c r="M222" s="183">
        <v>0</v>
      </c>
      <c r="N222" s="184">
        <f t="shared" si="502"/>
        <v>0</v>
      </c>
      <c r="O222" s="343">
        <f t="shared" si="495"/>
        <v>125</v>
      </c>
      <c r="P222" s="182">
        <f>'Program Budget'!Q208</f>
        <v>0</v>
      </c>
      <c r="Q222" s="183">
        <v>0</v>
      </c>
      <c r="R222" s="184">
        <f t="shared" si="503"/>
        <v>0</v>
      </c>
      <c r="S222" s="343">
        <f t="shared" si="497"/>
        <v>125</v>
      </c>
      <c r="T222" s="182">
        <f>'Program Budget'!T208</f>
        <v>0</v>
      </c>
      <c r="U222" s="183">
        <v>0</v>
      </c>
      <c r="V222" s="184">
        <f t="shared" si="504"/>
        <v>0</v>
      </c>
      <c r="W222" s="338">
        <f t="shared" si="505"/>
        <v>250</v>
      </c>
    </row>
    <row r="223" spans="1:23" outlineLevel="1">
      <c r="A223" s="179" t="str">
        <f>'Program Budget'!D279</f>
        <v>Cost Share for Co-Investment of Cold Storage Grants</v>
      </c>
      <c r="B223" s="180" t="str">
        <f>'Program Budget'!F279</f>
        <v>Grant</v>
      </c>
      <c r="C223" s="343">
        <f>'Program Budget'!H279</f>
        <v>2750</v>
      </c>
      <c r="D223" s="182">
        <f>'Program Budget'!G279</f>
        <v>0</v>
      </c>
      <c r="E223" s="183">
        <v>0</v>
      </c>
      <c r="F223" s="184">
        <f t="shared" ref="F223" si="506">C223*D223*E223</f>
        <v>0</v>
      </c>
      <c r="G223" s="343">
        <f t="shared" si="491"/>
        <v>2750</v>
      </c>
      <c r="H223" s="182">
        <f>'Program Budget'!K279</f>
        <v>60</v>
      </c>
      <c r="I223" s="183">
        <v>1</v>
      </c>
      <c r="J223" s="184">
        <f t="shared" ref="J223" si="507">G223*H223*I223</f>
        <v>165000</v>
      </c>
      <c r="K223" s="343">
        <f t="shared" si="493"/>
        <v>2750</v>
      </c>
      <c r="L223" s="182">
        <f>'Program Budget'!N279</f>
        <v>0</v>
      </c>
      <c r="M223" s="183">
        <v>0</v>
      </c>
      <c r="N223" s="184">
        <f t="shared" ref="N223" si="508">K223*L223*M223</f>
        <v>0</v>
      </c>
      <c r="O223" s="343">
        <f t="shared" si="495"/>
        <v>2750</v>
      </c>
      <c r="P223" s="182">
        <f>'Program Budget'!Q279</f>
        <v>0</v>
      </c>
      <c r="Q223" s="183">
        <v>0</v>
      </c>
      <c r="R223" s="184">
        <f t="shared" ref="R223" si="509">O223*P223*Q223</f>
        <v>0</v>
      </c>
      <c r="S223" s="343">
        <f t="shared" si="497"/>
        <v>2750</v>
      </c>
      <c r="T223" s="182">
        <f>'Program Budget'!T279</f>
        <v>0</v>
      </c>
      <c r="U223" s="183">
        <v>0</v>
      </c>
      <c r="V223" s="184">
        <f t="shared" ref="V223" si="510">S223*T223*U223</f>
        <v>0</v>
      </c>
      <c r="W223" s="338">
        <f t="shared" ref="W223" si="511">F223+J223+N223+R223+V223</f>
        <v>165000</v>
      </c>
    </row>
    <row r="224" spans="1:23" outlineLevel="1">
      <c r="A224" s="179" t="str">
        <f>'Program Budget'!D370</f>
        <v xml:space="preserve">Cost Share from Subrecipient: 6th Grain </v>
      </c>
      <c r="B224" s="180" t="str">
        <f>'Program Budget'!F370</f>
        <v>Unit</v>
      </c>
      <c r="C224" s="343">
        <f>'Program Budget'!H370</f>
        <v>3000</v>
      </c>
      <c r="D224" s="182">
        <f>'Program Budget'!G370</f>
        <v>1</v>
      </c>
      <c r="E224" s="183">
        <v>1</v>
      </c>
      <c r="F224" s="184">
        <f t="shared" ref="F224" si="512">C224*D224*E224</f>
        <v>3000</v>
      </c>
      <c r="G224" s="343">
        <f t="shared" si="491"/>
        <v>3000</v>
      </c>
      <c r="H224" s="182">
        <f>'Program Budget'!K370</f>
        <v>1</v>
      </c>
      <c r="I224" s="183">
        <v>1</v>
      </c>
      <c r="J224" s="184">
        <f t="shared" ref="J224" si="513">G224*H224*I224</f>
        <v>3000</v>
      </c>
      <c r="K224" s="343">
        <f t="shared" si="493"/>
        <v>3000</v>
      </c>
      <c r="L224" s="182">
        <f>'Program Budget'!N370</f>
        <v>1</v>
      </c>
      <c r="M224" s="183">
        <v>1</v>
      </c>
      <c r="N224" s="184">
        <f t="shared" ref="N224" si="514">K224*L224*M224</f>
        <v>3000</v>
      </c>
      <c r="O224" s="343">
        <f t="shared" si="495"/>
        <v>3000</v>
      </c>
      <c r="P224" s="182">
        <f>'Program Budget'!Q370</f>
        <v>0</v>
      </c>
      <c r="Q224" s="183">
        <v>0</v>
      </c>
      <c r="R224" s="184">
        <f t="shared" ref="R224" si="515">O224*P224*Q224</f>
        <v>0</v>
      </c>
      <c r="S224" s="343">
        <f t="shared" si="497"/>
        <v>3000</v>
      </c>
      <c r="T224" s="182">
        <f>'Program Budget'!T370</f>
        <v>0</v>
      </c>
      <c r="U224" s="183">
        <v>0</v>
      </c>
      <c r="V224" s="184">
        <f t="shared" ref="V224" si="516">S224*T224*U224</f>
        <v>0</v>
      </c>
      <c r="W224" s="338">
        <f t="shared" ref="W224" si="517">F224+J224+N224+R224+V224</f>
        <v>9000</v>
      </c>
    </row>
    <row r="225" spans="1:23" outlineLevel="1">
      <c r="A225" s="179" t="str">
        <f>'Program Budget'!D371</f>
        <v xml:space="preserve">Venue Space Market Access Trainings </v>
      </c>
      <c r="B225" s="180" t="str">
        <f>'Program Budget'!F371</f>
        <v>Training</v>
      </c>
      <c r="C225" s="343">
        <f>'Program Budget'!H371</f>
        <v>250</v>
      </c>
      <c r="D225" s="182">
        <f>'Program Budget'!G371</f>
        <v>0</v>
      </c>
      <c r="E225" s="183">
        <v>0</v>
      </c>
      <c r="F225" s="184">
        <f t="shared" ref="F225:F228" si="518">C225*D225*E225</f>
        <v>0</v>
      </c>
      <c r="G225" s="343">
        <f t="shared" si="491"/>
        <v>250</v>
      </c>
      <c r="H225" s="182">
        <f>'Program Budget'!K371</f>
        <v>4</v>
      </c>
      <c r="I225" s="183">
        <v>1</v>
      </c>
      <c r="J225" s="184">
        <f t="shared" ref="J225:J228" si="519">G225*H225*I225</f>
        <v>1000</v>
      </c>
      <c r="K225" s="343">
        <f t="shared" si="493"/>
        <v>250</v>
      </c>
      <c r="L225" s="182">
        <f>'Program Budget'!N371</f>
        <v>0</v>
      </c>
      <c r="M225" s="183">
        <v>0</v>
      </c>
      <c r="N225" s="184">
        <f t="shared" ref="N225:N228" si="520">K225*L225*M225</f>
        <v>0</v>
      </c>
      <c r="O225" s="343">
        <f t="shared" si="495"/>
        <v>250</v>
      </c>
      <c r="P225" s="182">
        <f>'Program Budget'!Q371</f>
        <v>0</v>
      </c>
      <c r="Q225" s="183">
        <v>0</v>
      </c>
      <c r="R225" s="184">
        <f t="shared" ref="R225:R228" si="521">O225*P225*Q225</f>
        <v>0</v>
      </c>
      <c r="S225" s="343">
        <f t="shared" si="497"/>
        <v>250</v>
      </c>
      <c r="T225" s="182">
        <f>'Program Budget'!T371</f>
        <v>0</v>
      </c>
      <c r="U225" s="183">
        <v>0</v>
      </c>
      <c r="V225" s="184">
        <f t="shared" ref="V225:V228" si="522">S225*T225*U225</f>
        <v>0</v>
      </c>
      <c r="W225" s="338">
        <f t="shared" ref="W225:W228" si="523">F225+J225+N225+R225+V225</f>
        <v>1000</v>
      </c>
    </row>
    <row r="226" spans="1:23" outlineLevel="1">
      <c r="A226" s="179" t="str">
        <f>'Program Budget'!D372</f>
        <v>Technical Assistance from PAMPAT to Support Date Product Processors</v>
      </c>
      <c r="B226" s="180" t="str">
        <f>'Program Budget'!F372</f>
        <v>Unit</v>
      </c>
      <c r="C226" s="343">
        <f>'Program Budget'!H372</f>
        <v>5000</v>
      </c>
      <c r="D226" s="182">
        <f>'Program Budget'!G372</f>
        <v>0</v>
      </c>
      <c r="E226" s="183">
        <v>0</v>
      </c>
      <c r="F226" s="184">
        <f t="shared" si="518"/>
        <v>0</v>
      </c>
      <c r="G226" s="343">
        <f t="shared" si="491"/>
        <v>5000</v>
      </c>
      <c r="H226" s="182">
        <f>'Program Budget'!K372</f>
        <v>1</v>
      </c>
      <c r="I226" s="183">
        <v>1</v>
      </c>
      <c r="J226" s="184">
        <f t="shared" si="519"/>
        <v>5000</v>
      </c>
      <c r="K226" s="343">
        <f t="shared" si="493"/>
        <v>5000</v>
      </c>
      <c r="L226" s="182">
        <f>'Program Budget'!N372</f>
        <v>0</v>
      </c>
      <c r="M226" s="183">
        <v>0</v>
      </c>
      <c r="N226" s="184">
        <f t="shared" si="520"/>
        <v>0</v>
      </c>
      <c r="O226" s="343">
        <f t="shared" si="495"/>
        <v>5000</v>
      </c>
      <c r="P226" s="182">
        <f>'Program Budget'!Q372</f>
        <v>0</v>
      </c>
      <c r="Q226" s="183">
        <v>0</v>
      </c>
      <c r="R226" s="184">
        <f t="shared" si="521"/>
        <v>0</v>
      </c>
      <c r="S226" s="343">
        <f t="shared" si="497"/>
        <v>5000</v>
      </c>
      <c r="T226" s="182">
        <f>'Program Budget'!T372</f>
        <v>0</v>
      </c>
      <c r="U226" s="183">
        <v>0</v>
      </c>
      <c r="V226" s="184">
        <f t="shared" si="522"/>
        <v>0</v>
      </c>
      <c r="W226" s="338">
        <f t="shared" si="523"/>
        <v>5000</v>
      </c>
    </row>
    <row r="227" spans="1:23" outlineLevel="1">
      <c r="A227" s="179" t="str">
        <f>'Program Budget'!D373</f>
        <v>Venue Space for Financial Literacy Trainings</v>
      </c>
      <c r="B227" s="180" t="str">
        <f>'Program Budget'!F373</f>
        <v>Training</v>
      </c>
      <c r="C227" s="343">
        <f>'Program Budget'!H373</f>
        <v>250</v>
      </c>
      <c r="D227" s="182">
        <f>'Program Budget'!G373</f>
        <v>0</v>
      </c>
      <c r="E227" s="183">
        <v>0</v>
      </c>
      <c r="F227" s="184">
        <f t="shared" si="518"/>
        <v>0</v>
      </c>
      <c r="G227" s="343">
        <f t="shared" si="491"/>
        <v>250</v>
      </c>
      <c r="H227" s="182">
        <f>'Program Budget'!K373</f>
        <v>4</v>
      </c>
      <c r="I227" s="183">
        <v>1</v>
      </c>
      <c r="J227" s="184">
        <f t="shared" si="519"/>
        <v>1000</v>
      </c>
      <c r="K227" s="343">
        <f t="shared" si="493"/>
        <v>250</v>
      </c>
      <c r="L227" s="182">
        <f>'Program Budget'!N373</f>
        <v>4</v>
      </c>
      <c r="M227" s="183">
        <v>1</v>
      </c>
      <c r="N227" s="184">
        <f t="shared" si="520"/>
        <v>1000</v>
      </c>
      <c r="O227" s="343">
        <f t="shared" si="495"/>
        <v>250</v>
      </c>
      <c r="P227" s="182">
        <f>'Program Budget'!Q373</f>
        <v>0</v>
      </c>
      <c r="Q227" s="183">
        <v>0</v>
      </c>
      <c r="R227" s="184">
        <f t="shared" si="521"/>
        <v>0</v>
      </c>
      <c r="S227" s="343">
        <f t="shared" si="497"/>
        <v>250</v>
      </c>
      <c r="T227" s="182">
        <f>'Program Budget'!T373</f>
        <v>0</v>
      </c>
      <c r="U227" s="183">
        <v>0</v>
      </c>
      <c r="V227" s="184">
        <f t="shared" si="522"/>
        <v>0</v>
      </c>
      <c r="W227" s="338">
        <f t="shared" si="523"/>
        <v>2000</v>
      </c>
    </row>
    <row r="228" spans="1:23" outlineLevel="1">
      <c r="A228" s="179" t="str">
        <f>'Program Budget'!D374</f>
        <v xml:space="preserve">Packers and Exporters Support for Organic Certifications </v>
      </c>
      <c r="B228" s="180" t="str">
        <f>'Program Budget'!F374</f>
        <v>Unit</v>
      </c>
      <c r="C228" s="343">
        <f>'Program Budget'!H374</f>
        <v>15</v>
      </c>
      <c r="D228" s="182">
        <f>'Program Budget'!G374</f>
        <v>0</v>
      </c>
      <c r="E228" s="183">
        <v>0</v>
      </c>
      <c r="F228" s="184">
        <f t="shared" si="518"/>
        <v>0</v>
      </c>
      <c r="G228" s="343">
        <f t="shared" si="491"/>
        <v>15</v>
      </c>
      <c r="H228" s="182">
        <f>'Program Budget'!K374</f>
        <v>0</v>
      </c>
      <c r="I228" s="183">
        <v>0</v>
      </c>
      <c r="J228" s="184">
        <f t="shared" si="519"/>
        <v>0</v>
      </c>
      <c r="K228" s="343">
        <f t="shared" si="493"/>
        <v>15</v>
      </c>
      <c r="L228" s="182">
        <f>'Program Budget'!N374</f>
        <v>1000</v>
      </c>
      <c r="M228" s="183">
        <v>1</v>
      </c>
      <c r="N228" s="184">
        <f t="shared" si="520"/>
        <v>15000</v>
      </c>
      <c r="O228" s="343">
        <f t="shared" si="495"/>
        <v>15</v>
      </c>
      <c r="P228" s="182">
        <f>'Program Budget'!Q374</f>
        <v>0</v>
      </c>
      <c r="Q228" s="183">
        <v>0</v>
      </c>
      <c r="R228" s="184">
        <f t="shared" si="521"/>
        <v>0</v>
      </c>
      <c r="S228" s="343">
        <f t="shared" si="497"/>
        <v>15</v>
      </c>
      <c r="T228" s="182">
        <f>'Program Budget'!T374</f>
        <v>0</v>
      </c>
      <c r="U228" s="183">
        <v>0</v>
      </c>
      <c r="V228" s="184">
        <f t="shared" si="522"/>
        <v>0</v>
      </c>
      <c r="W228" s="338">
        <f t="shared" si="523"/>
        <v>15000</v>
      </c>
    </row>
    <row r="229" spans="1:23" outlineLevel="1">
      <c r="A229" s="179" t="str">
        <f>'Program Budget'!D375</f>
        <v>Airfare and Local Transport for Two-Way Trade (US to Tunisia) to - 50% of Cost</v>
      </c>
      <c r="B229" s="180" t="str">
        <f>'Program Budget'!F375</f>
        <v>Unit</v>
      </c>
      <c r="C229" s="343">
        <f>'Program Budget'!H375</f>
        <v>775</v>
      </c>
      <c r="D229" s="182">
        <f>'Program Budget'!G375</f>
        <v>0</v>
      </c>
      <c r="E229" s="183">
        <v>0</v>
      </c>
      <c r="F229" s="184">
        <f t="shared" ref="F229:F230" si="524">C229*D229*E229</f>
        <v>0</v>
      </c>
      <c r="G229" s="343">
        <f t="shared" si="491"/>
        <v>775</v>
      </c>
      <c r="H229" s="182">
        <f>'Program Budget'!K375</f>
        <v>0</v>
      </c>
      <c r="I229" s="183">
        <v>0</v>
      </c>
      <c r="J229" s="184">
        <f t="shared" ref="J229:J230" si="525">G229*H229*I229</f>
        <v>0</v>
      </c>
      <c r="K229" s="343">
        <f t="shared" si="493"/>
        <v>775</v>
      </c>
      <c r="L229" s="182">
        <f>'Program Budget'!N375</f>
        <v>10</v>
      </c>
      <c r="M229" s="183">
        <v>1</v>
      </c>
      <c r="N229" s="184">
        <f t="shared" ref="N229:N230" si="526">K229*L229*M229</f>
        <v>7750</v>
      </c>
      <c r="O229" s="343">
        <f t="shared" si="495"/>
        <v>775</v>
      </c>
      <c r="P229" s="182">
        <f>'Program Budget'!Q375</f>
        <v>0</v>
      </c>
      <c r="Q229" s="183">
        <v>0</v>
      </c>
      <c r="R229" s="184">
        <f t="shared" ref="R229:R230" si="527">O229*P229*Q229</f>
        <v>0</v>
      </c>
      <c r="S229" s="343">
        <f t="shared" si="497"/>
        <v>775</v>
      </c>
      <c r="T229" s="182">
        <f>'Program Budget'!T375</f>
        <v>0</v>
      </c>
      <c r="U229" s="183">
        <v>0</v>
      </c>
      <c r="V229" s="184">
        <f t="shared" ref="V229:V230" si="528">S229*T229*U229</f>
        <v>0</v>
      </c>
      <c r="W229" s="338">
        <f t="shared" ref="W229:W230" si="529">F229+J229+N229+R229+V229</f>
        <v>7750</v>
      </c>
    </row>
    <row r="230" spans="1:23" outlineLevel="1">
      <c r="A230" s="179" t="str">
        <f>'Program Budget'!D376</f>
        <v>Contributions to Registrations and Booths for International Food Shows</v>
      </c>
      <c r="B230" s="180" t="str">
        <f>'Program Budget'!F376</f>
        <v>Event</v>
      </c>
      <c r="C230" s="343">
        <f>'Program Budget'!H376</f>
        <v>1000</v>
      </c>
      <c r="D230" s="182">
        <f>'Program Budget'!G376</f>
        <v>0</v>
      </c>
      <c r="E230" s="183">
        <v>0</v>
      </c>
      <c r="F230" s="184">
        <f t="shared" si="524"/>
        <v>0</v>
      </c>
      <c r="G230" s="343">
        <f t="shared" si="491"/>
        <v>1000</v>
      </c>
      <c r="H230" s="182">
        <f>'Program Budget'!K376</f>
        <v>1</v>
      </c>
      <c r="I230" s="183">
        <v>1</v>
      </c>
      <c r="J230" s="184">
        <f t="shared" si="525"/>
        <v>1000</v>
      </c>
      <c r="K230" s="343">
        <f t="shared" si="493"/>
        <v>1000</v>
      </c>
      <c r="L230" s="182">
        <f>'Program Budget'!N376</f>
        <v>2</v>
      </c>
      <c r="M230" s="183">
        <v>1</v>
      </c>
      <c r="N230" s="184">
        <f t="shared" si="526"/>
        <v>2000</v>
      </c>
      <c r="O230" s="343">
        <f t="shared" si="495"/>
        <v>1000</v>
      </c>
      <c r="P230" s="182">
        <f>'Program Budget'!Q376</f>
        <v>1</v>
      </c>
      <c r="Q230" s="183">
        <v>1</v>
      </c>
      <c r="R230" s="184">
        <f t="shared" si="527"/>
        <v>1000</v>
      </c>
      <c r="S230" s="343">
        <f t="shared" si="497"/>
        <v>1000</v>
      </c>
      <c r="T230" s="182">
        <f>'Program Budget'!T376</f>
        <v>0</v>
      </c>
      <c r="U230" s="183">
        <v>0</v>
      </c>
      <c r="V230" s="184">
        <f t="shared" si="528"/>
        <v>0</v>
      </c>
      <c r="W230" s="338">
        <f t="shared" si="529"/>
        <v>4000</v>
      </c>
    </row>
    <row r="231" spans="1:23" ht="18.3">
      <c r="A231" s="455" t="s">
        <v>114</v>
      </c>
      <c r="B231" s="292"/>
      <c r="C231" s="354"/>
      <c r="D231" s="294"/>
      <c r="E231" s="295"/>
      <c r="F231" s="296">
        <f>SUM(F219:F230)</f>
        <v>2874996.4326122403</v>
      </c>
      <c r="G231" s="354"/>
      <c r="H231" s="294"/>
      <c r="I231" s="297"/>
      <c r="J231" s="296">
        <f>SUM(J219:J230)</f>
        <v>4598847.3988438239</v>
      </c>
      <c r="K231" s="354"/>
      <c r="L231" s="294"/>
      <c r="M231" s="295"/>
      <c r="N231" s="296">
        <f>SUM(N219:N230)</f>
        <v>4477762.0858944869</v>
      </c>
      <c r="O231" s="354"/>
      <c r="P231" s="294"/>
      <c r="Q231" s="297"/>
      <c r="R231" s="296">
        <f>SUM(R219:R230)</f>
        <v>3136459.8695628513</v>
      </c>
      <c r="S231" s="354"/>
      <c r="T231" s="294"/>
      <c r="U231" s="297"/>
      <c r="V231" s="296">
        <f>SUM(V219:V230)</f>
        <v>2217160.2096922505</v>
      </c>
      <c r="W231" s="296">
        <f>SUM(W219:W230)</f>
        <v>17305225.996605653</v>
      </c>
    </row>
    <row r="232" spans="1:23">
      <c r="A232" s="456"/>
      <c r="B232" s="180"/>
      <c r="W232" s="186"/>
    </row>
    <row r="233" spans="1:23" ht="15.6">
      <c r="A233" s="457" t="s">
        <v>115</v>
      </c>
      <c r="B233" s="304"/>
      <c r="C233" s="355"/>
      <c r="D233" s="306"/>
      <c r="E233" s="307"/>
      <c r="F233" s="308"/>
      <c r="G233" s="355"/>
      <c r="H233" s="306"/>
      <c r="I233" s="309"/>
      <c r="J233" s="310"/>
      <c r="K233" s="355"/>
      <c r="L233" s="306"/>
      <c r="M233" s="307"/>
      <c r="N233" s="310"/>
      <c r="O233" s="355"/>
      <c r="P233" s="306"/>
      <c r="Q233" s="309"/>
      <c r="R233" s="310"/>
      <c r="S233" s="355"/>
      <c r="T233" s="306"/>
      <c r="U233" s="309"/>
      <c r="V233" s="310"/>
      <c r="W233" s="310">
        <f>'USDA Budget Summary'!F58</f>
        <v>342285.93000000005</v>
      </c>
    </row>
    <row r="235" spans="1:23">
      <c r="J235" s="332"/>
    </row>
  </sheetData>
  <mergeCells count="8">
    <mergeCell ref="S2:V2"/>
    <mergeCell ref="W2:W3"/>
    <mergeCell ref="A2:A3"/>
    <mergeCell ref="B2:B3"/>
    <mergeCell ref="C2:F2"/>
    <mergeCell ref="G2:J2"/>
    <mergeCell ref="K2:N2"/>
    <mergeCell ref="O2:R2"/>
  </mergeCells>
  <printOptions horizontalCentered="1"/>
  <pageMargins left="0.25" right="0.25" top="0.75" bottom="0.75" header="0.3" footer="0.3"/>
  <pageSetup scale="17" orientation="landscape" r:id="rId1"/>
  <headerFooter alignWithMargins="0"/>
  <rowBreaks count="1" manualBreakCount="1">
    <brk id="218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3D31-0F34-430F-87DC-00CEE523A1D6}">
  <dimension ref="A1"/>
  <sheetViews>
    <sheetView workbookViewId="0"/>
  </sheetViews>
  <sheetFormatPr defaultRowHeight="12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D678-7AFE-41C7-895A-A79E31A9668A}">
  <sheetPr>
    <tabColor theme="8"/>
    <pageSetUpPr fitToPage="1"/>
  </sheetPr>
  <dimension ref="A1:AJ147"/>
  <sheetViews>
    <sheetView showOutlineSymbols="0" showWhiteSpace="0" zoomScale="70" zoomScaleNormal="70" workbookViewId="0">
      <pane xSplit="1" ySplit="3" topLeftCell="I45" activePane="bottomRight" state="frozen"/>
      <selection pane="topRight" activeCell="B1" sqref="B1"/>
      <selection pane="bottomLeft" activeCell="A4" sqref="A4"/>
      <selection pane="bottomRight" activeCell="G67" sqref="G67"/>
    </sheetView>
  </sheetViews>
  <sheetFormatPr defaultRowHeight="14.4" outlineLevelRow="1" outlineLevelCol="1"/>
  <cols>
    <col min="1" max="1" width="48.1640625" style="142" customWidth="1"/>
    <col min="2" max="2" width="16.44140625" style="142" bestFit="1" customWidth="1"/>
    <col min="3" max="3" width="15.1640625" style="143" bestFit="1" customWidth="1" outlineLevel="1"/>
    <col min="4" max="4" width="11.83203125" style="144" bestFit="1" customWidth="1" outlineLevel="1"/>
    <col min="5" max="5" width="12.5546875" style="145" bestFit="1" customWidth="1" outlineLevel="1"/>
    <col min="6" max="6" width="11.5546875" style="142" bestFit="1" customWidth="1"/>
    <col min="7" max="7" width="15.1640625" style="143" bestFit="1" customWidth="1" outlineLevel="1"/>
    <col min="8" max="8" width="11.83203125" style="144" bestFit="1" customWidth="1" outlineLevel="1"/>
    <col min="9" max="9" width="22.83203125" style="146" bestFit="1" customWidth="1" outlineLevel="1"/>
    <col min="10" max="10" width="10" style="143" bestFit="1" customWidth="1"/>
    <col min="11" max="11" width="15.1640625" style="143" bestFit="1" customWidth="1" outlineLevel="1"/>
    <col min="12" max="12" width="11.83203125" style="144" bestFit="1" customWidth="1" outlineLevel="1"/>
    <col min="13" max="13" width="22.83203125" style="145" bestFit="1" customWidth="1" outlineLevel="1"/>
    <col min="14" max="14" width="10.27734375" style="143" bestFit="1" customWidth="1"/>
    <col min="15" max="15" width="15.1640625" style="143" bestFit="1" customWidth="1" outlineLevel="1"/>
    <col min="16" max="16" width="11.83203125" style="144" bestFit="1" customWidth="1" outlineLevel="1"/>
    <col min="17" max="17" width="22.83203125" style="146" bestFit="1" customWidth="1" outlineLevel="1"/>
    <col min="18" max="18" width="10" style="143" bestFit="1" customWidth="1"/>
    <col min="19" max="19" width="15.1640625" style="143" bestFit="1" customWidth="1" outlineLevel="1"/>
    <col min="20" max="20" width="11.83203125" style="144" bestFit="1" customWidth="1" outlineLevel="1"/>
    <col min="21" max="21" width="22.83203125" style="146" bestFit="1" customWidth="1" outlineLevel="1"/>
    <col min="22" max="22" width="10" style="143" bestFit="1" customWidth="1"/>
    <col min="23" max="23" width="11.5546875" style="317" bestFit="1" customWidth="1"/>
    <col min="24" max="24" width="9" style="142" customWidth="1"/>
    <col min="25" max="25" width="8.71875" style="142" customWidth="1"/>
    <col min="26" max="26" width="10.83203125" style="142" customWidth="1"/>
    <col min="27" max="27" width="8.71875" style="142" customWidth="1"/>
    <col min="28" max="28" width="10.83203125" style="142" customWidth="1"/>
    <col min="29" max="29" width="4.83203125" style="142" customWidth="1"/>
    <col min="30" max="30" width="4.83203125" style="142" hidden="1" customWidth="1"/>
    <col min="31" max="31" width="7" style="147" hidden="1" customWidth="1"/>
    <col min="32" max="32" width="19.27734375" style="142" hidden="1" customWidth="1"/>
    <col min="33" max="33" width="34" style="142" hidden="1" customWidth="1"/>
    <col min="34" max="34" width="9.71875" style="142" hidden="1" customWidth="1"/>
    <col min="35" max="35" width="9.71875" style="142" customWidth="1"/>
    <col min="36" max="36" width="14.27734375" style="142" customWidth="1"/>
    <col min="37" max="264" width="8.83203125" style="142"/>
    <col min="265" max="265" width="38.27734375" style="142" customWidth="1"/>
    <col min="266" max="266" width="23.44140625" style="142" bestFit="1" customWidth="1"/>
    <col min="267" max="268" width="9.1640625" style="142" customWidth="1"/>
    <col min="269" max="269" width="11.27734375" style="142" bestFit="1" customWidth="1"/>
    <col min="270" max="270" width="14.44140625" style="142" bestFit="1" customWidth="1"/>
    <col min="271" max="271" width="8.1640625" style="142" customWidth="1"/>
    <col min="272" max="272" width="10.83203125" style="142" bestFit="1" customWidth="1"/>
    <col min="273" max="273" width="12.27734375" style="142" bestFit="1" customWidth="1"/>
    <col min="274" max="274" width="9.1640625" style="142" customWidth="1"/>
    <col min="275" max="275" width="10.83203125" style="142" bestFit="1" customWidth="1"/>
    <col min="276" max="276" width="12.27734375" style="142" bestFit="1" customWidth="1"/>
    <col min="277" max="277" width="8" style="142" customWidth="1"/>
    <col min="278" max="278" width="10.83203125" style="142" bestFit="1" customWidth="1"/>
    <col min="279" max="279" width="12.27734375" style="142" bestFit="1" customWidth="1"/>
    <col min="280" max="280" width="8.1640625" style="142" bestFit="1" customWidth="1"/>
    <col min="281" max="281" width="10.83203125" style="142" bestFit="1" customWidth="1"/>
    <col min="282" max="282" width="12.27734375" style="142" bestFit="1" customWidth="1"/>
    <col min="283" max="283" width="18.27734375" style="142" bestFit="1" customWidth="1"/>
    <col min="284" max="284" width="10.83203125" style="142" bestFit="1" customWidth="1"/>
    <col min="285" max="520" width="8.83203125" style="142"/>
    <col min="521" max="521" width="38.27734375" style="142" customWidth="1"/>
    <col min="522" max="522" width="23.44140625" style="142" bestFit="1" customWidth="1"/>
    <col min="523" max="524" width="9.1640625" style="142" customWidth="1"/>
    <col min="525" max="525" width="11.27734375" style="142" bestFit="1" customWidth="1"/>
    <col min="526" max="526" width="14.44140625" style="142" bestFit="1" customWidth="1"/>
    <col min="527" max="527" width="8.1640625" style="142" customWidth="1"/>
    <col min="528" max="528" width="10.83203125" style="142" bestFit="1" customWidth="1"/>
    <col min="529" max="529" width="12.27734375" style="142" bestFit="1" customWidth="1"/>
    <col min="530" max="530" width="9.1640625" style="142" customWidth="1"/>
    <col min="531" max="531" width="10.83203125" style="142" bestFit="1" customWidth="1"/>
    <col min="532" max="532" width="12.27734375" style="142" bestFit="1" customWidth="1"/>
    <col min="533" max="533" width="8" style="142" customWidth="1"/>
    <col min="534" max="534" width="10.83203125" style="142" bestFit="1" customWidth="1"/>
    <col min="535" max="535" width="12.27734375" style="142" bestFit="1" customWidth="1"/>
    <col min="536" max="536" width="8.1640625" style="142" bestFit="1" customWidth="1"/>
    <col min="537" max="537" width="10.83203125" style="142" bestFit="1" customWidth="1"/>
    <col min="538" max="538" width="12.27734375" style="142" bestFit="1" customWidth="1"/>
    <col min="539" max="539" width="18.27734375" style="142" bestFit="1" customWidth="1"/>
    <col min="540" max="540" width="10.83203125" style="142" bestFit="1" customWidth="1"/>
    <col min="541" max="776" width="8.83203125" style="142"/>
    <col min="777" max="777" width="38.27734375" style="142" customWidth="1"/>
    <col min="778" max="778" width="23.44140625" style="142" bestFit="1" customWidth="1"/>
    <col min="779" max="780" width="9.1640625" style="142" customWidth="1"/>
    <col min="781" max="781" width="11.27734375" style="142" bestFit="1" customWidth="1"/>
    <col min="782" max="782" width="14.44140625" style="142" bestFit="1" customWidth="1"/>
    <col min="783" max="783" width="8.1640625" style="142" customWidth="1"/>
    <col min="784" max="784" width="10.83203125" style="142" bestFit="1" customWidth="1"/>
    <col min="785" max="785" width="12.27734375" style="142" bestFit="1" customWidth="1"/>
    <col min="786" max="786" width="9.1640625" style="142" customWidth="1"/>
    <col min="787" max="787" width="10.83203125" style="142" bestFit="1" customWidth="1"/>
    <col min="788" max="788" width="12.27734375" style="142" bestFit="1" customWidth="1"/>
    <col min="789" max="789" width="8" style="142" customWidth="1"/>
    <col min="790" max="790" width="10.83203125" style="142" bestFit="1" customWidth="1"/>
    <col min="791" max="791" width="12.27734375" style="142" bestFit="1" customWidth="1"/>
    <col min="792" max="792" width="8.1640625" style="142" bestFit="1" customWidth="1"/>
    <col min="793" max="793" width="10.83203125" style="142" bestFit="1" customWidth="1"/>
    <col min="794" max="794" width="12.27734375" style="142" bestFit="1" customWidth="1"/>
    <col min="795" max="795" width="18.27734375" style="142" bestFit="1" customWidth="1"/>
    <col min="796" max="796" width="10.83203125" style="142" bestFit="1" customWidth="1"/>
    <col min="797" max="1032" width="8.83203125" style="142"/>
    <col min="1033" max="1033" width="38.27734375" style="142" customWidth="1"/>
    <col min="1034" max="1034" width="23.44140625" style="142" bestFit="1" customWidth="1"/>
    <col min="1035" max="1036" width="9.1640625" style="142" customWidth="1"/>
    <col min="1037" max="1037" width="11.27734375" style="142" bestFit="1" customWidth="1"/>
    <col min="1038" max="1038" width="14.44140625" style="142" bestFit="1" customWidth="1"/>
    <col min="1039" max="1039" width="8.1640625" style="142" customWidth="1"/>
    <col min="1040" max="1040" width="10.83203125" style="142" bestFit="1" customWidth="1"/>
    <col min="1041" max="1041" width="12.27734375" style="142" bestFit="1" customWidth="1"/>
    <col min="1042" max="1042" width="9.1640625" style="142" customWidth="1"/>
    <col min="1043" max="1043" width="10.83203125" style="142" bestFit="1" customWidth="1"/>
    <col min="1044" max="1044" width="12.27734375" style="142" bestFit="1" customWidth="1"/>
    <col min="1045" max="1045" width="8" style="142" customWidth="1"/>
    <col min="1046" max="1046" width="10.83203125" style="142" bestFit="1" customWidth="1"/>
    <col min="1047" max="1047" width="12.27734375" style="142" bestFit="1" customWidth="1"/>
    <col min="1048" max="1048" width="8.1640625" style="142" bestFit="1" customWidth="1"/>
    <col min="1049" max="1049" width="10.83203125" style="142" bestFit="1" customWidth="1"/>
    <col min="1050" max="1050" width="12.27734375" style="142" bestFit="1" customWidth="1"/>
    <col min="1051" max="1051" width="18.27734375" style="142" bestFit="1" customWidth="1"/>
    <col min="1052" max="1052" width="10.83203125" style="142" bestFit="1" customWidth="1"/>
    <col min="1053" max="1288" width="8.83203125" style="142"/>
    <col min="1289" max="1289" width="38.27734375" style="142" customWidth="1"/>
    <col min="1290" max="1290" width="23.44140625" style="142" bestFit="1" customWidth="1"/>
    <col min="1291" max="1292" width="9.1640625" style="142" customWidth="1"/>
    <col min="1293" max="1293" width="11.27734375" style="142" bestFit="1" customWidth="1"/>
    <col min="1294" max="1294" width="14.44140625" style="142" bestFit="1" customWidth="1"/>
    <col min="1295" max="1295" width="8.1640625" style="142" customWidth="1"/>
    <col min="1296" max="1296" width="10.83203125" style="142" bestFit="1" customWidth="1"/>
    <col min="1297" max="1297" width="12.27734375" style="142" bestFit="1" customWidth="1"/>
    <col min="1298" max="1298" width="9.1640625" style="142" customWidth="1"/>
    <col min="1299" max="1299" width="10.83203125" style="142" bestFit="1" customWidth="1"/>
    <col min="1300" max="1300" width="12.27734375" style="142" bestFit="1" customWidth="1"/>
    <col min="1301" max="1301" width="8" style="142" customWidth="1"/>
    <col min="1302" max="1302" width="10.83203125" style="142" bestFit="1" customWidth="1"/>
    <col min="1303" max="1303" width="12.27734375" style="142" bestFit="1" customWidth="1"/>
    <col min="1304" max="1304" width="8.1640625" style="142" bestFit="1" customWidth="1"/>
    <col min="1305" max="1305" width="10.83203125" style="142" bestFit="1" customWidth="1"/>
    <col min="1306" max="1306" width="12.27734375" style="142" bestFit="1" customWidth="1"/>
    <col min="1307" max="1307" width="18.27734375" style="142" bestFit="1" customWidth="1"/>
    <col min="1308" max="1308" width="10.83203125" style="142" bestFit="1" customWidth="1"/>
    <col min="1309" max="1544" width="8.83203125" style="142"/>
    <col min="1545" max="1545" width="38.27734375" style="142" customWidth="1"/>
    <col min="1546" max="1546" width="23.44140625" style="142" bestFit="1" customWidth="1"/>
    <col min="1547" max="1548" width="9.1640625" style="142" customWidth="1"/>
    <col min="1549" max="1549" width="11.27734375" style="142" bestFit="1" customWidth="1"/>
    <col min="1550" max="1550" width="14.44140625" style="142" bestFit="1" customWidth="1"/>
    <col min="1551" max="1551" width="8.1640625" style="142" customWidth="1"/>
    <col min="1552" max="1552" width="10.83203125" style="142" bestFit="1" customWidth="1"/>
    <col min="1553" max="1553" width="12.27734375" style="142" bestFit="1" customWidth="1"/>
    <col min="1554" max="1554" width="9.1640625" style="142" customWidth="1"/>
    <col min="1555" max="1555" width="10.83203125" style="142" bestFit="1" customWidth="1"/>
    <col min="1556" max="1556" width="12.27734375" style="142" bestFit="1" customWidth="1"/>
    <col min="1557" max="1557" width="8" style="142" customWidth="1"/>
    <col min="1558" max="1558" width="10.83203125" style="142" bestFit="1" customWidth="1"/>
    <col min="1559" max="1559" width="12.27734375" style="142" bestFit="1" customWidth="1"/>
    <col min="1560" max="1560" width="8.1640625" style="142" bestFit="1" customWidth="1"/>
    <col min="1561" max="1561" width="10.83203125" style="142" bestFit="1" customWidth="1"/>
    <col min="1562" max="1562" width="12.27734375" style="142" bestFit="1" customWidth="1"/>
    <col min="1563" max="1563" width="18.27734375" style="142" bestFit="1" customWidth="1"/>
    <col min="1564" max="1564" width="10.83203125" style="142" bestFit="1" customWidth="1"/>
    <col min="1565" max="1800" width="8.83203125" style="142"/>
    <col min="1801" max="1801" width="38.27734375" style="142" customWidth="1"/>
    <col min="1802" max="1802" width="23.44140625" style="142" bestFit="1" customWidth="1"/>
    <col min="1803" max="1804" width="9.1640625" style="142" customWidth="1"/>
    <col min="1805" max="1805" width="11.27734375" style="142" bestFit="1" customWidth="1"/>
    <col min="1806" max="1806" width="14.44140625" style="142" bestFit="1" customWidth="1"/>
    <col min="1807" max="1807" width="8.1640625" style="142" customWidth="1"/>
    <col min="1808" max="1808" width="10.83203125" style="142" bestFit="1" customWidth="1"/>
    <col min="1809" max="1809" width="12.27734375" style="142" bestFit="1" customWidth="1"/>
    <col min="1810" max="1810" width="9.1640625" style="142" customWidth="1"/>
    <col min="1811" max="1811" width="10.83203125" style="142" bestFit="1" customWidth="1"/>
    <col min="1812" max="1812" width="12.27734375" style="142" bestFit="1" customWidth="1"/>
    <col min="1813" max="1813" width="8" style="142" customWidth="1"/>
    <col min="1814" max="1814" width="10.83203125" style="142" bestFit="1" customWidth="1"/>
    <col min="1815" max="1815" width="12.27734375" style="142" bestFit="1" customWidth="1"/>
    <col min="1816" max="1816" width="8.1640625" style="142" bestFit="1" customWidth="1"/>
    <col min="1817" max="1817" width="10.83203125" style="142" bestFit="1" customWidth="1"/>
    <col min="1818" max="1818" width="12.27734375" style="142" bestFit="1" customWidth="1"/>
    <col min="1819" max="1819" width="18.27734375" style="142" bestFit="1" customWidth="1"/>
    <col min="1820" max="1820" width="10.83203125" style="142" bestFit="1" customWidth="1"/>
    <col min="1821" max="2056" width="8.83203125" style="142"/>
    <col min="2057" max="2057" width="38.27734375" style="142" customWidth="1"/>
    <col min="2058" max="2058" width="23.44140625" style="142" bestFit="1" customWidth="1"/>
    <col min="2059" max="2060" width="9.1640625" style="142" customWidth="1"/>
    <col min="2061" max="2061" width="11.27734375" style="142" bestFit="1" customWidth="1"/>
    <col min="2062" max="2062" width="14.44140625" style="142" bestFit="1" customWidth="1"/>
    <col min="2063" max="2063" width="8.1640625" style="142" customWidth="1"/>
    <col min="2064" max="2064" width="10.83203125" style="142" bestFit="1" customWidth="1"/>
    <col min="2065" max="2065" width="12.27734375" style="142" bestFit="1" customWidth="1"/>
    <col min="2066" max="2066" width="9.1640625" style="142" customWidth="1"/>
    <col min="2067" max="2067" width="10.83203125" style="142" bestFit="1" customWidth="1"/>
    <col min="2068" max="2068" width="12.27734375" style="142" bestFit="1" customWidth="1"/>
    <col min="2069" max="2069" width="8" style="142" customWidth="1"/>
    <col min="2070" max="2070" width="10.83203125" style="142" bestFit="1" customWidth="1"/>
    <col min="2071" max="2071" width="12.27734375" style="142" bestFit="1" customWidth="1"/>
    <col min="2072" max="2072" width="8.1640625" style="142" bestFit="1" customWidth="1"/>
    <col min="2073" max="2073" width="10.83203125" style="142" bestFit="1" customWidth="1"/>
    <col min="2074" max="2074" width="12.27734375" style="142" bestFit="1" customWidth="1"/>
    <col min="2075" max="2075" width="18.27734375" style="142" bestFit="1" customWidth="1"/>
    <col min="2076" max="2076" width="10.83203125" style="142" bestFit="1" customWidth="1"/>
    <col min="2077" max="2312" width="8.83203125" style="142"/>
    <col min="2313" max="2313" width="38.27734375" style="142" customWidth="1"/>
    <col min="2314" max="2314" width="23.44140625" style="142" bestFit="1" customWidth="1"/>
    <col min="2315" max="2316" width="9.1640625" style="142" customWidth="1"/>
    <col min="2317" max="2317" width="11.27734375" style="142" bestFit="1" customWidth="1"/>
    <col min="2318" max="2318" width="14.44140625" style="142" bestFit="1" customWidth="1"/>
    <col min="2319" max="2319" width="8.1640625" style="142" customWidth="1"/>
    <col min="2320" max="2320" width="10.83203125" style="142" bestFit="1" customWidth="1"/>
    <col min="2321" max="2321" width="12.27734375" style="142" bestFit="1" customWidth="1"/>
    <col min="2322" max="2322" width="9.1640625" style="142" customWidth="1"/>
    <col min="2323" max="2323" width="10.83203125" style="142" bestFit="1" customWidth="1"/>
    <col min="2324" max="2324" width="12.27734375" style="142" bestFit="1" customWidth="1"/>
    <col min="2325" max="2325" width="8" style="142" customWidth="1"/>
    <col min="2326" max="2326" width="10.83203125" style="142" bestFit="1" customWidth="1"/>
    <col min="2327" max="2327" width="12.27734375" style="142" bestFit="1" customWidth="1"/>
    <col min="2328" max="2328" width="8.1640625" style="142" bestFit="1" customWidth="1"/>
    <col min="2329" max="2329" width="10.83203125" style="142" bestFit="1" customWidth="1"/>
    <col min="2330" max="2330" width="12.27734375" style="142" bestFit="1" customWidth="1"/>
    <col min="2331" max="2331" width="18.27734375" style="142" bestFit="1" customWidth="1"/>
    <col min="2332" max="2332" width="10.83203125" style="142" bestFit="1" customWidth="1"/>
    <col min="2333" max="2568" width="8.83203125" style="142"/>
    <col min="2569" max="2569" width="38.27734375" style="142" customWidth="1"/>
    <col min="2570" max="2570" width="23.44140625" style="142" bestFit="1" customWidth="1"/>
    <col min="2571" max="2572" width="9.1640625" style="142" customWidth="1"/>
    <col min="2573" max="2573" width="11.27734375" style="142" bestFit="1" customWidth="1"/>
    <col min="2574" max="2574" width="14.44140625" style="142" bestFit="1" customWidth="1"/>
    <col min="2575" max="2575" width="8.1640625" style="142" customWidth="1"/>
    <col min="2576" max="2576" width="10.83203125" style="142" bestFit="1" customWidth="1"/>
    <col min="2577" max="2577" width="12.27734375" style="142" bestFit="1" customWidth="1"/>
    <col min="2578" max="2578" width="9.1640625" style="142" customWidth="1"/>
    <col min="2579" max="2579" width="10.83203125" style="142" bestFit="1" customWidth="1"/>
    <col min="2580" max="2580" width="12.27734375" style="142" bestFit="1" customWidth="1"/>
    <col min="2581" max="2581" width="8" style="142" customWidth="1"/>
    <col min="2582" max="2582" width="10.83203125" style="142" bestFit="1" customWidth="1"/>
    <col min="2583" max="2583" width="12.27734375" style="142" bestFit="1" customWidth="1"/>
    <col min="2584" max="2584" width="8.1640625" style="142" bestFit="1" customWidth="1"/>
    <col min="2585" max="2585" width="10.83203125" style="142" bestFit="1" customWidth="1"/>
    <col min="2586" max="2586" width="12.27734375" style="142" bestFit="1" customWidth="1"/>
    <col min="2587" max="2587" width="18.27734375" style="142" bestFit="1" customWidth="1"/>
    <col min="2588" max="2588" width="10.83203125" style="142" bestFit="1" customWidth="1"/>
    <col min="2589" max="2824" width="8.83203125" style="142"/>
    <col min="2825" max="2825" width="38.27734375" style="142" customWidth="1"/>
    <col min="2826" max="2826" width="23.44140625" style="142" bestFit="1" customWidth="1"/>
    <col min="2827" max="2828" width="9.1640625" style="142" customWidth="1"/>
    <col min="2829" max="2829" width="11.27734375" style="142" bestFit="1" customWidth="1"/>
    <col min="2830" max="2830" width="14.44140625" style="142" bestFit="1" customWidth="1"/>
    <col min="2831" max="2831" width="8.1640625" style="142" customWidth="1"/>
    <col min="2832" max="2832" width="10.83203125" style="142" bestFit="1" customWidth="1"/>
    <col min="2833" max="2833" width="12.27734375" style="142" bestFit="1" customWidth="1"/>
    <col min="2834" max="2834" width="9.1640625" style="142" customWidth="1"/>
    <col min="2835" max="2835" width="10.83203125" style="142" bestFit="1" customWidth="1"/>
    <col min="2836" max="2836" width="12.27734375" style="142" bestFit="1" customWidth="1"/>
    <col min="2837" max="2837" width="8" style="142" customWidth="1"/>
    <col min="2838" max="2838" width="10.83203125" style="142" bestFit="1" customWidth="1"/>
    <col min="2839" max="2839" width="12.27734375" style="142" bestFit="1" customWidth="1"/>
    <col min="2840" max="2840" width="8.1640625" style="142" bestFit="1" customWidth="1"/>
    <col min="2841" max="2841" width="10.83203125" style="142" bestFit="1" customWidth="1"/>
    <col min="2842" max="2842" width="12.27734375" style="142" bestFit="1" customWidth="1"/>
    <col min="2843" max="2843" width="18.27734375" style="142" bestFit="1" customWidth="1"/>
    <col min="2844" max="2844" width="10.83203125" style="142" bestFit="1" customWidth="1"/>
    <col min="2845" max="3080" width="8.83203125" style="142"/>
    <col min="3081" max="3081" width="38.27734375" style="142" customWidth="1"/>
    <col min="3082" max="3082" width="23.44140625" style="142" bestFit="1" customWidth="1"/>
    <col min="3083" max="3084" width="9.1640625" style="142" customWidth="1"/>
    <col min="3085" max="3085" width="11.27734375" style="142" bestFit="1" customWidth="1"/>
    <col min="3086" max="3086" width="14.44140625" style="142" bestFit="1" customWidth="1"/>
    <col min="3087" max="3087" width="8.1640625" style="142" customWidth="1"/>
    <col min="3088" max="3088" width="10.83203125" style="142" bestFit="1" customWidth="1"/>
    <col min="3089" max="3089" width="12.27734375" style="142" bestFit="1" customWidth="1"/>
    <col min="3090" max="3090" width="9.1640625" style="142" customWidth="1"/>
    <col min="3091" max="3091" width="10.83203125" style="142" bestFit="1" customWidth="1"/>
    <col min="3092" max="3092" width="12.27734375" style="142" bestFit="1" customWidth="1"/>
    <col min="3093" max="3093" width="8" style="142" customWidth="1"/>
    <col min="3094" max="3094" width="10.83203125" style="142" bestFit="1" customWidth="1"/>
    <col min="3095" max="3095" width="12.27734375" style="142" bestFit="1" customWidth="1"/>
    <col min="3096" max="3096" width="8.1640625" style="142" bestFit="1" customWidth="1"/>
    <col min="3097" max="3097" width="10.83203125" style="142" bestFit="1" customWidth="1"/>
    <col min="3098" max="3098" width="12.27734375" style="142" bestFit="1" customWidth="1"/>
    <col min="3099" max="3099" width="18.27734375" style="142" bestFit="1" customWidth="1"/>
    <col min="3100" max="3100" width="10.83203125" style="142" bestFit="1" customWidth="1"/>
    <col min="3101" max="3336" width="8.83203125" style="142"/>
    <col min="3337" max="3337" width="38.27734375" style="142" customWidth="1"/>
    <col min="3338" max="3338" width="23.44140625" style="142" bestFit="1" customWidth="1"/>
    <col min="3339" max="3340" width="9.1640625" style="142" customWidth="1"/>
    <col min="3341" max="3341" width="11.27734375" style="142" bestFit="1" customWidth="1"/>
    <col min="3342" max="3342" width="14.44140625" style="142" bestFit="1" customWidth="1"/>
    <col min="3343" max="3343" width="8.1640625" style="142" customWidth="1"/>
    <col min="3344" max="3344" width="10.83203125" style="142" bestFit="1" customWidth="1"/>
    <col min="3345" max="3345" width="12.27734375" style="142" bestFit="1" customWidth="1"/>
    <col min="3346" max="3346" width="9.1640625" style="142" customWidth="1"/>
    <col min="3347" max="3347" width="10.83203125" style="142" bestFit="1" customWidth="1"/>
    <col min="3348" max="3348" width="12.27734375" style="142" bestFit="1" customWidth="1"/>
    <col min="3349" max="3349" width="8" style="142" customWidth="1"/>
    <col min="3350" max="3350" width="10.83203125" style="142" bestFit="1" customWidth="1"/>
    <col min="3351" max="3351" width="12.27734375" style="142" bestFit="1" customWidth="1"/>
    <col min="3352" max="3352" width="8.1640625" style="142" bestFit="1" customWidth="1"/>
    <col min="3353" max="3353" width="10.83203125" style="142" bestFit="1" customWidth="1"/>
    <col min="3354" max="3354" width="12.27734375" style="142" bestFit="1" customWidth="1"/>
    <col min="3355" max="3355" width="18.27734375" style="142" bestFit="1" customWidth="1"/>
    <col min="3356" max="3356" width="10.83203125" style="142" bestFit="1" customWidth="1"/>
    <col min="3357" max="3592" width="8.83203125" style="142"/>
    <col min="3593" max="3593" width="38.27734375" style="142" customWidth="1"/>
    <col min="3594" max="3594" width="23.44140625" style="142" bestFit="1" customWidth="1"/>
    <col min="3595" max="3596" width="9.1640625" style="142" customWidth="1"/>
    <col min="3597" max="3597" width="11.27734375" style="142" bestFit="1" customWidth="1"/>
    <col min="3598" max="3598" width="14.44140625" style="142" bestFit="1" customWidth="1"/>
    <col min="3599" max="3599" width="8.1640625" style="142" customWidth="1"/>
    <col min="3600" max="3600" width="10.83203125" style="142" bestFit="1" customWidth="1"/>
    <col min="3601" max="3601" width="12.27734375" style="142" bestFit="1" customWidth="1"/>
    <col min="3602" max="3602" width="9.1640625" style="142" customWidth="1"/>
    <col min="3603" max="3603" width="10.83203125" style="142" bestFit="1" customWidth="1"/>
    <col min="3604" max="3604" width="12.27734375" style="142" bestFit="1" customWidth="1"/>
    <col min="3605" max="3605" width="8" style="142" customWidth="1"/>
    <col min="3606" max="3606" width="10.83203125" style="142" bestFit="1" customWidth="1"/>
    <col min="3607" max="3607" width="12.27734375" style="142" bestFit="1" customWidth="1"/>
    <col min="3608" max="3608" width="8.1640625" style="142" bestFit="1" customWidth="1"/>
    <col min="3609" max="3609" width="10.83203125" style="142" bestFit="1" customWidth="1"/>
    <col min="3610" max="3610" width="12.27734375" style="142" bestFit="1" customWidth="1"/>
    <col min="3611" max="3611" width="18.27734375" style="142" bestFit="1" customWidth="1"/>
    <col min="3612" max="3612" width="10.83203125" style="142" bestFit="1" customWidth="1"/>
    <col min="3613" max="3848" width="8.83203125" style="142"/>
    <col min="3849" max="3849" width="38.27734375" style="142" customWidth="1"/>
    <col min="3850" max="3850" width="23.44140625" style="142" bestFit="1" customWidth="1"/>
    <col min="3851" max="3852" width="9.1640625" style="142" customWidth="1"/>
    <col min="3853" max="3853" width="11.27734375" style="142" bestFit="1" customWidth="1"/>
    <col min="3854" max="3854" width="14.44140625" style="142" bestFit="1" customWidth="1"/>
    <col min="3855" max="3855" width="8.1640625" style="142" customWidth="1"/>
    <col min="3856" max="3856" width="10.83203125" style="142" bestFit="1" customWidth="1"/>
    <col min="3857" max="3857" width="12.27734375" style="142" bestFit="1" customWidth="1"/>
    <col min="3858" max="3858" width="9.1640625" style="142" customWidth="1"/>
    <col min="3859" max="3859" width="10.83203125" style="142" bestFit="1" customWidth="1"/>
    <col min="3860" max="3860" width="12.27734375" style="142" bestFit="1" customWidth="1"/>
    <col min="3861" max="3861" width="8" style="142" customWidth="1"/>
    <col min="3862" max="3862" width="10.83203125" style="142" bestFit="1" customWidth="1"/>
    <col min="3863" max="3863" width="12.27734375" style="142" bestFit="1" customWidth="1"/>
    <col min="3864" max="3864" width="8.1640625" style="142" bestFit="1" customWidth="1"/>
    <col min="3865" max="3865" width="10.83203125" style="142" bestFit="1" customWidth="1"/>
    <col min="3866" max="3866" width="12.27734375" style="142" bestFit="1" customWidth="1"/>
    <col min="3867" max="3867" width="18.27734375" style="142" bestFit="1" customWidth="1"/>
    <col min="3868" max="3868" width="10.83203125" style="142" bestFit="1" customWidth="1"/>
    <col min="3869" max="4104" width="8.83203125" style="142"/>
    <col min="4105" max="4105" width="38.27734375" style="142" customWidth="1"/>
    <col min="4106" max="4106" width="23.44140625" style="142" bestFit="1" customWidth="1"/>
    <col min="4107" max="4108" width="9.1640625" style="142" customWidth="1"/>
    <col min="4109" max="4109" width="11.27734375" style="142" bestFit="1" customWidth="1"/>
    <col min="4110" max="4110" width="14.44140625" style="142" bestFit="1" customWidth="1"/>
    <col min="4111" max="4111" width="8.1640625" style="142" customWidth="1"/>
    <col min="4112" max="4112" width="10.83203125" style="142" bestFit="1" customWidth="1"/>
    <col min="4113" max="4113" width="12.27734375" style="142" bestFit="1" customWidth="1"/>
    <col min="4114" max="4114" width="9.1640625" style="142" customWidth="1"/>
    <col min="4115" max="4115" width="10.83203125" style="142" bestFit="1" customWidth="1"/>
    <col min="4116" max="4116" width="12.27734375" style="142" bestFit="1" customWidth="1"/>
    <col min="4117" max="4117" width="8" style="142" customWidth="1"/>
    <col min="4118" max="4118" width="10.83203125" style="142" bestFit="1" customWidth="1"/>
    <col min="4119" max="4119" width="12.27734375" style="142" bestFit="1" customWidth="1"/>
    <col min="4120" max="4120" width="8.1640625" style="142" bestFit="1" customWidth="1"/>
    <col min="4121" max="4121" width="10.83203125" style="142" bestFit="1" customWidth="1"/>
    <col min="4122" max="4122" width="12.27734375" style="142" bestFit="1" customWidth="1"/>
    <col min="4123" max="4123" width="18.27734375" style="142" bestFit="1" customWidth="1"/>
    <col min="4124" max="4124" width="10.83203125" style="142" bestFit="1" customWidth="1"/>
    <col min="4125" max="4360" width="8.83203125" style="142"/>
    <col min="4361" max="4361" width="38.27734375" style="142" customWidth="1"/>
    <col min="4362" max="4362" width="23.44140625" style="142" bestFit="1" customWidth="1"/>
    <col min="4363" max="4364" width="9.1640625" style="142" customWidth="1"/>
    <col min="4365" max="4365" width="11.27734375" style="142" bestFit="1" customWidth="1"/>
    <col min="4366" max="4366" width="14.44140625" style="142" bestFit="1" customWidth="1"/>
    <col min="4367" max="4367" width="8.1640625" style="142" customWidth="1"/>
    <col min="4368" max="4368" width="10.83203125" style="142" bestFit="1" customWidth="1"/>
    <col min="4369" max="4369" width="12.27734375" style="142" bestFit="1" customWidth="1"/>
    <col min="4370" max="4370" width="9.1640625" style="142" customWidth="1"/>
    <col min="4371" max="4371" width="10.83203125" style="142" bestFit="1" customWidth="1"/>
    <col min="4372" max="4372" width="12.27734375" style="142" bestFit="1" customWidth="1"/>
    <col min="4373" max="4373" width="8" style="142" customWidth="1"/>
    <col min="4374" max="4374" width="10.83203125" style="142" bestFit="1" customWidth="1"/>
    <col min="4375" max="4375" width="12.27734375" style="142" bestFit="1" customWidth="1"/>
    <col min="4376" max="4376" width="8.1640625" style="142" bestFit="1" customWidth="1"/>
    <col min="4377" max="4377" width="10.83203125" style="142" bestFit="1" customWidth="1"/>
    <col min="4378" max="4378" width="12.27734375" style="142" bestFit="1" customWidth="1"/>
    <col min="4379" max="4379" width="18.27734375" style="142" bestFit="1" customWidth="1"/>
    <col min="4380" max="4380" width="10.83203125" style="142" bestFit="1" customWidth="1"/>
    <col min="4381" max="4616" width="8.83203125" style="142"/>
    <col min="4617" max="4617" width="38.27734375" style="142" customWidth="1"/>
    <col min="4618" max="4618" width="23.44140625" style="142" bestFit="1" customWidth="1"/>
    <col min="4619" max="4620" width="9.1640625" style="142" customWidth="1"/>
    <col min="4621" max="4621" width="11.27734375" style="142" bestFit="1" customWidth="1"/>
    <col min="4622" max="4622" width="14.44140625" style="142" bestFit="1" customWidth="1"/>
    <col min="4623" max="4623" width="8.1640625" style="142" customWidth="1"/>
    <col min="4624" max="4624" width="10.83203125" style="142" bestFit="1" customWidth="1"/>
    <col min="4625" max="4625" width="12.27734375" style="142" bestFit="1" customWidth="1"/>
    <col min="4626" max="4626" width="9.1640625" style="142" customWidth="1"/>
    <col min="4627" max="4627" width="10.83203125" style="142" bestFit="1" customWidth="1"/>
    <col min="4628" max="4628" width="12.27734375" style="142" bestFit="1" customWidth="1"/>
    <col min="4629" max="4629" width="8" style="142" customWidth="1"/>
    <col min="4630" max="4630" width="10.83203125" style="142" bestFit="1" customWidth="1"/>
    <col min="4631" max="4631" width="12.27734375" style="142" bestFit="1" customWidth="1"/>
    <col min="4632" max="4632" width="8.1640625" style="142" bestFit="1" customWidth="1"/>
    <col min="4633" max="4633" width="10.83203125" style="142" bestFit="1" customWidth="1"/>
    <col min="4634" max="4634" width="12.27734375" style="142" bestFit="1" customWidth="1"/>
    <col min="4635" max="4635" width="18.27734375" style="142" bestFit="1" customWidth="1"/>
    <col min="4636" max="4636" width="10.83203125" style="142" bestFit="1" customWidth="1"/>
    <col min="4637" max="4872" width="8.83203125" style="142"/>
    <col min="4873" max="4873" width="38.27734375" style="142" customWidth="1"/>
    <col min="4874" max="4874" width="23.44140625" style="142" bestFit="1" customWidth="1"/>
    <col min="4875" max="4876" width="9.1640625" style="142" customWidth="1"/>
    <col min="4877" max="4877" width="11.27734375" style="142" bestFit="1" customWidth="1"/>
    <col min="4878" max="4878" width="14.44140625" style="142" bestFit="1" customWidth="1"/>
    <col min="4879" max="4879" width="8.1640625" style="142" customWidth="1"/>
    <col min="4880" max="4880" width="10.83203125" style="142" bestFit="1" customWidth="1"/>
    <col min="4881" max="4881" width="12.27734375" style="142" bestFit="1" customWidth="1"/>
    <col min="4882" max="4882" width="9.1640625" style="142" customWidth="1"/>
    <col min="4883" max="4883" width="10.83203125" style="142" bestFit="1" customWidth="1"/>
    <col min="4884" max="4884" width="12.27734375" style="142" bestFit="1" customWidth="1"/>
    <col min="4885" max="4885" width="8" style="142" customWidth="1"/>
    <col min="4886" max="4886" width="10.83203125" style="142" bestFit="1" customWidth="1"/>
    <col min="4887" max="4887" width="12.27734375" style="142" bestFit="1" customWidth="1"/>
    <col min="4888" max="4888" width="8.1640625" style="142" bestFit="1" customWidth="1"/>
    <col min="4889" max="4889" width="10.83203125" style="142" bestFit="1" customWidth="1"/>
    <col min="4890" max="4890" width="12.27734375" style="142" bestFit="1" customWidth="1"/>
    <col min="4891" max="4891" width="18.27734375" style="142" bestFit="1" customWidth="1"/>
    <col min="4892" max="4892" width="10.83203125" style="142" bestFit="1" customWidth="1"/>
    <col min="4893" max="5128" width="8.83203125" style="142"/>
    <col min="5129" max="5129" width="38.27734375" style="142" customWidth="1"/>
    <col min="5130" max="5130" width="23.44140625" style="142" bestFit="1" customWidth="1"/>
    <col min="5131" max="5132" width="9.1640625" style="142" customWidth="1"/>
    <col min="5133" max="5133" width="11.27734375" style="142" bestFit="1" customWidth="1"/>
    <col min="5134" max="5134" width="14.44140625" style="142" bestFit="1" customWidth="1"/>
    <col min="5135" max="5135" width="8.1640625" style="142" customWidth="1"/>
    <col min="5136" max="5136" width="10.83203125" style="142" bestFit="1" customWidth="1"/>
    <col min="5137" max="5137" width="12.27734375" style="142" bestFit="1" customWidth="1"/>
    <col min="5138" max="5138" width="9.1640625" style="142" customWidth="1"/>
    <col min="5139" max="5139" width="10.83203125" style="142" bestFit="1" customWidth="1"/>
    <col min="5140" max="5140" width="12.27734375" style="142" bestFit="1" customWidth="1"/>
    <col min="5141" max="5141" width="8" style="142" customWidth="1"/>
    <col min="5142" max="5142" width="10.83203125" style="142" bestFit="1" customWidth="1"/>
    <col min="5143" max="5143" width="12.27734375" style="142" bestFit="1" customWidth="1"/>
    <col min="5144" max="5144" width="8.1640625" style="142" bestFit="1" customWidth="1"/>
    <col min="5145" max="5145" width="10.83203125" style="142" bestFit="1" customWidth="1"/>
    <col min="5146" max="5146" width="12.27734375" style="142" bestFit="1" customWidth="1"/>
    <col min="5147" max="5147" width="18.27734375" style="142" bestFit="1" customWidth="1"/>
    <col min="5148" max="5148" width="10.83203125" style="142" bestFit="1" customWidth="1"/>
    <col min="5149" max="5384" width="8.83203125" style="142"/>
    <col min="5385" max="5385" width="38.27734375" style="142" customWidth="1"/>
    <col min="5386" max="5386" width="23.44140625" style="142" bestFit="1" customWidth="1"/>
    <col min="5387" max="5388" width="9.1640625" style="142" customWidth="1"/>
    <col min="5389" max="5389" width="11.27734375" style="142" bestFit="1" customWidth="1"/>
    <col min="5390" max="5390" width="14.44140625" style="142" bestFit="1" customWidth="1"/>
    <col min="5391" max="5391" width="8.1640625" style="142" customWidth="1"/>
    <col min="5392" max="5392" width="10.83203125" style="142" bestFit="1" customWidth="1"/>
    <col min="5393" max="5393" width="12.27734375" style="142" bestFit="1" customWidth="1"/>
    <col min="5394" max="5394" width="9.1640625" style="142" customWidth="1"/>
    <col min="5395" max="5395" width="10.83203125" style="142" bestFit="1" customWidth="1"/>
    <col min="5396" max="5396" width="12.27734375" style="142" bestFit="1" customWidth="1"/>
    <col min="5397" max="5397" width="8" style="142" customWidth="1"/>
    <col min="5398" max="5398" width="10.83203125" style="142" bestFit="1" customWidth="1"/>
    <col min="5399" max="5399" width="12.27734375" style="142" bestFit="1" customWidth="1"/>
    <col min="5400" max="5400" width="8.1640625" style="142" bestFit="1" customWidth="1"/>
    <col min="5401" max="5401" width="10.83203125" style="142" bestFit="1" customWidth="1"/>
    <col min="5402" max="5402" width="12.27734375" style="142" bestFit="1" customWidth="1"/>
    <col min="5403" max="5403" width="18.27734375" style="142" bestFit="1" customWidth="1"/>
    <col min="5404" max="5404" width="10.83203125" style="142" bestFit="1" customWidth="1"/>
    <col min="5405" max="5640" width="8.83203125" style="142"/>
    <col min="5641" max="5641" width="38.27734375" style="142" customWidth="1"/>
    <col min="5642" max="5642" width="23.44140625" style="142" bestFit="1" customWidth="1"/>
    <col min="5643" max="5644" width="9.1640625" style="142" customWidth="1"/>
    <col min="5645" max="5645" width="11.27734375" style="142" bestFit="1" customWidth="1"/>
    <col min="5646" max="5646" width="14.44140625" style="142" bestFit="1" customWidth="1"/>
    <col min="5647" max="5647" width="8.1640625" style="142" customWidth="1"/>
    <col min="5648" max="5648" width="10.83203125" style="142" bestFit="1" customWidth="1"/>
    <col min="5649" max="5649" width="12.27734375" style="142" bestFit="1" customWidth="1"/>
    <col min="5650" max="5650" width="9.1640625" style="142" customWidth="1"/>
    <col min="5651" max="5651" width="10.83203125" style="142" bestFit="1" customWidth="1"/>
    <col min="5652" max="5652" width="12.27734375" style="142" bestFit="1" customWidth="1"/>
    <col min="5653" max="5653" width="8" style="142" customWidth="1"/>
    <col min="5654" max="5654" width="10.83203125" style="142" bestFit="1" customWidth="1"/>
    <col min="5655" max="5655" width="12.27734375" style="142" bestFit="1" customWidth="1"/>
    <col min="5656" max="5656" width="8.1640625" style="142" bestFit="1" customWidth="1"/>
    <col min="5657" max="5657" width="10.83203125" style="142" bestFit="1" customWidth="1"/>
    <col min="5658" max="5658" width="12.27734375" style="142" bestFit="1" customWidth="1"/>
    <col min="5659" max="5659" width="18.27734375" style="142" bestFit="1" customWidth="1"/>
    <col min="5660" max="5660" width="10.83203125" style="142" bestFit="1" customWidth="1"/>
    <col min="5661" max="5896" width="8.83203125" style="142"/>
    <col min="5897" max="5897" width="38.27734375" style="142" customWidth="1"/>
    <col min="5898" max="5898" width="23.44140625" style="142" bestFit="1" customWidth="1"/>
    <col min="5899" max="5900" width="9.1640625" style="142" customWidth="1"/>
    <col min="5901" max="5901" width="11.27734375" style="142" bestFit="1" customWidth="1"/>
    <col min="5902" max="5902" width="14.44140625" style="142" bestFit="1" customWidth="1"/>
    <col min="5903" max="5903" width="8.1640625" style="142" customWidth="1"/>
    <col min="5904" max="5904" width="10.83203125" style="142" bestFit="1" customWidth="1"/>
    <col min="5905" max="5905" width="12.27734375" style="142" bestFit="1" customWidth="1"/>
    <col min="5906" max="5906" width="9.1640625" style="142" customWidth="1"/>
    <col min="5907" max="5907" width="10.83203125" style="142" bestFit="1" customWidth="1"/>
    <col min="5908" max="5908" width="12.27734375" style="142" bestFit="1" customWidth="1"/>
    <col min="5909" max="5909" width="8" style="142" customWidth="1"/>
    <col min="5910" max="5910" width="10.83203125" style="142" bestFit="1" customWidth="1"/>
    <col min="5911" max="5911" width="12.27734375" style="142" bestFit="1" customWidth="1"/>
    <col min="5912" max="5912" width="8.1640625" style="142" bestFit="1" customWidth="1"/>
    <col min="5913" max="5913" width="10.83203125" style="142" bestFit="1" customWidth="1"/>
    <col min="5914" max="5914" width="12.27734375" style="142" bestFit="1" customWidth="1"/>
    <col min="5915" max="5915" width="18.27734375" style="142" bestFit="1" customWidth="1"/>
    <col min="5916" max="5916" width="10.83203125" style="142" bestFit="1" customWidth="1"/>
    <col min="5917" max="6152" width="8.83203125" style="142"/>
    <col min="6153" max="6153" width="38.27734375" style="142" customWidth="1"/>
    <col min="6154" max="6154" width="23.44140625" style="142" bestFit="1" customWidth="1"/>
    <col min="6155" max="6156" width="9.1640625" style="142" customWidth="1"/>
    <col min="6157" max="6157" width="11.27734375" style="142" bestFit="1" customWidth="1"/>
    <col min="6158" max="6158" width="14.44140625" style="142" bestFit="1" customWidth="1"/>
    <col min="6159" max="6159" width="8.1640625" style="142" customWidth="1"/>
    <col min="6160" max="6160" width="10.83203125" style="142" bestFit="1" customWidth="1"/>
    <col min="6161" max="6161" width="12.27734375" style="142" bestFit="1" customWidth="1"/>
    <col min="6162" max="6162" width="9.1640625" style="142" customWidth="1"/>
    <col min="6163" max="6163" width="10.83203125" style="142" bestFit="1" customWidth="1"/>
    <col min="6164" max="6164" width="12.27734375" style="142" bestFit="1" customWidth="1"/>
    <col min="6165" max="6165" width="8" style="142" customWidth="1"/>
    <col min="6166" max="6166" width="10.83203125" style="142" bestFit="1" customWidth="1"/>
    <col min="6167" max="6167" width="12.27734375" style="142" bestFit="1" customWidth="1"/>
    <col min="6168" max="6168" width="8.1640625" style="142" bestFit="1" customWidth="1"/>
    <col min="6169" max="6169" width="10.83203125" style="142" bestFit="1" customWidth="1"/>
    <col min="6170" max="6170" width="12.27734375" style="142" bestFit="1" customWidth="1"/>
    <col min="6171" max="6171" width="18.27734375" style="142" bestFit="1" customWidth="1"/>
    <col min="6172" max="6172" width="10.83203125" style="142" bestFit="1" customWidth="1"/>
    <col min="6173" max="6408" width="8.83203125" style="142"/>
    <col min="6409" max="6409" width="38.27734375" style="142" customWidth="1"/>
    <col min="6410" max="6410" width="23.44140625" style="142" bestFit="1" customWidth="1"/>
    <col min="6411" max="6412" width="9.1640625" style="142" customWidth="1"/>
    <col min="6413" max="6413" width="11.27734375" style="142" bestFit="1" customWidth="1"/>
    <col min="6414" max="6414" width="14.44140625" style="142" bestFit="1" customWidth="1"/>
    <col min="6415" max="6415" width="8.1640625" style="142" customWidth="1"/>
    <col min="6416" max="6416" width="10.83203125" style="142" bestFit="1" customWidth="1"/>
    <col min="6417" max="6417" width="12.27734375" style="142" bestFit="1" customWidth="1"/>
    <col min="6418" max="6418" width="9.1640625" style="142" customWidth="1"/>
    <col min="6419" max="6419" width="10.83203125" style="142" bestFit="1" customWidth="1"/>
    <col min="6420" max="6420" width="12.27734375" style="142" bestFit="1" customWidth="1"/>
    <col min="6421" max="6421" width="8" style="142" customWidth="1"/>
    <col min="6422" max="6422" width="10.83203125" style="142" bestFit="1" customWidth="1"/>
    <col min="6423" max="6423" width="12.27734375" style="142" bestFit="1" customWidth="1"/>
    <col min="6424" max="6424" width="8.1640625" style="142" bestFit="1" customWidth="1"/>
    <col min="6425" max="6425" width="10.83203125" style="142" bestFit="1" customWidth="1"/>
    <col min="6426" max="6426" width="12.27734375" style="142" bestFit="1" customWidth="1"/>
    <col min="6427" max="6427" width="18.27734375" style="142" bestFit="1" customWidth="1"/>
    <col min="6428" max="6428" width="10.83203125" style="142" bestFit="1" customWidth="1"/>
    <col min="6429" max="6664" width="8.83203125" style="142"/>
    <col min="6665" max="6665" width="38.27734375" style="142" customWidth="1"/>
    <col min="6666" max="6666" width="23.44140625" style="142" bestFit="1" customWidth="1"/>
    <col min="6667" max="6668" width="9.1640625" style="142" customWidth="1"/>
    <col min="6669" max="6669" width="11.27734375" style="142" bestFit="1" customWidth="1"/>
    <col min="6670" max="6670" width="14.44140625" style="142" bestFit="1" customWidth="1"/>
    <col min="6671" max="6671" width="8.1640625" style="142" customWidth="1"/>
    <col min="6672" max="6672" width="10.83203125" style="142" bestFit="1" customWidth="1"/>
    <col min="6673" max="6673" width="12.27734375" style="142" bestFit="1" customWidth="1"/>
    <col min="6674" max="6674" width="9.1640625" style="142" customWidth="1"/>
    <col min="6675" max="6675" width="10.83203125" style="142" bestFit="1" customWidth="1"/>
    <col min="6676" max="6676" width="12.27734375" style="142" bestFit="1" customWidth="1"/>
    <col min="6677" max="6677" width="8" style="142" customWidth="1"/>
    <col min="6678" max="6678" width="10.83203125" style="142" bestFit="1" customWidth="1"/>
    <col min="6679" max="6679" width="12.27734375" style="142" bestFit="1" customWidth="1"/>
    <col min="6680" max="6680" width="8.1640625" style="142" bestFit="1" customWidth="1"/>
    <col min="6681" max="6681" width="10.83203125" style="142" bestFit="1" customWidth="1"/>
    <col min="6682" max="6682" width="12.27734375" style="142" bestFit="1" customWidth="1"/>
    <col min="6683" max="6683" width="18.27734375" style="142" bestFit="1" customWidth="1"/>
    <col min="6684" max="6684" width="10.83203125" style="142" bestFit="1" customWidth="1"/>
    <col min="6685" max="6920" width="8.83203125" style="142"/>
    <col min="6921" max="6921" width="38.27734375" style="142" customWidth="1"/>
    <col min="6922" max="6922" width="23.44140625" style="142" bestFit="1" customWidth="1"/>
    <col min="6923" max="6924" width="9.1640625" style="142" customWidth="1"/>
    <col min="6925" max="6925" width="11.27734375" style="142" bestFit="1" customWidth="1"/>
    <col min="6926" max="6926" width="14.44140625" style="142" bestFit="1" customWidth="1"/>
    <col min="6927" max="6927" width="8.1640625" style="142" customWidth="1"/>
    <col min="6928" max="6928" width="10.83203125" style="142" bestFit="1" customWidth="1"/>
    <col min="6929" max="6929" width="12.27734375" style="142" bestFit="1" customWidth="1"/>
    <col min="6930" max="6930" width="9.1640625" style="142" customWidth="1"/>
    <col min="6931" max="6931" width="10.83203125" style="142" bestFit="1" customWidth="1"/>
    <col min="6932" max="6932" width="12.27734375" style="142" bestFit="1" customWidth="1"/>
    <col min="6933" max="6933" width="8" style="142" customWidth="1"/>
    <col min="6934" max="6934" width="10.83203125" style="142" bestFit="1" customWidth="1"/>
    <col min="6935" max="6935" width="12.27734375" style="142" bestFit="1" customWidth="1"/>
    <col min="6936" max="6936" width="8.1640625" style="142" bestFit="1" customWidth="1"/>
    <col min="6937" max="6937" width="10.83203125" style="142" bestFit="1" customWidth="1"/>
    <col min="6938" max="6938" width="12.27734375" style="142" bestFit="1" customWidth="1"/>
    <col min="6939" max="6939" width="18.27734375" style="142" bestFit="1" customWidth="1"/>
    <col min="6940" max="6940" width="10.83203125" style="142" bestFit="1" customWidth="1"/>
    <col min="6941" max="7176" width="8.83203125" style="142"/>
    <col min="7177" max="7177" width="38.27734375" style="142" customWidth="1"/>
    <col min="7178" max="7178" width="23.44140625" style="142" bestFit="1" customWidth="1"/>
    <col min="7179" max="7180" width="9.1640625" style="142" customWidth="1"/>
    <col min="7181" max="7181" width="11.27734375" style="142" bestFit="1" customWidth="1"/>
    <col min="7182" max="7182" width="14.44140625" style="142" bestFit="1" customWidth="1"/>
    <col min="7183" max="7183" width="8.1640625" style="142" customWidth="1"/>
    <col min="7184" max="7184" width="10.83203125" style="142" bestFit="1" customWidth="1"/>
    <col min="7185" max="7185" width="12.27734375" style="142" bestFit="1" customWidth="1"/>
    <col min="7186" max="7186" width="9.1640625" style="142" customWidth="1"/>
    <col min="7187" max="7187" width="10.83203125" style="142" bestFit="1" customWidth="1"/>
    <col min="7188" max="7188" width="12.27734375" style="142" bestFit="1" customWidth="1"/>
    <col min="7189" max="7189" width="8" style="142" customWidth="1"/>
    <col min="7190" max="7190" width="10.83203125" style="142" bestFit="1" customWidth="1"/>
    <col min="7191" max="7191" width="12.27734375" style="142" bestFit="1" customWidth="1"/>
    <col min="7192" max="7192" width="8.1640625" style="142" bestFit="1" customWidth="1"/>
    <col min="7193" max="7193" width="10.83203125" style="142" bestFit="1" customWidth="1"/>
    <col min="7194" max="7194" width="12.27734375" style="142" bestFit="1" customWidth="1"/>
    <col min="7195" max="7195" width="18.27734375" style="142" bestFit="1" customWidth="1"/>
    <col min="7196" max="7196" width="10.83203125" style="142" bestFit="1" customWidth="1"/>
    <col min="7197" max="7432" width="8.83203125" style="142"/>
    <col min="7433" max="7433" width="38.27734375" style="142" customWidth="1"/>
    <col min="7434" max="7434" width="23.44140625" style="142" bestFit="1" customWidth="1"/>
    <col min="7435" max="7436" width="9.1640625" style="142" customWidth="1"/>
    <col min="7437" max="7437" width="11.27734375" style="142" bestFit="1" customWidth="1"/>
    <col min="7438" max="7438" width="14.44140625" style="142" bestFit="1" customWidth="1"/>
    <col min="7439" max="7439" width="8.1640625" style="142" customWidth="1"/>
    <col min="7440" max="7440" width="10.83203125" style="142" bestFit="1" customWidth="1"/>
    <col min="7441" max="7441" width="12.27734375" style="142" bestFit="1" customWidth="1"/>
    <col min="7442" max="7442" width="9.1640625" style="142" customWidth="1"/>
    <col min="7443" max="7443" width="10.83203125" style="142" bestFit="1" customWidth="1"/>
    <col min="7444" max="7444" width="12.27734375" style="142" bestFit="1" customWidth="1"/>
    <col min="7445" max="7445" width="8" style="142" customWidth="1"/>
    <col min="7446" max="7446" width="10.83203125" style="142" bestFit="1" customWidth="1"/>
    <col min="7447" max="7447" width="12.27734375" style="142" bestFit="1" customWidth="1"/>
    <col min="7448" max="7448" width="8.1640625" style="142" bestFit="1" customWidth="1"/>
    <col min="7449" max="7449" width="10.83203125" style="142" bestFit="1" customWidth="1"/>
    <col min="7450" max="7450" width="12.27734375" style="142" bestFit="1" customWidth="1"/>
    <col min="7451" max="7451" width="18.27734375" style="142" bestFit="1" customWidth="1"/>
    <col min="7452" max="7452" width="10.83203125" style="142" bestFit="1" customWidth="1"/>
    <col min="7453" max="7688" width="8.83203125" style="142"/>
    <col min="7689" max="7689" width="38.27734375" style="142" customWidth="1"/>
    <col min="7690" max="7690" width="23.44140625" style="142" bestFit="1" customWidth="1"/>
    <col min="7691" max="7692" width="9.1640625" style="142" customWidth="1"/>
    <col min="7693" max="7693" width="11.27734375" style="142" bestFit="1" customWidth="1"/>
    <col min="7694" max="7694" width="14.44140625" style="142" bestFit="1" customWidth="1"/>
    <col min="7695" max="7695" width="8.1640625" style="142" customWidth="1"/>
    <col min="7696" max="7696" width="10.83203125" style="142" bestFit="1" customWidth="1"/>
    <col min="7697" max="7697" width="12.27734375" style="142" bestFit="1" customWidth="1"/>
    <col min="7698" max="7698" width="9.1640625" style="142" customWidth="1"/>
    <col min="7699" max="7699" width="10.83203125" style="142" bestFit="1" customWidth="1"/>
    <col min="7700" max="7700" width="12.27734375" style="142" bestFit="1" customWidth="1"/>
    <col min="7701" max="7701" width="8" style="142" customWidth="1"/>
    <col min="7702" max="7702" width="10.83203125" style="142" bestFit="1" customWidth="1"/>
    <col min="7703" max="7703" width="12.27734375" style="142" bestFit="1" customWidth="1"/>
    <col min="7704" max="7704" width="8.1640625" style="142" bestFit="1" customWidth="1"/>
    <col min="7705" max="7705" width="10.83203125" style="142" bestFit="1" customWidth="1"/>
    <col min="7706" max="7706" width="12.27734375" style="142" bestFit="1" customWidth="1"/>
    <col min="7707" max="7707" width="18.27734375" style="142" bestFit="1" customWidth="1"/>
    <col min="7708" max="7708" width="10.83203125" style="142" bestFit="1" customWidth="1"/>
    <col min="7709" max="7944" width="8.83203125" style="142"/>
    <col min="7945" max="7945" width="38.27734375" style="142" customWidth="1"/>
    <col min="7946" max="7946" width="23.44140625" style="142" bestFit="1" customWidth="1"/>
    <col min="7947" max="7948" width="9.1640625" style="142" customWidth="1"/>
    <col min="7949" max="7949" width="11.27734375" style="142" bestFit="1" customWidth="1"/>
    <col min="7950" max="7950" width="14.44140625" style="142" bestFit="1" customWidth="1"/>
    <col min="7951" max="7951" width="8.1640625" style="142" customWidth="1"/>
    <col min="7952" max="7952" width="10.83203125" style="142" bestFit="1" customWidth="1"/>
    <col min="7953" max="7953" width="12.27734375" style="142" bestFit="1" customWidth="1"/>
    <col min="7954" max="7954" width="9.1640625" style="142" customWidth="1"/>
    <col min="7955" max="7955" width="10.83203125" style="142" bestFit="1" customWidth="1"/>
    <col min="7956" max="7956" width="12.27734375" style="142" bestFit="1" customWidth="1"/>
    <col min="7957" max="7957" width="8" style="142" customWidth="1"/>
    <col min="7958" max="7958" width="10.83203125" style="142" bestFit="1" customWidth="1"/>
    <col min="7959" max="7959" width="12.27734375" style="142" bestFit="1" customWidth="1"/>
    <col min="7960" max="7960" width="8.1640625" style="142" bestFit="1" customWidth="1"/>
    <col min="7961" max="7961" width="10.83203125" style="142" bestFit="1" customWidth="1"/>
    <col min="7962" max="7962" width="12.27734375" style="142" bestFit="1" customWidth="1"/>
    <col min="7963" max="7963" width="18.27734375" style="142" bestFit="1" customWidth="1"/>
    <col min="7964" max="7964" width="10.83203125" style="142" bestFit="1" customWidth="1"/>
    <col min="7965" max="8200" width="8.83203125" style="142"/>
    <col min="8201" max="8201" width="38.27734375" style="142" customWidth="1"/>
    <col min="8202" max="8202" width="23.44140625" style="142" bestFit="1" customWidth="1"/>
    <col min="8203" max="8204" width="9.1640625" style="142" customWidth="1"/>
    <col min="8205" max="8205" width="11.27734375" style="142" bestFit="1" customWidth="1"/>
    <col min="8206" max="8206" width="14.44140625" style="142" bestFit="1" customWidth="1"/>
    <col min="8207" max="8207" width="8.1640625" style="142" customWidth="1"/>
    <col min="8208" max="8208" width="10.83203125" style="142" bestFit="1" customWidth="1"/>
    <col min="8209" max="8209" width="12.27734375" style="142" bestFit="1" customWidth="1"/>
    <col min="8210" max="8210" width="9.1640625" style="142" customWidth="1"/>
    <col min="8211" max="8211" width="10.83203125" style="142" bestFit="1" customWidth="1"/>
    <col min="8212" max="8212" width="12.27734375" style="142" bestFit="1" customWidth="1"/>
    <col min="8213" max="8213" width="8" style="142" customWidth="1"/>
    <col min="8214" max="8214" width="10.83203125" style="142" bestFit="1" customWidth="1"/>
    <col min="8215" max="8215" width="12.27734375" style="142" bestFit="1" customWidth="1"/>
    <col min="8216" max="8216" width="8.1640625" style="142" bestFit="1" customWidth="1"/>
    <col min="8217" max="8217" width="10.83203125" style="142" bestFit="1" customWidth="1"/>
    <col min="8218" max="8218" width="12.27734375" style="142" bestFit="1" customWidth="1"/>
    <col min="8219" max="8219" width="18.27734375" style="142" bestFit="1" customWidth="1"/>
    <col min="8220" max="8220" width="10.83203125" style="142" bestFit="1" customWidth="1"/>
    <col min="8221" max="8456" width="8.83203125" style="142"/>
    <col min="8457" max="8457" width="38.27734375" style="142" customWidth="1"/>
    <col min="8458" max="8458" width="23.44140625" style="142" bestFit="1" customWidth="1"/>
    <col min="8459" max="8460" width="9.1640625" style="142" customWidth="1"/>
    <col min="8461" max="8461" width="11.27734375" style="142" bestFit="1" customWidth="1"/>
    <col min="8462" max="8462" width="14.44140625" style="142" bestFit="1" customWidth="1"/>
    <col min="8463" max="8463" width="8.1640625" style="142" customWidth="1"/>
    <col min="8464" max="8464" width="10.83203125" style="142" bestFit="1" customWidth="1"/>
    <col min="8465" max="8465" width="12.27734375" style="142" bestFit="1" customWidth="1"/>
    <col min="8466" max="8466" width="9.1640625" style="142" customWidth="1"/>
    <col min="8467" max="8467" width="10.83203125" style="142" bestFit="1" customWidth="1"/>
    <col min="8468" max="8468" width="12.27734375" style="142" bestFit="1" customWidth="1"/>
    <col min="8469" max="8469" width="8" style="142" customWidth="1"/>
    <col min="8470" max="8470" width="10.83203125" style="142" bestFit="1" customWidth="1"/>
    <col min="8471" max="8471" width="12.27734375" style="142" bestFit="1" customWidth="1"/>
    <col min="8472" max="8472" width="8.1640625" style="142" bestFit="1" customWidth="1"/>
    <col min="8473" max="8473" width="10.83203125" style="142" bestFit="1" customWidth="1"/>
    <col min="8474" max="8474" width="12.27734375" style="142" bestFit="1" customWidth="1"/>
    <col min="8475" max="8475" width="18.27734375" style="142" bestFit="1" customWidth="1"/>
    <col min="8476" max="8476" width="10.83203125" style="142" bestFit="1" customWidth="1"/>
    <col min="8477" max="8712" width="8.83203125" style="142"/>
    <col min="8713" max="8713" width="38.27734375" style="142" customWidth="1"/>
    <col min="8714" max="8714" width="23.44140625" style="142" bestFit="1" customWidth="1"/>
    <col min="8715" max="8716" width="9.1640625" style="142" customWidth="1"/>
    <col min="8717" max="8717" width="11.27734375" style="142" bestFit="1" customWidth="1"/>
    <col min="8718" max="8718" width="14.44140625" style="142" bestFit="1" customWidth="1"/>
    <col min="8719" max="8719" width="8.1640625" style="142" customWidth="1"/>
    <col min="8720" max="8720" width="10.83203125" style="142" bestFit="1" customWidth="1"/>
    <col min="8721" max="8721" width="12.27734375" style="142" bestFit="1" customWidth="1"/>
    <col min="8722" max="8722" width="9.1640625" style="142" customWidth="1"/>
    <col min="8723" max="8723" width="10.83203125" style="142" bestFit="1" customWidth="1"/>
    <col min="8724" max="8724" width="12.27734375" style="142" bestFit="1" customWidth="1"/>
    <col min="8725" max="8725" width="8" style="142" customWidth="1"/>
    <col min="8726" max="8726" width="10.83203125" style="142" bestFit="1" customWidth="1"/>
    <col min="8727" max="8727" width="12.27734375" style="142" bestFit="1" customWidth="1"/>
    <col min="8728" max="8728" width="8.1640625" style="142" bestFit="1" customWidth="1"/>
    <col min="8729" max="8729" width="10.83203125" style="142" bestFit="1" customWidth="1"/>
    <col min="8730" max="8730" width="12.27734375" style="142" bestFit="1" customWidth="1"/>
    <col min="8731" max="8731" width="18.27734375" style="142" bestFit="1" customWidth="1"/>
    <col min="8732" max="8732" width="10.83203125" style="142" bestFit="1" customWidth="1"/>
    <col min="8733" max="8968" width="8.83203125" style="142"/>
    <col min="8969" max="8969" width="38.27734375" style="142" customWidth="1"/>
    <col min="8970" max="8970" width="23.44140625" style="142" bestFit="1" customWidth="1"/>
    <col min="8971" max="8972" width="9.1640625" style="142" customWidth="1"/>
    <col min="8973" max="8973" width="11.27734375" style="142" bestFit="1" customWidth="1"/>
    <col min="8974" max="8974" width="14.44140625" style="142" bestFit="1" customWidth="1"/>
    <col min="8975" max="8975" width="8.1640625" style="142" customWidth="1"/>
    <col min="8976" max="8976" width="10.83203125" style="142" bestFit="1" customWidth="1"/>
    <col min="8977" max="8977" width="12.27734375" style="142" bestFit="1" customWidth="1"/>
    <col min="8978" max="8978" width="9.1640625" style="142" customWidth="1"/>
    <col min="8979" max="8979" width="10.83203125" style="142" bestFit="1" customWidth="1"/>
    <col min="8980" max="8980" width="12.27734375" style="142" bestFit="1" customWidth="1"/>
    <col min="8981" max="8981" width="8" style="142" customWidth="1"/>
    <col min="8982" max="8982" width="10.83203125" style="142" bestFit="1" customWidth="1"/>
    <col min="8983" max="8983" width="12.27734375" style="142" bestFit="1" customWidth="1"/>
    <col min="8984" max="8984" width="8.1640625" style="142" bestFit="1" customWidth="1"/>
    <col min="8985" max="8985" width="10.83203125" style="142" bestFit="1" customWidth="1"/>
    <col min="8986" max="8986" width="12.27734375" style="142" bestFit="1" customWidth="1"/>
    <col min="8987" max="8987" width="18.27734375" style="142" bestFit="1" customWidth="1"/>
    <col min="8988" max="8988" width="10.83203125" style="142" bestFit="1" customWidth="1"/>
    <col min="8989" max="9224" width="8.83203125" style="142"/>
    <col min="9225" max="9225" width="38.27734375" style="142" customWidth="1"/>
    <col min="9226" max="9226" width="23.44140625" style="142" bestFit="1" customWidth="1"/>
    <col min="9227" max="9228" width="9.1640625" style="142" customWidth="1"/>
    <col min="9229" max="9229" width="11.27734375" style="142" bestFit="1" customWidth="1"/>
    <col min="9230" max="9230" width="14.44140625" style="142" bestFit="1" customWidth="1"/>
    <col min="9231" max="9231" width="8.1640625" style="142" customWidth="1"/>
    <col min="9232" max="9232" width="10.83203125" style="142" bestFit="1" customWidth="1"/>
    <col min="9233" max="9233" width="12.27734375" style="142" bestFit="1" customWidth="1"/>
    <col min="9234" max="9234" width="9.1640625" style="142" customWidth="1"/>
    <col min="9235" max="9235" width="10.83203125" style="142" bestFit="1" customWidth="1"/>
    <col min="9236" max="9236" width="12.27734375" style="142" bestFit="1" customWidth="1"/>
    <col min="9237" max="9237" width="8" style="142" customWidth="1"/>
    <col min="9238" max="9238" width="10.83203125" style="142" bestFit="1" customWidth="1"/>
    <col min="9239" max="9239" width="12.27734375" style="142" bestFit="1" customWidth="1"/>
    <col min="9240" max="9240" width="8.1640625" style="142" bestFit="1" customWidth="1"/>
    <col min="9241" max="9241" width="10.83203125" style="142" bestFit="1" customWidth="1"/>
    <col min="9242" max="9242" width="12.27734375" style="142" bestFit="1" customWidth="1"/>
    <col min="9243" max="9243" width="18.27734375" style="142" bestFit="1" customWidth="1"/>
    <col min="9244" max="9244" width="10.83203125" style="142" bestFit="1" customWidth="1"/>
    <col min="9245" max="9480" width="8.83203125" style="142"/>
    <col min="9481" max="9481" width="38.27734375" style="142" customWidth="1"/>
    <col min="9482" max="9482" width="23.44140625" style="142" bestFit="1" customWidth="1"/>
    <col min="9483" max="9484" width="9.1640625" style="142" customWidth="1"/>
    <col min="9485" max="9485" width="11.27734375" style="142" bestFit="1" customWidth="1"/>
    <col min="9486" max="9486" width="14.44140625" style="142" bestFit="1" customWidth="1"/>
    <col min="9487" max="9487" width="8.1640625" style="142" customWidth="1"/>
    <col min="9488" max="9488" width="10.83203125" style="142" bestFit="1" customWidth="1"/>
    <col min="9489" max="9489" width="12.27734375" style="142" bestFit="1" customWidth="1"/>
    <col min="9490" max="9490" width="9.1640625" style="142" customWidth="1"/>
    <col min="9491" max="9491" width="10.83203125" style="142" bestFit="1" customWidth="1"/>
    <col min="9492" max="9492" width="12.27734375" style="142" bestFit="1" customWidth="1"/>
    <col min="9493" max="9493" width="8" style="142" customWidth="1"/>
    <col min="9494" max="9494" width="10.83203125" style="142" bestFit="1" customWidth="1"/>
    <col min="9495" max="9495" width="12.27734375" style="142" bestFit="1" customWidth="1"/>
    <col min="9496" max="9496" width="8.1640625" style="142" bestFit="1" customWidth="1"/>
    <col min="9497" max="9497" width="10.83203125" style="142" bestFit="1" customWidth="1"/>
    <col min="9498" max="9498" width="12.27734375" style="142" bestFit="1" customWidth="1"/>
    <col min="9499" max="9499" width="18.27734375" style="142" bestFit="1" customWidth="1"/>
    <col min="9500" max="9500" width="10.83203125" style="142" bestFit="1" customWidth="1"/>
    <col min="9501" max="9736" width="8.83203125" style="142"/>
    <col min="9737" max="9737" width="38.27734375" style="142" customWidth="1"/>
    <col min="9738" max="9738" width="23.44140625" style="142" bestFit="1" customWidth="1"/>
    <col min="9739" max="9740" width="9.1640625" style="142" customWidth="1"/>
    <col min="9741" max="9741" width="11.27734375" style="142" bestFit="1" customWidth="1"/>
    <col min="9742" max="9742" width="14.44140625" style="142" bestFit="1" customWidth="1"/>
    <col min="9743" max="9743" width="8.1640625" style="142" customWidth="1"/>
    <col min="9744" max="9744" width="10.83203125" style="142" bestFit="1" customWidth="1"/>
    <col min="9745" max="9745" width="12.27734375" style="142" bestFit="1" customWidth="1"/>
    <col min="9746" max="9746" width="9.1640625" style="142" customWidth="1"/>
    <col min="9747" max="9747" width="10.83203125" style="142" bestFit="1" customWidth="1"/>
    <col min="9748" max="9748" width="12.27734375" style="142" bestFit="1" customWidth="1"/>
    <col min="9749" max="9749" width="8" style="142" customWidth="1"/>
    <col min="9750" max="9750" width="10.83203125" style="142" bestFit="1" customWidth="1"/>
    <col min="9751" max="9751" width="12.27734375" style="142" bestFit="1" customWidth="1"/>
    <col min="9752" max="9752" width="8.1640625" style="142" bestFit="1" customWidth="1"/>
    <col min="9753" max="9753" width="10.83203125" style="142" bestFit="1" customWidth="1"/>
    <col min="9754" max="9754" width="12.27734375" style="142" bestFit="1" customWidth="1"/>
    <col min="9755" max="9755" width="18.27734375" style="142" bestFit="1" customWidth="1"/>
    <col min="9756" max="9756" width="10.83203125" style="142" bestFit="1" customWidth="1"/>
    <col min="9757" max="9992" width="8.83203125" style="142"/>
    <col min="9993" max="9993" width="38.27734375" style="142" customWidth="1"/>
    <col min="9994" max="9994" width="23.44140625" style="142" bestFit="1" customWidth="1"/>
    <col min="9995" max="9996" width="9.1640625" style="142" customWidth="1"/>
    <col min="9997" max="9997" width="11.27734375" style="142" bestFit="1" customWidth="1"/>
    <col min="9998" max="9998" width="14.44140625" style="142" bestFit="1" customWidth="1"/>
    <col min="9999" max="9999" width="8.1640625" style="142" customWidth="1"/>
    <col min="10000" max="10000" width="10.83203125" style="142" bestFit="1" customWidth="1"/>
    <col min="10001" max="10001" width="12.27734375" style="142" bestFit="1" customWidth="1"/>
    <col min="10002" max="10002" width="9.1640625" style="142" customWidth="1"/>
    <col min="10003" max="10003" width="10.83203125" style="142" bestFit="1" customWidth="1"/>
    <col min="10004" max="10004" width="12.27734375" style="142" bestFit="1" customWidth="1"/>
    <col min="10005" max="10005" width="8" style="142" customWidth="1"/>
    <col min="10006" max="10006" width="10.83203125" style="142" bestFit="1" customWidth="1"/>
    <col min="10007" max="10007" width="12.27734375" style="142" bestFit="1" customWidth="1"/>
    <col min="10008" max="10008" width="8.1640625" style="142" bestFit="1" customWidth="1"/>
    <col min="10009" max="10009" width="10.83203125" style="142" bestFit="1" customWidth="1"/>
    <col min="10010" max="10010" width="12.27734375" style="142" bestFit="1" customWidth="1"/>
    <col min="10011" max="10011" width="18.27734375" style="142" bestFit="1" customWidth="1"/>
    <col min="10012" max="10012" width="10.83203125" style="142" bestFit="1" customWidth="1"/>
    <col min="10013" max="10248" width="8.83203125" style="142"/>
    <col min="10249" max="10249" width="38.27734375" style="142" customWidth="1"/>
    <col min="10250" max="10250" width="23.44140625" style="142" bestFit="1" customWidth="1"/>
    <col min="10251" max="10252" width="9.1640625" style="142" customWidth="1"/>
    <col min="10253" max="10253" width="11.27734375" style="142" bestFit="1" customWidth="1"/>
    <col min="10254" max="10254" width="14.44140625" style="142" bestFit="1" customWidth="1"/>
    <col min="10255" max="10255" width="8.1640625" style="142" customWidth="1"/>
    <col min="10256" max="10256" width="10.83203125" style="142" bestFit="1" customWidth="1"/>
    <col min="10257" max="10257" width="12.27734375" style="142" bestFit="1" customWidth="1"/>
    <col min="10258" max="10258" width="9.1640625" style="142" customWidth="1"/>
    <col min="10259" max="10259" width="10.83203125" style="142" bestFit="1" customWidth="1"/>
    <col min="10260" max="10260" width="12.27734375" style="142" bestFit="1" customWidth="1"/>
    <col min="10261" max="10261" width="8" style="142" customWidth="1"/>
    <col min="10262" max="10262" width="10.83203125" style="142" bestFit="1" customWidth="1"/>
    <col min="10263" max="10263" width="12.27734375" style="142" bestFit="1" customWidth="1"/>
    <col min="10264" max="10264" width="8.1640625" style="142" bestFit="1" customWidth="1"/>
    <col min="10265" max="10265" width="10.83203125" style="142" bestFit="1" customWidth="1"/>
    <col min="10266" max="10266" width="12.27734375" style="142" bestFit="1" customWidth="1"/>
    <col min="10267" max="10267" width="18.27734375" style="142" bestFit="1" customWidth="1"/>
    <col min="10268" max="10268" width="10.83203125" style="142" bestFit="1" customWidth="1"/>
    <col min="10269" max="10504" width="8.83203125" style="142"/>
    <col min="10505" max="10505" width="38.27734375" style="142" customWidth="1"/>
    <col min="10506" max="10506" width="23.44140625" style="142" bestFit="1" customWidth="1"/>
    <col min="10507" max="10508" width="9.1640625" style="142" customWidth="1"/>
    <col min="10509" max="10509" width="11.27734375" style="142" bestFit="1" customWidth="1"/>
    <col min="10510" max="10510" width="14.44140625" style="142" bestFit="1" customWidth="1"/>
    <col min="10511" max="10511" width="8.1640625" style="142" customWidth="1"/>
    <col min="10512" max="10512" width="10.83203125" style="142" bestFit="1" customWidth="1"/>
    <col min="10513" max="10513" width="12.27734375" style="142" bestFit="1" customWidth="1"/>
    <col min="10514" max="10514" width="9.1640625" style="142" customWidth="1"/>
    <col min="10515" max="10515" width="10.83203125" style="142" bestFit="1" customWidth="1"/>
    <col min="10516" max="10516" width="12.27734375" style="142" bestFit="1" customWidth="1"/>
    <col min="10517" max="10517" width="8" style="142" customWidth="1"/>
    <col min="10518" max="10518" width="10.83203125" style="142" bestFit="1" customWidth="1"/>
    <col min="10519" max="10519" width="12.27734375" style="142" bestFit="1" customWidth="1"/>
    <col min="10520" max="10520" width="8.1640625" style="142" bestFit="1" customWidth="1"/>
    <col min="10521" max="10521" width="10.83203125" style="142" bestFit="1" customWidth="1"/>
    <col min="10522" max="10522" width="12.27734375" style="142" bestFit="1" customWidth="1"/>
    <col min="10523" max="10523" width="18.27734375" style="142" bestFit="1" customWidth="1"/>
    <col min="10524" max="10524" width="10.83203125" style="142" bestFit="1" customWidth="1"/>
    <col min="10525" max="10760" width="8.83203125" style="142"/>
    <col min="10761" max="10761" width="38.27734375" style="142" customWidth="1"/>
    <col min="10762" max="10762" width="23.44140625" style="142" bestFit="1" customWidth="1"/>
    <col min="10763" max="10764" width="9.1640625" style="142" customWidth="1"/>
    <col min="10765" max="10765" width="11.27734375" style="142" bestFit="1" customWidth="1"/>
    <col min="10766" max="10766" width="14.44140625" style="142" bestFit="1" customWidth="1"/>
    <col min="10767" max="10767" width="8.1640625" style="142" customWidth="1"/>
    <col min="10768" max="10768" width="10.83203125" style="142" bestFit="1" customWidth="1"/>
    <col min="10769" max="10769" width="12.27734375" style="142" bestFit="1" customWidth="1"/>
    <col min="10770" max="10770" width="9.1640625" style="142" customWidth="1"/>
    <col min="10771" max="10771" width="10.83203125" style="142" bestFit="1" customWidth="1"/>
    <col min="10772" max="10772" width="12.27734375" style="142" bestFit="1" customWidth="1"/>
    <col min="10773" max="10773" width="8" style="142" customWidth="1"/>
    <col min="10774" max="10774" width="10.83203125" style="142" bestFit="1" customWidth="1"/>
    <col min="10775" max="10775" width="12.27734375" style="142" bestFit="1" customWidth="1"/>
    <col min="10776" max="10776" width="8.1640625" style="142" bestFit="1" customWidth="1"/>
    <col min="10777" max="10777" width="10.83203125" style="142" bestFit="1" customWidth="1"/>
    <col min="10778" max="10778" width="12.27734375" style="142" bestFit="1" customWidth="1"/>
    <col min="10779" max="10779" width="18.27734375" style="142" bestFit="1" customWidth="1"/>
    <col min="10780" max="10780" width="10.83203125" style="142" bestFit="1" customWidth="1"/>
    <col min="10781" max="11016" width="8.83203125" style="142"/>
    <col min="11017" max="11017" width="38.27734375" style="142" customWidth="1"/>
    <col min="11018" max="11018" width="23.44140625" style="142" bestFit="1" customWidth="1"/>
    <col min="11019" max="11020" width="9.1640625" style="142" customWidth="1"/>
    <col min="11021" max="11021" width="11.27734375" style="142" bestFit="1" customWidth="1"/>
    <col min="11022" max="11022" width="14.44140625" style="142" bestFit="1" customWidth="1"/>
    <col min="11023" max="11023" width="8.1640625" style="142" customWidth="1"/>
    <col min="11024" max="11024" width="10.83203125" style="142" bestFit="1" customWidth="1"/>
    <col min="11025" max="11025" width="12.27734375" style="142" bestFit="1" customWidth="1"/>
    <col min="11026" max="11026" width="9.1640625" style="142" customWidth="1"/>
    <col min="11027" max="11027" width="10.83203125" style="142" bestFit="1" customWidth="1"/>
    <col min="11028" max="11028" width="12.27734375" style="142" bestFit="1" customWidth="1"/>
    <col min="11029" max="11029" width="8" style="142" customWidth="1"/>
    <col min="11030" max="11030" width="10.83203125" style="142" bestFit="1" customWidth="1"/>
    <col min="11031" max="11031" width="12.27734375" style="142" bestFit="1" customWidth="1"/>
    <col min="11032" max="11032" width="8.1640625" style="142" bestFit="1" customWidth="1"/>
    <col min="11033" max="11033" width="10.83203125" style="142" bestFit="1" customWidth="1"/>
    <col min="11034" max="11034" width="12.27734375" style="142" bestFit="1" customWidth="1"/>
    <col min="11035" max="11035" width="18.27734375" style="142" bestFit="1" customWidth="1"/>
    <col min="11036" max="11036" width="10.83203125" style="142" bestFit="1" customWidth="1"/>
    <col min="11037" max="11272" width="8.83203125" style="142"/>
    <col min="11273" max="11273" width="38.27734375" style="142" customWidth="1"/>
    <col min="11274" max="11274" width="23.44140625" style="142" bestFit="1" customWidth="1"/>
    <col min="11275" max="11276" width="9.1640625" style="142" customWidth="1"/>
    <col min="11277" max="11277" width="11.27734375" style="142" bestFit="1" customWidth="1"/>
    <col min="11278" max="11278" width="14.44140625" style="142" bestFit="1" customWidth="1"/>
    <col min="11279" max="11279" width="8.1640625" style="142" customWidth="1"/>
    <col min="11280" max="11280" width="10.83203125" style="142" bestFit="1" customWidth="1"/>
    <col min="11281" max="11281" width="12.27734375" style="142" bestFit="1" customWidth="1"/>
    <col min="11282" max="11282" width="9.1640625" style="142" customWidth="1"/>
    <col min="11283" max="11283" width="10.83203125" style="142" bestFit="1" customWidth="1"/>
    <col min="11284" max="11284" width="12.27734375" style="142" bestFit="1" customWidth="1"/>
    <col min="11285" max="11285" width="8" style="142" customWidth="1"/>
    <col min="11286" max="11286" width="10.83203125" style="142" bestFit="1" customWidth="1"/>
    <col min="11287" max="11287" width="12.27734375" style="142" bestFit="1" customWidth="1"/>
    <col min="11288" max="11288" width="8.1640625" style="142" bestFit="1" customWidth="1"/>
    <col min="11289" max="11289" width="10.83203125" style="142" bestFit="1" customWidth="1"/>
    <col min="11290" max="11290" width="12.27734375" style="142" bestFit="1" customWidth="1"/>
    <col min="11291" max="11291" width="18.27734375" style="142" bestFit="1" customWidth="1"/>
    <col min="11292" max="11292" width="10.83203125" style="142" bestFit="1" customWidth="1"/>
    <col min="11293" max="11528" width="8.83203125" style="142"/>
    <col min="11529" max="11529" width="38.27734375" style="142" customWidth="1"/>
    <col min="11530" max="11530" width="23.44140625" style="142" bestFit="1" customWidth="1"/>
    <col min="11531" max="11532" width="9.1640625" style="142" customWidth="1"/>
    <col min="11533" max="11533" width="11.27734375" style="142" bestFit="1" customWidth="1"/>
    <col min="11534" max="11534" width="14.44140625" style="142" bestFit="1" customWidth="1"/>
    <col min="11535" max="11535" width="8.1640625" style="142" customWidth="1"/>
    <col min="11536" max="11536" width="10.83203125" style="142" bestFit="1" customWidth="1"/>
    <col min="11537" max="11537" width="12.27734375" style="142" bestFit="1" customWidth="1"/>
    <col min="11538" max="11538" width="9.1640625" style="142" customWidth="1"/>
    <col min="11539" max="11539" width="10.83203125" style="142" bestFit="1" customWidth="1"/>
    <col min="11540" max="11540" width="12.27734375" style="142" bestFit="1" customWidth="1"/>
    <col min="11541" max="11541" width="8" style="142" customWidth="1"/>
    <col min="11542" max="11542" width="10.83203125" style="142" bestFit="1" customWidth="1"/>
    <col min="11543" max="11543" width="12.27734375" style="142" bestFit="1" customWidth="1"/>
    <col min="11544" max="11544" width="8.1640625" style="142" bestFit="1" customWidth="1"/>
    <col min="11545" max="11545" width="10.83203125" style="142" bestFit="1" customWidth="1"/>
    <col min="11546" max="11546" width="12.27734375" style="142" bestFit="1" customWidth="1"/>
    <col min="11547" max="11547" width="18.27734375" style="142" bestFit="1" customWidth="1"/>
    <col min="11548" max="11548" width="10.83203125" style="142" bestFit="1" customWidth="1"/>
    <col min="11549" max="11784" width="8.83203125" style="142"/>
    <col min="11785" max="11785" width="38.27734375" style="142" customWidth="1"/>
    <col min="11786" max="11786" width="23.44140625" style="142" bestFit="1" customWidth="1"/>
    <col min="11787" max="11788" width="9.1640625" style="142" customWidth="1"/>
    <col min="11789" max="11789" width="11.27734375" style="142" bestFit="1" customWidth="1"/>
    <col min="11790" max="11790" width="14.44140625" style="142" bestFit="1" customWidth="1"/>
    <col min="11791" max="11791" width="8.1640625" style="142" customWidth="1"/>
    <col min="11792" max="11792" width="10.83203125" style="142" bestFit="1" customWidth="1"/>
    <col min="11793" max="11793" width="12.27734375" style="142" bestFit="1" customWidth="1"/>
    <col min="11794" max="11794" width="9.1640625" style="142" customWidth="1"/>
    <col min="11795" max="11795" width="10.83203125" style="142" bestFit="1" customWidth="1"/>
    <col min="11796" max="11796" width="12.27734375" style="142" bestFit="1" customWidth="1"/>
    <col min="11797" max="11797" width="8" style="142" customWidth="1"/>
    <col min="11798" max="11798" width="10.83203125" style="142" bestFit="1" customWidth="1"/>
    <col min="11799" max="11799" width="12.27734375" style="142" bestFit="1" customWidth="1"/>
    <col min="11800" max="11800" width="8.1640625" style="142" bestFit="1" customWidth="1"/>
    <col min="11801" max="11801" width="10.83203125" style="142" bestFit="1" customWidth="1"/>
    <col min="11802" max="11802" width="12.27734375" style="142" bestFit="1" customWidth="1"/>
    <col min="11803" max="11803" width="18.27734375" style="142" bestFit="1" customWidth="1"/>
    <col min="11804" max="11804" width="10.83203125" style="142" bestFit="1" customWidth="1"/>
    <col min="11805" max="12040" width="8.83203125" style="142"/>
    <col min="12041" max="12041" width="38.27734375" style="142" customWidth="1"/>
    <col min="12042" max="12042" width="23.44140625" style="142" bestFit="1" customWidth="1"/>
    <col min="12043" max="12044" width="9.1640625" style="142" customWidth="1"/>
    <col min="12045" max="12045" width="11.27734375" style="142" bestFit="1" customWidth="1"/>
    <col min="12046" max="12046" width="14.44140625" style="142" bestFit="1" customWidth="1"/>
    <col min="12047" max="12047" width="8.1640625" style="142" customWidth="1"/>
    <col min="12048" max="12048" width="10.83203125" style="142" bestFit="1" customWidth="1"/>
    <col min="12049" max="12049" width="12.27734375" style="142" bestFit="1" customWidth="1"/>
    <col min="12050" max="12050" width="9.1640625" style="142" customWidth="1"/>
    <col min="12051" max="12051" width="10.83203125" style="142" bestFit="1" customWidth="1"/>
    <col min="12052" max="12052" width="12.27734375" style="142" bestFit="1" customWidth="1"/>
    <col min="12053" max="12053" width="8" style="142" customWidth="1"/>
    <col min="12054" max="12054" width="10.83203125" style="142" bestFit="1" customWidth="1"/>
    <col min="12055" max="12055" width="12.27734375" style="142" bestFit="1" customWidth="1"/>
    <col min="12056" max="12056" width="8.1640625" style="142" bestFit="1" customWidth="1"/>
    <col min="12057" max="12057" width="10.83203125" style="142" bestFit="1" customWidth="1"/>
    <col min="12058" max="12058" width="12.27734375" style="142" bestFit="1" customWidth="1"/>
    <col min="12059" max="12059" width="18.27734375" style="142" bestFit="1" customWidth="1"/>
    <col min="12060" max="12060" width="10.83203125" style="142" bestFit="1" customWidth="1"/>
    <col min="12061" max="12296" width="8.83203125" style="142"/>
    <col min="12297" max="12297" width="38.27734375" style="142" customWidth="1"/>
    <col min="12298" max="12298" width="23.44140625" style="142" bestFit="1" customWidth="1"/>
    <col min="12299" max="12300" width="9.1640625" style="142" customWidth="1"/>
    <col min="12301" max="12301" width="11.27734375" style="142" bestFit="1" customWidth="1"/>
    <col min="12302" max="12302" width="14.44140625" style="142" bestFit="1" customWidth="1"/>
    <col min="12303" max="12303" width="8.1640625" style="142" customWidth="1"/>
    <col min="12304" max="12304" width="10.83203125" style="142" bestFit="1" customWidth="1"/>
    <col min="12305" max="12305" width="12.27734375" style="142" bestFit="1" customWidth="1"/>
    <col min="12306" max="12306" width="9.1640625" style="142" customWidth="1"/>
    <col min="12307" max="12307" width="10.83203125" style="142" bestFit="1" customWidth="1"/>
    <col min="12308" max="12308" width="12.27734375" style="142" bestFit="1" customWidth="1"/>
    <col min="12309" max="12309" width="8" style="142" customWidth="1"/>
    <col min="12310" max="12310" width="10.83203125" style="142" bestFit="1" customWidth="1"/>
    <col min="12311" max="12311" width="12.27734375" style="142" bestFit="1" customWidth="1"/>
    <col min="12312" max="12312" width="8.1640625" style="142" bestFit="1" customWidth="1"/>
    <col min="12313" max="12313" width="10.83203125" style="142" bestFit="1" customWidth="1"/>
    <col min="12314" max="12314" width="12.27734375" style="142" bestFit="1" customWidth="1"/>
    <col min="12315" max="12315" width="18.27734375" style="142" bestFit="1" customWidth="1"/>
    <col min="12316" max="12316" width="10.83203125" style="142" bestFit="1" customWidth="1"/>
    <col min="12317" max="12552" width="8.83203125" style="142"/>
    <col min="12553" max="12553" width="38.27734375" style="142" customWidth="1"/>
    <col min="12554" max="12554" width="23.44140625" style="142" bestFit="1" customWidth="1"/>
    <col min="12555" max="12556" width="9.1640625" style="142" customWidth="1"/>
    <col min="12557" max="12557" width="11.27734375" style="142" bestFit="1" customWidth="1"/>
    <col min="12558" max="12558" width="14.44140625" style="142" bestFit="1" customWidth="1"/>
    <col min="12559" max="12559" width="8.1640625" style="142" customWidth="1"/>
    <col min="12560" max="12560" width="10.83203125" style="142" bestFit="1" customWidth="1"/>
    <col min="12561" max="12561" width="12.27734375" style="142" bestFit="1" customWidth="1"/>
    <col min="12562" max="12562" width="9.1640625" style="142" customWidth="1"/>
    <col min="12563" max="12563" width="10.83203125" style="142" bestFit="1" customWidth="1"/>
    <col min="12564" max="12564" width="12.27734375" style="142" bestFit="1" customWidth="1"/>
    <col min="12565" max="12565" width="8" style="142" customWidth="1"/>
    <col min="12566" max="12566" width="10.83203125" style="142" bestFit="1" customWidth="1"/>
    <col min="12567" max="12567" width="12.27734375" style="142" bestFit="1" customWidth="1"/>
    <col min="12568" max="12568" width="8.1640625" style="142" bestFit="1" customWidth="1"/>
    <col min="12569" max="12569" width="10.83203125" style="142" bestFit="1" customWidth="1"/>
    <col min="12570" max="12570" width="12.27734375" style="142" bestFit="1" customWidth="1"/>
    <col min="12571" max="12571" width="18.27734375" style="142" bestFit="1" customWidth="1"/>
    <col min="12572" max="12572" width="10.83203125" style="142" bestFit="1" customWidth="1"/>
    <col min="12573" max="12808" width="8.83203125" style="142"/>
    <col min="12809" max="12809" width="38.27734375" style="142" customWidth="1"/>
    <col min="12810" max="12810" width="23.44140625" style="142" bestFit="1" customWidth="1"/>
    <col min="12811" max="12812" width="9.1640625" style="142" customWidth="1"/>
    <col min="12813" max="12813" width="11.27734375" style="142" bestFit="1" customWidth="1"/>
    <col min="12814" max="12814" width="14.44140625" style="142" bestFit="1" customWidth="1"/>
    <col min="12815" max="12815" width="8.1640625" style="142" customWidth="1"/>
    <col min="12816" max="12816" width="10.83203125" style="142" bestFit="1" customWidth="1"/>
    <col min="12817" max="12817" width="12.27734375" style="142" bestFit="1" customWidth="1"/>
    <col min="12818" max="12818" width="9.1640625" style="142" customWidth="1"/>
    <col min="12819" max="12819" width="10.83203125" style="142" bestFit="1" customWidth="1"/>
    <col min="12820" max="12820" width="12.27734375" style="142" bestFit="1" customWidth="1"/>
    <col min="12821" max="12821" width="8" style="142" customWidth="1"/>
    <col min="12822" max="12822" width="10.83203125" style="142" bestFit="1" customWidth="1"/>
    <col min="12823" max="12823" width="12.27734375" style="142" bestFit="1" customWidth="1"/>
    <col min="12824" max="12824" width="8.1640625" style="142" bestFit="1" customWidth="1"/>
    <col min="12825" max="12825" width="10.83203125" style="142" bestFit="1" customWidth="1"/>
    <col min="12826" max="12826" width="12.27734375" style="142" bestFit="1" customWidth="1"/>
    <col min="12827" max="12827" width="18.27734375" style="142" bestFit="1" customWidth="1"/>
    <col min="12828" max="12828" width="10.83203125" style="142" bestFit="1" customWidth="1"/>
    <col min="12829" max="13064" width="8.83203125" style="142"/>
    <col min="13065" max="13065" width="38.27734375" style="142" customWidth="1"/>
    <col min="13066" max="13066" width="23.44140625" style="142" bestFit="1" customWidth="1"/>
    <col min="13067" max="13068" width="9.1640625" style="142" customWidth="1"/>
    <col min="13069" max="13069" width="11.27734375" style="142" bestFit="1" customWidth="1"/>
    <col min="13070" max="13070" width="14.44140625" style="142" bestFit="1" customWidth="1"/>
    <col min="13071" max="13071" width="8.1640625" style="142" customWidth="1"/>
    <col min="13072" max="13072" width="10.83203125" style="142" bestFit="1" customWidth="1"/>
    <col min="13073" max="13073" width="12.27734375" style="142" bestFit="1" customWidth="1"/>
    <col min="13074" max="13074" width="9.1640625" style="142" customWidth="1"/>
    <col min="13075" max="13075" width="10.83203125" style="142" bestFit="1" customWidth="1"/>
    <col min="13076" max="13076" width="12.27734375" style="142" bestFit="1" customWidth="1"/>
    <col min="13077" max="13077" width="8" style="142" customWidth="1"/>
    <col min="13078" max="13078" width="10.83203125" style="142" bestFit="1" customWidth="1"/>
    <col min="13079" max="13079" width="12.27734375" style="142" bestFit="1" customWidth="1"/>
    <col min="13080" max="13080" width="8.1640625" style="142" bestFit="1" customWidth="1"/>
    <col min="13081" max="13081" width="10.83203125" style="142" bestFit="1" customWidth="1"/>
    <col min="13082" max="13082" width="12.27734375" style="142" bestFit="1" customWidth="1"/>
    <col min="13083" max="13083" width="18.27734375" style="142" bestFit="1" customWidth="1"/>
    <col min="13084" max="13084" width="10.83203125" style="142" bestFit="1" customWidth="1"/>
    <col min="13085" max="13320" width="8.83203125" style="142"/>
    <col min="13321" max="13321" width="38.27734375" style="142" customWidth="1"/>
    <col min="13322" max="13322" width="23.44140625" style="142" bestFit="1" customWidth="1"/>
    <col min="13323" max="13324" width="9.1640625" style="142" customWidth="1"/>
    <col min="13325" max="13325" width="11.27734375" style="142" bestFit="1" customWidth="1"/>
    <col min="13326" max="13326" width="14.44140625" style="142" bestFit="1" customWidth="1"/>
    <col min="13327" max="13327" width="8.1640625" style="142" customWidth="1"/>
    <col min="13328" max="13328" width="10.83203125" style="142" bestFit="1" customWidth="1"/>
    <col min="13329" max="13329" width="12.27734375" style="142" bestFit="1" customWidth="1"/>
    <col min="13330" max="13330" width="9.1640625" style="142" customWidth="1"/>
    <col min="13331" max="13331" width="10.83203125" style="142" bestFit="1" customWidth="1"/>
    <col min="13332" max="13332" width="12.27734375" style="142" bestFit="1" customWidth="1"/>
    <col min="13333" max="13333" width="8" style="142" customWidth="1"/>
    <col min="13334" max="13334" width="10.83203125" style="142" bestFit="1" customWidth="1"/>
    <col min="13335" max="13335" width="12.27734375" style="142" bestFit="1" customWidth="1"/>
    <col min="13336" max="13336" width="8.1640625" style="142" bestFit="1" customWidth="1"/>
    <col min="13337" max="13337" width="10.83203125" style="142" bestFit="1" customWidth="1"/>
    <col min="13338" max="13338" width="12.27734375" style="142" bestFit="1" customWidth="1"/>
    <col min="13339" max="13339" width="18.27734375" style="142" bestFit="1" customWidth="1"/>
    <col min="13340" max="13340" width="10.83203125" style="142" bestFit="1" customWidth="1"/>
    <col min="13341" max="13576" width="8.83203125" style="142"/>
    <col min="13577" max="13577" width="38.27734375" style="142" customWidth="1"/>
    <col min="13578" max="13578" width="23.44140625" style="142" bestFit="1" customWidth="1"/>
    <col min="13579" max="13580" width="9.1640625" style="142" customWidth="1"/>
    <col min="13581" max="13581" width="11.27734375" style="142" bestFit="1" customWidth="1"/>
    <col min="13582" max="13582" width="14.44140625" style="142" bestFit="1" customWidth="1"/>
    <col min="13583" max="13583" width="8.1640625" style="142" customWidth="1"/>
    <col min="13584" max="13584" width="10.83203125" style="142" bestFit="1" customWidth="1"/>
    <col min="13585" max="13585" width="12.27734375" style="142" bestFit="1" customWidth="1"/>
    <col min="13586" max="13586" width="9.1640625" style="142" customWidth="1"/>
    <col min="13587" max="13587" width="10.83203125" style="142" bestFit="1" customWidth="1"/>
    <col min="13588" max="13588" width="12.27734375" style="142" bestFit="1" customWidth="1"/>
    <col min="13589" max="13589" width="8" style="142" customWidth="1"/>
    <col min="13590" max="13590" width="10.83203125" style="142" bestFit="1" customWidth="1"/>
    <col min="13591" max="13591" width="12.27734375" style="142" bestFit="1" customWidth="1"/>
    <col min="13592" max="13592" width="8.1640625" style="142" bestFit="1" customWidth="1"/>
    <col min="13593" max="13593" width="10.83203125" style="142" bestFit="1" customWidth="1"/>
    <col min="13594" max="13594" width="12.27734375" style="142" bestFit="1" customWidth="1"/>
    <col min="13595" max="13595" width="18.27734375" style="142" bestFit="1" customWidth="1"/>
    <col min="13596" max="13596" width="10.83203125" style="142" bestFit="1" customWidth="1"/>
    <col min="13597" max="13832" width="8.83203125" style="142"/>
    <col min="13833" max="13833" width="38.27734375" style="142" customWidth="1"/>
    <col min="13834" max="13834" width="23.44140625" style="142" bestFit="1" customWidth="1"/>
    <col min="13835" max="13836" width="9.1640625" style="142" customWidth="1"/>
    <col min="13837" max="13837" width="11.27734375" style="142" bestFit="1" customWidth="1"/>
    <col min="13838" max="13838" width="14.44140625" style="142" bestFit="1" customWidth="1"/>
    <col min="13839" max="13839" width="8.1640625" style="142" customWidth="1"/>
    <col min="13840" max="13840" width="10.83203125" style="142" bestFit="1" customWidth="1"/>
    <col min="13841" max="13841" width="12.27734375" style="142" bestFit="1" customWidth="1"/>
    <col min="13842" max="13842" width="9.1640625" style="142" customWidth="1"/>
    <col min="13843" max="13843" width="10.83203125" style="142" bestFit="1" customWidth="1"/>
    <col min="13844" max="13844" width="12.27734375" style="142" bestFit="1" customWidth="1"/>
    <col min="13845" max="13845" width="8" style="142" customWidth="1"/>
    <col min="13846" max="13846" width="10.83203125" style="142" bestFit="1" customWidth="1"/>
    <col min="13847" max="13847" width="12.27734375" style="142" bestFit="1" customWidth="1"/>
    <col min="13848" max="13848" width="8.1640625" style="142" bestFit="1" customWidth="1"/>
    <col min="13849" max="13849" width="10.83203125" style="142" bestFit="1" customWidth="1"/>
    <col min="13850" max="13850" width="12.27734375" style="142" bestFit="1" customWidth="1"/>
    <col min="13851" max="13851" width="18.27734375" style="142" bestFit="1" customWidth="1"/>
    <col min="13852" max="13852" width="10.83203125" style="142" bestFit="1" customWidth="1"/>
    <col min="13853" max="14088" width="8.83203125" style="142"/>
    <col min="14089" max="14089" width="38.27734375" style="142" customWidth="1"/>
    <col min="14090" max="14090" width="23.44140625" style="142" bestFit="1" customWidth="1"/>
    <col min="14091" max="14092" width="9.1640625" style="142" customWidth="1"/>
    <col min="14093" max="14093" width="11.27734375" style="142" bestFit="1" customWidth="1"/>
    <col min="14094" max="14094" width="14.44140625" style="142" bestFit="1" customWidth="1"/>
    <col min="14095" max="14095" width="8.1640625" style="142" customWidth="1"/>
    <col min="14096" max="14096" width="10.83203125" style="142" bestFit="1" customWidth="1"/>
    <col min="14097" max="14097" width="12.27734375" style="142" bestFit="1" customWidth="1"/>
    <col min="14098" max="14098" width="9.1640625" style="142" customWidth="1"/>
    <col min="14099" max="14099" width="10.83203125" style="142" bestFit="1" customWidth="1"/>
    <col min="14100" max="14100" width="12.27734375" style="142" bestFit="1" customWidth="1"/>
    <col min="14101" max="14101" width="8" style="142" customWidth="1"/>
    <col min="14102" max="14102" width="10.83203125" style="142" bestFit="1" customWidth="1"/>
    <col min="14103" max="14103" width="12.27734375" style="142" bestFit="1" customWidth="1"/>
    <col min="14104" max="14104" width="8.1640625" style="142" bestFit="1" customWidth="1"/>
    <col min="14105" max="14105" width="10.83203125" style="142" bestFit="1" customWidth="1"/>
    <col min="14106" max="14106" width="12.27734375" style="142" bestFit="1" customWidth="1"/>
    <col min="14107" max="14107" width="18.27734375" style="142" bestFit="1" customWidth="1"/>
    <col min="14108" max="14108" width="10.83203125" style="142" bestFit="1" customWidth="1"/>
    <col min="14109" max="14344" width="8.83203125" style="142"/>
    <col min="14345" max="14345" width="38.27734375" style="142" customWidth="1"/>
    <col min="14346" max="14346" width="23.44140625" style="142" bestFit="1" customWidth="1"/>
    <col min="14347" max="14348" width="9.1640625" style="142" customWidth="1"/>
    <col min="14349" max="14349" width="11.27734375" style="142" bestFit="1" customWidth="1"/>
    <col min="14350" max="14350" width="14.44140625" style="142" bestFit="1" customWidth="1"/>
    <col min="14351" max="14351" width="8.1640625" style="142" customWidth="1"/>
    <col min="14352" max="14352" width="10.83203125" style="142" bestFit="1" customWidth="1"/>
    <col min="14353" max="14353" width="12.27734375" style="142" bestFit="1" customWidth="1"/>
    <col min="14354" max="14354" width="9.1640625" style="142" customWidth="1"/>
    <col min="14355" max="14355" width="10.83203125" style="142" bestFit="1" customWidth="1"/>
    <col min="14356" max="14356" width="12.27734375" style="142" bestFit="1" customWidth="1"/>
    <col min="14357" max="14357" width="8" style="142" customWidth="1"/>
    <col min="14358" max="14358" width="10.83203125" style="142" bestFit="1" customWidth="1"/>
    <col min="14359" max="14359" width="12.27734375" style="142" bestFit="1" customWidth="1"/>
    <col min="14360" max="14360" width="8.1640625" style="142" bestFit="1" customWidth="1"/>
    <col min="14361" max="14361" width="10.83203125" style="142" bestFit="1" customWidth="1"/>
    <col min="14362" max="14362" width="12.27734375" style="142" bestFit="1" customWidth="1"/>
    <col min="14363" max="14363" width="18.27734375" style="142" bestFit="1" customWidth="1"/>
    <col min="14364" max="14364" width="10.83203125" style="142" bestFit="1" customWidth="1"/>
    <col min="14365" max="14600" width="8.83203125" style="142"/>
    <col min="14601" max="14601" width="38.27734375" style="142" customWidth="1"/>
    <col min="14602" max="14602" width="23.44140625" style="142" bestFit="1" customWidth="1"/>
    <col min="14603" max="14604" width="9.1640625" style="142" customWidth="1"/>
    <col min="14605" max="14605" width="11.27734375" style="142" bestFit="1" customWidth="1"/>
    <col min="14606" max="14606" width="14.44140625" style="142" bestFit="1" customWidth="1"/>
    <col min="14607" max="14607" width="8.1640625" style="142" customWidth="1"/>
    <col min="14608" max="14608" width="10.83203125" style="142" bestFit="1" customWidth="1"/>
    <col min="14609" max="14609" width="12.27734375" style="142" bestFit="1" customWidth="1"/>
    <col min="14610" max="14610" width="9.1640625" style="142" customWidth="1"/>
    <col min="14611" max="14611" width="10.83203125" style="142" bestFit="1" customWidth="1"/>
    <col min="14612" max="14612" width="12.27734375" style="142" bestFit="1" customWidth="1"/>
    <col min="14613" max="14613" width="8" style="142" customWidth="1"/>
    <col min="14614" max="14614" width="10.83203125" style="142" bestFit="1" customWidth="1"/>
    <col min="14615" max="14615" width="12.27734375" style="142" bestFit="1" customWidth="1"/>
    <col min="14616" max="14616" width="8.1640625" style="142" bestFit="1" customWidth="1"/>
    <col min="14617" max="14617" width="10.83203125" style="142" bestFit="1" customWidth="1"/>
    <col min="14618" max="14618" width="12.27734375" style="142" bestFit="1" customWidth="1"/>
    <col min="14619" max="14619" width="18.27734375" style="142" bestFit="1" customWidth="1"/>
    <col min="14620" max="14620" width="10.83203125" style="142" bestFit="1" customWidth="1"/>
    <col min="14621" max="14856" width="8.83203125" style="142"/>
    <col min="14857" max="14857" width="38.27734375" style="142" customWidth="1"/>
    <col min="14858" max="14858" width="23.44140625" style="142" bestFit="1" customWidth="1"/>
    <col min="14859" max="14860" width="9.1640625" style="142" customWidth="1"/>
    <col min="14861" max="14861" width="11.27734375" style="142" bestFit="1" customWidth="1"/>
    <col min="14862" max="14862" width="14.44140625" style="142" bestFit="1" customWidth="1"/>
    <col min="14863" max="14863" width="8.1640625" style="142" customWidth="1"/>
    <col min="14864" max="14864" width="10.83203125" style="142" bestFit="1" customWidth="1"/>
    <col min="14865" max="14865" width="12.27734375" style="142" bestFit="1" customWidth="1"/>
    <col min="14866" max="14866" width="9.1640625" style="142" customWidth="1"/>
    <col min="14867" max="14867" width="10.83203125" style="142" bestFit="1" customWidth="1"/>
    <col min="14868" max="14868" width="12.27734375" style="142" bestFit="1" customWidth="1"/>
    <col min="14869" max="14869" width="8" style="142" customWidth="1"/>
    <col min="14870" max="14870" width="10.83203125" style="142" bestFit="1" customWidth="1"/>
    <col min="14871" max="14871" width="12.27734375" style="142" bestFit="1" customWidth="1"/>
    <col min="14872" max="14872" width="8.1640625" style="142" bestFit="1" customWidth="1"/>
    <col min="14873" max="14873" width="10.83203125" style="142" bestFit="1" customWidth="1"/>
    <col min="14874" max="14874" width="12.27734375" style="142" bestFit="1" customWidth="1"/>
    <col min="14875" max="14875" width="18.27734375" style="142" bestFit="1" customWidth="1"/>
    <col min="14876" max="14876" width="10.83203125" style="142" bestFit="1" customWidth="1"/>
    <col min="14877" max="15112" width="8.83203125" style="142"/>
    <col min="15113" max="15113" width="38.27734375" style="142" customWidth="1"/>
    <col min="15114" max="15114" width="23.44140625" style="142" bestFit="1" customWidth="1"/>
    <col min="15115" max="15116" width="9.1640625" style="142" customWidth="1"/>
    <col min="15117" max="15117" width="11.27734375" style="142" bestFit="1" customWidth="1"/>
    <col min="15118" max="15118" width="14.44140625" style="142" bestFit="1" customWidth="1"/>
    <col min="15119" max="15119" width="8.1640625" style="142" customWidth="1"/>
    <col min="15120" max="15120" width="10.83203125" style="142" bestFit="1" customWidth="1"/>
    <col min="15121" max="15121" width="12.27734375" style="142" bestFit="1" customWidth="1"/>
    <col min="15122" max="15122" width="9.1640625" style="142" customWidth="1"/>
    <col min="15123" max="15123" width="10.83203125" style="142" bestFit="1" customWidth="1"/>
    <col min="15124" max="15124" width="12.27734375" style="142" bestFit="1" customWidth="1"/>
    <col min="15125" max="15125" width="8" style="142" customWidth="1"/>
    <col min="15126" max="15126" width="10.83203125" style="142" bestFit="1" customWidth="1"/>
    <col min="15127" max="15127" width="12.27734375" style="142" bestFit="1" customWidth="1"/>
    <col min="15128" max="15128" width="8.1640625" style="142" bestFit="1" customWidth="1"/>
    <col min="15129" max="15129" width="10.83203125" style="142" bestFit="1" customWidth="1"/>
    <col min="15130" max="15130" width="12.27734375" style="142" bestFit="1" customWidth="1"/>
    <col min="15131" max="15131" width="18.27734375" style="142" bestFit="1" customWidth="1"/>
    <col min="15132" max="15132" width="10.83203125" style="142" bestFit="1" customWidth="1"/>
    <col min="15133" max="15368" width="8.83203125" style="142"/>
    <col min="15369" max="15369" width="38.27734375" style="142" customWidth="1"/>
    <col min="15370" max="15370" width="23.44140625" style="142" bestFit="1" customWidth="1"/>
    <col min="15371" max="15372" width="9.1640625" style="142" customWidth="1"/>
    <col min="15373" max="15373" width="11.27734375" style="142" bestFit="1" customWidth="1"/>
    <col min="15374" max="15374" width="14.44140625" style="142" bestFit="1" customWidth="1"/>
    <col min="15375" max="15375" width="8.1640625" style="142" customWidth="1"/>
    <col min="15376" max="15376" width="10.83203125" style="142" bestFit="1" customWidth="1"/>
    <col min="15377" max="15377" width="12.27734375" style="142" bestFit="1" customWidth="1"/>
    <col min="15378" max="15378" width="9.1640625" style="142" customWidth="1"/>
    <col min="15379" max="15379" width="10.83203125" style="142" bestFit="1" customWidth="1"/>
    <col min="15380" max="15380" width="12.27734375" style="142" bestFit="1" customWidth="1"/>
    <col min="15381" max="15381" width="8" style="142" customWidth="1"/>
    <col min="15382" max="15382" width="10.83203125" style="142" bestFit="1" customWidth="1"/>
    <col min="15383" max="15383" width="12.27734375" style="142" bestFit="1" customWidth="1"/>
    <col min="15384" max="15384" width="8.1640625" style="142" bestFit="1" customWidth="1"/>
    <col min="15385" max="15385" width="10.83203125" style="142" bestFit="1" customWidth="1"/>
    <col min="15386" max="15386" width="12.27734375" style="142" bestFit="1" customWidth="1"/>
    <col min="15387" max="15387" width="18.27734375" style="142" bestFit="1" customWidth="1"/>
    <col min="15388" max="15388" width="10.83203125" style="142" bestFit="1" customWidth="1"/>
    <col min="15389" max="15624" width="8.83203125" style="142"/>
    <col min="15625" max="15625" width="38.27734375" style="142" customWidth="1"/>
    <col min="15626" max="15626" width="23.44140625" style="142" bestFit="1" customWidth="1"/>
    <col min="15627" max="15628" width="9.1640625" style="142" customWidth="1"/>
    <col min="15629" max="15629" width="11.27734375" style="142" bestFit="1" customWidth="1"/>
    <col min="15630" max="15630" width="14.44140625" style="142" bestFit="1" customWidth="1"/>
    <col min="15631" max="15631" width="8.1640625" style="142" customWidth="1"/>
    <col min="15632" max="15632" width="10.83203125" style="142" bestFit="1" customWidth="1"/>
    <col min="15633" max="15633" width="12.27734375" style="142" bestFit="1" customWidth="1"/>
    <col min="15634" max="15634" width="9.1640625" style="142" customWidth="1"/>
    <col min="15635" max="15635" width="10.83203125" style="142" bestFit="1" customWidth="1"/>
    <col min="15636" max="15636" width="12.27734375" style="142" bestFit="1" customWidth="1"/>
    <col min="15637" max="15637" width="8" style="142" customWidth="1"/>
    <col min="15638" max="15638" width="10.83203125" style="142" bestFit="1" customWidth="1"/>
    <col min="15639" max="15639" width="12.27734375" style="142" bestFit="1" customWidth="1"/>
    <col min="15640" max="15640" width="8.1640625" style="142" bestFit="1" customWidth="1"/>
    <col min="15641" max="15641" width="10.83203125" style="142" bestFit="1" customWidth="1"/>
    <col min="15642" max="15642" width="12.27734375" style="142" bestFit="1" customWidth="1"/>
    <col min="15643" max="15643" width="18.27734375" style="142" bestFit="1" customWidth="1"/>
    <col min="15644" max="15644" width="10.83203125" style="142" bestFit="1" customWidth="1"/>
    <col min="15645" max="15880" width="8.83203125" style="142"/>
    <col min="15881" max="15881" width="38.27734375" style="142" customWidth="1"/>
    <col min="15882" max="15882" width="23.44140625" style="142" bestFit="1" customWidth="1"/>
    <col min="15883" max="15884" width="9.1640625" style="142" customWidth="1"/>
    <col min="15885" max="15885" width="11.27734375" style="142" bestFit="1" customWidth="1"/>
    <col min="15886" max="15886" width="14.44140625" style="142" bestFit="1" customWidth="1"/>
    <col min="15887" max="15887" width="8.1640625" style="142" customWidth="1"/>
    <col min="15888" max="15888" width="10.83203125" style="142" bestFit="1" customWidth="1"/>
    <col min="15889" max="15889" width="12.27734375" style="142" bestFit="1" customWidth="1"/>
    <col min="15890" max="15890" width="9.1640625" style="142" customWidth="1"/>
    <col min="15891" max="15891" width="10.83203125" style="142" bestFit="1" customWidth="1"/>
    <col min="15892" max="15892" width="12.27734375" style="142" bestFit="1" customWidth="1"/>
    <col min="15893" max="15893" width="8" style="142" customWidth="1"/>
    <col min="15894" max="15894" width="10.83203125" style="142" bestFit="1" customWidth="1"/>
    <col min="15895" max="15895" width="12.27734375" style="142" bestFit="1" customWidth="1"/>
    <col min="15896" max="15896" width="8.1640625" style="142" bestFit="1" customWidth="1"/>
    <col min="15897" max="15897" width="10.83203125" style="142" bestFit="1" customWidth="1"/>
    <col min="15898" max="15898" width="12.27734375" style="142" bestFit="1" customWidth="1"/>
    <col min="15899" max="15899" width="18.27734375" style="142" bestFit="1" customWidth="1"/>
    <col min="15900" max="15900" width="10.83203125" style="142" bestFit="1" customWidth="1"/>
    <col min="15901" max="16136" width="8.83203125" style="142"/>
    <col min="16137" max="16137" width="38.27734375" style="142" customWidth="1"/>
    <col min="16138" max="16138" width="23.44140625" style="142" bestFit="1" customWidth="1"/>
    <col min="16139" max="16140" width="9.1640625" style="142" customWidth="1"/>
    <col min="16141" max="16141" width="11.27734375" style="142" bestFit="1" customWidth="1"/>
    <col min="16142" max="16142" width="14.44140625" style="142" bestFit="1" customWidth="1"/>
    <col min="16143" max="16143" width="8.1640625" style="142" customWidth="1"/>
    <col min="16144" max="16144" width="10.83203125" style="142" bestFit="1" customWidth="1"/>
    <col min="16145" max="16145" width="12.27734375" style="142" bestFit="1" customWidth="1"/>
    <col min="16146" max="16146" width="9.1640625" style="142" customWidth="1"/>
    <col min="16147" max="16147" width="10.83203125" style="142" bestFit="1" customWidth="1"/>
    <col min="16148" max="16148" width="12.27734375" style="142" bestFit="1" customWidth="1"/>
    <col min="16149" max="16149" width="8" style="142" customWidth="1"/>
    <col min="16150" max="16150" width="10.83203125" style="142" bestFit="1" customWidth="1"/>
    <col min="16151" max="16151" width="12.27734375" style="142" bestFit="1" customWidth="1"/>
    <col min="16152" max="16152" width="8.1640625" style="142" bestFit="1" customWidth="1"/>
    <col min="16153" max="16153" width="10.83203125" style="142" bestFit="1" customWidth="1"/>
    <col min="16154" max="16154" width="12.27734375" style="142" bestFit="1" customWidth="1"/>
    <col min="16155" max="16155" width="18.27734375" style="142" bestFit="1" customWidth="1"/>
    <col min="16156" max="16156" width="10.83203125" style="142" bestFit="1" customWidth="1"/>
    <col min="16157" max="16384" width="8.83203125" style="142"/>
  </cols>
  <sheetData>
    <row r="1" spans="1:36" ht="14.7" thickBot="1"/>
    <row r="2" spans="1:36" ht="23.5" customHeight="1">
      <c r="A2" s="591" t="s">
        <v>62</v>
      </c>
      <c r="B2" s="587" t="s">
        <v>63</v>
      </c>
      <c r="C2" s="580" t="s">
        <v>64</v>
      </c>
      <c r="D2" s="581"/>
      <c r="E2" s="581"/>
      <c r="F2" s="582"/>
      <c r="G2" s="580" t="s">
        <v>65</v>
      </c>
      <c r="H2" s="581"/>
      <c r="I2" s="581"/>
      <c r="J2" s="582"/>
      <c r="K2" s="580" t="s">
        <v>66</v>
      </c>
      <c r="L2" s="581"/>
      <c r="M2" s="581"/>
      <c r="N2" s="582"/>
      <c r="O2" s="580" t="s">
        <v>67</v>
      </c>
      <c r="P2" s="581"/>
      <c r="Q2" s="581"/>
      <c r="R2" s="582"/>
      <c r="S2" s="580" t="s">
        <v>68</v>
      </c>
      <c r="T2" s="581"/>
      <c r="U2" s="581"/>
      <c r="V2" s="582"/>
      <c r="W2" s="589" t="s">
        <v>69</v>
      </c>
      <c r="AE2" s="148"/>
    </row>
    <row r="3" spans="1:36" ht="40.799999999999997">
      <c r="A3" s="592"/>
      <c r="B3" s="588"/>
      <c r="C3" s="149" t="s">
        <v>70</v>
      </c>
      <c r="D3" s="150" t="s">
        <v>71</v>
      </c>
      <c r="E3" s="151" t="s">
        <v>72</v>
      </c>
      <c r="F3" s="152" t="s">
        <v>69</v>
      </c>
      <c r="G3" s="149" t="s">
        <v>70</v>
      </c>
      <c r="H3" s="150" t="s">
        <v>71</v>
      </c>
      <c r="I3" s="153" t="s">
        <v>72</v>
      </c>
      <c r="J3" s="154" t="s">
        <v>69</v>
      </c>
      <c r="K3" s="149" t="s">
        <v>70</v>
      </c>
      <c r="L3" s="150" t="s">
        <v>71</v>
      </c>
      <c r="M3" s="151" t="s">
        <v>72</v>
      </c>
      <c r="N3" s="154" t="s">
        <v>69</v>
      </c>
      <c r="O3" s="149" t="s">
        <v>70</v>
      </c>
      <c r="P3" s="150" t="s">
        <v>71</v>
      </c>
      <c r="Q3" s="153" t="s">
        <v>72</v>
      </c>
      <c r="R3" s="154" t="s">
        <v>69</v>
      </c>
      <c r="S3" s="149" t="s">
        <v>70</v>
      </c>
      <c r="T3" s="150" t="s">
        <v>71</v>
      </c>
      <c r="U3" s="153" t="s">
        <v>72</v>
      </c>
      <c r="V3" s="154" t="s">
        <v>69</v>
      </c>
      <c r="W3" s="590"/>
      <c r="AE3" s="148"/>
      <c r="AF3" s="142" t="s">
        <v>116</v>
      </c>
    </row>
    <row r="4" spans="1:36" ht="20.399999999999999">
      <c r="A4" s="311" t="s">
        <v>73</v>
      </c>
      <c r="B4" s="155"/>
      <c r="C4" s="156"/>
      <c r="D4" s="157"/>
      <c r="E4" s="158"/>
      <c r="F4" s="159"/>
      <c r="G4" s="156"/>
      <c r="H4" s="157"/>
      <c r="I4" s="160"/>
      <c r="J4" s="161"/>
      <c r="K4" s="156"/>
      <c r="L4" s="157"/>
      <c r="M4" s="158"/>
      <c r="N4" s="161"/>
      <c r="O4" s="162"/>
      <c r="P4" s="157"/>
      <c r="Q4" s="160"/>
      <c r="R4" s="161"/>
      <c r="S4" s="162"/>
      <c r="T4" s="157"/>
      <c r="U4" s="160"/>
      <c r="V4" s="163"/>
      <c r="W4" s="318"/>
      <c r="AE4" s="164" t="s">
        <v>117</v>
      </c>
      <c r="AF4" s="164" t="s">
        <v>118</v>
      </c>
      <c r="AG4" s="164" t="s">
        <v>119</v>
      </c>
    </row>
    <row r="5" spans="1:36" s="175" customFormat="1" ht="16.5" customHeight="1" outlineLevel="1">
      <c r="A5" s="165" t="s">
        <v>47</v>
      </c>
      <c r="B5" s="166"/>
      <c r="C5" s="167"/>
      <c r="D5" s="168"/>
      <c r="E5" s="169"/>
      <c r="F5" s="170"/>
      <c r="G5" s="167"/>
      <c r="H5" s="168"/>
      <c r="I5" s="171"/>
      <c r="J5" s="172"/>
      <c r="K5" s="167"/>
      <c r="L5" s="168"/>
      <c r="M5" s="169"/>
      <c r="N5" s="172"/>
      <c r="O5" s="167"/>
      <c r="P5" s="168"/>
      <c r="Q5" s="171"/>
      <c r="R5" s="172"/>
      <c r="S5" s="167"/>
      <c r="T5" s="168"/>
      <c r="U5" s="171"/>
      <c r="V5" s="172"/>
      <c r="W5" s="319"/>
      <c r="X5" s="174"/>
      <c r="Y5" s="142"/>
      <c r="Z5" s="142"/>
      <c r="AA5" s="142"/>
      <c r="AB5" s="142"/>
      <c r="AC5" s="142"/>
      <c r="AD5" s="142"/>
      <c r="AE5" s="148"/>
    </row>
    <row r="6" spans="1:36" s="175" customFormat="1" ht="15.6" outlineLevel="1">
      <c r="A6" s="176" t="s">
        <v>74</v>
      </c>
      <c r="B6" s="177"/>
      <c r="C6" s="167"/>
      <c r="D6" s="168"/>
      <c r="E6" s="169"/>
      <c r="F6" s="170"/>
      <c r="G6" s="167"/>
      <c r="H6" s="168"/>
      <c r="I6" s="171"/>
      <c r="J6" s="172"/>
      <c r="K6" s="167"/>
      <c r="L6" s="168"/>
      <c r="M6" s="169"/>
      <c r="N6" s="172"/>
      <c r="O6" s="167"/>
      <c r="P6" s="168"/>
      <c r="Q6" s="171"/>
      <c r="R6" s="172"/>
      <c r="S6" s="167"/>
      <c r="T6" s="168"/>
      <c r="U6" s="171"/>
      <c r="V6" s="172"/>
      <c r="W6" s="319"/>
      <c r="X6" s="178"/>
      <c r="Y6" s="142"/>
      <c r="Z6" s="142"/>
      <c r="AA6" s="142"/>
      <c r="AB6" s="142"/>
      <c r="AC6" s="142"/>
      <c r="AD6" s="142"/>
      <c r="AE6" s="148"/>
    </row>
    <row r="7" spans="1:36" outlineLevel="1">
      <c r="A7" s="179" t="s">
        <v>75</v>
      </c>
      <c r="B7" s="202"/>
      <c r="D7" s="251"/>
      <c r="F7" s="184">
        <f>C7*D7*E7</f>
        <v>0</v>
      </c>
      <c r="H7" s="251"/>
      <c r="I7" s="145"/>
      <c r="J7" s="184">
        <f>G7*H7*I7</f>
        <v>0</v>
      </c>
      <c r="L7" s="251"/>
      <c r="N7" s="184">
        <f>K7*L7*M7</f>
        <v>0</v>
      </c>
      <c r="P7" s="251"/>
      <c r="Q7" s="145"/>
      <c r="R7" s="184">
        <f>O7*P7*Q7</f>
        <v>0</v>
      </c>
      <c r="T7" s="251"/>
      <c r="U7" s="145"/>
      <c r="V7" s="184">
        <f>S7*T7*U7</f>
        <v>0</v>
      </c>
      <c r="W7" s="192">
        <f t="shared" ref="W7" si="0">F7+J7+N7+R7+V7</f>
        <v>0</v>
      </c>
      <c r="AE7" s="148"/>
      <c r="AF7" s="189"/>
      <c r="AG7" s="189"/>
    </row>
    <row r="8" spans="1:36" ht="15" customHeight="1" outlineLevel="1">
      <c r="A8" s="194" t="s">
        <v>76</v>
      </c>
      <c r="B8" s="195"/>
      <c r="C8" s="196"/>
      <c r="D8" s="197"/>
      <c r="E8" s="198"/>
      <c r="F8" s="199">
        <f>SUM(F7:F7)</f>
        <v>0</v>
      </c>
      <c r="G8" s="196"/>
      <c r="H8" s="197"/>
      <c r="I8" s="200"/>
      <c r="J8" s="199">
        <f>SUM(J7:J7)</f>
        <v>0</v>
      </c>
      <c r="K8" s="196"/>
      <c r="L8" s="197"/>
      <c r="M8" s="198"/>
      <c r="N8" s="199">
        <f>SUM(N7:N7)</f>
        <v>0</v>
      </c>
      <c r="O8" s="196"/>
      <c r="P8" s="197"/>
      <c r="Q8" s="200"/>
      <c r="R8" s="199">
        <f>SUM(R7:R7)</f>
        <v>0</v>
      </c>
      <c r="S8" s="196"/>
      <c r="T8" s="197"/>
      <c r="U8" s="200"/>
      <c r="V8" s="199">
        <f>SUM(V7:V7)</f>
        <v>0</v>
      </c>
      <c r="W8" s="321">
        <f>+F8+J8+N8+R8+V8</f>
        <v>0</v>
      </c>
      <c r="AE8" s="148"/>
      <c r="AF8" s="189"/>
      <c r="AG8" s="189" t="s">
        <v>120</v>
      </c>
    </row>
    <row r="9" spans="1:36" s="175" customFormat="1" ht="15" customHeight="1" outlineLevel="1">
      <c r="A9" s="176" t="s">
        <v>77</v>
      </c>
      <c r="B9" s="202"/>
      <c r="C9" s="203"/>
      <c r="D9" s="204"/>
      <c r="E9" s="205"/>
      <c r="F9" s="184"/>
      <c r="G9" s="203"/>
      <c r="H9" s="204"/>
      <c r="I9" s="206"/>
      <c r="J9" s="186"/>
      <c r="K9" s="203"/>
      <c r="L9" s="204"/>
      <c r="M9" s="205"/>
      <c r="N9" s="186"/>
      <c r="O9" s="203"/>
      <c r="P9" s="204"/>
      <c r="Q9" s="206"/>
      <c r="R9" s="186"/>
      <c r="S9" s="203"/>
      <c r="T9" s="204"/>
      <c r="U9" s="206"/>
      <c r="V9" s="186"/>
      <c r="W9" s="320"/>
      <c r="X9" s="142"/>
      <c r="Y9" s="142"/>
      <c r="Z9" s="142"/>
      <c r="AA9" s="142"/>
      <c r="AB9" s="142"/>
      <c r="AC9" s="142"/>
      <c r="AD9" s="142"/>
      <c r="AE9" s="148"/>
      <c r="AF9" s="189"/>
      <c r="AG9" s="189" t="s">
        <v>120</v>
      </c>
      <c r="AH9" s="209"/>
      <c r="AI9" s="210"/>
      <c r="AJ9" s="142"/>
    </row>
    <row r="10" spans="1:36" ht="15" customHeight="1" outlineLevel="1">
      <c r="A10" s="179" t="str">
        <f>'Program Budget'!D12</f>
        <v>Key Personnel: Chief of Party - Ms. Rym Ayari</v>
      </c>
      <c r="B10" s="180" t="str">
        <f>'Program Budget'!F12</f>
        <v>Month</v>
      </c>
      <c r="C10" s="181">
        <f>'Program Budget'!H12</f>
        <v>13000</v>
      </c>
      <c r="D10" s="182">
        <f>'Program Budget'!G12</f>
        <v>12</v>
      </c>
      <c r="E10" s="183">
        <f>'Program Budget'!E12</f>
        <v>0.3</v>
      </c>
      <c r="F10" s="184">
        <f>C10*D10*E10</f>
        <v>46800</v>
      </c>
      <c r="G10" s="181">
        <f>C10*1.05</f>
        <v>13650</v>
      </c>
      <c r="H10" s="182">
        <f>'Program Budget'!K12</f>
        <v>12</v>
      </c>
      <c r="I10" s="185">
        <f>'Program Budget'!J12</f>
        <v>0.1</v>
      </c>
      <c r="J10" s="184">
        <f>G10*H10*I10</f>
        <v>16380</v>
      </c>
      <c r="K10" s="181">
        <f>G10*1.05</f>
        <v>14332.5</v>
      </c>
      <c r="L10" s="182">
        <f>'Program Budget'!N12</f>
        <v>12</v>
      </c>
      <c r="M10" s="185">
        <f>'Program Budget'!M12</f>
        <v>0.1</v>
      </c>
      <c r="N10" s="184">
        <f>K10*L10*M10</f>
        <v>17199</v>
      </c>
      <c r="O10" s="181">
        <f>K10*1.05</f>
        <v>15049.125</v>
      </c>
      <c r="P10" s="182">
        <f>'Program Budget'!Q12</f>
        <v>12</v>
      </c>
      <c r="Q10" s="185">
        <f>'Program Budget'!P12</f>
        <v>0.1</v>
      </c>
      <c r="R10" s="184">
        <f>O10*P10*Q10</f>
        <v>18058.95</v>
      </c>
      <c r="S10" s="181">
        <f>O10*1.05</f>
        <v>15801.581250000001</v>
      </c>
      <c r="T10" s="182">
        <f>'Program Budget'!T12</f>
        <v>12</v>
      </c>
      <c r="U10" s="185">
        <f>'Program Budget'!S12</f>
        <v>0.1</v>
      </c>
      <c r="V10" s="184">
        <f>S10*T10*U10</f>
        <v>18961.897500000003</v>
      </c>
      <c r="W10" s="320">
        <f>F10+J10+N10+R10+V10</f>
        <v>117399.8475</v>
      </c>
      <c r="X10" s="187"/>
      <c r="Y10" s="174"/>
      <c r="Z10" s="188"/>
      <c r="AA10" s="188"/>
      <c r="AE10" s="148">
        <v>180</v>
      </c>
      <c r="AF10" s="189" t="s">
        <v>121</v>
      </c>
      <c r="AG10" s="189" t="s">
        <v>122</v>
      </c>
      <c r="AH10" s="190"/>
      <c r="AJ10" s="191"/>
    </row>
    <row r="11" spans="1:36" ht="15" customHeight="1" outlineLevel="1">
      <c r="A11" s="179" t="str">
        <f>'Program Budget'!D13</f>
        <v>Key Personnel: Technical Director</v>
      </c>
      <c r="B11" s="180" t="str">
        <f>'Program Budget'!F13</f>
        <v>Month</v>
      </c>
      <c r="C11" s="181">
        <f>'Program Budget'!H13</f>
        <v>3916.6666666666665</v>
      </c>
      <c r="D11" s="182">
        <f>'Program Budget'!G13</f>
        <v>9</v>
      </c>
      <c r="E11" s="183">
        <f>'Program Budget'!E13</f>
        <v>0.3</v>
      </c>
      <c r="F11" s="184">
        <f t="shared" ref="F11:F30" si="1">C11*D11*E11</f>
        <v>10575</v>
      </c>
      <c r="G11" s="181">
        <f t="shared" ref="G11:G30" si="2">C11*1.05</f>
        <v>4112.5</v>
      </c>
      <c r="H11" s="182">
        <f>'Program Budget'!K13</f>
        <v>12</v>
      </c>
      <c r="I11" s="185">
        <f>'Program Budget'!J13</f>
        <v>0</v>
      </c>
      <c r="J11" s="184">
        <f t="shared" ref="J11:J30" si="3">G11*H11*I11</f>
        <v>0</v>
      </c>
      <c r="K11" s="181">
        <f t="shared" ref="K11:K30" si="4">G11*1.05</f>
        <v>4318.125</v>
      </c>
      <c r="L11" s="182">
        <f>'Program Budget'!N13</f>
        <v>12</v>
      </c>
      <c r="M11" s="185">
        <f>'Program Budget'!M13</f>
        <v>0</v>
      </c>
      <c r="N11" s="184">
        <f t="shared" ref="N11:N30" si="5">K11*L11*M11</f>
        <v>0</v>
      </c>
      <c r="O11" s="181">
        <f t="shared" ref="O11:O30" si="6">K11*1.05</f>
        <v>4534.03125</v>
      </c>
      <c r="P11" s="182">
        <f>'Program Budget'!Q13</f>
        <v>12</v>
      </c>
      <c r="Q11" s="185">
        <f>'Program Budget'!P13</f>
        <v>0</v>
      </c>
      <c r="R11" s="184">
        <f t="shared" ref="R11:R30" si="7">O11*P11*Q11</f>
        <v>0</v>
      </c>
      <c r="S11" s="181">
        <f t="shared" ref="S11:S30" si="8">O11*1.05</f>
        <v>4760.7328125000004</v>
      </c>
      <c r="T11" s="182">
        <f>'Program Budget'!T13</f>
        <v>9</v>
      </c>
      <c r="U11" s="185">
        <f>'Program Budget'!S13</f>
        <v>0</v>
      </c>
      <c r="V11" s="184">
        <f t="shared" ref="V11:V30" si="9">S11*T11*U11</f>
        <v>0</v>
      </c>
      <c r="W11" s="320">
        <f t="shared" ref="W11:W30" si="10">F11+J11+N11+R11+V11</f>
        <v>10575</v>
      </c>
      <c r="X11" s="187"/>
      <c r="Y11" s="174"/>
      <c r="Z11" s="188"/>
      <c r="AA11" s="188"/>
      <c r="AE11" s="148">
        <v>180</v>
      </c>
      <c r="AF11" s="189" t="s">
        <v>121</v>
      </c>
      <c r="AG11" s="189" t="s">
        <v>122</v>
      </c>
      <c r="AH11" s="190"/>
      <c r="AJ11" s="191"/>
    </row>
    <row r="12" spans="1:36" ht="15" customHeight="1" outlineLevel="1">
      <c r="A12" s="179" t="str">
        <f>'Program Budget'!D14</f>
        <v>Technical Lead Component 1</v>
      </c>
      <c r="B12" s="180" t="str">
        <f>'Program Budget'!F14</f>
        <v>Month</v>
      </c>
      <c r="C12" s="181">
        <f>'Program Budget'!H14</f>
        <v>2500</v>
      </c>
      <c r="D12" s="182">
        <f>'Program Budget'!G14</f>
        <v>6</v>
      </c>
      <c r="E12" s="183">
        <f>'Program Budget'!E14</f>
        <v>0.2</v>
      </c>
      <c r="F12" s="184">
        <f t="shared" si="1"/>
        <v>3000</v>
      </c>
      <c r="G12" s="181">
        <f t="shared" si="2"/>
        <v>2625</v>
      </c>
      <c r="H12" s="182">
        <f>'Program Budget'!K14</f>
        <v>12</v>
      </c>
      <c r="I12" s="185">
        <f>'Program Budget'!J14</f>
        <v>0</v>
      </c>
      <c r="J12" s="184">
        <f t="shared" si="3"/>
        <v>0</v>
      </c>
      <c r="K12" s="181">
        <f t="shared" si="4"/>
        <v>2756.25</v>
      </c>
      <c r="L12" s="182">
        <f>'Program Budget'!N14</f>
        <v>12</v>
      </c>
      <c r="M12" s="185">
        <f>'Program Budget'!M14</f>
        <v>0</v>
      </c>
      <c r="N12" s="184">
        <f t="shared" si="5"/>
        <v>0</v>
      </c>
      <c r="O12" s="181">
        <f t="shared" si="6"/>
        <v>2894.0625</v>
      </c>
      <c r="P12" s="182">
        <f>'Program Budget'!Q14</f>
        <v>12</v>
      </c>
      <c r="Q12" s="185">
        <f>'Program Budget'!P14</f>
        <v>0</v>
      </c>
      <c r="R12" s="184">
        <f t="shared" si="7"/>
        <v>0</v>
      </c>
      <c r="S12" s="181">
        <f t="shared" si="8"/>
        <v>3038.765625</v>
      </c>
      <c r="T12" s="182">
        <f>'Program Budget'!T14</f>
        <v>9</v>
      </c>
      <c r="U12" s="185">
        <f>'Program Budget'!S14</f>
        <v>0</v>
      </c>
      <c r="V12" s="184">
        <f t="shared" si="9"/>
        <v>0</v>
      </c>
      <c r="W12" s="320">
        <f t="shared" si="10"/>
        <v>3000</v>
      </c>
      <c r="X12" s="187"/>
      <c r="Y12" s="174"/>
      <c r="Z12" s="188"/>
      <c r="AA12" s="188"/>
      <c r="AE12" s="148">
        <v>180</v>
      </c>
      <c r="AF12" s="189" t="s">
        <v>121</v>
      </c>
      <c r="AG12" s="189" t="s">
        <v>122</v>
      </c>
      <c r="AH12" s="190"/>
      <c r="AJ12" s="191"/>
    </row>
    <row r="13" spans="1:36" ht="15" customHeight="1" outlineLevel="1">
      <c r="A13" s="179" t="str">
        <f>'Program Budget'!D15</f>
        <v>Technical Lead Component 2</v>
      </c>
      <c r="B13" s="180" t="str">
        <f>'Program Budget'!F15</f>
        <v>Month</v>
      </c>
      <c r="C13" s="181">
        <f>'Program Budget'!H15</f>
        <v>2500</v>
      </c>
      <c r="D13" s="182">
        <f>'Program Budget'!G15</f>
        <v>6</v>
      </c>
      <c r="E13" s="183">
        <f>'Program Budget'!E15</f>
        <v>0.2</v>
      </c>
      <c r="F13" s="184">
        <f t="shared" si="1"/>
        <v>3000</v>
      </c>
      <c r="G13" s="181">
        <f t="shared" si="2"/>
        <v>2625</v>
      </c>
      <c r="H13" s="182">
        <f>'Program Budget'!K15</f>
        <v>12</v>
      </c>
      <c r="I13" s="185">
        <f>'Program Budget'!J15</f>
        <v>0</v>
      </c>
      <c r="J13" s="184">
        <f t="shared" si="3"/>
        <v>0</v>
      </c>
      <c r="K13" s="181">
        <f t="shared" si="4"/>
        <v>2756.25</v>
      </c>
      <c r="L13" s="182">
        <f>'Program Budget'!N15</f>
        <v>12</v>
      </c>
      <c r="M13" s="185">
        <f>'Program Budget'!M15</f>
        <v>0</v>
      </c>
      <c r="N13" s="184">
        <f t="shared" si="5"/>
        <v>0</v>
      </c>
      <c r="O13" s="181">
        <f t="shared" si="6"/>
        <v>2894.0625</v>
      </c>
      <c r="P13" s="182">
        <f>'Program Budget'!Q15</f>
        <v>12</v>
      </c>
      <c r="Q13" s="185">
        <f>'Program Budget'!P15</f>
        <v>0</v>
      </c>
      <c r="R13" s="184">
        <f t="shared" si="7"/>
        <v>0</v>
      </c>
      <c r="S13" s="181">
        <f t="shared" si="8"/>
        <v>3038.765625</v>
      </c>
      <c r="T13" s="182">
        <f>'Program Budget'!T15</f>
        <v>9</v>
      </c>
      <c r="U13" s="185">
        <f>'Program Budget'!S15</f>
        <v>0</v>
      </c>
      <c r="V13" s="184">
        <f t="shared" si="9"/>
        <v>0</v>
      </c>
      <c r="W13" s="320">
        <f t="shared" si="10"/>
        <v>3000</v>
      </c>
      <c r="X13" s="187"/>
      <c r="Y13" s="174"/>
      <c r="Z13" s="188"/>
      <c r="AA13" s="188"/>
      <c r="AE13" s="148">
        <v>180</v>
      </c>
      <c r="AF13" s="189" t="s">
        <v>121</v>
      </c>
      <c r="AG13" s="189" t="s">
        <v>122</v>
      </c>
      <c r="AH13" s="190"/>
      <c r="AJ13" s="191"/>
    </row>
    <row r="14" spans="1:36" ht="15" customHeight="1" outlineLevel="1">
      <c r="A14" s="179" t="str">
        <f>'Program Budget'!D16</f>
        <v>Technical Lead Component 3</v>
      </c>
      <c r="B14" s="180" t="str">
        <f>'Program Budget'!F16</f>
        <v>Month</v>
      </c>
      <c r="C14" s="181">
        <f>'Program Budget'!H16</f>
        <v>2500</v>
      </c>
      <c r="D14" s="182">
        <f>'Program Budget'!G16</f>
        <v>6</v>
      </c>
      <c r="E14" s="183">
        <f>'Program Budget'!E16</f>
        <v>0.2</v>
      </c>
      <c r="F14" s="184">
        <f t="shared" si="1"/>
        <v>3000</v>
      </c>
      <c r="G14" s="181">
        <f t="shared" si="2"/>
        <v>2625</v>
      </c>
      <c r="H14" s="182">
        <f>'Program Budget'!K16</f>
        <v>12</v>
      </c>
      <c r="I14" s="185">
        <f>'Program Budget'!J16</f>
        <v>0</v>
      </c>
      <c r="J14" s="184">
        <f t="shared" si="3"/>
        <v>0</v>
      </c>
      <c r="K14" s="181">
        <f t="shared" si="4"/>
        <v>2756.25</v>
      </c>
      <c r="L14" s="182">
        <f>'Program Budget'!N16</f>
        <v>12</v>
      </c>
      <c r="M14" s="185">
        <f>'Program Budget'!M16</f>
        <v>0</v>
      </c>
      <c r="N14" s="184">
        <f t="shared" si="5"/>
        <v>0</v>
      </c>
      <c r="O14" s="181">
        <f t="shared" si="6"/>
        <v>2894.0625</v>
      </c>
      <c r="P14" s="182">
        <f>'Program Budget'!Q16</f>
        <v>12</v>
      </c>
      <c r="Q14" s="185">
        <f>'Program Budget'!P16</f>
        <v>0</v>
      </c>
      <c r="R14" s="184">
        <f t="shared" si="7"/>
        <v>0</v>
      </c>
      <c r="S14" s="181">
        <f t="shared" si="8"/>
        <v>3038.765625</v>
      </c>
      <c r="T14" s="182">
        <f>'Program Budget'!T16</f>
        <v>9</v>
      </c>
      <c r="U14" s="185">
        <f>'Program Budget'!S16</f>
        <v>0</v>
      </c>
      <c r="V14" s="184">
        <f t="shared" si="9"/>
        <v>0</v>
      </c>
      <c r="W14" s="320">
        <f t="shared" si="10"/>
        <v>3000</v>
      </c>
      <c r="X14" s="187"/>
      <c r="Y14" s="174"/>
      <c r="Z14" s="188"/>
      <c r="AA14" s="188"/>
      <c r="AE14" s="148">
        <v>180</v>
      </c>
      <c r="AF14" s="189" t="s">
        <v>121</v>
      </c>
      <c r="AG14" s="189" t="s">
        <v>122</v>
      </c>
      <c r="AH14" s="190"/>
      <c r="AJ14" s="191"/>
    </row>
    <row r="15" spans="1:36" ht="15" customHeight="1" outlineLevel="1">
      <c r="A15" s="179" t="str">
        <f>'Program Budget'!D17</f>
        <v>Technical Specialist Component 1</v>
      </c>
      <c r="B15" s="180" t="str">
        <f>'Program Budget'!F17</f>
        <v>Month</v>
      </c>
      <c r="C15" s="181">
        <f>'Program Budget'!H17</f>
        <v>1833.3333333333333</v>
      </c>
      <c r="D15" s="182">
        <f>'Program Budget'!G17</f>
        <v>6</v>
      </c>
      <c r="E15" s="183">
        <f>'Program Budget'!E17</f>
        <v>0.2</v>
      </c>
      <c r="F15" s="184">
        <f t="shared" si="1"/>
        <v>2200</v>
      </c>
      <c r="G15" s="181">
        <f t="shared" si="2"/>
        <v>1925</v>
      </c>
      <c r="H15" s="182">
        <f>'Program Budget'!K17</f>
        <v>12</v>
      </c>
      <c r="I15" s="185">
        <f>'Program Budget'!J17</f>
        <v>0</v>
      </c>
      <c r="J15" s="184">
        <f t="shared" si="3"/>
        <v>0</v>
      </c>
      <c r="K15" s="181">
        <f t="shared" si="4"/>
        <v>2021.25</v>
      </c>
      <c r="L15" s="182">
        <f>'Program Budget'!N17</f>
        <v>12</v>
      </c>
      <c r="M15" s="185">
        <f>'Program Budget'!M17</f>
        <v>0</v>
      </c>
      <c r="N15" s="184">
        <f t="shared" si="5"/>
        <v>0</v>
      </c>
      <c r="O15" s="181">
        <f t="shared" si="6"/>
        <v>2122.3125</v>
      </c>
      <c r="P15" s="182">
        <f>'Program Budget'!Q17</f>
        <v>12</v>
      </c>
      <c r="Q15" s="185">
        <f>'Program Budget'!P17</f>
        <v>0</v>
      </c>
      <c r="R15" s="184">
        <f t="shared" si="7"/>
        <v>0</v>
      </c>
      <c r="S15" s="181">
        <f t="shared" si="8"/>
        <v>2228.4281249999999</v>
      </c>
      <c r="T15" s="182">
        <f>'Program Budget'!T17</f>
        <v>6</v>
      </c>
      <c r="U15" s="185">
        <f>'Program Budget'!S17</f>
        <v>0</v>
      </c>
      <c r="V15" s="184">
        <f t="shared" si="9"/>
        <v>0</v>
      </c>
      <c r="W15" s="320">
        <f t="shared" si="10"/>
        <v>2200</v>
      </c>
      <c r="X15" s="187"/>
      <c r="Y15" s="174"/>
      <c r="Z15" s="188"/>
      <c r="AA15" s="188"/>
      <c r="AE15" s="148"/>
      <c r="AF15" s="189"/>
      <c r="AG15" s="189"/>
      <c r="AH15" s="190"/>
      <c r="AJ15" s="191"/>
    </row>
    <row r="16" spans="1:36" ht="15" customHeight="1" outlineLevel="1">
      <c r="A16" s="179" t="str">
        <f>'Program Budget'!D18</f>
        <v>Technical Specialist Component 2</v>
      </c>
      <c r="B16" s="180" t="str">
        <f>'Program Budget'!F18</f>
        <v>Month</v>
      </c>
      <c r="C16" s="181">
        <f>'Program Budget'!H18</f>
        <v>1833.3333333333333</v>
      </c>
      <c r="D16" s="182">
        <f>'Program Budget'!G18</f>
        <v>6</v>
      </c>
      <c r="E16" s="183">
        <f>'Program Budget'!E18</f>
        <v>0.2</v>
      </c>
      <c r="F16" s="184">
        <f t="shared" si="1"/>
        <v>2200</v>
      </c>
      <c r="G16" s="181">
        <f t="shared" si="2"/>
        <v>1925</v>
      </c>
      <c r="H16" s="182">
        <f>'Program Budget'!K18</f>
        <v>12</v>
      </c>
      <c r="I16" s="185">
        <f>'Program Budget'!J18</f>
        <v>0</v>
      </c>
      <c r="J16" s="184">
        <f t="shared" si="3"/>
        <v>0</v>
      </c>
      <c r="K16" s="181">
        <f t="shared" si="4"/>
        <v>2021.25</v>
      </c>
      <c r="L16" s="182">
        <f>'Program Budget'!N18</f>
        <v>12</v>
      </c>
      <c r="M16" s="185">
        <f>'Program Budget'!M18</f>
        <v>0</v>
      </c>
      <c r="N16" s="184">
        <f t="shared" si="5"/>
        <v>0</v>
      </c>
      <c r="O16" s="181">
        <f t="shared" si="6"/>
        <v>2122.3125</v>
      </c>
      <c r="P16" s="182">
        <f>'Program Budget'!Q18</f>
        <v>12</v>
      </c>
      <c r="Q16" s="185">
        <f>'Program Budget'!P18</f>
        <v>0</v>
      </c>
      <c r="R16" s="184">
        <f t="shared" si="7"/>
        <v>0</v>
      </c>
      <c r="S16" s="181">
        <f t="shared" si="8"/>
        <v>2228.4281249999999</v>
      </c>
      <c r="T16" s="182">
        <f>'Program Budget'!T18</f>
        <v>6</v>
      </c>
      <c r="U16" s="185">
        <f>'Program Budget'!S18</f>
        <v>0</v>
      </c>
      <c r="V16" s="184">
        <f t="shared" si="9"/>
        <v>0</v>
      </c>
      <c r="W16" s="320">
        <f t="shared" si="10"/>
        <v>2200</v>
      </c>
      <c r="X16" s="187"/>
      <c r="Y16" s="174"/>
      <c r="Z16" s="188"/>
      <c r="AA16" s="188"/>
      <c r="AE16" s="148"/>
      <c r="AF16" s="189"/>
      <c r="AG16" s="189"/>
      <c r="AH16" s="190"/>
      <c r="AJ16" s="191"/>
    </row>
    <row r="17" spans="1:36" ht="15" customHeight="1" outlineLevel="1">
      <c r="A17" s="179" t="str">
        <f>'Program Budget'!D19</f>
        <v>Technical Specialist Component 3</v>
      </c>
      <c r="B17" s="180" t="str">
        <f>'Program Budget'!F19</f>
        <v>Month</v>
      </c>
      <c r="C17" s="181">
        <f>'Program Budget'!H19</f>
        <v>1833.3333333333333</v>
      </c>
      <c r="D17" s="182">
        <f>'Program Budget'!G19</f>
        <v>6</v>
      </c>
      <c r="E17" s="183">
        <f>'Program Budget'!E19</f>
        <v>0.2</v>
      </c>
      <c r="F17" s="184">
        <f t="shared" si="1"/>
        <v>2200</v>
      </c>
      <c r="G17" s="181">
        <f t="shared" si="2"/>
        <v>1925</v>
      </c>
      <c r="H17" s="182">
        <f>'Program Budget'!K19</f>
        <v>12</v>
      </c>
      <c r="I17" s="185">
        <f>'Program Budget'!J19</f>
        <v>0</v>
      </c>
      <c r="J17" s="184">
        <f t="shared" si="3"/>
        <v>0</v>
      </c>
      <c r="K17" s="181">
        <f t="shared" si="4"/>
        <v>2021.25</v>
      </c>
      <c r="L17" s="182">
        <f>'Program Budget'!N19</f>
        <v>12</v>
      </c>
      <c r="M17" s="185">
        <f>'Program Budget'!M19</f>
        <v>0</v>
      </c>
      <c r="N17" s="184">
        <f t="shared" si="5"/>
        <v>0</v>
      </c>
      <c r="O17" s="181">
        <f t="shared" si="6"/>
        <v>2122.3125</v>
      </c>
      <c r="P17" s="182">
        <f>'Program Budget'!Q19</f>
        <v>12</v>
      </c>
      <c r="Q17" s="185">
        <f>'Program Budget'!P19</f>
        <v>0</v>
      </c>
      <c r="R17" s="184">
        <f t="shared" si="7"/>
        <v>0</v>
      </c>
      <c r="S17" s="181">
        <f t="shared" si="8"/>
        <v>2228.4281249999999</v>
      </c>
      <c r="T17" s="182">
        <f>'Program Budget'!T19</f>
        <v>6</v>
      </c>
      <c r="U17" s="185">
        <f>'Program Budget'!S19</f>
        <v>0</v>
      </c>
      <c r="V17" s="184">
        <f t="shared" si="9"/>
        <v>0</v>
      </c>
      <c r="W17" s="320">
        <f t="shared" si="10"/>
        <v>2200</v>
      </c>
      <c r="X17" s="187"/>
      <c r="Y17" s="174"/>
      <c r="Z17" s="188"/>
      <c r="AA17" s="188"/>
      <c r="AE17" s="148">
        <v>180</v>
      </c>
      <c r="AF17" s="189" t="s">
        <v>121</v>
      </c>
      <c r="AG17" s="189" t="s">
        <v>122</v>
      </c>
      <c r="AH17" s="190"/>
      <c r="AJ17" s="191"/>
    </row>
    <row r="18" spans="1:36" ht="15" customHeight="1" outlineLevel="1">
      <c r="A18" s="179" t="str">
        <f>'Program Budget'!D20</f>
        <v>Capacity Building Specialist (2)</v>
      </c>
      <c r="B18" s="180" t="str">
        <f>'Program Budget'!F20</f>
        <v>Month</v>
      </c>
      <c r="C18" s="181">
        <f>'Program Budget'!H20</f>
        <v>3333.3333333333335</v>
      </c>
      <c r="D18" s="182">
        <f>'Program Budget'!G20</f>
        <v>4</v>
      </c>
      <c r="E18" s="183">
        <f>'Program Budget'!E20</f>
        <v>0.2</v>
      </c>
      <c r="F18" s="184">
        <f t="shared" ref="F18" si="11">C18*D18*E18</f>
        <v>2666.666666666667</v>
      </c>
      <c r="G18" s="181">
        <f t="shared" ref="G18" si="12">C18*1.05</f>
        <v>3500.0000000000005</v>
      </c>
      <c r="H18" s="182">
        <f>'Program Budget'!K20</f>
        <v>12</v>
      </c>
      <c r="I18" s="185">
        <f>'Program Budget'!J20</f>
        <v>0</v>
      </c>
      <c r="J18" s="184">
        <f t="shared" ref="J18" si="13">G18*H18*I18</f>
        <v>0</v>
      </c>
      <c r="K18" s="181">
        <f t="shared" ref="K18" si="14">G18*1.05</f>
        <v>3675.0000000000005</v>
      </c>
      <c r="L18" s="182">
        <f>'Program Budget'!N20</f>
        <v>12</v>
      </c>
      <c r="M18" s="185">
        <f>'Program Budget'!M20</f>
        <v>0</v>
      </c>
      <c r="N18" s="184">
        <f t="shared" ref="N18" si="15">K18*L18*M18</f>
        <v>0</v>
      </c>
      <c r="O18" s="181">
        <f t="shared" ref="O18" si="16">K18*1.05</f>
        <v>3858.7500000000005</v>
      </c>
      <c r="P18" s="182">
        <f>'Program Budget'!Q20</f>
        <v>12</v>
      </c>
      <c r="Q18" s="185">
        <f>'Program Budget'!P20</f>
        <v>0</v>
      </c>
      <c r="R18" s="184">
        <f t="shared" ref="R18" si="17">O18*P18*Q18</f>
        <v>0</v>
      </c>
      <c r="S18" s="181">
        <f t="shared" ref="S18" si="18">O18*1.05</f>
        <v>4051.6875000000005</v>
      </c>
      <c r="T18" s="182">
        <f>'Program Budget'!T20</f>
        <v>5</v>
      </c>
      <c r="U18" s="185">
        <f>'Program Budget'!S20</f>
        <v>0</v>
      </c>
      <c r="V18" s="184">
        <f t="shared" ref="V18" si="19">S18*T18*U18</f>
        <v>0</v>
      </c>
      <c r="W18" s="320">
        <f t="shared" ref="W18" si="20">F18+J18+N18+R18+V18</f>
        <v>2666.666666666667</v>
      </c>
      <c r="X18" s="187"/>
      <c r="Y18" s="174"/>
      <c r="Z18" s="188"/>
      <c r="AA18" s="188"/>
      <c r="AE18" s="148">
        <v>180</v>
      </c>
      <c r="AF18" s="189" t="s">
        <v>121</v>
      </c>
      <c r="AG18" s="189" t="s">
        <v>122</v>
      </c>
      <c r="AH18" s="190"/>
      <c r="AJ18" s="191"/>
    </row>
    <row r="19" spans="1:36" ht="15" customHeight="1" outlineLevel="1">
      <c r="A19" s="179" t="str">
        <f>'Program Budget'!D21</f>
        <v>Sociocultural and Gender Specialist</v>
      </c>
      <c r="B19" s="180" t="str">
        <f>'Program Budget'!F21</f>
        <v>Month</v>
      </c>
      <c r="C19" s="181">
        <f>'Program Budget'!H21</f>
        <v>1833.3333333333333</v>
      </c>
      <c r="D19" s="182">
        <f>'Program Budget'!G21</f>
        <v>7</v>
      </c>
      <c r="E19" s="183">
        <f>'Program Budget'!E21</f>
        <v>0.25</v>
      </c>
      <c r="F19" s="184">
        <f t="shared" si="1"/>
        <v>3208.333333333333</v>
      </c>
      <c r="G19" s="181">
        <f t="shared" si="2"/>
        <v>1925</v>
      </c>
      <c r="H19" s="182">
        <f>'Program Budget'!K21</f>
        <v>12</v>
      </c>
      <c r="I19" s="185">
        <f>'Program Budget'!J21</f>
        <v>0</v>
      </c>
      <c r="J19" s="184">
        <f t="shared" si="3"/>
        <v>0</v>
      </c>
      <c r="K19" s="181">
        <f t="shared" si="4"/>
        <v>2021.25</v>
      </c>
      <c r="L19" s="182">
        <f>'Program Budget'!N21</f>
        <v>12</v>
      </c>
      <c r="M19" s="185">
        <f>'Program Budget'!M21</f>
        <v>0</v>
      </c>
      <c r="N19" s="184">
        <f t="shared" si="5"/>
        <v>0</v>
      </c>
      <c r="O19" s="181">
        <f t="shared" si="6"/>
        <v>2122.3125</v>
      </c>
      <c r="P19" s="182">
        <f>'Program Budget'!Q21</f>
        <v>12</v>
      </c>
      <c r="Q19" s="185">
        <f>'Program Budget'!P21</f>
        <v>0</v>
      </c>
      <c r="R19" s="184">
        <f t="shared" si="7"/>
        <v>0</v>
      </c>
      <c r="S19" s="181">
        <f t="shared" si="8"/>
        <v>2228.4281249999999</v>
      </c>
      <c r="T19" s="182">
        <f>'Program Budget'!T21</f>
        <v>9</v>
      </c>
      <c r="U19" s="185">
        <f>'Program Budget'!S21</f>
        <v>0</v>
      </c>
      <c r="V19" s="184">
        <f t="shared" si="9"/>
        <v>0</v>
      </c>
      <c r="W19" s="320">
        <f t="shared" si="10"/>
        <v>3208.333333333333</v>
      </c>
      <c r="X19" s="187"/>
      <c r="Y19" s="174"/>
      <c r="Z19" s="188"/>
      <c r="AA19" s="188"/>
      <c r="AE19" s="148"/>
      <c r="AF19" s="189"/>
      <c r="AG19" s="189"/>
      <c r="AH19" s="190"/>
      <c r="AJ19" s="191"/>
    </row>
    <row r="20" spans="1:36" ht="15" customHeight="1" outlineLevel="1">
      <c r="A20" s="179" t="str">
        <f>'Program Budget'!D22</f>
        <v>Sociocultural and Gender Officers (3)</v>
      </c>
      <c r="B20" s="180" t="str">
        <f>'Program Budget'!F22</f>
        <v>Month</v>
      </c>
      <c r="C20" s="181">
        <f>'Program Budget'!H22</f>
        <v>3750</v>
      </c>
      <c r="D20" s="182">
        <f>'Program Budget'!G22</f>
        <v>7</v>
      </c>
      <c r="E20" s="183">
        <f>'Program Budget'!E22</f>
        <v>0.25</v>
      </c>
      <c r="F20" s="184">
        <f t="shared" si="1"/>
        <v>6562.5</v>
      </c>
      <c r="G20" s="181">
        <f t="shared" si="2"/>
        <v>3937.5</v>
      </c>
      <c r="H20" s="182">
        <f>'Program Budget'!K22</f>
        <v>12</v>
      </c>
      <c r="I20" s="185">
        <f>'Program Budget'!J22</f>
        <v>0</v>
      </c>
      <c r="J20" s="184">
        <f t="shared" si="3"/>
        <v>0</v>
      </c>
      <c r="K20" s="181">
        <f t="shared" si="4"/>
        <v>4134.375</v>
      </c>
      <c r="L20" s="182">
        <f>'Program Budget'!N22</f>
        <v>12</v>
      </c>
      <c r="M20" s="185">
        <f>'Program Budget'!M22</f>
        <v>0</v>
      </c>
      <c r="N20" s="184">
        <f t="shared" si="5"/>
        <v>0</v>
      </c>
      <c r="O20" s="181">
        <f t="shared" si="6"/>
        <v>4341.09375</v>
      </c>
      <c r="P20" s="182">
        <f>'Program Budget'!Q22</f>
        <v>12</v>
      </c>
      <c r="Q20" s="185">
        <f>'Program Budget'!P22</f>
        <v>0</v>
      </c>
      <c r="R20" s="184">
        <f t="shared" si="7"/>
        <v>0</v>
      </c>
      <c r="S20" s="181">
        <f t="shared" si="8"/>
        <v>4558.1484375</v>
      </c>
      <c r="T20" s="182">
        <f>'Program Budget'!T22</f>
        <v>9</v>
      </c>
      <c r="U20" s="185">
        <f>'Program Budget'!S22</f>
        <v>0</v>
      </c>
      <c r="V20" s="184">
        <f t="shared" si="9"/>
        <v>0</v>
      </c>
      <c r="W20" s="320">
        <f t="shared" si="10"/>
        <v>6562.5</v>
      </c>
      <c r="X20" s="187"/>
      <c r="Y20" s="174"/>
      <c r="Z20" s="188"/>
      <c r="AA20" s="188"/>
      <c r="AE20" s="148"/>
      <c r="AF20" s="189"/>
      <c r="AG20" s="189"/>
      <c r="AH20" s="190"/>
      <c r="AJ20" s="191"/>
    </row>
    <row r="21" spans="1:36" ht="15" customHeight="1" outlineLevel="1">
      <c r="A21" s="179" t="str">
        <f>'Program Budget'!D23</f>
        <v>Communications Specialists</v>
      </c>
      <c r="B21" s="180" t="str">
        <f>'Program Budget'!F23</f>
        <v>Month</v>
      </c>
      <c r="C21" s="181">
        <f>'Program Budget'!H23</f>
        <v>1500</v>
      </c>
      <c r="D21" s="182">
        <f>'Program Budget'!G23</f>
        <v>7</v>
      </c>
      <c r="E21" s="183">
        <f>'Program Budget'!E23</f>
        <v>0.25</v>
      </c>
      <c r="F21" s="184">
        <f t="shared" si="1"/>
        <v>2625</v>
      </c>
      <c r="G21" s="181">
        <f t="shared" si="2"/>
        <v>1575</v>
      </c>
      <c r="H21" s="182">
        <f>'Program Budget'!K23</f>
        <v>12</v>
      </c>
      <c r="I21" s="185">
        <f>'Program Budget'!J23</f>
        <v>0.1</v>
      </c>
      <c r="J21" s="184">
        <f t="shared" si="3"/>
        <v>1890</v>
      </c>
      <c r="K21" s="181">
        <f t="shared" si="4"/>
        <v>1653.75</v>
      </c>
      <c r="L21" s="182">
        <f>'Program Budget'!N23</f>
        <v>12</v>
      </c>
      <c r="M21" s="185">
        <f>'Program Budget'!M23</f>
        <v>0.1</v>
      </c>
      <c r="N21" s="184">
        <f t="shared" si="5"/>
        <v>1984.5</v>
      </c>
      <c r="O21" s="181">
        <f t="shared" si="6"/>
        <v>1736.4375</v>
      </c>
      <c r="P21" s="182">
        <f>'Program Budget'!Q23</f>
        <v>12</v>
      </c>
      <c r="Q21" s="185">
        <f>'Program Budget'!P23</f>
        <v>0.1</v>
      </c>
      <c r="R21" s="184">
        <f t="shared" si="7"/>
        <v>2083.7249999999999</v>
      </c>
      <c r="S21" s="181">
        <f t="shared" si="8"/>
        <v>1823.2593750000001</v>
      </c>
      <c r="T21" s="182">
        <f>'Program Budget'!T23</f>
        <v>10</v>
      </c>
      <c r="U21" s="185">
        <f>'Program Budget'!S23</f>
        <v>0.1</v>
      </c>
      <c r="V21" s="184">
        <f t="shared" si="9"/>
        <v>1823.2593750000001</v>
      </c>
      <c r="W21" s="320">
        <f t="shared" si="10"/>
        <v>10406.484375</v>
      </c>
      <c r="X21" s="187"/>
      <c r="Y21" s="174"/>
      <c r="Z21" s="188"/>
      <c r="AA21" s="188"/>
      <c r="AE21" s="148"/>
      <c r="AF21" s="189"/>
      <c r="AG21" s="189"/>
      <c r="AH21" s="190"/>
      <c r="AJ21" s="191"/>
    </row>
    <row r="22" spans="1:36" ht="15" customHeight="1" outlineLevel="1">
      <c r="A22" s="179" t="str">
        <f>'Program Budget'!D24</f>
        <v xml:space="preserve">M&amp;E Director </v>
      </c>
      <c r="B22" s="180" t="str">
        <f>'Program Budget'!F24</f>
        <v>Month</v>
      </c>
      <c r="C22" s="181">
        <f>'Program Budget'!H24</f>
        <v>3916.6666666666665</v>
      </c>
      <c r="D22" s="182">
        <f>'Program Budget'!G24</f>
        <v>9</v>
      </c>
      <c r="E22" s="183">
        <f>'Program Budget'!E24</f>
        <v>0.25</v>
      </c>
      <c r="F22" s="184">
        <f t="shared" si="1"/>
        <v>8812.5</v>
      </c>
      <c r="G22" s="181">
        <f t="shared" si="2"/>
        <v>4112.5</v>
      </c>
      <c r="H22" s="182">
        <f>'Program Budget'!K24</f>
        <v>12</v>
      </c>
      <c r="I22" s="185">
        <f>'Program Budget'!J24</f>
        <v>0.1</v>
      </c>
      <c r="J22" s="184">
        <f t="shared" si="3"/>
        <v>4935</v>
      </c>
      <c r="K22" s="181">
        <f t="shared" si="4"/>
        <v>4318.125</v>
      </c>
      <c r="L22" s="182">
        <f>'Program Budget'!N24</f>
        <v>12</v>
      </c>
      <c r="M22" s="185">
        <f>'Program Budget'!M24</f>
        <v>0.1</v>
      </c>
      <c r="N22" s="184">
        <f t="shared" si="5"/>
        <v>5181.75</v>
      </c>
      <c r="O22" s="181">
        <f t="shared" si="6"/>
        <v>4534.03125</v>
      </c>
      <c r="P22" s="182">
        <f>'Program Budget'!Q24</f>
        <v>12</v>
      </c>
      <c r="Q22" s="185">
        <f>'Program Budget'!P24</f>
        <v>0.1</v>
      </c>
      <c r="R22" s="184">
        <f t="shared" si="7"/>
        <v>5440.8375000000005</v>
      </c>
      <c r="S22" s="181">
        <f t="shared" si="8"/>
        <v>4760.7328125000004</v>
      </c>
      <c r="T22" s="182">
        <f>'Program Budget'!T24</f>
        <v>12</v>
      </c>
      <c r="U22" s="185">
        <f>'Program Budget'!S24</f>
        <v>0.1</v>
      </c>
      <c r="V22" s="184">
        <f t="shared" si="9"/>
        <v>5712.8793750000004</v>
      </c>
      <c r="W22" s="320">
        <f t="shared" si="10"/>
        <v>30082.966875000002</v>
      </c>
      <c r="X22" s="187"/>
      <c r="Y22" s="174"/>
      <c r="Z22" s="188"/>
      <c r="AA22" s="188"/>
      <c r="AE22" s="148">
        <v>180</v>
      </c>
      <c r="AF22" s="189" t="s">
        <v>121</v>
      </c>
      <c r="AG22" s="189" t="s">
        <v>122</v>
      </c>
      <c r="AH22" s="190"/>
      <c r="AJ22" s="191"/>
    </row>
    <row r="23" spans="1:36" ht="15" customHeight="1" outlineLevel="1">
      <c r="A23" s="179" t="str">
        <f>'Program Budget'!D25</f>
        <v>M&amp;E Specialist</v>
      </c>
      <c r="B23" s="180" t="str">
        <f>'Program Budget'!F25</f>
        <v>Month</v>
      </c>
      <c r="C23" s="181">
        <f>'Program Budget'!H25</f>
        <v>1833.3333333333333</v>
      </c>
      <c r="D23" s="182">
        <f>'Program Budget'!G25</f>
        <v>8</v>
      </c>
      <c r="E23" s="183">
        <f>'Program Budget'!E25</f>
        <v>0.25</v>
      </c>
      <c r="F23" s="184">
        <f t="shared" si="1"/>
        <v>3666.6666666666665</v>
      </c>
      <c r="G23" s="181">
        <f t="shared" si="2"/>
        <v>1925</v>
      </c>
      <c r="H23" s="182">
        <f>'Program Budget'!K25</f>
        <v>12</v>
      </c>
      <c r="I23" s="185">
        <f>'Program Budget'!J25</f>
        <v>0.1</v>
      </c>
      <c r="J23" s="184">
        <f t="shared" si="3"/>
        <v>2310</v>
      </c>
      <c r="K23" s="181">
        <f t="shared" si="4"/>
        <v>2021.25</v>
      </c>
      <c r="L23" s="182">
        <f>'Program Budget'!N25</f>
        <v>12</v>
      </c>
      <c r="M23" s="185">
        <f>'Program Budget'!M25</f>
        <v>0.1</v>
      </c>
      <c r="N23" s="184">
        <f t="shared" si="5"/>
        <v>2425.5</v>
      </c>
      <c r="O23" s="181">
        <f t="shared" si="6"/>
        <v>2122.3125</v>
      </c>
      <c r="P23" s="182">
        <f>'Program Budget'!Q25</f>
        <v>12</v>
      </c>
      <c r="Q23" s="185">
        <f>'Program Budget'!P25</f>
        <v>0.1</v>
      </c>
      <c r="R23" s="184">
        <f t="shared" si="7"/>
        <v>2546.7750000000001</v>
      </c>
      <c r="S23" s="181">
        <f t="shared" si="8"/>
        <v>2228.4281249999999</v>
      </c>
      <c r="T23" s="182">
        <f>'Program Budget'!T25</f>
        <v>10</v>
      </c>
      <c r="U23" s="185">
        <f>'Program Budget'!S25</f>
        <v>0.1</v>
      </c>
      <c r="V23" s="184">
        <f t="shared" si="9"/>
        <v>2228.4281249999999</v>
      </c>
      <c r="W23" s="320">
        <f t="shared" si="10"/>
        <v>13177.369791666666</v>
      </c>
      <c r="X23" s="187"/>
      <c r="Y23" s="174"/>
      <c r="Z23" s="188"/>
      <c r="AA23" s="188"/>
      <c r="AE23" s="148">
        <v>180</v>
      </c>
      <c r="AF23" s="189" t="s">
        <v>121</v>
      </c>
      <c r="AG23" s="189" t="s">
        <v>122</v>
      </c>
      <c r="AH23" s="190"/>
      <c r="AJ23" s="191"/>
    </row>
    <row r="24" spans="1:36" ht="15" customHeight="1" outlineLevel="1">
      <c r="A24" s="179" t="str">
        <f>'Program Budget'!D26</f>
        <v xml:space="preserve">Key Personnel: Finance Director </v>
      </c>
      <c r="B24" s="180" t="str">
        <f>'Program Budget'!F26</f>
        <v>Month</v>
      </c>
      <c r="C24" s="181">
        <f>'Program Budget'!H26</f>
        <v>3916.6666666666665</v>
      </c>
      <c r="D24" s="182">
        <f>'Program Budget'!G26</f>
        <v>11</v>
      </c>
      <c r="E24" s="183">
        <f>'Program Budget'!E26</f>
        <v>0.25</v>
      </c>
      <c r="F24" s="184">
        <f t="shared" si="1"/>
        <v>10770.833333333332</v>
      </c>
      <c r="G24" s="181">
        <f t="shared" si="2"/>
        <v>4112.5</v>
      </c>
      <c r="H24" s="182">
        <f>'Program Budget'!K26</f>
        <v>12</v>
      </c>
      <c r="I24" s="185">
        <f>'Program Budget'!J26</f>
        <v>0.25</v>
      </c>
      <c r="J24" s="184">
        <f t="shared" si="3"/>
        <v>12337.5</v>
      </c>
      <c r="K24" s="181">
        <f t="shared" si="4"/>
        <v>4318.125</v>
      </c>
      <c r="L24" s="182">
        <f>'Program Budget'!N26</f>
        <v>12</v>
      </c>
      <c r="M24" s="185">
        <f>'Program Budget'!M26</f>
        <v>0.25</v>
      </c>
      <c r="N24" s="184">
        <f t="shared" si="5"/>
        <v>12954.375</v>
      </c>
      <c r="O24" s="181">
        <f t="shared" si="6"/>
        <v>4534.03125</v>
      </c>
      <c r="P24" s="182">
        <f>'Program Budget'!Q26</f>
        <v>12</v>
      </c>
      <c r="Q24" s="185">
        <f>'Program Budget'!P26</f>
        <v>0.25</v>
      </c>
      <c r="R24" s="184">
        <f t="shared" si="7"/>
        <v>13602.09375</v>
      </c>
      <c r="S24" s="181">
        <f t="shared" si="8"/>
        <v>4760.7328125000004</v>
      </c>
      <c r="T24" s="182">
        <f>'Program Budget'!T26</f>
        <v>12</v>
      </c>
      <c r="U24" s="185">
        <f>'Program Budget'!S26</f>
        <v>0.25</v>
      </c>
      <c r="V24" s="184">
        <f t="shared" si="9"/>
        <v>14282.198437500001</v>
      </c>
      <c r="W24" s="320">
        <f t="shared" si="10"/>
        <v>63947.000520833331</v>
      </c>
      <c r="X24" s="187"/>
      <c r="Y24" s="174"/>
      <c r="Z24" s="188"/>
      <c r="AA24" s="188"/>
      <c r="AE24" s="148">
        <v>180</v>
      </c>
      <c r="AF24" s="189" t="s">
        <v>121</v>
      </c>
      <c r="AG24" s="189" t="s">
        <v>122</v>
      </c>
      <c r="AH24" s="190"/>
      <c r="AJ24" s="191"/>
    </row>
    <row r="25" spans="1:36" ht="15" customHeight="1" outlineLevel="1">
      <c r="A25" s="179" t="str">
        <f>'Program Budget'!D27</f>
        <v>Contracts &amp; Compliance Specialist</v>
      </c>
      <c r="B25" s="180" t="str">
        <f>'Program Budget'!F27</f>
        <v>Month</v>
      </c>
      <c r="C25" s="181">
        <f>'Program Budget'!H27</f>
        <v>1833.3333333333333</v>
      </c>
      <c r="D25" s="182">
        <f>'Program Budget'!G27</f>
        <v>9</v>
      </c>
      <c r="E25" s="183">
        <f>'Program Budget'!E27</f>
        <v>0.25</v>
      </c>
      <c r="F25" s="184">
        <f t="shared" si="1"/>
        <v>4125</v>
      </c>
      <c r="G25" s="181">
        <f t="shared" si="2"/>
        <v>1925</v>
      </c>
      <c r="H25" s="182">
        <f>'Program Budget'!K27</f>
        <v>12</v>
      </c>
      <c r="I25" s="185">
        <f>'Program Budget'!J27</f>
        <v>0.25</v>
      </c>
      <c r="J25" s="184">
        <f t="shared" si="3"/>
        <v>5775</v>
      </c>
      <c r="K25" s="181">
        <f t="shared" si="4"/>
        <v>2021.25</v>
      </c>
      <c r="L25" s="182">
        <f>'Program Budget'!N27</f>
        <v>12</v>
      </c>
      <c r="M25" s="185">
        <f>'Program Budget'!M27</f>
        <v>0.25</v>
      </c>
      <c r="N25" s="184">
        <f t="shared" si="5"/>
        <v>6063.75</v>
      </c>
      <c r="O25" s="181">
        <f t="shared" si="6"/>
        <v>2122.3125</v>
      </c>
      <c r="P25" s="182">
        <f>'Program Budget'!Q27</f>
        <v>12</v>
      </c>
      <c r="Q25" s="185">
        <f>'Program Budget'!P27</f>
        <v>0.25</v>
      </c>
      <c r="R25" s="184">
        <f t="shared" si="7"/>
        <v>6366.9375</v>
      </c>
      <c r="S25" s="181">
        <f t="shared" si="8"/>
        <v>2228.4281249999999</v>
      </c>
      <c r="T25" s="182">
        <f>'Program Budget'!T27</f>
        <v>12</v>
      </c>
      <c r="U25" s="185">
        <f>'Program Budget'!S27</f>
        <v>0.25</v>
      </c>
      <c r="V25" s="184">
        <f t="shared" si="9"/>
        <v>6685.2843749999993</v>
      </c>
      <c r="W25" s="320">
        <f t="shared" si="10"/>
        <v>29015.971874999999</v>
      </c>
      <c r="X25" s="187"/>
      <c r="Y25" s="174"/>
      <c r="Z25" s="188"/>
      <c r="AA25" s="188"/>
      <c r="AE25" s="148"/>
      <c r="AF25" s="189"/>
      <c r="AG25" s="189"/>
      <c r="AH25" s="190"/>
      <c r="AJ25" s="191"/>
    </row>
    <row r="26" spans="1:36" ht="15" customHeight="1" outlineLevel="1">
      <c r="A26" s="179" t="str">
        <f>'Program Budget'!D28</f>
        <v>Grants &amp; Procurement Officer (2)</v>
      </c>
      <c r="B26" s="180" t="str">
        <f>'Program Budget'!F28</f>
        <v>Month</v>
      </c>
      <c r="C26" s="181">
        <f>'Program Budget'!H28</f>
        <v>2500</v>
      </c>
      <c r="D26" s="182">
        <f>'Program Budget'!G28</f>
        <v>9</v>
      </c>
      <c r="E26" s="183">
        <f>'Program Budget'!E28</f>
        <v>0.25</v>
      </c>
      <c r="F26" s="184">
        <f t="shared" si="1"/>
        <v>5625</v>
      </c>
      <c r="G26" s="181">
        <f t="shared" si="2"/>
        <v>2625</v>
      </c>
      <c r="H26" s="182">
        <f>'Program Budget'!K28</f>
        <v>12</v>
      </c>
      <c r="I26" s="185">
        <f>'Program Budget'!J28</f>
        <v>0.25</v>
      </c>
      <c r="J26" s="184">
        <f t="shared" si="3"/>
        <v>7875</v>
      </c>
      <c r="K26" s="181">
        <f t="shared" si="4"/>
        <v>2756.25</v>
      </c>
      <c r="L26" s="182">
        <f>'Program Budget'!N28</f>
        <v>12</v>
      </c>
      <c r="M26" s="185">
        <f>'Program Budget'!M28</f>
        <v>0.25</v>
      </c>
      <c r="N26" s="184">
        <f t="shared" si="5"/>
        <v>8268.75</v>
      </c>
      <c r="O26" s="181">
        <f t="shared" si="6"/>
        <v>2894.0625</v>
      </c>
      <c r="P26" s="182">
        <f>'Program Budget'!Q28</f>
        <v>12</v>
      </c>
      <c r="Q26" s="185">
        <f>'Program Budget'!P28</f>
        <v>0.25</v>
      </c>
      <c r="R26" s="184">
        <f t="shared" si="7"/>
        <v>8682.1875</v>
      </c>
      <c r="S26" s="181">
        <f t="shared" si="8"/>
        <v>3038.765625</v>
      </c>
      <c r="T26" s="182">
        <f>'Program Budget'!T28</f>
        <v>12</v>
      </c>
      <c r="U26" s="185">
        <f>'Program Budget'!S28</f>
        <v>0.25</v>
      </c>
      <c r="V26" s="184">
        <f t="shared" si="9"/>
        <v>9116.296875</v>
      </c>
      <c r="W26" s="320">
        <f t="shared" si="10"/>
        <v>39567.234375</v>
      </c>
      <c r="X26" s="187"/>
      <c r="Y26" s="174"/>
      <c r="Z26" s="188"/>
      <c r="AA26" s="188"/>
      <c r="AE26" s="148">
        <v>180</v>
      </c>
      <c r="AF26" s="189" t="s">
        <v>121</v>
      </c>
      <c r="AG26" s="189" t="s">
        <v>122</v>
      </c>
      <c r="AH26" s="190"/>
      <c r="AJ26" s="191"/>
    </row>
    <row r="27" spans="1:36" ht="15" customHeight="1" outlineLevel="1">
      <c r="A27" s="179" t="str">
        <f>'Program Budget'!D29</f>
        <v xml:space="preserve">Accountant </v>
      </c>
      <c r="B27" s="180" t="str">
        <f>'Program Budget'!F29</f>
        <v>Month</v>
      </c>
      <c r="C27" s="181">
        <f>'Program Budget'!H29</f>
        <v>1666.6666666666667</v>
      </c>
      <c r="D27" s="182">
        <f>'Program Budget'!G29</f>
        <v>10</v>
      </c>
      <c r="E27" s="183">
        <f>'Program Budget'!E29</f>
        <v>0.25</v>
      </c>
      <c r="F27" s="184">
        <f t="shared" si="1"/>
        <v>4166.666666666667</v>
      </c>
      <c r="G27" s="181">
        <f t="shared" si="2"/>
        <v>1750.0000000000002</v>
      </c>
      <c r="H27" s="182">
        <f>'Program Budget'!K29</f>
        <v>12</v>
      </c>
      <c r="I27" s="185">
        <f>'Program Budget'!J29</f>
        <v>0.25</v>
      </c>
      <c r="J27" s="184">
        <f t="shared" si="3"/>
        <v>5250.0000000000009</v>
      </c>
      <c r="K27" s="181">
        <f t="shared" si="4"/>
        <v>1837.5000000000002</v>
      </c>
      <c r="L27" s="182">
        <f>'Program Budget'!N29</f>
        <v>12</v>
      </c>
      <c r="M27" s="185">
        <f>'Program Budget'!M29</f>
        <v>0.25</v>
      </c>
      <c r="N27" s="184">
        <f t="shared" si="5"/>
        <v>5512.5000000000009</v>
      </c>
      <c r="O27" s="181">
        <f t="shared" si="6"/>
        <v>1929.3750000000002</v>
      </c>
      <c r="P27" s="182">
        <f>'Program Budget'!Q29</f>
        <v>12</v>
      </c>
      <c r="Q27" s="185">
        <f>'Program Budget'!P29</f>
        <v>0.25</v>
      </c>
      <c r="R27" s="184">
        <f t="shared" si="7"/>
        <v>5788.1250000000009</v>
      </c>
      <c r="S27" s="181">
        <f t="shared" si="8"/>
        <v>2025.8437500000002</v>
      </c>
      <c r="T27" s="182">
        <f>'Program Budget'!T29</f>
        <v>11</v>
      </c>
      <c r="U27" s="185">
        <f>'Program Budget'!S29</f>
        <v>0.25</v>
      </c>
      <c r="V27" s="184">
        <f t="shared" si="9"/>
        <v>5571.0703125000009</v>
      </c>
      <c r="W27" s="320">
        <f t="shared" si="10"/>
        <v>26288.361979166668</v>
      </c>
      <c r="X27" s="187"/>
      <c r="Y27" s="174"/>
      <c r="Z27" s="188"/>
      <c r="AA27" s="188"/>
      <c r="AE27" s="148">
        <v>180</v>
      </c>
      <c r="AF27" s="189" t="s">
        <v>121</v>
      </c>
      <c r="AG27" s="189" t="s">
        <v>122</v>
      </c>
      <c r="AH27" s="190"/>
      <c r="AJ27" s="191"/>
    </row>
    <row r="28" spans="1:36" ht="15" customHeight="1" outlineLevel="1">
      <c r="A28" s="179" t="str">
        <f>'Program Budget'!D30</f>
        <v>Administrative Officer</v>
      </c>
      <c r="B28" s="180" t="str">
        <f>'Program Budget'!F30</f>
        <v>Month</v>
      </c>
      <c r="C28" s="181">
        <f>'Program Budget'!H30</f>
        <v>833.33333333333337</v>
      </c>
      <c r="D28" s="182">
        <f>'Program Budget'!G30</f>
        <v>9</v>
      </c>
      <c r="E28" s="183">
        <f>'Program Budget'!E30</f>
        <v>0.25</v>
      </c>
      <c r="F28" s="184">
        <f t="shared" si="1"/>
        <v>1875</v>
      </c>
      <c r="G28" s="181">
        <f t="shared" si="2"/>
        <v>875.00000000000011</v>
      </c>
      <c r="H28" s="182">
        <f>'Program Budget'!K30</f>
        <v>12</v>
      </c>
      <c r="I28" s="185">
        <f>'Program Budget'!J30</f>
        <v>0.25</v>
      </c>
      <c r="J28" s="184">
        <f t="shared" si="3"/>
        <v>2625.0000000000005</v>
      </c>
      <c r="K28" s="181">
        <f t="shared" si="4"/>
        <v>918.75000000000011</v>
      </c>
      <c r="L28" s="182">
        <f>'Program Budget'!N30</f>
        <v>12</v>
      </c>
      <c r="M28" s="185">
        <f>'Program Budget'!M30</f>
        <v>0.25</v>
      </c>
      <c r="N28" s="184">
        <f t="shared" si="5"/>
        <v>2756.2500000000005</v>
      </c>
      <c r="O28" s="181">
        <f t="shared" si="6"/>
        <v>964.68750000000011</v>
      </c>
      <c r="P28" s="182">
        <f>'Program Budget'!Q30</f>
        <v>12</v>
      </c>
      <c r="Q28" s="185">
        <f>'Program Budget'!P30</f>
        <v>0.25</v>
      </c>
      <c r="R28" s="184">
        <f t="shared" si="7"/>
        <v>2894.0625000000005</v>
      </c>
      <c r="S28" s="181">
        <f t="shared" si="8"/>
        <v>1012.9218750000001</v>
      </c>
      <c r="T28" s="182">
        <f>'Program Budget'!T30</f>
        <v>10</v>
      </c>
      <c r="U28" s="185">
        <f>'Program Budget'!S30</f>
        <v>0.25</v>
      </c>
      <c r="V28" s="184">
        <f t="shared" si="9"/>
        <v>2532.3046875000005</v>
      </c>
      <c r="W28" s="320">
        <f t="shared" si="10"/>
        <v>12682.6171875</v>
      </c>
      <c r="X28" s="187"/>
      <c r="Y28" s="174"/>
      <c r="Z28" s="188"/>
      <c r="AA28" s="188"/>
      <c r="AE28" s="148">
        <v>180</v>
      </c>
      <c r="AF28" s="189" t="s">
        <v>121</v>
      </c>
      <c r="AG28" s="189" t="s">
        <v>122</v>
      </c>
      <c r="AH28" s="190"/>
      <c r="AJ28" s="191"/>
    </row>
    <row r="29" spans="1:36" ht="15" customHeight="1" outlineLevel="1">
      <c r="A29" s="179" t="str">
        <f>'Program Budget'!D31</f>
        <v>Human Resources Manager</v>
      </c>
      <c r="B29" s="180" t="str">
        <f>'Program Budget'!F31</f>
        <v>Month</v>
      </c>
      <c r="C29" s="181">
        <f>'Program Budget'!H31</f>
        <v>2500</v>
      </c>
      <c r="D29" s="182">
        <f>'Program Budget'!G31</f>
        <v>11</v>
      </c>
      <c r="E29" s="183">
        <f>'Program Budget'!E31</f>
        <v>0.25</v>
      </c>
      <c r="F29" s="184">
        <f t="shared" si="1"/>
        <v>6875</v>
      </c>
      <c r="G29" s="181">
        <f t="shared" si="2"/>
        <v>2625</v>
      </c>
      <c r="H29" s="182">
        <f>'Program Budget'!K31</f>
        <v>12</v>
      </c>
      <c r="I29" s="185">
        <f>'Program Budget'!J31</f>
        <v>0.25</v>
      </c>
      <c r="J29" s="184">
        <f t="shared" si="3"/>
        <v>7875</v>
      </c>
      <c r="K29" s="181">
        <f t="shared" si="4"/>
        <v>2756.25</v>
      </c>
      <c r="L29" s="182">
        <f>'Program Budget'!N31</f>
        <v>12</v>
      </c>
      <c r="M29" s="185">
        <f>'Program Budget'!M31</f>
        <v>0.25</v>
      </c>
      <c r="N29" s="184">
        <f t="shared" si="5"/>
        <v>8268.75</v>
      </c>
      <c r="O29" s="181">
        <f t="shared" si="6"/>
        <v>2894.0625</v>
      </c>
      <c r="P29" s="182">
        <f>'Program Budget'!Q31</f>
        <v>12</v>
      </c>
      <c r="Q29" s="185">
        <f>'Program Budget'!P31</f>
        <v>0.25</v>
      </c>
      <c r="R29" s="184">
        <f t="shared" si="7"/>
        <v>8682.1875</v>
      </c>
      <c r="S29" s="181">
        <f t="shared" si="8"/>
        <v>3038.765625</v>
      </c>
      <c r="T29" s="182">
        <f>'Program Budget'!T31</f>
        <v>12</v>
      </c>
      <c r="U29" s="185">
        <f>'Program Budget'!S31</f>
        <v>0.25</v>
      </c>
      <c r="V29" s="184">
        <f t="shared" si="9"/>
        <v>9116.296875</v>
      </c>
      <c r="W29" s="320">
        <f t="shared" si="10"/>
        <v>40817.234375</v>
      </c>
      <c r="X29" s="187"/>
      <c r="Y29" s="174"/>
      <c r="Z29" s="188"/>
      <c r="AA29" s="188"/>
      <c r="AE29" s="148">
        <v>180</v>
      </c>
      <c r="AF29" s="189" t="s">
        <v>121</v>
      </c>
      <c r="AG29" s="189" t="s">
        <v>122</v>
      </c>
      <c r="AH29" s="190"/>
      <c r="AJ29" s="191"/>
    </row>
    <row r="30" spans="1:36" ht="15" customHeight="1" outlineLevel="1">
      <c r="A30" s="179" t="str">
        <f>'Program Budget'!D32</f>
        <v>Driver (3 Individuals)</v>
      </c>
      <c r="B30" s="180" t="str">
        <f>'Program Budget'!F32</f>
        <v>Month</v>
      </c>
      <c r="C30" s="181">
        <f>'Program Budget'!H32</f>
        <v>2250</v>
      </c>
      <c r="D30" s="182">
        <f>'Program Budget'!G32</f>
        <v>3</v>
      </c>
      <c r="E30" s="183">
        <f>'Program Budget'!E32</f>
        <v>0.1</v>
      </c>
      <c r="F30" s="184">
        <f t="shared" si="1"/>
        <v>675</v>
      </c>
      <c r="G30" s="181">
        <f t="shared" si="2"/>
        <v>2362.5</v>
      </c>
      <c r="H30" s="182">
        <f>'Program Budget'!K32</f>
        <v>12</v>
      </c>
      <c r="I30" s="185">
        <f>'Program Budget'!J32</f>
        <v>0.25</v>
      </c>
      <c r="J30" s="184">
        <f t="shared" si="3"/>
        <v>7087.5</v>
      </c>
      <c r="K30" s="181">
        <f t="shared" si="4"/>
        <v>2480.625</v>
      </c>
      <c r="L30" s="182">
        <f>'Program Budget'!N32</f>
        <v>12</v>
      </c>
      <c r="M30" s="185">
        <f>'Program Budget'!M32</f>
        <v>0.25</v>
      </c>
      <c r="N30" s="184">
        <f t="shared" si="5"/>
        <v>7441.875</v>
      </c>
      <c r="O30" s="181">
        <f t="shared" si="6"/>
        <v>2604.65625</v>
      </c>
      <c r="P30" s="182">
        <f>'Program Budget'!Q32</f>
        <v>12</v>
      </c>
      <c r="Q30" s="185">
        <f>'Program Budget'!P32</f>
        <v>0.25</v>
      </c>
      <c r="R30" s="184">
        <f t="shared" si="7"/>
        <v>7813.96875</v>
      </c>
      <c r="S30" s="181">
        <f t="shared" si="8"/>
        <v>2734.8890624999999</v>
      </c>
      <c r="T30" s="182">
        <f>'Program Budget'!T32</f>
        <v>9</v>
      </c>
      <c r="U30" s="185">
        <f>'Program Budget'!S32</f>
        <v>0.25</v>
      </c>
      <c r="V30" s="184">
        <f t="shared" si="9"/>
        <v>6153.5003906249995</v>
      </c>
      <c r="W30" s="320">
        <f t="shared" si="10"/>
        <v>29171.844140624999</v>
      </c>
      <c r="X30" s="187"/>
      <c r="Y30" s="174"/>
      <c r="Z30" s="188"/>
      <c r="AA30" s="188"/>
      <c r="AE30" s="148">
        <v>180</v>
      </c>
      <c r="AF30" s="189" t="s">
        <v>121</v>
      </c>
      <c r="AG30" s="189" t="s">
        <v>122</v>
      </c>
      <c r="AH30" s="190"/>
      <c r="AJ30" s="191"/>
    </row>
    <row r="31" spans="1:36" ht="15" customHeight="1" outlineLevel="1">
      <c r="A31" s="194" t="s">
        <v>78</v>
      </c>
      <c r="B31" s="195"/>
      <c r="C31" s="196"/>
      <c r="D31" s="197"/>
      <c r="E31" s="198"/>
      <c r="F31" s="208">
        <f>SUM(F10:F30)</f>
        <v>134629.16666666669</v>
      </c>
      <c r="G31" s="196"/>
      <c r="H31" s="197"/>
      <c r="I31" s="200"/>
      <c r="J31" s="208">
        <f>SUM(J10:J30)</f>
        <v>74340</v>
      </c>
      <c r="K31" s="196"/>
      <c r="L31" s="197"/>
      <c r="M31" s="198"/>
      <c r="N31" s="208">
        <f>SUM(N10:N30)</f>
        <v>78057</v>
      </c>
      <c r="O31" s="196"/>
      <c r="P31" s="197"/>
      <c r="Q31" s="200"/>
      <c r="R31" s="208">
        <f>SUM(R10:R30)</f>
        <v>81959.850000000006</v>
      </c>
      <c r="S31" s="196"/>
      <c r="T31" s="197"/>
      <c r="U31" s="200"/>
      <c r="V31" s="208">
        <f>SUM(V10:V30)</f>
        <v>82183.416328125008</v>
      </c>
      <c r="W31" s="208">
        <f>SUM(W10:W30)</f>
        <v>451169.43299479166</v>
      </c>
      <c r="AE31" s="148"/>
      <c r="AF31" s="189"/>
      <c r="AG31" s="189"/>
    </row>
    <row r="32" spans="1:36" s="175" customFormat="1" ht="15.6" outlineLevel="1">
      <c r="A32" s="176" t="s">
        <v>79</v>
      </c>
      <c r="B32" s="177"/>
      <c r="C32" s="167"/>
      <c r="D32" s="168"/>
      <c r="E32" s="169"/>
      <c r="F32" s="170"/>
      <c r="G32" s="167"/>
      <c r="H32" s="168"/>
      <c r="I32" s="171"/>
      <c r="J32" s="172"/>
      <c r="K32" s="167"/>
      <c r="L32" s="168"/>
      <c r="M32" s="169"/>
      <c r="N32" s="172"/>
      <c r="O32" s="167"/>
      <c r="P32" s="168"/>
      <c r="Q32" s="171"/>
      <c r="R32" s="172"/>
      <c r="S32" s="167"/>
      <c r="T32" s="168"/>
      <c r="U32" s="171"/>
      <c r="V32" s="172"/>
      <c r="W32" s="319"/>
      <c r="X32" s="178"/>
      <c r="Y32" s="142"/>
      <c r="Z32" s="142"/>
      <c r="AA32" s="142"/>
      <c r="AB32" s="142"/>
      <c r="AC32" s="142"/>
      <c r="AD32" s="142"/>
      <c r="AE32" s="148"/>
    </row>
    <row r="33" spans="1:36" ht="15" customHeight="1" outlineLevel="1">
      <c r="A33" s="179" t="str">
        <f>'Program Budget'!D34</f>
        <v xml:space="preserve">Senior Program Director </v>
      </c>
      <c r="B33" s="180" t="str">
        <f>'Program Budget'!F34</f>
        <v>Month</v>
      </c>
      <c r="C33" s="181">
        <f>'Program Budget'!H34</f>
        <v>11250</v>
      </c>
      <c r="D33" s="182">
        <f>'Program Budget'!G34</f>
        <v>12</v>
      </c>
      <c r="E33" s="183">
        <f>'Program Budget'!E34</f>
        <v>0.2</v>
      </c>
      <c r="F33" s="184">
        <f>C33*D33*E33</f>
        <v>27000</v>
      </c>
      <c r="G33" s="181">
        <f t="shared" ref="G33:G34" si="21">C33*1.05</f>
        <v>11812.5</v>
      </c>
      <c r="H33" s="182">
        <f>'Program Budget'!K34</f>
        <v>12</v>
      </c>
      <c r="I33" s="185">
        <f>'Program Budget'!J34</f>
        <v>0.2</v>
      </c>
      <c r="J33" s="184">
        <f>G33*H33*I33</f>
        <v>28350</v>
      </c>
      <c r="K33" s="181">
        <f t="shared" ref="K33:K34" si="22">G33*1.05</f>
        <v>12403.125</v>
      </c>
      <c r="L33" s="182">
        <f>'Program Budget'!N34</f>
        <v>12</v>
      </c>
      <c r="M33" s="185">
        <f>'Program Budget'!M34</f>
        <v>0.2</v>
      </c>
      <c r="N33" s="184">
        <f>K33*L33*M33</f>
        <v>29767.5</v>
      </c>
      <c r="O33" s="181">
        <f t="shared" ref="O33:O34" si="23">K33*1.05</f>
        <v>13023.28125</v>
      </c>
      <c r="P33" s="182">
        <f>'Program Budget'!Q34</f>
        <v>12</v>
      </c>
      <c r="Q33" s="185">
        <f>'Program Budget'!P34</f>
        <v>0.2</v>
      </c>
      <c r="R33" s="184">
        <f>O33*P33*Q33</f>
        <v>31255.875</v>
      </c>
      <c r="S33" s="181">
        <f t="shared" ref="S33:S34" si="24">O33*1.05</f>
        <v>13674.4453125</v>
      </c>
      <c r="T33" s="182">
        <f>'Program Budget'!T34</f>
        <v>12</v>
      </c>
      <c r="U33" s="185">
        <f>'Program Budget'!S34</f>
        <v>0.2</v>
      </c>
      <c r="V33" s="184">
        <f>S33*T33*U33</f>
        <v>32818.668750000004</v>
      </c>
      <c r="W33" s="320">
        <f>F33+J33+N33+R33+V33</f>
        <v>149192.04375000001</v>
      </c>
      <c r="X33" s="187"/>
      <c r="Y33" s="174"/>
      <c r="Z33" s="188"/>
      <c r="AA33" s="188"/>
      <c r="AE33" s="148">
        <v>180</v>
      </c>
      <c r="AF33" s="189" t="s">
        <v>121</v>
      </c>
      <c r="AG33" s="189" t="s">
        <v>122</v>
      </c>
      <c r="AH33" s="190"/>
      <c r="AJ33" s="191"/>
    </row>
    <row r="34" spans="1:36" ht="15" customHeight="1" outlineLevel="1">
      <c r="A34" s="179" t="str">
        <f>'Program Budget'!D35</f>
        <v>Associate Director</v>
      </c>
      <c r="B34" s="180" t="str">
        <f>'Program Budget'!F35</f>
        <v>Month</v>
      </c>
      <c r="C34" s="181">
        <f>'Program Budget'!H35</f>
        <v>7500</v>
      </c>
      <c r="D34" s="182">
        <f>'Program Budget'!G35</f>
        <v>12</v>
      </c>
      <c r="E34" s="183">
        <f>'Program Budget'!E35</f>
        <v>1</v>
      </c>
      <c r="F34" s="184">
        <f>C34*D34*E34</f>
        <v>90000</v>
      </c>
      <c r="G34" s="181">
        <f t="shared" si="21"/>
        <v>7875</v>
      </c>
      <c r="H34" s="182">
        <f>'Program Budget'!K35</f>
        <v>12</v>
      </c>
      <c r="I34" s="185">
        <f>'Program Budget'!J35</f>
        <v>1</v>
      </c>
      <c r="J34" s="184">
        <f>G34*H34*I34</f>
        <v>94500</v>
      </c>
      <c r="K34" s="181">
        <f t="shared" si="22"/>
        <v>8268.75</v>
      </c>
      <c r="L34" s="182">
        <f>'Program Budget'!N35</f>
        <v>12</v>
      </c>
      <c r="M34" s="185">
        <f>'Program Budget'!M35</f>
        <v>1</v>
      </c>
      <c r="N34" s="184">
        <f>K34*L34*M34</f>
        <v>99225</v>
      </c>
      <c r="O34" s="181">
        <f t="shared" si="23"/>
        <v>8682.1875</v>
      </c>
      <c r="P34" s="182">
        <f>'Program Budget'!Q35</f>
        <v>12</v>
      </c>
      <c r="Q34" s="185">
        <f>'Program Budget'!P35</f>
        <v>1</v>
      </c>
      <c r="R34" s="184">
        <f>O34*P34*Q34</f>
        <v>104186.25</v>
      </c>
      <c r="S34" s="181">
        <f t="shared" si="24"/>
        <v>9116.296875</v>
      </c>
      <c r="T34" s="182">
        <f>'Program Budget'!T35</f>
        <v>12</v>
      </c>
      <c r="U34" s="185">
        <f>'Program Budget'!S35</f>
        <v>1</v>
      </c>
      <c r="V34" s="184">
        <f>S34*T34*U34</f>
        <v>109395.5625</v>
      </c>
      <c r="W34" s="322">
        <f>F34+J34+N34+R34+V34</f>
        <v>497306.8125</v>
      </c>
      <c r="X34" s="187"/>
      <c r="Y34" s="174"/>
      <c r="Z34" s="188"/>
      <c r="AA34" s="188"/>
      <c r="AE34" s="148">
        <v>180</v>
      </c>
      <c r="AF34" s="189" t="s">
        <v>121</v>
      </c>
      <c r="AG34" s="189" t="s">
        <v>122</v>
      </c>
      <c r="AH34" s="190"/>
      <c r="AJ34" s="191"/>
    </row>
    <row r="35" spans="1:36" ht="15" customHeight="1" outlineLevel="1">
      <c r="A35" s="194" t="s">
        <v>80</v>
      </c>
      <c r="B35" s="195"/>
      <c r="C35" s="196"/>
      <c r="D35" s="197"/>
      <c r="E35" s="198"/>
      <c r="F35" s="199">
        <f>SUM(F33:F34)</f>
        <v>117000</v>
      </c>
      <c r="G35" s="196"/>
      <c r="H35" s="197"/>
      <c r="I35" s="200"/>
      <c r="J35" s="199">
        <f>SUM(J33:J34)</f>
        <v>122850</v>
      </c>
      <c r="K35" s="196"/>
      <c r="L35" s="197"/>
      <c r="M35" s="198"/>
      <c r="N35" s="199">
        <f>SUM(N33:N34)</f>
        <v>128992.5</v>
      </c>
      <c r="O35" s="196"/>
      <c r="P35" s="197"/>
      <c r="Q35" s="200"/>
      <c r="R35" s="199">
        <f>SUM(R33:R34)</f>
        <v>135442.125</v>
      </c>
      <c r="S35" s="196"/>
      <c r="T35" s="197"/>
      <c r="U35" s="200"/>
      <c r="V35" s="199">
        <f>SUM(V33:V34)</f>
        <v>142214.23125000001</v>
      </c>
      <c r="W35" s="321">
        <f>+F35+J35+N35+R35+V35</f>
        <v>646498.85624999995</v>
      </c>
      <c r="AE35" s="148"/>
      <c r="AF35" s="189"/>
      <c r="AG35" s="189" t="s">
        <v>120</v>
      </c>
    </row>
    <row r="36" spans="1:36" s="175" customFormat="1" ht="15" customHeight="1" outlineLevel="1">
      <c r="A36" s="211"/>
      <c r="B36" s="202"/>
      <c r="C36" s="203"/>
      <c r="D36" s="204"/>
      <c r="E36" s="145"/>
      <c r="F36" s="184"/>
      <c r="G36" s="203"/>
      <c r="H36" s="204"/>
      <c r="I36" s="145"/>
      <c r="J36" s="184"/>
      <c r="K36" s="203"/>
      <c r="L36" s="204"/>
      <c r="M36" s="145"/>
      <c r="N36" s="184"/>
      <c r="O36" s="203"/>
      <c r="P36" s="204"/>
      <c r="Q36" s="145"/>
      <c r="R36" s="184"/>
      <c r="S36" s="203"/>
      <c r="T36" s="204"/>
      <c r="U36" s="145"/>
      <c r="V36" s="184"/>
      <c r="W36" s="322"/>
      <c r="X36" s="142"/>
      <c r="Y36" s="142"/>
      <c r="Z36" s="142"/>
      <c r="AA36" s="142"/>
      <c r="AB36" s="142"/>
      <c r="AC36" s="142"/>
      <c r="AD36" s="142"/>
      <c r="AE36" s="148"/>
      <c r="AF36" s="189"/>
      <c r="AG36" s="189"/>
      <c r="AH36" s="209"/>
      <c r="AI36" s="210"/>
      <c r="AJ36" s="142"/>
    </row>
    <row r="37" spans="1:36" s="222" customFormat="1" ht="15" customHeight="1">
      <c r="A37" s="212" t="s">
        <v>81</v>
      </c>
      <c r="B37" s="213"/>
      <c r="C37" s="214"/>
      <c r="D37" s="215"/>
      <c r="E37" s="216"/>
      <c r="F37" s="217">
        <f>F35+F31+F8</f>
        <v>251629.16666666669</v>
      </c>
      <c r="G37" s="214"/>
      <c r="H37" s="215"/>
      <c r="I37" s="218"/>
      <c r="J37" s="217">
        <f>J35+J31+J8</f>
        <v>197190</v>
      </c>
      <c r="K37" s="214"/>
      <c r="L37" s="215"/>
      <c r="M37" s="216"/>
      <c r="N37" s="217">
        <f>N35+N31+N8</f>
        <v>207049.5</v>
      </c>
      <c r="O37" s="214"/>
      <c r="P37" s="215"/>
      <c r="Q37" s="218"/>
      <c r="R37" s="217">
        <f>R35+R31+R8</f>
        <v>217401.97500000001</v>
      </c>
      <c r="S37" s="214"/>
      <c r="T37" s="215"/>
      <c r="U37" s="218"/>
      <c r="V37" s="217">
        <f>V35+V31+V8</f>
        <v>224397.647578125</v>
      </c>
      <c r="W37" s="323">
        <f>+F37+J37+N37+R37+V37</f>
        <v>1097668.2892447917</v>
      </c>
      <c r="X37" s="220"/>
      <c r="Y37" s="430"/>
      <c r="Z37" s="220"/>
      <c r="AA37" s="220"/>
      <c r="AB37" s="220"/>
      <c r="AC37" s="221"/>
      <c r="AD37" s="221"/>
      <c r="AE37" s="220"/>
      <c r="AG37" s="222" t="s">
        <v>120</v>
      </c>
      <c r="AJ37" s="221"/>
    </row>
    <row r="38" spans="1:36" s="175" customFormat="1" ht="15" customHeight="1" outlineLevel="1">
      <c r="A38" s="176" t="s">
        <v>82</v>
      </c>
      <c r="B38" s="177"/>
      <c r="C38" s="167"/>
      <c r="D38" s="168"/>
      <c r="E38" s="169"/>
      <c r="F38" s="170"/>
      <c r="G38" s="167"/>
      <c r="H38" s="168"/>
      <c r="I38" s="171"/>
      <c r="J38" s="172"/>
      <c r="K38" s="167"/>
      <c r="L38" s="168"/>
      <c r="M38" s="169"/>
      <c r="N38" s="172"/>
      <c r="O38" s="167"/>
      <c r="P38" s="168"/>
      <c r="Q38" s="171"/>
      <c r="R38" s="172"/>
      <c r="S38" s="167"/>
      <c r="T38" s="168"/>
      <c r="U38" s="171"/>
      <c r="V38" s="172"/>
      <c r="W38" s="319"/>
      <c r="X38" s="142"/>
      <c r="Y38" s="142"/>
      <c r="Z38" s="142"/>
      <c r="AA38" s="142"/>
      <c r="AB38" s="142"/>
      <c r="AC38" s="142"/>
      <c r="AD38" s="142"/>
      <c r="AE38" s="148"/>
      <c r="AJ38" s="142"/>
    </row>
    <row r="39" spans="1:36" s="175" customFormat="1" ht="15" customHeight="1" outlineLevel="1">
      <c r="A39" s="223" t="s">
        <v>74</v>
      </c>
      <c r="B39" s="202"/>
      <c r="C39" s="143"/>
      <c r="D39" s="251"/>
      <c r="E39" s="145"/>
      <c r="F39" s="184">
        <f>C39*D39*E39</f>
        <v>0</v>
      </c>
      <c r="G39" s="143"/>
      <c r="H39" s="251"/>
      <c r="I39" s="145"/>
      <c r="J39" s="184">
        <f>G39*H39*I39</f>
        <v>0</v>
      </c>
      <c r="K39" s="143"/>
      <c r="L39" s="251"/>
      <c r="M39" s="145"/>
      <c r="N39" s="184">
        <f>K39*L39*M39</f>
        <v>0</v>
      </c>
      <c r="O39" s="143"/>
      <c r="P39" s="251"/>
      <c r="Q39" s="145"/>
      <c r="R39" s="184">
        <f>O39*P39*Q39</f>
        <v>0</v>
      </c>
      <c r="S39" s="143"/>
      <c r="T39" s="251"/>
      <c r="U39" s="145"/>
      <c r="V39" s="184">
        <f>S39*T39*U39</f>
        <v>0</v>
      </c>
      <c r="W39" s="192">
        <f t="shared" ref="W39" si="25">F39+J39+N39+R39+V39</f>
        <v>0</v>
      </c>
      <c r="X39" s="142"/>
      <c r="Y39" s="142"/>
      <c r="Z39" s="142"/>
      <c r="AA39" s="142"/>
      <c r="AB39" s="142"/>
      <c r="AC39" s="142"/>
      <c r="AD39" s="142"/>
      <c r="AE39" s="148">
        <v>194</v>
      </c>
      <c r="AF39" s="189" t="s">
        <v>123</v>
      </c>
      <c r="AG39" s="189" t="s">
        <v>124</v>
      </c>
      <c r="AJ39" s="142"/>
    </row>
    <row r="40" spans="1:36" s="175" customFormat="1" ht="15" customHeight="1" outlineLevel="1">
      <c r="A40" s="223" t="s">
        <v>83</v>
      </c>
      <c r="B40" s="202" t="str">
        <f>'Program Budget'!F41</f>
        <v>%</v>
      </c>
      <c r="C40" s="330">
        <f>F31</f>
        <v>134629.16666666669</v>
      </c>
      <c r="D40" s="204">
        <v>1</v>
      </c>
      <c r="E40" s="145">
        <f>'Program Budget'!H40</f>
        <v>0.45500000000000002</v>
      </c>
      <c r="F40" s="184">
        <f>C40*D40*E40</f>
        <v>61256.270833333343</v>
      </c>
      <c r="G40" s="330">
        <f>J31</f>
        <v>74340</v>
      </c>
      <c r="H40" s="204">
        <v>1</v>
      </c>
      <c r="I40" s="145">
        <f t="shared" ref="I40:I41" si="26">E40</f>
        <v>0.45500000000000002</v>
      </c>
      <c r="J40" s="184">
        <f t="shared" ref="J40:J41" si="27">G40*H40*I40</f>
        <v>33824.700000000004</v>
      </c>
      <c r="K40" s="330">
        <f>N31</f>
        <v>78057</v>
      </c>
      <c r="L40" s="204">
        <v>1</v>
      </c>
      <c r="M40" s="145">
        <f t="shared" ref="M40:M41" si="28">I40</f>
        <v>0.45500000000000002</v>
      </c>
      <c r="N40" s="184">
        <f t="shared" ref="N40:N41" si="29">K40*L40*M40</f>
        <v>35515.934999999998</v>
      </c>
      <c r="O40" s="330">
        <f>R31</f>
        <v>81959.850000000006</v>
      </c>
      <c r="P40" s="204">
        <v>1</v>
      </c>
      <c r="Q40" s="145">
        <f t="shared" ref="Q40:Q41" si="30">M40</f>
        <v>0.45500000000000002</v>
      </c>
      <c r="R40" s="184">
        <f t="shared" ref="R40:R41" si="31">O40*P40*Q40</f>
        <v>37291.731750000006</v>
      </c>
      <c r="S40" s="330">
        <f>V31</f>
        <v>82183.416328125008</v>
      </c>
      <c r="T40" s="204">
        <v>1</v>
      </c>
      <c r="U40" s="145">
        <f t="shared" ref="U40:U41" si="32">Q40</f>
        <v>0.45500000000000002</v>
      </c>
      <c r="V40" s="184">
        <f t="shared" ref="V40:V41" si="33">S40*T40*U40</f>
        <v>37393.454429296879</v>
      </c>
      <c r="W40" s="320">
        <f t="shared" ref="W40:W41" si="34">F40+J40+N40+R40+V40</f>
        <v>205282.09201263025</v>
      </c>
      <c r="X40" s="142"/>
      <c r="Y40" s="142"/>
      <c r="Z40" s="142"/>
      <c r="AA40" s="142"/>
      <c r="AB40" s="142"/>
      <c r="AC40" s="142"/>
      <c r="AD40" s="142"/>
      <c r="AE40" s="224">
        <v>197</v>
      </c>
      <c r="AF40" s="225" t="s">
        <v>125</v>
      </c>
      <c r="AG40" s="225" t="s">
        <v>126</v>
      </c>
      <c r="AJ40" s="142"/>
    </row>
    <row r="41" spans="1:36" s="175" customFormat="1" ht="15" customHeight="1" outlineLevel="1">
      <c r="A41" s="226" t="s">
        <v>84</v>
      </c>
      <c r="B41" s="202" t="e">
        <f>'Program Budget'!#REF!</f>
        <v>#REF!</v>
      </c>
      <c r="C41" s="331">
        <f>F35</f>
        <v>117000</v>
      </c>
      <c r="D41" s="229">
        <v>1</v>
      </c>
      <c r="E41" s="145">
        <f>'Program Budget'!H41</f>
        <v>0.23469999999999999</v>
      </c>
      <c r="F41" s="231">
        <f>C41*D41*E41</f>
        <v>27459.899999999998</v>
      </c>
      <c r="G41" s="331">
        <f>J35</f>
        <v>122850</v>
      </c>
      <c r="H41" s="229">
        <v>1</v>
      </c>
      <c r="I41" s="145">
        <f t="shared" si="26"/>
        <v>0.23469999999999999</v>
      </c>
      <c r="J41" s="231">
        <f t="shared" si="27"/>
        <v>28832.895</v>
      </c>
      <c r="K41" s="331">
        <f>N35</f>
        <v>128992.5</v>
      </c>
      <c r="L41" s="229">
        <v>1</v>
      </c>
      <c r="M41" s="145">
        <f t="shared" si="28"/>
        <v>0.23469999999999999</v>
      </c>
      <c r="N41" s="231">
        <f t="shared" si="29"/>
        <v>30274.53975</v>
      </c>
      <c r="O41" s="331">
        <f>R35</f>
        <v>135442.125</v>
      </c>
      <c r="P41" s="229">
        <v>1</v>
      </c>
      <c r="Q41" s="145">
        <f t="shared" si="30"/>
        <v>0.23469999999999999</v>
      </c>
      <c r="R41" s="231">
        <f t="shared" si="31"/>
        <v>31788.266737499998</v>
      </c>
      <c r="S41" s="331">
        <f>V35</f>
        <v>142214.23125000001</v>
      </c>
      <c r="T41" s="229">
        <v>1</v>
      </c>
      <c r="U41" s="145">
        <f t="shared" si="32"/>
        <v>0.23469999999999999</v>
      </c>
      <c r="V41" s="231">
        <f t="shared" si="33"/>
        <v>33377.680074374999</v>
      </c>
      <c r="W41" s="324">
        <f t="shared" si="34"/>
        <v>151733.28156187499</v>
      </c>
      <c r="X41" s="142"/>
      <c r="Y41" s="142"/>
      <c r="Z41" s="142"/>
      <c r="AA41" s="142"/>
      <c r="AB41" s="142"/>
      <c r="AC41" s="142"/>
      <c r="AD41" s="142"/>
      <c r="AE41" s="148">
        <v>193</v>
      </c>
      <c r="AF41" s="189" t="s">
        <v>127</v>
      </c>
      <c r="AG41" s="189" t="s">
        <v>128</v>
      </c>
      <c r="AJ41" s="142"/>
    </row>
    <row r="42" spans="1:36" ht="15" customHeight="1" outlineLevel="1">
      <c r="A42" s="194" t="s">
        <v>85</v>
      </c>
      <c r="B42" s="195"/>
      <c r="C42" s="196"/>
      <c r="D42" s="197"/>
      <c r="E42" s="198"/>
      <c r="F42" s="199">
        <f>+SUM(F39:F41)</f>
        <v>88716.170833333337</v>
      </c>
      <c r="G42" s="196"/>
      <c r="H42" s="197"/>
      <c r="I42" s="200"/>
      <c r="J42" s="199">
        <f>+SUM(J39:J41)</f>
        <v>62657.595000000001</v>
      </c>
      <c r="K42" s="196"/>
      <c r="L42" s="197"/>
      <c r="M42" s="198"/>
      <c r="N42" s="199">
        <f>+SUM(N39:N41)</f>
        <v>65790.474749999994</v>
      </c>
      <c r="O42" s="196"/>
      <c r="P42" s="197"/>
      <c r="Q42" s="200"/>
      <c r="R42" s="199">
        <f>+SUM(R39:R41)</f>
        <v>69079.998487500008</v>
      </c>
      <c r="S42" s="196"/>
      <c r="T42" s="197"/>
      <c r="U42" s="200"/>
      <c r="V42" s="199">
        <f>+SUM(V39:V41)</f>
        <v>70771.13450367187</v>
      </c>
      <c r="W42" s="321">
        <f>+F42+J42+N42+R42+V42</f>
        <v>357015.37357450521</v>
      </c>
      <c r="AE42" s="148"/>
      <c r="AF42" s="189"/>
      <c r="AG42" s="189"/>
    </row>
    <row r="43" spans="1:36" s="175" customFormat="1" ht="15" customHeight="1" outlineLevel="1">
      <c r="A43" s="176" t="s">
        <v>86</v>
      </c>
      <c r="B43" s="233"/>
      <c r="C43" s="203"/>
      <c r="D43" s="204"/>
      <c r="E43" s="145"/>
      <c r="F43" s="234"/>
      <c r="G43" s="203"/>
      <c r="H43" s="204"/>
      <c r="I43" s="146"/>
      <c r="J43" s="207"/>
      <c r="K43" s="203"/>
      <c r="L43" s="204"/>
      <c r="M43" s="145"/>
      <c r="N43" s="207"/>
      <c r="O43" s="203"/>
      <c r="P43" s="204"/>
      <c r="Q43" s="146"/>
      <c r="R43" s="207"/>
      <c r="S43" s="203"/>
      <c r="T43" s="204"/>
      <c r="U43" s="146"/>
      <c r="V43" s="207"/>
      <c r="W43" s="320"/>
      <c r="X43" s="142"/>
      <c r="Y43" s="142"/>
      <c r="Z43" s="142"/>
      <c r="AA43" s="142"/>
      <c r="AB43" s="142"/>
      <c r="AC43" s="142"/>
      <c r="AD43" s="142"/>
      <c r="AE43" s="148"/>
      <c r="AF43" s="189"/>
      <c r="AG43" s="189" t="s">
        <v>120</v>
      </c>
      <c r="AJ43" s="142"/>
    </row>
    <row r="44" spans="1:36" outlineLevel="1">
      <c r="A44" s="179" t="s">
        <v>75</v>
      </c>
      <c r="B44" s="202"/>
      <c r="D44" s="251"/>
      <c r="F44" s="184">
        <f>C44*D44*E44</f>
        <v>0</v>
      </c>
      <c r="H44" s="251"/>
      <c r="I44" s="145"/>
      <c r="J44" s="184">
        <f>G44*H44*I44</f>
        <v>0</v>
      </c>
      <c r="L44" s="251"/>
      <c r="N44" s="184">
        <f>K44*L44*M44</f>
        <v>0</v>
      </c>
      <c r="P44" s="251"/>
      <c r="Q44" s="145"/>
      <c r="R44" s="184">
        <f>O44*P44*Q44</f>
        <v>0</v>
      </c>
      <c r="T44" s="251"/>
      <c r="U44" s="145"/>
      <c r="V44" s="184">
        <f>S44*T44*U44</f>
        <v>0</v>
      </c>
      <c r="W44" s="186">
        <f t="shared" ref="W44" si="35">F44+J44+N44+R44+V44</f>
        <v>0</v>
      </c>
      <c r="AE44" s="148"/>
      <c r="AF44" s="189"/>
      <c r="AG44" s="189"/>
    </row>
    <row r="45" spans="1:36" ht="15" customHeight="1" outlineLevel="1">
      <c r="A45" s="194" t="s">
        <v>87</v>
      </c>
      <c r="B45" s="195"/>
      <c r="C45" s="196"/>
      <c r="D45" s="197"/>
      <c r="E45" s="198"/>
      <c r="F45" s="199">
        <f>SUM(F44:F44)</f>
        <v>0</v>
      </c>
      <c r="G45" s="196"/>
      <c r="H45" s="197"/>
      <c r="I45" s="200"/>
      <c r="J45" s="199">
        <f>SUM(J44:J44)</f>
        <v>0</v>
      </c>
      <c r="K45" s="196"/>
      <c r="L45" s="197"/>
      <c r="M45" s="198"/>
      <c r="N45" s="199">
        <f>SUM(N44:N44)</f>
        <v>0</v>
      </c>
      <c r="O45" s="196"/>
      <c r="P45" s="197"/>
      <c r="Q45" s="200"/>
      <c r="R45" s="199">
        <f>SUM(R44:R44)</f>
        <v>0</v>
      </c>
      <c r="S45" s="196"/>
      <c r="T45" s="197"/>
      <c r="U45" s="200"/>
      <c r="V45" s="199">
        <f>SUM(V44:V44)</f>
        <v>0</v>
      </c>
      <c r="W45" s="321">
        <f>F45+J45+N45+R45+V45</f>
        <v>0</v>
      </c>
      <c r="AE45" s="148"/>
      <c r="AF45" s="189"/>
      <c r="AG45" s="189"/>
    </row>
    <row r="46" spans="1:36" ht="15" customHeight="1" outlineLevel="1">
      <c r="A46" s="333"/>
      <c r="B46" s="227"/>
      <c r="C46" s="334"/>
      <c r="D46" s="335"/>
      <c r="E46" s="230"/>
      <c r="F46" s="336"/>
      <c r="G46" s="334"/>
      <c r="H46" s="335"/>
      <c r="I46" s="302"/>
      <c r="J46" s="336"/>
      <c r="K46" s="334"/>
      <c r="L46" s="335"/>
      <c r="M46" s="230"/>
      <c r="N46" s="336"/>
      <c r="O46" s="334"/>
      <c r="P46" s="335"/>
      <c r="Q46" s="302"/>
      <c r="R46" s="336"/>
      <c r="S46" s="334"/>
      <c r="T46" s="335"/>
      <c r="U46" s="302"/>
      <c r="V46" s="336"/>
      <c r="W46" s="321"/>
      <c r="AE46" s="148"/>
      <c r="AF46" s="189"/>
      <c r="AG46" s="189"/>
    </row>
    <row r="47" spans="1:36" s="244" customFormat="1" ht="18.3" outlineLevel="1">
      <c r="A47" s="235" t="s">
        <v>88</v>
      </c>
      <c r="B47" s="236"/>
      <c r="C47" s="237"/>
      <c r="D47" s="238"/>
      <c r="E47" s="239"/>
      <c r="F47" s="240">
        <f>F45+F42</f>
        <v>88716.170833333337</v>
      </c>
      <c r="G47" s="237"/>
      <c r="H47" s="238"/>
      <c r="I47" s="241"/>
      <c r="J47" s="240">
        <f>J45+J42</f>
        <v>62657.595000000001</v>
      </c>
      <c r="K47" s="237"/>
      <c r="L47" s="238"/>
      <c r="M47" s="239"/>
      <c r="N47" s="240">
        <f>N45+N42</f>
        <v>65790.474749999994</v>
      </c>
      <c r="O47" s="237"/>
      <c r="P47" s="238"/>
      <c r="Q47" s="241"/>
      <c r="R47" s="240">
        <f>R45+R42</f>
        <v>69079.998487500008</v>
      </c>
      <c r="S47" s="237"/>
      <c r="T47" s="238"/>
      <c r="U47" s="241"/>
      <c r="V47" s="240">
        <f>V45+V42</f>
        <v>70771.13450367187</v>
      </c>
      <c r="W47" s="323">
        <f>+F47+J47+N47+R47+V47</f>
        <v>357015.37357450521</v>
      </c>
      <c r="X47" s="221"/>
      <c r="Y47" s="221"/>
      <c r="Z47" s="221"/>
      <c r="AA47" s="221"/>
      <c r="AB47" s="221"/>
      <c r="AC47" s="221"/>
      <c r="AD47" s="221"/>
      <c r="AE47" s="220">
        <v>287</v>
      </c>
      <c r="AF47" s="242" t="s">
        <v>129</v>
      </c>
      <c r="AG47" s="242" t="s">
        <v>130</v>
      </c>
      <c r="AH47" s="243"/>
      <c r="AJ47" s="221"/>
    </row>
    <row r="48" spans="1:36" s="246" customFormat="1" ht="15.6" outlineLevel="1">
      <c r="A48" s="176" t="s">
        <v>89</v>
      </c>
      <c r="B48" s="177"/>
      <c r="C48" s="143"/>
      <c r="D48" s="144"/>
      <c r="E48" s="169"/>
      <c r="F48" s="184"/>
      <c r="G48" s="143"/>
      <c r="H48" s="144"/>
      <c r="I48" s="171"/>
      <c r="J48" s="184"/>
      <c r="K48" s="143"/>
      <c r="L48" s="144"/>
      <c r="M48" s="169"/>
      <c r="N48" s="184"/>
      <c r="O48" s="143"/>
      <c r="P48" s="144"/>
      <c r="Q48" s="171"/>
      <c r="R48" s="184"/>
      <c r="S48" s="143"/>
      <c r="T48" s="144"/>
      <c r="U48" s="171"/>
      <c r="V48" s="184"/>
      <c r="W48" s="320"/>
      <c r="X48" s="142"/>
      <c r="Y48" s="142"/>
      <c r="Z48" s="142"/>
      <c r="AA48" s="142"/>
      <c r="AB48" s="142"/>
      <c r="AC48" s="142"/>
      <c r="AD48" s="142"/>
      <c r="AE48" s="148"/>
      <c r="AF48" s="189"/>
      <c r="AG48" s="189" t="s">
        <v>120</v>
      </c>
      <c r="AH48" s="245"/>
      <c r="AJ48" s="142"/>
    </row>
    <row r="49" spans="1:36" ht="15" customHeight="1" outlineLevel="1">
      <c r="A49" s="179" t="str">
        <f>'Program Budget'!D47</f>
        <v>Airfare - DC-Tunisia - HQ Project Management Trip</v>
      </c>
      <c r="B49" s="180" t="str">
        <f>'Program Budget'!F47</f>
        <v>Trip</v>
      </c>
      <c r="C49" s="181">
        <f>'Program Budget'!H47</f>
        <v>1400</v>
      </c>
      <c r="D49" s="182">
        <f>'Program Budget'!G47</f>
        <v>5</v>
      </c>
      <c r="E49" s="183">
        <v>1</v>
      </c>
      <c r="F49" s="184">
        <f>C49*D49*E49</f>
        <v>7000</v>
      </c>
      <c r="G49" s="181">
        <f>C49*1.07</f>
        <v>1498</v>
      </c>
      <c r="H49" s="182">
        <f>'Program Budget'!K47</f>
        <v>5</v>
      </c>
      <c r="I49" s="183">
        <v>1</v>
      </c>
      <c r="J49" s="184">
        <f>G49*H49*I49</f>
        <v>7490</v>
      </c>
      <c r="K49" s="181">
        <f>G49*1.07</f>
        <v>1602.8600000000001</v>
      </c>
      <c r="L49" s="182">
        <f>'Program Budget'!N47</f>
        <v>5</v>
      </c>
      <c r="M49" s="183">
        <v>1</v>
      </c>
      <c r="N49" s="184">
        <f>K49*L49*M49</f>
        <v>8014.3000000000011</v>
      </c>
      <c r="O49" s="181">
        <f>K49*1.07</f>
        <v>1715.0602000000001</v>
      </c>
      <c r="P49" s="182">
        <f>'Program Budget'!Q47</f>
        <v>5</v>
      </c>
      <c r="Q49" s="183">
        <v>1</v>
      </c>
      <c r="R49" s="184">
        <f>O49*P49*Q49</f>
        <v>8575.3010000000013</v>
      </c>
      <c r="S49" s="181">
        <f>O49*1.07</f>
        <v>1835.1144140000001</v>
      </c>
      <c r="T49" s="182">
        <f>'Program Budget'!T47</f>
        <v>5</v>
      </c>
      <c r="U49" s="183">
        <v>1</v>
      </c>
      <c r="V49" s="184">
        <f>S49*T49*U49</f>
        <v>9175.5720700000002</v>
      </c>
      <c r="W49" s="320">
        <f>F49+J49+N49+R49+V49</f>
        <v>40255.173070000004</v>
      </c>
      <c r="X49" s="187"/>
      <c r="Y49" s="174"/>
      <c r="Z49" s="188"/>
      <c r="AA49" s="188"/>
      <c r="AE49" s="148">
        <v>180</v>
      </c>
      <c r="AF49" s="189" t="s">
        <v>121</v>
      </c>
      <c r="AG49" s="189" t="s">
        <v>122</v>
      </c>
      <c r="AH49" s="190"/>
      <c r="AJ49" s="191"/>
    </row>
    <row r="50" spans="1:36" ht="15" customHeight="1" outlineLevel="1">
      <c r="A50" s="179" t="str">
        <f>'Program Budget'!D52</f>
        <v>Airfare - Roundtrip - Tunisia to USA</v>
      </c>
      <c r="B50" s="180" t="str">
        <f>'Program Budget'!F52</f>
        <v>Trip</v>
      </c>
      <c r="C50" s="181">
        <f>'Program Budget'!H52</f>
        <v>1400</v>
      </c>
      <c r="D50" s="182">
        <f>'Program Budget'!G52</f>
        <v>4</v>
      </c>
      <c r="E50" s="183">
        <v>1</v>
      </c>
      <c r="F50" s="184">
        <f>C50*D50*E50</f>
        <v>5600</v>
      </c>
      <c r="G50" s="181">
        <f t="shared" ref="G50:G62" si="36">C50*1.07</f>
        <v>1498</v>
      </c>
      <c r="H50" s="182">
        <f>'Program Budget'!K52</f>
        <v>4</v>
      </c>
      <c r="I50" s="183">
        <v>1</v>
      </c>
      <c r="J50" s="184">
        <f>G50*H50*I50</f>
        <v>5992</v>
      </c>
      <c r="K50" s="181">
        <f t="shared" ref="K50:K62" si="37">G50*1.07</f>
        <v>1602.8600000000001</v>
      </c>
      <c r="L50" s="182">
        <f>'Program Budget'!N52</f>
        <v>4</v>
      </c>
      <c r="M50" s="183">
        <v>1</v>
      </c>
      <c r="N50" s="184">
        <f>K50*L50*M50</f>
        <v>6411.4400000000005</v>
      </c>
      <c r="O50" s="181">
        <f t="shared" ref="O50:O62" si="38">K50*1.07</f>
        <v>1715.0602000000001</v>
      </c>
      <c r="P50" s="182">
        <f>'Program Budget'!Q52</f>
        <v>4</v>
      </c>
      <c r="Q50" s="183">
        <v>1</v>
      </c>
      <c r="R50" s="184">
        <f>O50*P50*Q50</f>
        <v>6860.2408000000005</v>
      </c>
      <c r="S50" s="181">
        <f t="shared" ref="S50:S62" si="39">O50*1.07</f>
        <v>1835.1144140000001</v>
      </c>
      <c r="T50" s="182">
        <f>'Program Budget'!T52</f>
        <v>4</v>
      </c>
      <c r="U50" s="183">
        <v>1</v>
      </c>
      <c r="V50" s="184">
        <f>S50*T50*U50</f>
        <v>7340.4576560000005</v>
      </c>
      <c r="W50" s="320">
        <f>F50+J50+N50+R50+V50</f>
        <v>32204.138456000001</v>
      </c>
      <c r="X50" s="187"/>
      <c r="Y50" s="174"/>
      <c r="Z50" s="188"/>
      <c r="AA50" s="188"/>
      <c r="AE50" s="148">
        <v>180</v>
      </c>
      <c r="AF50" s="189" t="s">
        <v>121</v>
      </c>
      <c r="AG50" s="189" t="s">
        <v>122</v>
      </c>
      <c r="AH50" s="190"/>
      <c r="AJ50" s="191"/>
    </row>
    <row r="51" spans="1:36" s="246" customFormat="1" ht="15.6" outlineLevel="1">
      <c r="A51" s="176" t="s">
        <v>90</v>
      </c>
      <c r="B51" s="177"/>
      <c r="C51" s="143"/>
      <c r="D51" s="144"/>
      <c r="E51" s="169"/>
      <c r="F51" s="184"/>
      <c r="G51" s="181"/>
      <c r="H51" s="144"/>
      <c r="I51" s="171"/>
      <c r="J51" s="184"/>
      <c r="K51" s="181"/>
      <c r="L51" s="144"/>
      <c r="M51" s="169"/>
      <c r="N51" s="184"/>
      <c r="O51" s="181"/>
      <c r="P51" s="144"/>
      <c r="Q51" s="171"/>
      <c r="R51" s="184"/>
      <c r="S51" s="181"/>
      <c r="T51" s="144"/>
      <c r="U51" s="171"/>
      <c r="V51" s="184"/>
      <c r="W51" s="320"/>
      <c r="X51" s="142"/>
      <c r="Y51" s="142"/>
      <c r="Z51" s="142"/>
      <c r="AA51" s="142"/>
      <c r="AB51" s="142"/>
      <c r="AC51" s="142"/>
      <c r="AD51" s="142"/>
      <c r="AE51" s="148"/>
      <c r="AF51" s="189"/>
      <c r="AG51" s="189"/>
      <c r="AH51" s="245"/>
      <c r="AJ51" s="142"/>
    </row>
    <row r="52" spans="1:36" ht="15" customHeight="1" outlineLevel="1">
      <c r="A52" s="179" t="str">
        <f>'Program Budget'!D49</f>
        <v>Ground Transportation – HQ Project Management Trip</v>
      </c>
      <c r="B52" s="180" t="str">
        <f>'Program Budget'!F49</f>
        <v>Trip</v>
      </c>
      <c r="C52" s="181">
        <f>'Program Budget'!H49</f>
        <v>150</v>
      </c>
      <c r="D52" s="182">
        <f>'Program Budget'!G49</f>
        <v>5</v>
      </c>
      <c r="E52" s="183">
        <v>1</v>
      </c>
      <c r="F52" s="184">
        <f>C52*D52*E52</f>
        <v>750</v>
      </c>
      <c r="G52" s="181">
        <f t="shared" si="36"/>
        <v>160.5</v>
      </c>
      <c r="H52" s="182">
        <f>'Program Budget'!K49</f>
        <v>5</v>
      </c>
      <c r="I52" s="183">
        <v>1</v>
      </c>
      <c r="J52" s="184">
        <f>G52*H52*I52</f>
        <v>802.5</v>
      </c>
      <c r="K52" s="181">
        <f t="shared" si="37"/>
        <v>171.73500000000001</v>
      </c>
      <c r="L52" s="182">
        <f>'Program Budget'!N49</f>
        <v>5</v>
      </c>
      <c r="M52" s="183">
        <v>1</v>
      </c>
      <c r="N52" s="184">
        <f>K52*L52*M52</f>
        <v>858.67500000000007</v>
      </c>
      <c r="O52" s="181">
        <f t="shared" si="38"/>
        <v>183.75645000000003</v>
      </c>
      <c r="P52" s="182">
        <f>'Program Budget'!Q49</f>
        <v>5</v>
      </c>
      <c r="Q52" s="183">
        <v>1</v>
      </c>
      <c r="R52" s="184">
        <f>O52*P52*Q52</f>
        <v>918.7822500000002</v>
      </c>
      <c r="S52" s="181">
        <f t="shared" si="39"/>
        <v>196.61940150000004</v>
      </c>
      <c r="T52" s="182">
        <f>'Program Budget'!T49</f>
        <v>5</v>
      </c>
      <c r="U52" s="183">
        <v>1</v>
      </c>
      <c r="V52" s="184">
        <f>S52*T52*U52</f>
        <v>983.09700750000025</v>
      </c>
      <c r="W52" s="320">
        <f>F52+J52+N52+R52+V52</f>
        <v>4313.0542575000009</v>
      </c>
      <c r="X52" s="187"/>
      <c r="Y52" s="174"/>
      <c r="Z52" s="188"/>
      <c r="AA52" s="188"/>
      <c r="AE52" s="148">
        <v>180</v>
      </c>
      <c r="AF52" s="189" t="s">
        <v>121</v>
      </c>
      <c r="AG52" s="189" t="s">
        <v>122</v>
      </c>
      <c r="AH52" s="190"/>
      <c r="AJ52" s="191"/>
    </row>
    <row r="53" spans="1:36" ht="15" customHeight="1" outlineLevel="1">
      <c r="A53" s="179" t="str">
        <f>'Program Budget'!D54</f>
        <v>Ground Transportation for Tunisia Staff Travel</v>
      </c>
      <c r="B53" s="180" t="str">
        <f>'Program Budget'!F58</f>
        <v>Trip</v>
      </c>
      <c r="C53" s="181">
        <f>'Program Budget'!H54</f>
        <v>150</v>
      </c>
      <c r="D53" s="182">
        <f>'Program Budget'!G54</f>
        <v>4</v>
      </c>
      <c r="E53" s="183">
        <v>1</v>
      </c>
      <c r="F53" s="184">
        <f>C53*D53*E53</f>
        <v>600</v>
      </c>
      <c r="G53" s="181">
        <f t="shared" si="36"/>
        <v>160.5</v>
      </c>
      <c r="H53" s="182">
        <f>'Program Budget'!K54</f>
        <v>4</v>
      </c>
      <c r="I53" s="183">
        <v>1</v>
      </c>
      <c r="J53" s="184">
        <f>G53*H53*I53</f>
        <v>642</v>
      </c>
      <c r="K53" s="181">
        <f t="shared" si="37"/>
        <v>171.73500000000001</v>
      </c>
      <c r="L53" s="182">
        <f>'Program Budget'!N54</f>
        <v>4</v>
      </c>
      <c r="M53" s="183">
        <v>1</v>
      </c>
      <c r="N53" s="184">
        <f>K53*L53*M53</f>
        <v>686.94</v>
      </c>
      <c r="O53" s="181">
        <f t="shared" si="38"/>
        <v>183.75645000000003</v>
      </c>
      <c r="P53" s="182">
        <f>'Program Budget'!Q54</f>
        <v>4</v>
      </c>
      <c r="Q53" s="183">
        <v>1</v>
      </c>
      <c r="R53" s="184">
        <f>O53*P53*Q53</f>
        <v>735.02580000000012</v>
      </c>
      <c r="S53" s="181">
        <f t="shared" si="39"/>
        <v>196.61940150000004</v>
      </c>
      <c r="T53" s="182">
        <f>'Program Budget'!T54</f>
        <v>4</v>
      </c>
      <c r="U53" s="183">
        <v>1</v>
      </c>
      <c r="V53" s="184">
        <f>S53*T53*U53</f>
        <v>786.47760600000015</v>
      </c>
      <c r="W53" s="320">
        <f>F53+J53+N53+R53+V53</f>
        <v>3450.4434060000003</v>
      </c>
      <c r="X53" s="187"/>
      <c r="Y53" s="174"/>
      <c r="Z53" s="188"/>
      <c r="AA53" s="188"/>
      <c r="AE53" s="148">
        <v>180</v>
      </c>
      <c r="AF53" s="189" t="s">
        <v>121</v>
      </c>
      <c r="AG53" s="189" t="s">
        <v>122</v>
      </c>
      <c r="AH53" s="190"/>
      <c r="AJ53" s="191"/>
    </row>
    <row r="54" spans="1:36" ht="15" customHeight="1" outlineLevel="1">
      <c r="A54" s="179" t="str">
        <f>'Program Budget'!D58</f>
        <v>Local Transportation (Car Rental, Taxis)  – Training, M&amp;E, &amp; Data Collection</v>
      </c>
      <c r="B54" s="180" t="str">
        <f>'Program Budget'!F58</f>
        <v>Trip</v>
      </c>
      <c r="C54" s="181">
        <f>'Program Budget'!H58</f>
        <v>100</v>
      </c>
      <c r="D54" s="182">
        <f>'Program Budget'!G58</f>
        <v>36</v>
      </c>
      <c r="E54" s="183">
        <v>1</v>
      </c>
      <c r="F54" s="184">
        <f>C54*D54*E54</f>
        <v>3600</v>
      </c>
      <c r="G54" s="181">
        <f t="shared" si="36"/>
        <v>107</v>
      </c>
      <c r="H54" s="182">
        <f>'Program Budget'!K58</f>
        <v>36</v>
      </c>
      <c r="I54" s="183">
        <v>1</v>
      </c>
      <c r="J54" s="184">
        <f>G54*H54*I54</f>
        <v>3852</v>
      </c>
      <c r="K54" s="181">
        <f t="shared" si="37"/>
        <v>114.49000000000001</v>
      </c>
      <c r="L54" s="182">
        <f>'Program Budget'!N58</f>
        <v>36</v>
      </c>
      <c r="M54" s="183">
        <v>1</v>
      </c>
      <c r="N54" s="184">
        <f>K54*L54*M54</f>
        <v>4121.6400000000003</v>
      </c>
      <c r="O54" s="181">
        <f t="shared" si="38"/>
        <v>122.50430000000001</v>
      </c>
      <c r="P54" s="182">
        <f>'Program Budget'!Q58</f>
        <v>36</v>
      </c>
      <c r="Q54" s="183">
        <v>1</v>
      </c>
      <c r="R54" s="184">
        <f>O54*P54*Q54</f>
        <v>4410.1548000000003</v>
      </c>
      <c r="S54" s="181">
        <f t="shared" si="39"/>
        <v>131.07960100000003</v>
      </c>
      <c r="T54" s="182">
        <f>'Program Budget'!T58</f>
        <v>36</v>
      </c>
      <c r="U54" s="183">
        <v>1</v>
      </c>
      <c r="V54" s="184">
        <f>S54*T54*U54</f>
        <v>4718.8656360000004</v>
      </c>
      <c r="W54" s="320">
        <f>F54+J54+N54+R54+V54</f>
        <v>20702.660435999998</v>
      </c>
      <c r="X54" s="187"/>
      <c r="Y54" s="174"/>
      <c r="Z54" s="188"/>
      <c r="AA54" s="188"/>
      <c r="AE54" s="148">
        <v>180</v>
      </c>
      <c r="AF54" s="189" t="s">
        <v>121</v>
      </c>
      <c r="AG54" s="189" t="s">
        <v>122</v>
      </c>
      <c r="AH54" s="190"/>
      <c r="AJ54" s="191"/>
    </row>
    <row r="55" spans="1:36" s="246" customFormat="1" ht="15.6" outlineLevel="1">
      <c r="A55" s="176" t="s">
        <v>93</v>
      </c>
      <c r="B55" s="202"/>
      <c r="C55" s="143"/>
      <c r="D55" s="144"/>
      <c r="E55" s="145"/>
      <c r="F55" s="184"/>
      <c r="G55" s="181"/>
      <c r="H55" s="144"/>
      <c r="I55" s="146"/>
      <c r="J55" s="184"/>
      <c r="K55" s="181"/>
      <c r="L55" s="144"/>
      <c r="M55" s="145"/>
      <c r="N55" s="184"/>
      <c r="O55" s="181"/>
      <c r="P55" s="144"/>
      <c r="Q55" s="146"/>
      <c r="R55" s="184"/>
      <c r="S55" s="181"/>
      <c r="T55" s="144"/>
      <c r="U55" s="146"/>
      <c r="V55" s="184"/>
      <c r="W55" s="320"/>
      <c r="X55" s="142"/>
      <c r="Y55" s="142"/>
      <c r="Z55" s="142"/>
      <c r="AA55" s="142"/>
      <c r="AB55" s="142"/>
      <c r="AC55" s="142"/>
      <c r="AD55" s="142"/>
      <c r="AE55" s="148"/>
      <c r="AF55" s="189"/>
      <c r="AG55" s="189"/>
      <c r="AH55" s="245"/>
      <c r="AJ55" s="142"/>
    </row>
    <row r="56" spans="1:36" ht="15" customHeight="1" outlineLevel="1">
      <c r="A56" s="179" t="str">
        <f>'Program Budget'!D57</f>
        <v>Vehicle Fuel Expense (for Field Office Vehicles)</v>
      </c>
      <c r="B56" s="180" t="str">
        <f>'Program Budget'!F57</f>
        <v>Month</v>
      </c>
      <c r="C56" s="181">
        <f>'Program Budget'!H57</f>
        <v>450</v>
      </c>
      <c r="D56" s="182">
        <f>'Program Budget'!G57</f>
        <v>3</v>
      </c>
      <c r="E56" s="183">
        <v>1</v>
      </c>
      <c r="F56" s="184">
        <f>C56*D56*E56</f>
        <v>1350</v>
      </c>
      <c r="G56" s="181">
        <f t="shared" si="36"/>
        <v>481.5</v>
      </c>
      <c r="H56" s="182">
        <f>'Program Budget'!K57</f>
        <v>12</v>
      </c>
      <c r="I56" s="183">
        <v>1</v>
      </c>
      <c r="J56" s="184">
        <f>G56*H56*I56</f>
        <v>5778</v>
      </c>
      <c r="K56" s="181">
        <f t="shared" si="37"/>
        <v>515.20500000000004</v>
      </c>
      <c r="L56" s="182">
        <f>'Program Budget'!N57</f>
        <v>12</v>
      </c>
      <c r="M56" s="183">
        <v>1</v>
      </c>
      <c r="N56" s="184">
        <f>K56*L56*M56</f>
        <v>6182.4600000000009</v>
      </c>
      <c r="O56" s="181">
        <f t="shared" si="38"/>
        <v>551.26935000000003</v>
      </c>
      <c r="P56" s="182">
        <f>'Program Budget'!Q57</f>
        <v>12</v>
      </c>
      <c r="Q56" s="183">
        <v>1</v>
      </c>
      <c r="R56" s="184">
        <f>O56*P56*Q56</f>
        <v>6615.2322000000004</v>
      </c>
      <c r="S56" s="181">
        <f t="shared" si="39"/>
        <v>589.85820450000006</v>
      </c>
      <c r="T56" s="182">
        <f>'Program Budget'!T57</f>
        <v>9</v>
      </c>
      <c r="U56" s="183">
        <v>1</v>
      </c>
      <c r="V56" s="184">
        <f>S56*T56*U56</f>
        <v>5308.7238405000007</v>
      </c>
      <c r="W56" s="320">
        <f>F56+J56+N56+R56+V56</f>
        <v>25234.4160405</v>
      </c>
      <c r="X56" s="187"/>
      <c r="Y56" s="174"/>
      <c r="Z56" s="188"/>
      <c r="AA56" s="188"/>
      <c r="AE56" s="148">
        <v>180</v>
      </c>
      <c r="AF56" s="189" t="s">
        <v>121</v>
      </c>
      <c r="AG56" s="189" t="s">
        <v>122</v>
      </c>
      <c r="AH56" s="190"/>
      <c r="AJ56" s="191"/>
    </row>
    <row r="57" spans="1:36" s="246" customFormat="1" ht="15.6" outlineLevel="1">
      <c r="A57" s="176" t="s">
        <v>96</v>
      </c>
      <c r="B57" s="202"/>
      <c r="C57" s="143"/>
      <c r="D57" s="144"/>
      <c r="E57" s="145"/>
      <c r="F57" s="184"/>
      <c r="G57" s="181"/>
      <c r="H57" s="144"/>
      <c r="I57" s="146"/>
      <c r="J57" s="184"/>
      <c r="K57" s="181"/>
      <c r="L57" s="144"/>
      <c r="M57" s="145"/>
      <c r="N57" s="184"/>
      <c r="O57" s="181"/>
      <c r="P57" s="144"/>
      <c r="Q57" s="146"/>
      <c r="R57" s="184"/>
      <c r="S57" s="181"/>
      <c r="T57" s="144"/>
      <c r="U57" s="146"/>
      <c r="V57" s="184"/>
      <c r="W57" s="320"/>
      <c r="X57" s="142"/>
      <c r="Y57" s="142"/>
      <c r="Z57" s="142"/>
      <c r="AA57" s="142"/>
      <c r="AB57" s="142"/>
      <c r="AC57" s="142"/>
      <c r="AD57" s="142"/>
      <c r="AE57" s="148"/>
      <c r="AF57" s="189"/>
      <c r="AG57" s="189"/>
      <c r="AH57" s="245"/>
      <c r="AJ57" s="142"/>
    </row>
    <row r="58" spans="1:36" ht="15" customHeight="1" outlineLevel="1">
      <c r="A58" s="179" t="str">
        <f>'Program Budget'!D48</f>
        <v>Lodging and M&amp;IE - HQ Project Management Trip</v>
      </c>
      <c r="B58" s="180" t="str">
        <f>'Program Budget'!F48</f>
        <v>Day</v>
      </c>
      <c r="C58" s="181">
        <f>'Program Budget'!H48</f>
        <v>212</v>
      </c>
      <c r="D58" s="182">
        <f>'Program Budget'!G48</f>
        <v>35</v>
      </c>
      <c r="E58" s="183">
        <v>1</v>
      </c>
      <c r="F58" s="184">
        <f>C58*D58*E58</f>
        <v>7420</v>
      </c>
      <c r="G58" s="181">
        <f t="shared" si="36"/>
        <v>226.84</v>
      </c>
      <c r="H58" s="182">
        <f>'Program Budget'!K48</f>
        <v>35</v>
      </c>
      <c r="I58" s="183">
        <v>1</v>
      </c>
      <c r="J58" s="184">
        <f>G58*H58*I58</f>
        <v>7939.4000000000005</v>
      </c>
      <c r="K58" s="181">
        <f t="shared" si="37"/>
        <v>242.71880000000002</v>
      </c>
      <c r="L58" s="182">
        <f>'Program Budget'!N48</f>
        <v>35</v>
      </c>
      <c r="M58" s="183">
        <v>1</v>
      </c>
      <c r="N58" s="184">
        <f>K58*L58*M58</f>
        <v>8495.1580000000013</v>
      </c>
      <c r="O58" s="181">
        <f t="shared" si="38"/>
        <v>259.70911600000005</v>
      </c>
      <c r="P58" s="182">
        <f>'Program Budget'!Q48</f>
        <v>35</v>
      </c>
      <c r="Q58" s="183">
        <v>1</v>
      </c>
      <c r="R58" s="184">
        <f>O58*P58*Q58</f>
        <v>9089.8190600000016</v>
      </c>
      <c r="S58" s="181">
        <f t="shared" si="39"/>
        <v>277.88875412000004</v>
      </c>
      <c r="T58" s="182">
        <f>'Program Budget'!T48</f>
        <v>35</v>
      </c>
      <c r="U58" s="183">
        <v>1</v>
      </c>
      <c r="V58" s="184">
        <f>S58*T58*U58</f>
        <v>9726.1063942000019</v>
      </c>
      <c r="W58" s="320">
        <f>F58+J58+N58+R58+V58</f>
        <v>42670.48345420001</v>
      </c>
      <c r="X58" s="187"/>
      <c r="Y58" s="174"/>
      <c r="Z58" s="188"/>
      <c r="AA58" s="188"/>
      <c r="AE58" s="148">
        <v>180</v>
      </c>
      <c r="AF58" s="189" t="s">
        <v>121</v>
      </c>
      <c r="AG58" s="189" t="s">
        <v>122</v>
      </c>
      <c r="AH58" s="190"/>
      <c r="AJ58" s="191"/>
    </row>
    <row r="59" spans="1:36" ht="15" customHeight="1" outlineLevel="1">
      <c r="A59" s="179" t="str">
        <f>'Program Budget'!D50</f>
        <v>Other Travel Related Expenses – HQ Project Management Trip</v>
      </c>
      <c r="B59" s="180" t="str">
        <f>'Program Budget'!F50</f>
        <v>Trip</v>
      </c>
      <c r="C59" s="181">
        <f>'Program Budget'!H50</f>
        <v>50</v>
      </c>
      <c r="D59" s="182">
        <f>'Program Budget'!G50</f>
        <v>5</v>
      </c>
      <c r="E59" s="183">
        <v>1</v>
      </c>
      <c r="F59" s="184">
        <f>C59*D59*E59</f>
        <v>250</v>
      </c>
      <c r="G59" s="181">
        <f t="shared" si="36"/>
        <v>53.5</v>
      </c>
      <c r="H59" s="182">
        <f>'Program Budget'!K50</f>
        <v>5</v>
      </c>
      <c r="I59" s="183">
        <v>1</v>
      </c>
      <c r="J59" s="184">
        <f>G59*H59*I59</f>
        <v>267.5</v>
      </c>
      <c r="K59" s="181">
        <f t="shared" si="37"/>
        <v>57.245000000000005</v>
      </c>
      <c r="L59" s="182">
        <f>'Program Budget'!N50</f>
        <v>5</v>
      </c>
      <c r="M59" s="183">
        <v>1</v>
      </c>
      <c r="N59" s="184">
        <f>K59*L59*M59</f>
        <v>286.22500000000002</v>
      </c>
      <c r="O59" s="181">
        <f t="shared" si="38"/>
        <v>61.252150000000007</v>
      </c>
      <c r="P59" s="182">
        <f>'Program Budget'!Q50</f>
        <v>5</v>
      </c>
      <c r="Q59" s="183">
        <v>1</v>
      </c>
      <c r="R59" s="184">
        <f>O59*P59*Q59</f>
        <v>306.26075000000003</v>
      </c>
      <c r="S59" s="181">
        <f t="shared" si="39"/>
        <v>65.539800500000013</v>
      </c>
      <c r="T59" s="182">
        <f>'Program Budget'!T50</f>
        <v>5</v>
      </c>
      <c r="U59" s="183">
        <v>1</v>
      </c>
      <c r="V59" s="184">
        <f>S59*T59*U59</f>
        <v>327.69900250000006</v>
      </c>
      <c r="W59" s="320">
        <f>F59+J59+N59+R59+V59</f>
        <v>1437.6847525000001</v>
      </c>
      <c r="X59" s="187"/>
      <c r="Y59" s="174"/>
      <c r="Z59" s="188"/>
      <c r="AA59" s="188"/>
      <c r="AE59" s="148">
        <v>180</v>
      </c>
      <c r="AF59" s="189" t="s">
        <v>121</v>
      </c>
      <c r="AG59" s="189" t="s">
        <v>122</v>
      </c>
      <c r="AH59" s="190"/>
      <c r="AJ59" s="191"/>
    </row>
    <row r="60" spans="1:36" ht="15" customHeight="1" outlineLevel="1">
      <c r="A60" s="179" t="str">
        <f>'Program Budget'!D53</f>
        <v>Lodging and M&amp;IE for Tunisia Staff Travel</v>
      </c>
      <c r="B60" s="180" t="str">
        <f>'Program Budget'!F53</f>
        <v>Day</v>
      </c>
      <c r="C60" s="181">
        <f>'Program Budget'!H53</f>
        <v>251</v>
      </c>
      <c r="D60" s="182">
        <f>'Program Budget'!G53</f>
        <v>28</v>
      </c>
      <c r="E60" s="183">
        <v>1</v>
      </c>
      <c r="F60" s="184">
        <f>C60*D60*E60</f>
        <v>7028</v>
      </c>
      <c r="G60" s="181">
        <f t="shared" si="36"/>
        <v>268.57</v>
      </c>
      <c r="H60" s="182">
        <f>'Program Budget'!K53</f>
        <v>28</v>
      </c>
      <c r="I60" s="183">
        <v>1</v>
      </c>
      <c r="J60" s="184">
        <f>G60*H60*I60</f>
        <v>7519.96</v>
      </c>
      <c r="K60" s="181">
        <f t="shared" si="37"/>
        <v>287.36990000000003</v>
      </c>
      <c r="L60" s="182">
        <f>'Program Budget'!N53</f>
        <v>28</v>
      </c>
      <c r="M60" s="183">
        <v>1</v>
      </c>
      <c r="N60" s="184">
        <f>K60*L60*M60</f>
        <v>8046.3572000000004</v>
      </c>
      <c r="O60" s="181">
        <f t="shared" si="38"/>
        <v>307.48579300000006</v>
      </c>
      <c r="P60" s="182">
        <f>'Program Budget'!Q53</f>
        <v>28</v>
      </c>
      <c r="Q60" s="183">
        <v>1</v>
      </c>
      <c r="R60" s="184">
        <f>O60*P60*Q60</f>
        <v>8609.6022040000025</v>
      </c>
      <c r="S60" s="181">
        <f t="shared" si="39"/>
        <v>329.00979851000005</v>
      </c>
      <c r="T60" s="182">
        <f>'Program Budget'!T53</f>
        <v>28</v>
      </c>
      <c r="U60" s="183">
        <v>1</v>
      </c>
      <c r="V60" s="184">
        <f>S60*T60*U60</f>
        <v>9212.2743582800013</v>
      </c>
      <c r="W60" s="320">
        <f>F60+J60+N60+R60+V60</f>
        <v>40416.193762280003</v>
      </c>
      <c r="X60" s="187"/>
      <c r="Y60" s="174"/>
      <c r="Z60" s="188"/>
      <c r="AA60" s="188"/>
      <c r="AE60" s="148">
        <v>180</v>
      </c>
      <c r="AF60" s="189" t="s">
        <v>121</v>
      </c>
      <c r="AG60" s="189" t="s">
        <v>122</v>
      </c>
      <c r="AH60" s="190"/>
      <c r="AJ60" s="191"/>
    </row>
    <row r="61" spans="1:36" ht="15" customHeight="1" outlineLevel="1">
      <c r="A61" s="179" t="str">
        <f>'Program Budget'!D55</f>
        <v>Other Travel Related Expenses for Tunisia Staff Travel</v>
      </c>
      <c r="B61" s="180" t="str">
        <f>'Program Budget'!F55</f>
        <v>Trip</v>
      </c>
      <c r="C61" s="181">
        <f>'Program Budget'!H55</f>
        <v>50</v>
      </c>
      <c r="D61" s="182">
        <f>'Program Budget'!G55</f>
        <v>4</v>
      </c>
      <c r="E61" s="183">
        <v>1</v>
      </c>
      <c r="F61" s="184">
        <f>C61*D61*E61</f>
        <v>200</v>
      </c>
      <c r="G61" s="181">
        <f t="shared" si="36"/>
        <v>53.5</v>
      </c>
      <c r="H61" s="182">
        <f>'Program Budget'!K55</f>
        <v>4</v>
      </c>
      <c r="I61" s="183">
        <v>1</v>
      </c>
      <c r="J61" s="184">
        <f>G61*H61*I61</f>
        <v>214</v>
      </c>
      <c r="K61" s="181">
        <f t="shared" si="37"/>
        <v>57.245000000000005</v>
      </c>
      <c r="L61" s="182">
        <f>'Program Budget'!N55</f>
        <v>4</v>
      </c>
      <c r="M61" s="183">
        <v>1</v>
      </c>
      <c r="N61" s="184">
        <f>K61*L61*M61</f>
        <v>228.98000000000002</v>
      </c>
      <c r="O61" s="181">
        <f t="shared" si="38"/>
        <v>61.252150000000007</v>
      </c>
      <c r="P61" s="182">
        <f>'Program Budget'!Q55</f>
        <v>4</v>
      </c>
      <c r="Q61" s="183">
        <v>1</v>
      </c>
      <c r="R61" s="184">
        <f>O61*P61*Q61</f>
        <v>245.00860000000003</v>
      </c>
      <c r="S61" s="181">
        <f t="shared" si="39"/>
        <v>65.539800500000013</v>
      </c>
      <c r="T61" s="182">
        <f>'Program Budget'!T55</f>
        <v>4</v>
      </c>
      <c r="U61" s="183">
        <v>1</v>
      </c>
      <c r="V61" s="184">
        <f>S61*T61*U61</f>
        <v>262.15920200000005</v>
      </c>
      <c r="W61" s="320">
        <f>F61+J61+N61+R61+V61</f>
        <v>1150.147802</v>
      </c>
      <c r="X61" s="187"/>
      <c r="Y61" s="174"/>
      <c r="Z61" s="188"/>
      <c r="AA61" s="188"/>
      <c r="AE61" s="148">
        <v>180</v>
      </c>
      <c r="AF61" s="189" t="s">
        <v>121</v>
      </c>
      <c r="AG61" s="189" t="s">
        <v>122</v>
      </c>
      <c r="AH61" s="190"/>
      <c r="AJ61" s="191"/>
    </row>
    <row r="62" spans="1:36" ht="15" customHeight="1" outlineLevel="1">
      <c r="A62" s="179" t="str">
        <f>'Program Budget'!D59</f>
        <v>Lodging and M&amp;IE - Training, M&amp;E, &amp; Data Collection</v>
      </c>
      <c r="B62" s="180" t="str">
        <f>'Program Budget'!F59</f>
        <v>Day</v>
      </c>
      <c r="C62" s="181">
        <f>'Program Budget'!H59</f>
        <v>129</v>
      </c>
      <c r="D62" s="182">
        <f>'Program Budget'!G59</f>
        <v>144</v>
      </c>
      <c r="E62" s="183">
        <v>1</v>
      </c>
      <c r="F62" s="184">
        <f>C62*D62*E62</f>
        <v>18576</v>
      </c>
      <c r="G62" s="181">
        <f t="shared" si="36"/>
        <v>138.03</v>
      </c>
      <c r="H62" s="182">
        <f>'Program Budget'!K59</f>
        <v>144</v>
      </c>
      <c r="I62" s="183">
        <v>1</v>
      </c>
      <c r="J62" s="184">
        <f>G62*H62*I62</f>
        <v>19876.32</v>
      </c>
      <c r="K62" s="181">
        <f t="shared" si="37"/>
        <v>147.69210000000001</v>
      </c>
      <c r="L62" s="182">
        <f>'Program Budget'!N59</f>
        <v>144</v>
      </c>
      <c r="M62" s="183">
        <v>1</v>
      </c>
      <c r="N62" s="184">
        <f>K62*L62*M62</f>
        <v>21267.662400000001</v>
      </c>
      <c r="O62" s="181">
        <f t="shared" si="38"/>
        <v>158.03054700000001</v>
      </c>
      <c r="P62" s="182">
        <f>'Program Budget'!Q59</f>
        <v>144</v>
      </c>
      <c r="Q62" s="183">
        <v>1</v>
      </c>
      <c r="R62" s="184">
        <f>O62*P62*Q62</f>
        <v>22756.398768000003</v>
      </c>
      <c r="S62" s="181">
        <f t="shared" si="39"/>
        <v>169.09268529000002</v>
      </c>
      <c r="T62" s="182">
        <f>'Program Budget'!T59</f>
        <v>144</v>
      </c>
      <c r="U62" s="183">
        <v>1</v>
      </c>
      <c r="V62" s="184">
        <f>S62*T62*U62</f>
        <v>24349.346681760002</v>
      </c>
      <c r="W62" s="320">
        <f>F62+J62+N62+R62+V62</f>
        <v>106825.72784976001</v>
      </c>
      <c r="X62" s="187"/>
      <c r="Y62" s="174"/>
      <c r="Z62" s="188"/>
      <c r="AA62" s="188"/>
      <c r="AE62" s="148">
        <v>180</v>
      </c>
      <c r="AF62" s="189" t="s">
        <v>121</v>
      </c>
      <c r="AG62" s="189" t="s">
        <v>122</v>
      </c>
      <c r="AH62" s="190"/>
      <c r="AJ62" s="191"/>
    </row>
    <row r="63" spans="1:36" outlineLevel="1">
      <c r="A63" s="312"/>
      <c r="B63" s="202"/>
      <c r="F63" s="184"/>
      <c r="J63" s="184"/>
      <c r="N63" s="184"/>
      <c r="R63" s="184"/>
      <c r="V63" s="184"/>
      <c r="W63" s="320"/>
      <c r="AE63" s="148"/>
      <c r="AF63" s="189"/>
      <c r="AG63" s="189"/>
    </row>
    <row r="64" spans="1:36" ht="18.3">
      <c r="A64" s="247" t="s">
        <v>97</v>
      </c>
      <c r="B64" s="213"/>
      <c r="C64" s="214"/>
      <c r="D64" s="248"/>
      <c r="E64" s="249"/>
      <c r="F64" s="217">
        <f>SUM(F48:F63)</f>
        <v>52374</v>
      </c>
      <c r="G64" s="214"/>
      <c r="H64" s="248"/>
      <c r="I64" s="218"/>
      <c r="J64" s="217">
        <f>SUM(J48:J63)</f>
        <v>60373.68</v>
      </c>
      <c r="K64" s="214"/>
      <c r="L64" s="248"/>
      <c r="M64" s="249"/>
      <c r="N64" s="217">
        <f>SUM(N48:N63)</f>
        <v>64599.837600000006</v>
      </c>
      <c r="O64" s="214"/>
      <c r="P64" s="248"/>
      <c r="Q64" s="218"/>
      <c r="R64" s="217">
        <f>SUM(R48:R63)</f>
        <v>69121.826232000007</v>
      </c>
      <c r="S64" s="214"/>
      <c r="T64" s="248"/>
      <c r="U64" s="218"/>
      <c r="V64" s="217">
        <f>SUM(V48:V63)</f>
        <v>72190.779454740012</v>
      </c>
      <c r="W64" s="323">
        <f>+F64+J64+N64+R64+V64</f>
        <v>318660.12328673998</v>
      </c>
      <c r="X64" s="148"/>
      <c r="Y64" s="148"/>
      <c r="Z64" s="148"/>
      <c r="AA64" s="148"/>
      <c r="AB64" s="148"/>
      <c r="AE64" s="148"/>
      <c r="AF64" s="175"/>
      <c r="AG64" s="175" t="s">
        <v>120</v>
      </c>
      <c r="AH64" s="175"/>
    </row>
    <row r="65" spans="1:33" ht="15.6" outlineLevel="1">
      <c r="A65" s="176" t="s">
        <v>49</v>
      </c>
      <c r="B65" s="250"/>
      <c r="D65" s="251"/>
      <c r="E65" s="252"/>
      <c r="F65" s="234"/>
      <c r="H65" s="251"/>
      <c r="I65" s="253"/>
      <c r="J65" s="207"/>
      <c r="L65" s="251"/>
      <c r="M65" s="252"/>
      <c r="N65" s="207"/>
      <c r="P65" s="251"/>
      <c r="Q65" s="253"/>
      <c r="R65" s="207"/>
      <c r="T65" s="251"/>
      <c r="U65" s="253"/>
      <c r="V65" s="207"/>
      <c r="W65" s="320"/>
      <c r="AE65" s="148"/>
      <c r="AF65" s="189"/>
      <c r="AG65" s="254"/>
    </row>
    <row r="66" spans="1:33" ht="15.6" outlineLevel="1">
      <c r="A66" s="255" t="str">
        <f>'Program Budget'!D63</f>
        <v>Monetization Agent Fee</v>
      </c>
      <c r="B66" s="180" t="str">
        <f>'Program Budget'!F63</f>
        <v>%</v>
      </c>
      <c r="C66" s="181">
        <f>15157714</f>
        <v>15157714</v>
      </c>
      <c r="D66" s="182">
        <v>1</v>
      </c>
      <c r="E66" s="183">
        <v>1.67E-2</v>
      </c>
      <c r="F66" s="184">
        <f>C66*D66*E66</f>
        <v>253133.82379999998</v>
      </c>
      <c r="G66" s="181">
        <v>0</v>
      </c>
      <c r="H66" s="182">
        <v>0</v>
      </c>
      <c r="I66" s="183">
        <v>0</v>
      </c>
      <c r="J66" s="184">
        <f>G66*H66*I66</f>
        <v>0</v>
      </c>
      <c r="K66" s="181">
        <f>G66</f>
        <v>0</v>
      </c>
      <c r="L66" s="182">
        <f>'Program Budget'!N63</f>
        <v>0</v>
      </c>
      <c r="M66" s="183">
        <v>0</v>
      </c>
      <c r="N66" s="184">
        <f>K66*L66*M66</f>
        <v>0</v>
      </c>
      <c r="O66" s="181">
        <f>K66</f>
        <v>0</v>
      </c>
      <c r="P66" s="182">
        <f>'Program Budget'!Q63</f>
        <v>0</v>
      </c>
      <c r="Q66" s="183">
        <v>0</v>
      </c>
      <c r="R66" s="184">
        <f>O66*P66*Q66</f>
        <v>0</v>
      </c>
      <c r="S66" s="181">
        <f>O66</f>
        <v>0</v>
      </c>
      <c r="T66" s="182">
        <f>'Program Budget'!T63</f>
        <v>0</v>
      </c>
      <c r="U66" s="183">
        <v>0</v>
      </c>
      <c r="V66" s="184">
        <f>S66*T66*U66</f>
        <v>0</v>
      </c>
      <c r="W66" s="320">
        <f>F66+J66+N66+R66+V66</f>
        <v>253133.82379999998</v>
      </c>
      <c r="AE66" s="148"/>
      <c r="AF66" s="189"/>
      <c r="AG66" s="254"/>
    </row>
    <row r="67" spans="1:33" ht="15.6" outlineLevel="1">
      <c r="A67" s="255" t="str">
        <f>'Program Budget'!D64</f>
        <v>Monetization Impact Assessment</v>
      </c>
      <c r="B67" s="180" t="str">
        <f>'Program Budget'!F64</f>
        <v>Unit</v>
      </c>
      <c r="C67" s="181">
        <f>'Program Budget'!H64</f>
        <v>60000</v>
      </c>
      <c r="D67" s="182">
        <f>'Program Budget'!G64</f>
        <v>0</v>
      </c>
      <c r="E67" s="183">
        <v>1</v>
      </c>
      <c r="F67" s="184">
        <f t="shared" ref="F67" si="40">C67*D67*E67</f>
        <v>0</v>
      </c>
      <c r="G67" s="181">
        <f t="shared" ref="G67" si="41">C67</f>
        <v>60000</v>
      </c>
      <c r="H67" s="182">
        <f>'Program Budget'!K64</f>
        <v>1</v>
      </c>
      <c r="I67" s="183">
        <v>1</v>
      </c>
      <c r="J67" s="184">
        <f t="shared" ref="J67" si="42">G67*H67*I67</f>
        <v>60000</v>
      </c>
      <c r="K67" s="181">
        <f t="shared" ref="K67" si="43">G67</f>
        <v>60000</v>
      </c>
      <c r="L67" s="182">
        <f>'Program Budget'!N64</f>
        <v>0</v>
      </c>
      <c r="M67" s="183">
        <v>0</v>
      </c>
      <c r="N67" s="184">
        <f t="shared" ref="N67" si="44">K67*L67*M67</f>
        <v>0</v>
      </c>
      <c r="O67" s="181">
        <f t="shared" ref="O67" si="45">K67</f>
        <v>60000</v>
      </c>
      <c r="P67" s="182">
        <f>'Program Budget'!Q64</f>
        <v>0</v>
      </c>
      <c r="Q67" s="183">
        <v>0</v>
      </c>
      <c r="R67" s="184">
        <f t="shared" ref="R67" si="46">O67*P67*Q67</f>
        <v>0</v>
      </c>
      <c r="S67" s="181">
        <f t="shared" ref="S67" si="47">O67</f>
        <v>60000</v>
      </c>
      <c r="T67" s="182">
        <f>'Program Budget'!T64</f>
        <v>0</v>
      </c>
      <c r="U67" s="183">
        <v>0</v>
      </c>
      <c r="V67" s="184">
        <f t="shared" ref="V67" si="48">S67*T67*U67</f>
        <v>0</v>
      </c>
      <c r="W67" s="320">
        <f t="shared" ref="W67" si="49">F67+J67+N67+R67+V67</f>
        <v>60000</v>
      </c>
      <c r="AE67" s="148"/>
      <c r="AF67" s="189"/>
      <c r="AG67" s="254"/>
    </row>
    <row r="68" spans="1:33" ht="16" customHeight="1" outlineLevel="1">
      <c r="A68" s="255" t="str">
        <f>'Program Budget'!D65</f>
        <v xml:space="preserve">Local Program Audit Costs </v>
      </c>
      <c r="B68" s="180" t="str">
        <f>'Program Budget'!F65</f>
        <v>Year</v>
      </c>
      <c r="C68" s="181">
        <f>'Program Budget'!H65</f>
        <v>1500</v>
      </c>
      <c r="D68" s="182">
        <f>'Program Budget'!G65</f>
        <v>1</v>
      </c>
      <c r="E68" s="183">
        <v>1</v>
      </c>
      <c r="F68" s="184">
        <f>C68*D68*E68</f>
        <v>1500</v>
      </c>
      <c r="G68" s="181">
        <f>C68</f>
        <v>1500</v>
      </c>
      <c r="H68" s="182">
        <f>'Program Budget'!K65</f>
        <v>1</v>
      </c>
      <c r="I68" s="183">
        <v>1</v>
      </c>
      <c r="J68" s="184">
        <f>G68*H68*I68</f>
        <v>1500</v>
      </c>
      <c r="K68" s="181">
        <f>G68</f>
        <v>1500</v>
      </c>
      <c r="L68" s="182">
        <f>'Program Budget'!N65</f>
        <v>1</v>
      </c>
      <c r="M68" s="183">
        <v>1</v>
      </c>
      <c r="N68" s="184">
        <f>K68*L68*M68</f>
        <v>1500</v>
      </c>
      <c r="O68" s="181">
        <f>K68</f>
        <v>1500</v>
      </c>
      <c r="P68" s="182">
        <f>'Program Budget'!Q65</f>
        <v>1</v>
      </c>
      <c r="Q68" s="183">
        <v>1</v>
      </c>
      <c r="R68" s="184">
        <f>O68*P68*Q68</f>
        <v>1500</v>
      </c>
      <c r="S68" s="181">
        <f>O68</f>
        <v>1500</v>
      </c>
      <c r="T68" s="182">
        <f>'Program Budget'!T65</f>
        <v>1</v>
      </c>
      <c r="U68" s="183">
        <v>1</v>
      </c>
      <c r="V68" s="184">
        <f>S68*T68*U68</f>
        <v>1500</v>
      </c>
      <c r="W68" s="320">
        <f>F68+J68+N68+R68+V68</f>
        <v>7500</v>
      </c>
      <c r="AE68" s="148"/>
      <c r="AF68" s="189"/>
      <c r="AG68" s="254"/>
    </row>
    <row r="69" spans="1:33" ht="15.6" outlineLevel="1">
      <c r="A69" s="255" t="str">
        <f>'Program Budget'!D66</f>
        <v>Legal &amp; Registration Fees</v>
      </c>
      <c r="B69" s="180" t="str">
        <f>'Program Budget'!F66</f>
        <v>Year</v>
      </c>
      <c r="C69" s="181">
        <f>'Program Budget'!H66</f>
        <v>4500</v>
      </c>
      <c r="D69" s="182">
        <f>'Program Budget'!G66</f>
        <v>1</v>
      </c>
      <c r="E69" s="183">
        <v>1</v>
      </c>
      <c r="F69" s="184">
        <f t="shared" ref="F69:F71" si="50">C69*D69*E69</f>
        <v>4500</v>
      </c>
      <c r="G69" s="181">
        <f t="shared" ref="G69:G71" si="51">C69</f>
        <v>4500</v>
      </c>
      <c r="H69" s="182">
        <f>'Program Budget'!K66</f>
        <v>1</v>
      </c>
      <c r="I69" s="183">
        <v>1</v>
      </c>
      <c r="J69" s="184">
        <f t="shared" ref="J69:J71" si="52">G69*H69*I69</f>
        <v>4500</v>
      </c>
      <c r="K69" s="181">
        <f t="shared" ref="K69:K71" si="53">G69</f>
        <v>4500</v>
      </c>
      <c r="L69" s="182">
        <f>'Program Budget'!N66</f>
        <v>1</v>
      </c>
      <c r="M69" s="183">
        <v>1</v>
      </c>
      <c r="N69" s="184">
        <f t="shared" ref="N69:N71" si="54">K69*L69*M69</f>
        <v>4500</v>
      </c>
      <c r="O69" s="181">
        <f t="shared" ref="O69:O71" si="55">K69</f>
        <v>4500</v>
      </c>
      <c r="P69" s="182">
        <f>'Program Budget'!Q66</f>
        <v>1</v>
      </c>
      <c r="Q69" s="183">
        <v>1</v>
      </c>
      <c r="R69" s="184">
        <f t="shared" ref="R69:R71" si="56">O69*P69*Q69</f>
        <v>4500</v>
      </c>
      <c r="S69" s="181">
        <f t="shared" ref="S69:S71" si="57">O69</f>
        <v>4500</v>
      </c>
      <c r="T69" s="182">
        <f>'Program Budget'!T66</f>
        <v>1</v>
      </c>
      <c r="U69" s="183">
        <v>1</v>
      </c>
      <c r="V69" s="184">
        <f t="shared" ref="V69:V71" si="58">S69*T69*U69</f>
        <v>4500</v>
      </c>
      <c r="W69" s="320">
        <f t="shared" ref="W69:W71" si="59">F69+J69+N69+R69+V69</f>
        <v>22500</v>
      </c>
      <c r="AE69" s="148"/>
      <c r="AF69" s="189"/>
      <c r="AG69" s="254"/>
    </row>
    <row r="70" spans="1:33" ht="15.6" outlineLevel="1">
      <c r="A70" s="255" t="str">
        <f>'Program Budget'!D67</f>
        <v>Security Services, Risk Assessments, &amp; Security Assessment</v>
      </c>
      <c r="B70" s="180" t="str">
        <f>'Program Budget'!F67</f>
        <v>Year</v>
      </c>
      <c r="C70" s="181">
        <f>'Program Budget'!H67</f>
        <v>500</v>
      </c>
      <c r="D70" s="182">
        <f>'Program Budget'!G67</f>
        <v>1</v>
      </c>
      <c r="E70" s="183">
        <v>1</v>
      </c>
      <c r="F70" s="184">
        <f t="shared" si="50"/>
        <v>500</v>
      </c>
      <c r="G70" s="181">
        <f t="shared" si="51"/>
        <v>500</v>
      </c>
      <c r="H70" s="182">
        <f>'Program Budget'!K67</f>
        <v>1</v>
      </c>
      <c r="I70" s="183">
        <v>1</v>
      </c>
      <c r="J70" s="184">
        <f t="shared" si="52"/>
        <v>500</v>
      </c>
      <c r="K70" s="181">
        <f t="shared" si="53"/>
        <v>500</v>
      </c>
      <c r="L70" s="182">
        <f>'Program Budget'!N67</f>
        <v>1</v>
      </c>
      <c r="M70" s="183">
        <v>1</v>
      </c>
      <c r="N70" s="184">
        <f t="shared" si="54"/>
        <v>500</v>
      </c>
      <c r="O70" s="181">
        <f t="shared" si="55"/>
        <v>500</v>
      </c>
      <c r="P70" s="182">
        <f>'Program Budget'!Q67</f>
        <v>1</v>
      </c>
      <c r="Q70" s="183">
        <v>1</v>
      </c>
      <c r="R70" s="184">
        <f t="shared" si="56"/>
        <v>500</v>
      </c>
      <c r="S70" s="181">
        <f t="shared" si="57"/>
        <v>500</v>
      </c>
      <c r="T70" s="182">
        <f>'Program Budget'!T67</f>
        <v>1</v>
      </c>
      <c r="U70" s="183">
        <v>1</v>
      </c>
      <c r="V70" s="184">
        <f t="shared" si="58"/>
        <v>500</v>
      </c>
      <c r="W70" s="320">
        <f t="shared" si="59"/>
        <v>2500</v>
      </c>
      <c r="AE70" s="148"/>
      <c r="AF70" s="189"/>
      <c r="AG70" s="254"/>
    </row>
    <row r="71" spans="1:33" ht="15.6" outlineLevel="1">
      <c r="A71" s="255" t="str">
        <f>'Program Budget'!D68</f>
        <v>Short-Term Technical Advisors</v>
      </c>
      <c r="B71" s="180" t="str">
        <f>'Program Budget'!F68</f>
        <v>Month</v>
      </c>
      <c r="C71" s="181">
        <f>'Program Budget'!H68</f>
        <v>3500</v>
      </c>
      <c r="D71" s="182">
        <f>'Program Budget'!G68</f>
        <v>9</v>
      </c>
      <c r="E71" s="183">
        <v>1</v>
      </c>
      <c r="F71" s="184">
        <f t="shared" si="50"/>
        <v>31500</v>
      </c>
      <c r="G71" s="181">
        <f t="shared" si="51"/>
        <v>3500</v>
      </c>
      <c r="H71" s="182">
        <f>'Program Budget'!K68</f>
        <v>12</v>
      </c>
      <c r="I71" s="183">
        <v>1</v>
      </c>
      <c r="J71" s="184">
        <f t="shared" si="52"/>
        <v>42000</v>
      </c>
      <c r="K71" s="181">
        <f t="shared" si="53"/>
        <v>3500</v>
      </c>
      <c r="L71" s="182">
        <f>'Program Budget'!N68</f>
        <v>12</v>
      </c>
      <c r="M71" s="183">
        <v>1</v>
      </c>
      <c r="N71" s="184">
        <f t="shared" si="54"/>
        <v>42000</v>
      </c>
      <c r="O71" s="181">
        <f t="shared" si="55"/>
        <v>3500</v>
      </c>
      <c r="P71" s="182">
        <f>'Program Budget'!Q68</f>
        <v>12</v>
      </c>
      <c r="Q71" s="183">
        <v>1</v>
      </c>
      <c r="R71" s="184">
        <f t="shared" si="56"/>
        <v>42000</v>
      </c>
      <c r="S71" s="181">
        <f t="shared" si="57"/>
        <v>3500</v>
      </c>
      <c r="T71" s="182">
        <f>'Program Budget'!T68</f>
        <v>9</v>
      </c>
      <c r="U71" s="183">
        <v>1</v>
      </c>
      <c r="V71" s="184">
        <f t="shared" si="58"/>
        <v>31500</v>
      </c>
      <c r="W71" s="320">
        <f t="shared" si="59"/>
        <v>189000</v>
      </c>
      <c r="AE71" s="148">
        <v>670</v>
      </c>
      <c r="AF71" s="189" t="s">
        <v>131</v>
      </c>
      <c r="AG71" s="254" t="s">
        <v>132</v>
      </c>
    </row>
    <row r="72" spans="1:33" ht="15.6" outlineLevel="1">
      <c r="A72" s="255" t="str">
        <f>'Program Budget'!D69</f>
        <v>Start-up Consultant</v>
      </c>
      <c r="B72" s="180" t="str">
        <f>'Program Budget'!F69</f>
        <v>Day</v>
      </c>
      <c r="C72" s="181">
        <f>'Program Budget'!H69</f>
        <v>520</v>
      </c>
      <c r="D72" s="182">
        <f>'Program Budget'!G69</f>
        <v>50</v>
      </c>
      <c r="E72" s="183">
        <v>1</v>
      </c>
      <c r="F72" s="184">
        <f t="shared" ref="F72" si="60">C72*D72*E72</f>
        <v>26000</v>
      </c>
      <c r="G72" s="181">
        <f t="shared" ref="G72" si="61">C72</f>
        <v>520</v>
      </c>
      <c r="H72" s="182">
        <f>'Program Budget'!K69</f>
        <v>0</v>
      </c>
      <c r="I72" s="183">
        <v>0</v>
      </c>
      <c r="J72" s="184">
        <f t="shared" ref="J72" si="62">G72*H72*I72</f>
        <v>0</v>
      </c>
      <c r="K72" s="181">
        <f t="shared" ref="K72" si="63">G72</f>
        <v>520</v>
      </c>
      <c r="L72" s="182">
        <f>'Program Budget'!N69</f>
        <v>0</v>
      </c>
      <c r="M72" s="183">
        <v>0</v>
      </c>
      <c r="N72" s="184">
        <f t="shared" ref="N72" si="64">K72*L72*M72</f>
        <v>0</v>
      </c>
      <c r="O72" s="181">
        <f t="shared" ref="O72" si="65">K72</f>
        <v>520</v>
      </c>
      <c r="P72" s="182">
        <f>'Program Budget'!Q69</f>
        <v>0</v>
      </c>
      <c r="Q72" s="183">
        <v>0</v>
      </c>
      <c r="R72" s="184">
        <f t="shared" ref="R72" si="66">O72*P72*Q72</f>
        <v>0</v>
      </c>
      <c r="S72" s="181">
        <f t="shared" ref="S72" si="67">O72</f>
        <v>520</v>
      </c>
      <c r="T72" s="182">
        <f>'Program Budget'!T69</f>
        <v>0</v>
      </c>
      <c r="U72" s="183">
        <v>0</v>
      </c>
      <c r="V72" s="184">
        <f t="shared" ref="V72" si="68">S72*T72*U72</f>
        <v>0</v>
      </c>
      <c r="W72" s="320">
        <f t="shared" ref="W72" si="69">F72+J72+N72+R72+V72</f>
        <v>26000</v>
      </c>
      <c r="AE72" s="148">
        <v>670</v>
      </c>
      <c r="AF72" s="189" t="s">
        <v>131</v>
      </c>
      <c r="AG72" s="254" t="s">
        <v>132</v>
      </c>
    </row>
    <row r="73" spans="1:33" ht="15.6" outlineLevel="1">
      <c r="A73" s="176" t="str">
        <f>'Program Budget'!D71</f>
        <v>Evaluations</v>
      </c>
      <c r="B73" s="180"/>
      <c r="C73" s="181"/>
      <c r="D73" s="182"/>
      <c r="E73" s="183"/>
      <c r="F73" s="184"/>
      <c r="G73" s="181"/>
      <c r="H73" s="182"/>
      <c r="I73" s="183"/>
      <c r="J73" s="184"/>
      <c r="K73" s="181"/>
      <c r="L73" s="182"/>
      <c r="M73" s="183"/>
      <c r="N73" s="184"/>
      <c r="O73" s="181"/>
      <c r="P73" s="182"/>
      <c r="Q73" s="183"/>
      <c r="R73" s="184"/>
      <c r="S73" s="181"/>
      <c r="T73" s="182"/>
      <c r="U73" s="183"/>
      <c r="V73" s="184"/>
      <c r="W73" s="320"/>
      <c r="AE73" s="148"/>
      <c r="AF73" s="189"/>
      <c r="AG73" s="254"/>
    </row>
    <row r="74" spans="1:33" ht="15.6" outlineLevel="1">
      <c r="A74" s="255" t="str">
        <f>'Program Budget'!D72</f>
        <v>Baseline Evaluation</v>
      </c>
      <c r="B74" s="180" t="str">
        <f>'Program Budget'!F72</f>
        <v>Unit</v>
      </c>
      <c r="C74" s="181">
        <f>'Program Budget'!H72</f>
        <v>150000</v>
      </c>
      <c r="D74" s="182">
        <f>'Program Budget'!G72</f>
        <v>1</v>
      </c>
      <c r="E74" s="183">
        <v>1</v>
      </c>
      <c r="F74" s="184">
        <f t="shared" ref="F74" si="70">C74*D74*E74</f>
        <v>150000</v>
      </c>
      <c r="G74" s="181">
        <f t="shared" ref="G74" si="71">C74</f>
        <v>150000</v>
      </c>
      <c r="H74" s="182">
        <f>'Program Budget'!K72</f>
        <v>0</v>
      </c>
      <c r="I74" s="183">
        <v>0</v>
      </c>
      <c r="J74" s="184">
        <f t="shared" ref="J74" si="72">G74*H74*I74</f>
        <v>0</v>
      </c>
      <c r="K74" s="181">
        <f t="shared" ref="K74" si="73">G74</f>
        <v>150000</v>
      </c>
      <c r="L74" s="182">
        <f>'Program Budget'!N72</f>
        <v>0</v>
      </c>
      <c r="M74" s="183">
        <v>0</v>
      </c>
      <c r="N74" s="184">
        <f t="shared" ref="N74" si="74">K74*L74*M74</f>
        <v>0</v>
      </c>
      <c r="O74" s="181">
        <f t="shared" ref="O74" si="75">K74</f>
        <v>150000</v>
      </c>
      <c r="P74" s="182">
        <f>'Program Budget'!Q72</f>
        <v>0</v>
      </c>
      <c r="Q74" s="183">
        <v>0</v>
      </c>
      <c r="R74" s="184">
        <f t="shared" ref="R74" si="76">O74*P74*Q74</f>
        <v>0</v>
      </c>
      <c r="S74" s="181">
        <f t="shared" ref="S74" si="77">O74</f>
        <v>150000</v>
      </c>
      <c r="T74" s="182">
        <f>'Program Budget'!T72</f>
        <v>0</v>
      </c>
      <c r="U74" s="183">
        <v>0</v>
      </c>
      <c r="V74" s="184">
        <f t="shared" ref="V74" si="78">S74*T74*U74</f>
        <v>0</v>
      </c>
      <c r="W74" s="320">
        <f t="shared" ref="W74" si="79">F74+J74+N74+R74+V74</f>
        <v>150000</v>
      </c>
      <c r="AE74" s="148"/>
      <c r="AF74" s="189"/>
      <c r="AG74" s="254"/>
    </row>
    <row r="75" spans="1:33" ht="15.6" outlineLevel="1">
      <c r="A75" s="255" t="str">
        <f>'Program Budget'!D73</f>
        <v>Midterm Evaluation</v>
      </c>
      <c r="B75" s="180" t="str">
        <f>'Program Budget'!F73</f>
        <v>Unit</v>
      </c>
      <c r="C75" s="181">
        <f>'Program Budget'!H73</f>
        <v>170000</v>
      </c>
      <c r="D75" s="182">
        <f>'Program Budget'!G73</f>
        <v>0</v>
      </c>
      <c r="E75" s="183">
        <v>0</v>
      </c>
      <c r="F75" s="184">
        <f t="shared" ref="F75:F77" si="80">C75*D75*E75</f>
        <v>0</v>
      </c>
      <c r="G75" s="181">
        <f t="shared" ref="G75:G77" si="81">C75</f>
        <v>170000</v>
      </c>
      <c r="H75" s="182">
        <f>'Program Budget'!K73</f>
        <v>0</v>
      </c>
      <c r="I75" s="183">
        <v>0</v>
      </c>
      <c r="J75" s="184">
        <f t="shared" ref="J75:J77" si="82">G75*H75*I75</f>
        <v>0</v>
      </c>
      <c r="K75" s="181">
        <f t="shared" ref="K75:K77" si="83">G75</f>
        <v>170000</v>
      </c>
      <c r="L75" s="182">
        <f>'Program Budget'!N73</f>
        <v>1</v>
      </c>
      <c r="M75" s="183">
        <v>1</v>
      </c>
      <c r="N75" s="184">
        <f t="shared" ref="N75:N77" si="84">K75*L75*M75</f>
        <v>170000</v>
      </c>
      <c r="O75" s="181">
        <f t="shared" ref="O75:O77" si="85">K75</f>
        <v>170000</v>
      </c>
      <c r="P75" s="182">
        <f>'Program Budget'!Q73</f>
        <v>0</v>
      </c>
      <c r="Q75" s="183">
        <v>0</v>
      </c>
      <c r="R75" s="184">
        <f t="shared" ref="R75:R77" si="86">O75*P75*Q75</f>
        <v>0</v>
      </c>
      <c r="S75" s="181">
        <f t="shared" ref="S75:S77" si="87">O75</f>
        <v>170000</v>
      </c>
      <c r="T75" s="182">
        <f>'Program Budget'!T73</f>
        <v>0</v>
      </c>
      <c r="U75" s="183">
        <v>0</v>
      </c>
      <c r="V75" s="184">
        <f t="shared" ref="V75:V77" si="88">S75*T75*U75</f>
        <v>0</v>
      </c>
      <c r="W75" s="320">
        <f t="shared" ref="W75:W78" si="89">F75+J75+N75+R75+V75</f>
        <v>170000</v>
      </c>
      <c r="AE75" s="148"/>
      <c r="AF75" s="189"/>
      <c r="AG75" s="254"/>
    </row>
    <row r="76" spans="1:33" ht="15.6" outlineLevel="1">
      <c r="A76" s="255" t="str">
        <f>'Program Budget'!D74</f>
        <v>Final Evaluation</v>
      </c>
      <c r="B76" s="180" t="str">
        <f>'Program Budget'!F74</f>
        <v>Unit</v>
      </c>
      <c r="C76" s="181">
        <f>'Program Budget'!H74</f>
        <v>180000</v>
      </c>
      <c r="D76" s="182">
        <f>'Program Budget'!G74</f>
        <v>0</v>
      </c>
      <c r="E76" s="183">
        <v>0</v>
      </c>
      <c r="F76" s="184">
        <f t="shared" si="80"/>
        <v>0</v>
      </c>
      <c r="G76" s="181">
        <f t="shared" si="81"/>
        <v>180000</v>
      </c>
      <c r="H76" s="182">
        <f>'Program Budget'!K74</f>
        <v>0</v>
      </c>
      <c r="I76" s="183">
        <v>0</v>
      </c>
      <c r="J76" s="184">
        <f t="shared" si="82"/>
        <v>0</v>
      </c>
      <c r="K76" s="181">
        <f t="shared" si="83"/>
        <v>180000</v>
      </c>
      <c r="L76" s="182">
        <f>'Program Budget'!N74</f>
        <v>0</v>
      </c>
      <c r="M76" s="183">
        <v>0</v>
      </c>
      <c r="N76" s="184">
        <f t="shared" si="84"/>
        <v>0</v>
      </c>
      <c r="O76" s="181">
        <f t="shared" si="85"/>
        <v>180000</v>
      </c>
      <c r="P76" s="182">
        <f>'Program Budget'!Q74</f>
        <v>0</v>
      </c>
      <c r="Q76" s="183">
        <v>0</v>
      </c>
      <c r="R76" s="184">
        <f t="shared" si="86"/>
        <v>0</v>
      </c>
      <c r="S76" s="181">
        <f t="shared" si="87"/>
        <v>180000</v>
      </c>
      <c r="T76" s="182">
        <f>'Program Budget'!T74</f>
        <v>1</v>
      </c>
      <c r="U76" s="183">
        <v>1</v>
      </c>
      <c r="V76" s="184">
        <f t="shared" si="88"/>
        <v>180000</v>
      </c>
      <c r="W76" s="320">
        <f t="shared" si="89"/>
        <v>180000</v>
      </c>
      <c r="AE76" s="148"/>
      <c r="AF76" s="189"/>
      <c r="AG76" s="254"/>
    </row>
    <row r="77" spans="1:33" ht="15.6" outlineLevel="1">
      <c r="A77" s="255" t="str">
        <f>'Program Budget'!D75</f>
        <v xml:space="preserve">Special Studies on Carbon Assessment and Living Incomes </v>
      </c>
      <c r="B77" s="180" t="str">
        <f>'Program Budget'!F75</f>
        <v>Unit</v>
      </c>
      <c r="C77" s="181">
        <f>'Program Budget'!H75</f>
        <v>280000</v>
      </c>
      <c r="D77" s="182">
        <f>'Program Budget'!G75</f>
        <v>0</v>
      </c>
      <c r="E77" s="183">
        <v>0</v>
      </c>
      <c r="F77" s="184">
        <f t="shared" si="80"/>
        <v>0</v>
      </c>
      <c r="G77" s="181">
        <f t="shared" si="81"/>
        <v>280000</v>
      </c>
      <c r="H77" s="182">
        <f>'Program Budget'!K75</f>
        <v>0.5</v>
      </c>
      <c r="I77" s="183">
        <v>1</v>
      </c>
      <c r="J77" s="184">
        <f t="shared" si="82"/>
        <v>140000</v>
      </c>
      <c r="K77" s="181">
        <f t="shared" si="83"/>
        <v>280000</v>
      </c>
      <c r="L77" s="182">
        <f>'Program Budget'!N75</f>
        <v>0.5</v>
      </c>
      <c r="M77" s="183">
        <v>1</v>
      </c>
      <c r="N77" s="184">
        <f t="shared" si="84"/>
        <v>140000</v>
      </c>
      <c r="O77" s="181">
        <f t="shared" si="85"/>
        <v>280000</v>
      </c>
      <c r="P77" s="182">
        <f>'Program Budget'!Q75</f>
        <v>0</v>
      </c>
      <c r="Q77" s="183">
        <v>0</v>
      </c>
      <c r="R77" s="184">
        <f t="shared" si="86"/>
        <v>0</v>
      </c>
      <c r="S77" s="181">
        <f t="shared" si="87"/>
        <v>280000</v>
      </c>
      <c r="T77" s="182">
        <f>'Program Budget'!T75</f>
        <v>0</v>
      </c>
      <c r="U77" s="183">
        <v>0</v>
      </c>
      <c r="V77" s="184">
        <f t="shared" si="88"/>
        <v>0</v>
      </c>
      <c r="W77" s="320">
        <f t="shared" si="89"/>
        <v>280000</v>
      </c>
      <c r="AE77" s="148"/>
      <c r="AF77" s="189"/>
      <c r="AG77" s="254"/>
    </row>
    <row r="78" spans="1:33" ht="15.6" outlineLevel="1">
      <c r="A78" s="255" t="str">
        <f>'Program Budget'!D76</f>
        <v>Conduct Rapid Complementary Cost-Benefit Analysis</v>
      </c>
      <c r="B78" s="180" t="str">
        <f>'Program Budget'!F76</f>
        <v>Unit</v>
      </c>
      <c r="C78" s="181">
        <f>'Program Budget'!H76</f>
        <v>45000</v>
      </c>
      <c r="D78" s="182">
        <f>'Program Budget'!G76</f>
        <v>1</v>
      </c>
      <c r="E78" s="183">
        <v>1</v>
      </c>
      <c r="F78" s="184">
        <f t="shared" ref="F78" si="90">C78*D78*E78</f>
        <v>45000</v>
      </c>
      <c r="G78" s="181">
        <f t="shared" ref="G78" si="91">C78</f>
        <v>45000</v>
      </c>
      <c r="H78" s="182">
        <f>'Program Budget'!K76</f>
        <v>0</v>
      </c>
      <c r="I78" s="183">
        <v>0</v>
      </c>
      <c r="J78" s="184">
        <f t="shared" ref="J78" si="92">G78*H78*I78</f>
        <v>0</v>
      </c>
      <c r="K78" s="181">
        <f t="shared" ref="K78" si="93">G78</f>
        <v>45000</v>
      </c>
      <c r="L78" s="182">
        <f>'Program Budget'!N76</f>
        <v>0</v>
      </c>
      <c r="M78" s="183">
        <v>0</v>
      </c>
      <c r="N78" s="184">
        <f t="shared" ref="N78" si="94">K78*L78*M78</f>
        <v>0</v>
      </c>
      <c r="O78" s="181">
        <f t="shared" ref="O78" si="95">K78</f>
        <v>45000</v>
      </c>
      <c r="P78" s="182">
        <f>'Program Budget'!Q76</f>
        <v>0</v>
      </c>
      <c r="Q78" s="183">
        <v>0</v>
      </c>
      <c r="R78" s="184">
        <f t="shared" ref="R78" si="96">O78*P78*Q78</f>
        <v>0</v>
      </c>
      <c r="S78" s="181">
        <f t="shared" ref="S78" si="97">O78</f>
        <v>45000</v>
      </c>
      <c r="T78" s="182">
        <f>'Program Budget'!T76</f>
        <v>0</v>
      </c>
      <c r="U78" s="183">
        <v>0</v>
      </c>
      <c r="V78" s="184">
        <f t="shared" ref="V78" si="98">S78*T78*U78</f>
        <v>0</v>
      </c>
      <c r="W78" s="320">
        <f t="shared" si="89"/>
        <v>45000</v>
      </c>
      <c r="AE78" s="148"/>
      <c r="AF78" s="189"/>
      <c r="AG78" s="254"/>
    </row>
    <row r="79" spans="1:33" ht="15.6" outlineLevel="1">
      <c r="A79" s="176" t="str">
        <f>'Program Budget'!D77</f>
        <v>Monitoring Guidelines Development</v>
      </c>
      <c r="B79" s="180"/>
      <c r="C79" s="181"/>
      <c r="D79" s="182"/>
      <c r="E79" s="183"/>
      <c r="F79" s="184"/>
      <c r="G79" s="181"/>
      <c r="H79" s="182"/>
      <c r="I79" s="183"/>
      <c r="J79" s="184"/>
      <c r="K79" s="181"/>
      <c r="L79" s="182"/>
      <c r="M79" s="183"/>
      <c r="N79" s="184"/>
      <c r="O79" s="181"/>
      <c r="P79" s="182"/>
      <c r="Q79" s="183"/>
      <c r="R79" s="184"/>
      <c r="S79" s="181"/>
      <c r="T79" s="182"/>
      <c r="U79" s="183"/>
      <c r="V79" s="184"/>
      <c r="W79" s="320"/>
      <c r="AE79" s="148"/>
      <c r="AF79" s="189"/>
      <c r="AG79" s="254"/>
    </row>
    <row r="80" spans="1:33" ht="15.6" outlineLevel="1">
      <c r="A80" s="255" t="str">
        <f>'Program Budget'!D78</f>
        <v>Monitoring Guidelines Creation, Translation &amp; Printing</v>
      </c>
      <c r="B80" s="180" t="str">
        <f>'Program Budget'!F78</f>
        <v>Document</v>
      </c>
      <c r="C80" s="181">
        <f>'Program Budget'!H78</f>
        <v>8000</v>
      </c>
      <c r="D80" s="182">
        <f>'Program Budget'!G78</f>
        <v>1</v>
      </c>
      <c r="E80" s="183">
        <v>1</v>
      </c>
      <c r="F80" s="184">
        <f t="shared" ref="F80" si="99">C80*D80*E80</f>
        <v>8000</v>
      </c>
      <c r="G80" s="181">
        <f t="shared" ref="G80" si="100">C80</f>
        <v>8000</v>
      </c>
      <c r="H80" s="182">
        <f>'Program Budget'!K78</f>
        <v>0</v>
      </c>
      <c r="I80" s="183">
        <v>0</v>
      </c>
      <c r="J80" s="184">
        <f t="shared" ref="J80" si="101">G80*H80*I80</f>
        <v>0</v>
      </c>
      <c r="K80" s="181">
        <f t="shared" ref="K80" si="102">G80</f>
        <v>8000</v>
      </c>
      <c r="L80" s="182">
        <f>'Program Budget'!N78</f>
        <v>0</v>
      </c>
      <c r="M80" s="183">
        <v>0</v>
      </c>
      <c r="N80" s="184">
        <f t="shared" ref="N80" si="103">K80*L80*M80</f>
        <v>0</v>
      </c>
      <c r="O80" s="181">
        <f t="shared" ref="O80" si="104">K80</f>
        <v>8000</v>
      </c>
      <c r="P80" s="182">
        <f>'Program Budget'!Q78</f>
        <v>0</v>
      </c>
      <c r="Q80" s="183">
        <v>0</v>
      </c>
      <c r="R80" s="184">
        <f t="shared" ref="R80" si="105">O80*P80*Q80</f>
        <v>0</v>
      </c>
      <c r="S80" s="181">
        <f t="shared" ref="S80" si="106">O80</f>
        <v>8000</v>
      </c>
      <c r="T80" s="182">
        <f>'Program Budget'!T78</f>
        <v>0</v>
      </c>
      <c r="U80" s="183">
        <v>0</v>
      </c>
      <c r="V80" s="184">
        <f t="shared" ref="V80" si="107">S80*T80*U80</f>
        <v>0</v>
      </c>
      <c r="W80" s="320">
        <f t="shared" ref="W80" si="108">F80+J80+N80+R80+V80</f>
        <v>8000</v>
      </c>
      <c r="AE80" s="148"/>
      <c r="AF80" s="189"/>
      <c r="AG80" s="254"/>
    </row>
    <row r="81" spans="1:33" ht="15.6" outlineLevel="1">
      <c r="A81" s="255" t="str">
        <f>'Program Budget'!D79</f>
        <v>Monitoring Guidelines Revision, Translation &amp; Printing</v>
      </c>
      <c r="B81" s="180" t="str">
        <f>'Program Budget'!F79</f>
        <v>Year</v>
      </c>
      <c r="C81" s="181">
        <f>'Program Budget'!H79</f>
        <v>2000</v>
      </c>
      <c r="D81" s="182">
        <f>'Program Budget'!G79</f>
        <v>0</v>
      </c>
      <c r="E81" s="183">
        <v>0</v>
      </c>
      <c r="F81" s="184">
        <f>C81*D81*E81</f>
        <v>0</v>
      </c>
      <c r="G81" s="181">
        <f>C81</f>
        <v>2000</v>
      </c>
      <c r="H81" s="182">
        <f>'Program Budget'!K79</f>
        <v>1</v>
      </c>
      <c r="I81" s="183">
        <v>1</v>
      </c>
      <c r="J81" s="184">
        <f>G81*H81*I81</f>
        <v>2000</v>
      </c>
      <c r="K81" s="181">
        <f>G81</f>
        <v>2000</v>
      </c>
      <c r="L81" s="182">
        <f>'Program Budget'!N79</f>
        <v>1</v>
      </c>
      <c r="M81" s="183">
        <v>1</v>
      </c>
      <c r="N81" s="184">
        <f>K81*L81*M81</f>
        <v>2000</v>
      </c>
      <c r="O81" s="181">
        <f>K81</f>
        <v>2000</v>
      </c>
      <c r="P81" s="182">
        <f>'Program Budget'!Q79</f>
        <v>1</v>
      </c>
      <c r="Q81" s="183">
        <v>1</v>
      </c>
      <c r="R81" s="184">
        <f>O81*P81*Q81</f>
        <v>2000</v>
      </c>
      <c r="S81" s="181">
        <f>O81</f>
        <v>2000</v>
      </c>
      <c r="T81" s="182">
        <f>'Program Budget'!T79</f>
        <v>1</v>
      </c>
      <c r="U81" s="183">
        <v>1</v>
      </c>
      <c r="V81" s="184">
        <f>S81*T81*U81</f>
        <v>2000</v>
      </c>
      <c r="W81" s="320">
        <f>F81+J81+N81+R81+V81</f>
        <v>8000</v>
      </c>
      <c r="AE81" s="148"/>
      <c r="AF81" s="189"/>
      <c r="AG81" s="254"/>
    </row>
    <row r="82" spans="1:33" ht="15.6" outlineLevel="1">
      <c r="A82" s="255" t="str">
        <f>'Program Budget'!D80</f>
        <v>Monitoring Guidelines Staff Training on Indicators and Data Collection/Analysis</v>
      </c>
      <c r="B82" s="180" t="str">
        <f>'Program Budget'!F80</f>
        <v xml:space="preserve">Workshop </v>
      </c>
      <c r="C82" s="181">
        <f>'Program Budget'!H80</f>
        <v>6000</v>
      </c>
      <c r="D82" s="182">
        <f>'Program Budget'!G80</f>
        <v>1</v>
      </c>
      <c r="E82" s="183">
        <v>1</v>
      </c>
      <c r="F82" s="184">
        <f t="shared" ref="F82" si="109">C82*D82*E82</f>
        <v>6000</v>
      </c>
      <c r="G82" s="181">
        <f t="shared" ref="G82" si="110">C82</f>
        <v>6000</v>
      </c>
      <c r="H82" s="182">
        <f>'Program Budget'!K80</f>
        <v>1</v>
      </c>
      <c r="I82" s="183">
        <v>1</v>
      </c>
      <c r="J82" s="184">
        <f t="shared" ref="J82" si="111">G82*H82*I82</f>
        <v>6000</v>
      </c>
      <c r="K82" s="181">
        <f t="shared" ref="K82" si="112">G82</f>
        <v>6000</v>
      </c>
      <c r="L82" s="182">
        <f>'Program Budget'!N80</f>
        <v>1</v>
      </c>
      <c r="M82" s="183">
        <v>1</v>
      </c>
      <c r="N82" s="184">
        <f t="shared" ref="N82" si="113">K82*L82*M82</f>
        <v>6000</v>
      </c>
      <c r="O82" s="181">
        <f t="shared" ref="O82" si="114">K82</f>
        <v>6000</v>
      </c>
      <c r="P82" s="182">
        <f>'Program Budget'!Q80</f>
        <v>1</v>
      </c>
      <c r="Q82" s="183">
        <v>1</v>
      </c>
      <c r="R82" s="184">
        <f t="shared" ref="R82" si="115">O82*P82*Q82</f>
        <v>6000</v>
      </c>
      <c r="S82" s="181">
        <f t="shared" ref="S82" si="116">O82</f>
        <v>6000</v>
      </c>
      <c r="T82" s="182">
        <f>'Program Budget'!T80</f>
        <v>1</v>
      </c>
      <c r="U82" s="183">
        <v>1</v>
      </c>
      <c r="V82" s="184">
        <f t="shared" ref="V82" si="117">S82*T82*U82</f>
        <v>6000</v>
      </c>
      <c r="W82" s="320">
        <f t="shared" ref="W82" si="118">F82+J82+N82+R82+V82</f>
        <v>30000</v>
      </c>
      <c r="AE82" s="148"/>
      <c r="AF82" s="189"/>
      <c r="AG82" s="254"/>
    </row>
    <row r="83" spans="1:33" ht="15.6" outlineLevel="1">
      <c r="A83" s="176" t="str">
        <f>'Program Budget'!D81</f>
        <v>M&amp;E Database</v>
      </c>
      <c r="B83" s="180"/>
      <c r="C83" s="181"/>
      <c r="D83" s="182"/>
      <c r="E83" s="183"/>
      <c r="F83" s="184"/>
      <c r="G83" s="181"/>
      <c r="H83" s="182"/>
      <c r="I83" s="183"/>
      <c r="J83" s="184"/>
      <c r="K83" s="181"/>
      <c r="L83" s="182"/>
      <c r="M83" s="183"/>
      <c r="N83" s="184"/>
      <c r="O83" s="181"/>
      <c r="P83" s="182"/>
      <c r="Q83" s="183"/>
      <c r="R83" s="184"/>
      <c r="S83" s="181"/>
      <c r="T83" s="182"/>
      <c r="U83" s="183"/>
      <c r="V83" s="184"/>
      <c r="W83" s="320"/>
      <c r="AE83" s="148"/>
      <c r="AF83" s="189"/>
      <c r="AG83" s="254"/>
    </row>
    <row r="84" spans="1:33" ht="15.6" outlineLevel="1">
      <c r="A84" s="255" t="str">
        <f>'Program Budget'!D82</f>
        <v>M&amp;E Database Trainings</v>
      </c>
      <c r="B84" s="180" t="str">
        <f>'Program Budget'!F82</f>
        <v>Year</v>
      </c>
      <c r="C84" s="181">
        <f>'Program Budget'!H82</f>
        <v>500</v>
      </c>
      <c r="D84" s="182">
        <f>'Program Budget'!G82</f>
        <v>1</v>
      </c>
      <c r="E84" s="183">
        <v>1</v>
      </c>
      <c r="F84" s="184">
        <f t="shared" ref="F84" si="119">C84*D84*E84</f>
        <v>500</v>
      </c>
      <c r="G84" s="181">
        <f t="shared" ref="G84" si="120">C84</f>
        <v>500</v>
      </c>
      <c r="H84" s="182">
        <f>'Program Budget'!K82</f>
        <v>1</v>
      </c>
      <c r="I84" s="183">
        <v>1</v>
      </c>
      <c r="J84" s="184">
        <f t="shared" ref="J84" si="121">G84*H84*I84</f>
        <v>500</v>
      </c>
      <c r="K84" s="181">
        <f t="shared" ref="K84" si="122">G84</f>
        <v>500</v>
      </c>
      <c r="L84" s="182">
        <f>'Program Budget'!N82</f>
        <v>1</v>
      </c>
      <c r="M84" s="183">
        <v>1</v>
      </c>
      <c r="N84" s="184">
        <f t="shared" ref="N84" si="123">K84*L84*M84</f>
        <v>500</v>
      </c>
      <c r="O84" s="181">
        <f t="shared" ref="O84" si="124">K84</f>
        <v>500</v>
      </c>
      <c r="P84" s="182">
        <f>'Program Budget'!Q82</f>
        <v>1</v>
      </c>
      <c r="Q84" s="183">
        <v>1</v>
      </c>
      <c r="R84" s="184">
        <f t="shared" ref="R84" si="125">O84*P84*Q84</f>
        <v>500</v>
      </c>
      <c r="S84" s="181">
        <f t="shared" ref="S84" si="126">O84</f>
        <v>500</v>
      </c>
      <c r="T84" s="182">
        <f>'Program Budget'!T82</f>
        <v>1</v>
      </c>
      <c r="U84" s="183">
        <v>1</v>
      </c>
      <c r="V84" s="184">
        <f t="shared" ref="V84" si="127">S84*T84*U84</f>
        <v>500</v>
      </c>
      <c r="W84" s="320">
        <f t="shared" ref="W84" si="128">F84+J84+N84+R84+V84</f>
        <v>2500</v>
      </c>
      <c r="AE84" s="148"/>
      <c r="AF84" s="189"/>
      <c r="AG84" s="254"/>
    </row>
    <row r="85" spans="1:33" ht="15.6" outlineLevel="1">
      <c r="A85" s="255" t="str">
        <f>'Program Budget'!D83</f>
        <v>M&amp;E Database Platform Subscription and Customization</v>
      </c>
      <c r="B85" s="180" t="str">
        <f>'Program Budget'!F83</f>
        <v>Year</v>
      </c>
      <c r="C85" s="181">
        <f>'Program Budget'!H83</f>
        <v>15000</v>
      </c>
      <c r="D85" s="182">
        <f>'Program Budget'!G83</f>
        <v>1</v>
      </c>
      <c r="E85" s="183">
        <v>1</v>
      </c>
      <c r="F85" s="184">
        <f t="shared" ref="F85" si="129">C85*D85*E85</f>
        <v>15000</v>
      </c>
      <c r="G85" s="181">
        <f t="shared" ref="G85" si="130">C85</f>
        <v>15000</v>
      </c>
      <c r="H85" s="182">
        <f>'Program Budget'!K83</f>
        <v>1</v>
      </c>
      <c r="I85" s="183">
        <v>1</v>
      </c>
      <c r="J85" s="184">
        <f t="shared" ref="J85" si="131">G85*H85*I85</f>
        <v>15000</v>
      </c>
      <c r="K85" s="181">
        <f t="shared" ref="K85" si="132">G85</f>
        <v>15000</v>
      </c>
      <c r="L85" s="182">
        <f>'Program Budget'!N83</f>
        <v>1</v>
      </c>
      <c r="M85" s="183">
        <v>1</v>
      </c>
      <c r="N85" s="184">
        <f t="shared" ref="N85" si="133">K85*L85*M85</f>
        <v>15000</v>
      </c>
      <c r="O85" s="181">
        <f t="shared" ref="O85" si="134">K85</f>
        <v>15000</v>
      </c>
      <c r="P85" s="182">
        <f>'Program Budget'!Q83</f>
        <v>1</v>
      </c>
      <c r="Q85" s="183">
        <v>1</v>
      </c>
      <c r="R85" s="184">
        <f t="shared" ref="R85" si="135">O85*P85*Q85</f>
        <v>15000</v>
      </c>
      <c r="S85" s="181">
        <f t="shared" ref="S85" si="136">O85</f>
        <v>15000</v>
      </c>
      <c r="T85" s="182">
        <f>'Program Budget'!T83</f>
        <v>1</v>
      </c>
      <c r="U85" s="183">
        <v>1</v>
      </c>
      <c r="V85" s="184">
        <f t="shared" ref="V85" si="137">S85*T85*U85</f>
        <v>15000</v>
      </c>
      <c r="W85" s="320">
        <f t="shared" ref="W85" si="138">F85+J85+N85+R85+V85</f>
        <v>75000</v>
      </c>
      <c r="AE85" s="148"/>
      <c r="AF85" s="189"/>
      <c r="AG85" s="254"/>
    </row>
    <row r="86" spans="1:33" outlineLevel="1">
      <c r="A86" s="313"/>
      <c r="B86" s="202"/>
      <c r="C86" s="256"/>
      <c r="D86" s="257"/>
      <c r="F86" s="184"/>
      <c r="G86" s="256"/>
      <c r="H86" s="257"/>
      <c r="I86" s="145"/>
      <c r="J86" s="184"/>
      <c r="K86" s="256"/>
      <c r="L86" s="257"/>
      <c r="N86" s="184"/>
      <c r="O86" s="256"/>
      <c r="P86" s="257"/>
      <c r="Q86" s="145"/>
      <c r="R86" s="184"/>
      <c r="S86" s="256"/>
      <c r="T86" s="257"/>
      <c r="U86" s="145"/>
      <c r="V86" s="184"/>
      <c r="W86" s="325"/>
      <c r="AE86" s="148">
        <v>319</v>
      </c>
      <c r="AF86" s="189" t="s">
        <v>133</v>
      </c>
      <c r="AG86" s="254" t="s">
        <v>134</v>
      </c>
    </row>
    <row r="87" spans="1:33" ht="18.3" outlineLevel="1">
      <c r="A87" s="247" t="s">
        <v>98</v>
      </c>
      <c r="B87" s="213"/>
      <c r="C87" s="214"/>
      <c r="D87" s="248"/>
      <c r="E87" s="249"/>
      <c r="F87" s="217">
        <f>SUM(F66:F86)</f>
        <v>541633.82380000001</v>
      </c>
      <c r="G87" s="214"/>
      <c r="H87" s="248"/>
      <c r="I87" s="218"/>
      <c r="J87" s="217">
        <f>SUM(J66:J86)</f>
        <v>272000</v>
      </c>
      <c r="K87" s="214"/>
      <c r="L87" s="248"/>
      <c r="M87" s="249"/>
      <c r="N87" s="217">
        <f>SUM(N66:N86)</f>
        <v>382000</v>
      </c>
      <c r="O87" s="214"/>
      <c r="P87" s="248"/>
      <c r="Q87" s="218"/>
      <c r="R87" s="217">
        <f>SUM(R66:R86)</f>
        <v>72000</v>
      </c>
      <c r="S87" s="214"/>
      <c r="T87" s="248"/>
      <c r="U87" s="218"/>
      <c r="V87" s="217">
        <f>SUM(V66:V86)</f>
        <v>241500</v>
      </c>
      <c r="W87" s="323">
        <f>+F87+J87+N87+R87+V87</f>
        <v>1509133.8237999999</v>
      </c>
      <c r="AE87" s="148"/>
      <c r="AF87" s="189"/>
      <c r="AG87" s="254"/>
    </row>
    <row r="88" spans="1:33" ht="15.6" outlineLevel="1">
      <c r="A88" s="176" t="s">
        <v>99</v>
      </c>
      <c r="B88" s="259"/>
      <c r="D88" s="251"/>
      <c r="F88" s="184"/>
      <c r="H88" s="251"/>
      <c r="J88" s="186"/>
      <c r="L88" s="251"/>
      <c r="N88" s="186"/>
      <c r="P88" s="251"/>
      <c r="R88" s="186"/>
      <c r="T88" s="251"/>
      <c r="V88" s="186"/>
      <c r="W88" s="320"/>
      <c r="AE88" s="148"/>
    </row>
    <row r="89" spans="1:33" ht="15.6" outlineLevel="1">
      <c r="A89" s="255" t="str">
        <f>'Program Budget'!D89</f>
        <v>Vehicles for Field Office</v>
      </c>
      <c r="B89" s="180" t="str">
        <f>'Program Budget'!F89</f>
        <v>Unit</v>
      </c>
      <c r="C89" s="181">
        <f>'Program Budget'!H89</f>
        <v>60000</v>
      </c>
      <c r="D89" s="182">
        <f>'Program Budget'!G89</f>
        <v>3</v>
      </c>
      <c r="E89" s="183">
        <v>1</v>
      </c>
      <c r="F89" s="184">
        <f t="shared" ref="F89" si="139">C89*D89*E89</f>
        <v>180000</v>
      </c>
      <c r="G89" s="181">
        <f>C89</f>
        <v>60000</v>
      </c>
      <c r="H89" s="182">
        <f>'Program Budget'!K89</f>
        <v>0</v>
      </c>
      <c r="I89" s="183">
        <v>0</v>
      </c>
      <c r="J89" s="184">
        <f t="shared" ref="J89" si="140">G89*H89*I89</f>
        <v>0</v>
      </c>
      <c r="K89" s="181">
        <f t="shared" ref="K89" si="141">G89</f>
        <v>60000</v>
      </c>
      <c r="L89" s="182">
        <f>'Program Budget'!N89</f>
        <v>0</v>
      </c>
      <c r="M89" s="183">
        <v>0</v>
      </c>
      <c r="N89" s="184">
        <f t="shared" ref="N89" si="142">K89*L89*M89</f>
        <v>0</v>
      </c>
      <c r="O89" s="181">
        <f t="shared" ref="O89" si="143">K89</f>
        <v>60000</v>
      </c>
      <c r="P89" s="182">
        <f>'Program Budget'!Q89</f>
        <v>0</v>
      </c>
      <c r="Q89" s="183">
        <v>0</v>
      </c>
      <c r="R89" s="184">
        <f t="shared" ref="R89" si="144">O89*P89*Q89</f>
        <v>0</v>
      </c>
      <c r="S89" s="181">
        <f>O89</f>
        <v>60000</v>
      </c>
      <c r="T89" s="182">
        <f>'Program Budget'!T89</f>
        <v>0</v>
      </c>
      <c r="U89" s="183">
        <v>0</v>
      </c>
      <c r="V89" s="184">
        <f t="shared" ref="V89" si="145">S89*T89*U89</f>
        <v>0</v>
      </c>
      <c r="W89" s="320">
        <f t="shared" ref="W89" si="146">F89+J89+N89+R89+V89</f>
        <v>180000</v>
      </c>
      <c r="AE89" s="148"/>
      <c r="AF89" s="189"/>
      <c r="AG89" s="254"/>
    </row>
    <row r="90" spans="1:33" outlineLevel="1">
      <c r="A90" s="312"/>
      <c r="B90" s="202"/>
      <c r="D90" s="251"/>
      <c r="F90" s="184"/>
      <c r="H90" s="251"/>
      <c r="I90" s="145"/>
      <c r="J90" s="184"/>
      <c r="L90" s="251"/>
      <c r="N90" s="184"/>
      <c r="P90" s="251"/>
      <c r="Q90" s="145"/>
      <c r="R90" s="184"/>
      <c r="T90" s="251"/>
      <c r="U90" s="145"/>
      <c r="V90" s="184"/>
      <c r="W90" s="320"/>
      <c r="AE90" s="148">
        <v>297</v>
      </c>
      <c r="AF90" s="189" t="s">
        <v>135</v>
      </c>
      <c r="AG90" s="189" t="s">
        <v>136</v>
      </c>
    </row>
    <row r="91" spans="1:33" ht="18.3" outlineLevel="1">
      <c r="A91" s="247" t="s">
        <v>100</v>
      </c>
      <c r="B91" s="213"/>
      <c r="C91" s="214"/>
      <c r="D91" s="248"/>
      <c r="E91" s="249"/>
      <c r="F91" s="217">
        <f>SUM(F89:F90)</f>
        <v>180000</v>
      </c>
      <c r="G91" s="214"/>
      <c r="H91" s="248"/>
      <c r="I91" s="218"/>
      <c r="J91" s="217">
        <f>SUM(J89:J90)</f>
        <v>0</v>
      </c>
      <c r="K91" s="214"/>
      <c r="L91" s="248"/>
      <c r="M91" s="249"/>
      <c r="N91" s="217">
        <f>SUM(N89:N90)</f>
        <v>0</v>
      </c>
      <c r="O91" s="214"/>
      <c r="P91" s="248"/>
      <c r="Q91" s="218"/>
      <c r="R91" s="217">
        <f>SUM(R89:R90)</f>
        <v>0</v>
      </c>
      <c r="S91" s="214"/>
      <c r="T91" s="248"/>
      <c r="U91" s="218"/>
      <c r="V91" s="217">
        <f>SUM(V89:V90)</f>
        <v>0</v>
      </c>
      <c r="W91" s="323">
        <f>+F91+J91+N91+R91+V91</f>
        <v>180000</v>
      </c>
      <c r="AE91" s="148"/>
      <c r="AF91" s="189"/>
      <c r="AG91" s="254"/>
    </row>
    <row r="92" spans="1:33" ht="15.6" outlineLevel="1">
      <c r="A92" s="176" t="s">
        <v>32</v>
      </c>
      <c r="B92" s="202"/>
      <c r="D92" s="251"/>
      <c r="F92" s="184"/>
      <c r="H92" s="251"/>
      <c r="I92" s="145"/>
      <c r="J92" s="184"/>
      <c r="L92" s="251"/>
      <c r="N92" s="184"/>
      <c r="P92" s="251"/>
      <c r="Q92" s="145"/>
      <c r="R92" s="184"/>
      <c r="T92" s="251"/>
      <c r="U92" s="145"/>
      <c r="V92" s="184"/>
      <c r="W92" s="320"/>
      <c r="AE92" s="148"/>
      <c r="AF92" s="189"/>
      <c r="AG92" s="189"/>
    </row>
    <row r="93" spans="1:33" ht="15.6" outlineLevel="1">
      <c r="A93" s="255" t="str">
        <f>'Program Budget'!D95</f>
        <v>Communications Costs (Internet, Phone, Data) (Tunis)</v>
      </c>
      <c r="B93" s="180" t="str">
        <f>'Program Budget'!F95</f>
        <v>Month</v>
      </c>
      <c r="C93" s="181">
        <f>'Program Budget'!H95</f>
        <v>350</v>
      </c>
      <c r="D93" s="182">
        <f>'Program Budget'!G95</f>
        <v>3</v>
      </c>
      <c r="E93" s="183">
        <v>1</v>
      </c>
      <c r="F93" s="184">
        <f>C93*D93*E93</f>
        <v>1050</v>
      </c>
      <c r="G93" s="181">
        <f>C93*1.07</f>
        <v>374.5</v>
      </c>
      <c r="H93" s="182">
        <f>'Program Budget'!K95</f>
        <v>12</v>
      </c>
      <c r="I93" s="183">
        <v>1</v>
      </c>
      <c r="J93" s="184">
        <f>G93*H93*I93</f>
        <v>4494</v>
      </c>
      <c r="K93" s="181">
        <f>G93*1.07</f>
        <v>400.71500000000003</v>
      </c>
      <c r="L93" s="182">
        <f>'Program Budget'!N95</f>
        <v>12</v>
      </c>
      <c r="M93" s="183">
        <v>1</v>
      </c>
      <c r="N93" s="184">
        <f>K93*L93*M93</f>
        <v>4808.58</v>
      </c>
      <c r="O93" s="181">
        <f>K93*1.07</f>
        <v>428.76505000000003</v>
      </c>
      <c r="P93" s="182">
        <f>'Program Budget'!Q95</f>
        <v>12</v>
      </c>
      <c r="Q93" s="183">
        <v>1</v>
      </c>
      <c r="R93" s="184">
        <f>O93*P93*Q93</f>
        <v>5145.1806000000006</v>
      </c>
      <c r="S93" s="181">
        <f>O93*1.07</f>
        <v>458.77860350000003</v>
      </c>
      <c r="T93" s="182">
        <f>'Program Budget'!T95</f>
        <v>6</v>
      </c>
      <c r="U93" s="183">
        <v>1</v>
      </c>
      <c r="V93" s="184">
        <f>S93*T93*U93</f>
        <v>2752.6716210000004</v>
      </c>
      <c r="W93" s="320">
        <f>F93+J93+N93+R93+V93</f>
        <v>18250.432221000003</v>
      </c>
      <c r="AE93" s="148"/>
      <c r="AF93" s="189"/>
      <c r="AG93" s="254"/>
    </row>
    <row r="94" spans="1:33" ht="15.6" outlineLevel="1">
      <c r="A94" s="255" t="str">
        <f>'Program Budget'!D96</f>
        <v>Office Rent, Utilities &amp; Cleaning (Tunis) (Furnished) (Coworking Space, rental price includes all costs)</v>
      </c>
      <c r="B94" s="180" t="str">
        <f>'Program Budget'!F96</f>
        <v>Month</v>
      </c>
      <c r="C94" s="181">
        <f>'Program Budget'!H96</f>
        <v>3500</v>
      </c>
      <c r="D94" s="182">
        <f>'Program Budget'!G96</f>
        <v>3</v>
      </c>
      <c r="E94" s="183">
        <v>1</v>
      </c>
      <c r="F94" s="184">
        <f t="shared" ref="F94:F95" si="147">C94*D94*E94</f>
        <v>10500</v>
      </c>
      <c r="G94" s="181">
        <f t="shared" ref="G94:G103" si="148">C94*1.07</f>
        <v>3745</v>
      </c>
      <c r="H94" s="182">
        <f>'Program Budget'!K96</f>
        <v>12</v>
      </c>
      <c r="I94" s="183">
        <v>1</v>
      </c>
      <c r="J94" s="184">
        <f t="shared" ref="J94:J95" si="149">G94*H94*I94</f>
        <v>44940</v>
      </c>
      <c r="K94" s="181">
        <f t="shared" ref="K94:K104" si="150">G94*1.07</f>
        <v>4007.15</v>
      </c>
      <c r="L94" s="182">
        <f>'Program Budget'!N96</f>
        <v>12</v>
      </c>
      <c r="M94" s="183">
        <v>1</v>
      </c>
      <c r="N94" s="184">
        <f t="shared" ref="N94:N95" si="151">K94*L94*M94</f>
        <v>48085.8</v>
      </c>
      <c r="O94" s="181">
        <f t="shared" ref="O94:O104" si="152">K94*1.07</f>
        <v>4287.6505000000006</v>
      </c>
      <c r="P94" s="182">
        <f>'Program Budget'!Q96</f>
        <v>12</v>
      </c>
      <c r="Q94" s="183">
        <v>1</v>
      </c>
      <c r="R94" s="184">
        <f t="shared" ref="R94:R95" si="153">O94*P94*Q94</f>
        <v>51451.806000000011</v>
      </c>
      <c r="S94" s="181">
        <f t="shared" ref="S94:S104" si="154">O94*1.07</f>
        <v>4587.786035000001</v>
      </c>
      <c r="T94" s="182">
        <f>'Program Budget'!T96</f>
        <v>6</v>
      </c>
      <c r="U94" s="183">
        <v>1</v>
      </c>
      <c r="V94" s="184">
        <f t="shared" ref="V94:V95" si="155">S94*T94*U94</f>
        <v>27526.716210000006</v>
      </c>
      <c r="W94" s="320">
        <f t="shared" ref="W94:W95" si="156">F94+J94+N94+R94+V94</f>
        <v>182504.32221000004</v>
      </c>
      <c r="AE94" s="148"/>
      <c r="AF94" s="189"/>
      <c r="AG94" s="254"/>
    </row>
    <row r="95" spans="1:33" ht="15.6" outlineLevel="1">
      <c r="A95" s="255" t="str">
        <f>'Program Budget'!D98</f>
        <v>Communications Costs (Internet, Phone, Data) (Tozeur)</v>
      </c>
      <c r="B95" s="180" t="str">
        <f>'Program Budget'!F98</f>
        <v>Month</v>
      </c>
      <c r="C95" s="181">
        <f>'Program Budget'!H98</f>
        <v>500</v>
      </c>
      <c r="D95" s="182">
        <f>'Program Budget'!G98</f>
        <v>3</v>
      </c>
      <c r="E95" s="183">
        <v>1</v>
      </c>
      <c r="F95" s="184">
        <f t="shared" si="147"/>
        <v>1500</v>
      </c>
      <c r="G95" s="181">
        <f t="shared" si="148"/>
        <v>535</v>
      </c>
      <c r="H95" s="182">
        <f>'Program Budget'!K98</f>
        <v>12</v>
      </c>
      <c r="I95" s="183">
        <v>1</v>
      </c>
      <c r="J95" s="184">
        <f t="shared" si="149"/>
        <v>6420</v>
      </c>
      <c r="K95" s="181">
        <f t="shared" si="150"/>
        <v>572.45000000000005</v>
      </c>
      <c r="L95" s="182">
        <f>'Program Budget'!N98</f>
        <v>12</v>
      </c>
      <c r="M95" s="183">
        <v>1</v>
      </c>
      <c r="N95" s="184">
        <f t="shared" si="151"/>
        <v>6869.4000000000005</v>
      </c>
      <c r="O95" s="181">
        <f t="shared" si="152"/>
        <v>612.52150000000006</v>
      </c>
      <c r="P95" s="182">
        <f>'Program Budget'!Q98</f>
        <v>12</v>
      </c>
      <c r="Q95" s="183">
        <v>1</v>
      </c>
      <c r="R95" s="184">
        <f t="shared" si="153"/>
        <v>7350.2580000000007</v>
      </c>
      <c r="S95" s="181">
        <f t="shared" si="154"/>
        <v>655.39800500000013</v>
      </c>
      <c r="T95" s="182">
        <f>'Program Budget'!T98</f>
        <v>6</v>
      </c>
      <c r="U95" s="183">
        <v>1</v>
      </c>
      <c r="V95" s="184">
        <f t="shared" si="155"/>
        <v>3932.388030000001</v>
      </c>
      <c r="W95" s="320">
        <f t="shared" si="156"/>
        <v>26072.046030000005</v>
      </c>
      <c r="AE95" s="148"/>
      <c r="AF95" s="189"/>
      <c r="AG95" s="254"/>
    </row>
    <row r="96" spans="1:33" ht="15.6" outlineLevel="1">
      <c r="A96" s="255" t="str">
        <f>'Program Budget'!D99</f>
        <v>Office Rent (Tozeur) (Unfurnished)</v>
      </c>
      <c r="B96" s="180" t="str">
        <f>'Program Budget'!F99</f>
        <v>Month</v>
      </c>
      <c r="C96" s="181">
        <f>'Program Budget'!H99</f>
        <v>825</v>
      </c>
      <c r="D96" s="182">
        <f>'Program Budget'!G99</f>
        <v>3</v>
      </c>
      <c r="E96" s="183">
        <v>1</v>
      </c>
      <c r="F96" s="184">
        <f>C96*D96*E96</f>
        <v>2475</v>
      </c>
      <c r="G96" s="181">
        <f t="shared" si="148"/>
        <v>882.75</v>
      </c>
      <c r="H96" s="182">
        <f>'Program Budget'!K99</f>
        <v>12</v>
      </c>
      <c r="I96" s="183">
        <v>1</v>
      </c>
      <c r="J96" s="184">
        <f>G96*H96*I96</f>
        <v>10593</v>
      </c>
      <c r="K96" s="181">
        <f t="shared" si="150"/>
        <v>944.54250000000002</v>
      </c>
      <c r="L96" s="182">
        <f>'Program Budget'!N99</f>
        <v>12</v>
      </c>
      <c r="M96" s="183">
        <v>1</v>
      </c>
      <c r="N96" s="184">
        <f>K96*L96*M96</f>
        <v>11334.51</v>
      </c>
      <c r="O96" s="181">
        <f t="shared" si="152"/>
        <v>1010.6604750000001</v>
      </c>
      <c r="P96" s="182">
        <f>'Program Budget'!Q99</f>
        <v>12</v>
      </c>
      <c r="Q96" s="183">
        <v>1</v>
      </c>
      <c r="R96" s="184">
        <f>O96*P96*Q96</f>
        <v>12127.925700000002</v>
      </c>
      <c r="S96" s="181">
        <f t="shared" si="154"/>
        <v>1081.4067082500003</v>
      </c>
      <c r="T96" s="182">
        <f>'Program Budget'!T99</f>
        <v>6</v>
      </c>
      <c r="U96" s="183">
        <v>1</v>
      </c>
      <c r="V96" s="184">
        <f>S96*T96*U96</f>
        <v>6488.4402495000013</v>
      </c>
      <c r="W96" s="320">
        <f>F96+J96+N96+R96+V96</f>
        <v>43018.875949500005</v>
      </c>
      <c r="AE96" s="148"/>
      <c r="AF96" s="189"/>
      <c r="AG96" s="254"/>
    </row>
    <row r="97" spans="1:33" ht="15.6" outlineLevel="1">
      <c r="A97" s="255" t="str">
        <f>'Program Budget'!D100</f>
        <v>Office Utilities (Tozeur)</v>
      </c>
      <c r="B97" s="180" t="str">
        <f>'Program Budget'!F100</f>
        <v>Month</v>
      </c>
      <c r="C97" s="181">
        <f>'Program Budget'!H100</f>
        <v>100</v>
      </c>
      <c r="D97" s="182">
        <f>'Program Budget'!G100</f>
        <v>3</v>
      </c>
      <c r="E97" s="183">
        <v>1</v>
      </c>
      <c r="F97" s="184">
        <f>C97*D97*E97</f>
        <v>300</v>
      </c>
      <c r="G97" s="181">
        <f t="shared" ref="G97:G98" si="157">C97*1.07</f>
        <v>107</v>
      </c>
      <c r="H97" s="182">
        <f>'Program Budget'!K100</f>
        <v>12</v>
      </c>
      <c r="I97" s="183">
        <v>1</v>
      </c>
      <c r="J97" s="184">
        <f>G97*H97*I97</f>
        <v>1284</v>
      </c>
      <c r="K97" s="181">
        <f t="shared" ref="K97:K98" si="158">G97*1.07</f>
        <v>114.49000000000001</v>
      </c>
      <c r="L97" s="182">
        <f>'Program Budget'!N100</f>
        <v>12</v>
      </c>
      <c r="M97" s="183">
        <v>1</v>
      </c>
      <c r="N97" s="184">
        <f>K97*L97*M97</f>
        <v>1373.88</v>
      </c>
      <c r="O97" s="181">
        <f t="shared" ref="O97:O98" si="159">K97*1.07</f>
        <v>122.50430000000001</v>
      </c>
      <c r="P97" s="182">
        <f>'Program Budget'!Q100</f>
        <v>12</v>
      </c>
      <c r="Q97" s="183">
        <v>1</v>
      </c>
      <c r="R97" s="184">
        <f>O97*P97*Q97</f>
        <v>1470.0516000000002</v>
      </c>
      <c r="S97" s="181">
        <f t="shared" ref="S97:S98" si="160">O97*1.07</f>
        <v>131.07960100000003</v>
      </c>
      <c r="T97" s="182">
        <f>'Program Budget'!T100</f>
        <v>6</v>
      </c>
      <c r="U97" s="183">
        <v>1</v>
      </c>
      <c r="V97" s="184">
        <f>S97*T97*U97</f>
        <v>786.47760600000015</v>
      </c>
      <c r="W97" s="320">
        <f>F97+J97+N97+R97+V97</f>
        <v>5214.4092060000003</v>
      </c>
      <c r="AE97" s="148"/>
      <c r="AF97" s="189"/>
      <c r="AG97" s="254"/>
    </row>
    <row r="98" spans="1:33" ht="15.6" outlineLevel="1">
      <c r="A98" s="255" t="str">
        <f>'Program Budget'!D101</f>
        <v>Office Cleaning (Tozeur)</v>
      </c>
      <c r="B98" s="180" t="str">
        <f>'Program Budget'!F101</f>
        <v>Month</v>
      </c>
      <c r="C98" s="181">
        <f>'Program Budget'!H101</f>
        <v>75</v>
      </c>
      <c r="D98" s="182">
        <f>'Program Budget'!G101</f>
        <v>3</v>
      </c>
      <c r="E98" s="183">
        <v>1</v>
      </c>
      <c r="F98" s="184">
        <f>C98*D98*E98</f>
        <v>225</v>
      </c>
      <c r="G98" s="181">
        <f t="shared" si="157"/>
        <v>80.25</v>
      </c>
      <c r="H98" s="182">
        <f>'Program Budget'!K101</f>
        <v>12</v>
      </c>
      <c r="I98" s="183">
        <v>1</v>
      </c>
      <c r="J98" s="184">
        <f>G98*H98*I98</f>
        <v>963</v>
      </c>
      <c r="K98" s="181">
        <f t="shared" si="158"/>
        <v>85.867500000000007</v>
      </c>
      <c r="L98" s="182">
        <f>'Program Budget'!N101</f>
        <v>12</v>
      </c>
      <c r="M98" s="183">
        <v>1</v>
      </c>
      <c r="N98" s="184">
        <f>K98*L98*M98</f>
        <v>1030.4100000000001</v>
      </c>
      <c r="O98" s="181">
        <f t="shared" si="159"/>
        <v>91.878225000000015</v>
      </c>
      <c r="P98" s="182">
        <f>'Program Budget'!Q101</f>
        <v>12</v>
      </c>
      <c r="Q98" s="183">
        <v>1</v>
      </c>
      <c r="R98" s="184">
        <f>O98*P98*Q98</f>
        <v>1102.5387000000001</v>
      </c>
      <c r="S98" s="181">
        <f t="shared" si="160"/>
        <v>98.309700750000019</v>
      </c>
      <c r="T98" s="182">
        <f>'Program Budget'!T101</f>
        <v>6</v>
      </c>
      <c r="U98" s="183">
        <v>1</v>
      </c>
      <c r="V98" s="184">
        <f>S98*T98*U98</f>
        <v>589.85820450000006</v>
      </c>
      <c r="W98" s="320">
        <f>F98+J98+N98+R98+V98</f>
        <v>3910.8069045000002</v>
      </c>
      <c r="AE98" s="148"/>
      <c r="AF98" s="189"/>
      <c r="AG98" s="254"/>
    </row>
    <row r="99" spans="1:33" ht="15.6" outlineLevel="1">
      <c r="A99" s="255" t="str">
        <f>'Program Budget'!D103</f>
        <v>Banking and Cash Handling Fees</v>
      </c>
      <c r="B99" s="180" t="str">
        <f>'Program Budget'!F103</f>
        <v>Month</v>
      </c>
      <c r="C99" s="181">
        <f>'Program Budget'!H103</f>
        <v>150</v>
      </c>
      <c r="D99" s="182">
        <f>'Program Budget'!G103</f>
        <v>9</v>
      </c>
      <c r="E99" s="183">
        <v>1</v>
      </c>
      <c r="F99" s="184">
        <f t="shared" ref="F99:F104" si="161">C99*D99*E99</f>
        <v>1350</v>
      </c>
      <c r="G99" s="181">
        <f t="shared" si="148"/>
        <v>160.5</v>
      </c>
      <c r="H99" s="182">
        <f>'Program Budget'!K103</f>
        <v>12</v>
      </c>
      <c r="I99" s="183">
        <v>1</v>
      </c>
      <c r="J99" s="184">
        <f t="shared" ref="J99:J104" si="162">G99*H99*I99</f>
        <v>1926</v>
      </c>
      <c r="K99" s="181">
        <f t="shared" si="150"/>
        <v>171.73500000000001</v>
      </c>
      <c r="L99" s="182">
        <f>'Program Budget'!N103</f>
        <v>12</v>
      </c>
      <c r="M99" s="183">
        <v>1</v>
      </c>
      <c r="N99" s="184">
        <f t="shared" ref="N99:N104" si="163">K99*L99*M99</f>
        <v>2060.8200000000002</v>
      </c>
      <c r="O99" s="181">
        <f t="shared" si="152"/>
        <v>183.75645000000003</v>
      </c>
      <c r="P99" s="182">
        <f>'Program Budget'!Q103</f>
        <v>12</v>
      </c>
      <c r="Q99" s="183">
        <v>1</v>
      </c>
      <c r="R99" s="184">
        <f t="shared" ref="R99:R104" si="164">O99*P99*Q99</f>
        <v>2205.0774000000001</v>
      </c>
      <c r="S99" s="181">
        <f t="shared" si="154"/>
        <v>196.61940150000004</v>
      </c>
      <c r="T99" s="182">
        <f>'Program Budget'!T103</f>
        <v>6</v>
      </c>
      <c r="U99" s="183">
        <v>1</v>
      </c>
      <c r="V99" s="184">
        <f t="shared" ref="V99:V104" si="165">S99*T99*U99</f>
        <v>1179.7164090000001</v>
      </c>
      <c r="W99" s="320">
        <f t="shared" ref="W99:W104" si="166">F99+J99+N99+R99+V99</f>
        <v>8721.6138090000004</v>
      </c>
      <c r="AE99" s="148"/>
      <c r="AF99" s="189"/>
      <c r="AG99" s="254"/>
    </row>
    <row r="100" spans="1:33" ht="15.6" outlineLevel="1">
      <c r="A100" s="255" t="str">
        <f>'Program Budget'!D104</f>
        <v>Courier fees/Services/Postage</v>
      </c>
      <c r="B100" s="180" t="str">
        <f>'Program Budget'!F104</f>
        <v>Month</v>
      </c>
      <c r="C100" s="181">
        <f>'Program Budget'!H104</f>
        <v>30</v>
      </c>
      <c r="D100" s="182">
        <f>'Program Budget'!G104</f>
        <v>9</v>
      </c>
      <c r="E100" s="183">
        <v>1</v>
      </c>
      <c r="F100" s="184">
        <f t="shared" si="161"/>
        <v>270</v>
      </c>
      <c r="G100" s="181">
        <f t="shared" si="148"/>
        <v>32.1</v>
      </c>
      <c r="H100" s="182">
        <f>'Program Budget'!K104</f>
        <v>12</v>
      </c>
      <c r="I100" s="183">
        <v>1</v>
      </c>
      <c r="J100" s="184">
        <f t="shared" si="162"/>
        <v>385.20000000000005</v>
      </c>
      <c r="K100" s="181">
        <f t="shared" si="150"/>
        <v>34.347000000000001</v>
      </c>
      <c r="L100" s="182">
        <f>'Program Budget'!N104</f>
        <v>12</v>
      </c>
      <c r="M100" s="183">
        <v>1</v>
      </c>
      <c r="N100" s="184">
        <f t="shared" si="163"/>
        <v>412.16399999999999</v>
      </c>
      <c r="O100" s="181">
        <f t="shared" si="152"/>
        <v>36.751290000000004</v>
      </c>
      <c r="P100" s="182">
        <f>'Program Budget'!Q104</f>
        <v>12</v>
      </c>
      <c r="Q100" s="183">
        <v>1</v>
      </c>
      <c r="R100" s="184">
        <f t="shared" si="164"/>
        <v>441.01548000000003</v>
      </c>
      <c r="S100" s="181">
        <f t="shared" si="154"/>
        <v>39.323880300000006</v>
      </c>
      <c r="T100" s="182">
        <f>'Program Budget'!T104</f>
        <v>6</v>
      </c>
      <c r="U100" s="183">
        <v>1</v>
      </c>
      <c r="V100" s="184">
        <f t="shared" si="165"/>
        <v>235.94328180000002</v>
      </c>
      <c r="W100" s="320">
        <f t="shared" si="166"/>
        <v>1744.3227618000001</v>
      </c>
      <c r="AE100" s="148"/>
      <c r="AF100" s="189"/>
      <c r="AG100" s="254"/>
    </row>
    <row r="101" spans="1:33" ht="15.6" outlineLevel="1">
      <c r="A101" s="255" t="str">
        <f>'Program Budget'!D105</f>
        <v xml:space="preserve">Recruitment/Procurement Advertising </v>
      </c>
      <c r="B101" s="180" t="str">
        <f>'Program Budget'!F105</f>
        <v>Year</v>
      </c>
      <c r="C101" s="181">
        <f>'Program Budget'!H105</f>
        <v>2400</v>
      </c>
      <c r="D101" s="182">
        <f>'Program Budget'!G105</f>
        <v>1</v>
      </c>
      <c r="E101" s="183">
        <v>1</v>
      </c>
      <c r="F101" s="184">
        <f t="shared" si="161"/>
        <v>2400</v>
      </c>
      <c r="G101" s="181">
        <f t="shared" si="148"/>
        <v>2568</v>
      </c>
      <c r="H101" s="182">
        <f>'Program Budget'!K105</f>
        <v>1</v>
      </c>
      <c r="I101" s="183">
        <v>1</v>
      </c>
      <c r="J101" s="184">
        <f t="shared" si="162"/>
        <v>2568</v>
      </c>
      <c r="K101" s="181">
        <f t="shared" si="150"/>
        <v>2747.76</v>
      </c>
      <c r="L101" s="182">
        <f>'Program Budget'!N105</f>
        <v>1</v>
      </c>
      <c r="M101" s="183">
        <v>1</v>
      </c>
      <c r="N101" s="184">
        <f t="shared" si="163"/>
        <v>2747.76</v>
      </c>
      <c r="O101" s="181">
        <f t="shared" si="152"/>
        <v>2940.1032000000005</v>
      </c>
      <c r="P101" s="182">
        <f>'Program Budget'!Q105</f>
        <v>1</v>
      </c>
      <c r="Q101" s="183">
        <v>1</v>
      </c>
      <c r="R101" s="184">
        <f t="shared" si="164"/>
        <v>2940.1032000000005</v>
      </c>
      <c r="S101" s="181">
        <f t="shared" si="154"/>
        <v>3145.9104240000006</v>
      </c>
      <c r="T101" s="182">
        <f>'Program Budget'!T105</f>
        <v>1</v>
      </c>
      <c r="U101" s="183">
        <v>1</v>
      </c>
      <c r="V101" s="184">
        <f t="shared" si="165"/>
        <v>3145.9104240000006</v>
      </c>
      <c r="W101" s="320">
        <f t="shared" si="166"/>
        <v>13801.773624000001</v>
      </c>
      <c r="AE101" s="148"/>
      <c r="AF101" s="189"/>
      <c r="AG101" s="254"/>
    </row>
    <row r="102" spans="1:33" ht="15.6" outlineLevel="1">
      <c r="A102" s="255" t="str">
        <f>'Program Budget'!D106</f>
        <v>Meeting Expenses - Room Rental and A/V Equipment (for Small Meeting, Rooms Space Rented per Hour)</v>
      </c>
      <c r="B102" s="180" t="str">
        <f>'Program Budget'!F106</f>
        <v>Hours</v>
      </c>
      <c r="C102" s="181">
        <f>'Program Budget'!H106</f>
        <v>10</v>
      </c>
      <c r="D102" s="182">
        <f>'Program Budget'!G106</f>
        <v>225</v>
      </c>
      <c r="E102" s="183">
        <v>1</v>
      </c>
      <c r="F102" s="184">
        <f t="shared" si="161"/>
        <v>2250</v>
      </c>
      <c r="G102" s="181">
        <f t="shared" si="148"/>
        <v>10.700000000000001</v>
      </c>
      <c r="H102" s="182">
        <f>'Program Budget'!K106</f>
        <v>300</v>
      </c>
      <c r="I102" s="183">
        <v>1</v>
      </c>
      <c r="J102" s="184">
        <f t="shared" si="162"/>
        <v>3210.0000000000005</v>
      </c>
      <c r="K102" s="181">
        <f t="shared" si="150"/>
        <v>11.449000000000002</v>
      </c>
      <c r="L102" s="182">
        <f>'Program Budget'!N106</f>
        <v>300</v>
      </c>
      <c r="M102" s="183">
        <v>1</v>
      </c>
      <c r="N102" s="184">
        <f t="shared" si="163"/>
        <v>3434.7000000000003</v>
      </c>
      <c r="O102" s="181">
        <f t="shared" si="152"/>
        <v>12.250430000000003</v>
      </c>
      <c r="P102" s="182">
        <f>'Program Budget'!Q106</f>
        <v>300</v>
      </c>
      <c r="Q102" s="183">
        <v>1</v>
      </c>
      <c r="R102" s="184">
        <f t="shared" si="164"/>
        <v>3675.1290000000008</v>
      </c>
      <c r="S102" s="181">
        <f t="shared" si="154"/>
        <v>13.107960100000005</v>
      </c>
      <c r="T102" s="182">
        <f>'Program Budget'!T106</f>
        <v>150</v>
      </c>
      <c r="U102" s="183">
        <v>1</v>
      </c>
      <c r="V102" s="184">
        <f t="shared" si="165"/>
        <v>1966.1940150000007</v>
      </c>
      <c r="W102" s="320">
        <f t="shared" si="166"/>
        <v>14536.023015000002</v>
      </c>
      <c r="AE102" s="148"/>
      <c r="AF102" s="189"/>
      <c r="AG102" s="254"/>
    </row>
    <row r="103" spans="1:33" ht="15.6" outlineLevel="1">
      <c r="A103" s="255" t="str">
        <f>'Program Budget'!D107</f>
        <v>Payroll Processing and Local Accounting Books Preparation</v>
      </c>
      <c r="B103" s="180" t="str">
        <f>'Program Budget'!F107</f>
        <v>Year</v>
      </c>
      <c r="C103" s="181">
        <f>'Program Budget'!H107</f>
        <v>10660</v>
      </c>
      <c r="D103" s="182">
        <f>'Program Budget'!G107</f>
        <v>1</v>
      </c>
      <c r="E103" s="183">
        <v>1</v>
      </c>
      <c r="F103" s="184">
        <f t="shared" si="161"/>
        <v>10660</v>
      </c>
      <c r="G103" s="181">
        <f t="shared" si="148"/>
        <v>11406.2</v>
      </c>
      <c r="H103" s="182">
        <f>'Program Budget'!K107</f>
        <v>1</v>
      </c>
      <c r="I103" s="183">
        <v>1</v>
      </c>
      <c r="J103" s="184">
        <f t="shared" si="162"/>
        <v>11406.2</v>
      </c>
      <c r="K103" s="181">
        <f t="shared" si="150"/>
        <v>12204.634000000002</v>
      </c>
      <c r="L103" s="182">
        <f>'Program Budget'!N107</f>
        <v>1</v>
      </c>
      <c r="M103" s="183">
        <v>1</v>
      </c>
      <c r="N103" s="184">
        <f t="shared" si="163"/>
        <v>12204.634000000002</v>
      </c>
      <c r="O103" s="181">
        <f t="shared" si="152"/>
        <v>13058.958380000002</v>
      </c>
      <c r="P103" s="182">
        <f>'Program Budget'!Q107</f>
        <v>1</v>
      </c>
      <c r="Q103" s="183">
        <v>1</v>
      </c>
      <c r="R103" s="184">
        <f t="shared" si="164"/>
        <v>13058.958380000002</v>
      </c>
      <c r="S103" s="181">
        <f t="shared" si="154"/>
        <v>13973.085466600003</v>
      </c>
      <c r="T103" s="182">
        <f>'Program Budget'!T107</f>
        <v>1</v>
      </c>
      <c r="U103" s="183">
        <v>1</v>
      </c>
      <c r="V103" s="184">
        <f t="shared" si="165"/>
        <v>13973.085466600003</v>
      </c>
      <c r="W103" s="320">
        <f t="shared" si="166"/>
        <v>61302.877846600008</v>
      </c>
      <c r="AE103" s="148"/>
      <c r="AF103" s="189"/>
      <c r="AG103" s="254"/>
    </row>
    <row r="104" spans="1:33" ht="15.6" outlineLevel="1">
      <c r="A104" s="255" t="str">
        <f>'Program Budget'!D108</f>
        <v>Licenses &amp; Subscriptions (Microsoft 365, Replicon, PandaDoc, TripLog, HR Platform)</v>
      </c>
      <c r="B104" s="180" t="str">
        <f>'Program Budget'!F108</f>
        <v>Month</v>
      </c>
      <c r="C104" s="181">
        <f>'Program Budget'!H108</f>
        <v>1155</v>
      </c>
      <c r="D104" s="182">
        <f>'Program Budget'!G108</f>
        <v>9</v>
      </c>
      <c r="E104" s="183">
        <v>1</v>
      </c>
      <c r="F104" s="184">
        <f t="shared" si="161"/>
        <v>10395</v>
      </c>
      <c r="G104" s="181">
        <f>C104*1.07</f>
        <v>1235.8500000000001</v>
      </c>
      <c r="H104" s="182">
        <f>'Program Budget'!K108</f>
        <v>12</v>
      </c>
      <c r="I104" s="183">
        <v>1</v>
      </c>
      <c r="J104" s="184">
        <f t="shared" si="162"/>
        <v>14830.2</v>
      </c>
      <c r="K104" s="181">
        <f t="shared" si="150"/>
        <v>1322.3595000000003</v>
      </c>
      <c r="L104" s="182">
        <f>'Program Budget'!N108</f>
        <v>12</v>
      </c>
      <c r="M104" s="183">
        <v>1</v>
      </c>
      <c r="N104" s="184">
        <f t="shared" si="163"/>
        <v>15868.314000000002</v>
      </c>
      <c r="O104" s="181">
        <f t="shared" si="152"/>
        <v>1414.9246650000005</v>
      </c>
      <c r="P104" s="182">
        <f>'Program Budget'!Q108</f>
        <v>12</v>
      </c>
      <c r="Q104" s="183">
        <v>1</v>
      </c>
      <c r="R104" s="184">
        <f t="shared" si="164"/>
        <v>16979.095980000006</v>
      </c>
      <c r="S104" s="181">
        <f t="shared" si="154"/>
        <v>1513.9693915500006</v>
      </c>
      <c r="T104" s="182">
        <f>'Program Budget'!T108</f>
        <v>9</v>
      </c>
      <c r="U104" s="183">
        <v>1</v>
      </c>
      <c r="V104" s="184">
        <f t="shared" si="165"/>
        <v>13625.724523950006</v>
      </c>
      <c r="W104" s="320">
        <f t="shared" si="166"/>
        <v>71698.334503950013</v>
      </c>
      <c r="AE104" s="148"/>
      <c r="AF104" s="189"/>
      <c r="AG104" s="254"/>
    </row>
    <row r="105" spans="1:33" outlineLevel="1">
      <c r="A105" s="312"/>
      <c r="B105" s="202"/>
      <c r="D105" s="251"/>
      <c r="F105" s="184"/>
      <c r="H105" s="251"/>
      <c r="I105" s="145"/>
      <c r="J105" s="184"/>
      <c r="L105" s="251"/>
      <c r="N105" s="184"/>
      <c r="P105" s="251"/>
      <c r="Q105" s="145"/>
      <c r="R105" s="184"/>
      <c r="T105" s="251"/>
      <c r="U105" s="145"/>
      <c r="V105" s="184"/>
      <c r="W105" s="320"/>
      <c r="AE105" s="148"/>
      <c r="AF105" s="189"/>
      <c r="AG105" s="189"/>
    </row>
    <row r="106" spans="1:33" ht="18.3" outlineLevel="1">
      <c r="A106" s="247" t="s">
        <v>101</v>
      </c>
      <c r="B106" s="213"/>
      <c r="C106" s="214"/>
      <c r="D106" s="248"/>
      <c r="E106" s="249"/>
      <c r="F106" s="217">
        <f>SUM(F93:F104)</f>
        <v>43375</v>
      </c>
      <c r="G106" s="214"/>
      <c r="H106" s="248"/>
      <c r="I106" s="218"/>
      <c r="J106" s="217">
        <f>SUM(J93:J104)</f>
        <v>103019.59999999999</v>
      </c>
      <c r="K106" s="214"/>
      <c r="L106" s="248"/>
      <c r="M106" s="249"/>
      <c r="N106" s="217">
        <f>SUM(N93:N104)</f>
        <v>110230.97200000002</v>
      </c>
      <c r="O106" s="214"/>
      <c r="P106" s="248"/>
      <c r="Q106" s="218"/>
      <c r="R106" s="217">
        <f>SUM(R93:R104)</f>
        <v>117947.14004000003</v>
      </c>
      <c r="S106" s="214"/>
      <c r="T106" s="248"/>
      <c r="U106" s="218"/>
      <c r="V106" s="217">
        <f>SUM(V93:V104)</f>
        <v>76203.126041350028</v>
      </c>
      <c r="W106" s="323">
        <f>+F106+J106+N106+R106+V106</f>
        <v>450775.83808135003</v>
      </c>
      <c r="AE106" s="148">
        <v>236</v>
      </c>
      <c r="AF106" s="189" t="s">
        <v>137</v>
      </c>
      <c r="AG106" s="254" t="s">
        <v>138</v>
      </c>
    </row>
    <row r="107" spans="1:33" ht="15.6" outlineLevel="1">
      <c r="A107" s="176" t="s">
        <v>33</v>
      </c>
      <c r="B107" s="250"/>
      <c r="D107" s="251"/>
      <c r="E107" s="252"/>
      <c r="F107" s="234"/>
      <c r="H107" s="251"/>
      <c r="I107" s="253"/>
      <c r="J107" s="207"/>
      <c r="L107" s="251"/>
      <c r="M107" s="252"/>
      <c r="N107" s="207"/>
      <c r="P107" s="251"/>
      <c r="Q107" s="253"/>
      <c r="R107" s="207"/>
      <c r="T107" s="251"/>
      <c r="U107" s="253"/>
      <c r="V107" s="207"/>
      <c r="W107" s="320"/>
      <c r="AE107" s="148">
        <v>236</v>
      </c>
      <c r="AF107" s="189" t="s">
        <v>137</v>
      </c>
      <c r="AG107" s="254" t="s">
        <v>138</v>
      </c>
    </row>
    <row r="108" spans="1:33" ht="15.6" outlineLevel="1">
      <c r="A108" s="255" t="str">
        <f>'Program Budget'!D113</f>
        <v xml:space="preserve">Desktop/Laptop Computers </v>
      </c>
      <c r="B108" s="180" t="str">
        <f>'Program Budget'!F113</f>
        <v>Unit</v>
      </c>
      <c r="C108" s="181">
        <f>'Program Budget'!H113</f>
        <v>1460</v>
      </c>
      <c r="D108" s="182">
        <f>'Program Budget'!G113</f>
        <v>26</v>
      </c>
      <c r="E108" s="183">
        <v>1</v>
      </c>
      <c r="F108" s="184">
        <f t="shared" ref="F108:F117" si="167">C108*D108*E108</f>
        <v>37960</v>
      </c>
      <c r="G108" s="181">
        <f>C108*1.07</f>
        <v>1562.2</v>
      </c>
      <c r="H108" s="182">
        <f>'Program Budget'!K113</f>
        <v>0</v>
      </c>
      <c r="I108" s="183">
        <v>0</v>
      </c>
      <c r="J108" s="184">
        <f t="shared" ref="J108:J117" si="168">G108*H108*I108</f>
        <v>0</v>
      </c>
      <c r="K108" s="181">
        <f>G108*1.07</f>
        <v>1671.5540000000001</v>
      </c>
      <c r="L108" s="182">
        <f>'Program Budget'!N113</f>
        <v>0</v>
      </c>
      <c r="M108" s="183">
        <v>0</v>
      </c>
      <c r="N108" s="184">
        <f t="shared" ref="N108:N117" si="169">K108*L108*M108</f>
        <v>0</v>
      </c>
      <c r="O108" s="181">
        <f>K108*1.07</f>
        <v>1788.5627800000002</v>
      </c>
      <c r="P108" s="182">
        <f>'Program Budget'!Q113</f>
        <v>0</v>
      </c>
      <c r="Q108" s="183">
        <v>0</v>
      </c>
      <c r="R108" s="184">
        <f t="shared" ref="R108:R117" si="170">O108*P108*Q108</f>
        <v>0</v>
      </c>
      <c r="S108" s="181">
        <f>O108*1.07</f>
        <v>1913.7621746000004</v>
      </c>
      <c r="T108" s="182">
        <f>'Program Budget'!T113</f>
        <v>0</v>
      </c>
      <c r="U108" s="183">
        <v>0</v>
      </c>
      <c r="V108" s="184">
        <f t="shared" ref="V108:V117" si="171">S108*T108*U108</f>
        <v>0</v>
      </c>
      <c r="W108" s="320">
        <f t="shared" ref="W108:W117" si="172">F108+J108+N108+R108+V108</f>
        <v>37960</v>
      </c>
      <c r="AE108" s="148"/>
      <c r="AF108" s="189"/>
      <c r="AG108" s="254"/>
    </row>
    <row r="109" spans="1:33" ht="15.6" outlineLevel="1">
      <c r="A109" s="255" t="str">
        <f>'Program Budget'!D114</f>
        <v>Phones for Staff</v>
      </c>
      <c r="B109" s="180" t="str">
        <f>'Program Budget'!F114</f>
        <v>Unit</v>
      </c>
      <c r="C109" s="181">
        <f>'Program Budget'!H114</f>
        <v>300</v>
      </c>
      <c r="D109" s="182">
        <f>'Program Budget'!G114</f>
        <v>26</v>
      </c>
      <c r="E109" s="183">
        <v>1</v>
      </c>
      <c r="F109" s="184">
        <f t="shared" ref="F109" si="173">C109*D109*E109</f>
        <v>7800</v>
      </c>
      <c r="G109" s="181">
        <f t="shared" ref="G109:G117" si="174">C109*1.07</f>
        <v>321</v>
      </c>
      <c r="H109" s="182">
        <f>'Program Budget'!K114</f>
        <v>0</v>
      </c>
      <c r="I109" s="183">
        <v>0</v>
      </c>
      <c r="J109" s="184">
        <f t="shared" ref="J109" si="175">G109*H109*I109</f>
        <v>0</v>
      </c>
      <c r="K109" s="181">
        <f t="shared" ref="K109:K117" si="176">G109*1.07</f>
        <v>343.47</v>
      </c>
      <c r="L109" s="182">
        <f>'Program Budget'!N114</f>
        <v>0</v>
      </c>
      <c r="M109" s="183">
        <v>0</v>
      </c>
      <c r="N109" s="184">
        <f t="shared" ref="N109" si="177">K109*L109*M109</f>
        <v>0</v>
      </c>
      <c r="O109" s="181">
        <f t="shared" ref="O109:O117" si="178">K109*1.07</f>
        <v>367.51290000000006</v>
      </c>
      <c r="P109" s="182">
        <f>'Program Budget'!Q114</f>
        <v>0</v>
      </c>
      <c r="Q109" s="183">
        <v>0</v>
      </c>
      <c r="R109" s="184">
        <f t="shared" ref="R109" si="179">O109*P109*Q109</f>
        <v>0</v>
      </c>
      <c r="S109" s="181">
        <f t="shared" ref="S109:S117" si="180">O109*1.07</f>
        <v>393.23880300000008</v>
      </c>
      <c r="T109" s="182">
        <f>'Program Budget'!T114</f>
        <v>0</v>
      </c>
      <c r="U109" s="183">
        <v>0</v>
      </c>
      <c r="V109" s="184">
        <f t="shared" ref="V109" si="181">S109*T109*U109</f>
        <v>0</v>
      </c>
      <c r="W109" s="320">
        <f t="shared" ref="W109" si="182">F109+J109+N109+R109+V109</f>
        <v>7800</v>
      </c>
      <c r="AE109" s="148"/>
      <c r="AF109" s="189"/>
      <c r="AG109" s="254"/>
    </row>
    <row r="110" spans="1:33" ht="15.6" outlineLevel="1">
      <c r="A110" s="255" t="str">
        <f>'Program Budget'!D115</f>
        <v>All in One: Printer, Photocopier &amp; Scanner</v>
      </c>
      <c r="B110" s="180" t="str">
        <f>'Program Budget'!F115</f>
        <v>Unit</v>
      </c>
      <c r="C110" s="181">
        <f>'Program Budget'!H115</f>
        <v>653.36</v>
      </c>
      <c r="D110" s="182">
        <f>'Program Budget'!G115</f>
        <v>2</v>
      </c>
      <c r="E110" s="183">
        <v>1</v>
      </c>
      <c r="F110" s="184">
        <f t="shared" si="167"/>
        <v>1306.72</v>
      </c>
      <c r="G110" s="181">
        <f t="shared" si="174"/>
        <v>699.09520000000009</v>
      </c>
      <c r="H110" s="182">
        <f>'Program Budget'!K115</f>
        <v>0</v>
      </c>
      <c r="I110" s="183">
        <v>0</v>
      </c>
      <c r="J110" s="184">
        <f t="shared" si="168"/>
        <v>0</v>
      </c>
      <c r="K110" s="181">
        <f t="shared" si="176"/>
        <v>748.03186400000016</v>
      </c>
      <c r="L110" s="182">
        <f>'Program Budget'!N115</f>
        <v>0</v>
      </c>
      <c r="M110" s="183">
        <v>0</v>
      </c>
      <c r="N110" s="184">
        <f t="shared" si="169"/>
        <v>0</v>
      </c>
      <c r="O110" s="181">
        <f t="shared" si="178"/>
        <v>800.39409448000026</v>
      </c>
      <c r="P110" s="182">
        <f>'Program Budget'!Q115</f>
        <v>0</v>
      </c>
      <c r="Q110" s="183">
        <v>0</v>
      </c>
      <c r="R110" s="184">
        <f t="shared" si="170"/>
        <v>0</v>
      </c>
      <c r="S110" s="181">
        <f t="shared" si="180"/>
        <v>856.42168109360034</v>
      </c>
      <c r="T110" s="182">
        <f>'Program Budget'!T115</f>
        <v>0</v>
      </c>
      <c r="U110" s="183">
        <v>0</v>
      </c>
      <c r="V110" s="184">
        <f t="shared" si="171"/>
        <v>0</v>
      </c>
      <c r="W110" s="320">
        <f t="shared" si="172"/>
        <v>1306.72</v>
      </c>
      <c r="AE110" s="148"/>
      <c r="AF110" s="189"/>
      <c r="AG110" s="254"/>
    </row>
    <row r="111" spans="1:33" ht="15.6" outlineLevel="1">
      <c r="A111" s="255" t="str">
        <f>'Program Budget'!D116</f>
        <v>Tablet</v>
      </c>
      <c r="B111" s="180" t="str">
        <f>'Program Budget'!F116</f>
        <v>Unit</v>
      </c>
      <c r="C111" s="181">
        <f>'Program Budget'!H116</f>
        <v>300</v>
      </c>
      <c r="D111" s="182">
        <f>'Program Budget'!G116</f>
        <v>4</v>
      </c>
      <c r="E111" s="183">
        <v>1</v>
      </c>
      <c r="F111" s="184">
        <f t="shared" ref="F111" si="183">C111*D111*E111</f>
        <v>1200</v>
      </c>
      <c r="G111" s="181">
        <f t="shared" si="174"/>
        <v>321</v>
      </c>
      <c r="H111" s="182">
        <f>'Program Budget'!K116</f>
        <v>0</v>
      </c>
      <c r="I111" s="183">
        <v>0</v>
      </c>
      <c r="J111" s="184">
        <f t="shared" ref="J111" si="184">G111*H111*I111</f>
        <v>0</v>
      </c>
      <c r="K111" s="181">
        <f t="shared" si="176"/>
        <v>343.47</v>
      </c>
      <c r="L111" s="182">
        <f>'Program Budget'!N116</f>
        <v>0</v>
      </c>
      <c r="M111" s="183">
        <v>0</v>
      </c>
      <c r="N111" s="184">
        <f t="shared" ref="N111" si="185">K111*L111*M111</f>
        <v>0</v>
      </c>
      <c r="O111" s="181">
        <f t="shared" si="178"/>
        <v>367.51290000000006</v>
      </c>
      <c r="P111" s="182">
        <f>'Program Budget'!Q116</f>
        <v>0</v>
      </c>
      <c r="Q111" s="183">
        <v>0</v>
      </c>
      <c r="R111" s="184">
        <f t="shared" ref="R111" si="186">O111*P111*Q111</f>
        <v>0</v>
      </c>
      <c r="S111" s="181">
        <f t="shared" si="180"/>
        <v>393.23880300000008</v>
      </c>
      <c r="T111" s="182">
        <f>'Program Budget'!T116</f>
        <v>0</v>
      </c>
      <c r="U111" s="183">
        <v>0</v>
      </c>
      <c r="V111" s="184">
        <f t="shared" ref="V111" si="187">S111*T111*U111</f>
        <v>0</v>
      </c>
      <c r="W111" s="320">
        <f t="shared" ref="W111" si="188">F111+J111+N111+R111+V111</f>
        <v>1200</v>
      </c>
      <c r="AE111" s="148"/>
      <c r="AF111" s="189"/>
      <c r="AG111" s="254"/>
    </row>
    <row r="112" spans="1:33" ht="15.6" outlineLevel="1">
      <c r="A112" s="255" t="str">
        <f>'Program Budget'!D117</f>
        <v>Projector and Video Conferencing Equipment</v>
      </c>
      <c r="B112" s="180" t="str">
        <f>'Program Budget'!F117</f>
        <v>Unit</v>
      </c>
      <c r="C112" s="181">
        <f>'Program Budget'!H117</f>
        <v>1300</v>
      </c>
      <c r="D112" s="182">
        <f>'Program Budget'!G117</f>
        <v>2</v>
      </c>
      <c r="E112" s="183">
        <v>1</v>
      </c>
      <c r="F112" s="184">
        <f t="shared" si="167"/>
        <v>2600</v>
      </c>
      <c r="G112" s="181">
        <f t="shared" si="174"/>
        <v>1391</v>
      </c>
      <c r="H112" s="182">
        <f>'Program Budget'!K117</f>
        <v>0</v>
      </c>
      <c r="I112" s="183">
        <v>0</v>
      </c>
      <c r="J112" s="184">
        <f t="shared" si="168"/>
        <v>0</v>
      </c>
      <c r="K112" s="181">
        <f t="shared" si="176"/>
        <v>1488.3700000000001</v>
      </c>
      <c r="L112" s="182">
        <f>'Program Budget'!N117</f>
        <v>0</v>
      </c>
      <c r="M112" s="183">
        <v>0</v>
      </c>
      <c r="N112" s="184">
        <f t="shared" si="169"/>
        <v>0</v>
      </c>
      <c r="O112" s="181">
        <f t="shared" si="178"/>
        <v>1592.5559000000003</v>
      </c>
      <c r="P112" s="182">
        <f>'Program Budget'!Q117</f>
        <v>0</v>
      </c>
      <c r="Q112" s="183">
        <v>0</v>
      </c>
      <c r="R112" s="184">
        <f t="shared" si="170"/>
        <v>0</v>
      </c>
      <c r="S112" s="181">
        <f t="shared" si="180"/>
        <v>1704.0348130000004</v>
      </c>
      <c r="T112" s="182">
        <f>'Program Budget'!T117</f>
        <v>0</v>
      </c>
      <c r="U112" s="183">
        <v>0</v>
      </c>
      <c r="V112" s="184">
        <f t="shared" si="171"/>
        <v>0</v>
      </c>
      <c r="W112" s="320">
        <f t="shared" si="172"/>
        <v>2600</v>
      </c>
      <c r="AE112" s="148"/>
      <c r="AF112" s="189"/>
      <c r="AG112" s="254"/>
    </row>
    <row r="113" spans="1:33" ht="15.6" outlineLevel="1">
      <c r="A113" s="255" t="str">
        <f>'Program Budget'!D119</f>
        <v>Desks and Chairs for Office</v>
      </c>
      <c r="B113" s="180" t="str">
        <f>'Program Budget'!F119</f>
        <v>Unit</v>
      </c>
      <c r="C113" s="181">
        <f>'Program Budget'!H119</f>
        <v>725</v>
      </c>
      <c r="D113" s="182">
        <f>'Program Budget'!G119</f>
        <v>16</v>
      </c>
      <c r="E113" s="183">
        <v>1</v>
      </c>
      <c r="F113" s="184">
        <f t="shared" ref="F113:F115" si="189">C113*D113*E113</f>
        <v>11600</v>
      </c>
      <c r="G113" s="181">
        <f t="shared" si="174"/>
        <v>775.75</v>
      </c>
      <c r="H113" s="182">
        <f>'Program Budget'!K119</f>
        <v>0</v>
      </c>
      <c r="I113" s="183">
        <v>0</v>
      </c>
      <c r="J113" s="184">
        <f t="shared" ref="J113:J115" si="190">G113*H113*I113</f>
        <v>0</v>
      </c>
      <c r="K113" s="181">
        <f t="shared" si="176"/>
        <v>830.05250000000001</v>
      </c>
      <c r="L113" s="182">
        <f>'Program Budget'!N119</f>
        <v>0</v>
      </c>
      <c r="M113" s="183">
        <v>0</v>
      </c>
      <c r="N113" s="184">
        <f t="shared" ref="N113:N115" si="191">K113*L113*M113</f>
        <v>0</v>
      </c>
      <c r="O113" s="181">
        <f t="shared" si="178"/>
        <v>888.15617500000008</v>
      </c>
      <c r="P113" s="182">
        <f>'Program Budget'!Q119</f>
        <v>0</v>
      </c>
      <c r="Q113" s="183">
        <v>0</v>
      </c>
      <c r="R113" s="184">
        <f t="shared" ref="R113:R115" si="192">O113*P113*Q113</f>
        <v>0</v>
      </c>
      <c r="S113" s="181">
        <f t="shared" si="180"/>
        <v>950.32710725000015</v>
      </c>
      <c r="T113" s="182">
        <f>'Program Budget'!T119</f>
        <v>0</v>
      </c>
      <c r="U113" s="183">
        <v>0</v>
      </c>
      <c r="V113" s="184">
        <f t="shared" ref="V113:V115" si="193">S113*T113*U113</f>
        <v>0</v>
      </c>
      <c r="W113" s="320">
        <f t="shared" ref="W113:W115" si="194">F113+J113+N113+R113+V113</f>
        <v>11600</v>
      </c>
      <c r="AE113" s="148"/>
      <c r="AF113" s="189"/>
      <c r="AG113" s="254"/>
    </row>
    <row r="114" spans="1:33" ht="15.6" outlineLevel="1">
      <c r="A114" s="255" t="str">
        <f>'Program Budget'!D120</f>
        <v>Meeting Table for Office</v>
      </c>
      <c r="B114" s="180" t="str">
        <f>'Program Budget'!F120</f>
        <v>Unit</v>
      </c>
      <c r="C114" s="181">
        <f>'Program Budget'!H120</f>
        <v>1200</v>
      </c>
      <c r="D114" s="182">
        <f>'Program Budget'!G120</f>
        <v>1</v>
      </c>
      <c r="E114" s="183">
        <v>1</v>
      </c>
      <c r="F114" s="184">
        <f t="shared" si="189"/>
        <v>1200</v>
      </c>
      <c r="G114" s="181">
        <f t="shared" si="174"/>
        <v>1284</v>
      </c>
      <c r="H114" s="182">
        <f>'Program Budget'!K120</f>
        <v>0</v>
      </c>
      <c r="I114" s="183">
        <v>0</v>
      </c>
      <c r="J114" s="184">
        <f t="shared" si="190"/>
        <v>0</v>
      </c>
      <c r="K114" s="181">
        <f t="shared" si="176"/>
        <v>1373.88</v>
      </c>
      <c r="L114" s="182">
        <f>'Program Budget'!N120</f>
        <v>0</v>
      </c>
      <c r="M114" s="183">
        <v>0</v>
      </c>
      <c r="N114" s="184">
        <f t="shared" si="191"/>
        <v>0</v>
      </c>
      <c r="O114" s="181">
        <f t="shared" si="178"/>
        <v>1470.0516000000002</v>
      </c>
      <c r="P114" s="182">
        <f>'Program Budget'!Q120</f>
        <v>0</v>
      </c>
      <c r="Q114" s="183">
        <v>0</v>
      </c>
      <c r="R114" s="184">
        <f t="shared" si="192"/>
        <v>0</v>
      </c>
      <c r="S114" s="181">
        <f t="shared" si="180"/>
        <v>1572.9552120000003</v>
      </c>
      <c r="T114" s="182">
        <f>'Program Budget'!T120</f>
        <v>0</v>
      </c>
      <c r="U114" s="183">
        <v>0</v>
      </c>
      <c r="V114" s="184">
        <f t="shared" si="193"/>
        <v>0</v>
      </c>
      <c r="W114" s="320">
        <f t="shared" si="194"/>
        <v>1200</v>
      </c>
      <c r="AE114" s="148"/>
      <c r="AF114" s="189"/>
      <c r="AG114" s="254"/>
    </row>
    <row r="115" spans="1:33" ht="15.6" outlineLevel="1">
      <c r="A115" s="255" t="str">
        <f>'Program Budget'!D121</f>
        <v>Shelves and Filing Cabinets, &amp; Safe for Office Storage</v>
      </c>
      <c r="B115" s="180" t="str">
        <f>'Program Budget'!F121</f>
        <v>Unit</v>
      </c>
      <c r="C115" s="181">
        <f>'Program Budget'!H121</f>
        <v>2500</v>
      </c>
      <c r="D115" s="182">
        <f>'Program Budget'!G121</f>
        <v>1</v>
      </c>
      <c r="E115" s="183">
        <v>1</v>
      </c>
      <c r="F115" s="184">
        <f t="shared" si="189"/>
        <v>2500</v>
      </c>
      <c r="G115" s="181">
        <f t="shared" si="174"/>
        <v>2675</v>
      </c>
      <c r="H115" s="182">
        <f>'Program Budget'!K121</f>
        <v>0</v>
      </c>
      <c r="I115" s="183">
        <v>0</v>
      </c>
      <c r="J115" s="184">
        <f t="shared" si="190"/>
        <v>0</v>
      </c>
      <c r="K115" s="181">
        <f t="shared" si="176"/>
        <v>2862.25</v>
      </c>
      <c r="L115" s="182">
        <f>'Program Budget'!N121</f>
        <v>0</v>
      </c>
      <c r="M115" s="183">
        <v>0</v>
      </c>
      <c r="N115" s="184">
        <f t="shared" si="191"/>
        <v>0</v>
      </c>
      <c r="O115" s="181">
        <f t="shared" si="178"/>
        <v>3062.6075000000001</v>
      </c>
      <c r="P115" s="182">
        <f>'Program Budget'!Q121</f>
        <v>0</v>
      </c>
      <c r="Q115" s="183">
        <v>0</v>
      </c>
      <c r="R115" s="184">
        <f t="shared" si="192"/>
        <v>0</v>
      </c>
      <c r="S115" s="181">
        <f t="shared" si="180"/>
        <v>3276.9900250000001</v>
      </c>
      <c r="T115" s="182">
        <f>'Program Budget'!T121</f>
        <v>0</v>
      </c>
      <c r="U115" s="183">
        <v>0</v>
      </c>
      <c r="V115" s="184">
        <f t="shared" si="193"/>
        <v>0</v>
      </c>
      <c r="W115" s="320">
        <f t="shared" si="194"/>
        <v>2500</v>
      </c>
      <c r="AE115" s="148"/>
      <c r="AF115" s="189"/>
      <c r="AG115" s="254"/>
    </row>
    <row r="116" spans="1:33" ht="15.6" outlineLevel="1">
      <c r="A116" s="255" t="str">
        <f>'Program Budget'!D122</f>
        <v>A/C Unit for Office</v>
      </c>
      <c r="B116" s="180" t="str">
        <f>'Program Budget'!F122</f>
        <v>Unit</v>
      </c>
      <c r="C116" s="181">
        <f>'Program Budget'!H122</f>
        <v>503.065</v>
      </c>
      <c r="D116" s="182">
        <f>'Program Budget'!G122</f>
        <v>2</v>
      </c>
      <c r="E116" s="183">
        <v>1</v>
      </c>
      <c r="F116" s="184">
        <f t="shared" si="167"/>
        <v>1006.13</v>
      </c>
      <c r="G116" s="181">
        <f t="shared" si="174"/>
        <v>538.27954999999997</v>
      </c>
      <c r="H116" s="182">
        <f>'Program Budget'!K122</f>
        <v>0</v>
      </c>
      <c r="I116" s="183">
        <v>0</v>
      </c>
      <c r="J116" s="184">
        <f t="shared" si="168"/>
        <v>0</v>
      </c>
      <c r="K116" s="181">
        <f t="shared" si="176"/>
        <v>575.95911850000005</v>
      </c>
      <c r="L116" s="182">
        <f>'Program Budget'!N122</f>
        <v>0</v>
      </c>
      <c r="M116" s="183">
        <v>0</v>
      </c>
      <c r="N116" s="184">
        <f t="shared" si="169"/>
        <v>0</v>
      </c>
      <c r="O116" s="181">
        <f t="shared" si="178"/>
        <v>616.27625679500011</v>
      </c>
      <c r="P116" s="182">
        <f>'Program Budget'!Q122</f>
        <v>0</v>
      </c>
      <c r="Q116" s="183">
        <v>0</v>
      </c>
      <c r="R116" s="184">
        <f t="shared" si="170"/>
        <v>0</v>
      </c>
      <c r="S116" s="181">
        <f t="shared" si="180"/>
        <v>659.41559477065016</v>
      </c>
      <c r="T116" s="182">
        <f>'Program Budget'!T122</f>
        <v>0</v>
      </c>
      <c r="U116" s="183">
        <v>0</v>
      </c>
      <c r="V116" s="184">
        <f t="shared" si="171"/>
        <v>0</v>
      </c>
      <c r="W116" s="320">
        <f t="shared" si="172"/>
        <v>1006.13</v>
      </c>
      <c r="AE116" s="148"/>
      <c r="AF116" s="189"/>
      <c r="AG116" s="254"/>
    </row>
    <row r="117" spans="1:33" ht="15.6" outlineLevel="1">
      <c r="A117" s="255" t="str">
        <f>'Program Budget'!D123</f>
        <v xml:space="preserve">Office Supplies </v>
      </c>
      <c r="B117" s="180" t="str">
        <f>'Program Budget'!F123</f>
        <v>Month</v>
      </c>
      <c r="C117" s="181">
        <f>'Program Budget'!H123</f>
        <v>250</v>
      </c>
      <c r="D117" s="182">
        <f>'Program Budget'!G123</f>
        <v>9</v>
      </c>
      <c r="E117" s="183">
        <v>1</v>
      </c>
      <c r="F117" s="184">
        <f t="shared" si="167"/>
        <v>2250</v>
      </c>
      <c r="G117" s="181">
        <f t="shared" si="174"/>
        <v>267.5</v>
      </c>
      <c r="H117" s="182">
        <f>'Program Budget'!K123</f>
        <v>12</v>
      </c>
      <c r="I117" s="183">
        <v>1</v>
      </c>
      <c r="J117" s="184">
        <f t="shared" si="168"/>
        <v>3210</v>
      </c>
      <c r="K117" s="181">
        <f t="shared" si="176"/>
        <v>286.22500000000002</v>
      </c>
      <c r="L117" s="182">
        <f>'Program Budget'!N123</f>
        <v>12</v>
      </c>
      <c r="M117" s="183">
        <v>1</v>
      </c>
      <c r="N117" s="184">
        <f t="shared" si="169"/>
        <v>3434.7000000000003</v>
      </c>
      <c r="O117" s="181">
        <f t="shared" si="178"/>
        <v>306.26075000000003</v>
      </c>
      <c r="P117" s="182">
        <f>'Program Budget'!Q123</f>
        <v>12</v>
      </c>
      <c r="Q117" s="183">
        <v>1</v>
      </c>
      <c r="R117" s="184">
        <f t="shared" si="170"/>
        <v>3675.1290000000004</v>
      </c>
      <c r="S117" s="181">
        <f t="shared" si="180"/>
        <v>327.69900250000006</v>
      </c>
      <c r="T117" s="182">
        <f>'Program Budget'!T123</f>
        <v>9</v>
      </c>
      <c r="U117" s="183">
        <v>1</v>
      </c>
      <c r="V117" s="184">
        <f t="shared" si="171"/>
        <v>2949.2910225000005</v>
      </c>
      <c r="W117" s="320">
        <f t="shared" si="172"/>
        <v>15519.120022500003</v>
      </c>
      <c r="AE117" s="148"/>
      <c r="AF117" s="189"/>
      <c r="AG117" s="254"/>
    </row>
    <row r="118" spans="1:33" ht="15.6" outlineLevel="1">
      <c r="A118" s="255"/>
      <c r="B118" s="202"/>
      <c r="C118" s="256"/>
      <c r="D118" s="257"/>
      <c r="F118" s="184"/>
      <c r="G118" s="256"/>
      <c r="H118" s="257"/>
      <c r="I118" s="145"/>
      <c r="J118" s="184"/>
      <c r="K118" s="256"/>
      <c r="L118" s="257"/>
      <c r="N118" s="184"/>
      <c r="O118" s="256"/>
      <c r="P118" s="257"/>
      <c r="Q118" s="145"/>
      <c r="R118" s="184"/>
      <c r="S118" s="256"/>
      <c r="T118" s="257"/>
      <c r="U118" s="145"/>
      <c r="V118" s="184"/>
      <c r="W118" s="320"/>
      <c r="AE118" s="148"/>
      <c r="AF118" s="189"/>
      <c r="AG118" s="254"/>
    </row>
    <row r="119" spans="1:33" ht="18.3" outlineLevel="1">
      <c r="A119" s="247" t="s">
        <v>102</v>
      </c>
      <c r="B119" s="213"/>
      <c r="C119" s="214"/>
      <c r="D119" s="248"/>
      <c r="E119" s="249"/>
      <c r="F119" s="217">
        <f>SUM(F108:F118)</f>
        <v>69422.850000000006</v>
      </c>
      <c r="G119" s="214"/>
      <c r="H119" s="248"/>
      <c r="I119" s="218"/>
      <c r="J119" s="217">
        <f>SUM(J108:J118)</f>
        <v>3210</v>
      </c>
      <c r="K119" s="214"/>
      <c r="L119" s="248"/>
      <c r="M119" s="249"/>
      <c r="N119" s="217">
        <f>SUM(N108:N118)</f>
        <v>3434.7000000000003</v>
      </c>
      <c r="O119" s="214"/>
      <c r="P119" s="248"/>
      <c r="Q119" s="218"/>
      <c r="R119" s="217">
        <f>SUM(R108:R118)</f>
        <v>3675.1290000000004</v>
      </c>
      <c r="S119" s="214"/>
      <c r="T119" s="248"/>
      <c r="U119" s="218"/>
      <c r="V119" s="217">
        <f>SUM(V108:V118)</f>
        <v>2949.2910225000005</v>
      </c>
      <c r="W119" s="323">
        <f>+F119+J119+N119+R119+V119</f>
        <v>82691.970022499998</v>
      </c>
      <c r="AE119" s="148"/>
      <c r="AF119" s="189"/>
      <c r="AG119" s="254"/>
    </row>
    <row r="120" spans="1:33" ht="15.6" outlineLevel="1">
      <c r="A120" s="262" t="s">
        <v>103</v>
      </c>
      <c r="B120" s="202"/>
      <c r="C120" s="263"/>
      <c r="D120" s="264"/>
      <c r="F120" s="234"/>
      <c r="G120" s="263"/>
      <c r="H120" s="264"/>
      <c r="J120" s="207"/>
      <c r="K120" s="263"/>
      <c r="L120" s="264"/>
      <c r="N120" s="207"/>
      <c r="O120" s="263"/>
      <c r="P120" s="264"/>
      <c r="R120" s="207"/>
      <c r="S120" s="263"/>
      <c r="T120" s="264"/>
      <c r="V120" s="207"/>
      <c r="W120" s="320"/>
      <c r="AE120" s="148"/>
      <c r="AF120" s="189"/>
      <c r="AG120" s="254"/>
    </row>
    <row r="121" spans="1:33" ht="15.6" outlineLevel="1">
      <c r="A121" s="176" t="s">
        <v>139</v>
      </c>
      <c r="B121" s="180"/>
      <c r="C121" s="181"/>
      <c r="D121" s="182"/>
      <c r="E121" s="183"/>
      <c r="F121" s="184"/>
      <c r="G121" s="181"/>
      <c r="H121" s="182"/>
      <c r="I121" s="183"/>
      <c r="J121" s="184"/>
      <c r="K121" s="181"/>
      <c r="L121" s="182"/>
      <c r="M121" s="183"/>
      <c r="N121" s="184"/>
      <c r="O121" s="181"/>
      <c r="P121" s="182"/>
      <c r="Q121" s="183"/>
      <c r="R121" s="184"/>
      <c r="S121" s="181"/>
      <c r="T121" s="182"/>
      <c r="U121" s="183"/>
      <c r="V121" s="184"/>
      <c r="W121" s="320"/>
      <c r="AE121" s="148"/>
      <c r="AF121" s="189"/>
      <c r="AG121" s="254"/>
    </row>
    <row r="122" spans="1:33" ht="15.6" outlineLevel="1">
      <c r="A122" s="255" t="str">
        <f>'Program Budget'!D128</f>
        <v xml:space="preserve">Training, Workshops, Conference and Registration Fees </v>
      </c>
      <c r="B122" s="180" t="str">
        <f>'Program Budget'!F128</f>
        <v>Unit</v>
      </c>
      <c r="C122" s="181">
        <f>'Program Budget'!H128</f>
        <v>1500</v>
      </c>
      <c r="D122" s="182">
        <f>'Program Budget'!G128</f>
        <v>6</v>
      </c>
      <c r="E122" s="183">
        <v>1</v>
      </c>
      <c r="F122" s="184">
        <f t="shared" ref="F122:F124" si="195">C122*D122*E122</f>
        <v>9000</v>
      </c>
      <c r="G122" s="181">
        <f>C122</f>
        <v>1500</v>
      </c>
      <c r="H122" s="182">
        <f>'Program Budget'!K128</f>
        <v>6</v>
      </c>
      <c r="I122" s="183">
        <v>1</v>
      </c>
      <c r="J122" s="184">
        <f t="shared" ref="J122:J124" si="196">G122*H122*I122</f>
        <v>9000</v>
      </c>
      <c r="K122" s="181">
        <f>G122</f>
        <v>1500</v>
      </c>
      <c r="L122" s="182">
        <f>'Program Budget'!N128</f>
        <v>6</v>
      </c>
      <c r="M122" s="183">
        <v>1</v>
      </c>
      <c r="N122" s="184">
        <f t="shared" ref="N122:N124" si="197">K122*L122*M122</f>
        <v>9000</v>
      </c>
      <c r="O122" s="181">
        <f>K122</f>
        <v>1500</v>
      </c>
      <c r="P122" s="182">
        <f>'Program Budget'!Q128</f>
        <v>6</v>
      </c>
      <c r="Q122" s="183">
        <v>1</v>
      </c>
      <c r="R122" s="184">
        <f t="shared" ref="R122:R124" si="198">O122*P122*Q122</f>
        <v>9000</v>
      </c>
      <c r="S122" s="181">
        <f>O122</f>
        <v>1500</v>
      </c>
      <c r="T122" s="182">
        <f>'Program Budget'!T128</f>
        <v>6</v>
      </c>
      <c r="U122" s="183">
        <v>1</v>
      </c>
      <c r="V122" s="184">
        <f t="shared" ref="V122:V124" si="199">S122*T122*U122</f>
        <v>9000</v>
      </c>
      <c r="W122" s="320">
        <f t="shared" ref="W122:W124" si="200">F122+J122+N122+R122+V122</f>
        <v>45000</v>
      </c>
      <c r="AE122" s="148"/>
      <c r="AF122" s="189"/>
      <c r="AG122" s="254"/>
    </row>
    <row r="123" spans="1:33" ht="15.6" outlineLevel="1">
      <c r="A123" s="176" t="s">
        <v>140</v>
      </c>
      <c r="B123" s="180"/>
      <c r="C123" s="181"/>
      <c r="D123" s="182"/>
      <c r="E123" s="183"/>
      <c r="F123" s="184"/>
      <c r="G123" s="181"/>
      <c r="H123" s="182"/>
      <c r="I123" s="183"/>
      <c r="J123" s="184"/>
      <c r="K123" s="181"/>
      <c r="L123" s="182"/>
      <c r="M123" s="183"/>
      <c r="N123" s="184"/>
      <c r="O123" s="181"/>
      <c r="P123" s="182"/>
      <c r="Q123" s="183"/>
      <c r="R123" s="184"/>
      <c r="S123" s="181"/>
      <c r="T123" s="182"/>
      <c r="U123" s="183"/>
      <c r="V123" s="184"/>
      <c r="W123" s="320"/>
      <c r="AE123" s="148"/>
      <c r="AF123" s="189"/>
      <c r="AG123" s="254"/>
    </row>
    <row r="124" spans="1:33" ht="15.6" outlineLevel="1">
      <c r="A124" s="255" t="str">
        <f>'Program Budget'!D130</f>
        <v>Equipment and Office Repairs and Maintenance</v>
      </c>
      <c r="B124" s="180" t="str">
        <f>'Program Budget'!F130</f>
        <v>Year</v>
      </c>
      <c r="C124" s="181">
        <f>'Program Budget'!H130</f>
        <v>500</v>
      </c>
      <c r="D124" s="182">
        <f>'Program Budget'!G130</f>
        <v>1</v>
      </c>
      <c r="E124" s="183">
        <v>1</v>
      </c>
      <c r="F124" s="184">
        <f t="shared" si="195"/>
        <v>500</v>
      </c>
      <c r="G124" s="181">
        <f>C124*1.07</f>
        <v>535</v>
      </c>
      <c r="H124" s="182">
        <f>'Program Budget'!K130</f>
        <v>1</v>
      </c>
      <c r="I124" s="183">
        <v>1</v>
      </c>
      <c r="J124" s="184">
        <f t="shared" si="196"/>
        <v>535</v>
      </c>
      <c r="K124" s="181">
        <f>G124*1.07</f>
        <v>572.45000000000005</v>
      </c>
      <c r="L124" s="182">
        <f>'Program Budget'!N130</f>
        <v>1</v>
      </c>
      <c r="M124" s="183">
        <v>1</v>
      </c>
      <c r="N124" s="184">
        <f t="shared" si="197"/>
        <v>572.45000000000005</v>
      </c>
      <c r="O124" s="181">
        <f>K124*1.07</f>
        <v>612.52150000000006</v>
      </c>
      <c r="P124" s="182">
        <f>'Program Budget'!Q130</f>
        <v>1</v>
      </c>
      <c r="Q124" s="183">
        <v>1</v>
      </c>
      <c r="R124" s="184">
        <f t="shared" si="198"/>
        <v>612.52150000000006</v>
      </c>
      <c r="S124" s="181">
        <f>O124*1.07</f>
        <v>655.39800500000013</v>
      </c>
      <c r="T124" s="182">
        <f>'Program Budget'!T130</f>
        <v>1</v>
      </c>
      <c r="U124" s="183">
        <v>1</v>
      </c>
      <c r="V124" s="184">
        <f t="shared" si="199"/>
        <v>655.39800500000013</v>
      </c>
      <c r="W124" s="320">
        <f t="shared" si="200"/>
        <v>2875.3695050000001</v>
      </c>
      <c r="AE124" s="148"/>
      <c r="AF124" s="189"/>
      <c r="AG124" s="254"/>
    </row>
    <row r="125" spans="1:33" ht="15.6" outlineLevel="1">
      <c r="A125" s="255" t="str">
        <f>'Program Budget'!D131</f>
        <v>Vehicle Maintenance/Repairs/Spare Parts</v>
      </c>
      <c r="B125" s="180" t="str">
        <f>'Program Budget'!F131</f>
        <v>Month</v>
      </c>
      <c r="C125" s="181">
        <f>'Program Budget'!H131</f>
        <v>150</v>
      </c>
      <c r="D125" s="182">
        <f>'Program Budget'!G131</f>
        <v>3</v>
      </c>
      <c r="E125" s="183">
        <v>1</v>
      </c>
      <c r="F125" s="184">
        <f t="shared" ref="F125" si="201">C125*D125*E125</f>
        <v>450</v>
      </c>
      <c r="G125" s="181">
        <f t="shared" ref="G125:G128" si="202">C125*1.07</f>
        <v>160.5</v>
      </c>
      <c r="H125" s="182">
        <f>'Program Budget'!K131</f>
        <v>12</v>
      </c>
      <c r="I125" s="183">
        <v>1</v>
      </c>
      <c r="J125" s="184">
        <f t="shared" ref="J125" si="203">G125*H125*I125</f>
        <v>1926</v>
      </c>
      <c r="K125" s="181">
        <f t="shared" ref="K125:K128" si="204">G125*1.07</f>
        <v>171.73500000000001</v>
      </c>
      <c r="L125" s="182">
        <f>'Program Budget'!N131</f>
        <v>12</v>
      </c>
      <c r="M125" s="183">
        <v>1</v>
      </c>
      <c r="N125" s="184">
        <f t="shared" ref="N125" si="205">K125*L125*M125</f>
        <v>2060.8200000000002</v>
      </c>
      <c r="O125" s="181">
        <f t="shared" ref="O125:O128" si="206">K125*1.07</f>
        <v>183.75645000000003</v>
      </c>
      <c r="P125" s="182">
        <f>'Program Budget'!Q131</f>
        <v>12</v>
      </c>
      <c r="Q125" s="183">
        <v>1</v>
      </c>
      <c r="R125" s="184">
        <f t="shared" ref="R125" si="207">O125*P125*Q125</f>
        <v>2205.0774000000001</v>
      </c>
      <c r="S125" s="181">
        <f t="shared" ref="S125:S128" si="208">O125*1.07</f>
        <v>196.61940150000004</v>
      </c>
      <c r="T125" s="182">
        <f>'Program Budget'!T131</f>
        <v>6</v>
      </c>
      <c r="U125" s="183">
        <v>1</v>
      </c>
      <c r="V125" s="184">
        <f t="shared" ref="V125" si="209">S125*T125*U125</f>
        <v>1179.7164090000001</v>
      </c>
      <c r="W125" s="320">
        <f t="shared" ref="W125" si="210">F125+J125+N125+R125+V125</f>
        <v>7821.6138090000004</v>
      </c>
      <c r="AE125" s="148"/>
      <c r="AF125" s="189"/>
      <c r="AG125" s="254"/>
    </row>
    <row r="126" spans="1:33" ht="15.6" outlineLevel="1">
      <c r="A126" s="176" t="str">
        <f>'Program Budget'!D132</f>
        <v>Insurance</v>
      </c>
      <c r="B126" s="180"/>
      <c r="C126" s="181"/>
      <c r="D126" s="182"/>
      <c r="E126" s="183"/>
      <c r="F126" s="184"/>
      <c r="G126" s="181"/>
      <c r="H126" s="182"/>
      <c r="I126" s="183"/>
      <c r="J126" s="184"/>
      <c r="K126" s="181"/>
      <c r="L126" s="182"/>
      <c r="M126" s="183"/>
      <c r="N126" s="184"/>
      <c r="O126" s="181"/>
      <c r="P126" s="182"/>
      <c r="Q126" s="183"/>
      <c r="R126" s="184"/>
      <c r="S126" s="181"/>
      <c r="T126" s="182"/>
      <c r="U126" s="183"/>
      <c r="V126" s="184"/>
      <c r="W126" s="320"/>
      <c r="AE126" s="148"/>
      <c r="AF126" s="189"/>
      <c r="AG126" s="254"/>
    </row>
    <row r="127" spans="1:33" ht="15.6" outlineLevel="1">
      <c r="A127" s="255" t="str">
        <f>'Program Budget'!D133</f>
        <v>Property and Liability Insurance</v>
      </c>
      <c r="B127" s="180" t="str">
        <f>'Program Budget'!F133</f>
        <v>Year</v>
      </c>
      <c r="C127" s="181">
        <f>'Program Budget'!H133</f>
        <v>500</v>
      </c>
      <c r="D127" s="182">
        <f>'Program Budget'!G133</f>
        <v>1</v>
      </c>
      <c r="E127" s="183">
        <v>1</v>
      </c>
      <c r="F127" s="184">
        <f t="shared" ref="F127:F128" si="211">C127*D127*E127</f>
        <v>500</v>
      </c>
      <c r="G127" s="181">
        <f t="shared" si="202"/>
        <v>535</v>
      </c>
      <c r="H127" s="182">
        <f>'Program Budget'!K133</f>
        <v>1</v>
      </c>
      <c r="I127" s="183">
        <v>1</v>
      </c>
      <c r="J127" s="184">
        <f t="shared" ref="J127:J128" si="212">G127*H127*I127</f>
        <v>535</v>
      </c>
      <c r="K127" s="181">
        <f t="shared" si="204"/>
        <v>572.45000000000005</v>
      </c>
      <c r="L127" s="182">
        <f>'Program Budget'!N133</f>
        <v>1</v>
      </c>
      <c r="M127" s="183">
        <v>1</v>
      </c>
      <c r="N127" s="184">
        <f t="shared" ref="N127:N128" si="213">K127*L127*M127</f>
        <v>572.45000000000005</v>
      </c>
      <c r="O127" s="181">
        <f t="shared" si="206"/>
        <v>612.52150000000006</v>
      </c>
      <c r="P127" s="182">
        <f>'Program Budget'!Q133</f>
        <v>1</v>
      </c>
      <c r="Q127" s="183">
        <v>1</v>
      </c>
      <c r="R127" s="184">
        <f t="shared" ref="R127:R128" si="214">O127*P127*Q127</f>
        <v>612.52150000000006</v>
      </c>
      <c r="S127" s="181">
        <f t="shared" si="208"/>
        <v>655.39800500000013</v>
      </c>
      <c r="T127" s="182">
        <f>'Program Budget'!T133</f>
        <v>1</v>
      </c>
      <c r="U127" s="183">
        <v>1</v>
      </c>
      <c r="V127" s="184">
        <f t="shared" ref="V127:V128" si="215">S127*T127*U127</f>
        <v>655.39800500000013</v>
      </c>
      <c r="W127" s="320">
        <f t="shared" ref="W127:W128" si="216">F127+J127+N127+R127+V127</f>
        <v>2875.3695050000001</v>
      </c>
      <c r="AE127" s="148"/>
      <c r="AF127" s="189"/>
      <c r="AG127" s="254"/>
    </row>
    <row r="128" spans="1:33" ht="15.6" outlineLevel="1">
      <c r="A128" s="255" t="str">
        <f>'Program Budget'!D134</f>
        <v>Vehicle Insurance</v>
      </c>
      <c r="B128" s="180" t="str">
        <f>'Program Budget'!F134</f>
        <v>Vehicle</v>
      </c>
      <c r="C128" s="181">
        <f>'Program Budget'!H134</f>
        <v>125</v>
      </c>
      <c r="D128" s="182">
        <f>'Program Budget'!G134</f>
        <v>3</v>
      </c>
      <c r="E128" s="183">
        <v>1</v>
      </c>
      <c r="F128" s="184">
        <f t="shared" si="211"/>
        <v>375</v>
      </c>
      <c r="G128" s="181">
        <f t="shared" si="202"/>
        <v>133.75</v>
      </c>
      <c r="H128" s="182">
        <f>'Program Budget'!K134</f>
        <v>3</v>
      </c>
      <c r="I128" s="183">
        <v>1</v>
      </c>
      <c r="J128" s="184">
        <f t="shared" si="212"/>
        <v>401.25</v>
      </c>
      <c r="K128" s="181">
        <f t="shared" si="204"/>
        <v>143.11250000000001</v>
      </c>
      <c r="L128" s="182">
        <f>'Program Budget'!N134</f>
        <v>3</v>
      </c>
      <c r="M128" s="183">
        <v>1</v>
      </c>
      <c r="N128" s="184">
        <f t="shared" si="213"/>
        <v>429.33750000000003</v>
      </c>
      <c r="O128" s="181">
        <f t="shared" si="206"/>
        <v>153.13037500000002</v>
      </c>
      <c r="P128" s="182">
        <f>'Program Budget'!Q134</f>
        <v>3</v>
      </c>
      <c r="Q128" s="183">
        <v>1</v>
      </c>
      <c r="R128" s="184">
        <f t="shared" si="214"/>
        <v>459.39112500000005</v>
      </c>
      <c r="S128" s="181">
        <f t="shared" si="208"/>
        <v>163.84950125000003</v>
      </c>
      <c r="T128" s="182">
        <f>'Program Budget'!T134</f>
        <v>3</v>
      </c>
      <c r="U128" s="183">
        <v>1</v>
      </c>
      <c r="V128" s="184">
        <f t="shared" si="215"/>
        <v>491.54850375000012</v>
      </c>
      <c r="W128" s="320">
        <f t="shared" si="216"/>
        <v>2156.5271287500004</v>
      </c>
      <c r="AE128" s="148"/>
      <c r="AF128" s="189"/>
      <c r="AG128" s="254"/>
    </row>
    <row r="129" spans="1:33" outlineLevel="1">
      <c r="A129" s="314"/>
      <c r="B129" s="227"/>
      <c r="C129" s="265"/>
      <c r="D129" s="266"/>
      <c r="E129" s="230"/>
      <c r="F129" s="231"/>
      <c r="G129" s="265"/>
      <c r="H129" s="266"/>
      <c r="I129" s="230"/>
      <c r="J129" s="231"/>
      <c r="K129" s="265"/>
      <c r="L129" s="266"/>
      <c r="M129" s="230"/>
      <c r="N129" s="231"/>
      <c r="O129" s="265"/>
      <c r="P129" s="266"/>
      <c r="Q129" s="230"/>
      <c r="R129" s="231"/>
      <c r="S129" s="265"/>
      <c r="T129" s="266"/>
      <c r="U129" s="230"/>
      <c r="V129" s="231"/>
      <c r="W129" s="320"/>
      <c r="AE129" s="148"/>
      <c r="AF129" s="189"/>
      <c r="AG129" s="254"/>
    </row>
    <row r="130" spans="1:33" ht="18.3" outlineLevel="1">
      <c r="A130" s="268" t="s">
        <v>110</v>
      </c>
      <c r="B130" s="213"/>
      <c r="C130" s="237"/>
      <c r="D130" s="238"/>
      <c r="E130" s="269"/>
      <c r="F130" s="240">
        <f>SUM(F122:F128)</f>
        <v>10825</v>
      </c>
      <c r="G130" s="237"/>
      <c r="H130" s="238"/>
      <c r="I130" s="241"/>
      <c r="J130" s="240">
        <f>SUM(J122:J128)</f>
        <v>12397.25</v>
      </c>
      <c r="K130" s="237"/>
      <c r="L130" s="238"/>
      <c r="M130" s="269"/>
      <c r="N130" s="240">
        <f>SUM(N122:N128)</f>
        <v>12635.057500000001</v>
      </c>
      <c r="O130" s="237"/>
      <c r="P130" s="238"/>
      <c r="Q130" s="241"/>
      <c r="R130" s="240">
        <f>SUM(R122:R128)</f>
        <v>12889.511525000002</v>
      </c>
      <c r="S130" s="237"/>
      <c r="T130" s="238"/>
      <c r="U130" s="241"/>
      <c r="V130" s="240">
        <f>SUM(V122:V128)</f>
        <v>11982.060922750003</v>
      </c>
      <c r="W130" s="323">
        <f>+F130+J130+N130+R130+V130</f>
        <v>60728.879947750007</v>
      </c>
      <c r="AE130" s="148">
        <v>250</v>
      </c>
      <c r="AF130" s="189" t="s">
        <v>141</v>
      </c>
      <c r="AG130" s="254" t="s">
        <v>142</v>
      </c>
    </row>
    <row r="131" spans="1:33" outlineLevel="1">
      <c r="A131" s="315"/>
      <c r="B131" s="225"/>
      <c r="C131" s="263"/>
      <c r="D131" s="264"/>
      <c r="F131" s="184"/>
      <c r="G131" s="263"/>
      <c r="H131" s="264"/>
      <c r="J131" s="186"/>
      <c r="K131" s="263"/>
      <c r="L131" s="264"/>
      <c r="N131" s="186"/>
      <c r="O131" s="263"/>
      <c r="P131" s="264"/>
      <c r="R131" s="186"/>
      <c r="S131" s="263"/>
      <c r="T131" s="264"/>
      <c r="V131" s="186"/>
      <c r="W131" s="320"/>
      <c r="AE131" s="148">
        <v>317</v>
      </c>
      <c r="AF131" s="189" t="s">
        <v>143</v>
      </c>
      <c r="AG131" s="254" t="s">
        <v>144</v>
      </c>
    </row>
    <row r="132" spans="1:33" ht="18.3" outlineLevel="1">
      <c r="A132" s="271" t="s">
        <v>111</v>
      </c>
      <c r="B132" s="272"/>
      <c r="C132" s="273"/>
      <c r="D132" s="274"/>
      <c r="E132" s="275"/>
      <c r="F132" s="326">
        <f>F130+F119+F106+F91+F87+F64+F47+F37</f>
        <v>1237976.0113000001</v>
      </c>
      <c r="G132" s="273"/>
      <c r="H132" s="274"/>
      <c r="I132" s="277"/>
      <c r="J132" s="326">
        <f>J130+J119+J106+J91+J87+J64+J47+J37</f>
        <v>710848.125</v>
      </c>
      <c r="K132" s="273"/>
      <c r="L132" s="274"/>
      <c r="M132" s="275"/>
      <c r="N132" s="326">
        <f>N130+N119+N106+N91+N87+N64+N47+N37</f>
        <v>845740.54184999992</v>
      </c>
      <c r="O132" s="273"/>
      <c r="P132" s="274"/>
      <c r="Q132" s="277"/>
      <c r="R132" s="326">
        <f>R130+R119+R106+R91+R87+R64+R47+R37</f>
        <v>562115.58028450003</v>
      </c>
      <c r="S132" s="273"/>
      <c r="T132" s="274"/>
      <c r="U132" s="277"/>
      <c r="V132" s="326">
        <f>V130+V119+V106+V91+V87+V64+V47+V37</f>
        <v>699994.03952313692</v>
      </c>
      <c r="W132" s="326">
        <f>W130+W119+W106+W91+W87+W64+W47+W37</f>
        <v>4056674.2979576364</v>
      </c>
      <c r="AE132" s="148">
        <v>318</v>
      </c>
      <c r="AF132" s="189" t="s">
        <v>145</v>
      </c>
      <c r="AG132" s="254" t="s">
        <v>146</v>
      </c>
    </row>
    <row r="133" spans="1:33">
      <c r="A133" s="316"/>
      <c r="B133" s="225"/>
      <c r="C133" s="263"/>
      <c r="D133" s="264"/>
      <c r="F133" s="184"/>
      <c r="G133" s="263"/>
      <c r="H133" s="264"/>
      <c r="J133" s="186"/>
      <c r="K133" s="263"/>
      <c r="L133" s="264"/>
      <c r="N133" s="186"/>
      <c r="O133" s="263"/>
      <c r="P133" s="264"/>
      <c r="R133" s="186"/>
      <c r="S133" s="263"/>
      <c r="T133" s="264"/>
      <c r="V133" s="186"/>
      <c r="W133" s="320"/>
    </row>
    <row r="134" spans="1:33" ht="20.399999999999999">
      <c r="A134" s="278" t="s">
        <v>53</v>
      </c>
      <c r="B134" s="279"/>
      <c r="C134" s="280"/>
      <c r="D134" s="280"/>
      <c r="E134" s="280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327"/>
    </row>
    <row r="135" spans="1:33" ht="15" customHeight="1">
      <c r="A135" s="281" t="s">
        <v>54</v>
      </c>
      <c r="B135" s="337" t="s">
        <v>147</v>
      </c>
      <c r="C135" s="181">
        <f>F132</f>
        <v>1237976.0113000001</v>
      </c>
      <c r="D135" s="182">
        <v>1</v>
      </c>
      <c r="E135" s="183">
        <v>0.2828</v>
      </c>
      <c r="F135" s="184">
        <f>C135*D135*E135</f>
        <v>350099.61599564005</v>
      </c>
      <c r="G135" s="181">
        <f>J132</f>
        <v>710848.125</v>
      </c>
      <c r="H135" s="182">
        <v>1</v>
      </c>
      <c r="I135" s="183">
        <v>0.2828</v>
      </c>
      <c r="J135" s="184">
        <f>G135*H135*I135</f>
        <v>201027.84974999999</v>
      </c>
      <c r="K135" s="181">
        <f>N132</f>
        <v>845740.54184999992</v>
      </c>
      <c r="L135" s="182">
        <v>1</v>
      </c>
      <c r="M135" s="183">
        <v>0.2828</v>
      </c>
      <c r="N135" s="184">
        <f>K135*L135*M135</f>
        <v>239175.42523517998</v>
      </c>
      <c r="O135" s="181">
        <f>R132</f>
        <v>562115.58028450003</v>
      </c>
      <c r="P135" s="182">
        <v>1</v>
      </c>
      <c r="Q135" s="183">
        <v>0.2828</v>
      </c>
      <c r="R135" s="184">
        <f>O135*P135*Q135</f>
        <v>158966.28610445661</v>
      </c>
      <c r="S135" s="181">
        <f>V132</f>
        <v>699994.03952313692</v>
      </c>
      <c r="T135" s="182">
        <v>1</v>
      </c>
      <c r="U135" s="183">
        <v>0.2828</v>
      </c>
      <c r="V135" s="184">
        <f>S135*T135*U135</f>
        <v>197958.31437714311</v>
      </c>
      <c r="W135" s="320">
        <f>F135+J135+N135+R135+V135</f>
        <v>1147227.4914624197</v>
      </c>
    </row>
    <row r="136" spans="1:33" ht="15" customHeight="1">
      <c r="A136" s="281" t="s">
        <v>55</v>
      </c>
      <c r="B136" s="337" t="s">
        <v>147</v>
      </c>
      <c r="C136" s="181">
        <v>0</v>
      </c>
      <c r="D136" s="182">
        <v>0</v>
      </c>
      <c r="E136" s="183">
        <v>0.2828</v>
      </c>
      <c r="F136" s="184">
        <f>C136*D136*E136</f>
        <v>0</v>
      </c>
      <c r="G136" s="181">
        <v>0</v>
      </c>
      <c r="H136" s="182">
        <v>0</v>
      </c>
      <c r="I136" s="183">
        <v>0.2828</v>
      </c>
      <c r="J136" s="184">
        <f>G136*H136*I136</f>
        <v>0</v>
      </c>
      <c r="K136" s="181">
        <v>0</v>
      </c>
      <c r="L136" s="182">
        <v>0</v>
      </c>
      <c r="M136" s="183">
        <v>0.2828</v>
      </c>
      <c r="N136" s="184">
        <f>K136*L136*M136</f>
        <v>0</v>
      </c>
      <c r="O136" s="181">
        <v>0</v>
      </c>
      <c r="P136" s="182">
        <v>0</v>
      </c>
      <c r="Q136" s="183">
        <v>0.2828</v>
      </c>
      <c r="R136" s="184">
        <f>O136*P136*Q136</f>
        <v>0</v>
      </c>
      <c r="S136" s="181">
        <v>0</v>
      </c>
      <c r="T136" s="182">
        <v>0</v>
      </c>
      <c r="U136" s="183">
        <v>0.2828</v>
      </c>
      <c r="V136" s="184">
        <f>S136*T136*U136</f>
        <v>0</v>
      </c>
      <c r="W136" s="320">
        <f>F136+J136+N136+R136+V136</f>
        <v>0</v>
      </c>
    </row>
    <row r="137" spans="1:33">
      <c r="A137" s="284"/>
      <c r="B137" s="225"/>
      <c r="C137" s="256"/>
      <c r="D137" s="285"/>
      <c r="E137" s="286"/>
      <c r="F137" s="184"/>
      <c r="G137" s="256"/>
      <c r="H137" s="285"/>
      <c r="I137" s="185"/>
      <c r="J137" s="184"/>
      <c r="K137" s="256"/>
      <c r="L137" s="285"/>
      <c r="M137" s="286"/>
      <c r="N137" s="184"/>
      <c r="O137" s="256"/>
      <c r="P137" s="285"/>
      <c r="Q137" s="185"/>
      <c r="R137" s="184"/>
      <c r="S137" s="256"/>
      <c r="T137" s="285"/>
      <c r="U137" s="185"/>
      <c r="V137" s="184"/>
      <c r="W137" s="320">
        <f>F137+J137+N137+R137+V137</f>
        <v>0</v>
      </c>
    </row>
    <row r="138" spans="1:33" ht="18.3">
      <c r="A138" s="271" t="s">
        <v>112</v>
      </c>
      <c r="B138" s="272"/>
      <c r="C138" s="273"/>
      <c r="D138" s="274"/>
      <c r="E138" s="275"/>
      <c r="F138" s="326">
        <f>SUM(F135:F137)</f>
        <v>350099.61599564005</v>
      </c>
      <c r="G138" s="273"/>
      <c r="H138" s="274"/>
      <c r="I138" s="277"/>
      <c r="J138" s="326">
        <f>SUM(J135:J137)</f>
        <v>201027.84974999999</v>
      </c>
      <c r="K138" s="273"/>
      <c r="L138" s="274"/>
      <c r="M138" s="275"/>
      <c r="N138" s="326">
        <f>SUM(N135:N137)</f>
        <v>239175.42523517998</v>
      </c>
      <c r="O138" s="273"/>
      <c r="P138" s="274"/>
      <c r="Q138" s="277"/>
      <c r="R138" s="326">
        <f>SUM(R135:R137)</f>
        <v>158966.28610445661</v>
      </c>
      <c r="S138" s="273"/>
      <c r="T138" s="274"/>
      <c r="U138" s="277"/>
      <c r="V138" s="326">
        <f>SUM(V135:V137)</f>
        <v>197958.31437714311</v>
      </c>
      <c r="W138" s="326">
        <f>SUM(W135:W137)</f>
        <v>1147227.4914624197</v>
      </c>
    </row>
    <row r="139" spans="1:33">
      <c r="A139" s="184"/>
      <c r="B139" s="225"/>
      <c r="C139" s="256"/>
      <c r="D139" s="285"/>
      <c r="E139" s="286"/>
      <c r="F139" s="184"/>
      <c r="G139" s="256"/>
      <c r="H139" s="285"/>
      <c r="I139" s="185"/>
      <c r="J139" s="184"/>
      <c r="K139" s="256"/>
      <c r="L139" s="285"/>
      <c r="M139" s="286"/>
      <c r="N139" s="184"/>
      <c r="O139" s="256"/>
      <c r="P139" s="285"/>
      <c r="Q139" s="185"/>
      <c r="R139" s="184"/>
      <c r="S139" s="256"/>
      <c r="T139" s="285"/>
      <c r="U139" s="185"/>
      <c r="V139" s="184"/>
      <c r="W139" s="320"/>
    </row>
    <row r="140" spans="1:33" ht="18.3">
      <c r="A140" s="291" t="s">
        <v>113</v>
      </c>
      <c r="B140" s="292"/>
      <c r="C140" s="293"/>
      <c r="D140" s="294"/>
      <c r="E140" s="295"/>
      <c r="F140" s="296">
        <f>F132+F138</f>
        <v>1588075.6272956403</v>
      </c>
      <c r="G140" s="293"/>
      <c r="H140" s="294"/>
      <c r="I140" s="297"/>
      <c r="J140" s="296">
        <f>J132+J138</f>
        <v>911875.97475000005</v>
      </c>
      <c r="K140" s="293"/>
      <c r="L140" s="294"/>
      <c r="M140" s="295"/>
      <c r="N140" s="296">
        <f>N132+N138</f>
        <v>1084915.9670851799</v>
      </c>
      <c r="O140" s="293"/>
      <c r="P140" s="294"/>
      <c r="Q140" s="297"/>
      <c r="R140" s="296">
        <f>R132+R138</f>
        <v>721081.86638895667</v>
      </c>
      <c r="S140" s="293"/>
      <c r="T140" s="294"/>
      <c r="U140" s="297"/>
      <c r="V140" s="296">
        <f>V132+V138</f>
        <v>897952.35390028008</v>
      </c>
      <c r="W140" s="328">
        <f>F140+J140+N140+R140+V140</f>
        <v>5203901.7894200571</v>
      </c>
    </row>
    <row r="141" spans="1:33" ht="15.6">
      <c r="A141" s="299" t="s">
        <v>148</v>
      </c>
      <c r="B141" s="300"/>
      <c r="C141" s="228"/>
      <c r="D141" s="301"/>
      <c r="E141" s="230"/>
      <c r="F141" s="231">
        <f t="shared" ref="F141" si="217">C141*D141*E141</f>
        <v>0</v>
      </c>
      <c r="G141" s="228"/>
      <c r="H141" s="301"/>
      <c r="I141" s="302"/>
      <c r="J141" s="231">
        <f t="shared" ref="J141" si="218">G141*H141*I141</f>
        <v>0</v>
      </c>
      <c r="K141" s="228"/>
      <c r="L141" s="301"/>
      <c r="M141" s="230"/>
      <c r="N141" s="231">
        <f t="shared" ref="N141" si="219">K141*L141*M141</f>
        <v>0</v>
      </c>
      <c r="O141" s="228"/>
      <c r="P141" s="301"/>
      <c r="Q141" s="302"/>
      <c r="R141" s="231">
        <f t="shared" ref="R141" si="220">O141*P141*Q141</f>
        <v>0</v>
      </c>
      <c r="S141" s="228"/>
      <c r="T141" s="301"/>
      <c r="U141" s="302"/>
      <c r="V141" s="231">
        <f t="shared" ref="V141" si="221">S141*T141*U141</f>
        <v>0</v>
      </c>
      <c r="W141" s="322">
        <f>F141+J141+N141+R141+V141</f>
        <v>0</v>
      </c>
    </row>
    <row r="142" spans="1:33" ht="18.3">
      <c r="A142" s="291" t="s">
        <v>114</v>
      </c>
      <c r="B142" s="292"/>
      <c r="C142" s="293"/>
      <c r="D142" s="294"/>
      <c r="E142" s="295"/>
      <c r="F142" s="296">
        <f>F140+F141</f>
        <v>1588075.6272956403</v>
      </c>
      <c r="G142" s="293"/>
      <c r="H142" s="294"/>
      <c r="I142" s="297"/>
      <c r="J142" s="296">
        <f>J140+J141</f>
        <v>911875.97475000005</v>
      </c>
      <c r="K142" s="293"/>
      <c r="L142" s="294"/>
      <c r="M142" s="295"/>
      <c r="N142" s="296">
        <f>N140+N141</f>
        <v>1084915.9670851799</v>
      </c>
      <c r="O142" s="293"/>
      <c r="P142" s="294"/>
      <c r="Q142" s="297"/>
      <c r="R142" s="296">
        <f>R140+R141</f>
        <v>721081.86638895667</v>
      </c>
      <c r="S142" s="293"/>
      <c r="T142" s="294"/>
      <c r="U142" s="297"/>
      <c r="V142" s="296">
        <f>V140+V141</f>
        <v>897952.35390028008</v>
      </c>
      <c r="W142" s="328">
        <f>F142+J142+N142+R142+V142</f>
        <v>5203901.7894200571</v>
      </c>
    </row>
    <row r="143" spans="1:33">
      <c r="A143" s="180"/>
      <c r="B143" s="180"/>
      <c r="W143" s="320"/>
    </row>
    <row r="144" spans="1:33" ht="31.2">
      <c r="A144" s="303" t="s">
        <v>115</v>
      </c>
      <c r="B144" s="304"/>
      <c r="C144" s="305"/>
      <c r="D144" s="306"/>
      <c r="E144" s="307"/>
      <c r="F144" s="308"/>
      <c r="G144" s="305"/>
      <c r="H144" s="306"/>
      <c r="I144" s="309"/>
      <c r="J144" s="310"/>
      <c r="K144" s="305"/>
      <c r="L144" s="306"/>
      <c r="M144" s="307"/>
      <c r="N144" s="310"/>
      <c r="O144" s="305"/>
      <c r="P144" s="306"/>
      <c r="Q144" s="309"/>
      <c r="R144" s="310"/>
      <c r="S144" s="305"/>
      <c r="T144" s="306"/>
      <c r="U144" s="309"/>
      <c r="V144" s="310"/>
      <c r="W144" s="329">
        <f>'USDA Budget Summary'!F58</f>
        <v>342285.93000000005</v>
      </c>
    </row>
    <row r="147" spans="21:21">
      <c r="U147" s="558"/>
    </row>
  </sheetData>
  <mergeCells count="8">
    <mergeCell ref="S2:V2"/>
    <mergeCell ref="W2:W3"/>
    <mergeCell ref="A2:A3"/>
    <mergeCell ref="B2:B3"/>
    <mergeCell ref="C2:F2"/>
    <mergeCell ref="G2:J2"/>
    <mergeCell ref="K2:N2"/>
    <mergeCell ref="O2:R2"/>
  </mergeCells>
  <printOptions horizontalCentered="1"/>
  <pageMargins left="0.25" right="0.25" top="0.75" bottom="0.75" header="0.3" footer="0.3"/>
  <pageSetup scale="24" orientation="landscape" r:id="rId1"/>
  <headerFooter alignWithMargins="0"/>
  <rowBreaks count="1" manualBreakCount="1">
    <brk id="139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A8F4-D960-45AF-B176-1D1497DFE578}">
  <sheetPr>
    <tabColor theme="6" tint="0.39997558519241921"/>
    <pageSetUpPr fitToPage="1"/>
  </sheetPr>
  <dimension ref="A1:AJ104"/>
  <sheetViews>
    <sheetView showOutlineSymbols="0" showWhiteSpace="0" topLeftCell="A40" zoomScale="70" zoomScaleNormal="70" workbookViewId="0">
      <selection activeCell="A52" sqref="A52"/>
    </sheetView>
  </sheetViews>
  <sheetFormatPr defaultRowHeight="14.4" outlineLevelRow="1" outlineLevelCol="1"/>
  <cols>
    <col min="1" max="1" width="44.44140625" style="142" customWidth="1"/>
    <col min="2" max="2" width="16" style="142" bestFit="1" customWidth="1"/>
    <col min="3" max="3" width="12.71875" style="143" bestFit="1" customWidth="1" outlineLevel="1"/>
    <col min="4" max="4" width="11.71875" style="144" bestFit="1" customWidth="1" outlineLevel="1"/>
    <col min="5" max="5" width="12.5546875" style="145" bestFit="1" customWidth="1" outlineLevel="1"/>
    <col min="6" max="6" width="8.83203125" style="142" bestFit="1" customWidth="1"/>
    <col min="7" max="7" width="14.44140625" style="143" bestFit="1" customWidth="1" outlineLevel="1"/>
    <col min="8" max="8" width="11.71875" style="144" bestFit="1" customWidth="1" outlineLevel="1"/>
    <col min="9" max="9" width="12.5546875" style="146" bestFit="1" customWidth="1" outlineLevel="1"/>
    <col min="10" max="10" width="10.44140625" style="143" bestFit="1" customWidth="1"/>
    <col min="11" max="11" width="14.44140625" style="143" bestFit="1" customWidth="1" outlineLevel="1"/>
    <col min="12" max="12" width="11.71875" style="144" bestFit="1" customWidth="1" outlineLevel="1"/>
    <col min="13" max="13" width="12.5546875" style="145" bestFit="1" customWidth="1" outlineLevel="1"/>
    <col min="14" max="14" width="10.44140625" style="143" bestFit="1" customWidth="1"/>
    <col min="15" max="15" width="12.71875" style="143" bestFit="1" customWidth="1" outlineLevel="1"/>
    <col min="16" max="16" width="11.71875" style="144" bestFit="1" customWidth="1" outlineLevel="1"/>
    <col min="17" max="17" width="12.5546875" style="146" bestFit="1" customWidth="1" outlineLevel="1"/>
    <col min="18" max="18" width="10.44140625" style="143" bestFit="1" customWidth="1"/>
    <col min="19" max="19" width="12.71875" style="143" bestFit="1" customWidth="1" outlineLevel="1"/>
    <col min="20" max="20" width="11.71875" style="144" bestFit="1" customWidth="1" outlineLevel="1"/>
    <col min="21" max="21" width="12.5546875" style="146" bestFit="1" customWidth="1" outlineLevel="1"/>
    <col min="22" max="22" width="8.83203125" style="143" bestFit="1" customWidth="1"/>
    <col min="23" max="23" width="11.5546875" style="317" bestFit="1" customWidth="1"/>
    <col min="24" max="24" width="9" style="142" customWidth="1"/>
    <col min="25" max="25" width="8.71875" style="142" customWidth="1"/>
    <col min="26" max="26" width="10.83203125" style="142" customWidth="1"/>
    <col min="27" max="27" width="8.71875" style="142" customWidth="1"/>
    <col min="28" max="28" width="10.83203125" style="142" customWidth="1"/>
    <col min="29" max="29" width="4.83203125" style="142" customWidth="1"/>
    <col min="30" max="30" width="4.83203125" style="142" hidden="1" customWidth="1"/>
    <col min="31" max="31" width="7" style="147" hidden="1" customWidth="1"/>
    <col min="32" max="32" width="19.27734375" style="142" hidden="1" customWidth="1"/>
    <col min="33" max="33" width="34" style="142" hidden="1" customWidth="1"/>
    <col min="34" max="34" width="9.71875" style="142" hidden="1" customWidth="1"/>
    <col min="35" max="35" width="9.71875" style="142" customWidth="1"/>
    <col min="36" max="36" width="14.27734375" style="142" customWidth="1"/>
    <col min="37" max="264" width="8.83203125" style="142"/>
    <col min="265" max="265" width="38.27734375" style="142" customWidth="1"/>
    <col min="266" max="266" width="23.44140625" style="142" bestFit="1" customWidth="1"/>
    <col min="267" max="268" width="9.1640625" style="142" customWidth="1"/>
    <col min="269" max="269" width="11.27734375" style="142" bestFit="1" customWidth="1"/>
    <col min="270" max="270" width="14.44140625" style="142" bestFit="1" customWidth="1"/>
    <col min="271" max="271" width="8.1640625" style="142" customWidth="1"/>
    <col min="272" max="272" width="10.83203125" style="142" bestFit="1" customWidth="1"/>
    <col min="273" max="273" width="12.27734375" style="142" bestFit="1" customWidth="1"/>
    <col min="274" max="274" width="9.1640625" style="142" customWidth="1"/>
    <col min="275" max="275" width="10.83203125" style="142" bestFit="1" customWidth="1"/>
    <col min="276" max="276" width="12.27734375" style="142" bestFit="1" customWidth="1"/>
    <col min="277" max="277" width="8" style="142" customWidth="1"/>
    <col min="278" max="278" width="10.83203125" style="142" bestFit="1" customWidth="1"/>
    <col min="279" max="279" width="12.27734375" style="142" bestFit="1" customWidth="1"/>
    <col min="280" max="280" width="8.1640625" style="142" bestFit="1" customWidth="1"/>
    <col min="281" max="281" width="10.83203125" style="142" bestFit="1" customWidth="1"/>
    <col min="282" max="282" width="12.27734375" style="142" bestFit="1" customWidth="1"/>
    <col min="283" max="283" width="18.27734375" style="142" bestFit="1" customWidth="1"/>
    <col min="284" max="284" width="10.83203125" style="142" bestFit="1" customWidth="1"/>
    <col min="285" max="520" width="8.83203125" style="142"/>
    <col min="521" max="521" width="38.27734375" style="142" customWidth="1"/>
    <col min="522" max="522" width="23.44140625" style="142" bestFit="1" customWidth="1"/>
    <col min="523" max="524" width="9.1640625" style="142" customWidth="1"/>
    <col min="525" max="525" width="11.27734375" style="142" bestFit="1" customWidth="1"/>
    <col min="526" max="526" width="14.44140625" style="142" bestFit="1" customWidth="1"/>
    <col min="527" max="527" width="8.1640625" style="142" customWidth="1"/>
    <col min="528" max="528" width="10.83203125" style="142" bestFit="1" customWidth="1"/>
    <col min="529" max="529" width="12.27734375" style="142" bestFit="1" customWidth="1"/>
    <col min="530" max="530" width="9.1640625" style="142" customWidth="1"/>
    <col min="531" max="531" width="10.83203125" style="142" bestFit="1" customWidth="1"/>
    <col min="532" max="532" width="12.27734375" style="142" bestFit="1" customWidth="1"/>
    <col min="533" max="533" width="8" style="142" customWidth="1"/>
    <col min="534" max="534" width="10.83203125" style="142" bestFit="1" customWidth="1"/>
    <col min="535" max="535" width="12.27734375" style="142" bestFit="1" customWidth="1"/>
    <col min="536" max="536" width="8.1640625" style="142" bestFit="1" customWidth="1"/>
    <col min="537" max="537" width="10.83203125" style="142" bestFit="1" customWidth="1"/>
    <col min="538" max="538" width="12.27734375" style="142" bestFit="1" customWidth="1"/>
    <col min="539" max="539" width="18.27734375" style="142" bestFit="1" customWidth="1"/>
    <col min="540" max="540" width="10.83203125" style="142" bestFit="1" customWidth="1"/>
    <col min="541" max="776" width="8.83203125" style="142"/>
    <col min="777" max="777" width="38.27734375" style="142" customWidth="1"/>
    <col min="778" max="778" width="23.44140625" style="142" bestFit="1" customWidth="1"/>
    <col min="779" max="780" width="9.1640625" style="142" customWidth="1"/>
    <col min="781" max="781" width="11.27734375" style="142" bestFit="1" customWidth="1"/>
    <col min="782" max="782" width="14.44140625" style="142" bestFit="1" customWidth="1"/>
    <col min="783" max="783" width="8.1640625" style="142" customWidth="1"/>
    <col min="784" max="784" width="10.83203125" style="142" bestFit="1" customWidth="1"/>
    <col min="785" max="785" width="12.27734375" style="142" bestFit="1" customWidth="1"/>
    <col min="786" max="786" width="9.1640625" style="142" customWidth="1"/>
    <col min="787" max="787" width="10.83203125" style="142" bestFit="1" customWidth="1"/>
    <col min="788" max="788" width="12.27734375" style="142" bestFit="1" customWidth="1"/>
    <col min="789" max="789" width="8" style="142" customWidth="1"/>
    <col min="790" max="790" width="10.83203125" style="142" bestFit="1" customWidth="1"/>
    <col min="791" max="791" width="12.27734375" style="142" bestFit="1" customWidth="1"/>
    <col min="792" max="792" width="8.1640625" style="142" bestFit="1" customWidth="1"/>
    <col min="793" max="793" width="10.83203125" style="142" bestFit="1" customWidth="1"/>
    <col min="794" max="794" width="12.27734375" style="142" bestFit="1" customWidth="1"/>
    <col min="795" max="795" width="18.27734375" style="142" bestFit="1" customWidth="1"/>
    <col min="796" max="796" width="10.83203125" style="142" bestFit="1" customWidth="1"/>
    <col min="797" max="1032" width="8.83203125" style="142"/>
    <col min="1033" max="1033" width="38.27734375" style="142" customWidth="1"/>
    <col min="1034" max="1034" width="23.44140625" style="142" bestFit="1" customWidth="1"/>
    <col min="1035" max="1036" width="9.1640625" style="142" customWidth="1"/>
    <col min="1037" max="1037" width="11.27734375" style="142" bestFit="1" customWidth="1"/>
    <col min="1038" max="1038" width="14.44140625" style="142" bestFit="1" customWidth="1"/>
    <col min="1039" max="1039" width="8.1640625" style="142" customWidth="1"/>
    <col min="1040" max="1040" width="10.83203125" style="142" bestFit="1" customWidth="1"/>
    <col min="1041" max="1041" width="12.27734375" style="142" bestFit="1" customWidth="1"/>
    <col min="1042" max="1042" width="9.1640625" style="142" customWidth="1"/>
    <col min="1043" max="1043" width="10.83203125" style="142" bestFit="1" customWidth="1"/>
    <col min="1044" max="1044" width="12.27734375" style="142" bestFit="1" customWidth="1"/>
    <col min="1045" max="1045" width="8" style="142" customWidth="1"/>
    <col min="1046" max="1046" width="10.83203125" style="142" bestFit="1" customWidth="1"/>
    <col min="1047" max="1047" width="12.27734375" style="142" bestFit="1" customWidth="1"/>
    <col min="1048" max="1048" width="8.1640625" style="142" bestFit="1" customWidth="1"/>
    <col min="1049" max="1049" width="10.83203125" style="142" bestFit="1" customWidth="1"/>
    <col min="1050" max="1050" width="12.27734375" style="142" bestFit="1" customWidth="1"/>
    <col min="1051" max="1051" width="18.27734375" style="142" bestFit="1" customWidth="1"/>
    <col min="1052" max="1052" width="10.83203125" style="142" bestFit="1" customWidth="1"/>
    <col min="1053" max="1288" width="8.83203125" style="142"/>
    <col min="1289" max="1289" width="38.27734375" style="142" customWidth="1"/>
    <col min="1290" max="1290" width="23.44140625" style="142" bestFit="1" customWidth="1"/>
    <col min="1291" max="1292" width="9.1640625" style="142" customWidth="1"/>
    <col min="1293" max="1293" width="11.27734375" style="142" bestFit="1" customWidth="1"/>
    <col min="1294" max="1294" width="14.44140625" style="142" bestFit="1" customWidth="1"/>
    <col min="1295" max="1295" width="8.1640625" style="142" customWidth="1"/>
    <col min="1296" max="1296" width="10.83203125" style="142" bestFit="1" customWidth="1"/>
    <col min="1297" max="1297" width="12.27734375" style="142" bestFit="1" customWidth="1"/>
    <col min="1298" max="1298" width="9.1640625" style="142" customWidth="1"/>
    <col min="1299" max="1299" width="10.83203125" style="142" bestFit="1" customWidth="1"/>
    <col min="1300" max="1300" width="12.27734375" style="142" bestFit="1" customWidth="1"/>
    <col min="1301" max="1301" width="8" style="142" customWidth="1"/>
    <col min="1302" max="1302" width="10.83203125" style="142" bestFit="1" customWidth="1"/>
    <col min="1303" max="1303" width="12.27734375" style="142" bestFit="1" customWidth="1"/>
    <col min="1304" max="1304" width="8.1640625" style="142" bestFit="1" customWidth="1"/>
    <col min="1305" max="1305" width="10.83203125" style="142" bestFit="1" customWidth="1"/>
    <col min="1306" max="1306" width="12.27734375" style="142" bestFit="1" customWidth="1"/>
    <col min="1307" max="1307" width="18.27734375" style="142" bestFit="1" customWidth="1"/>
    <col min="1308" max="1308" width="10.83203125" style="142" bestFit="1" customWidth="1"/>
    <col min="1309" max="1544" width="8.83203125" style="142"/>
    <col min="1545" max="1545" width="38.27734375" style="142" customWidth="1"/>
    <col min="1546" max="1546" width="23.44140625" style="142" bestFit="1" customWidth="1"/>
    <col min="1547" max="1548" width="9.1640625" style="142" customWidth="1"/>
    <col min="1549" max="1549" width="11.27734375" style="142" bestFit="1" customWidth="1"/>
    <col min="1550" max="1550" width="14.44140625" style="142" bestFit="1" customWidth="1"/>
    <col min="1551" max="1551" width="8.1640625" style="142" customWidth="1"/>
    <col min="1552" max="1552" width="10.83203125" style="142" bestFit="1" customWidth="1"/>
    <col min="1553" max="1553" width="12.27734375" style="142" bestFit="1" customWidth="1"/>
    <col min="1554" max="1554" width="9.1640625" style="142" customWidth="1"/>
    <col min="1555" max="1555" width="10.83203125" style="142" bestFit="1" customWidth="1"/>
    <col min="1556" max="1556" width="12.27734375" style="142" bestFit="1" customWidth="1"/>
    <col min="1557" max="1557" width="8" style="142" customWidth="1"/>
    <col min="1558" max="1558" width="10.83203125" style="142" bestFit="1" customWidth="1"/>
    <col min="1559" max="1559" width="12.27734375" style="142" bestFit="1" customWidth="1"/>
    <col min="1560" max="1560" width="8.1640625" style="142" bestFit="1" customWidth="1"/>
    <col min="1561" max="1561" width="10.83203125" style="142" bestFit="1" customWidth="1"/>
    <col min="1562" max="1562" width="12.27734375" style="142" bestFit="1" customWidth="1"/>
    <col min="1563" max="1563" width="18.27734375" style="142" bestFit="1" customWidth="1"/>
    <col min="1564" max="1564" width="10.83203125" style="142" bestFit="1" customWidth="1"/>
    <col min="1565" max="1800" width="8.83203125" style="142"/>
    <col min="1801" max="1801" width="38.27734375" style="142" customWidth="1"/>
    <col min="1802" max="1802" width="23.44140625" style="142" bestFit="1" customWidth="1"/>
    <col min="1803" max="1804" width="9.1640625" style="142" customWidth="1"/>
    <col min="1805" max="1805" width="11.27734375" style="142" bestFit="1" customWidth="1"/>
    <col min="1806" max="1806" width="14.44140625" style="142" bestFit="1" customWidth="1"/>
    <col min="1807" max="1807" width="8.1640625" style="142" customWidth="1"/>
    <col min="1808" max="1808" width="10.83203125" style="142" bestFit="1" customWidth="1"/>
    <col min="1809" max="1809" width="12.27734375" style="142" bestFit="1" customWidth="1"/>
    <col min="1810" max="1810" width="9.1640625" style="142" customWidth="1"/>
    <col min="1811" max="1811" width="10.83203125" style="142" bestFit="1" customWidth="1"/>
    <col min="1812" max="1812" width="12.27734375" style="142" bestFit="1" customWidth="1"/>
    <col min="1813" max="1813" width="8" style="142" customWidth="1"/>
    <col min="1814" max="1814" width="10.83203125" style="142" bestFit="1" customWidth="1"/>
    <col min="1815" max="1815" width="12.27734375" style="142" bestFit="1" customWidth="1"/>
    <col min="1816" max="1816" width="8.1640625" style="142" bestFit="1" customWidth="1"/>
    <col min="1817" max="1817" width="10.83203125" style="142" bestFit="1" customWidth="1"/>
    <col min="1818" max="1818" width="12.27734375" style="142" bestFit="1" customWidth="1"/>
    <col min="1819" max="1819" width="18.27734375" style="142" bestFit="1" customWidth="1"/>
    <col min="1820" max="1820" width="10.83203125" style="142" bestFit="1" customWidth="1"/>
    <col min="1821" max="2056" width="8.83203125" style="142"/>
    <col min="2057" max="2057" width="38.27734375" style="142" customWidth="1"/>
    <col min="2058" max="2058" width="23.44140625" style="142" bestFit="1" customWidth="1"/>
    <col min="2059" max="2060" width="9.1640625" style="142" customWidth="1"/>
    <col min="2061" max="2061" width="11.27734375" style="142" bestFit="1" customWidth="1"/>
    <col min="2062" max="2062" width="14.44140625" style="142" bestFit="1" customWidth="1"/>
    <col min="2063" max="2063" width="8.1640625" style="142" customWidth="1"/>
    <col min="2064" max="2064" width="10.83203125" style="142" bestFit="1" customWidth="1"/>
    <col min="2065" max="2065" width="12.27734375" style="142" bestFit="1" customWidth="1"/>
    <col min="2066" max="2066" width="9.1640625" style="142" customWidth="1"/>
    <col min="2067" max="2067" width="10.83203125" style="142" bestFit="1" customWidth="1"/>
    <col min="2068" max="2068" width="12.27734375" style="142" bestFit="1" customWidth="1"/>
    <col min="2069" max="2069" width="8" style="142" customWidth="1"/>
    <col min="2070" max="2070" width="10.83203125" style="142" bestFit="1" customWidth="1"/>
    <col min="2071" max="2071" width="12.27734375" style="142" bestFit="1" customWidth="1"/>
    <col min="2072" max="2072" width="8.1640625" style="142" bestFit="1" customWidth="1"/>
    <col min="2073" max="2073" width="10.83203125" style="142" bestFit="1" customWidth="1"/>
    <col min="2074" max="2074" width="12.27734375" style="142" bestFit="1" customWidth="1"/>
    <col min="2075" max="2075" width="18.27734375" style="142" bestFit="1" customWidth="1"/>
    <col min="2076" max="2076" width="10.83203125" style="142" bestFit="1" customWidth="1"/>
    <col min="2077" max="2312" width="8.83203125" style="142"/>
    <col min="2313" max="2313" width="38.27734375" style="142" customWidth="1"/>
    <col min="2314" max="2314" width="23.44140625" style="142" bestFit="1" customWidth="1"/>
    <col min="2315" max="2316" width="9.1640625" style="142" customWidth="1"/>
    <col min="2317" max="2317" width="11.27734375" style="142" bestFit="1" customWidth="1"/>
    <col min="2318" max="2318" width="14.44140625" style="142" bestFit="1" customWidth="1"/>
    <col min="2319" max="2319" width="8.1640625" style="142" customWidth="1"/>
    <col min="2320" max="2320" width="10.83203125" style="142" bestFit="1" customWidth="1"/>
    <col min="2321" max="2321" width="12.27734375" style="142" bestFit="1" customWidth="1"/>
    <col min="2322" max="2322" width="9.1640625" style="142" customWidth="1"/>
    <col min="2323" max="2323" width="10.83203125" style="142" bestFit="1" customWidth="1"/>
    <col min="2324" max="2324" width="12.27734375" style="142" bestFit="1" customWidth="1"/>
    <col min="2325" max="2325" width="8" style="142" customWidth="1"/>
    <col min="2326" max="2326" width="10.83203125" style="142" bestFit="1" customWidth="1"/>
    <col min="2327" max="2327" width="12.27734375" style="142" bestFit="1" customWidth="1"/>
    <col min="2328" max="2328" width="8.1640625" style="142" bestFit="1" customWidth="1"/>
    <col min="2329" max="2329" width="10.83203125" style="142" bestFit="1" customWidth="1"/>
    <col min="2330" max="2330" width="12.27734375" style="142" bestFit="1" customWidth="1"/>
    <col min="2331" max="2331" width="18.27734375" style="142" bestFit="1" customWidth="1"/>
    <col min="2332" max="2332" width="10.83203125" style="142" bestFit="1" customWidth="1"/>
    <col min="2333" max="2568" width="8.83203125" style="142"/>
    <col min="2569" max="2569" width="38.27734375" style="142" customWidth="1"/>
    <col min="2570" max="2570" width="23.44140625" style="142" bestFit="1" customWidth="1"/>
    <col min="2571" max="2572" width="9.1640625" style="142" customWidth="1"/>
    <col min="2573" max="2573" width="11.27734375" style="142" bestFit="1" customWidth="1"/>
    <col min="2574" max="2574" width="14.44140625" style="142" bestFit="1" customWidth="1"/>
    <col min="2575" max="2575" width="8.1640625" style="142" customWidth="1"/>
    <col min="2576" max="2576" width="10.83203125" style="142" bestFit="1" customWidth="1"/>
    <col min="2577" max="2577" width="12.27734375" style="142" bestFit="1" customWidth="1"/>
    <col min="2578" max="2578" width="9.1640625" style="142" customWidth="1"/>
    <col min="2579" max="2579" width="10.83203125" style="142" bestFit="1" customWidth="1"/>
    <col min="2580" max="2580" width="12.27734375" style="142" bestFit="1" customWidth="1"/>
    <col min="2581" max="2581" width="8" style="142" customWidth="1"/>
    <col min="2582" max="2582" width="10.83203125" style="142" bestFit="1" customWidth="1"/>
    <col min="2583" max="2583" width="12.27734375" style="142" bestFit="1" customWidth="1"/>
    <col min="2584" max="2584" width="8.1640625" style="142" bestFit="1" customWidth="1"/>
    <col min="2585" max="2585" width="10.83203125" style="142" bestFit="1" customWidth="1"/>
    <col min="2586" max="2586" width="12.27734375" style="142" bestFit="1" customWidth="1"/>
    <col min="2587" max="2587" width="18.27734375" style="142" bestFit="1" customWidth="1"/>
    <col min="2588" max="2588" width="10.83203125" style="142" bestFit="1" customWidth="1"/>
    <col min="2589" max="2824" width="8.83203125" style="142"/>
    <col min="2825" max="2825" width="38.27734375" style="142" customWidth="1"/>
    <col min="2826" max="2826" width="23.44140625" style="142" bestFit="1" customWidth="1"/>
    <col min="2827" max="2828" width="9.1640625" style="142" customWidth="1"/>
    <col min="2829" max="2829" width="11.27734375" style="142" bestFit="1" customWidth="1"/>
    <col min="2830" max="2830" width="14.44140625" style="142" bestFit="1" customWidth="1"/>
    <col min="2831" max="2831" width="8.1640625" style="142" customWidth="1"/>
    <col min="2832" max="2832" width="10.83203125" style="142" bestFit="1" customWidth="1"/>
    <col min="2833" max="2833" width="12.27734375" style="142" bestFit="1" customWidth="1"/>
    <col min="2834" max="2834" width="9.1640625" style="142" customWidth="1"/>
    <col min="2835" max="2835" width="10.83203125" style="142" bestFit="1" customWidth="1"/>
    <col min="2836" max="2836" width="12.27734375" style="142" bestFit="1" customWidth="1"/>
    <col min="2837" max="2837" width="8" style="142" customWidth="1"/>
    <col min="2838" max="2838" width="10.83203125" style="142" bestFit="1" customWidth="1"/>
    <col min="2839" max="2839" width="12.27734375" style="142" bestFit="1" customWidth="1"/>
    <col min="2840" max="2840" width="8.1640625" style="142" bestFit="1" customWidth="1"/>
    <col min="2841" max="2841" width="10.83203125" style="142" bestFit="1" customWidth="1"/>
    <col min="2842" max="2842" width="12.27734375" style="142" bestFit="1" customWidth="1"/>
    <col min="2843" max="2843" width="18.27734375" style="142" bestFit="1" customWidth="1"/>
    <col min="2844" max="2844" width="10.83203125" style="142" bestFit="1" customWidth="1"/>
    <col min="2845" max="3080" width="8.83203125" style="142"/>
    <col min="3081" max="3081" width="38.27734375" style="142" customWidth="1"/>
    <col min="3082" max="3082" width="23.44140625" style="142" bestFit="1" customWidth="1"/>
    <col min="3083" max="3084" width="9.1640625" style="142" customWidth="1"/>
    <col min="3085" max="3085" width="11.27734375" style="142" bestFit="1" customWidth="1"/>
    <col min="3086" max="3086" width="14.44140625" style="142" bestFit="1" customWidth="1"/>
    <col min="3087" max="3087" width="8.1640625" style="142" customWidth="1"/>
    <col min="3088" max="3088" width="10.83203125" style="142" bestFit="1" customWidth="1"/>
    <col min="3089" max="3089" width="12.27734375" style="142" bestFit="1" customWidth="1"/>
    <col min="3090" max="3090" width="9.1640625" style="142" customWidth="1"/>
    <col min="3091" max="3091" width="10.83203125" style="142" bestFit="1" customWidth="1"/>
    <col min="3092" max="3092" width="12.27734375" style="142" bestFit="1" customWidth="1"/>
    <col min="3093" max="3093" width="8" style="142" customWidth="1"/>
    <col min="3094" max="3094" width="10.83203125" style="142" bestFit="1" customWidth="1"/>
    <col min="3095" max="3095" width="12.27734375" style="142" bestFit="1" customWidth="1"/>
    <col min="3096" max="3096" width="8.1640625" style="142" bestFit="1" customWidth="1"/>
    <col min="3097" max="3097" width="10.83203125" style="142" bestFit="1" customWidth="1"/>
    <col min="3098" max="3098" width="12.27734375" style="142" bestFit="1" customWidth="1"/>
    <col min="3099" max="3099" width="18.27734375" style="142" bestFit="1" customWidth="1"/>
    <col min="3100" max="3100" width="10.83203125" style="142" bestFit="1" customWidth="1"/>
    <col min="3101" max="3336" width="8.83203125" style="142"/>
    <col min="3337" max="3337" width="38.27734375" style="142" customWidth="1"/>
    <col min="3338" max="3338" width="23.44140625" style="142" bestFit="1" customWidth="1"/>
    <col min="3339" max="3340" width="9.1640625" style="142" customWidth="1"/>
    <col min="3341" max="3341" width="11.27734375" style="142" bestFit="1" customWidth="1"/>
    <col min="3342" max="3342" width="14.44140625" style="142" bestFit="1" customWidth="1"/>
    <col min="3343" max="3343" width="8.1640625" style="142" customWidth="1"/>
    <col min="3344" max="3344" width="10.83203125" style="142" bestFit="1" customWidth="1"/>
    <col min="3345" max="3345" width="12.27734375" style="142" bestFit="1" customWidth="1"/>
    <col min="3346" max="3346" width="9.1640625" style="142" customWidth="1"/>
    <col min="3347" max="3347" width="10.83203125" style="142" bestFit="1" customWidth="1"/>
    <col min="3348" max="3348" width="12.27734375" style="142" bestFit="1" customWidth="1"/>
    <col min="3349" max="3349" width="8" style="142" customWidth="1"/>
    <col min="3350" max="3350" width="10.83203125" style="142" bestFit="1" customWidth="1"/>
    <col min="3351" max="3351" width="12.27734375" style="142" bestFit="1" customWidth="1"/>
    <col min="3352" max="3352" width="8.1640625" style="142" bestFit="1" customWidth="1"/>
    <col min="3353" max="3353" width="10.83203125" style="142" bestFit="1" customWidth="1"/>
    <col min="3354" max="3354" width="12.27734375" style="142" bestFit="1" customWidth="1"/>
    <col min="3355" max="3355" width="18.27734375" style="142" bestFit="1" customWidth="1"/>
    <col min="3356" max="3356" width="10.83203125" style="142" bestFit="1" customWidth="1"/>
    <col min="3357" max="3592" width="8.83203125" style="142"/>
    <col min="3593" max="3593" width="38.27734375" style="142" customWidth="1"/>
    <col min="3594" max="3594" width="23.44140625" style="142" bestFit="1" customWidth="1"/>
    <col min="3595" max="3596" width="9.1640625" style="142" customWidth="1"/>
    <col min="3597" max="3597" width="11.27734375" style="142" bestFit="1" customWidth="1"/>
    <col min="3598" max="3598" width="14.44140625" style="142" bestFit="1" customWidth="1"/>
    <col min="3599" max="3599" width="8.1640625" style="142" customWidth="1"/>
    <col min="3600" max="3600" width="10.83203125" style="142" bestFit="1" customWidth="1"/>
    <col min="3601" max="3601" width="12.27734375" style="142" bestFit="1" customWidth="1"/>
    <col min="3602" max="3602" width="9.1640625" style="142" customWidth="1"/>
    <col min="3603" max="3603" width="10.83203125" style="142" bestFit="1" customWidth="1"/>
    <col min="3604" max="3604" width="12.27734375" style="142" bestFit="1" customWidth="1"/>
    <col min="3605" max="3605" width="8" style="142" customWidth="1"/>
    <col min="3606" max="3606" width="10.83203125" style="142" bestFit="1" customWidth="1"/>
    <col min="3607" max="3607" width="12.27734375" style="142" bestFit="1" customWidth="1"/>
    <col min="3608" max="3608" width="8.1640625" style="142" bestFit="1" customWidth="1"/>
    <col min="3609" max="3609" width="10.83203125" style="142" bestFit="1" customWidth="1"/>
    <col min="3610" max="3610" width="12.27734375" style="142" bestFit="1" customWidth="1"/>
    <col min="3611" max="3611" width="18.27734375" style="142" bestFit="1" customWidth="1"/>
    <col min="3612" max="3612" width="10.83203125" style="142" bestFit="1" customWidth="1"/>
    <col min="3613" max="3848" width="8.83203125" style="142"/>
    <col min="3849" max="3849" width="38.27734375" style="142" customWidth="1"/>
    <col min="3850" max="3850" width="23.44140625" style="142" bestFit="1" customWidth="1"/>
    <col min="3851" max="3852" width="9.1640625" style="142" customWidth="1"/>
    <col min="3853" max="3853" width="11.27734375" style="142" bestFit="1" customWidth="1"/>
    <col min="3854" max="3854" width="14.44140625" style="142" bestFit="1" customWidth="1"/>
    <col min="3855" max="3855" width="8.1640625" style="142" customWidth="1"/>
    <col min="3856" max="3856" width="10.83203125" style="142" bestFit="1" customWidth="1"/>
    <col min="3857" max="3857" width="12.27734375" style="142" bestFit="1" customWidth="1"/>
    <col min="3858" max="3858" width="9.1640625" style="142" customWidth="1"/>
    <col min="3859" max="3859" width="10.83203125" style="142" bestFit="1" customWidth="1"/>
    <col min="3860" max="3860" width="12.27734375" style="142" bestFit="1" customWidth="1"/>
    <col min="3861" max="3861" width="8" style="142" customWidth="1"/>
    <col min="3862" max="3862" width="10.83203125" style="142" bestFit="1" customWidth="1"/>
    <col min="3863" max="3863" width="12.27734375" style="142" bestFit="1" customWidth="1"/>
    <col min="3864" max="3864" width="8.1640625" style="142" bestFit="1" customWidth="1"/>
    <col min="3865" max="3865" width="10.83203125" style="142" bestFit="1" customWidth="1"/>
    <col min="3866" max="3866" width="12.27734375" style="142" bestFit="1" customWidth="1"/>
    <col min="3867" max="3867" width="18.27734375" style="142" bestFit="1" customWidth="1"/>
    <col min="3868" max="3868" width="10.83203125" style="142" bestFit="1" customWidth="1"/>
    <col min="3869" max="4104" width="8.83203125" style="142"/>
    <col min="4105" max="4105" width="38.27734375" style="142" customWidth="1"/>
    <col min="4106" max="4106" width="23.44140625" style="142" bestFit="1" customWidth="1"/>
    <col min="4107" max="4108" width="9.1640625" style="142" customWidth="1"/>
    <col min="4109" max="4109" width="11.27734375" style="142" bestFit="1" customWidth="1"/>
    <col min="4110" max="4110" width="14.44140625" style="142" bestFit="1" customWidth="1"/>
    <col min="4111" max="4111" width="8.1640625" style="142" customWidth="1"/>
    <col min="4112" max="4112" width="10.83203125" style="142" bestFit="1" customWidth="1"/>
    <col min="4113" max="4113" width="12.27734375" style="142" bestFit="1" customWidth="1"/>
    <col min="4114" max="4114" width="9.1640625" style="142" customWidth="1"/>
    <col min="4115" max="4115" width="10.83203125" style="142" bestFit="1" customWidth="1"/>
    <col min="4116" max="4116" width="12.27734375" style="142" bestFit="1" customWidth="1"/>
    <col min="4117" max="4117" width="8" style="142" customWidth="1"/>
    <col min="4118" max="4118" width="10.83203125" style="142" bestFit="1" customWidth="1"/>
    <col min="4119" max="4119" width="12.27734375" style="142" bestFit="1" customWidth="1"/>
    <col min="4120" max="4120" width="8.1640625" style="142" bestFit="1" customWidth="1"/>
    <col min="4121" max="4121" width="10.83203125" style="142" bestFit="1" customWidth="1"/>
    <col min="4122" max="4122" width="12.27734375" style="142" bestFit="1" customWidth="1"/>
    <col min="4123" max="4123" width="18.27734375" style="142" bestFit="1" customWidth="1"/>
    <col min="4124" max="4124" width="10.83203125" style="142" bestFit="1" customWidth="1"/>
    <col min="4125" max="4360" width="8.83203125" style="142"/>
    <col min="4361" max="4361" width="38.27734375" style="142" customWidth="1"/>
    <col min="4362" max="4362" width="23.44140625" style="142" bestFit="1" customWidth="1"/>
    <col min="4363" max="4364" width="9.1640625" style="142" customWidth="1"/>
    <col min="4365" max="4365" width="11.27734375" style="142" bestFit="1" customWidth="1"/>
    <col min="4366" max="4366" width="14.44140625" style="142" bestFit="1" customWidth="1"/>
    <col min="4367" max="4367" width="8.1640625" style="142" customWidth="1"/>
    <col min="4368" max="4368" width="10.83203125" style="142" bestFit="1" customWidth="1"/>
    <col min="4369" max="4369" width="12.27734375" style="142" bestFit="1" customWidth="1"/>
    <col min="4370" max="4370" width="9.1640625" style="142" customWidth="1"/>
    <col min="4371" max="4371" width="10.83203125" style="142" bestFit="1" customWidth="1"/>
    <col min="4372" max="4372" width="12.27734375" style="142" bestFit="1" customWidth="1"/>
    <col min="4373" max="4373" width="8" style="142" customWidth="1"/>
    <col min="4374" max="4374" width="10.83203125" style="142" bestFit="1" customWidth="1"/>
    <col min="4375" max="4375" width="12.27734375" style="142" bestFit="1" customWidth="1"/>
    <col min="4376" max="4376" width="8.1640625" style="142" bestFit="1" customWidth="1"/>
    <col min="4377" max="4377" width="10.83203125" style="142" bestFit="1" customWidth="1"/>
    <col min="4378" max="4378" width="12.27734375" style="142" bestFit="1" customWidth="1"/>
    <col min="4379" max="4379" width="18.27734375" style="142" bestFit="1" customWidth="1"/>
    <col min="4380" max="4380" width="10.83203125" style="142" bestFit="1" customWidth="1"/>
    <col min="4381" max="4616" width="8.83203125" style="142"/>
    <col min="4617" max="4617" width="38.27734375" style="142" customWidth="1"/>
    <col min="4618" max="4618" width="23.44140625" style="142" bestFit="1" customWidth="1"/>
    <col min="4619" max="4620" width="9.1640625" style="142" customWidth="1"/>
    <col min="4621" max="4621" width="11.27734375" style="142" bestFit="1" customWidth="1"/>
    <col min="4622" max="4622" width="14.44140625" style="142" bestFit="1" customWidth="1"/>
    <col min="4623" max="4623" width="8.1640625" style="142" customWidth="1"/>
    <col min="4624" max="4624" width="10.83203125" style="142" bestFit="1" customWidth="1"/>
    <col min="4625" max="4625" width="12.27734375" style="142" bestFit="1" customWidth="1"/>
    <col min="4626" max="4626" width="9.1640625" style="142" customWidth="1"/>
    <col min="4627" max="4627" width="10.83203125" style="142" bestFit="1" customWidth="1"/>
    <col min="4628" max="4628" width="12.27734375" style="142" bestFit="1" customWidth="1"/>
    <col min="4629" max="4629" width="8" style="142" customWidth="1"/>
    <col min="4630" max="4630" width="10.83203125" style="142" bestFit="1" customWidth="1"/>
    <col min="4631" max="4631" width="12.27734375" style="142" bestFit="1" customWidth="1"/>
    <col min="4632" max="4632" width="8.1640625" style="142" bestFit="1" customWidth="1"/>
    <col min="4633" max="4633" width="10.83203125" style="142" bestFit="1" customWidth="1"/>
    <col min="4634" max="4634" width="12.27734375" style="142" bestFit="1" customWidth="1"/>
    <col min="4635" max="4635" width="18.27734375" style="142" bestFit="1" customWidth="1"/>
    <col min="4636" max="4636" width="10.83203125" style="142" bestFit="1" customWidth="1"/>
    <col min="4637" max="4872" width="8.83203125" style="142"/>
    <col min="4873" max="4873" width="38.27734375" style="142" customWidth="1"/>
    <col min="4874" max="4874" width="23.44140625" style="142" bestFit="1" customWidth="1"/>
    <col min="4875" max="4876" width="9.1640625" style="142" customWidth="1"/>
    <col min="4877" max="4877" width="11.27734375" style="142" bestFit="1" customWidth="1"/>
    <col min="4878" max="4878" width="14.44140625" style="142" bestFit="1" customWidth="1"/>
    <col min="4879" max="4879" width="8.1640625" style="142" customWidth="1"/>
    <col min="4880" max="4880" width="10.83203125" style="142" bestFit="1" customWidth="1"/>
    <col min="4881" max="4881" width="12.27734375" style="142" bestFit="1" customWidth="1"/>
    <col min="4882" max="4882" width="9.1640625" style="142" customWidth="1"/>
    <col min="4883" max="4883" width="10.83203125" style="142" bestFit="1" customWidth="1"/>
    <col min="4884" max="4884" width="12.27734375" style="142" bestFit="1" customWidth="1"/>
    <col min="4885" max="4885" width="8" style="142" customWidth="1"/>
    <col min="4886" max="4886" width="10.83203125" style="142" bestFit="1" customWidth="1"/>
    <col min="4887" max="4887" width="12.27734375" style="142" bestFit="1" customWidth="1"/>
    <col min="4888" max="4888" width="8.1640625" style="142" bestFit="1" customWidth="1"/>
    <col min="4889" max="4889" width="10.83203125" style="142" bestFit="1" customWidth="1"/>
    <col min="4890" max="4890" width="12.27734375" style="142" bestFit="1" customWidth="1"/>
    <col min="4891" max="4891" width="18.27734375" style="142" bestFit="1" customWidth="1"/>
    <col min="4892" max="4892" width="10.83203125" style="142" bestFit="1" customWidth="1"/>
    <col min="4893" max="5128" width="8.83203125" style="142"/>
    <col min="5129" max="5129" width="38.27734375" style="142" customWidth="1"/>
    <col min="5130" max="5130" width="23.44140625" style="142" bestFit="1" customWidth="1"/>
    <col min="5131" max="5132" width="9.1640625" style="142" customWidth="1"/>
    <col min="5133" max="5133" width="11.27734375" style="142" bestFit="1" customWidth="1"/>
    <col min="5134" max="5134" width="14.44140625" style="142" bestFit="1" customWidth="1"/>
    <col min="5135" max="5135" width="8.1640625" style="142" customWidth="1"/>
    <col min="5136" max="5136" width="10.83203125" style="142" bestFit="1" customWidth="1"/>
    <col min="5137" max="5137" width="12.27734375" style="142" bestFit="1" customWidth="1"/>
    <col min="5138" max="5138" width="9.1640625" style="142" customWidth="1"/>
    <col min="5139" max="5139" width="10.83203125" style="142" bestFit="1" customWidth="1"/>
    <col min="5140" max="5140" width="12.27734375" style="142" bestFit="1" customWidth="1"/>
    <col min="5141" max="5141" width="8" style="142" customWidth="1"/>
    <col min="5142" max="5142" width="10.83203125" style="142" bestFit="1" customWidth="1"/>
    <col min="5143" max="5143" width="12.27734375" style="142" bestFit="1" customWidth="1"/>
    <col min="5144" max="5144" width="8.1640625" style="142" bestFit="1" customWidth="1"/>
    <col min="5145" max="5145" width="10.83203125" style="142" bestFit="1" customWidth="1"/>
    <col min="5146" max="5146" width="12.27734375" style="142" bestFit="1" customWidth="1"/>
    <col min="5147" max="5147" width="18.27734375" style="142" bestFit="1" customWidth="1"/>
    <col min="5148" max="5148" width="10.83203125" style="142" bestFit="1" customWidth="1"/>
    <col min="5149" max="5384" width="8.83203125" style="142"/>
    <col min="5385" max="5385" width="38.27734375" style="142" customWidth="1"/>
    <col min="5386" max="5386" width="23.44140625" style="142" bestFit="1" customWidth="1"/>
    <col min="5387" max="5388" width="9.1640625" style="142" customWidth="1"/>
    <col min="5389" max="5389" width="11.27734375" style="142" bestFit="1" customWidth="1"/>
    <col min="5390" max="5390" width="14.44140625" style="142" bestFit="1" customWidth="1"/>
    <col min="5391" max="5391" width="8.1640625" style="142" customWidth="1"/>
    <col min="5392" max="5392" width="10.83203125" style="142" bestFit="1" customWidth="1"/>
    <col min="5393" max="5393" width="12.27734375" style="142" bestFit="1" customWidth="1"/>
    <col min="5394" max="5394" width="9.1640625" style="142" customWidth="1"/>
    <col min="5395" max="5395" width="10.83203125" style="142" bestFit="1" customWidth="1"/>
    <col min="5396" max="5396" width="12.27734375" style="142" bestFit="1" customWidth="1"/>
    <col min="5397" max="5397" width="8" style="142" customWidth="1"/>
    <col min="5398" max="5398" width="10.83203125" style="142" bestFit="1" customWidth="1"/>
    <col min="5399" max="5399" width="12.27734375" style="142" bestFit="1" customWidth="1"/>
    <col min="5400" max="5400" width="8.1640625" style="142" bestFit="1" customWidth="1"/>
    <col min="5401" max="5401" width="10.83203125" style="142" bestFit="1" customWidth="1"/>
    <col min="5402" max="5402" width="12.27734375" style="142" bestFit="1" customWidth="1"/>
    <col min="5403" max="5403" width="18.27734375" style="142" bestFit="1" customWidth="1"/>
    <col min="5404" max="5404" width="10.83203125" style="142" bestFit="1" customWidth="1"/>
    <col min="5405" max="5640" width="8.83203125" style="142"/>
    <col min="5641" max="5641" width="38.27734375" style="142" customWidth="1"/>
    <col min="5642" max="5642" width="23.44140625" style="142" bestFit="1" customWidth="1"/>
    <col min="5643" max="5644" width="9.1640625" style="142" customWidth="1"/>
    <col min="5645" max="5645" width="11.27734375" style="142" bestFit="1" customWidth="1"/>
    <col min="5646" max="5646" width="14.44140625" style="142" bestFit="1" customWidth="1"/>
    <col min="5647" max="5647" width="8.1640625" style="142" customWidth="1"/>
    <col min="5648" max="5648" width="10.83203125" style="142" bestFit="1" customWidth="1"/>
    <col min="5649" max="5649" width="12.27734375" style="142" bestFit="1" customWidth="1"/>
    <col min="5650" max="5650" width="9.1640625" style="142" customWidth="1"/>
    <col min="5651" max="5651" width="10.83203125" style="142" bestFit="1" customWidth="1"/>
    <col min="5652" max="5652" width="12.27734375" style="142" bestFit="1" customWidth="1"/>
    <col min="5653" max="5653" width="8" style="142" customWidth="1"/>
    <col min="5654" max="5654" width="10.83203125" style="142" bestFit="1" customWidth="1"/>
    <col min="5655" max="5655" width="12.27734375" style="142" bestFit="1" customWidth="1"/>
    <col min="5656" max="5656" width="8.1640625" style="142" bestFit="1" customWidth="1"/>
    <col min="5657" max="5657" width="10.83203125" style="142" bestFit="1" customWidth="1"/>
    <col min="5658" max="5658" width="12.27734375" style="142" bestFit="1" customWidth="1"/>
    <col min="5659" max="5659" width="18.27734375" style="142" bestFit="1" customWidth="1"/>
    <col min="5660" max="5660" width="10.83203125" style="142" bestFit="1" customWidth="1"/>
    <col min="5661" max="5896" width="8.83203125" style="142"/>
    <col min="5897" max="5897" width="38.27734375" style="142" customWidth="1"/>
    <col min="5898" max="5898" width="23.44140625" style="142" bestFit="1" customWidth="1"/>
    <col min="5899" max="5900" width="9.1640625" style="142" customWidth="1"/>
    <col min="5901" max="5901" width="11.27734375" style="142" bestFit="1" customWidth="1"/>
    <col min="5902" max="5902" width="14.44140625" style="142" bestFit="1" customWidth="1"/>
    <col min="5903" max="5903" width="8.1640625" style="142" customWidth="1"/>
    <col min="5904" max="5904" width="10.83203125" style="142" bestFit="1" customWidth="1"/>
    <col min="5905" max="5905" width="12.27734375" style="142" bestFit="1" customWidth="1"/>
    <col min="5906" max="5906" width="9.1640625" style="142" customWidth="1"/>
    <col min="5907" max="5907" width="10.83203125" style="142" bestFit="1" customWidth="1"/>
    <col min="5908" max="5908" width="12.27734375" style="142" bestFit="1" customWidth="1"/>
    <col min="5909" max="5909" width="8" style="142" customWidth="1"/>
    <col min="5910" max="5910" width="10.83203125" style="142" bestFit="1" customWidth="1"/>
    <col min="5911" max="5911" width="12.27734375" style="142" bestFit="1" customWidth="1"/>
    <col min="5912" max="5912" width="8.1640625" style="142" bestFit="1" customWidth="1"/>
    <col min="5913" max="5913" width="10.83203125" style="142" bestFit="1" customWidth="1"/>
    <col min="5914" max="5914" width="12.27734375" style="142" bestFit="1" customWidth="1"/>
    <col min="5915" max="5915" width="18.27734375" style="142" bestFit="1" customWidth="1"/>
    <col min="5916" max="5916" width="10.83203125" style="142" bestFit="1" customWidth="1"/>
    <col min="5917" max="6152" width="8.83203125" style="142"/>
    <col min="6153" max="6153" width="38.27734375" style="142" customWidth="1"/>
    <col min="6154" max="6154" width="23.44140625" style="142" bestFit="1" customWidth="1"/>
    <col min="6155" max="6156" width="9.1640625" style="142" customWidth="1"/>
    <col min="6157" max="6157" width="11.27734375" style="142" bestFit="1" customWidth="1"/>
    <col min="6158" max="6158" width="14.44140625" style="142" bestFit="1" customWidth="1"/>
    <col min="6159" max="6159" width="8.1640625" style="142" customWidth="1"/>
    <col min="6160" max="6160" width="10.83203125" style="142" bestFit="1" customWidth="1"/>
    <col min="6161" max="6161" width="12.27734375" style="142" bestFit="1" customWidth="1"/>
    <col min="6162" max="6162" width="9.1640625" style="142" customWidth="1"/>
    <col min="6163" max="6163" width="10.83203125" style="142" bestFit="1" customWidth="1"/>
    <col min="6164" max="6164" width="12.27734375" style="142" bestFit="1" customWidth="1"/>
    <col min="6165" max="6165" width="8" style="142" customWidth="1"/>
    <col min="6166" max="6166" width="10.83203125" style="142" bestFit="1" customWidth="1"/>
    <col min="6167" max="6167" width="12.27734375" style="142" bestFit="1" customWidth="1"/>
    <col min="6168" max="6168" width="8.1640625" style="142" bestFit="1" customWidth="1"/>
    <col min="6169" max="6169" width="10.83203125" style="142" bestFit="1" customWidth="1"/>
    <col min="6170" max="6170" width="12.27734375" style="142" bestFit="1" customWidth="1"/>
    <col min="6171" max="6171" width="18.27734375" style="142" bestFit="1" customWidth="1"/>
    <col min="6172" max="6172" width="10.83203125" style="142" bestFit="1" customWidth="1"/>
    <col min="6173" max="6408" width="8.83203125" style="142"/>
    <col min="6409" max="6409" width="38.27734375" style="142" customWidth="1"/>
    <col min="6410" max="6410" width="23.44140625" style="142" bestFit="1" customWidth="1"/>
    <col min="6411" max="6412" width="9.1640625" style="142" customWidth="1"/>
    <col min="6413" max="6413" width="11.27734375" style="142" bestFit="1" customWidth="1"/>
    <col min="6414" max="6414" width="14.44140625" style="142" bestFit="1" customWidth="1"/>
    <col min="6415" max="6415" width="8.1640625" style="142" customWidth="1"/>
    <col min="6416" max="6416" width="10.83203125" style="142" bestFit="1" customWidth="1"/>
    <col min="6417" max="6417" width="12.27734375" style="142" bestFit="1" customWidth="1"/>
    <col min="6418" max="6418" width="9.1640625" style="142" customWidth="1"/>
    <col min="6419" max="6419" width="10.83203125" style="142" bestFit="1" customWidth="1"/>
    <col min="6420" max="6420" width="12.27734375" style="142" bestFit="1" customWidth="1"/>
    <col min="6421" max="6421" width="8" style="142" customWidth="1"/>
    <col min="6422" max="6422" width="10.83203125" style="142" bestFit="1" customWidth="1"/>
    <col min="6423" max="6423" width="12.27734375" style="142" bestFit="1" customWidth="1"/>
    <col min="6424" max="6424" width="8.1640625" style="142" bestFit="1" customWidth="1"/>
    <col min="6425" max="6425" width="10.83203125" style="142" bestFit="1" customWidth="1"/>
    <col min="6426" max="6426" width="12.27734375" style="142" bestFit="1" customWidth="1"/>
    <col min="6427" max="6427" width="18.27734375" style="142" bestFit="1" customWidth="1"/>
    <col min="6428" max="6428" width="10.83203125" style="142" bestFit="1" customWidth="1"/>
    <col min="6429" max="6664" width="8.83203125" style="142"/>
    <col min="6665" max="6665" width="38.27734375" style="142" customWidth="1"/>
    <col min="6666" max="6666" width="23.44140625" style="142" bestFit="1" customWidth="1"/>
    <col min="6667" max="6668" width="9.1640625" style="142" customWidth="1"/>
    <col min="6669" max="6669" width="11.27734375" style="142" bestFit="1" customWidth="1"/>
    <col min="6670" max="6670" width="14.44140625" style="142" bestFit="1" customWidth="1"/>
    <col min="6671" max="6671" width="8.1640625" style="142" customWidth="1"/>
    <col min="6672" max="6672" width="10.83203125" style="142" bestFit="1" customWidth="1"/>
    <col min="6673" max="6673" width="12.27734375" style="142" bestFit="1" customWidth="1"/>
    <col min="6674" max="6674" width="9.1640625" style="142" customWidth="1"/>
    <col min="6675" max="6675" width="10.83203125" style="142" bestFit="1" customWidth="1"/>
    <col min="6676" max="6676" width="12.27734375" style="142" bestFit="1" customWidth="1"/>
    <col min="6677" max="6677" width="8" style="142" customWidth="1"/>
    <col min="6678" max="6678" width="10.83203125" style="142" bestFit="1" customWidth="1"/>
    <col min="6679" max="6679" width="12.27734375" style="142" bestFit="1" customWidth="1"/>
    <col min="6680" max="6680" width="8.1640625" style="142" bestFit="1" customWidth="1"/>
    <col min="6681" max="6681" width="10.83203125" style="142" bestFit="1" customWidth="1"/>
    <col min="6682" max="6682" width="12.27734375" style="142" bestFit="1" customWidth="1"/>
    <col min="6683" max="6683" width="18.27734375" style="142" bestFit="1" customWidth="1"/>
    <col min="6684" max="6684" width="10.83203125" style="142" bestFit="1" customWidth="1"/>
    <col min="6685" max="6920" width="8.83203125" style="142"/>
    <col min="6921" max="6921" width="38.27734375" style="142" customWidth="1"/>
    <col min="6922" max="6922" width="23.44140625" style="142" bestFit="1" customWidth="1"/>
    <col min="6923" max="6924" width="9.1640625" style="142" customWidth="1"/>
    <col min="6925" max="6925" width="11.27734375" style="142" bestFit="1" customWidth="1"/>
    <col min="6926" max="6926" width="14.44140625" style="142" bestFit="1" customWidth="1"/>
    <col min="6927" max="6927" width="8.1640625" style="142" customWidth="1"/>
    <col min="6928" max="6928" width="10.83203125" style="142" bestFit="1" customWidth="1"/>
    <col min="6929" max="6929" width="12.27734375" style="142" bestFit="1" customWidth="1"/>
    <col min="6930" max="6930" width="9.1640625" style="142" customWidth="1"/>
    <col min="6931" max="6931" width="10.83203125" style="142" bestFit="1" customWidth="1"/>
    <col min="6932" max="6932" width="12.27734375" style="142" bestFit="1" customWidth="1"/>
    <col min="6933" max="6933" width="8" style="142" customWidth="1"/>
    <col min="6934" max="6934" width="10.83203125" style="142" bestFit="1" customWidth="1"/>
    <col min="6935" max="6935" width="12.27734375" style="142" bestFit="1" customWidth="1"/>
    <col min="6936" max="6936" width="8.1640625" style="142" bestFit="1" customWidth="1"/>
    <col min="6937" max="6937" width="10.83203125" style="142" bestFit="1" customWidth="1"/>
    <col min="6938" max="6938" width="12.27734375" style="142" bestFit="1" customWidth="1"/>
    <col min="6939" max="6939" width="18.27734375" style="142" bestFit="1" customWidth="1"/>
    <col min="6940" max="6940" width="10.83203125" style="142" bestFit="1" customWidth="1"/>
    <col min="6941" max="7176" width="8.83203125" style="142"/>
    <col min="7177" max="7177" width="38.27734375" style="142" customWidth="1"/>
    <col min="7178" max="7178" width="23.44140625" style="142" bestFit="1" customWidth="1"/>
    <col min="7179" max="7180" width="9.1640625" style="142" customWidth="1"/>
    <col min="7181" max="7181" width="11.27734375" style="142" bestFit="1" customWidth="1"/>
    <col min="7182" max="7182" width="14.44140625" style="142" bestFit="1" customWidth="1"/>
    <col min="7183" max="7183" width="8.1640625" style="142" customWidth="1"/>
    <col min="7184" max="7184" width="10.83203125" style="142" bestFit="1" customWidth="1"/>
    <col min="7185" max="7185" width="12.27734375" style="142" bestFit="1" customWidth="1"/>
    <col min="7186" max="7186" width="9.1640625" style="142" customWidth="1"/>
    <col min="7187" max="7187" width="10.83203125" style="142" bestFit="1" customWidth="1"/>
    <col min="7188" max="7188" width="12.27734375" style="142" bestFit="1" customWidth="1"/>
    <col min="7189" max="7189" width="8" style="142" customWidth="1"/>
    <col min="7190" max="7190" width="10.83203125" style="142" bestFit="1" customWidth="1"/>
    <col min="7191" max="7191" width="12.27734375" style="142" bestFit="1" customWidth="1"/>
    <col min="7192" max="7192" width="8.1640625" style="142" bestFit="1" customWidth="1"/>
    <col min="7193" max="7193" width="10.83203125" style="142" bestFit="1" customWidth="1"/>
    <col min="7194" max="7194" width="12.27734375" style="142" bestFit="1" customWidth="1"/>
    <col min="7195" max="7195" width="18.27734375" style="142" bestFit="1" customWidth="1"/>
    <col min="7196" max="7196" width="10.83203125" style="142" bestFit="1" customWidth="1"/>
    <col min="7197" max="7432" width="8.83203125" style="142"/>
    <col min="7433" max="7433" width="38.27734375" style="142" customWidth="1"/>
    <col min="7434" max="7434" width="23.44140625" style="142" bestFit="1" customWidth="1"/>
    <col min="7435" max="7436" width="9.1640625" style="142" customWidth="1"/>
    <col min="7437" max="7437" width="11.27734375" style="142" bestFit="1" customWidth="1"/>
    <col min="7438" max="7438" width="14.44140625" style="142" bestFit="1" customWidth="1"/>
    <col min="7439" max="7439" width="8.1640625" style="142" customWidth="1"/>
    <col min="7440" max="7440" width="10.83203125" style="142" bestFit="1" customWidth="1"/>
    <col min="7441" max="7441" width="12.27734375" style="142" bestFit="1" customWidth="1"/>
    <col min="7442" max="7442" width="9.1640625" style="142" customWidth="1"/>
    <col min="7443" max="7443" width="10.83203125" style="142" bestFit="1" customWidth="1"/>
    <col min="7444" max="7444" width="12.27734375" style="142" bestFit="1" customWidth="1"/>
    <col min="7445" max="7445" width="8" style="142" customWidth="1"/>
    <col min="7446" max="7446" width="10.83203125" style="142" bestFit="1" customWidth="1"/>
    <col min="7447" max="7447" width="12.27734375" style="142" bestFit="1" customWidth="1"/>
    <col min="7448" max="7448" width="8.1640625" style="142" bestFit="1" customWidth="1"/>
    <col min="7449" max="7449" width="10.83203125" style="142" bestFit="1" customWidth="1"/>
    <col min="7450" max="7450" width="12.27734375" style="142" bestFit="1" customWidth="1"/>
    <col min="7451" max="7451" width="18.27734375" style="142" bestFit="1" customWidth="1"/>
    <col min="7452" max="7452" width="10.83203125" style="142" bestFit="1" customWidth="1"/>
    <col min="7453" max="7688" width="8.83203125" style="142"/>
    <col min="7689" max="7689" width="38.27734375" style="142" customWidth="1"/>
    <col min="7690" max="7690" width="23.44140625" style="142" bestFit="1" customWidth="1"/>
    <col min="7691" max="7692" width="9.1640625" style="142" customWidth="1"/>
    <col min="7693" max="7693" width="11.27734375" style="142" bestFit="1" customWidth="1"/>
    <col min="7694" max="7694" width="14.44140625" style="142" bestFit="1" customWidth="1"/>
    <col min="7695" max="7695" width="8.1640625" style="142" customWidth="1"/>
    <col min="7696" max="7696" width="10.83203125" style="142" bestFit="1" customWidth="1"/>
    <col min="7697" max="7697" width="12.27734375" style="142" bestFit="1" customWidth="1"/>
    <col min="7698" max="7698" width="9.1640625" style="142" customWidth="1"/>
    <col min="7699" max="7699" width="10.83203125" style="142" bestFit="1" customWidth="1"/>
    <col min="7700" max="7700" width="12.27734375" style="142" bestFit="1" customWidth="1"/>
    <col min="7701" max="7701" width="8" style="142" customWidth="1"/>
    <col min="7702" max="7702" width="10.83203125" style="142" bestFit="1" customWidth="1"/>
    <col min="7703" max="7703" width="12.27734375" style="142" bestFit="1" customWidth="1"/>
    <col min="7704" max="7704" width="8.1640625" style="142" bestFit="1" customWidth="1"/>
    <col min="7705" max="7705" width="10.83203125" style="142" bestFit="1" customWidth="1"/>
    <col min="7706" max="7706" width="12.27734375" style="142" bestFit="1" customWidth="1"/>
    <col min="7707" max="7707" width="18.27734375" style="142" bestFit="1" customWidth="1"/>
    <col min="7708" max="7708" width="10.83203125" style="142" bestFit="1" customWidth="1"/>
    <col min="7709" max="7944" width="8.83203125" style="142"/>
    <col min="7945" max="7945" width="38.27734375" style="142" customWidth="1"/>
    <col min="7946" max="7946" width="23.44140625" style="142" bestFit="1" customWidth="1"/>
    <col min="7947" max="7948" width="9.1640625" style="142" customWidth="1"/>
    <col min="7949" max="7949" width="11.27734375" style="142" bestFit="1" customWidth="1"/>
    <col min="7950" max="7950" width="14.44140625" style="142" bestFit="1" customWidth="1"/>
    <col min="7951" max="7951" width="8.1640625" style="142" customWidth="1"/>
    <col min="7952" max="7952" width="10.83203125" style="142" bestFit="1" customWidth="1"/>
    <col min="7953" max="7953" width="12.27734375" style="142" bestFit="1" customWidth="1"/>
    <col min="7954" max="7954" width="9.1640625" style="142" customWidth="1"/>
    <col min="7955" max="7955" width="10.83203125" style="142" bestFit="1" customWidth="1"/>
    <col min="7956" max="7956" width="12.27734375" style="142" bestFit="1" customWidth="1"/>
    <col min="7957" max="7957" width="8" style="142" customWidth="1"/>
    <col min="7958" max="7958" width="10.83203125" style="142" bestFit="1" customWidth="1"/>
    <col min="7959" max="7959" width="12.27734375" style="142" bestFit="1" customWidth="1"/>
    <col min="7960" max="7960" width="8.1640625" style="142" bestFit="1" customWidth="1"/>
    <col min="7961" max="7961" width="10.83203125" style="142" bestFit="1" customWidth="1"/>
    <col min="7962" max="7962" width="12.27734375" style="142" bestFit="1" customWidth="1"/>
    <col min="7963" max="7963" width="18.27734375" style="142" bestFit="1" customWidth="1"/>
    <col min="7964" max="7964" width="10.83203125" style="142" bestFit="1" customWidth="1"/>
    <col min="7965" max="8200" width="8.83203125" style="142"/>
    <col min="8201" max="8201" width="38.27734375" style="142" customWidth="1"/>
    <col min="8202" max="8202" width="23.44140625" style="142" bestFit="1" customWidth="1"/>
    <col min="8203" max="8204" width="9.1640625" style="142" customWidth="1"/>
    <col min="8205" max="8205" width="11.27734375" style="142" bestFit="1" customWidth="1"/>
    <col min="8206" max="8206" width="14.44140625" style="142" bestFit="1" customWidth="1"/>
    <col min="8207" max="8207" width="8.1640625" style="142" customWidth="1"/>
    <col min="8208" max="8208" width="10.83203125" style="142" bestFit="1" customWidth="1"/>
    <col min="8209" max="8209" width="12.27734375" style="142" bestFit="1" customWidth="1"/>
    <col min="8210" max="8210" width="9.1640625" style="142" customWidth="1"/>
    <col min="8211" max="8211" width="10.83203125" style="142" bestFit="1" customWidth="1"/>
    <col min="8212" max="8212" width="12.27734375" style="142" bestFit="1" customWidth="1"/>
    <col min="8213" max="8213" width="8" style="142" customWidth="1"/>
    <col min="8214" max="8214" width="10.83203125" style="142" bestFit="1" customWidth="1"/>
    <col min="8215" max="8215" width="12.27734375" style="142" bestFit="1" customWidth="1"/>
    <col min="8216" max="8216" width="8.1640625" style="142" bestFit="1" customWidth="1"/>
    <col min="8217" max="8217" width="10.83203125" style="142" bestFit="1" customWidth="1"/>
    <col min="8218" max="8218" width="12.27734375" style="142" bestFit="1" customWidth="1"/>
    <col min="8219" max="8219" width="18.27734375" style="142" bestFit="1" customWidth="1"/>
    <col min="8220" max="8220" width="10.83203125" style="142" bestFit="1" customWidth="1"/>
    <col min="8221" max="8456" width="8.83203125" style="142"/>
    <col min="8457" max="8457" width="38.27734375" style="142" customWidth="1"/>
    <col min="8458" max="8458" width="23.44140625" style="142" bestFit="1" customWidth="1"/>
    <col min="8459" max="8460" width="9.1640625" style="142" customWidth="1"/>
    <col min="8461" max="8461" width="11.27734375" style="142" bestFit="1" customWidth="1"/>
    <col min="8462" max="8462" width="14.44140625" style="142" bestFit="1" customWidth="1"/>
    <col min="8463" max="8463" width="8.1640625" style="142" customWidth="1"/>
    <col min="8464" max="8464" width="10.83203125" style="142" bestFit="1" customWidth="1"/>
    <col min="8465" max="8465" width="12.27734375" style="142" bestFit="1" customWidth="1"/>
    <col min="8466" max="8466" width="9.1640625" style="142" customWidth="1"/>
    <col min="8467" max="8467" width="10.83203125" style="142" bestFit="1" customWidth="1"/>
    <col min="8468" max="8468" width="12.27734375" style="142" bestFit="1" customWidth="1"/>
    <col min="8469" max="8469" width="8" style="142" customWidth="1"/>
    <col min="8470" max="8470" width="10.83203125" style="142" bestFit="1" customWidth="1"/>
    <col min="8471" max="8471" width="12.27734375" style="142" bestFit="1" customWidth="1"/>
    <col min="8472" max="8472" width="8.1640625" style="142" bestFit="1" customWidth="1"/>
    <col min="8473" max="8473" width="10.83203125" style="142" bestFit="1" customWidth="1"/>
    <col min="8474" max="8474" width="12.27734375" style="142" bestFit="1" customWidth="1"/>
    <col min="8475" max="8475" width="18.27734375" style="142" bestFit="1" customWidth="1"/>
    <col min="8476" max="8476" width="10.83203125" style="142" bestFit="1" customWidth="1"/>
    <col min="8477" max="8712" width="8.83203125" style="142"/>
    <col min="8713" max="8713" width="38.27734375" style="142" customWidth="1"/>
    <col min="8714" max="8714" width="23.44140625" style="142" bestFit="1" customWidth="1"/>
    <col min="8715" max="8716" width="9.1640625" style="142" customWidth="1"/>
    <col min="8717" max="8717" width="11.27734375" style="142" bestFit="1" customWidth="1"/>
    <col min="8718" max="8718" width="14.44140625" style="142" bestFit="1" customWidth="1"/>
    <col min="8719" max="8719" width="8.1640625" style="142" customWidth="1"/>
    <col min="8720" max="8720" width="10.83203125" style="142" bestFit="1" customWidth="1"/>
    <col min="8721" max="8721" width="12.27734375" style="142" bestFit="1" customWidth="1"/>
    <col min="8722" max="8722" width="9.1640625" style="142" customWidth="1"/>
    <col min="8723" max="8723" width="10.83203125" style="142" bestFit="1" customWidth="1"/>
    <col min="8724" max="8724" width="12.27734375" style="142" bestFit="1" customWidth="1"/>
    <col min="8725" max="8725" width="8" style="142" customWidth="1"/>
    <col min="8726" max="8726" width="10.83203125" style="142" bestFit="1" customWidth="1"/>
    <col min="8727" max="8727" width="12.27734375" style="142" bestFit="1" customWidth="1"/>
    <col min="8728" max="8728" width="8.1640625" style="142" bestFit="1" customWidth="1"/>
    <col min="8729" max="8729" width="10.83203125" style="142" bestFit="1" customWidth="1"/>
    <col min="8730" max="8730" width="12.27734375" style="142" bestFit="1" customWidth="1"/>
    <col min="8731" max="8731" width="18.27734375" style="142" bestFit="1" customWidth="1"/>
    <col min="8732" max="8732" width="10.83203125" style="142" bestFit="1" customWidth="1"/>
    <col min="8733" max="8968" width="8.83203125" style="142"/>
    <col min="8969" max="8969" width="38.27734375" style="142" customWidth="1"/>
    <col min="8970" max="8970" width="23.44140625" style="142" bestFit="1" customWidth="1"/>
    <col min="8971" max="8972" width="9.1640625" style="142" customWidth="1"/>
    <col min="8973" max="8973" width="11.27734375" style="142" bestFit="1" customWidth="1"/>
    <col min="8974" max="8974" width="14.44140625" style="142" bestFit="1" customWidth="1"/>
    <col min="8975" max="8975" width="8.1640625" style="142" customWidth="1"/>
    <col min="8976" max="8976" width="10.83203125" style="142" bestFit="1" customWidth="1"/>
    <col min="8977" max="8977" width="12.27734375" style="142" bestFit="1" customWidth="1"/>
    <col min="8978" max="8978" width="9.1640625" style="142" customWidth="1"/>
    <col min="8979" max="8979" width="10.83203125" style="142" bestFit="1" customWidth="1"/>
    <col min="8980" max="8980" width="12.27734375" style="142" bestFit="1" customWidth="1"/>
    <col min="8981" max="8981" width="8" style="142" customWidth="1"/>
    <col min="8982" max="8982" width="10.83203125" style="142" bestFit="1" customWidth="1"/>
    <col min="8983" max="8983" width="12.27734375" style="142" bestFit="1" customWidth="1"/>
    <col min="8984" max="8984" width="8.1640625" style="142" bestFit="1" customWidth="1"/>
    <col min="8985" max="8985" width="10.83203125" style="142" bestFit="1" customWidth="1"/>
    <col min="8986" max="8986" width="12.27734375" style="142" bestFit="1" customWidth="1"/>
    <col min="8987" max="8987" width="18.27734375" style="142" bestFit="1" customWidth="1"/>
    <col min="8988" max="8988" width="10.83203125" style="142" bestFit="1" customWidth="1"/>
    <col min="8989" max="9224" width="8.83203125" style="142"/>
    <col min="9225" max="9225" width="38.27734375" style="142" customWidth="1"/>
    <col min="9226" max="9226" width="23.44140625" style="142" bestFit="1" customWidth="1"/>
    <col min="9227" max="9228" width="9.1640625" style="142" customWidth="1"/>
    <col min="9229" max="9229" width="11.27734375" style="142" bestFit="1" customWidth="1"/>
    <col min="9230" max="9230" width="14.44140625" style="142" bestFit="1" customWidth="1"/>
    <col min="9231" max="9231" width="8.1640625" style="142" customWidth="1"/>
    <col min="9232" max="9232" width="10.83203125" style="142" bestFit="1" customWidth="1"/>
    <col min="9233" max="9233" width="12.27734375" style="142" bestFit="1" customWidth="1"/>
    <col min="9234" max="9234" width="9.1640625" style="142" customWidth="1"/>
    <col min="9235" max="9235" width="10.83203125" style="142" bestFit="1" customWidth="1"/>
    <col min="9236" max="9236" width="12.27734375" style="142" bestFit="1" customWidth="1"/>
    <col min="9237" max="9237" width="8" style="142" customWidth="1"/>
    <col min="9238" max="9238" width="10.83203125" style="142" bestFit="1" customWidth="1"/>
    <col min="9239" max="9239" width="12.27734375" style="142" bestFit="1" customWidth="1"/>
    <col min="9240" max="9240" width="8.1640625" style="142" bestFit="1" customWidth="1"/>
    <col min="9241" max="9241" width="10.83203125" style="142" bestFit="1" customWidth="1"/>
    <col min="9242" max="9242" width="12.27734375" style="142" bestFit="1" customWidth="1"/>
    <col min="9243" max="9243" width="18.27734375" style="142" bestFit="1" customWidth="1"/>
    <col min="9244" max="9244" width="10.83203125" style="142" bestFit="1" customWidth="1"/>
    <col min="9245" max="9480" width="8.83203125" style="142"/>
    <col min="9481" max="9481" width="38.27734375" style="142" customWidth="1"/>
    <col min="9482" max="9482" width="23.44140625" style="142" bestFit="1" customWidth="1"/>
    <col min="9483" max="9484" width="9.1640625" style="142" customWidth="1"/>
    <col min="9485" max="9485" width="11.27734375" style="142" bestFit="1" customWidth="1"/>
    <col min="9486" max="9486" width="14.44140625" style="142" bestFit="1" customWidth="1"/>
    <col min="9487" max="9487" width="8.1640625" style="142" customWidth="1"/>
    <col min="9488" max="9488" width="10.83203125" style="142" bestFit="1" customWidth="1"/>
    <col min="9489" max="9489" width="12.27734375" style="142" bestFit="1" customWidth="1"/>
    <col min="9490" max="9490" width="9.1640625" style="142" customWidth="1"/>
    <col min="9491" max="9491" width="10.83203125" style="142" bestFit="1" customWidth="1"/>
    <col min="9492" max="9492" width="12.27734375" style="142" bestFit="1" customWidth="1"/>
    <col min="9493" max="9493" width="8" style="142" customWidth="1"/>
    <col min="9494" max="9494" width="10.83203125" style="142" bestFit="1" customWidth="1"/>
    <col min="9495" max="9495" width="12.27734375" style="142" bestFit="1" customWidth="1"/>
    <col min="9496" max="9496" width="8.1640625" style="142" bestFit="1" customWidth="1"/>
    <col min="9497" max="9497" width="10.83203125" style="142" bestFit="1" customWidth="1"/>
    <col min="9498" max="9498" width="12.27734375" style="142" bestFit="1" customWidth="1"/>
    <col min="9499" max="9499" width="18.27734375" style="142" bestFit="1" customWidth="1"/>
    <col min="9500" max="9500" width="10.83203125" style="142" bestFit="1" customWidth="1"/>
    <col min="9501" max="9736" width="8.83203125" style="142"/>
    <col min="9737" max="9737" width="38.27734375" style="142" customWidth="1"/>
    <col min="9738" max="9738" width="23.44140625" style="142" bestFit="1" customWidth="1"/>
    <col min="9739" max="9740" width="9.1640625" style="142" customWidth="1"/>
    <col min="9741" max="9741" width="11.27734375" style="142" bestFit="1" customWidth="1"/>
    <col min="9742" max="9742" width="14.44140625" style="142" bestFit="1" customWidth="1"/>
    <col min="9743" max="9743" width="8.1640625" style="142" customWidth="1"/>
    <col min="9744" max="9744" width="10.83203125" style="142" bestFit="1" customWidth="1"/>
    <col min="9745" max="9745" width="12.27734375" style="142" bestFit="1" customWidth="1"/>
    <col min="9746" max="9746" width="9.1640625" style="142" customWidth="1"/>
    <col min="9747" max="9747" width="10.83203125" style="142" bestFit="1" customWidth="1"/>
    <col min="9748" max="9748" width="12.27734375" style="142" bestFit="1" customWidth="1"/>
    <col min="9749" max="9749" width="8" style="142" customWidth="1"/>
    <col min="9750" max="9750" width="10.83203125" style="142" bestFit="1" customWidth="1"/>
    <col min="9751" max="9751" width="12.27734375" style="142" bestFit="1" customWidth="1"/>
    <col min="9752" max="9752" width="8.1640625" style="142" bestFit="1" customWidth="1"/>
    <col min="9753" max="9753" width="10.83203125" style="142" bestFit="1" customWidth="1"/>
    <col min="9754" max="9754" width="12.27734375" style="142" bestFit="1" customWidth="1"/>
    <col min="9755" max="9755" width="18.27734375" style="142" bestFit="1" customWidth="1"/>
    <col min="9756" max="9756" width="10.83203125" style="142" bestFit="1" customWidth="1"/>
    <col min="9757" max="9992" width="8.83203125" style="142"/>
    <col min="9993" max="9993" width="38.27734375" style="142" customWidth="1"/>
    <col min="9994" max="9994" width="23.44140625" style="142" bestFit="1" customWidth="1"/>
    <col min="9995" max="9996" width="9.1640625" style="142" customWidth="1"/>
    <col min="9997" max="9997" width="11.27734375" style="142" bestFit="1" customWidth="1"/>
    <col min="9998" max="9998" width="14.44140625" style="142" bestFit="1" customWidth="1"/>
    <col min="9999" max="9999" width="8.1640625" style="142" customWidth="1"/>
    <col min="10000" max="10000" width="10.83203125" style="142" bestFit="1" customWidth="1"/>
    <col min="10001" max="10001" width="12.27734375" style="142" bestFit="1" customWidth="1"/>
    <col min="10002" max="10002" width="9.1640625" style="142" customWidth="1"/>
    <col min="10003" max="10003" width="10.83203125" style="142" bestFit="1" customWidth="1"/>
    <col min="10004" max="10004" width="12.27734375" style="142" bestFit="1" customWidth="1"/>
    <col min="10005" max="10005" width="8" style="142" customWidth="1"/>
    <col min="10006" max="10006" width="10.83203125" style="142" bestFit="1" customWidth="1"/>
    <col min="10007" max="10007" width="12.27734375" style="142" bestFit="1" customWidth="1"/>
    <col min="10008" max="10008" width="8.1640625" style="142" bestFit="1" customWidth="1"/>
    <col min="10009" max="10009" width="10.83203125" style="142" bestFit="1" customWidth="1"/>
    <col min="10010" max="10010" width="12.27734375" style="142" bestFit="1" customWidth="1"/>
    <col min="10011" max="10011" width="18.27734375" style="142" bestFit="1" customWidth="1"/>
    <col min="10012" max="10012" width="10.83203125" style="142" bestFit="1" customWidth="1"/>
    <col min="10013" max="10248" width="8.83203125" style="142"/>
    <col min="10249" max="10249" width="38.27734375" style="142" customWidth="1"/>
    <col min="10250" max="10250" width="23.44140625" style="142" bestFit="1" customWidth="1"/>
    <col min="10251" max="10252" width="9.1640625" style="142" customWidth="1"/>
    <col min="10253" max="10253" width="11.27734375" style="142" bestFit="1" customWidth="1"/>
    <col min="10254" max="10254" width="14.44140625" style="142" bestFit="1" customWidth="1"/>
    <col min="10255" max="10255" width="8.1640625" style="142" customWidth="1"/>
    <col min="10256" max="10256" width="10.83203125" style="142" bestFit="1" customWidth="1"/>
    <col min="10257" max="10257" width="12.27734375" style="142" bestFit="1" customWidth="1"/>
    <col min="10258" max="10258" width="9.1640625" style="142" customWidth="1"/>
    <col min="10259" max="10259" width="10.83203125" style="142" bestFit="1" customWidth="1"/>
    <col min="10260" max="10260" width="12.27734375" style="142" bestFit="1" customWidth="1"/>
    <col min="10261" max="10261" width="8" style="142" customWidth="1"/>
    <col min="10262" max="10262" width="10.83203125" style="142" bestFit="1" customWidth="1"/>
    <col min="10263" max="10263" width="12.27734375" style="142" bestFit="1" customWidth="1"/>
    <col min="10264" max="10264" width="8.1640625" style="142" bestFit="1" customWidth="1"/>
    <col min="10265" max="10265" width="10.83203125" style="142" bestFit="1" customWidth="1"/>
    <col min="10266" max="10266" width="12.27734375" style="142" bestFit="1" customWidth="1"/>
    <col min="10267" max="10267" width="18.27734375" style="142" bestFit="1" customWidth="1"/>
    <col min="10268" max="10268" width="10.83203125" style="142" bestFit="1" customWidth="1"/>
    <col min="10269" max="10504" width="8.83203125" style="142"/>
    <col min="10505" max="10505" width="38.27734375" style="142" customWidth="1"/>
    <col min="10506" max="10506" width="23.44140625" style="142" bestFit="1" customWidth="1"/>
    <col min="10507" max="10508" width="9.1640625" style="142" customWidth="1"/>
    <col min="10509" max="10509" width="11.27734375" style="142" bestFit="1" customWidth="1"/>
    <col min="10510" max="10510" width="14.44140625" style="142" bestFit="1" customWidth="1"/>
    <col min="10511" max="10511" width="8.1640625" style="142" customWidth="1"/>
    <col min="10512" max="10512" width="10.83203125" style="142" bestFit="1" customWidth="1"/>
    <col min="10513" max="10513" width="12.27734375" style="142" bestFit="1" customWidth="1"/>
    <col min="10514" max="10514" width="9.1640625" style="142" customWidth="1"/>
    <col min="10515" max="10515" width="10.83203125" style="142" bestFit="1" customWidth="1"/>
    <col min="10516" max="10516" width="12.27734375" style="142" bestFit="1" customWidth="1"/>
    <col min="10517" max="10517" width="8" style="142" customWidth="1"/>
    <col min="10518" max="10518" width="10.83203125" style="142" bestFit="1" customWidth="1"/>
    <col min="10519" max="10519" width="12.27734375" style="142" bestFit="1" customWidth="1"/>
    <col min="10520" max="10520" width="8.1640625" style="142" bestFit="1" customWidth="1"/>
    <col min="10521" max="10521" width="10.83203125" style="142" bestFit="1" customWidth="1"/>
    <col min="10522" max="10522" width="12.27734375" style="142" bestFit="1" customWidth="1"/>
    <col min="10523" max="10523" width="18.27734375" style="142" bestFit="1" customWidth="1"/>
    <col min="10524" max="10524" width="10.83203125" style="142" bestFit="1" customWidth="1"/>
    <col min="10525" max="10760" width="8.83203125" style="142"/>
    <col min="10761" max="10761" width="38.27734375" style="142" customWidth="1"/>
    <col min="10762" max="10762" width="23.44140625" style="142" bestFit="1" customWidth="1"/>
    <col min="10763" max="10764" width="9.1640625" style="142" customWidth="1"/>
    <col min="10765" max="10765" width="11.27734375" style="142" bestFit="1" customWidth="1"/>
    <col min="10766" max="10766" width="14.44140625" style="142" bestFit="1" customWidth="1"/>
    <col min="10767" max="10767" width="8.1640625" style="142" customWidth="1"/>
    <col min="10768" max="10768" width="10.83203125" style="142" bestFit="1" customWidth="1"/>
    <col min="10769" max="10769" width="12.27734375" style="142" bestFit="1" customWidth="1"/>
    <col min="10770" max="10770" width="9.1640625" style="142" customWidth="1"/>
    <col min="10771" max="10771" width="10.83203125" style="142" bestFit="1" customWidth="1"/>
    <col min="10772" max="10772" width="12.27734375" style="142" bestFit="1" customWidth="1"/>
    <col min="10773" max="10773" width="8" style="142" customWidth="1"/>
    <col min="10774" max="10774" width="10.83203125" style="142" bestFit="1" customWidth="1"/>
    <col min="10775" max="10775" width="12.27734375" style="142" bestFit="1" customWidth="1"/>
    <col min="10776" max="10776" width="8.1640625" style="142" bestFit="1" customWidth="1"/>
    <col min="10777" max="10777" width="10.83203125" style="142" bestFit="1" customWidth="1"/>
    <col min="10778" max="10778" width="12.27734375" style="142" bestFit="1" customWidth="1"/>
    <col min="10779" max="10779" width="18.27734375" style="142" bestFit="1" customWidth="1"/>
    <col min="10780" max="10780" width="10.83203125" style="142" bestFit="1" customWidth="1"/>
    <col min="10781" max="11016" width="8.83203125" style="142"/>
    <col min="11017" max="11017" width="38.27734375" style="142" customWidth="1"/>
    <col min="11018" max="11018" width="23.44140625" style="142" bestFit="1" customWidth="1"/>
    <col min="11019" max="11020" width="9.1640625" style="142" customWidth="1"/>
    <col min="11021" max="11021" width="11.27734375" style="142" bestFit="1" customWidth="1"/>
    <col min="11022" max="11022" width="14.44140625" style="142" bestFit="1" customWidth="1"/>
    <col min="11023" max="11023" width="8.1640625" style="142" customWidth="1"/>
    <col min="11024" max="11024" width="10.83203125" style="142" bestFit="1" customWidth="1"/>
    <col min="11025" max="11025" width="12.27734375" style="142" bestFit="1" customWidth="1"/>
    <col min="11026" max="11026" width="9.1640625" style="142" customWidth="1"/>
    <col min="11027" max="11027" width="10.83203125" style="142" bestFit="1" customWidth="1"/>
    <col min="11028" max="11028" width="12.27734375" style="142" bestFit="1" customWidth="1"/>
    <col min="11029" max="11029" width="8" style="142" customWidth="1"/>
    <col min="11030" max="11030" width="10.83203125" style="142" bestFit="1" customWidth="1"/>
    <col min="11031" max="11031" width="12.27734375" style="142" bestFit="1" customWidth="1"/>
    <col min="11032" max="11032" width="8.1640625" style="142" bestFit="1" customWidth="1"/>
    <col min="11033" max="11033" width="10.83203125" style="142" bestFit="1" customWidth="1"/>
    <col min="11034" max="11034" width="12.27734375" style="142" bestFit="1" customWidth="1"/>
    <col min="11035" max="11035" width="18.27734375" style="142" bestFit="1" customWidth="1"/>
    <col min="11036" max="11036" width="10.83203125" style="142" bestFit="1" customWidth="1"/>
    <col min="11037" max="11272" width="8.83203125" style="142"/>
    <col min="11273" max="11273" width="38.27734375" style="142" customWidth="1"/>
    <col min="11274" max="11274" width="23.44140625" style="142" bestFit="1" customWidth="1"/>
    <col min="11275" max="11276" width="9.1640625" style="142" customWidth="1"/>
    <col min="11277" max="11277" width="11.27734375" style="142" bestFit="1" customWidth="1"/>
    <col min="11278" max="11278" width="14.44140625" style="142" bestFit="1" customWidth="1"/>
    <col min="11279" max="11279" width="8.1640625" style="142" customWidth="1"/>
    <col min="11280" max="11280" width="10.83203125" style="142" bestFit="1" customWidth="1"/>
    <col min="11281" max="11281" width="12.27734375" style="142" bestFit="1" customWidth="1"/>
    <col min="11282" max="11282" width="9.1640625" style="142" customWidth="1"/>
    <col min="11283" max="11283" width="10.83203125" style="142" bestFit="1" customWidth="1"/>
    <col min="11284" max="11284" width="12.27734375" style="142" bestFit="1" customWidth="1"/>
    <col min="11285" max="11285" width="8" style="142" customWidth="1"/>
    <col min="11286" max="11286" width="10.83203125" style="142" bestFit="1" customWidth="1"/>
    <col min="11287" max="11287" width="12.27734375" style="142" bestFit="1" customWidth="1"/>
    <col min="11288" max="11288" width="8.1640625" style="142" bestFit="1" customWidth="1"/>
    <col min="11289" max="11289" width="10.83203125" style="142" bestFit="1" customWidth="1"/>
    <col min="11290" max="11290" width="12.27734375" style="142" bestFit="1" customWidth="1"/>
    <col min="11291" max="11291" width="18.27734375" style="142" bestFit="1" customWidth="1"/>
    <col min="11292" max="11292" width="10.83203125" style="142" bestFit="1" customWidth="1"/>
    <col min="11293" max="11528" width="8.83203125" style="142"/>
    <col min="11529" max="11529" width="38.27734375" style="142" customWidth="1"/>
    <col min="11530" max="11530" width="23.44140625" style="142" bestFit="1" customWidth="1"/>
    <col min="11531" max="11532" width="9.1640625" style="142" customWidth="1"/>
    <col min="11533" max="11533" width="11.27734375" style="142" bestFit="1" customWidth="1"/>
    <col min="11534" max="11534" width="14.44140625" style="142" bestFit="1" customWidth="1"/>
    <col min="11535" max="11535" width="8.1640625" style="142" customWidth="1"/>
    <col min="11536" max="11536" width="10.83203125" style="142" bestFit="1" customWidth="1"/>
    <col min="11537" max="11537" width="12.27734375" style="142" bestFit="1" customWidth="1"/>
    <col min="11538" max="11538" width="9.1640625" style="142" customWidth="1"/>
    <col min="11539" max="11539" width="10.83203125" style="142" bestFit="1" customWidth="1"/>
    <col min="11540" max="11540" width="12.27734375" style="142" bestFit="1" customWidth="1"/>
    <col min="11541" max="11541" width="8" style="142" customWidth="1"/>
    <col min="11542" max="11542" width="10.83203125" style="142" bestFit="1" customWidth="1"/>
    <col min="11543" max="11543" width="12.27734375" style="142" bestFit="1" customWidth="1"/>
    <col min="11544" max="11544" width="8.1640625" style="142" bestFit="1" customWidth="1"/>
    <col min="11545" max="11545" width="10.83203125" style="142" bestFit="1" customWidth="1"/>
    <col min="11546" max="11546" width="12.27734375" style="142" bestFit="1" customWidth="1"/>
    <col min="11547" max="11547" width="18.27734375" style="142" bestFit="1" customWidth="1"/>
    <col min="11548" max="11548" width="10.83203125" style="142" bestFit="1" customWidth="1"/>
    <col min="11549" max="11784" width="8.83203125" style="142"/>
    <col min="11785" max="11785" width="38.27734375" style="142" customWidth="1"/>
    <col min="11786" max="11786" width="23.44140625" style="142" bestFit="1" customWidth="1"/>
    <col min="11787" max="11788" width="9.1640625" style="142" customWidth="1"/>
    <col min="11789" max="11789" width="11.27734375" style="142" bestFit="1" customWidth="1"/>
    <col min="11790" max="11790" width="14.44140625" style="142" bestFit="1" customWidth="1"/>
    <col min="11791" max="11791" width="8.1640625" style="142" customWidth="1"/>
    <col min="11792" max="11792" width="10.83203125" style="142" bestFit="1" customWidth="1"/>
    <col min="11793" max="11793" width="12.27734375" style="142" bestFit="1" customWidth="1"/>
    <col min="11794" max="11794" width="9.1640625" style="142" customWidth="1"/>
    <col min="11795" max="11795" width="10.83203125" style="142" bestFit="1" customWidth="1"/>
    <col min="11796" max="11796" width="12.27734375" style="142" bestFit="1" customWidth="1"/>
    <col min="11797" max="11797" width="8" style="142" customWidth="1"/>
    <col min="11798" max="11798" width="10.83203125" style="142" bestFit="1" customWidth="1"/>
    <col min="11799" max="11799" width="12.27734375" style="142" bestFit="1" customWidth="1"/>
    <col min="11800" max="11800" width="8.1640625" style="142" bestFit="1" customWidth="1"/>
    <col min="11801" max="11801" width="10.83203125" style="142" bestFit="1" customWidth="1"/>
    <col min="11802" max="11802" width="12.27734375" style="142" bestFit="1" customWidth="1"/>
    <col min="11803" max="11803" width="18.27734375" style="142" bestFit="1" customWidth="1"/>
    <col min="11804" max="11804" width="10.83203125" style="142" bestFit="1" customWidth="1"/>
    <col min="11805" max="12040" width="8.83203125" style="142"/>
    <col min="12041" max="12041" width="38.27734375" style="142" customWidth="1"/>
    <col min="12042" max="12042" width="23.44140625" style="142" bestFit="1" customWidth="1"/>
    <col min="12043" max="12044" width="9.1640625" style="142" customWidth="1"/>
    <col min="12045" max="12045" width="11.27734375" style="142" bestFit="1" customWidth="1"/>
    <col min="12046" max="12046" width="14.44140625" style="142" bestFit="1" customWidth="1"/>
    <col min="12047" max="12047" width="8.1640625" style="142" customWidth="1"/>
    <col min="12048" max="12048" width="10.83203125" style="142" bestFit="1" customWidth="1"/>
    <col min="12049" max="12049" width="12.27734375" style="142" bestFit="1" customWidth="1"/>
    <col min="12050" max="12050" width="9.1640625" style="142" customWidth="1"/>
    <col min="12051" max="12051" width="10.83203125" style="142" bestFit="1" customWidth="1"/>
    <col min="12052" max="12052" width="12.27734375" style="142" bestFit="1" customWidth="1"/>
    <col min="12053" max="12053" width="8" style="142" customWidth="1"/>
    <col min="12054" max="12054" width="10.83203125" style="142" bestFit="1" customWidth="1"/>
    <col min="12055" max="12055" width="12.27734375" style="142" bestFit="1" customWidth="1"/>
    <col min="12056" max="12056" width="8.1640625" style="142" bestFit="1" customWidth="1"/>
    <col min="12057" max="12057" width="10.83203125" style="142" bestFit="1" customWidth="1"/>
    <col min="12058" max="12058" width="12.27734375" style="142" bestFit="1" customWidth="1"/>
    <col min="12059" max="12059" width="18.27734375" style="142" bestFit="1" customWidth="1"/>
    <col min="12060" max="12060" width="10.83203125" style="142" bestFit="1" customWidth="1"/>
    <col min="12061" max="12296" width="8.83203125" style="142"/>
    <col min="12297" max="12297" width="38.27734375" style="142" customWidth="1"/>
    <col min="12298" max="12298" width="23.44140625" style="142" bestFit="1" customWidth="1"/>
    <col min="12299" max="12300" width="9.1640625" style="142" customWidth="1"/>
    <col min="12301" max="12301" width="11.27734375" style="142" bestFit="1" customWidth="1"/>
    <col min="12302" max="12302" width="14.44140625" style="142" bestFit="1" customWidth="1"/>
    <col min="12303" max="12303" width="8.1640625" style="142" customWidth="1"/>
    <col min="12304" max="12304" width="10.83203125" style="142" bestFit="1" customWidth="1"/>
    <col min="12305" max="12305" width="12.27734375" style="142" bestFit="1" customWidth="1"/>
    <col min="12306" max="12306" width="9.1640625" style="142" customWidth="1"/>
    <col min="12307" max="12307" width="10.83203125" style="142" bestFit="1" customWidth="1"/>
    <col min="12308" max="12308" width="12.27734375" style="142" bestFit="1" customWidth="1"/>
    <col min="12309" max="12309" width="8" style="142" customWidth="1"/>
    <col min="12310" max="12310" width="10.83203125" style="142" bestFit="1" customWidth="1"/>
    <col min="12311" max="12311" width="12.27734375" style="142" bestFit="1" customWidth="1"/>
    <col min="12312" max="12312" width="8.1640625" style="142" bestFit="1" customWidth="1"/>
    <col min="12313" max="12313" width="10.83203125" style="142" bestFit="1" customWidth="1"/>
    <col min="12314" max="12314" width="12.27734375" style="142" bestFit="1" customWidth="1"/>
    <col min="12315" max="12315" width="18.27734375" style="142" bestFit="1" customWidth="1"/>
    <col min="12316" max="12316" width="10.83203125" style="142" bestFit="1" customWidth="1"/>
    <col min="12317" max="12552" width="8.83203125" style="142"/>
    <col min="12553" max="12553" width="38.27734375" style="142" customWidth="1"/>
    <col min="12554" max="12554" width="23.44140625" style="142" bestFit="1" customWidth="1"/>
    <col min="12555" max="12556" width="9.1640625" style="142" customWidth="1"/>
    <col min="12557" max="12557" width="11.27734375" style="142" bestFit="1" customWidth="1"/>
    <col min="12558" max="12558" width="14.44140625" style="142" bestFit="1" customWidth="1"/>
    <col min="12559" max="12559" width="8.1640625" style="142" customWidth="1"/>
    <col min="12560" max="12560" width="10.83203125" style="142" bestFit="1" customWidth="1"/>
    <col min="12561" max="12561" width="12.27734375" style="142" bestFit="1" customWidth="1"/>
    <col min="12562" max="12562" width="9.1640625" style="142" customWidth="1"/>
    <col min="12563" max="12563" width="10.83203125" style="142" bestFit="1" customWidth="1"/>
    <col min="12564" max="12564" width="12.27734375" style="142" bestFit="1" customWidth="1"/>
    <col min="12565" max="12565" width="8" style="142" customWidth="1"/>
    <col min="12566" max="12566" width="10.83203125" style="142" bestFit="1" customWidth="1"/>
    <col min="12567" max="12567" width="12.27734375" style="142" bestFit="1" customWidth="1"/>
    <col min="12568" max="12568" width="8.1640625" style="142" bestFit="1" customWidth="1"/>
    <col min="12569" max="12569" width="10.83203125" style="142" bestFit="1" customWidth="1"/>
    <col min="12570" max="12570" width="12.27734375" style="142" bestFit="1" customWidth="1"/>
    <col min="12571" max="12571" width="18.27734375" style="142" bestFit="1" customWidth="1"/>
    <col min="12572" max="12572" width="10.83203125" style="142" bestFit="1" customWidth="1"/>
    <col min="12573" max="12808" width="8.83203125" style="142"/>
    <col min="12809" max="12809" width="38.27734375" style="142" customWidth="1"/>
    <col min="12810" max="12810" width="23.44140625" style="142" bestFit="1" customWidth="1"/>
    <col min="12811" max="12812" width="9.1640625" style="142" customWidth="1"/>
    <col min="12813" max="12813" width="11.27734375" style="142" bestFit="1" customWidth="1"/>
    <col min="12814" max="12814" width="14.44140625" style="142" bestFit="1" customWidth="1"/>
    <col min="12815" max="12815" width="8.1640625" style="142" customWidth="1"/>
    <col min="12816" max="12816" width="10.83203125" style="142" bestFit="1" customWidth="1"/>
    <col min="12817" max="12817" width="12.27734375" style="142" bestFit="1" customWidth="1"/>
    <col min="12818" max="12818" width="9.1640625" style="142" customWidth="1"/>
    <col min="12819" max="12819" width="10.83203125" style="142" bestFit="1" customWidth="1"/>
    <col min="12820" max="12820" width="12.27734375" style="142" bestFit="1" customWidth="1"/>
    <col min="12821" max="12821" width="8" style="142" customWidth="1"/>
    <col min="12822" max="12822" width="10.83203125" style="142" bestFit="1" customWidth="1"/>
    <col min="12823" max="12823" width="12.27734375" style="142" bestFit="1" customWidth="1"/>
    <col min="12824" max="12824" width="8.1640625" style="142" bestFit="1" customWidth="1"/>
    <col min="12825" max="12825" width="10.83203125" style="142" bestFit="1" customWidth="1"/>
    <col min="12826" max="12826" width="12.27734375" style="142" bestFit="1" customWidth="1"/>
    <col min="12827" max="12827" width="18.27734375" style="142" bestFit="1" customWidth="1"/>
    <col min="12828" max="12828" width="10.83203125" style="142" bestFit="1" customWidth="1"/>
    <col min="12829" max="13064" width="8.83203125" style="142"/>
    <col min="13065" max="13065" width="38.27734375" style="142" customWidth="1"/>
    <col min="13066" max="13066" width="23.44140625" style="142" bestFit="1" customWidth="1"/>
    <col min="13067" max="13068" width="9.1640625" style="142" customWidth="1"/>
    <col min="13069" max="13069" width="11.27734375" style="142" bestFit="1" customWidth="1"/>
    <col min="13070" max="13070" width="14.44140625" style="142" bestFit="1" customWidth="1"/>
    <col min="13071" max="13071" width="8.1640625" style="142" customWidth="1"/>
    <col min="13072" max="13072" width="10.83203125" style="142" bestFit="1" customWidth="1"/>
    <col min="13073" max="13073" width="12.27734375" style="142" bestFit="1" customWidth="1"/>
    <col min="13074" max="13074" width="9.1640625" style="142" customWidth="1"/>
    <col min="13075" max="13075" width="10.83203125" style="142" bestFit="1" customWidth="1"/>
    <col min="13076" max="13076" width="12.27734375" style="142" bestFit="1" customWidth="1"/>
    <col min="13077" max="13077" width="8" style="142" customWidth="1"/>
    <col min="13078" max="13078" width="10.83203125" style="142" bestFit="1" customWidth="1"/>
    <col min="13079" max="13079" width="12.27734375" style="142" bestFit="1" customWidth="1"/>
    <col min="13080" max="13080" width="8.1640625" style="142" bestFit="1" customWidth="1"/>
    <col min="13081" max="13081" width="10.83203125" style="142" bestFit="1" customWidth="1"/>
    <col min="13082" max="13082" width="12.27734375" style="142" bestFit="1" customWidth="1"/>
    <col min="13083" max="13083" width="18.27734375" style="142" bestFit="1" customWidth="1"/>
    <col min="13084" max="13084" width="10.83203125" style="142" bestFit="1" customWidth="1"/>
    <col min="13085" max="13320" width="8.83203125" style="142"/>
    <col min="13321" max="13321" width="38.27734375" style="142" customWidth="1"/>
    <col min="13322" max="13322" width="23.44140625" style="142" bestFit="1" customWidth="1"/>
    <col min="13323" max="13324" width="9.1640625" style="142" customWidth="1"/>
    <col min="13325" max="13325" width="11.27734375" style="142" bestFit="1" customWidth="1"/>
    <col min="13326" max="13326" width="14.44140625" style="142" bestFit="1" customWidth="1"/>
    <col min="13327" max="13327" width="8.1640625" style="142" customWidth="1"/>
    <col min="13328" max="13328" width="10.83203125" style="142" bestFit="1" customWidth="1"/>
    <col min="13329" max="13329" width="12.27734375" style="142" bestFit="1" customWidth="1"/>
    <col min="13330" max="13330" width="9.1640625" style="142" customWidth="1"/>
    <col min="13331" max="13331" width="10.83203125" style="142" bestFit="1" customWidth="1"/>
    <col min="13332" max="13332" width="12.27734375" style="142" bestFit="1" customWidth="1"/>
    <col min="13333" max="13333" width="8" style="142" customWidth="1"/>
    <col min="13334" max="13334" width="10.83203125" style="142" bestFit="1" customWidth="1"/>
    <col min="13335" max="13335" width="12.27734375" style="142" bestFit="1" customWidth="1"/>
    <col min="13336" max="13336" width="8.1640625" style="142" bestFit="1" customWidth="1"/>
    <col min="13337" max="13337" width="10.83203125" style="142" bestFit="1" customWidth="1"/>
    <col min="13338" max="13338" width="12.27734375" style="142" bestFit="1" customWidth="1"/>
    <col min="13339" max="13339" width="18.27734375" style="142" bestFit="1" customWidth="1"/>
    <col min="13340" max="13340" width="10.83203125" style="142" bestFit="1" customWidth="1"/>
    <col min="13341" max="13576" width="8.83203125" style="142"/>
    <col min="13577" max="13577" width="38.27734375" style="142" customWidth="1"/>
    <col min="13578" max="13578" width="23.44140625" style="142" bestFit="1" customWidth="1"/>
    <col min="13579" max="13580" width="9.1640625" style="142" customWidth="1"/>
    <col min="13581" max="13581" width="11.27734375" style="142" bestFit="1" customWidth="1"/>
    <col min="13582" max="13582" width="14.44140625" style="142" bestFit="1" customWidth="1"/>
    <col min="13583" max="13583" width="8.1640625" style="142" customWidth="1"/>
    <col min="13584" max="13584" width="10.83203125" style="142" bestFit="1" customWidth="1"/>
    <col min="13585" max="13585" width="12.27734375" style="142" bestFit="1" customWidth="1"/>
    <col min="13586" max="13586" width="9.1640625" style="142" customWidth="1"/>
    <col min="13587" max="13587" width="10.83203125" style="142" bestFit="1" customWidth="1"/>
    <col min="13588" max="13588" width="12.27734375" style="142" bestFit="1" customWidth="1"/>
    <col min="13589" max="13589" width="8" style="142" customWidth="1"/>
    <col min="13590" max="13590" width="10.83203125" style="142" bestFit="1" customWidth="1"/>
    <col min="13591" max="13591" width="12.27734375" style="142" bestFit="1" customWidth="1"/>
    <col min="13592" max="13592" width="8.1640625" style="142" bestFit="1" customWidth="1"/>
    <col min="13593" max="13593" width="10.83203125" style="142" bestFit="1" customWidth="1"/>
    <col min="13594" max="13594" width="12.27734375" style="142" bestFit="1" customWidth="1"/>
    <col min="13595" max="13595" width="18.27734375" style="142" bestFit="1" customWidth="1"/>
    <col min="13596" max="13596" width="10.83203125" style="142" bestFit="1" customWidth="1"/>
    <col min="13597" max="13832" width="8.83203125" style="142"/>
    <col min="13833" max="13833" width="38.27734375" style="142" customWidth="1"/>
    <col min="13834" max="13834" width="23.44140625" style="142" bestFit="1" customWidth="1"/>
    <col min="13835" max="13836" width="9.1640625" style="142" customWidth="1"/>
    <col min="13837" max="13837" width="11.27734375" style="142" bestFit="1" customWidth="1"/>
    <col min="13838" max="13838" width="14.44140625" style="142" bestFit="1" customWidth="1"/>
    <col min="13839" max="13839" width="8.1640625" style="142" customWidth="1"/>
    <col min="13840" max="13840" width="10.83203125" style="142" bestFit="1" customWidth="1"/>
    <col min="13841" max="13841" width="12.27734375" style="142" bestFit="1" customWidth="1"/>
    <col min="13842" max="13842" width="9.1640625" style="142" customWidth="1"/>
    <col min="13843" max="13843" width="10.83203125" style="142" bestFit="1" customWidth="1"/>
    <col min="13844" max="13844" width="12.27734375" style="142" bestFit="1" customWidth="1"/>
    <col min="13845" max="13845" width="8" style="142" customWidth="1"/>
    <col min="13846" max="13846" width="10.83203125" style="142" bestFit="1" customWidth="1"/>
    <col min="13847" max="13847" width="12.27734375" style="142" bestFit="1" customWidth="1"/>
    <col min="13848" max="13848" width="8.1640625" style="142" bestFit="1" customWidth="1"/>
    <col min="13849" max="13849" width="10.83203125" style="142" bestFit="1" customWidth="1"/>
    <col min="13850" max="13850" width="12.27734375" style="142" bestFit="1" customWidth="1"/>
    <col min="13851" max="13851" width="18.27734375" style="142" bestFit="1" customWidth="1"/>
    <col min="13852" max="13852" width="10.83203125" style="142" bestFit="1" customWidth="1"/>
    <col min="13853" max="14088" width="8.83203125" style="142"/>
    <col min="14089" max="14089" width="38.27734375" style="142" customWidth="1"/>
    <col min="14090" max="14090" width="23.44140625" style="142" bestFit="1" customWidth="1"/>
    <col min="14091" max="14092" width="9.1640625" style="142" customWidth="1"/>
    <col min="14093" max="14093" width="11.27734375" style="142" bestFit="1" customWidth="1"/>
    <col min="14094" max="14094" width="14.44140625" style="142" bestFit="1" customWidth="1"/>
    <col min="14095" max="14095" width="8.1640625" style="142" customWidth="1"/>
    <col min="14096" max="14096" width="10.83203125" style="142" bestFit="1" customWidth="1"/>
    <col min="14097" max="14097" width="12.27734375" style="142" bestFit="1" customWidth="1"/>
    <col min="14098" max="14098" width="9.1640625" style="142" customWidth="1"/>
    <col min="14099" max="14099" width="10.83203125" style="142" bestFit="1" customWidth="1"/>
    <col min="14100" max="14100" width="12.27734375" style="142" bestFit="1" customWidth="1"/>
    <col min="14101" max="14101" width="8" style="142" customWidth="1"/>
    <col min="14102" max="14102" width="10.83203125" style="142" bestFit="1" customWidth="1"/>
    <col min="14103" max="14103" width="12.27734375" style="142" bestFit="1" customWidth="1"/>
    <col min="14104" max="14104" width="8.1640625" style="142" bestFit="1" customWidth="1"/>
    <col min="14105" max="14105" width="10.83203125" style="142" bestFit="1" customWidth="1"/>
    <col min="14106" max="14106" width="12.27734375" style="142" bestFit="1" customWidth="1"/>
    <col min="14107" max="14107" width="18.27734375" style="142" bestFit="1" customWidth="1"/>
    <col min="14108" max="14108" width="10.83203125" style="142" bestFit="1" customWidth="1"/>
    <col min="14109" max="14344" width="8.83203125" style="142"/>
    <col min="14345" max="14345" width="38.27734375" style="142" customWidth="1"/>
    <col min="14346" max="14346" width="23.44140625" style="142" bestFit="1" customWidth="1"/>
    <col min="14347" max="14348" width="9.1640625" style="142" customWidth="1"/>
    <col min="14349" max="14349" width="11.27734375" style="142" bestFit="1" customWidth="1"/>
    <col min="14350" max="14350" width="14.44140625" style="142" bestFit="1" customWidth="1"/>
    <col min="14351" max="14351" width="8.1640625" style="142" customWidth="1"/>
    <col min="14352" max="14352" width="10.83203125" style="142" bestFit="1" customWidth="1"/>
    <col min="14353" max="14353" width="12.27734375" style="142" bestFit="1" customWidth="1"/>
    <col min="14354" max="14354" width="9.1640625" style="142" customWidth="1"/>
    <col min="14355" max="14355" width="10.83203125" style="142" bestFit="1" customWidth="1"/>
    <col min="14356" max="14356" width="12.27734375" style="142" bestFit="1" customWidth="1"/>
    <col min="14357" max="14357" width="8" style="142" customWidth="1"/>
    <col min="14358" max="14358" width="10.83203125" style="142" bestFit="1" customWidth="1"/>
    <col min="14359" max="14359" width="12.27734375" style="142" bestFit="1" customWidth="1"/>
    <col min="14360" max="14360" width="8.1640625" style="142" bestFit="1" customWidth="1"/>
    <col min="14361" max="14361" width="10.83203125" style="142" bestFit="1" customWidth="1"/>
    <col min="14362" max="14362" width="12.27734375" style="142" bestFit="1" customWidth="1"/>
    <col min="14363" max="14363" width="18.27734375" style="142" bestFit="1" customWidth="1"/>
    <col min="14364" max="14364" width="10.83203125" style="142" bestFit="1" customWidth="1"/>
    <col min="14365" max="14600" width="8.83203125" style="142"/>
    <col min="14601" max="14601" width="38.27734375" style="142" customWidth="1"/>
    <col min="14602" max="14602" width="23.44140625" style="142" bestFit="1" customWidth="1"/>
    <col min="14603" max="14604" width="9.1640625" style="142" customWidth="1"/>
    <col min="14605" max="14605" width="11.27734375" style="142" bestFit="1" customWidth="1"/>
    <col min="14606" max="14606" width="14.44140625" style="142" bestFit="1" customWidth="1"/>
    <col min="14607" max="14607" width="8.1640625" style="142" customWidth="1"/>
    <col min="14608" max="14608" width="10.83203125" style="142" bestFit="1" customWidth="1"/>
    <col min="14609" max="14609" width="12.27734375" style="142" bestFit="1" customWidth="1"/>
    <col min="14610" max="14610" width="9.1640625" style="142" customWidth="1"/>
    <col min="14611" max="14611" width="10.83203125" style="142" bestFit="1" customWidth="1"/>
    <col min="14612" max="14612" width="12.27734375" style="142" bestFit="1" customWidth="1"/>
    <col min="14613" max="14613" width="8" style="142" customWidth="1"/>
    <col min="14614" max="14614" width="10.83203125" style="142" bestFit="1" customWidth="1"/>
    <col min="14615" max="14615" width="12.27734375" style="142" bestFit="1" customWidth="1"/>
    <col min="14616" max="14616" width="8.1640625" style="142" bestFit="1" customWidth="1"/>
    <col min="14617" max="14617" width="10.83203125" style="142" bestFit="1" customWidth="1"/>
    <col min="14618" max="14618" width="12.27734375" style="142" bestFit="1" customWidth="1"/>
    <col min="14619" max="14619" width="18.27734375" style="142" bestFit="1" customWidth="1"/>
    <col min="14620" max="14620" width="10.83203125" style="142" bestFit="1" customWidth="1"/>
    <col min="14621" max="14856" width="8.83203125" style="142"/>
    <col min="14857" max="14857" width="38.27734375" style="142" customWidth="1"/>
    <col min="14858" max="14858" width="23.44140625" style="142" bestFit="1" customWidth="1"/>
    <col min="14859" max="14860" width="9.1640625" style="142" customWidth="1"/>
    <col min="14861" max="14861" width="11.27734375" style="142" bestFit="1" customWidth="1"/>
    <col min="14862" max="14862" width="14.44140625" style="142" bestFit="1" customWidth="1"/>
    <col min="14863" max="14863" width="8.1640625" style="142" customWidth="1"/>
    <col min="14864" max="14864" width="10.83203125" style="142" bestFit="1" customWidth="1"/>
    <col min="14865" max="14865" width="12.27734375" style="142" bestFit="1" customWidth="1"/>
    <col min="14866" max="14866" width="9.1640625" style="142" customWidth="1"/>
    <col min="14867" max="14867" width="10.83203125" style="142" bestFit="1" customWidth="1"/>
    <col min="14868" max="14868" width="12.27734375" style="142" bestFit="1" customWidth="1"/>
    <col min="14869" max="14869" width="8" style="142" customWidth="1"/>
    <col min="14870" max="14870" width="10.83203125" style="142" bestFit="1" customWidth="1"/>
    <col min="14871" max="14871" width="12.27734375" style="142" bestFit="1" customWidth="1"/>
    <col min="14872" max="14872" width="8.1640625" style="142" bestFit="1" customWidth="1"/>
    <col min="14873" max="14873" width="10.83203125" style="142" bestFit="1" customWidth="1"/>
    <col min="14874" max="14874" width="12.27734375" style="142" bestFit="1" customWidth="1"/>
    <col min="14875" max="14875" width="18.27734375" style="142" bestFit="1" customWidth="1"/>
    <col min="14876" max="14876" width="10.83203125" style="142" bestFit="1" customWidth="1"/>
    <col min="14877" max="15112" width="8.83203125" style="142"/>
    <col min="15113" max="15113" width="38.27734375" style="142" customWidth="1"/>
    <col min="15114" max="15114" width="23.44140625" style="142" bestFit="1" customWidth="1"/>
    <col min="15115" max="15116" width="9.1640625" style="142" customWidth="1"/>
    <col min="15117" max="15117" width="11.27734375" style="142" bestFit="1" customWidth="1"/>
    <col min="15118" max="15118" width="14.44140625" style="142" bestFit="1" customWidth="1"/>
    <col min="15119" max="15119" width="8.1640625" style="142" customWidth="1"/>
    <col min="15120" max="15120" width="10.83203125" style="142" bestFit="1" customWidth="1"/>
    <col min="15121" max="15121" width="12.27734375" style="142" bestFit="1" customWidth="1"/>
    <col min="15122" max="15122" width="9.1640625" style="142" customWidth="1"/>
    <col min="15123" max="15123" width="10.83203125" style="142" bestFit="1" customWidth="1"/>
    <col min="15124" max="15124" width="12.27734375" style="142" bestFit="1" customWidth="1"/>
    <col min="15125" max="15125" width="8" style="142" customWidth="1"/>
    <col min="15126" max="15126" width="10.83203125" style="142" bestFit="1" customWidth="1"/>
    <col min="15127" max="15127" width="12.27734375" style="142" bestFit="1" customWidth="1"/>
    <col min="15128" max="15128" width="8.1640625" style="142" bestFit="1" customWidth="1"/>
    <col min="15129" max="15129" width="10.83203125" style="142" bestFit="1" customWidth="1"/>
    <col min="15130" max="15130" width="12.27734375" style="142" bestFit="1" customWidth="1"/>
    <col min="15131" max="15131" width="18.27734375" style="142" bestFit="1" customWidth="1"/>
    <col min="15132" max="15132" width="10.83203125" style="142" bestFit="1" customWidth="1"/>
    <col min="15133" max="15368" width="8.83203125" style="142"/>
    <col min="15369" max="15369" width="38.27734375" style="142" customWidth="1"/>
    <col min="15370" max="15370" width="23.44140625" style="142" bestFit="1" customWidth="1"/>
    <col min="15371" max="15372" width="9.1640625" style="142" customWidth="1"/>
    <col min="15373" max="15373" width="11.27734375" style="142" bestFit="1" customWidth="1"/>
    <col min="15374" max="15374" width="14.44140625" style="142" bestFit="1" customWidth="1"/>
    <col min="15375" max="15375" width="8.1640625" style="142" customWidth="1"/>
    <col min="15376" max="15376" width="10.83203125" style="142" bestFit="1" customWidth="1"/>
    <col min="15377" max="15377" width="12.27734375" style="142" bestFit="1" customWidth="1"/>
    <col min="15378" max="15378" width="9.1640625" style="142" customWidth="1"/>
    <col min="15379" max="15379" width="10.83203125" style="142" bestFit="1" customWidth="1"/>
    <col min="15380" max="15380" width="12.27734375" style="142" bestFit="1" customWidth="1"/>
    <col min="15381" max="15381" width="8" style="142" customWidth="1"/>
    <col min="15382" max="15382" width="10.83203125" style="142" bestFit="1" customWidth="1"/>
    <col min="15383" max="15383" width="12.27734375" style="142" bestFit="1" customWidth="1"/>
    <col min="15384" max="15384" width="8.1640625" style="142" bestFit="1" customWidth="1"/>
    <col min="15385" max="15385" width="10.83203125" style="142" bestFit="1" customWidth="1"/>
    <col min="15386" max="15386" width="12.27734375" style="142" bestFit="1" customWidth="1"/>
    <col min="15387" max="15387" width="18.27734375" style="142" bestFit="1" customWidth="1"/>
    <col min="15388" max="15388" width="10.83203125" style="142" bestFit="1" customWidth="1"/>
    <col min="15389" max="15624" width="8.83203125" style="142"/>
    <col min="15625" max="15625" width="38.27734375" style="142" customWidth="1"/>
    <col min="15626" max="15626" width="23.44140625" style="142" bestFit="1" customWidth="1"/>
    <col min="15627" max="15628" width="9.1640625" style="142" customWidth="1"/>
    <col min="15629" max="15629" width="11.27734375" style="142" bestFit="1" customWidth="1"/>
    <col min="15630" max="15630" width="14.44140625" style="142" bestFit="1" customWidth="1"/>
    <col min="15631" max="15631" width="8.1640625" style="142" customWidth="1"/>
    <col min="15632" max="15632" width="10.83203125" style="142" bestFit="1" customWidth="1"/>
    <col min="15633" max="15633" width="12.27734375" style="142" bestFit="1" customWidth="1"/>
    <col min="15634" max="15634" width="9.1640625" style="142" customWidth="1"/>
    <col min="15635" max="15635" width="10.83203125" style="142" bestFit="1" customWidth="1"/>
    <col min="15636" max="15636" width="12.27734375" style="142" bestFit="1" customWidth="1"/>
    <col min="15637" max="15637" width="8" style="142" customWidth="1"/>
    <col min="15638" max="15638" width="10.83203125" style="142" bestFit="1" customWidth="1"/>
    <col min="15639" max="15639" width="12.27734375" style="142" bestFit="1" customWidth="1"/>
    <col min="15640" max="15640" width="8.1640625" style="142" bestFit="1" customWidth="1"/>
    <col min="15641" max="15641" width="10.83203125" style="142" bestFit="1" customWidth="1"/>
    <col min="15642" max="15642" width="12.27734375" style="142" bestFit="1" customWidth="1"/>
    <col min="15643" max="15643" width="18.27734375" style="142" bestFit="1" customWidth="1"/>
    <col min="15644" max="15644" width="10.83203125" style="142" bestFit="1" customWidth="1"/>
    <col min="15645" max="15880" width="8.83203125" style="142"/>
    <col min="15881" max="15881" width="38.27734375" style="142" customWidth="1"/>
    <col min="15882" max="15882" width="23.44140625" style="142" bestFit="1" customWidth="1"/>
    <col min="15883" max="15884" width="9.1640625" style="142" customWidth="1"/>
    <col min="15885" max="15885" width="11.27734375" style="142" bestFit="1" customWidth="1"/>
    <col min="15886" max="15886" width="14.44140625" style="142" bestFit="1" customWidth="1"/>
    <col min="15887" max="15887" width="8.1640625" style="142" customWidth="1"/>
    <col min="15888" max="15888" width="10.83203125" style="142" bestFit="1" customWidth="1"/>
    <col min="15889" max="15889" width="12.27734375" style="142" bestFit="1" customWidth="1"/>
    <col min="15890" max="15890" width="9.1640625" style="142" customWidth="1"/>
    <col min="15891" max="15891" width="10.83203125" style="142" bestFit="1" customWidth="1"/>
    <col min="15892" max="15892" width="12.27734375" style="142" bestFit="1" customWidth="1"/>
    <col min="15893" max="15893" width="8" style="142" customWidth="1"/>
    <col min="15894" max="15894" width="10.83203125" style="142" bestFit="1" customWidth="1"/>
    <col min="15895" max="15895" width="12.27734375" style="142" bestFit="1" customWidth="1"/>
    <col min="15896" max="15896" width="8.1640625" style="142" bestFit="1" customWidth="1"/>
    <col min="15897" max="15897" width="10.83203125" style="142" bestFit="1" customWidth="1"/>
    <col min="15898" max="15898" width="12.27734375" style="142" bestFit="1" customWidth="1"/>
    <col min="15899" max="15899" width="18.27734375" style="142" bestFit="1" customWidth="1"/>
    <col min="15900" max="15900" width="10.83203125" style="142" bestFit="1" customWidth="1"/>
    <col min="15901" max="16136" width="8.83203125" style="142"/>
    <col min="16137" max="16137" width="38.27734375" style="142" customWidth="1"/>
    <col min="16138" max="16138" width="23.44140625" style="142" bestFit="1" customWidth="1"/>
    <col min="16139" max="16140" width="9.1640625" style="142" customWidth="1"/>
    <col min="16141" max="16141" width="11.27734375" style="142" bestFit="1" customWidth="1"/>
    <col min="16142" max="16142" width="14.44140625" style="142" bestFit="1" customWidth="1"/>
    <col min="16143" max="16143" width="8.1640625" style="142" customWidth="1"/>
    <col min="16144" max="16144" width="10.83203125" style="142" bestFit="1" customWidth="1"/>
    <col min="16145" max="16145" width="12.27734375" style="142" bestFit="1" customWidth="1"/>
    <col min="16146" max="16146" width="9.1640625" style="142" customWidth="1"/>
    <col min="16147" max="16147" width="10.83203125" style="142" bestFit="1" customWidth="1"/>
    <col min="16148" max="16148" width="12.27734375" style="142" bestFit="1" customWidth="1"/>
    <col min="16149" max="16149" width="8" style="142" customWidth="1"/>
    <col min="16150" max="16150" width="10.83203125" style="142" bestFit="1" customWidth="1"/>
    <col min="16151" max="16151" width="12.27734375" style="142" bestFit="1" customWidth="1"/>
    <col min="16152" max="16152" width="8.1640625" style="142" bestFit="1" customWidth="1"/>
    <col min="16153" max="16153" width="10.83203125" style="142" bestFit="1" customWidth="1"/>
    <col min="16154" max="16154" width="12.27734375" style="142" bestFit="1" customWidth="1"/>
    <col min="16155" max="16155" width="18.27734375" style="142" bestFit="1" customWidth="1"/>
    <col min="16156" max="16156" width="10.83203125" style="142" bestFit="1" customWidth="1"/>
    <col min="16157" max="16384" width="8.83203125" style="142"/>
  </cols>
  <sheetData>
    <row r="1" spans="1:36" ht="14.7" thickBot="1"/>
    <row r="2" spans="1:36" ht="23.5" customHeight="1">
      <c r="A2" s="591" t="s">
        <v>62</v>
      </c>
      <c r="B2" s="587" t="s">
        <v>63</v>
      </c>
      <c r="C2" s="580" t="s">
        <v>64</v>
      </c>
      <c r="D2" s="581"/>
      <c r="E2" s="581"/>
      <c r="F2" s="582"/>
      <c r="G2" s="580" t="s">
        <v>65</v>
      </c>
      <c r="H2" s="581"/>
      <c r="I2" s="581"/>
      <c r="J2" s="582"/>
      <c r="K2" s="580" t="s">
        <v>66</v>
      </c>
      <c r="L2" s="581"/>
      <c r="M2" s="581"/>
      <c r="N2" s="582"/>
      <c r="O2" s="580" t="s">
        <v>67</v>
      </c>
      <c r="P2" s="581"/>
      <c r="Q2" s="581"/>
      <c r="R2" s="582"/>
      <c r="S2" s="580" t="s">
        <v>68</v>
      </c>
      <c r="T2" s="581"/>
      <c r="U2" s="581"/>
      <c r="V2" s="582"/>
      <c r="W2" s="589" t="s">
        <v>69</v>
      </c>
      <c r="AE2" s="148"/>
    </row>
    <row r="3" spans="1:36" ht="47.65" customHeight="1">
      <c r="A3" s="592"/>
      <c r="B3" s="588"/>
      <c r="C3" s="149" t="s">
        <v>70</v>
      </c>
      <c r="D3" s="150" t="s">
        <v>71</v>
      </c>
      <c r="E3" s="151" t="s">
        <v>72</v>
      </c>
      <c r="F3" s="152" t="s">
        <v>69</v>
      </c>
      <c r="G3" s="149" t="s">
        <v>70</v>
      </c>
      <c r="H3" s="150" t="s">
        <v>71</v>
      </c>
      <c r="I3" s="153" t="s">
        <v>72</v>
      </c>
      <c r="J3" s="154" t="s">
        <v>69</v>
      </c>
      <c r="K3" s="149" t="s">
        <v>70</v>
      </c>
      <c r="L3" s="150" t="s">
        <v>71</v>
      </c>
      <c r="M3" s="151" t="s">
        <v>72</v>
      </c>
      <c r="N3" s="154" t="s">
        <v>69</v>
      </c>
      <c r="O3" s="149" t="s">
        <v>70</v>
      </c>
      <c r="P3" s="150" t="s">
        <v>71</v>
      </c>
      <c r="Q3" s="153" t="s">
        <v>72</v>
      </c>
      <c r="R3" s="154" t="s">
        <v>69</v>
      </c>
      <c r="S3" s="149" t="s">
        <v>70</v>
      </c>
      <c r="T3" s="150" t="s">
        <v>71</v>
      </c>
      <c r="U3" s="153" t="s">
        <v>72</v>
      </c>
      <c r="V3" s="154" t="s">
        <v>69</v>
      </c>
      <c r="W3" s="590"/>
      <c r="AE3" s="148"/>
      <c r="AF3" s="142" t="s">
        <v>116</v>
      </c>
    </row>
    <row r="4" spans="1:36" ht="20.399999999999999">
      <c r="A4" s="311" t="s">
        <v>73</v>
      </c>
      <c r="B4" s="155"/>
      <c r="C4" s="156"/>
      <c r="D4" s="157"/>
      <c r="E4" s="158"/>
      <c r="F4" s="159"/>
      <c r="G4" s="156"/>
      <c r="H4" s="157"/>
      <c r="I4" s="160"/>
      <c r="J4" s="161"/>
      <c r="K4" s="156"/>
      <c r="L4" s="157"/>
      <c r="M4" s="158"/>
      <c r="N4" s="161"/>
      <c r="O4" s="162"/>
      <c r="P4" s="157"/>
      <c r="Q4" s="160"/>
      <c r="R4" s="161"/>
      <c r="S4" s="162"/>
      <c r="T4" s="157"/>
      <c r="U4" s="160"/>
      <c r="V4" s="163"/>
      <c r="W4" s="318"/>
      <c r="AE4" s="164" t="s">
        <v>117</v>
      </c>
      <c r="AF4" s="164" t="s">
        <v>118</v>
      </c>
      <c r="AG4" s="164" t="s">
        <v>119</v>
      </c>
    </row>
    <row r="5" spans="1:36" s="175" customFormat="1" ht="15" customHeight="1" outlineLevel="1">
      <c r="A5" s="165" t="s">
        <v>47</v>
      </c>
      <c r="B5" s="166"/>
      <c r="C5" s="167"/>
      <c r="D5" s="168"/>
      <c r="E5" s="169"/>
      <c r="F5" s="170"/>
      <c r="G5" s="167"/>
      <c r="H5" s="168"/>
      <c r="I5" s="171"/>
      <c r="J5" s="172"/>
      <c r="K5" s="167"/>
      <c r="L5" s="168"/>
      <c r="M5" s="169"/>
      <c r="N5" s="172"/>
      <c r="O5" s="167"/>
      <c r="P5" s="168"/>
      <c r="Q5" s="171"/>
      <c r="R5" s="172"/>
      <c r="S5" s="167"/>
      <c r="T5" s="168"/>
      <c r="U5" s="171"/>
      <c r="V5" s="172"/>
      <c r="W5" s="319"/>
      <c r="X5" s="174"/>
      <c r="Y5" s="142"/>
      <c r="Z5" s="142"/>
      <c r="AA5" s="142"/>
      <c r="AB5" s="142"/>
      <c r="AC5" s="142"/>
      <c r="AD5" s="142"/>
      <c r="AE5" s="148"/>
    </row>
    <row r="6" spans="1:36" s="175" customFormat="1" ht="15.6" outlineLevel="1">
      <c r="A6" s="176" t="s">
        <v>74</v>
      </c>
      <c r="B6" s="177"/>
      <c r="C6" s="167"/>
      <c r="D6" s="168"/>
      <c r="E6" s="169"/>
      <c r="F6" s="170"/>
      <c r="G6" s="167"/>
      <c r="H6" s="168"/>
      <c r="I6" s="171"/>
      <c r="J6" s="172"/>
      <c r="K6" s="167"/>
      <c r="L6" s="168"/>
      <c r="M6" s="169"/>
      <c r="N6" s="172"/>
      <c r="O6" s="167"/>
      <c r="P6" s="168"/>
      <c r="Q6" s="171"/>
      <c r="R6" s="172"/>
      <c r="S6" s="167"/>
      <c r="T6" s="168"/>
      <c r="U6" s="171"/>
      <c r="V6" s="172"/>
      <c r="W6" s="319"/>
      <c r="X6" s="178"/>
      <c r="Y6" s="142"/>
      <c r="Z6" s="142"/>
      <c r="AA6" s="142"/>
      <c r="AB6" s="142"/>
      <c r="AC6" s="142"/>
      <c r="AD6" s="142"/>
      <c r="AE6" s="148"/>
    </row>
    <row r="7" spans="1:36" outlineLevel="1">
      <c r="A7" s="179" t="s">
        <v>75</v>
      </c>
      <c r="B7" s="202"/>
      <c r="D7" s="251"/>
      <c r="F7" s="184">
        <f>C7*D7*E7</f>
        <v>0</v>
      </c>
      <c r="H7" s="251"/>
      <c r="I7" s="145"/>
      <c r="J7" s="184">
        <f>G7*H7*I7</f>
        <v>0</v>
      </c>
      <c r="L7" s="251"/>
      <c r="N7" s="184">
        <f>K7*L7*M7</f>
        <v>0</v>
      </c>
      <c r="P7" s="251"/>
      <c r="Q7" s="145"/>
      <c r="R7" s="184">
        <f>O7*P7*Q7</f>
        <v>0</v>
      </c>
      <c r="T7" s="251"/>
      <c r="U7" s="145"/>
      <c r="V7" s="184">
        <f>S7*T7*U7</f>
        <v>0</v>
      </c>
      <c r="W7" s="192">
        <f t="shared" ref="W7" si="0">F7+J7+N7+R7+V7</f>
        <v>0</v>
      </c>
      <c r="AE7" s="148"/>
      <c r="AF7" s="189"/>
      <c r="AG7" s="189"/>
    </row>
    <row r="8" spans="1:36" ht="15" customHeight="1" outlineLevel="1">
      <c r="A8" s="194" t="s">
        <v>76</v>
      </c>
      <c r="B8" s="195"/>
      <c r="C8" s="196"/>
      <c r="D8" s="197"/>
      <c r="E8" s="198"/>
      <c r="F8" s="199">
        <f>SUM(F7:F7)</f>
        <v>0</v>
      </c>
      <c r="G8" s="196"/>
      <c r="H8" s="197"/>
      <c r="I8" s="200"/>
      <c r="J8" s="199">
        <f>SUM(J7:J7)</f>
        <v>0</v>
      </c>
      <c r="K8" s="196"/>
      <c r="L8" s="197"/>
      <c r="M8" s="198"/>
      <c r="N8" s="199">
        <f>SUM(N7:N7)</f>
        <v>0</v>
      </c>
      <c r="O8" s="196"/>
      <c r="P8" s="197"/>
      <c r="Q8" s="200"/>
      <c r="R8" s="199">
        <f>SUM(R7:R7)</f>
        <v>0</v>
      </c>
      <c r="S8" s="196"/>
      <c r="T8" s="197"/>
      <c r="U8" s="200"/>
      <c r="V8" s="199">
        <f>SUM(V7:V7)</f>
        <v>0</v>
      </c>
      <c r="W8" s="321">
        <f>+F8+J8+N8+R8+V8</f>
        <v>0</v>
      </c>
      <c r="AE8" s="148"/>
      <c r="AF8" s="189"/>
      <c r="AG8" s="189" t="s">
        <v>120</v>
      </c>
    </row>
    <row r="9" spans="1:36" ht="15" customHeight="1" outlineLevel="1">
      <c r="A9" s="176" t="s">
        <v>83</v>
      </c>
      <c r="B9" s="202"/>
      <c r="C9" s="203"/>
      <c r="D9" s="204"/>
      <c r="E9" s="205"/>
      <c r="F9" s="184"/>
      <c r="G9" s="203"/>
      <c r="H9" s="204"/>
      <c r="I9" s="206"/>
      <c r="J9" s="186"/>
      <c r="K9" s="203"/>
      <c r="L9" s="204"/>
      <c r="M9" s="205"/>
      <c r="N9" s="186"/>
      <c r="O9" s="203"/>
      <c r="P9" s="204"/>
      <c r="Q9" s="206"/>
      <c r="R9" s="186"/>
      <c r="S9" s="203"/>
      <c r="T9" s="204"/>
      <c r="U9" s="206"/>
      <c r="V9" s="186"/>
      <c r="W9" s="338"/>
      <c r="X9" s="178"/>
      <c r="AE9" s="148"/>
      <c r="AF9" s="189"/>
      <c r="AG9" s="189" t="s">
        <v>120</v>
      </c>
      <c r="AJ9" s="191"/>
    </row>
    <row r="10" spans="1:36" ht="15" customHeight="1" outlineLevel="1">
      <c r="A10" s="179" t="str">
        <f>'Program Budget'!D12</f>
        <v>Key Personnel: Chief of Party - Ms. Rym Ayari</v>
      </c>
      <c r="B10" s="180" t="str">
        <f>'Program Budget'!F140</f>
        <v>Month</v>
      </c>
      <c r="C10" s="181">
        <f>'Program Budget'!H12</f>
        <v>13000</v>
      </c>
      <c r="D10" s="182">
        <f>'Program Budget'!G12</f>
        <v>12</v>
      </c>
      <c r="E10" s="183">
        <f>'Program Budget'!E140</f>
        <v>0.25</v>
      </c>
      <c r="F10" s="184">
        <f>C10*D10*E10</f>
        <v>39000</v>
      </c>
      <c r="G10" s="181">
        <f>C10*1.05</f>
        <v>13650</v>
      </c>
      <c r="H10" s="182">
        <f>'Program Budget'!K12</f>
        <v>12</v>
      </c>
      <c r="I10" s="185">
        <f>'Program Budget'!J140</f>
        <v>0.3</v>
      </c>
      <c r="J10" s="184">
        <f>G10*H10*I10</f>
        <v>49140</v>
      </c>
      <c r="K10" s="181">
        <f>G10*1.05</f>
        <v>14332.5</v>
      </c>
      <c r="L10" s="182">
        <f>'Program Budget'!N12</f>
        <v>12</v>
      </c>
      <c r="M10" s="185">
        <f>'Program Budget'!M140</f>
        <v>0.3</v>
      </c>
      <c r="N10" s="184">
        <f>K10*L10*M10</f>
        <v>51597</v>
      </c>
      <c r="O10" s="181">
        <f>K10*1.05</f>
        <v>15049.125</v>
      </c>
      <c r="P10" s="182">
        <f>'Program Budget'!Q12</f>
        <v>12</v>
      </c>
      <c r="Q10" s="185">
        <f>'Program Budget'!P140</f>
        <v>0.3</v>
      </c>
      <c r="R10" s="184">
        <f>O10*P10*Q10</f>
        <v>54176.85</v>
      </c>
      <c r="S10" s="181">
        <f>O10*1.05</f>
        <v>15801.581250000001</v>
      </c>
      <c r="T10" s="182">
        <f>'Program Budget'!T12</f>
        <v>12</v>
      </c>
      <c r="U10" s="185">
        <f>'Program Budget'!S140</f>
        <v>0.3</v>
      </c>
      <c r="V10" s="184">
        <f>S10*T10*U10</f>
        <v>56885.692499999997</v>
      </c>
      <c r="W10" s="320">
        <f>F10+J10+N10+R10+V10</f>
        <v>250799.54250000001</v>
      </c>
      <c r="X10" s="178"/>
      <c r="AE10" s="148"/>
      <c r="AF10" s="189"/>
      <c r="AG10" s="189"/>
      <c r="AJ10" s="191"/>
    </row>
    <row r="11" spans="1:36" ht="15" customHeight="1" outlineLevel="1">
      <c r="A11" s="179" t="str">
        <f>'Program Budget'!D13</f>
        <v>Key Personnel: Technical Director</v>
      </c>
      <c r="B11" s="180" t="str">
        <f>'Program Budget'!F141</f>
        <v>Month</v>
      </c>
      <c r="C11" s="181">
        <f>'Program Budget'!H13</f>
        <v>3916.6666666666665</v>
      </c>
      <c r="D11" s="182">
        <f>'Program Budget'!G13</f>
        <v>9</v>
      </c>
      <c r="E11" s="183">
        <f>'Program Budget'!E141</f>
        <v>0.25</v>
      </c>
      <c r="F11" s="184">
        <f>C11*D11*E11</f>
        <v>8812.5</v>
      </c>
      <c r="G11" s="181">
        <f t="shared" ref="G11:G30" si="1">C11*1.05</f>
        <v>4112.5</v>
      </c>
      <c r="H11" s="182">
        <f>'Program Budget'!K13</f>
        <v>12</v>
      </c>
      <c r="I11" s="185">
        <f>'Program Budget'!J141</f>
        <v>0.35</v>
      </c>
      <c r="J11" s="184">
        <f>G11*H11*I11</f>
        <v>17272.5</v>
      </c>
      <c r="K11" s="181">
        <f t="shared" ref="K11:K30" si="2">G11*1.05</f>
        <v>4318.125</v>
      </c>
      <c r="L11" s="182">
        <f>'Program Budget'!N13</f>
        <v>12</v>
      </c>
      <c r="M11" s="185">
        <f>'Program Budget'!M141</f>
        <v>0.35</v>
      </c>
      <c r="N11" s="184">
        <f>K11*L11*M11</f>
        <v>18136.125</v>
      </c>
      <c r="O11" s="181">
        <f t="shared" ref="O11:O30" si="3">K11*1.05</f>
        <v>4534.03125</v>
      </c>
      <c r="P11" s="182">
        <f>'Program Budget'!Q13</f>
        <v>12</v>
      </c>
      <c r="Q11" s="185">
        <f>'Program Budget'!P141</f>
        <v>0.35</v>
      </c>
      <c r="R11" s="184">
        <f>O11*P11*Q11</f>
        <v>19042.931249999998</v>
      </c>
      <c r="S11" s="181">
        <f t="shared" ref="S11:S30" si="4">O11*1.05</f>
        <v>4760.7328125000004</v>
      </c>
      <c r="T11" s="182">
        <f>'Program Budget'!T13</f>
        <v>9</v>
      </c>
      <c r="U11" s="185">
        <f>'Program Budget'!S141</f>
        <v>0.35</v>
      </c>
      <c r="V11" s="184">
        <f>S11*T11*U11</f>
        <v>14996.308359375</v>
      </c>
      <c r="W11" s="320">
        <f>F11+J11+N11+R11+V11</f>
        <v>78260.364609374999</v>
      </c>
      <c r="X11" s="187"/>
      <c r="Y11" s="174"/>
      <c r="Z11" s="188"/>
      <c r="AA11" s="188"/>
      <c r="AE11" s="148">
        <v>180</v>
      </c>
      <c r="AF11" s="189" t="s">
        <v>121</v>
      </c>
      <c r="AG11" s="189" t="s">
        <v>122</v>
      </c>
      <c r="AH11" s="190"/>
      <c r="AJ11" s="191"/>
    </row>
    <row r="12" spans="1:36" ht="15" customHeight="1" outlineLevel="1">
      <c r="A12" s="179" t="str">
        <f>'Program Budget'!D14</f>
        <v>Technical Lead Component 1</v>
      </c>
      <c r="B12" s="180" t="str">
        <f>'Program Budget'!F142</f>
        <v>Month</v>
      </c>
      <c r="C12" s="181">
        <f>'Program Budget'!H14</f>
        <v>2500</v>
      </c>
      <c r="D12" s="182">
        <f>'Program Budget'!G14</f>
        <v>6</v>
      </c>
      <c r="E12" s="183">
        <f>'Program Budget'!E142</f>
        <v>0.8</v>
      </c>
      <c r="F12" s="184">
        <f t="shared" ref="F12:F30" si="5">C12*D12*E12</f>
        <v>12000</v>
      </c>
      <c r="G12" s="181">
        <f t="shared" si="1"/>
        <v>2625</v>
      </c>
      <c r="H12" s="182">
        <f>'Program Budget'!K14</f>
        <v>12</v>
      </c>
      <c r="I12" s="185">
        <f>'Program Budget'!J142</f>
        <v>1</v>
      </c>
      <c r="J12" s="184">
        <f t="shared" ref="J12:J30" si="6">G12*H12*I12</f>
        <v>31500</v>
      </c>
      <c r="K12" s="181">
        <f t="shared" si="2"/>
        <v>2756.25</v>
      </c>
      <c r="L12" s="182">
        <f>'Program Budget'!N14</f>
        <v>12</v>
      </c>
      <c r="M12" s="185">
        <f>'Program Budget'!M142</f>
        <v>1</v>
      </c>
      <c r="N12" s="184">
        <f t="shared" ref="N12:N30" si="7">K12*L12*M12</f>
        <v>33075</v>
      </c>
      <c r="O12" s="181">
        <f t="shared" si="3"/>
        <v>2894.0625</v>
      </c>
      <c r="P12" s="182">
        <f>'Program Budget'!Q14</f>
        <v>12</v>
      </c>
      <c r="Q12" s="185">
        <f>'Program Budget'!P142</f>
        <v>1</v>
      </c>
      <c r="R12" s="184">
        <f t="shared" ref="R12:R30" si="8">O12*P12*Q12</f>
        <v>34728.75</v>
      </c>
      <c r="S12" s="181">
        <f t="shared" si="4"/>
        <v>3038.765625</v>
      </c>
      <c r="T12" s="182">
        <f>'Program Budget'!T14</f>
        <v>9</v>
      </c>
      <c r="U12" s="185">
        <f>'Program Budget'!S142</f>
        <v>1</v>
      </c>
      <c r="V12" s="184">
        <f t="shared" ref="V12:V30" si="9">S12*T12*U12</f>
        <v>27348.890625</v>
      </c>
      <c r="W12" s="320">
        <f t="shared" ref="W12:W30" si="10">F12+J12+N12+R12+V12</f>
        <v>138652.640625</v>
      </c>
      <c r="X12" s="187"/>
      <c r="Y12" s="174"/>
      <c r="Z12" s="188"/>
      <c r="AA12" s="188"/>
      <c r="AE12" s="148">
        <v>180</v>
      </c>
      <c r="AF12" s="189" t="s">
        <v>121</v>
      </c>
      <c r="AG12" s="189" t="s">
        <v>122</v>
      </c>
      <c r="AH12" s="190"/>
      <c r="AJ12" s="191"/>
    </row>
    <row r="13" spans="1:36" ht="15" customHeight="1" outlineLevel="1">
      <c r="A13" s="179" t="str">
        <f>'Program Budget'!D15</f>
        <v>Technical Lead Component 2</v>
      </c>
      <c r="B13" s="180" t="str">
        <f>'Program Budget'!F143</f>
        <v>Month</v>
      </c>
      <c r="C13" s="181">
        <f>'Program Budget'!H15</f>
        <v>2500</v>
      </c>
      <c r="D13" s="182">
        <f>'Program Budget'!G15</f>
        <v>6</v>
      </c>
      <c r="E13" s="183">
        <f>'Program Budget'!E143</f>
        <v>0</v>
      </c>
      <c r="F13" s="184">
        <f t="shared" si="5"/>
        <v>0</v>
      </c>
      <c r="G13" s="181">
        <f t="shared" si="1"/>
        <v>2625</v>
      </c>
      <c r="H13" s="182">
        <f>'Program Budget'!K15</f>
        <v>12</v>
      </c>
      <c r="I13" s="185">
        <f>'Program Budget'!J143</f>
        <v>0</v>
      </c>
      <c r="J13" s="184">
        <f t="shared" si="6"/>
        <v>0</v>
      </c>
      <c r="K13" s="181">
        <f t="shared" si="2"/>
        <v>2756.25</v>
      </c>
      <c r="L13" s="182">
        <f>'Program Budget'!N15</f>
        <v>12</v>
      </c>
      <c r="M13" s="185">
        <f>'Program Budget'!M143</f>
        <v>0</v>
      </c>
      <c r="N13" s="184">
        <f t="shared" si="7"/>
        <v>0</v>
      </c>
      <c r="O13" s="181">
        <f t="shared" si="3"/>
        <v>2894.0625</v>
      </c>
      <c r="P13" s="182">
        <f>'Program Budget'!Q15</f>
        <v>12</v>
      </c>
      <c r="Q13" s="185">
        <f>'Program Budget'!P143</f>
        <v>0</v>
      </c>
      <c r="R13" s="184">
        <f t="shared" si="8"/>
        <v>0</v>
      </c>
      <c r="S13" s="181">
        <f t="shared" si="4"/>
        <v>3038.765625</v>
      </c>
      <c r="T13" s="182">
        <f>'Program Budget'!T15</f>
        <v>9</v>
      </c>
      <c r="U13" s="185">
        <f>'Program Budget'!S143</f>
        <v>0</v>
      </c>
      <c r="V13" s="184">
        <f t="shared" si="9"/>
        <v>0</v>
      </c>
      <c r="W13" s="320">
        <f t="shared" si="10"/>
        <v>0</v>
      </c>
      <c r="X13" s="187"/>
      <c r="Y13" s="174"/>
      <c r="Z13" s="188"/>
      <c r="AA13" s="188"/>
      <c r="AE13" s="148">
        <v>180</v>
      </c>
      <c r="AF13" s="189" t="s">
        <v>121</v>
      </c>
      <c r="AG13" s="189" t="s">
        <v>122</v>
      </c>
      <c r="AH13" s="190"/>
      <c r="AJ13" s="191"/>
    </row>
    <row r="14" spans="1:36" ht="15" customHeight="1" outlineLevel="1">
      <c r="A14" s="179" t="str">
        <f>'Program Budget'!D16</f>
        <v>Technical Lead Component 3</v>
      </c>
      <c r="B14" s="180" t="str">
        <f>'Program Budget'!F144</f>
        <v>Month</v>
      </c>
      <c r="C14" s="181">
        <f>'Program Budget'!H16</f>
        <v>2500</v>
      </c>
      <c r="D14" s="182">
        <f>'Program Budget'!G16</f>
        <v>6</v>
      </c>
      <c r="E14" s="183">
        <f>'Program Budget'!E144</f>
        <v>0</v>
      </c>
      <c r="F14" s="184">
        <f t="shared" si="5"/>
        <v>0</v>
      </c>
      <c r="G14" s="181">
        <f t="shared" si="1"/>
        <v>2625</v>
      </c>
      <c r="H14" s="182">
        <f>'Program Budget'!K16</f>
        <v>12</v>
      </c>
      <c r="I14" s="185">
        <f>'Program Budget'!J144</f>
        <v>0</v>
      </c>
      <c r="J14" s="184">
        <f t="shared" si="6"/>
        <v>0</v>
      </c>
      <c r="K14" s="181">
        <f t="shared" si="2"/>
        <v>2756.25</v>
      </c>
      <c r="L14" s="182">
        <f>'Program Budget'!N16</f>
        <v>12</v>
      </c>
      <c r="M14" s="185">
        <f>'Program Budget'!M144</f>
        <v>0</v>
      </c>
      <c r="N14" s="184">
        <f t="shared" si="7"/>
        <v>0</v>
      </c>
      <c r="O14" s="181">
        <f t="shared" si="3"/>
        <v>2894.0625</v>
      </c>
      <c r="P14" s="182">
        <f>'Program Budget'!Q16</f>
        <v>12</v>
      </c>
      <c r="Q14" s="185">
        <f>'Program Budget'!P144</f>
        <v>0</v>
      </c>
      <c r="R14" s="184">
        <f t="shared" si="8"/>
        <v>0</v>
      </c>
      <c r="S14" s="181">
        <f t="shared" si="4"/>
        <v>3038.765625</v>
      </c>
      <c r="T14" s="182">
        <f>'Program Budget'!T16</f>
        <v>9</v>
      </c>
      <c r="U14" s="185">
        <f>'Program Budget'!S144</f>
        <v>0</v>
      </c>
      <c r="V14" s="184">
        <f t="shared" si="9"/>
        <v>0</v>
      </c>
      <c r="W14" s="320">
        <f t="shared" si="10"/>
        <v>0</v>
      </c>
      <c r="X14" s="187"/>
      <c r="Y14" s="174"/>
      <c r="Z14" s="188"/>
      <c r="AA14" s="188"/>
      <c r="AE14" s="148">
        <v>180</v>
      </c>
      <c r="AF14" s="189" t="s">
        <v>121</v>
      </c>
      <c r="AG14" s="189" t="s">
        <v>122</v>
      </c>
      <c r="AH14" s="190"/>
      <c r="AJ14" s="191"/>
    </row>
    <row r="15" spans="1:36" ht="15" customHeight="1" outlineLevel="1">
      <c r="A15" s="179" t="str">
        <f>'Program Budget'!D17</f>
        <v>Technical Specialist Component 1</v>
      </c>
      <c r="B15" s="180" t="str">
        <f>'Program Budget'!F145</f>
        <v>Month</v>
      </c>
      <c r="C15" s="181">
        <f>'Program Budget'!H17</f>
        <v>1833.3333333333333</v>
      </c>
      <c r="D15" s="182">
        <f>'Program Budget'!G17</f>
        <v>6</v>
      </c>
      <c r="E15" s="183">
        <f>'Program Budget'!E145</f>
        <v>0.8</v>
      </c>
      <c r="F15" s="184">
        <f t="shared" si="5"/>
        <v>8800</v>
      </c>
      <c r="G15" s="181">
        <f t="shared" si="1"/>
        <v>1925</v>
      </c>
      <c r="H15" s="182">
        <f>'Program Budget'!K17</f>
        <v>12</v>
      </c>
      <c r="I15" s="185">
        <f>'Program Budget'!J145</f>
        <v>1</v>
      </c>
      <c r="J15" s="184">
        <f t="shared" si="6"/>
        <v>23100</v>
      </c>
      <c r="K15" s="181">
        <f t="shared" si="2"/>
        <v>2021.25</v>
      </c>
      <c r="L15" s="182">
        <f>'Program Budget'!N17</f>
        <v>12</v>
      </c>
      <c r="M15" s="185">
        <f>'Program Budget'!M145</f>
        <v>1</v>
      </c>
      <c r="N15" s="184">
        <f t="shared" si="7"/>
        <v>24255</v>
      </c>
      <c r="O15" s="181">
        <f t="shared" si="3"/>
        <v>2122.3125</v>
      </c>
      <c r="P15" s="182">
        <f>'Program Budget'!Q17</f>
        <v>12</v>
      </c>
      <c r="Q15" s="185">
        <f>'Program Budget'!P145</f>
        <v>1</v>
      </c>
      <c r="R15" s="184">
        <f t="shared" si="8"/>
        <v>25467.75</v>
      </c>
      <c r="S15" s="181">
        <f t="shared" si="4"/>
        <v>2228.4281249999999</v>
      </c>
      <c r="T15" s="182">
        <f>'Program Budget'!T17</f>
        <v>6</v>
      </c>
      <c r="U15" s="185">
        <f>'Program Budget'!S145</f>
        <v>1</v>
      </c>
      <c r="V15" s="184">
        <f t="shared" si="9"/>
        <v>13370.568749999999</v>
      </c>
      <c r="W15" s="320">
        <f t="shared" si="10"/>
        <v>94993.318750000006</v>
      </c>
      <c r="X15" s="187"/>
      <c r="Y15" s="174"/>
      <c r="Z15" s="188"/>
      <c r="AA15" s="188"/>
      <c r="AE15" s="148"/>
      <c r="AF15" s="189"/>
      <c r="AG15" s="189"/>
      <c r="AH15" s="190"/>
      <c r="AJ15" s="191"/>
    </row>
    <row r="16" spans="1:36" ht="15" customHeight="1" outlineLevel="1">
      <c r="A16" s="179" t="str">
        <f>'Program Budget'!D18</f>
        <v>Technical Specialist Component 2</v>
      </c>
      <c r="B16" s="180" t="str">
        <f>'Program Budget'!F146</f>
        <v>Month</v>
      </c>
      <c r="C16" s="181">
        <f>'Program Budget'!H18</f>
        <v>1833.3333333333333</v>
      </c>
      <c r="D16" s="182">
        <f>'Program Budget'!G18</f>
        <v>6</v>
      </c>
      <c r="E16" s="183">
        <f>'Program Budget'!E146</f>
        <v>0</v>
      </c>
      <c r="F16" s="184">
        <f t="shared" si="5"/>
        <v>0</v>
      </c>
      <c r="G16" s="181">
        <f t="shared" si="1"/>
        <v>1925</v>
      </c>
      <c r="H16" s="182">
        <f>'Program Budget'!K18</f>
        <v>12</v>
      </c>
      <c r="I16" s="185">
        <f>'Program Budget'!J146</f>
        <v>0</v>
      </c>
      <c r="J16" s="184">
        <f t="shared" si="6"/>
        <v>0</v>
      </c>
      <c r="K16" s="181">
        <f t="shared" si="2"/>
        <v>2021.25</v>
      </c>
      <c r="L16" s="182">
        <f>'Program Budget'!N18</f>
        <v>12</v>
      </c>
      <c r="M16" s="185">
        <f>'Program Budget'!M146</f>
        <v>0</v>
      </c>
      <c r="N16" s="184">
        <f t="shared" si="7"/>
        <v>0</v>
      </c>
      <c r="O16" s="181">
        <f t="shared" si="3"/>
        <v>2122.3125</v>
      </c>
      <c r="P16" s="182">
        <f>'Program Budget'!Q18</f>
        <v>12</v>
      </c>
      <c r="Q16" s="185">
        <f>'Program Budget'!P146</f>
        <v>0</v>
      </c>
      <c r="R16" s="184">
        <f t="shared" si="8"/>
        <v>0</v>
      </c>
      <c r="S16" s="181">
        <f t="shared" si="4"/>
        <v>2228.4281249999999</v>
      </c>
      <c r="T16" s="182">
        <f>'Program Budget'!T18</f>
        <v>6</v>
      </c>
      <c r="U16" s="185">
        <f>'Program Budget'!S146</f>
        <v>0</v>
      </c>
      <c r="V16" s="184">
        <f t="shared" si="9"/>
        <v>0</v>
      </c>
      <c r="W16" s="320">
        <f t="shared" si="10"/>
        <v>0</v>
      </c>
      <c r="X16" s="187"/>
      <c r="Y16" s="174"/>
      <c r="Z16" s="188"/>
      <c r="AA16" s="188"/>
      <c r="AE16" s="148"/>
      <c r="AF16" s="189"/>
      <c r="AG16" s="189"/>
      <c r="AH16" s="190"/>
      <c r="AJ16" s="191"/>
    </row>
    <row r="17" spans="1:36" ht="15" customHeight="1" outlineLevel="1">
      <c r="A17" s="179" t="str">
        <f>'Program Budget'!D19</f>
        <v>Technical Specialist Component 3</v>
      </c>
      <c r="B17" s="180" t="str">
        <f>'Program Budget'!F147</f>
        <v>Month</v>
      </c>
      <c r="C17" s="181">
        <f>'Program Budget'!H19</f>
        <v>1833.3333333333333</v>
      </c>
      <c r="D17" s="182">
        <f>'Program Budget'!G19</f>
        <v>6</v>
      </c>
      <c r="E17" s="183">
        <f>'Program Budget'!E147</f>
        <v>0</v>
      </c>
      <c r="F17" s="184">
        <f t="shared" si="5"/>
        <v>0</v>
      </c>
      <c r="G17" s="181">
        <f t="shared" si="1"/>
        <v>1925</v>
      </c>
      <c r="H17" s="182">
        <f>'Program Budget'!K19</f>
        <v>12</v>
      </c>
      <c r="I17" s="185">
        <f>'Program Budget'!J147</f>
        <v>0</v>
      </c>
      <c r="J17" s="184">
        <f t="shared" si="6"/>
        <v>0</v>
      </c>
      <c r="K17" s="181">
        <f t="shared" si="2"/>
        <v>2021.25</v>
      </c>
      <c r="L17" s="182">
        <f>'Program Budget'!N19</f>
        <v>12</v>
      </c>
      <c r="M17" s="185">
        <f>'Program Budget'!M147</f>
        <v>0</v>
      </c>
      <c r="N17" s="184">
        <f t="shared" si="7"/>
        <v>0</v>
      </c>
      <c r="O17" s="181">
        <f t="shared" si="3"/>
        <v>2122.3125</v>
      </c>
      <c r="P17" s="182">
        <f>'Program Budget'!Q19</f>
        <v>12</v>
      </c>
      <c r="Q17" s="185">
        <f>'Program Budget'!P147</f>
        <v>0</v>
      </c>
      <c r="R17" s="184">
        <f t="shared" si="8"/>
        <v>0</v>
      </c>
      <c r="S17" s="181">
        <f t="shared" si="4"/>
        <v>2228.4281249999999</v>
      </c>
      <c r="T17" s="182">
        <f>'Program Budget'!T19</f>
        <v>6</v>
      </c>
      <c r="U17" s="185">
        <f>'Program Budget'!S147</f>
        <v>0</v>
      </c>
      <c r="V17" s="184">
        <f t="shared" si="9"/>
        <v>0</v>
      </c>
      <c r="W17" s="320">
        <f t="shared" si="10"/>
        <v>0</v>
      </c>
      <c r="X17" s="187"/>
      <c r="Y17" s="174"/>
      <c r="Z17" s="188"/>
      <c r="AA17" s="188"/>
      <c r="AE17" s="148"/>
      <c r="AF17" s="189"/>
      <c r="AG17" s="189"/>
      <c r="AH17" s="190"/>
      <c r="AJ17" s="191"/>
    </row>
    <row r="18" spans="1:36" ht="15" customHeight="1" outlineLevel="1">
      <c r="A18" s="179" t="str">
        <f>'Program Budget'!D20</f>
        <v>Capacity Building Specialist (2)</v>
      </c>
      <c r="B18" s="180" t="str">
        <f>'Program Budget'!F148</f>
        <v>Month</v>
      </c>
      <c r="C18" s="181">
        <f>'Program Budget'!H20</f>
        <v>3333.3333333333335</v>
      </c>
      <c r="D18" s="182">
        <f>'Program Budget'!G20</f>
        <v>4</v>
      </c>
      <c r="E18" s="183">
        <f>'Program Budget'!E148</f>
        <v>0</v>
      </c>
      <c r="F18" s="184">
        <f t="shared" ref="F18" si="11">C18*D18*E18</f>
        <v>0</v>
      </c>
      <c r="G18" s="181">
        <f t="shared" ref="G18" si="12">C18*1.05</f>
        <v>3500.0000000000005</v>
      </c>
      <c r="H18" s="182">
        <f>'Program Budget'!K20</f>
        <v>12</v>
      </c>
      <c r="I18" s="185">
        <f>'Program Budget'!J148</f>
        <v>0</v>
      </c>
      <c r="J18" s="184">
        <f t="shared" ref="J18" si="13">G18*H18*I18</f>
        <v>0</v>
      </c>
      <c r="K18" s="181">
        <f t="shared" ref="K18" si="14">G18*1.05</f>
        <v>3675.0000000000005</v>
      </c>
      <c r="L18" s="182">
        <f>'Program Budget'!N20</f>
        <v>12</v>
      </c>
      <c r="M18" s="185">
        <f>'Program Budget'!M148</f>
        <v>0</v>
      </c>
      <c r="N18" s="184">
        <f t="shared" ref="N18" si="15">K18*L18*M18</f>
        <v>0</v>
      </c>
      <c r="O18" s="181">
        <f t="shared" ref="O18" si="16">K18*1.05</f>
        <v>3858.7500000000005</v>
      </c>
      <c r="P18" s="182">
        <f>'Program Budget'!Q20</f>
        <v>12</v>
      </c>
      <c r="Q18" s="185">
        <f>'Program Budget'!P148</f>
        <v>0</v>
      </c>
      <c r="R18" s="184">
        <f t="shared" ref="R18" si="17">O18*P18*Q18</f>
        <v>0</v>
      </c>
      <c r="S18" s="181">
        <f t="shared" ref="S18" si="18">O18*1.05</f>
        <v>4051.6875000000005</v>
      </c>
      <c r="T18" s="182">
        <f>'Program Budget'!T20</f>
        <v>5</v>
      </c>
      <c r="U18" s="185">
        <f>'Program Budget'!S148</f>
        <v>0</v>
      </c>
      <c r="V18" s="184">
        <f t="shared" ref="V18" si="19">S18*T18*U18</f>
        <v>0</v>
      </c>
      <c r="W18" s="320">
        <f t="shared" ref="W18" si="20">F18+J18+N18+R18+V18</f>
        <v>0</v>
      </c>
      <c r="X18" s="187"/>
      <c r="Y18" s="174"/>
      <c r="Z18" s="188"/>
      <c r="AA18" s="188"/>
      <c r="AE18" s="148"/>
      <c r="AF18" s="189"/>
      <c r="AG18" s="189"/>
      <c r="AH18" s="190"/>
      <c r="AJ18" s="191"/>
    </row>
    <row r="19" spans="1:36" ht="15" customHeight="1" outlineLevel="1">
      <c r="A19" s="179" t="str">
        <f>'Program Budget'!D21</f>
        <v>Sociocultural and Gender Specialist</v>
      </c>
      <c r="B19" s="180" t="str">
        <f>'Program Budget'!F149</f>
        <v>Month</v>
      </c>
      <c r="C19" s="181">
        <f>'Program Budget'!H21</f>
        <v>1833.3333333333333</v>
      </c>
      <c r="D19" s="182">
        <f>'Program Budget'!G21</f>
        <v>7</v>
      </c>
      <c r="E19" s="183">
        <f>'Program Budget'!E149</f>
        <v>0.25</v>
      </c>
      <c r="F19" s="184">
        <f t="shared" si="5"/>
        <v>3208.333333333333</v>
      </c>
      <c r="G19" s="181">
        <f t="shared" si="1"/>
        <v>1925</v>
      </c>
      <c r="H19" s="182">
        <f>'Program Budget'!K21</f>
        <v>12</v>
      </c>
      <c r="I19" s="185">
        <f>'Program Budget'!J149</f>
        <v>0.35</v>
      </c>
      <c r="J19" s="184">
        <f t="shared" si="6"/>
        <v>8084.9999999999991</v>
      </c>
      <c r="K19" s="181">
        <f t="shared" si="2"/>
        <v>2021.25</v>
      </c>
      <c r="L19" s="182">
        <f>'Program Budget'!N21</f>
        <v>12</v>
      </c>
      <c r="M19" s="185">
        <f>'Program Budget'!M149</f>
        <v>0.3</v>
      </c>
      <c r="N19" s="184">
        <f t="shared" si="7"/>
        <v>7276.5</v>
      </c>
      <c r="O19" s="181">
        <f t="shared" si="3"/>
        <v>2122.3125</v>
      </c>
      <c r="P19" s="182">
        <f>'Program Budget'!Q21</f>
        <v>12</v>
      </c>
      <c r="Q19" s="185">
        <f>'Program Budget'!P149</f>
        <v>0.3</v>
      </c>
      <c r="R19" s="184">
        <f t="shared" si="8"/>
        <v>7640.3249999999998</v>
      </c>
      <c r="S19" s="181">
        <f t="shared" si="4"/>
        <v>2228.4281249999999</v>
      </c>
      <c r="T19" s="182">
        <f>'Program Budget'!T21</f>
        <v>9</v>
      </c>
      <c r="U19" s="185">
        <f>'Program Budget'!S149</f>
        <v>0.3</v>
      </c>
      <c r="V19" s="184">
        <f t="shared" si="9"/>
        <v>6016.7559374999992</v>
      </c>
      <c r="W19" s="320">
        <f t="shared" si="10"/>
        <v>32226.914270833331</v>
      </c>
      <c r="X19" s="187"/>
      <c r="Y19" s="174"/>
      <c r="Z19" s="188"/>
      <c r="AA19" s="188"/>
      <c r="AE19" s="148"/>
      <c r="AF19" s="189"/>
      <c r="AG19" s="189"/>
      <c r="AH19" s="190"/>
      <c r="AJ19" s="191"/>
    </row>
    <row r="20" spans="1:36" ht="15" customHeight="1" outlineLevel="1">
      <c r="A20" s="179" t="str">
        <f>'Program Budget'!D22</f>
        <v>Sociocultural and Gender Officers (3)</v>
      </c>
      <c r="B20" s="180" t="str">
        <f>'Program Budget'!F150</f>
        <v>Month</v>
      </c>
      <c r="C20" s="181">
        <f>'Program Budget'!H22</f>
        <v>3750</v>
      </c>
      <c r="D20" s="182">
        <f>'Program Budget'!G22</f>
        <v>7</v>
      </c>
      <c r="E20" s="183">
        <f>'Program Budget'!E150</f>
        <v>0.25</v>
      </c>
      <c r="F20" s="184">
        <f t="shared" si="5"/>
        <v>6562.5</v>
      </c>
      <c r="G20" s="181">
        <f t="shared" si="1"/>
        <v>3937.5</v>
      </c>
      <c r="H20" s="182">
        <f>'Program Budget'!K22</f>
        <v>12</v>
      </c>
      <c r="I20" s="185">
        <f>'Program Budget'!J150</f>
        <v>0.35</v>
      </c>
      <c r="J20" s="184">
        <f t="shared" si="6"/>
        <v>16537.5</v>
      </c>
      <c r="K20" s="181">
        <f t="shared" si="2"/>
        <v>4134.375</v>
      </c>
      <c r="L20" s="182">
        <f>'Program Budget'!N22</f>
        <v>12</v>
      </c>
      <c r="M20" s="185">
        <f>'Program Budget'!M150</f>
        <v>0.3</v>
      </c>
      <c r="N20" s="184">
        <f t="shared" si="7"/>
        <v>14883.75</v>
      </c>
      <c r="O20" s="181">
        <f t="shared" si="3"/>
        <v>4341.09375</v>
      </c>
      <c r="P20" s="182">
        <f>'Program Budget'!Q22</f>
        <v>12</v>
      </c>
      <c r="Q20" s="185">
        <f>'Program Budget'!P150</f>
        <v>0.3</v>
      </c>
      <c r="R20" s="184">
        <f t="shared" si="8"/>
        <v>15627.9375</v>
      </c>
      <c r="S20" s="181">
        <f t="shared" si="4"/>
        <v>4558.1484375</v>
      </c>
      <c r="T20" s="182">
        <f>'Program Budget'!T22</f>
        <v>9</v>
      </c>
      <c r="U20" s="185">
        <f>'Program Budget'!S150</f>
        <v>0.3</v>
      </c>
      <c r="V20" s="184">
        <f t="shared" si="9"/>
        <v>12307.000781249999</v>
      </c>
      <c r="W20" s="320">
        <f t="shared" si="10"/>
        <v>65918.688281249997</v>
      </c>
      <c r="X20" s="187"/>
      <c r="Y20" s="174"/>
      <c r="Z20" s="188"/>
      <c r="AA20" s="188"/>
      <c r="AE20" s="148"/>
      <c r="AF20" s="189"/>
      <c r="AG20" s="189"/>
      <c r="AH20" s="190"/>
      <c r="AJ20" s="191"/>
    </row>
    <row r="21" spans="1:36" ht="15" customHeight="1" outlineLevel="1">
      <c r="A21" s="179" t="str">
        <f>'Program Budget'!D23</f>
        <v>Communications Specialists</v>
      </c>
      <c r="B21" s="180" t="str">
        <f>'Program Budget'!F151</f>
        <v>Month</v>
      </c>
      <c r="C21" s="181">
        <f>'Program Budget'!H23</f>
        <v>1500</v>
      </c>
      <c r="D21" s="182">
        <f>'Program Budget'!G23</f>
        <v>7</v>
      </c>
      <c r="E21" s="183">
        <f>'Program Budget'!E151</f>
        <v>0.25</v>
      </c>
      <c r="F21" s="184">
        <f t="shared" si="5"/>
        <v>2625</v>
      </c>
      <c r="G21" s="181">
        <f t="shared" si="1"/>
        <v>1575</v>
      </c>
      <c r="H21" s="182">
        <f>'Program Budget'!K23</f>
        <v>12</v>
      </c>
      <c r="I21" s="185">
        <f>'Program Budget'!J151</f>
        <v>0.3</v>
      </c>
      <c r="J21" s="184">
        <f t="shared" si="6"/>
        <v>5670</v>
      </c>
      <c r="K21" s="181">
        <f t="shared" si="2"/>
        <v>1653.75</v>
      </c>
      <c r="L21" s="182">
        <f>'Program Budget'!N23</f>
        <v>12</v>
      </c>
      <c r="M21" s="185">
        <f>'Program Budget'!M151</f>
        <v>0.3</v>
      </c>
      <c r="N21" s="184">
        <f t="shared" si="7"/>
        <v>5953.5</v>
      </c>
      <c r="O21" s="181">
        <f t="shared" si="3"/>
        <v>1736.4375</v>
      </c>
      <c r="P21" s="182">
        <f>'Program Budget'!Q23</f>
        <v>12</v>
      </c>
      <c r="Q21" s="185">
        <f>'Program Budget'!P151</f>
        <v>0.3</v>
      </c>
      <c r="R21" s="184">
        <f t="shared" si="8"/>
        <v>6251.1750000000002</v>
      </c>
      <c r="S21" s="181">
        <f t="shared" si="4"/>
        <v>1823.2593750000001</v>
      </c>
      <c r="T21" s="182">
        <f>'Program Budget'!T23</f>
        <v>10</v>
      </c>
      <c r="U21" s="185">
        <f>'Program Budget'!S151</f>
        <v>0.3</v>
      </c>
      <c r="V21" s="184">
        <f t="shared" si="9"/>
        <v>5469.7781249999998</v>
      </c>
      <c r="W21" s="320">
        <f t="shared" si="10"/>
        <v>25969.453125</v>
      </c>
      <c r="X21" s="187"/>
      <c r="Y21" s="174"/>
      <c r="Z21" s="188"/>
      <c r="AA21" s="188"/>
      <c r="AE21" s="148"/>
      <c r="AF21" s="189"/>
      <c r="AG21" s="189"/>
      <c r="AH21" s="190"/>
      <c r="AJ21" s="191"/>
    </row>
    <row r="22" spans="1:36" ht="15" customHeight="1" outlineLevel="1">
      <c r="A22" s="179" t="str">
        <f>'Program Budget'!D24</f>
        <v xml:space="preserve">M&amp;E Director </v>
      </c>
      <c r="B22" s="180" t="str">
        <f>'Program Budget'!F152</f>
        <v>Month</v>
      </c>
      <c r="C22" s="181">
        <f>'Program Budget'!H24</f>
        <v>3916.6666666666665</v>
      </c>
      <c r="D22" s="182">
        <f>'Program Budget'!G24</f>
        <v>9</v>
      </c>
      <c r="E22" s="183">
        <f>'Program Budget'!E152</f>
        <v>0.25</v>
      </c>
      <c r="F22" s="184">
        <f t="shared" si="5"/>
        <v>8812.5</v>
      </c>
      <c r="G22" s="181">
        <f t="shared" si="1"/>
        <v>4112.5</v>
      </c>
      <c r="H22" s="182">
        <f>'Program Budget'!K24</f>
        <v>12</v>
      </c>
      <c r="I22" s="185">
        <f>'Program Budget'!J152</f>
        <v>0.3</v>
      </c>
      <c r="J22" s="184">
        <f t="shared" si="6"/>
        <v>14805</v>
      </c>
      <c r="K22" s="181">
        <f t="shared" si="2"/>
        <v>4318.125</v>
      </c>
      <c r="L22" s="182">
        <f>'Program Budget'!N24</f>
        <v>12</v>
      </c>
      <c r="M22" s="185">
        <f>'Program Budget'!M152</f>
        <v>0.3</v>
      </c>
      <c r="N22" s="184">
        <f t="shared" si="7"/>
        <v>15545.25</v>
      </c>
      <c r="O22" s="181">
        <f t="shared" si="3"/>
        <v>4534.03125</v>
      </c>
      <c r="P22" s="182">
        <f>'Program Budget'!Q24</f>
        <v>12</v>
      </c>
      <c r="Q22" s="185">
        <f>'Program Budget'!P152</f>
        <v>0.3</v>
      </c>
      <c r="R22" s="184">
        <f t="shared" si="8"/>
        <v>16322.512499999999</v>
      </c>
      <c r="S22" s="181">
        <f t="shared" si="4"/>
        <v>4760.7328125000004</v>
      </c>
      <c r="T22" s="182">
        <f>'Program Budget'!T24</f>
        <v>12</v>
      </c>
      <c r="U22" s="185">
        <f>'Program Budget'!S152</f>
        <v>0.3</v>
      </c>
      <c r="V22" s="184">
        <f t="shared" si="9"/>
        <v>17138.638125000001</v>
      </c>
      <c r="W22" s="320">
        <f t="shared" si="10"/>
        <v>72623.900624999995</v>
      </c>
      <c r="X22" s="187"/>
      <c r="Y22" s="174"/>
      <c r="Z22" s="188"/>
      <c r="AA22" s="188"/>
      <c r="AE22" s="148">
        <v>180</v>
      </c>
      <c r="AF22" s="189" t="s">
        <v>121</v>
      </c>
      <c r="AG22" s="189" t="s">
        <v>122</v>
      </c>
      <c r="AH22" s="190"/>
      <c r="AJ22" s="191"/>
    </row>
    <row r="23" spans="1:36" ht="15" customHeight="1" outlineLevel="1">
      <c r="A23" s="179" t="str">
        <f>'Program Budget'!D25</f>
        <v>M&amp;E Specialist</v>
      </c>
      <c r="B23" s="180" t="str">
        <f>'Program Budget'!F153</f>
        <v>Month</v>
      </c>
      <c r="C23" s="181">
        <f>'Program Budget'!H25</f>
        <v>1833.3333333333333</v>
      </c>
      <c r="D23" s="182">
        <f>'Program Budget'!G25</f>
        <v>8</v>
      </c>
      <c r="E23" s="183">
        <f>'Program Budget'!E153</f>
        <v>0.25</v>
      </c>
      <c r="F23" s="184">
        <f t="shared" si="5"/>
        <v>3666.6666666666665</v>
      </c>
      <c r="G23" s="181">
        <f t="shared" si="1"/>
        <v>1925</v>
      </c>
      <c r="H23" s="182">
        <f>'Program Budget'!K25</f>
        <v>12</v>
      </c>
      <c r="I23" s="185">
        <f>'Program Budget'!J153</f>
        <v>0.3</v>
      </c>
      <c r="J23" s="184">
        <f t="shared" si="6"/>
        <v>6930</v>
      </c>
      <c r="K23" s="181">
        <f t="shared" si="2"/>
        <v>2021.25</v>
      </c>
      <c r="L23" s="182">
        <f>'Program Budget'!N25</f>
        <v>12</v>
      </c>
      <c r="M23" s="185">
        <f>'Program Budget'!M153</f>
        <v>0.3</v>
      </c>
      <c r="N23" s="184">
        <f t="shared" si="7"/>
        <v>7276.5</v>
      </c>
      <c r="O23" s="181">
        <f t="shared" si="3"/>
        <v>2122.3125</v>
      </c>
      <c r="P23" s="182">
        <f>'Program Budget'!Q25</f>
        <v>12</v>
      </c>
      <c r="Q23" s="185">
        <f>'Program Budget'!P153</f>
        <v>0.3</v>
      </c>
      <c r="R23" s="184">
        <f t="shared" si="8"/>
        <v>7640.3249999999998</v>
      </c>
      <c r="S23" s="181">
        <f t="shared" si="4"/>
        <v>2228.4281249999999</v>
      </c>
      <c r="T23" s="182">
        <f>'Program Budget'!T25</f>
        <v>10</v>
      </c>
      <c r="U23" s="185">
        <f>'Program Budget'!S153</f>
        <v>0.3</v>
      </c>
      <c r="V23" s="184">
        <f t="shared" si="9"/>
        <v>6685.2843750000002</v>
      </c>
      <c r="W23" s="320">
        <f t="shared" si="10"/>
        <v>32198.776041666664</v>
      </c>
      <c r="X23" s="187"/>
      <c r="Y23" s="174"/>
      <c r="Z23" s="188"/>
      <c r="AA23" s="188"/>
      <c r="AE23" s="148">
        <v>180</v>
      </c>
      <c r="AF23" s="189" t="s">
        <v>121</v>
      </c>
      <c r="AG23" s="189" t="s">
        <v>122</v>
      </c>
      <c r="AH23" s="190"/>
      <c r="AJ23" s="191"/>
    </row>
    <row r="24" spans="1:36" ht="15" customHeight="1" outlineLevel="1">
      <c r="A24" s="179" t="str">
        <f>'Program Budget'!D26</f>
        <v xml:space="preserve">Key Personnel: Finance Director </v>
      </c>
      <c r="B24" s="180" t="str">
        <f>'Program Budget'!F154</f>
        <v>Month</v>
      </c>
      <c r="C24" s="181">
        <f>'Program Budget'!H26</f>
        <v>3916.6666666666665</v>
      </c>
      <c r="D24" s="182">
        <f>'Program Budget'!G26</f>
        <v>11</v>
      </c>
      <c r="E24" s="183">
        <f>'Program Budget'!E154</f>
        <v>0.25</v>
      </c>
      <c r="F24" s="184">
        <f t="shared" si="5"/>
        <v>10770.833333333332</v>
      </c>
      <c r="G24" s="181">
        <f t="shared" si="1"/>
        <v>4112.5</v>
      </c>
      <c r="H24" s="182">
        <f>'Program Budget'!K26</f>
        <v>12</v>
      </c>
      <c r="I24" s="185">
        <f>'Program Budget'!J154</f>
        <v>0.25</v>
      </c>
      <c r="J24" s="184">
        <f t="shared" si="6"/>
        <v>12337.5</v>
      </c>
      <c r="K24" s="181">
        <f t="shared" si="2"/>
        <v>4318.125</v>
      </c>
      <c r="L24" s="182">
        <f>'Program Budget'!N26</f>
        <v>12</v>
      </c>
      <c r="M24" s="185">
        <f>'Program Budget'!M154</f>
        <v>0.25</v>
      </c>
      <c r="N24" s="184">
        <f t="shared" si="7"/>
        <v>12954.375</v>
      </c>
      <c r="O24" s="181">
        <f t="shared" si="3"/>
        <v>4534.03125</v>
      </c>
      <c r="P24" s="182">
        <f>'Program Budget'!Q26</f>
        <v>12</v>
      </c>
      <c r="Q24" s="185">
        <f>'Program Budget'!P154</f>
        <v>0.25</v>
      </c>
      <c r="R24" s="184">
        <f t="shared" si="8"/>
        <v>13602.09375</v>
      </c>
      <c r="S24" s="181">
        <f t="shared" si="4"/>
        <v>4760.7328125000004</v>
      </c>
      <c r="T24" s="182">
        <f>'Program Budget'!T26</f>
        <v>12</v>
      </c>
      <c r="U24" s="185">
        <f>'Program Budget'!S154</f>
        <v>0.25</v>
      </c>
      <c r="V24" s="184">
        <f t="shared" si="9"/>
        <v>14282.198437500001</v>
      </c>
      <c r="W24" s="320">
        <f t="shared" si="10"/>
        <v>63947.000520833331</v>
      </c>
      <c r="X24" s="187"/>
      <c r="Y24" s="174"/>
      <c r="Z24" s="188"/>
      <c r="AA24" s="188"/>
      <c r="AE24" s="148">
        <v>180</v>
      </c>
      <c r="AF24" s="189" t="s">
        <v>121</v>
      </c>
      <c r="AG24" s="189" t="s">
        <v>122</v>
      </c>
      <c r="AH24" s="190"/>
      <c r="AJ24" s="191"/>
    </row>
    <row r="25" spans="1:36" ht="15" customHeight="1" outlineLevel="1">
      <c r="A25" s="179" t="str">
        <f>'Program Budget'!D27</f>
        <v>Contracts &amp; Compliance Specialist</v>
      </c>
      <c r="B25" s="180" t="str">
        <f>'Program Budget'!F155</f>
        <v>Month</v>
      </c>
      <c r="C25" s="181">
        <f>'Program Budget'!H27</f>
        <v>1833.3333333333333</v>
      </c>
      <c r="D25" s="182">
        <f>'Program Budget'!G27</f>
        <v>9</v>
      </c>
      <c r="E25" s="183">
        <f>'Program Budget'!E155</f>
        <v>0.25</v>
      </c>
      <c r="F25" s="184">
        <f t="shared" si="5"/>
        <v>4125</v>
      </c>
      <c r="G25" s="181">
        <f t="shared" si="1"/>
        <v>1925</v>
      </c>
      <c r="H25" s="182">
        <f>'Program Budget'!K27</f>
        <v>12</v>
      </c>
      <c r="I25" s="185">
        <f>'Program Budget'!J155</f>
        <v>0.25</v>
      </c>
      <c r="J25" s="184">
        <f t="shared" si="6"/>
        <v>5775</v>
      </c>
      <c r="K25" s="181">
        <f t="shared" si="2"/>
        <v>2021.25</v>
      </c>
      <c r="L25" s="182">
        <f>'Program Budget'!N27</f>
        <v>12</v>
      </c>
      <c r="M25" s="185">
        <f>'Program Budget'!M155</f>
        <v>0.25</v>
      </c>
      <c r="N25" s="184">
        <f t="shared" si="7"/>
        <v>6063.75</v>
      </c>
      <c r="O25" s="181">
        <f t="shared" si="3"/>
        <v>2122.3125</v>
      </c>
      <c r="P25" s="182">
        <f>'Program Budget'!Q27</f>
        <v>12</v>
      </c>
      <c r="Q25" s="185">
        <f>'Program Budget'!P155</f>
        <v>0.25</v>
      </c>
      <c r="R25" s="184">
        <f t="shared" si="8"/>
        <v>6366.9375</v>
      </c>
      <c r="S25" s="181">
        <f t="shared" si="4"/>
        <v>2228.4281249999999</v>
      </c>
      <c r="T25" s="182">
        <f>'Program Budget'!T27</f>
        <v>12</v>
      </c>
      <c r="U25" s="185">
        <f>'Program Budget'!S155</f>
        <v>0.25</v>
      </c>
      <c r="V25" s="184">
        <f t="shared" si="9"/>
        <v>6685.2843749999993</v>
      </c>
      <c r="W25" s="320">
        <f t="shared" si="10"/>
        <v>29015.971874999999</v>
      </c>
      <c r="X25" s="187"/>
      <c r="Y25" s="174"/>
      <c r="Z25" s="188"/>
      <c r="AA25" s="188"/>
      <c r="AE25" s="148">
        <v>180</v>
      </c>
      <c r="AF25" s="189" t="s">
        <v>121</v>
      </c>
      <c r="AG25" s="189" t="s">
        <v>122</v>
      </c>
      <c r="AH25" s="190"/>
      <c r="AJ25" s="191"/>
    </row>
    <row r="26" spans="1:36" ht="15" customHeight="1" outlineLevel="1">
      <c r="A26" s="179" t="str">
        <f>'Program Budget'!D28</f>
        <v>Grants &amp; Procurement Officer (2)</v>
      </c>
      <c r="B26" s="180" t="str">
        <f>'Program Budget'!F156</f>
        <v>Month</v>
      </c>
      <c r="C26" s="181">
        <f>'Program Budget'!H28</f>
        <v>2500</v>
      </c>
      <c r="D26" s="182">
        <f>'Program Budget'!G28</f>
        <v>9</v>
      </c>
      <c r="E26" s="183">
        <f>'Program Budget'!E156</f>
        <v>0.25</v>
      </c>
      <c r="F26" s="184">
        <f t="shared" si="5"/>
        <v>5625</v>
      </c>
      <c r="G26" s="181">
        <f t="shared" si="1"/>
        <v>2625</v>
      </c>
      <c r="H26" s="182">
        <f>'Program Budget'!K28</f>
        <v>12</v>
      </c>
      <c r="I26" s="185">
        <f>'Program Budget'!J156</f>
        <v>0.25</v>
      </c>
      <c r="J26" s="184">
        <f t="shared" si="6"/>
        <v>7875</v>
      </c>
      <c r="K26" s="181">
        <f t="shared" si="2"/>
        <v>2756.25</v>
      </c>
      <c r="L26" s="182">
        <f>'Program Budget'!N28</f>
        <v>12</v>
      </c>
      <c r="M26" s="185">
        <f>'Program Budget'!M156</f>
        <v>0.25</v>
      </c>
      <c r="N26" s="184">
        <f t="shared" si="7"/>
        <v>8268.75</v>
      </c>
      <c r="O26" s="181">
        <f t="shared" si="3"/>
        <v>2894.0625</v>
      </c>
      <c r="P26" s="182">
        <f>'Program Budget'!Q28</f>
        <v>12</v>
      </c>
      <c r="Q26" s="185">
        <f>'Program Budget'!P156</f>
        <v>0.25</v>
      </c>
      <c r="R26" s="184">
        <f t="shared" si="8"/>
        <v>8682.1875</v>
      </c>
      <c r="S26" s="181">
        <f t="shared" si="4"/>
        <v>3038.765625</v>
      </c>
      <c r="T26" s="182">
        <f>'Program Budget'!T28</f>
        <v>12</v>
      </c>
      <c r="U26" s="185">
        <f>'Program Budget'!S156</f>
        <v>0.25</v>
      </c>
      <c r="V26" s="184">
        <f t="shared" si="9"/>
        <v>9116.296875</v>
      </c>
      <c r="W26" s="320">
        <f t="shared" si="10"/>
        <v>39567.234375</v>
      </c>
      <c r="X26" s="187"/>
      <c r="Y26" s="174"/>
      <c r="Z26" s="188"/>
      <c r="AA26" s="188"/>
      <c r="AE26" s="148"/>
      <c r="AF26" s="189"/>
      <c r="AG26" s="189"/>
      <c r="AH26" s="190"/>
      <c r="AJ26" s="191"/>
    </row>
    <row r="27" spans="1:36" ht="15" customHeight="1" outlineLevel="1">
      <c r="A27" s="179" t="str">
        <f>'Program Budget'!D29</f>
        <v xml:space="preserve">Accountant </v>
      </c>
      <c r="B27" s="180" t="str">
        <f>'Program Budget'!F157</f>
        <v>Month</v>
      </c>
      <c r="C27" s="181">
        <f>'Program Budget'!H29</f>
        <v>1666.6666666666667</v>
      </c>
      <c r="D27" s="182">
        <f>'Program Budget'!G29</f>
        <v>10</v>
      </c>
      <c r="E27" s="183">
        <f>'Program Budget'!E157</f>
        <v>0.25</v>
      </c>
      <c r="F27" s="184">
        <f t="shared" si="5"/>
        <v>4166.666666666667</v>
      </c>
      <c r="G27" s="181">
        <f t="shared" si="1"/>
        <v>1750.0000000000002</v>
      </c>
      <c r="H27" s="182">
        <f>'Program Budget'!K29</f>
        <v>12</v>
      </c>
      <c r="I27" s="185">
        <f>'Program Budget'!J157</f>
        <v>0.25</v>
      </c>
      <c r="J27" s="184">
        <f t="shared" si="6"/>
        <v>5250.0000000000009</v>
      </c>
      <c r="K27" s="181">
        <f t="shared" si="2"/>
        <v>1837.5000000000002</v>
      </c>
      <c r="L27" s="182">
        <f>'Program Budget'!N29</f>
        <v>12</v>
      </c>
      <c r="M27" s="185">
        <f>'Program Budget'!M157</f>
        <v>0.25</v>
      </c>
      <c r="N27" s="184">
        <f t="shared" si="7"/>
        <v>5512.5000000000009</v>
      </c>
      <c r="O27" s="181">
        <f t="shared" si="3"/>
        <v>1929.3750000000002</v>
      </c>
      <c r="P27" s="182">
        <f>'Program Budget'!Q29</f>
        <v>12</v>
      </c>
      <c r="Q27" s="185">
        <f>'Program Budget'!P157</f>
        <v>0.25</v>
      </c>
      <c r="R27" s="184">
        <f t="shared" si="8"/>
        <v>5788.1250000000009</v>
      </c>
      <c r="S27" s="181">
        <f t="shared" si="4"/>
        <v>2025.8437500000002</v>
      </c>
      <c r="T27" s="182">
        <f>'Program Budget'!T29</f>
        <v>11</v>
      </c>
      <c r="U27" s="185">
        <f>'Program Budget'!S157</f>
        <v>0.25</v>
      </c>
      <c r="V27" s="184">
        <f t="shared" si="9"/>
        <v>5571.0703125000009</v>
      </c>
      <c r="W27" s="320">
        <f t="shared" si="10"/>
        <v>26288.361979166668</v>
      </c>
      <c r="X27" s="187"/>
      <c r="Y27" s="174"/>
      <c r="Z27" s="188"/>
      <c r="AA27" s="188"/>
      <c r="AE27" s="148">
        <v>180</v>
      </c>
      <c r="AF27" s="189" t="s">
        <v>121</v>
      </c>
      <c r="AG27" s="189" t="s">
        <v>122</v>
      </c>
      <c r="AH27" s="190"/>
      <c r="AJ27" s="191"/>
    </row>
    <row r="28" spans="1:36" ht="15" customHeight="1" outlineLevel="1">
      <c r="A28" s="179" t="str">
        <f>'Program Budget'!D30</f>
        <v>Administrative Officer</v>
      </c>
      <c r="B28" s="180" t="str">
        <f>'Program Budget'!F158</f>
        <v>Month</v>
      </c>
      <c r="C28" s="181">
        <f>'Program Budget'!H30</f>
        <v>833.33333333333337</v>
      </c>
      <c r="D28" s="182">
        <f>'Program Budget'!G30</f>
        <v>9</v>
      </c>
      <c r="E28" s="183">
        <f>'Program Budget'!E158</f>
        <v>0.25</v>
      </c>
      <c r="F28" s="184">
        <f t="shared" si="5"/>
        <v>1875</v>
      </c>
      <c r="G28" s="181">
        <f t="shared" si="1"/>
        <v>875.00000000000011</v>
      </c>
      <c r="H28" s="182">
        <f>'Program Budget'!K30</f>
        <v>12</v>
      </c>
      <c r="I28" s="185">
        <f>'Program Budget'!J158</f>
        <v>0.25</v>
      </c>
      <c r="J28" s="184">
        <f t="shared" si="6"/>
        <v>2625.0000000000005</v>
      </c>
      <c r="K28" s="181">
        <f t="shared" si="2"/>
        <v>918.75000000000011</v>
      </c>
      <c r="L28" s="182">
        <f>'Program Budget'!N30</f>
        <v>12</v>
      </c>
      <c r="M28" s="185">
        <f>'Program Budget'!M158</f>
        <v>0.25</v>
      </c>
      <c r="N28" s="184">
        <f t="shared" si="7"/>
        <v>2756.2500000000005</v>
      </c>
      <c r="O28" s="181">
        <f t="shared" si="3"/>
        <v>964.68750000000011</v>
      </c>
      <c r="P28" s="182">
        <f>'Program Budget'!Q30</f>
        <v>12</v>
      </c>
      <c r="Q28" s="185">
        <f>'Program Budget'!P158</f>
        <v>0.25</v>
      </c>
      <c r="R28" s="184">
        <f t="shared" si="8"/>
        <v>2894.0625000000005</v>
      </c>
      <c r="S28" s="181">
        <f t="shared" si="4"/>
        <v>1012.9218750000001</v>
      </c>
      <c r="T28" s="182">
        <f>'Program Budget'!T30</f>
        <v>10</v>
      </c>
      <c r="U28" s="185">
        <f>'Program Budget'!S158</f>
        <v>0.25</v>
      </c>
      <c r="V28" s="184">
        <f t="shared" si="9"/>
        <v>2532.3046875000005</v>
      </c>
      <c r="W28" s="320">
        <f t="shared" si="10"/>
        <v>12682.6171875</v>
      </c>
      <c r="X28" s="187"/>
      <c r="Y28" s="174"/>
      <c r="Z28" s="188"/>
      <c r="AA28" s="188"/>
      <c r="AE28" s="148">
        <v>180</v>
      </c>
      <c r="AF28" s="189" t="s">
        <v>121</v>
      </c>
      <c r="AG28" s="189" t="s">
        <v>122</v>
      </c>
      <c r="AH28" s="190"/>
      <c r="AJ28" s="191"/>
    </row>
    <row r="29" spans="1:36" ht="15" customHeight="1" outlineLevel="1">
      <c r="A29" s="179" t="str">
        <f>'Program Budget'!D31</f>
        <v>Human Resources Manager</v>
      </c>
      <c r="B29" s="180" t="str">
        <f>'Program Budget'!F159</f>
        <v>Month</v>
      </c>
      <c r="C29" s="181">
        <f>'Program Budget'!H31</f>
        <v>2500</v>
      </c>
      <c r="D29" s="182">
        <f>'Program Budget'!G31</f>
        <v>11</v>
      </c>
      <c r="E29" s="183">
        <f>'Program Budget'!E159</f>
        <v>0.25</v>
      </c>
      <c r="F29" s="184">
        <f t="shared" si="5"/>
        <v>6875</v>
      </c>
      <c r="G29" s="181">
        <f t="shared" si="1"/>
        <v>2625</v>
      </c>
      <c r="H29" s="182">
        <f>'Program Budget'!K31</f>
        <v>12</v>
      </c>
      <c r="I29" s="185">
        <f>'Program Budget'!J159</f>
        <v>0.25</v>
      </c>
      <c r="J29" s="184">
        <f t="shared" si="6"/>
        <v>7875</v>
      </c>
      <c r="K29" s="181">
        <f t="shared" si="2"/>
        <v>2756.25</v>
      </c>
      <c r="L29" s="182">
        <f>'Program Budget'!N31</f>
        <v>12</v>
      </c>
      <c r="M29" s="185">
        <f>'Program Budget'!M159</f>
        <v>0.25</v>
      </c>
      <c r="N29" s="184">
        <f t="shared" si="7"/>
        <v>8268.75</v>
      </c>
      <c r="O29" s="181">
        <f t="shared" si="3"/>
        <v>2894.0625</v>
      </c>
      <c r="P29" s="182">
        <f>'Program Budget'!Q31</f>
        <v>12</v>
      </c>
      <c r="Q29" s="185">
        <f>'Program Budget'!P159</f>
        <v>0.25</v>
      </c>
      <c r="R29" s="184">
        <f t="shared" si="8"/>
        <v>8682.1875</v>
      </c>
      <c r="S29" s="181">
        <f t="shared" si="4"/>
        <v>3038.765625</v>
      </c>
      <c r="T29" s="182">
        <f>'Program Budget'!T31</f>
        <v>12</v>
      </c>
      <c r="U29" s="185">
        <f>'Program Budget'!S159</f>
        <v>0.25</v>
      </c>
      <c r="V29" s="184">
        <f t="shared" si="9"/>
        <v>9116.296875</v>
      </c>
      <c r="W29" s="320">
        <f t="shared" si="10"/>
        <v>40817.234375</v>
      </c>
      <c r="X29" s="187"/>
      <c r="Y29" s="174"/>
      <c r="Z29" s="188"/>
      <c r="AA29" s="188"/>
      <c r="AE29" s="148">
        <v>180</v>
      </c>
      <c r="AF29" s="189" t="s">
        <v>121</v>
      </c>
      <c r="AG29" s="189" t="s">
        <v>122</v>
      </c>
      <c r="AH29" s="190"/>
      <c r="AJ29" s="191"/>
    </row>
    <row r="30" spans="1:36" ht="15" customHeight="1" outlineLevel="1">
      <c r="A30" s="179" t="str">
        <f>'Program Budget'!D32</f>
        <v>Driver (3 Individuals)</v>
      </c>
      <c r="B30" s="180" t="str">
        <f>'Program Budget'!F160</f>
        <v>Month</v>
      </c>
      <c r="C30" s="181">
        <f>'Program Budget'!H32</f>
        <v>2250</v>
      </c>
      <c r="D30" s="182">
        <f>'Program Budget'!G32</f>
        <v>3</v>
      </c>
      <c r="E30" s="183">
        <f>'Program Budget'!E160</f>
        <v>0.3</v>
      </c>
      <c r="F30" s="184">
        <f t="shared" si="5"/>
        <v>2025</v>
      </c>
      <c r="G30" s="181">
        <f t="shared" si="1"/>
        <v>2362.5</v>
      </c>
      <c r="H30" s="182">
        <f>'Program Budget'!K32</f>
        <v>12</v>
      </c>
      <c r="I30" s="185">
        <f>'Program Budget'!J160</f>
        <v>0.25</v>
      </c>
      <c r="J30" s="184">
        <f t="shared" si="6"/>
        <v>7087.5</v>
      </c>
      <c r="K30" s="181">
        <f t="shared" si="2"/>
        <v>2480.625</v>
      </c>
      <c r="L30" s="182">
        <f>'Program Budget'!N32</f>
        <v>12</v>
      </c>
      <c r="M30" s="185">
        <f>'Program Budget'!M160</f>
        <v>0.25</v>
      </c>
      <c r="N30" s="184">
        <f t="shared" si="7"/>
        <v>7441.875</v>
      </c>
      <c r="O30" s="181">
        <f t="shared" si="3"/>
        <v>2604.65625</v>
      </c>
      <c r="P30" s="182">
        <f>'Program Budget'!Q32</f>
        <v>12</v>
      </c>
      <c r="Q30" s="185">
        <f>'Program Budget'!P160</f>
        <v>0.25</v>
      </c>
      <c r="R30" s="184">
        <f t="shared" si="8"/>
        <v>7813.96875</v>
      </c>
      <c r="S30" s="181">
        <f t="shared" si="4"/>
        <v>2734.8890624999999</v>
      </c>
      <c r="T30" s="182">
        <f>'Program Budget'!T32</f>
        <v>9</v>
      </c>
      <c r="U30" s="185">
        <f>'Program Budget'!S160</f>
        <v>0.25</v>
      </c>
      <c r="V30" s="184">
        <f t="shared" si="9"/>
        <v>6153.5003906249995</v>
      </c>
      <c r="W30" s="320">
        <f t="shared" si="10"/>
        <v>30521.844140624999</v>
      </c>
      <c r="X30" s="187"/>
      <c r="Y30" s="174"/>
      <c r="Z30" s="188"/>
      <c r="AA30" s="188"/>
      <c r="AE30" s="148">
        <v>180</v>
      </c>
      <c r="AF30" s="189" t="s">
        <v>121</v>
      </c>
      <c r="AG30" s="189" t="s">
        <v>122</v>
      </c>
      <c r="AH30" s="190"/>
      <c r="AJ30" s="191"/>
    </row>
    <row r="31" spans="1:36" ht="15" customHeight="1" outlineLevel="1">
      <c r="A31" s="194" t="s">
        <v>78</v>
      </c>
      <c r="B31" s="195"/>
      <c r="C31" s="196"/>
      <c r="D31" s="197"/>
      <c r="E31" s="198"/>
      <c r="F31" s="208">
        <f>SUM(F10:F30)</f>
        <v>128950</v>
      </c>
      <c r="G31" s="196"/>
      <c r="H31" s="197"/>
      <c r="I31" s="200"/>
      <c r="J31" s="208">
        <f>SUM(J10:J30)</f>
        <v>221865</v>
      </c>
      <c r="K31" s="196"/>
      <c r="L31" s="197"/>
      <c r="M31" s="198"/>
      <c r="N31" s="208">
        <f>SUM(N10:N30)</f>
        <v>229264.875</v>
      </c>
      <c r="O31" s="196"/>
      <c r="P31" s="197"/>
      <c r="Q31" s="200"/>
      <c r="R31" s="208">
        <f>SUM(R10:R30)</f>
        <v>240728.11875000002</v>
      </c>
      <c r="S31" s="196"/>
      <c r="T31" s="197"/>
      <c r="U31" s="200"/>
      <c r="V31" s="208">
        <f>SUM(V10:V30)</f>
        <v>213675.86953124998</v>
      </c>
      <c r="W31" s="208">
        <f>SUM(W10:W30)</f>
        <v>1034483.8632812499</v>
      </c>
      <c r="AE31" s="148"/>
      <c r="AF31" s="189"/>
      <c r="AG31" s="189"/>
    </row>
    <row r="32" spans="1:36" s="175" customFormat="1" ht="15" customHeight="1" outlineLevel="1">
      <c r="A32" s="211"/>
      <c r="B32" s="202"/>
      <c r="C32" s="203"/>
      <c r="D32" s="204"/>
      <c r="E32" s="145"/>
      <c r="F32" s="184"/>
      <c r="G32" s="203"/>
      <c r="H32" s="204"/>
      <c r="I32" s="145"/>
      <c r="J32" s="184"/>
      <c r="K32" s="203"/>
      <c r="L32" s="204"/>
      <c r="M32" s="145"/>
      <c r="N32" s="184"/>
      <c r="O32" s="203"/>
      <c r="P32" s="204"/>
      <c r="Q32" s="145"/>
      <c r="R32" s="184"/>
      <c r="S32" s="203"/>
      <c r="T32" s="204"/>
      <c r="U32" s="145"/>
      <c r="V32" s="184"/>
      <c r="W32" s="322"/>
      <c r="X32" s="142"/>
      <c r="Y32" s="142"/>
      <c r="Z32" s="142"/>
      <c r="AA32" s="142"/>
      <c r="AB32" s="142"/>
      <c r="AC32" s="142"/>
      <c r="AD32" s="142"/>
      <c r="AE32" s="148"/>
      <c r="AF32" s="189"/>
      <c r="AG32" s="189"/>
      <c r="AH32" s="209"/>
      <c r="AI32" s="210"/>
      <c r="AJ32" s="142"/>
    </row>
    <row r="33" spans="1:36" s="222" customFormat="1" ht="15" customHeight="1">
      <c r="A33" s="212" t="s">
        <v>81</v>
      </c>
      <c r="B33" s="213"/>
      <c r="C33" s="214"/>
      <c r="D33" s="215"/>
      <c r="E33" s="216"/>
      <c r="F33" s="217">
        <f>F31+F8</f>
        <v>128950</v>
      </c>
      <c r="G33" s="214"/>
      <c r="H33" s="215"/>
      <c r="I33" s="218"/>
      <c r="J33" s="217">
        <f>J31+J8</f>
        <v>221865</v>
      </c>
      <c r="K33" s="214"/>
      <c r="L33" s="215"/>
      <c r="M33" s="216"/>
      <c r="N33" s="217">
        <f>N31+N8</f>
        <v>229264.875</v>
      </c>
      <c r="O33" s="214"/>
      <c r="P33" s="215"/>
      <c r="Q33" s="218"/>
      <c r="R33" s="217">
        <f>R31+R8</f>
        <v>240728.11875000002</v>
      </c>
      <c r="S33" s="214"/>
      <c r="T33" s="215"/>
      <c r="U33" s="218"/>
      <c r="V33" s="217">
        <f>V31+V8</f>
        <v>213675.86953124998</v>
      </c>
      <c r="W33" s="323">
        <f>+F33+J33+N33+R33+V33</f>
        <v>1034483.86328125</v>
      </c>
      <c r="X33" s="220"/>
      <c r="Y33" s="220"/>
      <c r="Z33" s="220"/>
      <c r="AA33" s="220"/>
      <c r="AB33" s="220"/>
      <c r="AC33" s="221"/>
      <c r="AD33" s="221"/>
      <c r="AE33" s="220"/>
      <c r="AG33" s="222" t="s">
        <v>120</v>
      </c>
      <c r="AJ33" s="221"/>
    </row>
    <row r="34" spans="1:36" s="175" customFormat="1" ht="15" customHeight="1" outlineLevel="1">
      <c r="A34" s="176" t="s">
        <v>82</v>
      </c>
      <c r="B34" s="177"/>
      <c r="C34" s="167"/>
      <c r="D34" s="168"/>
      <c r="E34" s="169"/>
      <c r="F34" s="170"/>
      <c r="G34" s="167"/>
      <c r="H34" s="168"/>
      <c r="I34" s="171"/>
      <c r="J34" s="172"/>
      <c r="K34" s="167"/>
      <c r="L34" s="168"/>
      <c r="M34" s="169"/>
      <c r="N34" s="172"/>
      <c r="O34" s="167"/>
      <c r="P34" s="168"/>
      <c r="Q34" s="171"/>
      <c r="R34" s="172"/>
      <c r="S34" s="167"/>
      <c r="T34" s="168"/>
      <c r="U34" s="171"/>
      <c r="V34" s="172"/>
      <c r="W34" s="319"/>
      <c r="X34" s="142"/>
      <c r="Y34" s="142"/>
      <c r="Z34" s="142"/>
      <c r="AA34" s="142"/>
      <c r="AB34" s="142"/>
      <c r="AC34" s="142"/>
      <c r="AD34" s="142"/>
      <c r="AE34" s="148"/>
      <c r="AJ34" s="142"/>
    </row>
    <row r="35" spans="1:36" s="175" customFormat="1" ht="15" customHeight="1" outlineLevel="1">
      <c r="A35" s="223" t="s">
        <v>74</v>
      </c>
      <c r="B35" s="202"/>
      <c r="C35" s="143"/>
      <c r="D35" s="251"/>
      <c r="E35" s="145"/>
      <c r="F35" s="184">
        <f>C35*D35*E35</f>
        <v>0</v>
      </c>
      <c r="G35" s="143"/>
      <c r="H35" s="251"/>
      <c r="I35" s="145"/>
      <c r="J35" s="184">
        <f>G35*H35*I35</f>
        <v>0</v>
      </c>
      <c r="K35" s="143"/>
      <c r="L35" s="251"/>
      <c r="M35" s="145"/>
      <c r="N35" s="184">
        <f>K35*L35*M35</f>
        <v>0</v>
      </c>
      <c r="O35" s="143"/>
      <c r="P35" s="251"/>
      <c r="Q35" s="145"/>
      <c r="R35" s="184">
        <f>O35*P35*Q35</f>
        <v>0</v>
      </c>
      <c r="S35" s="143"/>
      <c r="T35" s="251"/>
      <c r="U35" s="145"/>
      <c r="V35" s="184">
        <f>S35*T35*U35</f>
        <v>0</v>
      </c>
      <c r="W35" s="192">
        <f t="shared" ref="W35" si="21">F35+J35+N35+R35+V35</f>
        <v>0</v>
      </c>
      <c r="X35" s="142"/>
      <c r="Y35" s="142"/>
      <c r="Z35" s="142"/>
      <c r="AA35" s="142"/>
      <c r="AB35" s="142"/>
      <c r="AC35" s="142"/>
      <c r="AD35" s="142"/>
      <c r="AE35" s="148">
        <v>194</v>
      </c>
      <c r="AF35" s="189" t="s">
        <v>123</v>
      </c>
      <c r="AG35" s="189" t="s">
        <v>124</v>
      </c>
      <c r="AJ35" s="142"/>
    </row>
    <row r="36" spans="1:36" s="175" customFormat="1" ht="15" customHeight="1" outlineLevel="1">
      <c r="A36" s="223" t="s">
        <v>83</v>
      </c>
      <c r="B36" s="202" t="str">
        <f>'Program Budget'!F164</f>
        <v>%</v>
      </c>
      <c r="C36" s="330">
        <f>F31</f>
        <v>128950</v>
      </c>
      <c r="D36" s="204">
        <v>1</v>
      </c>
      <c r="E36" s="145">
        <f>'Program Budget'!H164</f>
        <v>0.45500000000000002</v>
      </c>
      <c r="F36" s="184">
        <f>C36*D36*E36</f>
        <v>58672.25</v>
      </c>
      <c r="G36" s="330">
        <f>J31</f>
        <v>221865</v>
      </c>
      <c r="H36" s="204">
        <v>1</v>
      </c>
      <c r="I36" s="145">
        <f t="shared" ref="I36" si="22">E36</f>
        <v>0.45500000000000002</v>
      </c>
      <c r="J36" s="184">
        <f t="shared" ref="J36" si="23">G36*H36*I36</f>
        <v>100948.575</v>
      </c>
      <c r="K36" s="330">
        <f>N31</f>
        <v>229264.875</v>
      </c>
      <c r="L36" s="204">
        <v>1</v>
      </c>
      <c r="M36" s="145">
        <f t="shared" ref="M36" si="24">I36</f>
        <v>0.45500000000000002</v>
      </c>
      <c r="N36" s="184">
        <f t="shared" ref="N36" si="25">K36*L36*M36</f>
        <v>104315.518125</v>
      </c>
      <c r="O36" s="330">
        <f>R31</f>
        <v>240728.11875000002</v>
      </c>
      <c r="P36" s="204">
        <v>1</v>
      </c>
      <c r="Q36" s="145">
        <f t="shared" ref="Q36" si="26">M36</f>
        <v>0.45500000000000002</v>
      </c>
      <c r="R36" s="184">
        <f t="shared" ref="R36" si="27">O36*P36*Q36</f>
        <v>109531.29403125001</v>
      </c>
      <c r="S36" s="330">
        <f>V31</f>
        <v>213675.86953124998</v>
      </c>
      <c r="T36" s="204">
        <v>1</v>
      </c>
      <c r="U36" s="145">
        <f t="shared" ref="U36" si="28">Q36</f>
        <v>0.45500000000000002</v>
      </c>
      <c r="V36" s="184">
        <f t="shared" ref="V36" si="29">S36*T36*U36</f>
        <v>97222.520636718749</v>
      </c>
      <c r="W36" s="322">
        <f t="shared" ref="W36" si="30">F36+J36+N36+R36+V36</f>
        <v>470690.15779296879</v>
      </c>
      <c r="X36" s="142"/>
      <c r="Y36" s="142"/>
      <c r="Z36" s="142"/>
      <c r="AA36" s="142"/>
      <c r="AB36" s="142"/>
      <c r="AC36" s="142"/>
      <c r="AD36" s="142"/>
      <c r="AE36" s="224">
        <v>197</v>
      </c>
      <c r="AF36" s="225" t="s">
        <v>125</v>
      </c>
      <c r="AG36" s="225" t="s">
        <v>126</v>
      </c>
      <c r="AJ36" s="142"/>
    </row>
    <row r="37" spans="1:36" ht="15" customHeight="1" outlineLevel="1">
      <c r="A37" s="194" t="s">
        <v>85</v>
      </c>
      <c r="B37" s="195"/>
      <c r="C37" s="196"/>
      <c r="D37" s="197"/>
      <c r="E37" s="198"/>
      <c r="F37" s="199">
        <f>+SUM(F35:F36)</f>
        <v>58672.25</v>
      </c>
      <c r="G37" s="196"/>
      <c r="H37" s="197"/>
      <c r="I37" s="200"/>
      <c r="J37" s="199">
        <f>+SUM(J35:J36)</f>
        <v>100948.575</v>
      </c>
      <c r="K37" s="196"/>
      <c r="L37" s="197"/>
      <c r="M37" s="198"/>
      <c r="N37" s="199">
        <f>+SUM(N35:N36)</f>
        <v>104315.518125</v>
      </c>
      <c r="O37" s="196"/>
      <c r="P37" s="197"/>
      <c r="Q37" s="200"/>
      <c r="R37" s="199">
        <f>+SUM(R35:R36)</f>
        <v>109531.29403125001</v>
      </c>
      <c r="S37" s="196"/>
      <c r="T37" s="197"/>
      <c r="U37" s="200"/>
      <c r="V37" s="199">
        <f>+SUM(V35:V36)</f>
        <v>97222.520636718749</v>
      </c>
      <c r="W37" s="321">
        <f>+F37+J37+N37+R37+V37</f>
        <v>470690.15779296879</v>
      </c>
      <c r="AE37" s="148"/>
      <c r="AF37" s="189"/>
      <c r="AG37" s="189"/>
    </row>
    <row r="38" spans="1:36" s="175" customFormat="1" ht="15" customHeight="1" outlineLevel="1">
      <c r="A38" s="176" t="s">
        <v>86</v>
      </c>
      <c r="B38" s="233"/>
      <c r="C38" s="203"/>
      <c r="D38" s="204"/>
      <c r="E38" s="145"/>
      <c r="F38" s="234"/>
      <c r="G38" s="203"/>
      <c r="H38" s="204"/>
      <c r="I38" s="146"/>
      <c r="J38" s="207"/>
      <c r="K38" s="203"/>
      <c r="L38" s="204"/>
      <c r="M38" s="145"/>
      <c r="N38" s="207"/>
      <c r="O38" s="203"/>
      <c r="P38" s="204"/>
      <c r="Q38" s="146"/>
      <c r="R38" s="207"/>
      <c r="S38" s="203"/>
      <c r="T38" s="204"/>
      <c r="U38" s="146"/>
      <c r="V38" s="207"/>
      <c r="W38" s="320">
        <f>+F38+J38+N38+R38+V38</f>
        <v>0</v>
      </c>
      <c r="X38" s="142"/>
      <c r="Y38" s="142"/>
      <c r="Z38" s="142"/>
      <c r="AA38" s="142"/>
      <c r="AB38" s="142"/>
      <c r="AC38" s="142"/>
      <c r="AD38" s="142"/>
      <c r="AE38" s="148"/>
      <c r="AF38" s="189"/>
      <c r="AG38" s="189" t="s">
        <v>120</v>
      </c>
      <c r="AJ38" s="142"/>
    </row>
    <row r="39" spans="1:36" outlineLevel="1">
      <c r="A39" s="179" t="s">
        <v>75</v>
      </c>
      <c r="B39" s="202"/>
      <c r="D39" s="251"/>
      <c r="F39" s="184">
        <f>C39*D39*E39</f>
        <v>0</v>
      </c>
      <c r="H39" s="251"/>
      <c r="I39" s="145"/>
      <c r="J39" s="184">
        <f>G39*H39*I39</f>
        <v>0</v>
      </c>
      <c r="L39" s="251"/>
      <c r="N39" s="184">
        <f>K39*L39*M39</f>
        <v>0</v>
      </c>
      <c r="P39" s="251"/>
      <c r="Q39" s="145"/>
      <c r="R39" s="184">
        <f>O39*P39*Q39</f>
        <v>0</v>
      </c>
      <c r="T39" s="251"/>
      <c r="U39" s="145"/>
      <c r="V39" s="184">
        <f>S39*T39*U39</f>
        <v>0</v>
      </c>
      <c r="W39" s="186">
        <f t="shared" ref="W39" si="31">F39+J39+N39+R39+V39</f>
        <v>0</v>
      </c>
      <c r="AE39" s="148"/>
      <c r="AF39" s="189"/>
      <c r="AG39" s="189"/>
    </row>
    <row r="40" spans="1:36" ht="15" customHeight="1" outlineLevel="1">
      <c r="A40" s="194" t="s">
        <v>87</v>
      </c>
      <c r="B40" s="195"/>
      <c r="C40" s="196"/>
      <c r="D40" s="197"/>
      <c r="E40" s="198"/>
      <c r="F40" s="199">
        <f>SUM(F39:F39)</f>
        <v>0</v>
      </c>
      <c r="G40" s="196"/>
      <c r="H40" s="197"/>
      <c r="I40" s="200"/>
      <c r="J40" s="199">
        <f>SUM(J39:J39)</f>
        <v>0</v>
      </c>
      <c r="K40" s="196"/>
      <c r="L40" s="197"/>
      <c r="M40" s="198"/>
      <c r="N40" s="199">
        <f>SUM(N39:N39)</f>
        <v>0</v>
      </c>
      <c r="O40" s="196"/>
      <c r="P40" s="197"/>
      <c r="Q40" s="200"/>
      <c r="R40" s="199">
        <f>SUM(R39:R39)</f>
        <v>0</v>
      </c>
      <c r="S40" s="196"/>
      <c r="T40" s="197"/>
      <c r="U40" s="200"/>
      <c r="V40" s="199">
        <f>SUM(V39:V39)</f>
        <v>0</v>
      </c>
      <c r="W40" s="321">
        <f>F40+J40+N40+R40+V40</f>
        <v>0</v>
      </c>
      <c r="AE40" s="148"/>
      <c r="AF40" s="189"/>
      <c r="AG40" s="189"/>
    </row>
    <row r="41" spans="1:36" ht="15" customHeight="1" outlineLevel="1">
      <c r="A41" s="333"/>
      <c r="B41" s="227"/>
      <c r="C41" s="334"/>
      <c r="D41" s="335"/>
      <c r="E41" s="230"/>
      <c r="F41" s="336"/>
      <c r="G41" s="334"/>
      <c r="H41" s="335"/>
      <c r="I41" s="302"/>
      <c r="J41" s="336"/>
      <c r="K41" s="334"/>
      <c r="L41" s="335"/>
      <c r="M41" s="230"/>
      <c r="N41" s="336"/>
      <c r="O41" s="334"/>
      <c r="P41" s="335"/>
      <c r="Q41" s="302"/>
      <c r="R41" s="336"/>
      <c r="S41" s="334"/>
      <c r="T41" s="335"/>
      <c r="U41" s="302"/>
      <c r="V41" s="336"/>
      <c r="W41" s="321"/>
      <c r="AE41" s="148"/>
      <c r="AF41" s="189"/>
      <c r="AG41" s="189"/>
    </row>
    <row r="42" spans="1:36" s="244" customFormat="1" ht="18.3" outlineLevel="1">
      <c r="A42" s="235" t="s">
        <v>88</v>
      </c>
      <c r="B42" s="236"/>
      <c r="C42" s="237"/>
      <c r="D42" s="238"/>
      <c r="E42" s="239"/>
      <c r="F42" s="240">
        <f>F40+F37</f>
        <v>58672.25</v>
      </c>
      <c r="G42" s="237"/>
      <c r="H42" s="238"/>
      <c r="I42" s="241"/>
      <c r="J42" s="240">
        <f>J40+J37</f>
        <v>100948.575</v>
      </c>
      <c r="K42" s="237"/>
      <c r="L42" s="238"/>
      <c r="M42" s="239"/>
      <c r="N42" s="240">
        <f>N40+N37</f>
        <v>104315.518125</v>
      </c>
      <c r="O42" s="237"/>
      <c r="P42" s="238"/>
      <c r="Q42" s="241"/>
      <c r="R42" s="240">
        <f>R40+R37</f>
        <v>109531.29403125001</v>
      </c>
      <c r="S42" s="237"/>
      <c r="T42" s="238"/>
      <c r="U42" s="241"/>
      <c r="V42" s="240">
        <f>V40+V37</f>
        <v>97222.520636718749</v>
      </c>
      <c r="W42" s="323">
        <f>+F42+J42+N42+R42+V42</f>
        <v>470690.15779296879</v>
      </c>
      <c r="X42" s="221"/>
      <c r="Y42" s="221"/>
      <c r="Z42" s="221"/>
      <c r="AA42" s="221"/>
      <c r="AB42" s="221"/>
      <c r="AC42" s="221"/>
      <c r="AD42" s="221"/>
      <c r="AE42" s="220">
        <v>287</v>
      </c>
      <c r="AF42" s="242" t="s">
        <v>129</v>
      </c>
      <c r="AG42" s="242" t="s">
        <v>130</v>
      </c>
      <c r="AH42" s="243"/>
      <c r="AJ42" s="221"/>
    </row>
    <row r="43" spans="1:36" s="246" customFormat="1" ht="15.6" outlineLevel="1">
      <c r="A43" s="176" t="s">
        <v>90</v>
      </c>
      <c r="B43" s="177"/>
      <c r="C43" s="143"/>
      <c r="D43" s="144"/>
      <c r="E43" s="169"/>
      <c r="F43" s="184"/>
      <c r="G43" s="143"/>
      <c r="H43" s="144"/>
      <c r="I43" s="171"/>
      <c r="J43" s="184"/>
      <c r="K43" s="143"/>
      <c r="L43" s="144"/>
      <c r="M43" s="169"/>
      <c r="N43" s="184"/>
      <c r="O43" s="143"/>
      <c r="P43" s="144"/>
      <c r="Q43" s="171"/>
      <c r="R43" s="184"/>
      <c r="S43" s="143"/>
      <c r="T43" s="144"/>
      <c r="U43" s="171"/>
      <c r="V43" s="184"/>
      <c r="W43" s="320"/>
      <c r="X43" s="142"/>
      <c r="Y43" s="142"/>
      <c r="Z43" s="142"/>
      <c r="AA43" s="142"/>
      <c r="AB43" s="142"/>
      <c r="AC43" s="142"/>
      <c r="AD43" s="142"/>
      <c r="AE43" s="148"/>
      <c r="AF43" s="189"/>
      <c r="AG43" s="189"/>
      <c r="AH43" s="245"/>
      <c r="AJ43" s="142"/>
    </row>
    <row r="44" spans="1:36" ht="15" customHeight="1" outlineLevel="1">
      <c r="A44" s="179" t="str">
        <f>'Program Budget'!D183</f>
        <v>Local Transportation (Car Rental, Taxis)</v>
      </c>
      <c r="B44" s="180" t="str">
        <f>'Program Budget'!F183</f>
        <v>Month</v>
      </c>
      <c r="C44" s="181">
        <f>'Program Budget'!H183</f>
        <v>50</v>
      </c>
      <c r="D44" s="182">
        <f>'Program Budget'!G183</f>
        <v>3</v>
      </c>
      <c r="E44" s="183">
        <v>1</v>
      </c>
      <c r="F44" s="184">
        <f t="shared" ref="F44" si="32">C44*D44*E44</f>
        <v>150</v>
      </c>
      <c r="G44" s="181">
        <f>C44*1.07</f>
        <v>53.5</v>
      </c>
      <c r="H44" s="182">
        <f>'Program Budget'!K183</f>
        <v>12</v>
      </c>
      <c r="I44" s="183">
        <v>1</v>
      </c>
      <c r="J44" s="184">
        <f t="shared" ref="J44" si="33">G44*H44*I44</f>
        <v>642</v>
      </c>
      <c r="K44" s="181">
        <f>G44*1.07</f>
        <v>57.245000000000005</v>
      </c>
      <c r="L44" s="182">
        <f>'Program Budget'!N183</f>
        <v>12</v>
      </c>
      <c r="M44" s="183">
        <v>1</v>
      </c>
      <c r="N44" s="184">
        <f t="shared" ref="N44" si="34">K44*L44*M44</f>
        <v>686.94</v>
      </c>
      <c r="O44" s="181">
        <f>K44*1.07</f>
        <v>61.252150000000007</v>
      </c>
      <c r="P44" s="182">
        <f>'Program Budget'!Q183</f>
        <v>12</v>
      </c>
      <c r="Q44" s="183">
        <v>1</v>
      </c>
      <c r="R44" s="184">
        <f t="shared" ref="R44" si="35">O44*P44*Q44</f>
        <v>735.02580000000012</v>
      </c>
      <c r="S44" s="181">
        <f>O44*1.07</f>
        <v>65.539800500000013</v>
      </c>
      <c r="T44" s="182">
        <f>'Program Budget'!T183</f>
        <v>9</v>
      </c>
      <c r="U44" s="183">
        <v>1</v>
      </c>
      <c r="V44" s="184">
        <f t="shared" ref="V44" si="36">S44*T44*U44</f>
        <v>589.85820450000006</v>
      </c>
      <c r="W44" s="320">
        <f t="shared" ref="W44" si="37">F44+J44+N44+R44+V44</f>
        <v>2803.8240045000002</v>
      </c>
      <c r="X44" s="187"/>
      <c r="Y44" s="174"/>
      <c r="Z44" s="188"/>
      <c r="AA44" s="188"/>
      <c r="AE44" s="148">
        <v>180</v>
      </c>
      <c r="AF44" s="189" t="s">
        <v>121</v>
      </c>
      <c r="AG44" s="189" t="s">
        <v>122</v>
      </c>
      <c r="AH44" s="190"/>
      <c r="AJ44" s="191"/>
    </row>
    <row r="45" spans="1:36" ht="15" customHeight="1" outlineLevel="1">
      <c r="A45" s="179" t="str">
        <f>'Program Budget'!D184</f>
        <v>Local Transportation for Staff for Communication Materials Development</v>
      </c>
      <c r="B45" s="180" t="str">
        <f>'Program Budget'!F184</f>
        <v>Trip</v>
      </c>
      <c r="C45" s="181">
        <f>'Program Budget'!H184</f>
        <v>300</v>
      </c>
      <c r="D45" s="182">
        <f>'Program Budget'!G184</f>
        <v>3</v>
      </c>
      <c r="E45" s="183">
        <v>1</v>
      </c>
      <c r="F45" s="184">
        <f t="shared" ref="F45" si="38">C45*D45*E45</f>
        <v>900</v>
      </c>
      <c r="G45" s="181">
        <f>C45*1.07</f>
        <v>321</v>
      </c>
      <c r="H45" s="182">
        <f>'Program Budget'!K184</f>
        <v>3</v>
      </c>
      <c r="I45" s="183">
        <v>1</v>
      </c>
      <c r="J45" s="184">
        <f t="shared" ref="J45" si="39">G45*H45*I45</f>
        <v>963</v>
      </c>
      <c r="K45" s="181">
        <f>G45*1.07</f>
        <v>343.47</v>
      </c>
      <c r="L45" s="182">
        <f>'Program Budget'!N184</f>
        <v>0</v>
      </c>
      <c r="M45" s="183">
        <v>0</v>
      </c>
      <c r="N45" s="184">
        <f t="shared" ref="N45" si="40">K45*L45*M45</f>
        <v>0</v>
      </c>
      <c r="O45" s="181">
        <f>K45*1.07</f>
        <v>367.51290000000006</v>
      </c>
      <c r="P45" s="182">
        <f>'Program Budget'!Q184</f>
        <v>0</v>
      </c>
      <c r="Q45" s="183">
        <v>0</v>
      </c>
      <c r="R45" s="184">
        <f t="shared" ref="R45" si="41">O45*P45*Q45</f>
        <v>0</v>
      </c>
      <c r="S45" s="181">
        <f>O45*1.07</f>
        <v>393.23880300000008</v>
      </c>
      <c r="T45" s="182">
        <f>'Program Budget'!T184</f>
        <v>0</v>
      </c>
      <c r="U45" s="183">
        <v>0</v>
      </c>
      <c r="V45" s="184">
        <f t="shared" ref="V45" si="42">S45*T45*U45</f>
        <v>0</v>
      </c>
      <c r="W45" s="320">
        <f t="shared" ref="W45" si="43">F45+J45+N45+R45+V45</f>
        <v>1863</v>
      </c>
      <c r="X45" s="187"/>
      <c r="Y45" s="174"/>
      <c r="Z45" s="188"/>
      <c r="AA45" s="188"/>
      <c r="AE45" s="148">
        <v>180</v>
      </c>
      <c r="AF45" s="189" t="s">
        <v>121</v>
      </c>
      <c r="AG45" s="189" t="s">
        <v>122</v>
      </c>
      <c r="AH45" s="190"/>
      <c r="AJ45" s="191"/>
    </row>
    <row r="46" spans="1:36" ht="15" customHeight="1" outlineLevel="1">
      <c r="A46" s="179" t="str">
        <f>'Program Budget'!D186</f>
        <v>Local Transportation for Staff to Attend Local Agriculture Events</v>
      </c>
      <c r="B46" s="180" t="str">
        <f>'Program Budget'!F186</f>
        <v>Trip</v>
      </c>
      <c r="C46" s="181">
        <f>'Program Budget'!H186</f>
        <v>200</v>
      </c>
      <c r="D46" s="182">
        <f>'Program Budget'!G186</f>
        <v>0</v>
      </c>
      <c r="E46" s="183">
        <v>0</v>
      </c>
      <c r="F46" s="184">
        <f t="shared" ref="F46:F53" si="44">C46*D46*E46</f>
        <v>0</v>
      </c>
      <c r="G46" s="181">
        <f t="shared" ref="G46:G54" si="45">C46*1.07</f>
        <v>214</v>
      </c>
      <c r="H46" s="182">
        <f>'Program Budget'!K186</f>
        <v>6</v>
      </c>
      <c r="I46" s="183">
        <v>1</v>
      </c>
      <c r="J46" s="184">
        <f t="shared" ref="J46:J53" si="46">G46*H46*I46</f>
        <v>1284</v>
      </c>
      <c r="K46" s="181">
        <f t="shared" ref="K46:K54" si="47">G46*1.07</f>
        <v>228.98000000000002</v>
      </c>
      <c r="L46" s="182">
        <f>'Program Budget'!N186</f>
        <v>6</v>
      </c>
      <c r="M46" s="183">
        <v>1</v>
      </c>
      <c r="N46" s="184">
        <f t="shared" ref="N46:N53" si="48">K46*L46*M46</f>
        <v>1373.88</v>
      </c>
      <c r="O46" s="181">
        <f t="shared" ref="O46:O54" si="49">K46*1.07</f>
        <v>245.00860000000003</v>
      </c>
      <c r="P46" s="182">
        <f>'Program Budget'!Q186</f>
        <v>6</v>
      </c>
      <c r="Q46" s="183">
        <v>1</v>
      </c>
      <c r="R46" s="184">
        <f t="shared" ref="R46:R53" si="50">O46*P46*Q46</f>
        <v>1470.0516000000002</v>
      </c>
      <c r="S46" s="181">
        <f t="shared" ref="S46:S53" si="51">O46*1.07</f>
        <v>262.15920200000005</v>
      </c>
      <c r="T46" s="182">
        <f>'Program Budget'!T186</f>
        <v>6</v>
      </c>
      <c r="U46" s="183">
        <v>1</v>
      </c>
      <c r="V46" s="184">
        <f t="shared" ref="V46:V53" si="52">S46*T46*U46</f>
        <v>1572.9552120000003</v>
      </c>
      <c r="W46" s="320">
        <f t="shared" ref="W46:W53" si="53">F46+J46+N46+R46+V46</f>
        <v>5700.8868120000006</v>
      </c>
      <c r="X46" s="187"/>
      <c r="Y46" s="174"/>
      <c r="Z46" s="188"/>
      <c r="AA46" s="188"/>
      <c r="AE46" s="148">
        <v>180</v>
      </c>
      <c r="AF46" s="189" t="s">
        <v>121</v>
      </c>
      <c r="AG46" s="189" t="s">
        <v>122</v>
      </c>
      <c r="AH46" s="190"/>
      <c r="AJ46" s="191"/>
    </row>
    <row r="47" spans="1:36" ht="15" customHeight="1" outlineLevel="1">
      <c r="A47" s="179" t="str">
        <f>'Program Budget'!D188</f>
        <v>Local Transportation for Leaders of Northern Tunisian Cooperatives to Attend Trainings</v>
      </c>
      <c r="B47" s="180" t="str">
        <f>'Program Budget'!F188</f>
        <v>Trip</v>
      </c>
      <c r="C47" s="181">
        <f>'Program Budget'!H188</f>
        <v>200</v>
      </c>
      <c r="D47" s="182">
        <f>'Program Budget'!G188</f>
        <v>0</v>
      </c>
      <c r="E47" s="183">
        <v>0</v>
      </c>
      <c r="F47" s="184">
        <f t="shared" ref="F47" si="54">C47*D47*E47</f>
        <v>0</v>
      </c>
      <c r="G47" s="181">
        <f t="shared" si="45"/>
        <v>214</v>
      </c>
      <c r="H47" s="182">
        <f>'Program Budget'!K188</f>
        <v>2</v>
      </c>
      <c r="I47" s="183">
        <v>1</v>
      </c>
      <c r="J47" s="184">
        <f t="shared" ref="J47" si="55">G47*H47*I47</f>
        <v>428</v>
      </c>
      <c r="K47" s="181">
        <f t="shared" si="47"/>
        <v>228.98000000000002</v>
      </c>
      <c r="L47" s="182">
        <f>'Program Budget'!N188</f>
        <v>2</v>
      </c>
      <c r="M47" s="183">
        <v>1</v>
      </c>
      <c r="N47" s="184">
        <f t="shared" ref="N47" si="56">K47*L47*M47</f>
        <v>457.96000000000004</v>
      </c>
      <c r="O47" s="181">
        <f t="shared" si="49"/>
        <v>245.00860000000003</v>
      </c>
      <c r="P47" s="182">
        <f>'Program Budget'!Q188</f>
        <v>0</v>
      </c>
      <c r="Q47" s="183">
        <v>0</v>
      </c>
      <c r="R47" s="184">
        <f t="shared" ref="R47" si="57">O47*P47*Q47</f>
        <v>0</v>
      </c>
      <c r="S47" s="181">
        <f t="shared" si="51"/>
        <v>262.15920200000005</v>
      </c>
      <c r="T47" s="182">
        <f>'Program Budget'!T188</f>
        <v>0</v>
      </c>
      <c r="U47" s="183">
        <v>0</v>
      </c>
      <c r="V47" s="184">
        <f t="shared" ref="V47" si="58">S47*T47*U47</f>
        <v>0</v>
      </c>
      <c r="W47" s="320">
        <f t="shared" ref="W47" si="59">F47+J47+N47+R47+V47</f>
        <v>885.96</v>
      </c>
      <c r="X47" s="187"/>
      <c r="Y47" s="174"/>
      <c r="Z47" s="188"/>
      <c r="AA47" s="188"/>
      <c r="AE47" s="148">
        <v>180</v>
      </c>
      <c r="AF47" s="189" t="s">
        <v>121</v>
      </c>
      <c r="AG47" s="189" t="s">
        <v>122</v>
      </c>
      <c r="AH47" s="190"/>
      <c r="AJ47" s="191"/>
    </row>
    <row r="48" spans="1:36" ht="15" customHeight="1" outlineLevel="1">
      <c r="A48" s="179" t="str">
        <f>'Program Budget'!D190</f>
        <v>Transport Stipends for Participants to Attend Farmer Field School</v>
      </c>
      <c r="B48" s="180" t="str">
        <f>'Program Budget'!F190</f>
        <v>Participant</v>
      </c>
      <c r="C48" s="181">
        <f>'Program Budget'!H190</f>
        <v>10</v>
      </c>
      <c r="D48" s="182">
        <f>'Program Budget'!G190</f>
        <v>500</v>
      </c>
      <c r="E48" s="183">
        <v>1</v>
      </c>
      <c r="F48" s="184">
        <f t="shared" si="44"/>
        <v>5000</v>
      </c>
      <c r="G48" s="181">
        <f t="shared" si="45"/>
        <v>10.700000000000001</v>
      </c>
      <c r="H48" s="182">
        <f>'Program Budget'!K190</f>
        <v>1000</v>
      </c>
      <c r="I48" s="183">
        <v>1</v>
      </c>
      <c r="J48" s="184">
        <f t="shared" si="46"/>
        <v>10700.000000000002</v>
      </c>
      <c r="K48" s="181">
        <f t="shared" si="47"/>
        <v>11.449000000000002</v>
      </c>
      <c r="L48" s="182">
        <f>'Program Budget'!N190</f>
        <v>500</v>
      </c>
      <c r="M48" s="183">
        <v>1</v>
      </c>
      <c r="N48" s="184">
        <f t="shared" si="48"/>
        <v>5724.5000000000009</v>
      </c>
      <c r="O48" s="181">
        <f t="shared" si="49"/>
        <v>12.250430000000003</v>
      </c>
      <c r="P48" s="182">
        <f>'Program Budget'!Q190</f>
        <v>0</v>
      </c>
      <c r="Q48" s="183">
        <v>0</v>
      </c>
      <c r="R48" s="184">
        <f t="shared" si="50"/>
        <v>0</v>
      </c>
      <c r="S48" s="181">
        <f t="shared" si="51"/>
        <v>13.107960100000005</v>
      </c>
      <c r="T48" s="182">
        <f>'Program Budget'!T190</f>
        <v>0</v>
      </c>
      <c r="U48" s="183">
        <v>0</v>
      </c>
      <c r="V48" s="184">
        <f t="shared" si="52"/>
        <v>0</v>
      </c>
      <c r="W48" s="320">
        <f t="shared" si="53"/>
        <v>21424.500000000004</v>
      </c>
      <c r="X48" s="187"/>
      <c r="Y48" s="174"/>
      <c r="Z48" s="188"/>
      <c r="AA48" s="188"/>
      <c r="AE48" s="148">
        <v>180</v>
      </c>
      <c r="AF48" s="189" t="s">
        <v>121</v>
      </c>
      <c r="AG48" s="189" t="s">
        <v>122</v>
      </c>
      <c r="AH48" s="190"/>
      <c r="AJ48" s="191"/>
    </row>
    <row r="49" spans="1:36" s="246" customFormat="1" ht="15.6" outlineLevel="1">
      <c r="A49" s="176" t="s">
        <v>93</v>
      </c>
      <c r="B49" s="202"/>
      <c r="C49" s="143"/>
      <c r="D49" s="144"/>
      <c r="E49" s="145"/>
      <c r="F49" s="184"/>
      <c r="G49" s="181"/>
      <c r="H49" s="144"/>
      <c r="I49" s="146"/>
      <c r="J49" s="184"/>
      <c r="K49" s="181"/>
      <c r="L49" s="144"/>
      <c r="M49" s="145"/>
      <c r="N49" s="184"/>
      <c r="O49" s="181"/>
      <c r="P49" s="144"/>
      <c r="Q49" s="146"/>
      <c r="R49" s="184"/>
      <c r="S49" s="181"/>
      <c r="T49" s="144"/>
      <c r="U49" s="146"/>
      <c r="V49" s="184"/>
      <c r="W49" s="320"/>
      <c r="X49" s="142"/>
      <c r="Y49" s="142"/>
      <c r="Z49" s="142"/>
      <c r="AA49" s="142"/>
      <c r="AB49" s="142"/>
      <c r="AC49" s="142"/>
      <c r="AD49" s="142"/>
      <c r="AE49" s="148"/>
      <c r="AF49" s="189"/>
      <c r="AG49" s="189"/>
      <c r="AH49" s="245"/>
      <c r="AJ49" s="142"/>
    </row>
    <row r="50" spans="1:36" ht="15" customHeight="1" outlineLevel="1">
      <c r="A50" s="179" t="str">
        <f>'Program Budget'!D182</f>
        <v>Vehicle Fuel Expense (for Field Office Vehicles)</v>
      </c>
      <c r="B50" s="180" t="str">
        <f>'Program Budget'!F182</f>
        <v>Month</v>
      </c>
      <c r="C50" s="181">
        <f>'Program Budget'!H182</f>
        <v>250</v>
      </c>
      <c r="D50" s="182">
        <f>'Program Budget'!G182</f>
        <v>3</v>
      </c>
      <c r="E50" s="183">
        <v>1</v>
      </c>
      <c r="F50" s="184">
        <f t="shared" si="44"/>
        <v>750</v>
      </c>
      <c r="G50" s="181">
        <f t="shared" si="45"/>
        <v>267.5</v>
      </c>
      <c r="H50" s="182">
        <f>'Program Budget'!K182</f>
        <v>12</v>
      </c>
      <c r="I50" s="183">
        <v>1</v>
      </c>
      <c r="J50" s="184">
        <f t="shared" si="46"/>
        <v>3210</v>
      </c>
      <c r="K50" s="181">
        <f t="shared" si="47"/>
        <v>286.22500000000002</v>
      </c>
      <c r="L50" s="182">
        <f>'Program Budget'!N182</f>
        <v>12</v>
      </c>
      <c r="M50" s="183">
        <v>1</v>
      </c>
      <c r="N50" s="184">
        <f t="shared" si="48"/>
        <v>3434.7000000000003</v>
      </c>
      <c r="O50" s="181">
        <f t="shared" si="49"/>
        <v>306.26075000000003</v>
      </c>
      <c r="P50" s="182">
        <f>'Program Budget'!Q182</f>
        <v>12</v>
      </c>
      <c r="Q50" s="183">
        <v>1</v>
      </c>
      <c r="R50" s="184">
        <f t="shared" si="50"/>
        <v>3675.1290000000004</v>
      </c>
      <c r="S50" s="181">
        <f t="shared" si="51"/>
        <v>327.69900250000006</v>
      </c>
      <c r="T50" s="182">
        <f>'Program Budget'!T182</f>
        <v>9</v>
      </c>
      <c r="U50" s="183">
        <v>1</v>
      </c>
      <c r="V50" s="184">
        <f t="shared" si="52"/>
        <v>2949.2910225000005</v>
      </c>
      <c r="W50" s="320">
        <f t="shared" si="53"/>
        <v>14019.120022500003</v>
      </c>
      <c r="X50" s="187"/>
      <c r="Y50" s="174"/>
      <c r="Z50" s="188"/>
      <c r="AA50" s="188"/>
      <c r="AE50" s="148">
        <v>180</v>
      </c>
      <c r="AF50" s="189" t="s">
        <v>121</v>
      </c>
      <c r="AG50" s="189" t="s">
        <v>122</v>
      </c>
      <c r="AH50" s="190"/>
      <c r="AJ50" s="191"/>
    </row>
    <row r="51" spans="1:36" s="246" customFormat="1" ht="15" customHeight="1" outlineLevel="1">
      <c r="A51" s="176" t="s">
        <v>96</v>
      </c>
      <c r="B51" s="202"/>
      <c r="C51" s="143"/>
      <c r="D51" s="144"/>
      <c r="E51" s="145"/>
      <c r="F51" s="184"/>
      <c r="G51" s="181"/>
      <c r="H51" s="144"/>
      <c r="I51" s="146"/>
      <c r="J51" s="184"/>
      <c r="K51" s="181"/>
      <c r="L51" s="144"/>
      <c r="M51" s="145"/>
      <c r="N51" s="184"/>
      <c r="O51" s="181"/>
      <c r="P51" s="144"/>
      <c r="Q51" s="146"/>
      <c r="R51" s="184"/>
      <c r="S51" s="181"/>
      <c r="T51" s="144"/>
      <c r="U51" s="146"/>
      <c r="V51" s="184"/>
      <c r="W51" s="320"/>
      <c r="X51" s="142"/>
      <c r="Y51" s="142"/>
      <c r="Z51" s="142"/>
      <c r="AA51" s="142"/>
      <c r="AB51" s="142"/>
      <c r="AC51" s="142"/>
      <c r="AD51" s="142"/>
      <c r="AE51" s="148"/>
      <c r="AF51" s="189"/>
      <c r="AG51" s="189"/>
      <c r="AH51" s="245"/>
      <c r="AJ51" s="142"/>
    </row>
    <row r="52" spans="1:36" ht="15" customHeight="1" outlineLevel="1">
      <c r="A52" s="179" t="str">
        <f>'Program Budget'!D185</f>
        <v>Lodging and M&amp;IE for Staff for Communication Materials Development</v>
      </c>
      <c r="B52" s="180" t="str">
        <f>'Program Budget'!F185</f>
        <v>Day</v>
      </c>
      <c r="C52" s="181">
        <f>'Program Budget'!H185</f>
        <v>129</v>
      </c>
      <c r="D52" s="182">
        <f>'Program Budget'!G185</f>
        <v>9</v>
      </c>
      <c r="E52" s="183">
        <v>1</v>
      </c>
      <c r="F52" s="184">
        <f t="shared" ref="F52" si="60">C52*D52*E52</f>
        <v>1161</v>
      </c>
      <c r="G52" s="181">
        <f t="shared" si="45"/>
        <v>138.03</v>
      </c>
      <c r="H52" s="182">
        <f>'Program Budget'!K185</f>
        <v>9</v>
      </c>
      <c r="I52" s="183">
        <v>1</v>
      </c>
      <c r="J52" s="184">
        <f t="shared" ref="J52" si="61">G52*H52*I52</f>
        <v>1242.27</v>
      </c>
      <c r="K52" s="181">
        <f t="shared" si="47"/>
        <v>147.69210000000001</v>
      </c>
      <c r="L52" s="182">
        <f>'Program Budget'!N185</f>
        <v>0</v>
      </c>
      <c r="M52" s="183">
        <v>0</v>
      </c>
      <c r="N52" s="184">
        <f t="shared" ref="N52" si="62">K52*L52*M52</f>
        <v>0</v>
      </c>
      <c r="O52" s="181">
        <f t="shared" si="49"/>
        <v>158.03054700000001</v>
      </c>
      <c r="P52" s="182">
        <f>'Program Budget'!Q185</f>
        <v>0</v>
      </c>
      <c r="Q52" s="183">
        <v>0</v>
      </c>
      <c r="R52" s="184">
        <f t="shared" ref="R52" si="63">O52*P52*Q52</f>
        <v>0</v>
      </c>
      <c r="S52" s="181">
        <f t="shared" si="51"/>
        <v>169.09268529000002</v>
      </c>
      <c r="T52" s="182">
        <f>'Program Budget'!T185</f>
        <v>0</v>
      </c>
      <c r="U52" s="183">
        <v>0</v>
      </c>
      <c r="V52" s="184">
        <f t="shared" ref="V52" si="64">S52*T52*U52</f>
        <v>0</v>
      </c>
      <c r="W52" s="320">
        <f t="shared" ref="W52" si="65">F52+J52+N52+R52+V52</f>
        <v>2403.27</v>
      </c>
      <c r="X52" s="187"/>
      <c r="Y52" s="174"/>
      <c r="Z52" s="188"/>
      <c r="AA52" s="188"/>
      <c r="AE52" s="148">
        <v>180</v>
      </c>
      <c r="AF52" s="189" t="s">
        <v>121</v>
      </c>
      <c r="AG52" s="189" t="s">
        <v>122</v>
      </c>
      <c r="AH52" s="190"/>
      <c r="AJ52" s="191"/>
    </row>
    <row r="53" spans="1:36" ht="15" customHeight="1" outlineLevel="1">
      <c r="A53" s="179" t="str">
        <f>'Program Budget'!D187</f>
        <v>Lodging and M&amp;IE for Staff to Attend Local Agriculture Events</v>
      </c>
      <c r="B53" s="180" t="str">
        <f>'Program Budget'!F187</f>
        <v>Day</v>
      </c>
      <c r="C53" s="181">
        <f>'Program Budget'!H187</f>
        <v>129</v>
      </c>
      <c r="D53" s="182">
        <f>'Program Budget'!G187</f>
        <v>0</v>
      </c>
      <c r="E53" s="183">
        <v>0</v>
      </c>
      <c r="F53" s="184">
        <f t="shared" si="44"/>
        <v>0</v>
      </c>
      <c r="G53" s="181">
        <f t="shared" si="45"/>
        <v>138.03</v>
      </c>
      <c r="H53" s="182">
        <f>'Program Budget'!K187</f>
        <v>18</v>
      </c>
      <c r="I53" s="183">
        <v>1</v>
      </c>
      <c r="J53" s="184">
        <f t="shared" si="46"/>
        <v>2484.54</v>
      </c>
      <c r="K53" s="181">
        <f t="shared" si="47"/>
        <v>147.69210000000001</v>
      </c>
      <c r="L53" s="182">
        <f>'Program Budget'!N187</f>
        <v>18</v>
      </c>
      <c r="M53" s="183">
        <v>1</v>
      </c>
      <c r="N53" s="184">
        <f t="shared" si="48"/>
        <v>2658.4578000000001</v>
      </c>
      <c r="O53" s="181">
        <f t="shared" si="49"/>
        <v>158.03054700000001</v>
      </c>
      <c r="P53" s="182">
        <f>'Program Budget'!Q187</f>
        <v>18</v>
      </c>
      <c r="Q53" s="183">
        <v>1</v>
      </c>
      <c r="R53" s="184">
        <f t="shared" si="50"/>
        <v>2844.5498460000003</v>
      </c>
      <c r="S53" s="181">
        <f t="shared" si="51"/>
        <v>169.09268529000002</v>
      </c>
      <c r="T53" s="182">
        <f>'Program Budget'!T187</f>
        <v>18</v>
      </c>
      <c r="U53" s="183">
        <v>1</v>
      </c>
      <c r="V53" s="184">
        <f t="shared" si="52"/>
        <v>3043.6683352200002</v>
      </c>
      <c r="W53" s="320">
        <f t="shared" si="53"/>
        <v>11031.215981220001</v>
      </c>
      <c r="X53" s="187"/>
      <c r="Y53" s="174"/>
      <c r="Z53" s="188"/>
      <c r="AA53" s="188"/>
      <c r="AE53" s="148">
        <v>180</v>
      </c>
      <c r="AF53" s="189" t="s">
        <v>121</v>
      </c>
      <c r="AG53" s="189" t="s">
        <v>122</v>
      </c>
      <c r="AH53" s="190"/>
      <c r="AJ53" s="191"/>
    </row>
    <row r="54" spans="1:36" ht="15" customHeight="1" outlineLevel="1">
      <c r="A54" s="179" t="str">
        <f>'Program Budget'!D189</f>
        <v>Lodging and M&amp;IE for Staff Leaders of Northern Tunisian Cooperatives to Attend Trainings</v>
      </c>
      <c r="B54" s="180" t="str">
        <f>'Program Budget'!F189</f>
        <v>Day</v>
      </c>
      <c r="C54" s="181">
        <f>'Program Budget'!H189</f>
        <v>129</v>
      </c>
      <c r="D54" s="182">
        <f>'Program Budget'!G189</f>
        <v>0</v>
      </c>
      <c r="E54" s="183">
        <v>0</v>
      </c>
      <c r="F54" s="184">
        <f t="shared" ref="F54" si="66">C54*D54*E54</f>
        <v>0</v>
      </c>
      <c r="G54" s="181">
        <f t="shared" si="45"/>
        <v>138.03</v>
      </c>
      <c r="H54" s="182">
        <f>'Program Budget'!K189</f>
        <v>6</v>
      </c>
      <c r="I54" s="183">
        <v>1</v>
      </c>
      <c r="J54" s="184">
        <f t="shared" ref="J54" si="67">G54*H54*I54</f>
        <v>828.18000000000006</v>
      </c>
      <c r="K54" s="181">
        <f t="shared" si="47"/>
        <v>147.69210000000001</v>
      </c>
      <c r="L54" s="182">
        <f>'Program Budget'!N189</f>
        <v>6</v>
      </c>
      <c r="M54" s="183">
        <v>1</v>
      </c>
      <c r="N54" s="184">
        <f t="shared" ref="N54" si="68">K54*L54*M54</f>
        <v>886.15260000000012</v>
      </c>
      <c r="O54" s="181">
        <f t="shared" si="49"/>
        <v>158.03054700000001</v>
      </c>
      <c r="P54" s="182">
        <f>'Program Budget'!Q189</f>
        <v>0</v>
      </c>
      <c r="Q54" s="183">
        <v>0</v>
      </c>
      <c r="R54" s="184">
        <f t="shared" ref="R54" si="69">O54*P54*Q54</f>
        <v>0</v>
      </c>
      <c r="S54" s="181">
        <f>O54*1.07</f>
        <v>169.09268529000002</v>
      </c>
      <c r="T54" s="182">
        <f>'Program Budget'!T189</f>
        <v>0</v>
      </c>
      <c r="U54" s="183">
        <v>0</v>
      </c>
      <c r="V54" s="184">
        <f t="shared" ref="V54" si="70">S54*T54*U54</f>
        <v>0</v>
      </c>
      <c r="W54" s="320">
        <f t="shared" ref="W54" si="71">F54+J54+N54+R54+V54</f>
        <v>1714.3326000000002</v>
      </c>
      <c r="X54" s="187"/>
      <c r="Y54" s="174"/>
      <c r="Z54" s="188"/>
      <c r="AA54" s="188"/>
      <c r="AE54" s="148">
        <v>180</v>
      </c>
      <c r="AF54" s="189" t="s">
        <v>121</v>
      </c>
      <c r="AG54" s="189" t="s">
        <v>122</v>
      </c>
      <c r="AH54" s="190"/>
      <c r="AJ54" s="191"/>
    </row>
    <row r="55" spans="1:36" ht="15" customHeight="1" outlineLevel="1">
      <c r="A55" s="179"/>
      <c r="B55" s="180"/>
      <c r="C55" s="181"/>
      <c r="D55" s="182"/>
      <c r="E55" s="183"/>
      <c r="F55" s="184"/>
      <c r="G55" s="181"/>
      <c r="H55" s="182"/>
      <c r="I55" s="183"/>
      <c r="J55" s="184"/>
      <c r="K55" s="181"/>
      <c r="L55" s="182"/>
      <c r="M55" s="183"/>
      <c r="N55" s="184"/>
      <c r="O55" s="181"/>
      <c r="P55" s="182"/>
      <c r="Q55" s="183"/>
      <c r="R55" s="184"/>
      <c r="S55" s="181"/>
      <c r="T55" s="182"/>
      <c r="U55" s="183"/>
      <c r="V55" s="184"/>
      <c r="W55" s="320"/>
      <c r="X55" s="187"/>
      <c r="Y55" s="174"/>
      <c r="Z55" s="188"/>
      <c r="AA55" s="188"/>
      <c r="AE55" s="148"/>
      <c r="AF55" s="193"/>
      <c r="AG55" s="193"/>
      <c r="AH55" s="190"/>
      <c r="AJ55" s="191"/>
    </row>
    <row r="56" spans="1:36" ht="18.3">
      <c r="A56" s="247" t="s">
        <v>97</v>
      </c>
      <c r="B56" s="213"/>
      <c r="C56" s="214"/>
      <c r="D56" s="248"/>
      <c r="E56" s="249"/>
      <c r="F56" s="217">
        <f>SUM(F43:F55)</f>
        <v>7961</v>
      </c>
      <c r="G56" s="214"/>
      <c r="H56" s="248"/>
      <c r="I56" s="218"/>
      <c r="J56" s="217">
        <f>SUM(J43:J55)</f>
        <v>21781.99</v>
      </c>
      <c r="K56" s="214"/>
      <c r="L56" s="248"/>
      <c r="M56" s="249"/>
      <c r="N56" s="217">
        <f>SUM(N43:N55)</f>
        <v>15222.590400000001</v>
      </c>
      <c r="O56" s="214"/>
      <c r="P56" s="248"/>
      <c r="Q56" s="218"/>
      <c r="R56" s="217">
        <f>SUM(R43:R55)</f>
        <v>8724.7562460000008</v>
      </c>
      <c r="S56" s="214"/>
      <c r="T56" s="248"/>
      <c r="U56" s="218"/>
      <c r="V56" s="217">
        <f>SUM(V43:V55)</f>
        <v>8155.7727742200004</v>
      </c>
      <c r="W56" s="323">
        <f>+F56+J56+N56+R56+V56</f>
        <v>61846.109420220011</v>
      </c>
      <c r="X56" s="148"/>
      <c r="Y56" s="148"/>
      <c r="Z56" s="148"/>
      <c r="AA56" s="148"/>
      <c r="AB56" s="148"/>
      <c r="AE56" s="148"/>
      <c r="AF56" s="175"/>
      <c r="AG56" s="175" t="s">
        <v>120</v>
      </c>
      <c r="AH56" s="175"/>
    </row>
    <row r="57" spans="1:36" ht="15.6" outlineLevel="1">
      <c r="A57" s="176" t="s">
        <v>49</v>
      </c>
      <c r="B57" s="250"/>
      <c r="D57" s="251"/>
      <c r="E57" s="252"/>
      <c r="F57" s="234"/>
      <c r="H57" s="251"/>
      <c r="I57" s="253"/>
      <c r="J57" s="207"/>
      <c r="L57" s="251"/>
      <c r="M57" s="252"/>
      <c r="N57" s="207"/>
      <c r="P57" s="251"/>
      <c r="Q57" s="253"/>
      <c r="R57" s="207"/>
      <c r="T57" s="251"/>
      <c r="U57" s="253"/>
      <c r="V57" s="207"/>
      <c r="W57" s="320"/>
      <c r="AE57" s="148"/>
      <c r="AF57" s="189"/>
      <c r="AG57" s="254"/>
    </row>
    <row r="58" spans="1:36" ht="15.6" outlineLevel="1">
      <c r="A58" s="255" t="str">
        <f>'Program Budget'!D168</f>
        <v>Contract for Development of Materials for Communications Campaign (includes budget for videos, social media reels, etc.)</v>
      </c>
      <c r="B58" s="180" t="str">
        <f>'Program Budget'!F168</f>
        <v>Year</v>
      </c>
      <c r="C58" s="181">
        <f>'Program Budget'!H168</f>
        <v>100000</v>
      </c>
      <c r="D58" s="182">
        <f>'Program Budget'!G168</f>
        <v>0.5</v>
      </c>
      <c r="E58" s="183">
        <v>1</v>
      </c>
      <c r="F58" s="184">
        <f t="shared" ref="F58:F63" si="72">C58*D58*E58</f>
        <v>50000</v>
      </c>
      <c r="G58" s="181">
        <f t="shared" ref="G58:G63" si="73">C58</f>
        <v>100000</v>
      </c>
      <c r="H58" s="182">
        <f>'Program Budget'!K168</f>
        <v>0.5</v>
      </c>
      <c r="I58" s="183">
        <v>1</v>
      </c>
      <c r="J58" s="184">
        <f t="shared" ref="J58:J63" si="74">G58*H58*I58</f>
        <v>50000</v>
      </c>
      <c r="K58" s="181">
        <f t="shared" ref="K58:K63" si="75">G58</f>
        <v>100000</v>
      </c>
      <c r="L58" s="182">
        <f>'Program Budget'!N168</f>
        <v>0</v>
      </c>
      <c r="M58" s="183">
        <v>0</v>
      </c>
      <c r="N58" s="184">
        <f t="shared" ref="N58:N63" si="76">K58*L58*M58</f>
        <v>0</v>
      </c>
      <c r="O58" s="181">
        <f t="shared" ref="O58:O63" si="77">K58</f>
        <v>100000</v>
      </c>
      <c r="P58" s="182">
        <f>'Program Budget'!Q168</f>
        <v>0</v>
      </c>
      <c r="Q58" s="183">
        <v>0</v>
      </c>
      <c r="R58" s="184">
        <f t="shared" ref="R58:R63" si="78">O58*P58*Q58</f>
        <v>0</v>
      </c>
      <c r="S58" s="181">
        <f t="shared" ref="S58:S63" si="79">O58</f>
        <v>100000</v>
      </c>
      <c r="T58" s="182">
        <f>'Program Budget'!T168</f>
        <v>0</v>
      </c>
      <c r="U58" s="183">
        <v>0</v>
      </c>
      <c r="V58" s="184">
        <f t="shared" ref="V58:V63" si="80">S58*T58*U58</f>
        <v>0</v>
      </c>
      <c r="W58" s="320">
        <f t="shared" ref="W58:W63" si="81">F58+J58+N58+R58+V58</f>
        <v>100000</v>
      </c>
      <c r="AE58" s="148"/>
      <c r="AF58" s="189"/>
      <c r="AG58" s="254"/>
    </row>
    <row r="59" spans="1:36" ht="15.6" outlineLevel="1">
      <c r="A59" s="255" t="str">
        <f>'Program Budget'!D169</f>
        <v>Contract for Communications Campaign Dissemination</v>
      </c>
      <c r="B59" s="180" t="str">
        <f>'Program Budget'!F169</f>
        <v>Year</v>
      </c>
      <c r="C59" s="181">
        <f>'Program Budget'!H169</f>
        <v>25000</v>
      </c>
      <c r="D59" s="182">
        <f>'Program Budget'!G169</f>
        <v>0</v>
      </c>
      <c r="E59" s="183">
        <v>0</v>
      </c>
      <c r="F59" s="184">
        <f t="shared" si="72"/>
        <v>0</v>
      </c>
      <c r="G59" s="181">
        <f t="shared" si="73"/>
        <v>25000</v>
      </c>
      <c r="H59" s="182">
        <f>'Program Budget'!K169</f>
        <v>1</v>
      </c>
      <c r="I59" s="183">
        <v>1</v>
      </c>
      <c r="J59" s="184">
        <f t="shared" si="74"/>
        <v>25000</v>
      </c>
      <c r="K59" s="181">
        <f t="shared" si="75"/>
        <v>25000</v>
      </c>
      <c r="L59" s="182">
        <f>'Program Budget'!N169</f>
        <v>1</v>
      </c>
      <c r="M59" s="183">
        <v>1</v>
      </c>
      <c r="N59" s="184">
        <f t="shared" si="76"/>
        <v>25000</v>
      </c>
      <c r="O59" s="181">
        <f t="shared" si="77"/>
        <v>25000</v>
      </c>
      <c r="P59" s="182">
        <f>'Program Budget'!Q169</f>
        <v>1</v>
      </c>
      <c r="Q59" s="183">
        <v>1</v>
      </c>
      <c r="R59" s="184">
        <f t="shared" si="78"/>
        <v>25000</v>
      </c>
      <c r="S59" s="181">
        <f t="shared" si="79"/>
        <v>25000</v>
      </c>
      <c r="T59" s="182">
        <f>'Program Budget'!T169</f>
        <v>1</v>
      </c>
      <c r="U59" s="183">
        <v>1</v>
      </c>
      <c r="V59" s="184">
        <f t="shared" si="80"/>
        <v>25000</v>
      </c>
      <c r="W59" s="320">
        <f t="shared" si="81"/>
        <v>100000</v>
      </c>
      <c r="AE59" s="148"/>
      <c r="AF59" s="189"/>
      <c r="AG59" s="254"/>
    </row>
    <row r="60" spans="1:36" ht="15.6" outlineLevel="1">
      <c r="A60" s="255" t="str">
        <f>'Program Budget'!D170</f>
        <v>Contract for Private Agriculture Service Providers (PASPs) to Manage Model Farms and Training for Farmer Field Days</v>
      </c>
      <c r="B60" s="180" t="str">
        <f>'Program Budget'!F170</f>
        <v>Day</v>
      </c>
      <c r="C60" s="181">
        <f>'Program Budget'!H170</f>
        <v>700</v>
      </c>
      <c r="D60" s="182">
        <f>'Program Budget'!G170</f>
        <v>8</v>
      </c>
      <c r="E60" s="183">
        <v>1</v>
      </c>
      <c r="F60" s="184">
        <f t="shared" si="72"/>
        <v>5600</v>
      </c>
      <c r="G60" s="181">
        <f t="shared" si="73"/>
        <v>700</v>
      </c>
      <c r="H60" s="182">
        <f>'Program Budget'!K170</f>
        <v>16</v>
      </c>
      <c r="I60" s="183">
        <v>1</v>
      </c>
      <c r="J60" s="184">
        <f t="shared" si="74"/>
        <v>11200</v>
      </c>
      <c r="K60" s="181">
        <f t="shared" si="75"/>
        <v>700</v>
      </c>
      <c r="L60" s="182">
        <f>'Program Budget'!N170</f>
        <v>8</v>
      </c>
      <c r="M60" s="183">
        <v>1</v>
      </c>
      <c r="N60" s="184">
        <f t="shared" si="76"/>
        <v>5600</v>
      </c>
      <c r="O60" s="181">
        <f t="shared" si="77"/>
        <v>700</v>
      </c>
      <c r="P60" s="182">
        <f>'Program Budget'!Q170</f>
        <v>0</v>
      </c>
      <c r="Q60" s="183">
        <v>0</v>
      </c>
      <c r="R60" s="184">
        <f t="shared" si="78"/>
        <v>0</v>
      </c>
      <c r="S60" s="181">
        <f t="shared" si="79"/>
        <v>700</v>
      </c>
      <c r="T60" s="182">
        <f>'Program Budget'!T170</f>
        <v>0</v>
      </c>
      <c r="U60" s="183">
        <v>0</v>
      </c>
      <c r="V60" s="184">
        <f t="shared" si="80"/>
        <v>0</v>
      </c>
      <c r="W60" s="320">
        <f t="shared" si="81"/>
        <v>22400</v>
      </c>
      <c r="AE60" s="148"/>
      <c r="AF60" s="189"/>
      <c r="AG60" s="254"/>
    </row>
    <row r="61" spans="1:36" ht="15.6" outlineLevel="1">
      <c r="A61" s="255" t="str">
        <f>'Program Budget'!D171</f>
        <v xml:space="preserve">Consultant for Producer Organization Capacity Building </v>
      </c>
      <c r="B61" s="180" t="str">
        <f>'Program Budget'!F171</f>
        <v>Month</v>
      </c>
      <c r="C61" s="181">
        <f>'Program Budget'!H171</f>
        <v>4500</v>
      </c>
      <c r="D61" s="182">
        <f>'Program Budget'!G171</f>
        <v>0</v>
      </c>
      <c r="E61" s="183">
        <v>0</v>
      </c>
      <c r="F61" s="184">
        <f t="shared" si="72"/>
        <v>0</v>
      </c>
      <c r="G61" s="181">
        <f t="shared" si="73"/>
        <v>4500</v>
      </c>
      <c r="H61" s="182">
        <f>'Program Budget'!K171</f>
        <v>3</v>
      </c>
      <c r="I61" s="183">
        <v>1</v>
      </c>
      <c r="J61" s="184">
        <f t="shared" si="74"/>
        <v>13500</v>
      </c>
      <c r="K61" s="181">
        <f t="shared" si="75"/>
        <v>4500</v>
      </c>
      <c r="L61" s="182">
        <f>'Program Budget'!N171</f>
        <v>3</v>
      </c>
      <c r="M61" s="183">
        <v>1</v>
      </c>
      <c r="N61" s="184">
        <f t="shared" si="76"/>
        <v>13500</v>
      </c>
      <c r="O61" s="181">
        <f t="shared" si="77"/>
        <v>4500</v>
      </c>
      <c r="P61" s="182">
        <f>'Program Budget'!Q171</f>
        <v>0</v>
      </c>
      <c r="Q61" s="183">
        <v>0</v>
      </c>
      <c r="R61" s="184">
        <f t="shared" si="78"/>
        <v>0</v>
      </c>
      <c r="S61" s="181">
        <f t="shared" si="79"/>
        <v>4500</v>
      </c>
      <c r="T61" s="182">
        <f>'Program Budget'!T171</f>
        <v>0</v>
      </c>
      <c r="U61" s="183">
        <v>0</v>
      </c>
      <c r="V61" s="184">
        <f t="shared" si="80"/>
        <v>0</v>
      </c>
      <c r="W61" s="320">
        <f t="shared" si="81"/>
        <v>27000</v>
      </c>
      <c r="AE61" s="148"/>
      <c r="AF61" s="189"/>
      <c r="AG61" s="254"/>
    </row>
    <row r="62" spans="1:36" ht="15.6" outlineLevel="1">
      <c r="A62" s="255" t="str">
        <f>'Program Budget'!D172</f>
        <v>Consultant (Financial &amp; Legal) to Advise on Grant Mechanism and Blended Finance Structure</v>
      </c>
      <c r="B62" s="180" t="str">
        <f>'Program Budget'!F172</f>
        <v>Day</v>
      </c>
      <c r="C62" s="181">
        <f>'Program Budget'!H172</f>
        <v>625</v>
      </c>
      <c r="D62" s="182">
        <f>'Program Budget'!G172</f>
        <v>20</v>
      </c>
      <c r="E62" s="183">
        <v>1</v>
      </c>
      <c r="F62" s="184">
        <f t="shared" si="72"/>
        <v>12500</v>
      </c>
      <c r="G62" s="181">
        <f t="shared" si="73"/>
        <v>625</v>
      </c>
      <c r="H62" s="182">
        <f>'Program Budget'!K172</f>
        <v>0</v>
      </c>
      <c r="I62" s="183">
        <v>0</v>
      </c>
      <c r="J62" s="184">
        <f t="shared" si="74"/>
        <v>0</v>
      </c>
      <c r="K62" s="181">
        <f t="shared" si="75"/>
        <v>625</v>
      </c>
      <c r="L62" s="182">
        <f>'Program Budget'!N172</f>
        <v>0</v>
      </c>
      <c r="M62" s="183">
        <v>0</v>
      </c>
      <c r="N62" s="184">
        <f t="shared" si="76"/>
        <v>0</v>
      </c>
      <c r="O62" s="181">
        <f t="shared" si="77"/>
        <v>625</v>
      </c>
      <c r="P62" s="182">
        <f>'Program Budget'!Q172</f>
        <v>0</v>
      </c>
      <c r="Q62" s="183">
        <v>0</v>
      </c>
      <c r="R62" s="184">
        <f t="shared" si="78"/>
        <v>0</v>
      </c>
      <c r="S62" s="181">
        <f t="shared" si="79"/>
        <v>625</v>
      </c>
      <c r="T62" s="182">
        <f>'Program Budget'!T172</f>
        <v>0</v>
      </c>
      <c r="U62" s="183">
        <v>0</v>
      </c>
      <c r="V62" s="184">
        <f t="shared" si="80"/>
        <v>0</v>
      </c>
      <c r="W62" s="320">
        <f t="shared" si="81"/>
        <v>12500</v>
      </c>
      <c r="AE62" s="148"/>
      <c r="AF62" s="189"/>
      <c r="AG62" s="254"/>
    </row>
    <row r="63" spans="1:36" ht="15.6" outlineLevel="1">
      <c r="A63" s="255" t="str">
        <f>'Program Budget'!D173</f>
        <v>Security Services, Risk Assessments, &amp; Security Assessment</v>
      </c>
      <c r="B63" s="180" t="str">
        <f>'Program Budget'!F173</f>
        <v>Year</v>
      </c>
      <c r="C63" s="181">
        <f>'Program Budget'!H173</f>
        <v>5000</v>
      </c>
      <c r="D63" s="182">
        <f>'Program Budget'!G173</f>
        <v>1</v>
      </c>
      <c r="E63" s="183">
        <v>1</v>
      </c>
      <c r="F63" s="184">
        <f t="shared" si="72"/>
        <v>5000</v>
      </c>
      <c r="G63" s="181">
        <f t="shared" si="73"/>
        <v>5000</v>
      </c>
      <c r="H63" s="182">
        <f>'Program Budget'!K173</f>
        <v>1</v>
      </c>
      <c r="I63" s="183">
        <v>1</v>
      </c>
      <c r="J63" s="184">
        <f t="shared" si="74"/>
        <v>5000</v>
      </c>
      <c r="K63" s="181">
        <f t="shared" si="75"/>
        <v>5000</v>
      </c>
      <c r="L63" s="182">
        <f>'Program Budget'!N173</f>
        <v>1</v>
      </c>
      <c r="M63" s="183">
        <v>1</v>
      </c>
      <c r="N63" s="184">
        <f t="shared" si="76"/>
        <v>5000</v>
      </c>
      <c r="O63" s="181">
        <f t="shared" si="77"/>
        <v>5000</v>
      </c>
      <c r="P63" s="182">
        <f>'Program Budget'!Q173</f>
        <v>1</v>
      </c>
      <c r="Q63" s="183">
        <v>1</v>
      </c>
      <c r="R63" s="184">
        <f t="shared" si="78"/>
        <v>5000</v>
      </c>
      <c r="S63" s="181">
        <f t="shared" si="79"/>
        <v>5000</v>
      </c>
      <c r="T63" s="182">
        <f>'Program Budget'!T173</f>
        <v>1</v>
      </c>
      <c r="U63" s="183">
        <v>1</v>
      </c>
      <c r="V63" s="184">
        <f t="shared" si="80"/>
        <v>5000</v>
      </c>
      <c r="W63" s="320">
        <f t="shared" si="81"/>
        <v>25000</v>
      </c>
      <c r="AE63" s="148"/>
      <c r="AF63" s="189"/>
      <c r="AG63" s="254"/>
    </row>
    <row r="64" spans="1:36" ht="15.6" outlineLevel="1">
      <c r="A64" s="255"/>
      <c r="B64" s="180"/>
      <c r="C64" s="181"/>
      <c r="D64" s="182"/>
      <c r="E64" s="183"/>
      <c r="F64" s="184"/>
      <c r="G64" s="181"/>
      <c r="H64" s="182"/>
      <c r="I64" s="183"/>
      <c r="J64" s="184"/>
      <c r="K64" s="181"/>
      <c r="L64" s="182"/>
      <c r="M64" s="183"/>
      <c r="N64" s="184"/>
      <c r="O64" s="181"/>
      <c r="P64" s="182"/>
      <c r="Q64" s="183"/>
      <c r="R64" s="184"/>
      <c r="S64" s="181"/>
      <c r="T64" s="182"/>
      <c r="U64" s="183"/>
      <c r="V64" s="184"/>
      <c r="W64" s="320"/>
      <c r="AE64" s="148"/>
      <c r="AF64" s="189"/>
      <c r="AG64" s="254"/>
    </row>
    <row r="65" spans="1:33" ht="18.3" outlineLevel="1">
      <c r="A65" s="247" t="s">
        <v>98</v>
      </c>
      <c r="B65" s="213"/>
      <c r="C65" s="214"/>
      <c r="D65" s="248"/>
      <c r="E65" s="249"/>
      <c r="F65" s="217">
        <f>SUM(F58:F64)</f>
        <v>73100</v>
      </c>
      <c r="G65" s="214"/>
      <c r="H65" s="248"/>
      <c r="I65" s="218"/>
      <c r="J65" s="217">
        <f>SUM(J58:J64)</f>
        <v>104700</v>
      </c>
      <c r="K65" s="214"/>
      <c r="L65" s="248"/>
      <c r="M65" s="249"/>
      <c r="N65" s="217">
        <f>SUM(N58:N64)</f>
        <v>49100</v>
      </c>
      <c r="O65" s="214"/>
      <c r="P65" s="248"/>
      <c r="Q65" s="218"/>
      <c r="R65" s="217">
        <f>SUM(R58:R64)</f>
        <v>30000</v>
      </c>
      <c r="S65" s="214"/>
      <c r="T65" s="248"/>
      <c r="U65" s="218"/>
      <c r="V65" s="217">
        <f>SUM(V58:V64)</f>
        <v>30000</v>
      </c>
      <c r="W65" s="323">
        <f>+F65+J65+N65+R65+V65</f>
        <v>286900</v>
      </c>
      <c r="AE65" s="148"/>
      <c r="AF65" s="189"/>
      <c r="AG65" s="254"/>
    </row>
    <row r="66" spans="1:33" ht="15.6" outlineLevel="1">
      <c r="A66" s="176" t="s">
        <v>99</v>
      </c>
      <c r="B66" s="259"/>
      <c r="D66" s="251"/>
      <c r="F66" s="184"/>
      <c r="H66" s="251"/>
      <c r="J66" s="186"/>
      <c r="L66" s="251"/>
      <c r="N66" s="186"/>
      <c r="P66" s="251"/>
      <c r="R66" s="186"/>
      <c r="T66" s="251"/>
      <c r="V66" s="186"/>
      <c r="W66" s="320"/>
      <c r="AE66" s="148"/>
    </row>
    <row r="67" spans="1:33" outlineLevel="1">
      <c r="A67" s="179" t="s">
        <v>75</v>
      </c>
      <c r="B67" s="202"/>
      <c r="D67" s="260"/>
      <c r="F67" s="184">
        <f>C67*D67*E67</f>
        <v>0</v>
      </c>
      <c r="H67" s="260"/>
      <c r="I67" s="145"/>
      <c r="J67" s="184">
        <f t="shared" ref="J67" si="82">G67*H67*I67</f>
        <v>0</v>
      </c>
      <c r="L67" s="260"/>
      <c r="N67" s="184">
        <f t="shared" ref="N67" si="83">K67*L67*M67</f>
        <v>0</v>
      </c>
      <c r="P67" s="260"/>
      <c r="Q67" s="145"/>
      <c r="R67" s="184">
        <f t="shared" ref="R67" si="84">O67*P67*Q67</f>
        <v>0</v>
      </c>
      <c r="T67" s="260"/>
      <c r="U67" s="145"/>
      <c r="V67" s="184">
        <f t="shared" ref="V67" si="85">S67*T67*U67</f>
        <v>0</v>
      </c>
      <c r="W67" s="320">
        <f t="shared" ref="W67" si="86">F67+J67+N67+R67+V67</f>
        <v>0</v>
      </c>
      <c r="AE67" s="148">
        <v>298</v>
      </c>
      <c r="AF67" s="189" t="s">
        <v>149</v>
      </c>
      <c r="AG67" s="189" t="s">
        <v>150</v>
      </c>
    </row>
    <row r="68" spans="1:33" ht="18.3" outlineLevel="1">
      <c r="A68" s="247" t="s">
        <v>100</v>
      </c>
      <c r="B68" s="213"/>
      <c r="C68" s="214"/>
      <c r="D68" s="248"/>
      <c r="E68" s="249"/>
      <c r="F68" s="217">
        <f>SUM(F67:F67)</f>
        <v>0</v>
      </c>
      <c r="G68" s="214"/>
      <c r="H68" s="248"/>
      <c r="I68" s="218"/>
      <c r="J68" s="217">
        <f>SUM(J67:J67)</f>
        <v>0</v>
      </c>
      <c r="K68" s="214"/>
      <c r="L68" s="248"/>
      <c r="M68" s="249"/>
      <c r="N68" s="217">
        <f>SUM(N67:N67)</f>
        <v>0</v>
      </c>
      <c r="O68" s="214"/>
      <c r="P68" s="248"/>
      <c r="Q68" s="218"/>
      <c r="R68" s="217">
        <f>SUM(R67:R67)</f>
        <v>0</v>
      </c>
      <c r="S68" s="214"/>
      <c r="T68" s="248"/>
      <c r="U68" s="218"/>
      <c r="V68" s="217">
        <f>SUM(V67:V67)</f>
        <v>0</v>
      </c>
      <c r="W68" s="323">
        <f>+F68+J68+N68+R68+V68</f>
        <v>0</v>
      </c>
      <c r="AE68" s="148"/>
      <c r="AF68" s="189"/>
      <c r="AG68" s="254"/>
    </row>
    <row r="69" spans="1:33" ht="15.6" outlineLevel="1">
      <c r="A69" s="176" t="s">
        <v>32</v>
      </c>
      <c r="B69" s="202"/>
      <c r="D69" s="251"/>
      <c r="F69" s="184"/>
      <c r="H69" s="251"/>
      <c r="I69" s="145"/>
      <c r="J69" s="184"/>
      <c r="L69" s="251"/>
      <c r="N69" s="184"/>
      <c r="P69" s="251"/>
      <c r="Q69" s="145"/>
      <c r="R69" s="184"/>
      <c r="T69" s="251"/>
      <c r="U69" s="145"/>
      <c r="V69" s="184"/>
      <c r="W69" s="320"/>
      <c r="AE69" s="148"/>
      <c r="AF69" s="189"/>
      <c r="AG69" s="189"/>
    </row>
    <row r="70" spans="1:33" outlineLevel="1">
      <c r="A70" s="179" t="s">
        <v>75</v>
      </c>
      <c r="B70" s="202"/>
      <c r="D70" s="251"/>
      <c r="F70" s="184">
        <f>C70*D70*E70</f>
        <v>0</v>
      </c>
      <c r="H70" s="251"/>
      <c r="I70" s="145"/>
      <c r="J70" s="184">
        <f>G70*H70*I70</f>
        <v>0</v>
      </c>
      <c r="L70" s="251"/>
      <c r="N70" s="184">
        <f>K70*L70*M70</f>
        <v>0</v>
      </c>
      <c r="P70" s="251"/>
      <c r="Q70" s="145"/>
      <c r="R70" s="184">
        <f>O70*P70*Q70</f>
        <v>0</v>
      </c>
      <c r="T70" s="251"/>
      <c r="U70" s="145"/>
      <c r="V70" s="184">
        <f>S70*T70*U70</f>
        <v>0</v>
      </c>
      <c r="W70" s="320">
        <f t="shared" ref="W70" si="87">F70+J70+N70+R70+V70</f>
        <v>0</v>
      </c>
      <c r="AE70" s="148"/>
      <c r="AF70" s="189"/>
      <c r="AG70" s="189"/>
    </row>
    <row r="71" spans="1:33" ht="18.3" outlineLevel="1">
      <c r="A71" s="247" t="s">
        <v>101</v>
      </c>
      <c r="B71" s="213"/>
      <c r="C71" s="214"/>
      <c r="D71" s="248"/>
      <c r="E71" s="249"/>
      <c r="F71" s="217">
        <f>SUM(F67:F67)</f>
        <v>0</v>
      </c>
      <c r="G71" s="214"/>
      <c r="H71" s="248"/>
      <c r="I71" s="218"/>
      <c r="J71" s="217">
        <f>SUM(J67:J67)</f>
        <v>0</v>
      </c>
      <c r="K71" s="214"/>
      <c r="L71" s="248"/>
      <c r="M71" s="249"/>
      <c r="N71" s="217">
        <f>SUM(N67:N67)</f>
        <v>0</v>
      </c>
      <c r="O71" s="214"/>
      <c r="P71" s="248"/>
      <c r="Q71" s="218"/>
      <c r="R71" s="217">
        <f>SUM(R67:R67)</f>
        <v>0</v>
      </c>
      <c r="S71" s="214"/>
      <c r="T71" s="248"/>
      <c r="U71" s="218"/>
      <c r="V71" s="217">
        <f>SUM(V67:V67)</f>
        <v>0</v>
      </c>
      <c r="W71" s="323">
        <f>+F71+J71+N71+R71+V71</f>
        <v>0</v>
      </c>
      <c r="AE71" s="148">
        <v>236</v>
      </c>
      <c r="AF71" s="189" t="s">
        <v>137</v>
      </c>
      <c r="AG71" s="254" t="s">
        <v>138</v>
      </c>
    </row>
    <row r="72" spans="1:33" ht="15.6" outlineLevel="1">
      <c r="A72" s="176" t="s">
        <v>33</v>
      </c>
      <c r="B72" s="250"/>
      <c r="D72" s="251"/>
      <c r="E72" s="252"/>
      <c r="F72" s="234"/>
      <c r="H72" s="251"/>
      <c r="I72" s="253"/>
      <c r="J72" s="207"/>
      <c r="L72" s="251"/>
      <c r="M72" s="252"/>
      <c r="N72" s="207"/>
      <c r="P72" s="251"/>
      <c r="Q72" s="253"/>
      <c r="R72" s="207"/>
      <c r="T72" s="251"/>
      <c r="U72" s="253"/>
      <c r="V72" s="207"/>
      <c r="W72" s="320"/>
      <c r="AE72" s="148">
        <v>236</v>
      </c>
      <c r="AF72" s="189" t="s">
        <v>137</v>
      </c>
      <c r="AG72" s="254" t="s">
        <v>138</v>
      </c>
    </row>
    <row r="73" spans="1:33" ht="15.6" outlineLevel="1">
      <c r="A73" s="255" t="str">
        <f>'Program Budget'!D177</f>
        <v>Inputs for Model Farms (Demonstration Plots) Set-up and Maintenance</v>
      </c>
      <c r="B73" s="180" t="str">
        <f>'Program Budget'!F177</f>
        <v>Unit</v>
      </c>
      <c r="C73" s="181">
        <f>'Program Budget'!H177</f>
        <v>8000</v>
      </c>
      <c r="D73" s="182">
        <f>'Program Budget'!G177</f>
        <v>2</v>
      </c>
      <c r="E73" s="183">
        <v>1</v>
      </c>
      <c r="F73" s="184">
        <f t="shared" ref="F73" si="88">C73*D73*E73</f>
        <v>16000</v>
      </c>
      <c r="G73" s="181">
        <f>C73</f>
        <v>8000</v>
      </c>
      <c r="H73" s="182">
        <f>'Program Budget'!K177</f>
        <v>2</v>
      </c>
      <c r="I73" s="183">
        <v>1</v>
      </c>
      <c r="J73" s="184">
        <f t="shared" ref="J73" si="89">G73*H73*I73</f>
        <v>16000</v>
      </c>
      <c r="K73" s="181">
        <f>G73</f>
        <v>8000</v>
      </c>
      <c r="L73" s="182">
        <f>'Program Budget'!N177</f>
        <v>0</v>
      </c>
      <c r="M73" s="183">
        <v>0</v>
      </c>
      <c r="N73" s="184">
        <f t="shared" ref="N73" si="90">K73*L73*M73</f>
        <v>0</v>
      </c>
      <c r="O73" s="181">
        <f>K73</f>
        <v>8000</v>
      </c>
      <c r="P73" s="182">
        <f>'Program Budget'!Q177</f>
        <v>0</v>
      </c>
      <c r="Q73" s="183">
        <v>0</v>
      </c>
      <c r="R73" s="184">
        <f t="shared" ref="R73" si="91">O73*P73*Q73</f>
        <v>0</v>
      </c>
      <c r="S73" s="181">
        <f>O73</f>
        <v>8000</v>
      </c>
      <c r="T73" s="182">
        <f>'Program Budget'!T177</f>
        <v>0</v>
      </c>
      <c r="U73" s="183">
        <v>0</v>
      </c>
      <c r="V73" s="184">
        <f t="shared" ref="V73" si="92">S73*T73*U73</f>
        <v>0</v>
      </c>
      <c r="W73" s="320">
        <f t="shared" ref="W73" si="93">F73+J73+N73+R73+V73</f>
        <v>32000</v>
      </c>
      <c r="AE73" s="148"/>
      <c r="AF73" s="189"/>
      <c r="AG73" s="254"/>
    </row>
    <row r="74" spans="1:33" ht="15.6" outlineLevel="1">
      <c r="A74" s="255" t="str">
        <f>'Program Budget'!D178</f>
        <v>Communication Costs for Publication of RFPs/RFAs</v>
      </c>
      <c r="B74" s="180" t="str">
        <f>'Program Budget'!F178</f>
        <v>Unit</v>
      </c>
      <c r="C74" s="181">
        <f>'Program Budget'!H178</f>
        <v>500</v>
      </c>
      <c r="D74" s="182">
        <f>'Program Budget'!G178</f>
        <v>1</v>
      </c>
      <c r="E74" s="183">
        <v>1</v>
      </c>
      <c r="F74" s="184">
        <f t="shared" ref="F74" si="94">C74*D74*E74</f>
        <v>500</v>
      </c>
      <c r="G74" s="181">
        <f>C74</f>
        <v>500</v>
      </c>
      <c r="H74" s="182">
        <f>'Program Budget'!K178</f>
        <v>1</v>
      </c>
      <c r="I74" s="183">
        <v>1</v>
      </c>
      <c r="J74" s="184">
        <f t="shared" ref="J74" si="95">G74*H74*I74</f>
        <v>500</v>
      </c>
      <c r="K74" s="181">
        <f>G74</f>
        <v>500</v>
      </c>
      <c r="L74" s="182">
        <f>'Program Budget'!N178</f>
        <v>1</v>
      </c>
      <c r="M74" s="183">
        <v>1</v>
      </c>
      <c r="N74" s="184">
        <f t="shared" ref="N74" si="96">K74*L74*M74</f>
        <v>500</v>
      </c>
      <c r="O74" s="181">
        <f>K74</f>
        <v>500</v>
      </c>
      <c r="P74" s="182">
        <f>'Program Budget'!Q178</f>
        <v>1</v>
      </c>
      <c r="Q74" s="183">
        <v>1</v>
      </c>
      <c r="R74" s="184">
        <f t="shared" ref="R74" si="97">O74*P74*Q74</f>
        <v>500</v>
      </c>
      <c r="S74" s="181">
        <f>O74</f>
        <v>500</v>
      </c>
      <c r="T74" s="182">
        <f>'Program Budget'!T178</f>
        <v>0</v>
      </c>
      <c r="U74" s="183">
        <v>0</v>
      </c>
      <c r="V74" s="184">
        <f t="shared" ref="V74" si="98">S74*T74*U74</f>
        <v>0</v>
      </c>
      <c r="W74" s="320">
        <f t="shared" ref="W74" si="99">F74+J74+N74+R74+V74</f>
        <v>2000</v>
      </c>
      <c r="AE74" s="148"/>
      <c r="AF74" s="189"/>
      <c r="AG74" s="254"/>
    </row>
    <row r="75" spans="1:33" outlineLevel="1">
      <c r="A75" s="313"/>
      <c r="B75" s="202"/>
      <c r="C75" s="256"/>
      <c r="D75" s="257"/>
      <c r="F75" s="184"/>
      <c r="G75" s="256"/>
      <c r="H75" s="257"/>
      <c r="I75" s="145"/>
      <c r="J75" s="184"/>
      <c r="K75" s="256"/>
      <c r="L75" s="257"/>
      <c r="N75" s="184"/>
      <c r="O75" s="256"/>
      <c r="P75" s="257"/>
      <c r="Q75" s="145"/>
      <c r="R75" s="184"/>
      <c r="S75" s="256"/>
      <c r="T75" s="257"/>
      <c r="U75" s="145"/>
      <c r="V75" s="184"/>
      <c r="W75" s="320"/>
      <c r="AE75" s="148"/>
      <c r="AF75" s="189"/>
      <c r="AG75" s="254"/>
    </row>
    <row r="76" spans="1:33" ht="18.3" outlineLevel="1">
      <c r="A76" s="247" t="s">
        <v>102</v>
      </c>
      <c r="B76" s="213"/>
      <c r="C76" s="214"/>
      <c r="D76" s="248"/>
      <c r="E76" s="249"/>
      <c r="F76" s="217">
        <f>SUM(F73:F75)</f>
        <v>16500</v>
      </c>
      <c r="G76" s="214"/>
      <c r="H76" s="248"/>
      <c r="I76" s="218"/>
      <c r="J76" s="217">
        <f>SUM(J73:J75)</f>
        <v>16500</v>
      </c>
      <c r="K76" s="214"/>
      <c r="L76" s="248"/>
      <c r="M76" s="249"/>
      <c r="N76" s="217">
        <f>SUM(N73:N75)</f>
        <v>500</v>
      </c>
      <c r="O76" s="214"/>
      <c r="P76" s="248"/>
      <c r="Q76" s="218"/>
      <c r="R76" s="217">
        <f>SUM(R73:R75)</f>
        <v>500</v>
      </c>
      <c r="S76" s="214"/>
      <c r="T76" s="248"/>
      <c r="U76" s="218"/>
      <c r="V76" s="217">
        <f>SUM(V73:V75)</f>
        <v>0</v>
      </c>
      <c r="W76" s="323">
        <f>+F76+J76+N76+R76+V76</f>
        <v>34000</v>
      </c>
      <c r="AE76" s="148"/>
      <c r="AF76" s="189"/>
      <c r="AG76" s="254"/>
    </row>
    <row r="77" spans="1:33" ht="15.6" outlineLevel="1">
      <c r="A77" s="262" t="s">
        <v>103</v>
      </c>
      <c r="B77" s="202"/>
      <c r="C77" s="263"/>
      <c r="D77" s="264"/>
      <c r="F77" s="234"/>
      <c r="G77" s="263"/>
      <c r="H77" s="264"/>
      <c r="J77" s="207"/>
      <c r="K77" s="263"/>
      <c r="L77" s="264"/>
      <c r="N77" s="207"/>
      <c r="O77" s="263"/>
      <c r="P77" s="264"/>
      <c r="R77" s="207"/>
      <c r="S77" s="263"/>
      <c r="T77" s="264"/>
      <c r="V77" s="207"/>
      <c r="W77" s="320"/>
      <c r="AE77" s="148"/>
      <c r="AF77" s="189"/>
      <c r="AG77" s="254"/>
    </row>
    <row r="78" spans="1:33" ht="15.6" outlineLevel="1">
      <c r="A78" s="176" t="s">
        <v>107</v>
      </c>
      <c r="B78" s="202"/>
      <c r="C78" s="263"/>
      <c r="D78" s="264"/>
      <c r="F78" s="234"/>
      <c r="G78" s="263"/>
      <c r="H78" s="264"/>
      <c r="J78" s="207"/>
      <c r="K78" s="263"/>
      <c r="L78" s="264"/>
      <c r="N78" s="207"/>
      <c r="O78" s="263"/>
      <c r="P78" s="264"/>
      <c r="R78" s="207"/>
      <c r="S78" s="263"/>
      <c r="T78" s="264"/>
      <c r="V78" s="207"/>
      <c r="W78" s="320"/>
      <c r="AE78" s="148"/>
      <c r="AF78" s="189"/>
      <c r="AG78" s="254"/>
    </row>
    <row r="79" spans="1:33" ht="15.6" outlineLevel="1">
      <c r="A79" s="255" t="str">
        <f>'Program Budget'!D195</f>
        <v>Climate Smart Agriculture Adaptations Grants</v>
      </c>
      <c r="B79" s="180" t="str">
        <f>'Program Budget'!F195</f>
        <v>Grant</v>
      </c>
      <c r="C79" s="181">
        <f>'Program Budget'!H195</f>
        <v>1425</v>
      </c>
      <c r="D79" s="182">
        <f>'Program Budget'!G195</f>
        <v>0</v>
      </c>
      <c r="E79" s="183">
        <v>0</v>
      </c>
      <c r="F79" s="184">
        <f t="shared" ref="F79" si="100">C79*D79*E79</f>
        <v>0</v>
      </c>
      <c r="G79" s="181">
        <f>C79</f>
        <v>1425</v>
      </c>
      <c r="H79" s="182">
        <f>'Program Budget'!K195</f>
        <v>400</v>
      </c>
      <c r="I79" s="183">
        <v>1</v>
      </c>
      <c r="J79" s="184">
        <f t="shared" ref="J79" si="101">G79*H79*I79</f>
        <v>570000</v>
      </c>
      <c r="K79" s="181">
        <f>G79</f>
        <v>1425</v>
      </c>
      <c r="L79" s="182">
        <f>'Program Budget'!N195</f>
        <v>533</v>
      </c>
      <c r="M79" s="183">
        <v>1</v>
      </c>
      <c r="N79" s="184">
        <f t="shared" ref="N79" si="102">K79*L79*M79</f>
        <v>759525</v>
      </c>
      <c r="O79" s="181">
        <f>K79</f>
        <v>1425</v>
      </c>
      <c r="P79" s="182">
        <f>'Program Budget'!Q195</f>
        <v>400</v>
      </c>
      <c r="Q79" s="183">
        <v>1</v>
      </c>
      <c r="R79" s="184">
        <f t="shared" ref="R79" si="103">O79*P79*Q79</f>
        <v>570000</v>
      </c>
      <c r="S79" s="181">
        <f>O79</f>
        <v>1425</v>
      </c>
      <c r="T79" s="182">
        <f>'Program Budget'!T195</f>
        <v>0</v>
      </c>
      <c r="U79" s="183">
        <v>0</v>
      </c>
      <c r="V79" s="184">
        <f t="shared" ref="V79" si="104">S79*T79*U79</f>
        <v>0</v>
      </c>
      <c r="W79" s="320">
        <f t="shared" ref="W79" si="105">F79+J79+N79+R79+V79</f>
        <v>1899525</v>
      </c>
      <c r="AE79" s="148"/>
      <c r="AF79" s="189"/>
      <c r="AG79" s="254"/>
    </row>
    <row r="80" spans="1:33" ht="15.6" outlineLevel="1">
      <c r="A80" s="176" t="s">
        <v>139</v>
      </c>
      <c r="B80" s="202"/>
      <c r="C80" s="263"/>
      <c r="D80" s="264"/>
      <c r="F80" s="184"/>
      <c r="G80" s="263"/>
      <c r="H80" s="264"/>
      <c r="I80" s="145"/>
      <c r="J80" s="184"/>
      <c r="K80" s="263"/>
      <c r="L80" s="264"/>
      <c r="N80" s="184"/>
      <c r="O80" s="263"/>
      <c r="P80" s="264"/>
      <c r="Q80" s="145"/>
      <c r="R80" s="184"/>
      <c r="S80" s="263"/>
      <c r="T80" s="264"/>
      <c r="U80" s="145"/>
      <c r="V80" s="184"/>
      <c r="W80" s="320"/>
      <c r="AE80" s="148"/>
      <c r="AF80" s="189"/>
      <c r="AG80" s="254"/>
    </row>
    <row r="81" spans="1:33" ht="15.6" outlineLevel="1">
      <c r="A81" s="255" t="str">
        <f>'Program Budget'!D197</f>
        <v>Farmer Field School Trainings (Materials, Food, &amp; Refreshments)</v>
      </c>
      <c r="B81" s="180" t="str">
        <f>'Program Budget'!F197</f>
        <v>Day</v>
      </c>
      <c r="C81" s="181">
        <f>'Program Budget'!H197</f>
        <v>900</v>
      </c>
      <c r="D81" s="182">
        <f>'Program Budget'!G197</f>
        <v>8</v>
      </c>
      <c r="E81" s="183">
        <v>1</v>
      </c>
      <c r="F81" s="184">
        <f t="shared" ref="F81" si="106">C81*D81*E81</f>
        <v>7200</v>
      </c>
      <c r="G81" s="181">
        <f>C81</f>
        <v>900</v>
      </c>
      <c r="H81" s="182">
        <f>'Program Budget'!K197</f>
        <v>16</v>
      </c>
      <c r="I81" s="183">
        <v>1</v>
      </c>
      <c r="J81" s="184">
        <f t="shared" ref="J81" si="107">G81*H81*I81</f>
        <v>14400</v>
      </c>
      <c r="K81" s="181">
        <f>G81</f>
        <v>900</v>
      </c>
      <c r="L81" s="182">
        <f>'Program Budget'!N197</f>
        <v>8</v>
      </c>
      <c r="M81" s="183">
        <v>1</v>
      </c>
      <c r="N81" s="184">
        <f t="shared" ref="N81" si="108">K81*L81*M81</f>
        <v>7200</v>
      </c>
      <c r="O81" s="181">
        <f>K81</f>
        <v>900</v>
      </c>
      <c r="P81" s="182">
        <f>'Program Budget'!Q197</f>
        <v>0</v>
      </c>
      <c r="Q81" s="183">
        <v>0</v>
      </c>
      <c r="R81" s="184">
        <f t="shared" ref="R81" si="109">O81*P81*Q81</f>
        <v>0</v>
      </c>
      <c r="S81" s="181">
        <f>O81</f>
        <v>900</v>
      </c>
      <c r="T81" s="182">
        <f>'Program Budget'!T197</f>
        <v>0</v>
      </c>
      <c r="U81" s="183">
        <v>0</v>
      </c>
      <c r="V81" s="184">
        <f t="shared" ref="V81" si="110">S81*T81*U81</f>
        <v>0</v>
      </c>
      <c r="W81" s="320">
        <f t="shared" ref="W81" si="111">F81+J81+N81+R81+V81</f>
        <v>28800</v>
      </c>
      <c r="AE81" s="148"/>
      <c r="AF81" s="189"/>
      <c r="AG81" s="254"/>
    </row>
    <row r="82" spans="1:33" ht="15.6" outlineLevel="1">
      <c r="A82" s="255" t="str">
        <f>'Program Budget'!D198</f>
        <v>Trainings for Producer Organizations to Boost Climate Smart Agriculture Adoption - 3 Days</v>
      </c>
      <c r="B82" s="180" t="str">
        <f>'Program Budget'!F198</f>
        <v>Training</v>
      </c>
      <c r="C82" s="181">
        <f>'Program Budget'!H198</f>
        <v>1890</v>
      </c>
      <c r="D82" s="182">
        <f>'Program Budget'!G198</f>
        <v>0</v>
      </c>
      <c r="E82" s="183">
        <v>0</v>
      </c>
      <c r="F82" s="184">
        <f t="shared" ref="F82:F83" si="112">C82*D82*E82</f>
        <v>0</v>
      </c>
      <c r="G82" s="181">
        <f>C82</f>
        <v>1890</v>
      </c>
      <c r="H82" s="182">
        <f>'Program Budget'!K198</f>
        <v>2</v>
      </c>
      <c r="I82" s="183">
        <v>1</v>
      </c>
      <c r="J82" s="184">
        <f t="shared" ref="J82:J83" si="113">G82*H82*I82</f>
        <v>3780</v>
      </c>
      <c r="K82" s="181">
        <f>G82</f>
        <v>1890</v>
      </c>
      <c r="L82" s="182">
        <f>'Program Budget'!N198</f>
        <v>2</v>
      </c>
      <c r="M82" s="183">
        <v>1</v>
      </c>
      <c r="N82" s="184">
        <f t="shared" ref="N82:N83" si="114">K82*L82*M82</f>
        <v>3780</v>
      </c>
      <c r="O82" s="181">
        <f>K82</f>
        <v>1890</v>
      </c>
      <c r="P82" s="182">
        <f>'Program Budget'!Q198</f>
        <v>0</v>
      </c>
      <c r="Q82" s="183">
        <v>0</v>
      </c>
      <c r="R82" s="184">
        <f t="shared" ref="R82:R83" si="115">O82*P82*Q82</f>
        <v>0</v>
      </c>
      <c r="S82" s="181">
        <f>O82</f>
        <v>1890</v>
      </c>
      <c r="T82" s="182">
        <f>'Program Budget'!T198</f>
        <v>0</v>
      </c>
      <c r="U82" s="183">
        <v>0</v>
      </c>
      <c r="V82" s="184">
        <f t="shared" ref="V82:V83" si="116">S82*T82*U82</f>
        <v>0</v>
      </c>
      <c r="W82" s="320">
        <f t="shared" ref="W82:W83" si="117">F82+J82+N82+R82+V82</f>
        <v>7560</v>
      </c>
      <c r="AE82" s="148"/>
      <c r="AF82" s="189"/>
      <c r="AG82" s="254"/>
    </row>
    <row r="83" spans="1:33" ht="15.6" outlineLevel="1">
      <c r="A83" s="255" t="str">
        <f>'Program Budget'!D199</f>
        <v>Workshop with Stakeholders on Grants Mechanism</v>
      </c>
      <c r="B83" s="180" t="str">
        <f>'Program Budget'!F199</f>
        <v>Workshop</v>
      </c>
      <c r="C83" s="181">
        <f>'Program Budget'!H199</f>
        <v>1060</v>
      </c>
      <c r="D83" s="182">
        <f>'Program Budget'!G199</f>
        <v>2</v>
      </c>
      <c r="E83" s="183">
        <v>1</v>
      </c>
      <c r="F83" s="184">
        <f t="shared" si="112"/>
        <v>2120</v>
      </c>
      <c r="G83" s="181">
        <f>C83</f>
        <v>1060</v>
      </c>
      <c r="H83" s="182">
        <f>'Program Budget'!K199</f>
        <v>0</v>
      </c>
      <c r="I83" s="183">
        <v>0</v>
      </c>
      <c r="J83" s="184">
        <f t="shared" si="113"/>
        <v>0</v>
      </c>
      <c r="K83" s="181">
        <f>G83</f>
        <v>1060</v>
      </c>
      <c r="L83" s="182">
        <f>'Program Budget'!N199</f>
        <v>0</v>
      </c>
      <c r="M83" s="183">
        <v>0</v>
      </c>
      <c r="N83" s="184">
        <f t="shared" si="114"/>
        <v>0</v>
      </c>
      <c r="O83" s="181">
        <f>K83</f>
        <v>1060</v>
      </c>
      <c r="P83" s="182">
        <f>'Program Budget'!Q199</f>
        <v>0</v>
      </c>
      <c r="Q83" s="183">
        <v>0</v>
      </c>
      <c r="R83" s="184">
        <f t="shared" si="115"/>
        <v>0</v>
      </c>
      <c r="S83" s="181">
        <f>O83</f>
        <v>1060</v>
      </c>
      <c r="T83" s="182">
        <f>'Program Budget'!T199</f>
        <v>0</v>
      </c>
      <c r="U83" s="183">
        <v>0</v>
      </c>
      <c r="V83" s="184">
        <f t="shared" si="116"/>
        <v>0</v>
      </c>
      <c r="W83" s="320">
        <f t="shared" si="117"/>
        <v>2120</v>
      </c>
      <c r="AE83" s="148"/>
      <c r="AF83" s="189"/>
      <c r="AG83" s="254"/>
    </row>
    <row r="84" spans="1:33" ht="15.6" outlineLevel="1">
      <c r="A84" s="176" t="s">
        <v>151</v>
      </c>
      <c r="B84" s="180"/>
      <c r="C84" s="181"/>
      <c r="D84" s="182"/>
      <c r="E84" s="183"/>
      <c r="F84" s="184"/>
      <c r="G84" s="181"/>
      <c r="H84" s="182"/>
      <c r="I84" s="183"/>
      <c r="J84" s="184"/>
      <c r="K84" s="181"/>
      <c r="L84" s="182"/>
      <c r="M84" s="183"/>
      <c r="N84" s="184"/>
      <c r="O84" s="181"/>
      <c r="P84" s="182"/>
      <c r="Q84" s="183"/>
      <c r="R84" s="184"/>
      <c r="S84" s="181"/>
      <c r="T84" s="182"/>
      <c r="U84" s="183"/>
      <c r="V84" s="184"/>
      <c r="W84" s="320"/>
      <c r="AE84" s="148"/>
      <c r="AF84" s="189"/>
      <c r="AG84" s="254"/>
    </row>
    <row r="85" spans="1:33" ht="15.6" outlineLevel="1">
      <c r="A85" s="255" t="str">
        <f>'Program Budget'!D201</f>
        <v>Registration for Agricultural Events and Booths</v>
      </c>
      <c r="B85" s="180" t="str">
        <f>'Program Budget'!F201</f>
        <v>Event</v>
      </c>
      <c r="C85" s="181">
        <f>'Program Budget'!H201</f>
        <v>2500</v>
      </c>
      <c r="D85" s="182">
        <f>'Program Budget'!G201</f>
        <v>0</v>
      </c>
      <c r="E85" s="183">
        <v>0</v>
      </c>
      <c r="F85" s="184">
        <f t="shared" ref="F85:F86" si="118">C85*D85*E85</f>
        <v>0</v>
      </c>
      <c r="G85" s="181">
        <f>C85</f>
        <v>2500</v>
      </c>
      <c r="H85" s="182">
        <f>'Program Budget'!K201</f>
        <v>2</v>
      </c>
      <c r="I85" s="183">
        <v>1</v>
      </c>
      <c r="J85" s="184">
        <f t="shared" ref="J85:J86" si="119">G85*H85*I85</f>
        <v>5000</v>
      </c>
      <c r="K85" s="181">
        <f>G85</f>
        <v>2500</v>
      </c>
      <c r="L85" s="182">
        <f>'Program Budget'!N201</f>
        <v>2</v>
      </c>
      <c r="M85" s="183">
        <v>1</v>
      </c>
      <c r="N85" s="184">
        <f t="shared" ref="N85:N86" si="120">K85*L85*M85</f>
        <v>5000</v>
      </c>
      <c r="O85" s="181">
        <f>K85</f>
        <v>2500</v>
      </c>
      <c r="P85" s="182">
        <f>'Program Budget'!Q201</f>
        <v>2</v>
      </c>
      <c r="Q85" s="183">
        <v>1</v>
      </c>
      <c r="R85" s="184">
        <f t="shared" ref="R85:R86" si="121">O85*P85*Q85</f>
        <v>5000</v>
      </c>
      <c r="S85" s="181">
        <f>O85</f>
        <v>2500</v>
      </c>
      <c r="T85" s="182">
        <f>'Program Budget'!T201</f>
        <v>2</v>
      </c>
      <c r="U85" s="183">
        <v>1</v>
      </c>
      <c r="V85" s="184">
        <f t="shared" ref="V85:V86" si="122">S85*T85*U85</f>
        <v>5000</v>
      </c>
      <c r="W85" s="320">
        <f t="shared" ref="W85:W86" si="123">F85+J85+N85+R85+V85</f>
        <v>20000</v>
      </c>
      <c r="AE85" s="148"/>
      <c r="AF85" s="189"/>
      <c r="AG85" s="254"/>
    </row>
    <row r="86" spans="1:33" ht="15.6" outlineLevel="1">
      <c r="A86" s="255" t="str">
        <f>'Program Budget'!D202</f>
        <v>Printing Materials to Distribute at Local Agriculture Events</v>
      </c>
      <c r="B86" s="180" t="str">
        <f>'Program Budget'!F202</f>
        <v>Unit</v>
      </c>
      <c r="C86" s="181">
        <f>'Program Budget'!H202</f>
        <v>15000</v>
      </c>
      <c r="D86" s="182">
        <f>'Program Budget'!G202</f>
        <v>0</v>
      </c>
      <c r="E86" s="183">
        <v>0</v>
      </c>
      <c r="F86" s="184">
        <f t="shared" si="118"/>
        <v>0</v>
      </c>
      <c r="G86" s="181">
        <f>C86</f>
        <v>15000</v>
      </c>
      <c r="H86" s="182">
        <f>'Program Budget'!K202</f>
        <v>1</v>
      </c>
      <c r="I86" s="183">
        <v>1</v>
      </c>
      <c r="J86" s="184">
        <f t="shared" si="119"/>
        <v>15000</v>
      </c>
      <c r="K86" s="181">
        <f>G86</f>
        <v>15000</v>
      </c>
      <c r="L86" s="182">
        <f>'Program Budget'!N202</f>
        <v>0</v>
      </c>
      <c r="M86" s="183">
        <v>0</v>
      </c>
      <c r="N86" s="184">
        <f t="shared" si="120"/>
        <v>0</v>
      </c>
      <c r="O86" s="181">
        <f>K86</f>
        <v>15000</v>
      </c>
      <c r="P86" s="182">
        <f>'Program Budget'!Q202</f>
        <v>0</v>
      </c>
      <c r="Q86" s="183">
        <v>0</v>
      </c>
      <c r="R86" s="184">
        <f t="shared" si="121"/>
        <v>0</v>
      </c>
      <c r="S86" s="181">
        <f>O86</f>
        <v>15000</v>
      </c>
      <c r="T86" s="182">
        <f>'Program Budget'!T202</f>
        <v>0</v>
      </c>
      <c r="U86" s="183">
        <v>0</v>
      </c>
      <c r="V86" s="184">
        <f t="shared" si="122"/>
        <v>0</v>
      </c>
      <c r="W86" s="320">
        <f t="shared" si="123"/>
        <v>15000</v>
      </c>
      <c r="AE86" s="148"/>
      <c r="AF86" s="189"/>
      <c r="AG86" s="254"/>
    </row>
    <row r="87" spans="1:33" ht="15.6" outlineLevel="1">
      <c r="A87" s="267"/>
      <c r="B87" s="227"/>
      <c r="C87" s="265"/>
      <c r="D87" s="266"/>
      <c r="E87" s="230"/>
      <c r="F87" s="231"/>
      <c r="G87" s="265"/>
      <c r="H87" s="266"/>
      <c r="I87" s="230"/>
      <c r="J87" s="231"/>
      <c r="K87" s="265"/>
      <c r="L87" s="266"/>
      <c r="M87" s="230"/>
      <c r="N87" s="231"/>
      <c r="O87" s="265"/>
      <c r="P87" s="266"/>
      <c r="Q87" s="230"/>
      <c r="R87" s="231"/>
      <c r="S87" s="265"/>
      <c r="T87" s="266"/>
      <c r="U87" s="230"/>
      <c r="V87" s="231"/>
      <c r="W87" s="320"/>
      <c r="AE87" s="148"/>
      <c r="AF87" s="189"/>
      <c r="AG87" s="254"/>
    </row>
    <row r="88" spans="1:33" ht="18.3" outlineLevel="1">
      <c r="A88" s="268" t="s">
        <v>110</v>
      </c>
      <c r="B88" s="213"/>
      <c r="C88" s="237"/>
      <c r="D88" s="238"/>
      <c r="E88" s="269"/>
      <c r="F88" s="240">
        <f>SUM(F77:F87)</f>
        <v>9320</v>
      </c>
      <c r="G88" s="237"/>
      <c r="H88" s="238"/>
      <c r="I88" s="241"/>
      <c r="J88" s="240">
        <f>SUM(J77:J87)</f>
        <v>608180</v>
      </c>
      <c r="K88" s="237"/>
      <c r="L88" s="238"/>
      <c r="M88" s="269"/>
      <c r="N88" s="240">
        <f>SUM(N77:N87)</f>
        <v>775505</v>
      </c>
      <c r="O88" s="237"/>
      <c r="P88" s="238"/>
      <c r="Q88" s="241"/>
      <c r="R88" s="240">
        <f>SUM(R77:R87)</f>
        <v>575000</v>
      </c>
      <c r="S88" s="237"/>
      <c r="T88" s="238"/>
      <c r="U88" s="241"/>
      <c r="V88" s="240">
        <f>SUM(V77:V87)</f>
        <v>5000</v>
      </c>
      <c r="W88" s="323">
        <f>+F88+J88+N88+R88+V88</f>
        <v>1973005</v>
      </c>
      <c r="AE88" s="148">
        <v>250</v>
      </c>
      <c r="AF88" s="189" t="s">
        <v>141</v>
      </c>
      <c r="AG88" s="254" t="s">
        <v>142</v>
      </c>
    </row>
    <row r="89" spans="1:33" ht="15.6" outlineLevel="1">
      <c r="A89" s="270"/>
      <c r="B89" s="225"/>
      <c r="C89" s="263"/>
      <c r="D89" s="264"/>
      <c r="F89" s="184"/>
      <c r="G89" s="263"/>
      <c r="H89" s="264"/>
      <c r="J89" s="186"/>
      <c r="K89" s="263"/>
      <c r="L89" s="264"/>
      <c r="N89" s="186"/>
      <c r="O89" s="263"/>
      <c r="P89" s="264"/>
      <c r="R89" s="186"/>
      <c r="S89" s="263"/>
      <c r="T89" s="264"/>
      <c r="V89" s="186"/>
      <c r="W89" s="320"/>
      <c r="AE89" s="148">
        <v>317</v>
      </c>
      <c r="AF89" s="189" t="s">
        <v>143</v>
      </c>
      <c r="AG89" s="254" t="s">
        <v>144</v>
      </c>
    </row>
    <row r="90" spans="1:33" ht="18.3" outlineLevel="1">
      <c r="A90" s="271" t="s">
        <v>111</v>
      </c>
      <c r="B90" s="272"/>
      <c r="C90" s="273"/>
      <c r="D90" s="274"/>
      <c r="E90" s="275"/>
      <c r="F90" s="276">
        <f>F33+F42+F56+F71+F76+F65+F88+F68</f>
        <v>294503.25</v>
      </c>
      <c r="G90" s="273"/>
      <c r="H90" s="274"/>
      <c r="I90" s="277"/>
      <c r="J90" s="276">
        <f>J33+J42+J56+J71+J76+J65+J88+J68</f>
        <v>1073975.5649999999</v>
      </c>
      <c r="K90" s="273"/>
      <c r="L90" s="274"/>
      <c r="M90" s="275"/>
      <c r="N90" s="276">
        <f>N33+N42+N56+N71+N76+N65+N88+N68</f>
        <v>1173907.983525</v>
      </c>
      <c r="O90" s="273"/>
      <c r="P90" s="274"/>
      <c r="Q90" s="277"/>
      <c r="R90" s="276">
        <f>R33+R42+R56+R71+R76+R65+R88+R68</f>
        <v>964484.16902725003</v>
      </c>
      <c r="S90" s="273"/>
      <c r="T90" s="274"/>
      <c r="U90" s="277"/>
      <c r="V90" s="276">
        <f>V33+V42+V56+V71+V76+V65+V88+V68</f>
        <v>354054.16294218868</v>
      </c>
      <c r="W90" s="326">
        <f>W33+W42+W56+W71+W76+W65+W88</f>
        <v>3860925.1304944386</v>
      </c>
      <c r="AE90" s="148">
        <v>318</v>
      </c>
      <c r="AF90" s="189" t="s">
        <v>145</v>
      </c>
      <c r="AG90" s="254" t="s">
        <v>146</v>
      </c>
    </row>
    <row r="91" spans="1:33">
      <c r="A91" s="316"/>
      <c r="B91" s="225"/>
      <c r="C91" s="263"/>
      <c r="D91" s="264"/>
      <c r="F91" s="184"/>
      <c r="G91" s="263"/>
      <c r="H91" s="264"/>
      <c r="J91" s="186"/>
      <c r="K91" s="263"/>
      <c r="L91" s="264"/>
      <c r="N91" s="186"/>
      <c r="O91" s="263"/>
      <c r="P91" s="264"/>
      <c r="R91" s="186"/>
      <c r="S91" s="263"/>
      <c r="T91" s="264"/>
      <c r="V91" s="186"/>
      <c r="W91" s="320"/>
    </row>
    <row r="92" spans="1:33" ht="20.399999999999999">
      <c r="A92" s="278" t="s">
        <v>53</v>
      </c>
      <c r="B92" s="279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327"/>
    </row>
    <row r="93" spans="1:33" ht="15" customHeight="1">
      <c r="A93" s="281" t="s">
        <v>54</v>
      </c>
      <c r="B93" s="337" t="s">
        <v>147</v>
      </c>
      <c r="C93" s="181">
        <v>0</v>
      </c>
      <c r="D93" s="182">
        <v>0</v>
      </c>
      <c r="E93" s="183">
        <v>0.2828</v>
      </c>
      <c r="F93" s="184">
        <f>C93*D93*E93</f>
        <v>0</v>
      </c>
      <c r="G93" s="181">
        <v>0</v>
      </c>
      <c r="H93" s="182">
        <v>0</v>
      </c>
      <c r="I93" s="183">
        <v>0.2828</v>
      </c>
      <c r="J93" s="184">
        <f>G93*H93*I93</f>
        <v>0</v>
      </c>
      <c r="K93" s="181">
        <v>0</v>
      </c>
      <c r="L93" s="182">
        <v>0</v>
      </c>
      <c r="M93" s="183">
        <v>0.2828</v>
      </c>
      <c r="N93" s="184">
        <f>K93*L93*M93</f>
        <v>0</v>
      </c>
      <c r="O93" s="181">
        <v>0</v>
      </c>
      <c r="P93" s="182">
        <v>0</v>
      </c>
      <c r="Q93" s="183">
        <v>0.2828</v>
      </c>
      <c r="R93" s="184">
        <f>O93*P93*Q93</f>
        <v>0</v>
      </c>
      <c r="S93" s="181">
        <v>0</v>
      </c>
      <c r="T93" s="182">
        <v>0</v>
      </c>
      <c r="U93" s="183">
        <v>0.2828</v>
      </c>
      <c r="V93" s="184">
        <f>S93*T93*U93</f>
        <v>0</v>
      </c>
      <c r="W93" s="320">
        <f>F93+J93+N93+R93+V93</f>
        <v>0</v>
      </c>
    </row>
    <row r="94" spans="1:33" ht="15" customHeight="1">
      <c r="A94" s="281" t="s">
        <v>55</v>
      </c>
      <c r="B94" s="337" t="s">
        <v>147</v>
      </c>
      <c r="C94" s="181">
        <f>F90</f>
        <v>294503.25</v>
      </c>
      <c r="D94" s="182">
        <v>1</v>
      </c>
      <c r="E94" s="183">
        <v>0.2828</v>
      </c>
      <c r="F94" s="184">
        <f>C94*D94*E94</f>
        <v>83285.519100000005</v>
      </c>
      <c r="G94" s="181">
        <f>J90</f>
        <v>1073975.5649999999</v>
      </c>
      <c r="H94" s="182">
        <v>1</v>
      </c>
      <c r="I94" s="183">
        <v>0.2828</v>
      </c>
      <c r="J94" s="184">
        <f>G94*H94*I94</f>
        <v>303720.28978200001</v>
      </c>
      <c r="K94" s="181">
        <f>N90</f>
        <v>1173907.983525</v>
      </c>
      <c r="L94" s="182">
        <v>1</v>
      </c>
      <c r="M94" s="183">
        <v>0.2828</v>
      </c>
      <c r="N94" s="184">
        <f>K94*L94*M94</f>
        <v>331981.17774086999</v>
      </c>
      <c r="O94" s="181">
        <f>R90</f>
        <v>964484.16902725003</v>
      </c>
      <c r="P94" s="182">
        <v>1</v>
      </c>
      <c r="Q94" s="183">
        <v>0.2828</v>
      </c>
      <c r="R94" s="184">
        <f>O94*P94*Q94</f>
        <v>272756.12300090631</v>
      </c>
      <c r="S94" s="181">
        <f>V90</f>
        <v>354054.16294218868</v>
      </c>
      <c r="T94" s="182">
        <v>1</v>
      </c>
      <c r="U94" s="183">
        <v>0.2828</v>
      </c>
      <c r="V94" s="184">
        <f>S94*T94*U94</f>
        <v>100126.51728005096</v>
      </c>
      <c r="W94" s="320">
        <f>F94+J94+N94+R94+V94</f>
        <v>1091869.6269038273</v>
      </c>
    </row>
    <row r="95" spans="1:33">
      <c r="A95" s="284"/>
      <c r="B95" s="225"/>
      <c r="C95" s="256"/>
      <c r="D95" s="285"/>
      <c r="E95" s="286"/>
      <c r="F95" s="184"/>
      <c r="G95" s="256"/>
      <c r="H95" s="285"/>
      <c r="I95" s="185"/>
      <c r="J95" s="184"/>
      <c r="K95" s="256"/>
      <c r="L95" s="285"/>
      <c r="M95" s="286"/>
      <c r="N95" s="184"/>
      <c r="O95" s="256"/>
      <c r="P95" s="285"/>
      <c r="Q95" s="185"/>
      <c r="R95" s="184"/>
      <c r="S95" s="256"/>
      <c r="T95" s="285"/>
      <c r="U95" s="185"/>
      <c r="V95" s="184"/>
      <c r="W95" s="320"/>
    </row>
    <row r="96" spans="1:33" ht="18.3">
      <c r="A96" s="271" t="s">
        <v>112</v>
      </c>
      <c r="B96" s="272"/>
      <c r="C96" s="273"/>
      <c r="D96" s="274"/>
      <c r="E96" s="275"/>
      <c r="F96" s="276">
        <f>SUM(F93:F95)</f>
        <v>83285.519100000005</v>
      </c>
      <c r="G96" s="273"/>
      <c r="H96" s="274"/>
      <c r="I96" s="277"/>
      <c r="J96" s="276">
        <f>SUM(J93:J95)</f>
        <v>303720.28978200001</v>
      </c>
      <c r="K96" s="273"/>
      <c r="L96" s="274"/>
      <c r="M96" s="275"/>
      <c r="N96" s="276">
        <f>SUM(N93:N95)</f>
        <v>331981.17774086999</v>
      </c>
      <c r="O96" s="273"/>
      <c r="P96" s="274"/>
      <c r="Q96" s="277"/>
      <c r="R96" s="276">
        <f>SUM(R93:R95)</f>
        <v>272756.12300090631</v>
      </c>
      <c r="S96" s="273"/>
      <c r="T96" s="274"/>
      <c r="U96" s="277"/>
      <c r="V96" s="276">
        <f>SUM(V93:V95)</f>
        <v>100126.51728005096</v>
      </c>
      <c r="W96" s="326">
        <f>SUM(W93:W95)</f>
        <v>1091869.6269038273</v>
      </c>
    </row>
    <row r="97" spans="1:23">
      <c r="A97" s="184"/>
      <c r="B97" s="225"/>
      <c r="C97" s="256"/>
      <c r="D97" s="285"/>
      <c r="E97" s="286"/>
      <c r="F97" s="184"/>
      <c r="G97" s="256"/>
      <c r="H97" s="285"/>
      <c r="I97" s="185"/>
      <c r="J97" s="184"/>
      <c r="K97" s="256"/>
      <c r="L97" s="285"/>
      <c r="M97" s="286"/>
      <c r="N97" s="184"/>
      <c r="O97" s="256"/>
      <c r="P97" s="285"/>
      <c r="Q97" s="185"/>
      <c r="R97" s="184"/>
      <c r="S97" s="256"/>
      <c r="T97" s="285"/>
      <c r="U97" s="185"/>
      <c r="V97" s="184"/>
      <c r="W97" s="320"/>
    </row>
    <row r="98" spans="1:23" ht="18.3">
      <c r="A98" s="291" t="s">
        <v>113</v>
      </c>
      <c r="B98" s="292"/>
      <c r="C98" s="293"/>
      <c r="D98" s="294"/>
      <c r="E98" s="295"/>
      <c r="F98" s="296">
        <f>F90+F96</f>
        <v>377788.76910000003</v>
      </c>
      <c r="G98" s="293"/>
      <c r="H98" s="294"/>
      <c r="I98" s="297"/>
      <c r="J98" s="296">
        <f>J90+J96</f>
        <v>1377695.854782</v>
      </c>
      <c r="K98" s="293"/>
      <c r="L98" s="294"/>
      <c r="M98" s="295"/>
      <c r="N98" s="296">
        <f>N90+N96</f>
        <v>1505889.1612658701</v>
      </c>
      <c r="O98" s="293"/>
      <c r="P98" s="294"/>
      <c r="Q98" s="297"/>
      <c r="R98" s="296">
        <f>R90+R96</f>
        <v>1237240.2920281563</v>
      </c>
      <c r="S98" s="293"/>
      <c r="T98" s="294"/>
      <c r="U98" s="297"/>
      <c r="V98" s="296">
        <f>V90+V96</f>
        <v>454180.68022223964</v>
      </c>
      <c r="W98" s="328">
        <f>F98+J98+N98+R98+V98</f>
        <v>4952794.7573982654</v>
      </c>
    </row>
    <row r="99" spans="1:23" ht="15.6">
      <c r="A99" s="299" t="str">
        <f>'Program Budget'!D206</f>
        <v>Cost Share for Climate Smart Agriculture Adaptations Grants</v>
      </c>
      <c r="B99" s="300" t="str">
        <f>'Program Budget'!F206</f>
        <v>Unit</v>
      </c>
      <c r="C99" s="228">
        <f>'Program Budget'!H206</f>
        <v>71.25</v>
      </c>
      <c r="D99" s="301">
        <f>'Program Budget'!G206</f>
        <v>0</v>
      </c>
      <c r="E99" s="230">
        <v>0</v>
      </c>
      <c r="F99" s="231">
        <f t="shared" ref="F99" si="124">C99*D99*E99</f>
        <v>0</v>
      </c>
      <c r="G99" s="228">
        <f>C99</f>
        <v>71.25</v>
      </c>
      <c r="H99" s="301">
        <f>'Program Budget'!K206</f>
        <v>400</v>
      </c>
      <c r="I99" s="302">
        <v>1</v>
      </c>
      <c r="J99" s="231">
        <f t="shared" ref="J99" si="125">G99*H99*I99</f>
        <v>28500</v>
      </c>
      <c r="K99" s="228">
        <f>G99</f>
        <v>71.25</v>
      </c>
      <c r="L99" s="301">
        <f>'Program Budget'!N206</f>
        <v>533</v>
      </c>
      <c r="M99" s="230">
        <v>1</v>
      </c>
      <c r="N99" s="231">
        <f t="shared" ref="N99" si="126">K99*L99*M99</f>
        <v>37976.25</v>
      </c>
      <c r="O99" s="228">
        <f>K99</f>
        <v>71.25</v>
      </c>
      <c r="P99" s="301">
        <f>'Program Budget'!Q206</f>
        <v>400</v>
      </c>
      <c r="Q99" s="302">
        <v>1</v>
      </c>
      <c r="R99" s="231">
        <f t="shared" ref="R99" si="127">O99*P99*Q99</f>
        <v>28500</v>
      </c>
      <c r="S99" s="228">
        <f>O99</f>
        <v>71.25</v>
      </c>
      <c r="T99" s="301">
        <f>'Program Budget'!T206</f>
        <v>0</v>
      </c>
      <c r="U99" s="302">
        <v>0</v>
      </c>
      <c r="V99" s="231">
        <f t="shared" ref="V99" si="128">S99*T99*U99</f>
        <v>0</v>
      </c>
      <c r="W99" s="322">
        <f>F99+J99+N99+R99+V99</f>
        <v>94976.25</v>
      </c>
    </row>
    <row r="100" spans="1:23" ht="15.6">
      <c r="A100" s="299" t="str">
        <f>'Program Budget'!D207</f>
        <v>Donated Materials and Time from APIA for Events</v>
      </c>
      <c r="B100" s="300" t="str">
        <f>'Program Budget'!F207</f>
        <v>Event</v>
      </c>
      <c r="C100" s="228">
        <f>'Program Budget'!H207</f>
        <v>249.95</v>
      </c>
      <c r="D100" s="301">
        <f>'Program Budget'!G207</f>
        <v>1</v>
      </c>
      <c r="E100" s="230">
        <v>1</v>
      </c>
      <c r="F100" s="231">
        <f t="shared" ref="F100:F101" si="129">C100*D100*E100</f>
        <v>249.95</v>
      </c>
      <c r="G100" s="228">
        <f>C100</f>
        <v>249.95</v>
      </c>
      <c r="H100" s="301">
        <f>'Program Budget'!K207</f>
        <v>1</v>
      </c>
      <c r="I100" s="302">
        <v>1</v>
      </c>
      <c r="J100" s="231">
        <f t="shared" ref="J100:J101" si="130">G100*H100*I100</f>
        <v>249.95</v>
      </c>
      <c r="K100" s="228">
        <f>G100</f>
        <v>249.95</v>
      </c>
      <c r="L100" s="301">
        <f>'Program Budget'!N207</f>
        <v>1</v>
      </c>
      <c r="M100" s="230">
        <v>1</v>
      </c>
      <c r="N100" s="231">
        <f t="shared" ref="N100:N101" si="131">K100*L100*M100</f>
        <v>249.95</v>
      </c>
      <c r="O100" s="228">
        <f>K100</f>
        <v>249.95</v>
      </c>
      <c r="P100" s="301">
        <f>'Program Budget'!Q207</f>
        <v>1</v>
      </c>
      <c r="Q100" s="302">
        <v>1</v>
      </c>
      <c r="R100" s="231">
        <f t="shared" ref="R100:R101" si="132">O100*P100*Q100</f>
        <v>249.95</v>
      </c>
      <c r="S100" s="228">
        <f>O100</f>
        <v>249.95</v>
      </c>
      <c r="T100" s="301">
        <f>'Program Budget'!T207</f>
        <v>1</v>
      </c>
      <c r="U100" s="302">
        <v>1</v>
      </c>
      <c r="V100" s="231">
        <f t="shared" ref="V100:V101" si="133">S100*T100*U100</f>
        <v>249.95</v>
      </c>
      <c r="W100" s="322">
        <f>F100+J100+N100+R100+V100</f>
        <v>1249.75</v>
      </c>
    </row>
    <row r="101" spans="1:23" ht="15.6">
      <c r="A101" s="299" t="str">
        <f>'Program Budget'!D208</f>
        <v>Venue Space for Grant Mechanism Design Meeting</v>
      </c>
      <c r="B101" s="300" t="str">
        <f>'Program Budget'!F208</f>
        <v>Day</v>
      </c>
      <c r="C101" s="228">
        <f>'Program Budget'!H208</f>
        <v>125</v>
      </c>
      <c r="D101" s="301">
        <f>'Program Budget'!G208</f>
        <v>2</v>
      </c>
      <c r="E101" s="230">
        <v>1</v>
      </c>
      <c r="F101" s="231">
        <f t="shared" si="129"/>
        <v>250</v>
      </c>
      <c r="G101" s="228">
        <f>C101</f>
        <v>125</v>
      </c>
      <c r="H101" s="301">
        <f>'Program Budget'!K208</f>
        <v>0</v>
      </c>
      <c r="I101" s="302">
        <v>0</v>
      </c>
      <c r="J101" s="231">
        <f t="shared" si="130"/>
        <v>0</v>
      </c>
      <c r="K101" s="228">
        <f>G101</f>
        <v>125</v>
      </c>
      <c r="L101" s="301">
        <f>'Program Budget'!N208</f>
        <v>0</v>
      </c>
      <c r="M101" s="230">
        <v>0</v>
      </c>
      <c r="N101" s="231">
        <f t="shared" si="131"/>
        <v>0</v>
      </c>
      <c r="O101" s="228">
        <f>K101</f>
        <v>125</v>
      </c>
      <c r="P101" s="301">
        <f>'Program Budget'!Q208</f>
        <v>0</v>
      </c>
      <c r="Q101" s="302">
        <v>0</v>
      </c>
      <c r="R101" s="231">
        <f t="shared" si="132"/>
        <v>0</v>
      </c>
      <c r="S101" s="228">
        <f>O101</f>
        <v>125</v>
      </c>
      <c r="T101" s="301">
        <f>'Program Budget'!T208</f>
        <v>0</v>
      </c>
      <c r="U101" s="302">
        <v>0</v>
      </c>
      <c r="V101" s="231">
        <f t="shared" si="133"/>
        <v>0</v>
      </c>
      <c r="W101" s="322">
        <f>F101+J101+N101+R101+V101</f>
        <v>250</v>
      </c>
    </row>
    <row r="102" spans="1:23" ht="18.3">
      <c r="A102" s="291" t="s">
        <v>114</v>
      </c>
      <c r="B102" s="292"/>
      <c r="C102" s="293"/>
      <c r="D102" s="294"/>
      <c r="E102" s="295"/>
      <c r="F102" s="296">
        <f>F98+F99</f>
        <v>377788.76910000003</v>
      </c>
      <c r="G102" s="293"/>
      <c r="H102" s="294"/>
      <c r="I102" s="297"/>
      <c r="J102" s="296">
        <f>J98+J99</f>
        <v>1406195.854782</v>
      </c>
      <c r="K102" s="293"/>
      <c r="L102" s="294"/>
      <c r="M102" s="295"/>
      <c r="N102" s="296">
        <f>N98+N99</f>
        <v>1543865.4112658701</v>
      </c>
      <c r="O102" s="293"/>
      <c r="P102" s="294"/>
      <c r="Q102" s="297"/>
      <c r="R102" s="296">
        <f>R98+R99</f>
        <v>1265740.2920281563</v>
      </c>
      <c r="S102" s="293"/>
      <c r="T102" s="294"/>
      <c r="U102" s="297"/>
      <c r="V102" s="296">
        <f>V98+V99</f>
        <v>454180.68022223964</v>
      </c>
      <c r="W102" s="328">
        <f>F102+J102+N102+R102+V102</f>
        <v>5047771.0073982654</v>
      </c>
    </row>
    <row r="103" spans="1:23">
      <c r="A103" s="180"/>
      <c r="B103" s="180"/>
      <c r="W103" s="320"/>
    </row>
    <row r="104" spans="1:23" ht="31.2">
      <c r="A104" s="303" t="s">
        <v>115</v>
      </c>
      <c r="B104" s="304"/>
      <c r="C104" s="305"/>
      <c r="D104" s="306"/>
      <c r="E104" s="307"/>
      <c r="F104" s="308"/>
      <c r="G104" s="305"/>
      <c r="H104" s="306"/>
      <c r="I104" s="309"/>
      <c r="J104" s="310"/>
      <c r="K104" s="305"/>
      <c r="L104" s="306"/>
      <c r="M104" s="307"/>
      <c r="N104" s="310"/>
      <c r="O104" s="305"/>
      <c r="P104" s="306"/>
      <c r="Q104" s="309"/>
      <c r="R104" s="310"/>
      <c r="S104" s="305"/>
      <c r="T104" s="306"/>
      <c r="U104" s="309"/>
      <c r="V104" s="310"/>
      <c r="W104" s="329"/>
    </row>
  </sheetData>
  <mergeCells count="8">
    <mergeCell ref="S2:V2"/>
    <mergeCell ref="W2:W3"/>
    <mergeCell ref="A2:A3"/>
    <mergeCell ref="B2:B3"/>
    <mergeCell ref="C2:F2"/>
    <mergeCell ref="G2:J2"/>
    <mergeCell ref="K2:N2"/>
    <mergeCell ref="O2:R2"/>
  </mergeCells>
  <printOptions horizontalCentered="1"/>
  <pageMargins left="0.25" right="0.25" top="0.75" bottom="0.75" header="0.3" footer="0.3"/>
  <pageSetup scale="34" orientation="landscape" r:id="rId1"/>
  <headerFooter alignWithMargins="0"/>
  <rowBreaks count="1" manualBreakCount="1">
    <brk id="97" max="1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1038-78E6-4C88-B8D5-81AB78946C2D}">
  <sheetPr>
    <tabColor theme="6" tint="0.39997558519241921"/>
    <pageSetUpPr fitToPage="1"/>
  </sheetPr>
  <dimension ref="A1:AJ98"/>
  <sheetViews>
    <sheetView showOutlineSymbols="0" showWhiteSpace="0" zoomScale="61" zoomScaleNormal="70" workbookViewId="0">
      <pane xSplit="2" ySplit="3" topLeftCell="C29" activePane="bottomRight" state="frozen"/>
      <selection pane="topRight"/>
      <selection pane="bottomLeft"/>
      <selection pane="bottomRight" activeCell="Y51" sqref="Y51"/>
    </sheetView>
  </sheetViews>
  <sheetFormatPr defaultRowHeight="14.4" outlineLevelRow="1" outlineLevelCol="1"/>
  <cols>
    <col min="1" max="1" width="68.1640625" style="142" customWidth="1"/>
    <col min="2" max="2" width="16.5546875" style="142" bestFit="1" customWidth="1"/>
    <col min="3" max="3" width="12.44140625" style="143" bestFit="1" customWidth="1" outlineLevel="1"/>
    <col min="4" max="4" width="12.1640625" style="144" bestFit="1" customWidth="1" outlineLevel="1"/>
    <col min="5" max="5" width="13" style="145" bestFit="1" customWidth="1" outlineLevel="1"/>
    <col min="6" max="6" width="8.5546875" style="142" bestFit="1" customWidth="1"/>
    <col min="7" max="7" width="12.44140625" style="143" bestFit="1" customWidth="1" outlineLevel="1"/>
    <col min="8" max="8" width="12.1640625" style="144" bestFit="1" customWidth="1" outlineLevel="1"/>
    <col min="9" max="9" width="13" style="146" bestFit="1" customWidth="1" outlineLevel="1"/>
    <col min="10" max="10" width="10.27734375" style="143" bestFit="1" customWidth="1"/>
    <col min="11" max="11" width="12.44140625" style="143" bestFit="1" customWidth="1" outlineLevel="1"/>
    <col min="12" max="12" width="12.1640625" style="144" bestFit="1" customWidth="1" outlineLevel="1"/>
    <col min="13" max="13" width="13" style="145" bestFit="1" customWidth="1" outlineLevel="1"/>
    <col min="14" max="14" width="8.5546875" style="143" bestFit="1" customWidth="1"/>
    <col min="15" max="15" width="12.44140625" style="143" bestFit="1" customWidth="1" outlineLevel="1"/>
    <col min="16" max="16" width="12.1640625" style="144" bestFit="1" customWidth="1" outlineLevel="1"/>
    <col min="17" max="17" width="13" style="146" bestFit="1" customWidth="1" outlineLevel="1"/>
    <col min="18" max="18" width="11.83203125" style="143" customWidth="1"/>
    <col min="19" max="19" width="12.44140625" style="143" bestFit="1" customWidth="1" outlineLevel="1"/>
    <col min="20" max="20" width="12.1640625" style="144" bestFit="1" customWidth="1" outlineLevel="1"/>
    <col min="21" max="21" width="13" style="146" bestFit="1" customWidth="1" outlineLevel="1"/>
    <col min="22" max="22" width="9.71875" style="143" customWidth="1"/>
    <col min="23" max="23" width="12.44140625" style="143" bestFit="1" customWidth="1"/>
    <col min="24" max="24" width="9" style="142" customWidth="1"/>
    <col min="25" max="25" width="8.71875" style="142" customWidth="1"/>
    <col min="26" max="26" width="10.83203125" style="142" customWidth="1"/>
    <col min="27" max="27" width="8.71875" style="142" customWidth="1"/>
    <col min="28" max="28" width="10.83203125" style="142" customWidth="1"/>
    <col min="29" max="29" width="4.83203125" style="142" customWidth="1"/>
    <col min="30" max="30" width="4.83203125" style="142" hidden="1" customWidth="1"/>
    <col min="31" max="31" width="7" style="147" hidden="1" customWidth="1"/>
    <col min="32" max="32" width="19.27734375" style="142" hidden="1" customWidth="1"/>
    <col min="33" max="33" width="34" style="142" hidden="1" customWidth="1"/>
    <col min="34" max="34" width="9.71875" style="142" hidden="1" customWidth="1"/>
    <col min="35" max="35" width="9.71875" style="142" customWidth="1"/>
    <col min="36" max="36" width="14.27734375" style="142" customWidth="1"/>
    <col min="37" max="264" width="8.83203125" style="142"/>
    <col min="265" max="265" width="38.27734375" style="142" customWidth="1"/>
    <col min="266" max="266" width="23.44140625" style="142" bestFit="1" customWidth="1"/>
    <col min="267" max="268" width="9.1640625" style="142" customWidth="1"/>
    <col min="269" max="269" width="11.27734375" style="142" bestFit="1" customWidth="1"/>
    <col min="270" max="270" width="14.44140625" style="142" bestFit="1" customWidth="1"/>
    <col min="271" max="271" width="8.1640625" style="142" customWidth="1"/>
    <col min="272" max="272" width="10.83203125" style="142" bestFit="1" customWidth="1"/>
    <col min="273" max="273" width="12.27734375" style="142" bestFit="1" customWidth="1"/>
    <col min="274" max="274" width="9.1640625" style="142" customWidth="1"/>
    <col min="275" max="275" width="10.83203125" style="142" bestFit="1" customWidth="1"/>
    <col min="276" max="276" width="12.27734375" style="142" bestFit="1" customWidth="1"/>
    <col min="277" max="277" width="8" style="142" customWidth="1"/>
    <col min="278" max="278" width="10.83203125" style="142" bestFit="1" customWidth="1"/>
    <col min="279" max="279" width="12.27734375" style="142" bestFit="1" customWidth="1"/>
    <col min="280" max="280" width="8.1640625" style="142" bestFit="1" customWidth="1"/>
    <col min="281" max="281" width="10.83203125" style="142" bestFit="1" customWidth="1"/>
    <col min="282" max="282" width="12.27734375" style="142" bestFit="1" customWidth="1"/>
    <col min="283" max="283" width="18.27734375" style="142" bestFit="1" customWidth="1"/>
    <col min="284" max="284" width="10.83203125" style="142" bestFit="1" customWidth="1"/>
    <col min="285" max="520" width="8.83203125" style="142"/>
    <col min="521" max="521" width="38.27734375" style="142" customWidth="1"/>
    <col min="522" max="522" width="23.44140625" style="142" bestFit="1" customWidth="1"/>
    <col min="523" max="524" width="9.1640625" style="142" customWidth="1"/>
    <col min="525" max="525" width="11.27734375" style="142" bestFit="1" customWidth="1"/>
    <col min="526" max="526" width="14.44140625" style="142" bestFit="1" customWidth="1"/>
    <col min="527" max="527" width="8.1640625" style="142" customWidth="1"/>
    <col min="528" max="528" width="10.83203125" style="142" bestFit="1" customWidth="1"/>
    <col min="529" max="529" width="12.27734375" style="142" bestFit="1" customWidth="1"/>
    <col min="530" max="530" width="9.1640625" style="142" customWidth="1"/>
    <col min="531" max="531" width="10.83203125" style="142" bestFit="1" customWidth="1"/>
    <col min="532" max="532" width="12.27734375" style="142" bestFit="1" customWidth="1"/>
    <col min="533" max="533" width="8" style="142" customWidth="1"/>
    <col min="534" max="534" width="10.83203125" style="142" bestFit="1" customWidth="1"/>
    <col min="535" max="535" width="12.27734375" style="142" bestFit="1" customWidth="1"/>
    <col min="536" max="536" width="8.1640625" style="142" bestFit="1" customWidth="1"/>
    <col min="537" max="537" width="10.83203125" style="142" bestFit="1" customWidth="1"/>
    <col min="538" max="538" width="12.27734375" style="142" bestFit="1" customWidth="1"/>
    <col min="539" max="539" width="18.27734375" style="142" bestFit="1" customWidth="1"/>
    <col min="540" max="540" width="10.83203125" style="142" bestFit="1" customWidth="1"/>
    <col min="541" max="776" width="8.83203125" style="142"/>
    <col min="777" max="777" width="38.27734375" style="142" customWidth="1"/>
    <col min="778" max="778" width="23.44140625" style="142" bestFit="1" customWidth="1"/>
    <col min="779" max="780" width="9.1640625" style="142" customWidth="1"/>
    <col min="781" max="781" width="11.27734375" style="142" bestFit="1" customWidth="1"/>
    <col min="782" max="782" width="14.44140625" style="142" bestFit="1" customWidth="1"/>
    <col min="783" max="783" width="8.1640625" style="142" customWidth="1"/>
    <col min="784" max="784" width="10.83203125" style="142" bestFit="1" customWidth="1"/>
    <col min="785" max="785" width="12.27734375" style="142" bestFit="1" customWidth="1"/>
    <col min="786" max="786" width="9.1640625" style="142" customWidth="1"/>
    <col min="787" max="787" width="10.83203125" style="142" bestFit="1" customWidth="1"/>
    <col min="788" max="788" width="12.27734375" style="142" bestFit="1" customWidth="1"/>
    <col min="789" max="789" width="8" style="142" customWidth="1"/>
    <col min="790" max="790" width="10.83203125" style="142" bestFit="1" customWidth="1"/>
    <col min="791" max="791" width="12.27734375" style="142" bestFit="1" customWidth="1"/>
    <col min="792" max="792" width="8.1640625" style="142" bestFit="1" customWidth="1"/>
    <col min="793" max="793" width="10.83203125" style="142" bestFit="1" customWidth="1"/>
    <col min="794" max="794" width="12.27734375" style="142" bestFit="1" customWidth="1"/>
    <col min="795" max="795" width="18.27734375" style="142" bestFit="1" customWidth="1"/>
    <col min="796" max="796" width="10.83203125" style="142" bestFit="1" customWidth="1"/>
    <col min="797" max="1032" width="8.83203125" style="142"/>
    <col min="1033" max="1033" width="38.27734375" style="142" customWidth="1"/>
    <col min="1034" max="1034" width="23.44140625" style="142" bestFit="1" customWidth="1"/>
    <col min="1035" max="1036" width="9.1640625" style="142" customWidth="1"/>
    <col min="1037" max="1037" width="11.27734375" style="142" bestFit="1" customWidth="1"/>
    <col min="1038" max="1038" width="14.44140625" style="142" bestFit="1" customWidth="1"/>
    <col min="1039" max="1039" width="8.1640625" style="142" customWidth="1"/>
    <col min="1040" max="1040" width="10.83203125" style="142" bestFit="1" customWidth="1"/>
    <col min="1041" max="1041" width="12.27734375" style="142" bestFit="1" customWidth="1"/>
    <col min="1042" max="1042" width="9.1640625" style="142" customWidth="1"/>
    <col min="1043" max="1043" width="10.83203125" style="142" bestFit="1" customWidth="1"/>
    <col min="1044" max="1044" width="12.27734375" style="142" bestFit="1" customWidth="1"/>
    <col min="1045" max="1045" width="8" style="142" customWidth="1"/>
    <col min="1046" max="1046" width="10.83203125" style="142" bestFit="1" customWidth="1"/>
    <col min="1047" max="1047" width="12.27734375" style="142" bestFit="1" customWidth="1"/>
    <col min="1048" max="1048" width="8.1640625" style="142" bestFit="1" customWidth="1"/>
    <col min="1049" max="1049" width="10.83203125" style="142" bestFit="1" customWidth="1"/>
    <col min="1050" max="1050" width="12.27734375" style="142" bestFit="1" customWidth="1"/>
    <col min="1051" max="1051" width="18.27734375" style="142" bestFit="1" customWidth="1"/>
    <col min="1052" max="1052" width="10.83203125" style="142" bestFit="1" customWidth="1"/>
    <col min="1053" max="1288" width="8.83203125" style="142"/>
    <col min="1289" max="1289" width="38.27734375" style="142" customWidth="1"/>
    <col min="1290" max="1290" width="23.44140625" style="142" bestFit="1" customWidth="1"/>
    <col min="1291" max="1292" width="9.1640625" style="142" customWidth="1"/>
    <col min="1293" max="1293" width="11.27734375" style="142" bestFit="1" customWidth="1"/>
    <col min="1294" max="1294" width="14.44140625" style="142" bestFit="1" customWidth="1"/>
    <col min="1295" max="1295" width="8.1640625" style="142" customWidth="1"/>
    <col min="1296" max="1296" width="10.83203125" style="142" bestFit="1" customWidth="1"/>
    <col min="1297" max="1297" width="12.27734375" style="142" bestFit="1" customWidth="1"/>
    <col min="1298" max="1298" width="9.1640625" style="142" customWidth="1"/>
    <col min="1299" max="1299" width="10.83203125" style="142" bestFit="1" customWidth="1"/>
    <col min="1300" max="1300" width="12.27734375" style="142" bestFit="1" customWidth="1"/>
    <col min="1301" max="1301" width="8" style="142" customWidth="1"/>
    <col min="1302" max="1302" width="10.83203125" style="142" bestFit="1" customWidth="1"/>
    <col min="1303" max="1303" width="12.27734375" style="142" bestFit="1" customWidth="1"/>
    <col min="1304" max="1304" width="8.1640625" style="142" bestFit="1" customWidth="1"/>
    <col min="1305" max="1305" width="10.83203125" style="142" bestFit="1" customWidth="1"/>
    <col min="1306" max="1306" width="12.27734375" style="142" bestFit="1" customWidth="1"/>
    <col min="1307" max="1307" width="18.27734375" style="142" bestFit="1" customWidth="1"/>
    <col min="1308" max="1308" width="10.83203125" style="142" bestFit="1" customWidth="1"/>
    <col min="1309" max="1544" width="8.83203125" style="142"/>
    <col min="1545" max="1545" width="38.27734375" style="142" customWidth="1"/>
    <col min="1546" max="1546" width="23.44140625" style="142" bestFit="1" customWidth="1"/>
    <col min="1547" max="1548" width="9.1640625" style="142" customWidth="1"/>
    <col min="1549" max="1549" width="11.27734375" style="142" bestFit="1" customWidth="1"/>
    <col min="1550" max="1550" width="14.44140625" style="142" bestFit="1" customWidth="1"/>
    <col min="1551" max="1551" width="8.1640625" style="142" customWidth="1"/>
    <col min="1552" max="1552" width="10.83203125" style="142" bestFit="1" customWidth="1"/>
    <col min="1553" max="1553" width="12.27734375" style="142" bestFit="1" customWidth="1"/>
    <col min="1554" max="1554" width="9.1640625" style="142" customWidth="1"/>
    <col min="1555" max="1555" width="10.83203125" style="142" bestFit="1" customWidth="1"/>
    <col min="1556" max="1556" width="12.27734375" style="142" bestFit="1" customWidth="1"/>
    <col min="1557" max="1557" width="8" style="142" customWidth="1"/>
    <col min="1558" max="1558" width="10.83203125" style="142" bestFit="1" customWidth="1"/>
    <col min="1559" max="1559" width="12.27734375" style="142" bestFit="1" customWidth="1"/>
    <col min="1560" max="1560" width="8.1640625" style="142" bestFit="1" customWidth="1"/>
    <col min="1561" max="1561" width="10.83203125" style="142" bestFit="1" customWidth="1"/>
    <col min="1562" max="1562" width="12.27734375" style="142" bestFit="1" customWidth="1"/>
    <col min="1563" max="1563" width="18.27734375" style="142" bestFit="1" customWidth="1"/>
    <col min="1564" max="1564" width="10.83203125" style="142" bestFit="1" customWidth="1"/>
    <col min="1565" max="1800" width="8.83203125" style="142"/>
    <col min="1801" max="1801" width="38.27734375" style="142" customWidth="1"/>
    <col min="1802" max="1802" width="23.44140625" style="142" bestFit="1" customWidth="1"/>
    <col min="1803" max="1804" width="9.1640625" style="142" customWidth="1"/>
    <col min="1805" max="1805" width="11.27734375" style="142" bestFit="1" customWidth="1"/>
    <col min="1806" max="1806" width="14.44140625" style="142" bestFit="1" customWidth="1"/>
    <col min="1807" max="1807" width="8.1640625" style="142" customWidth="1"/>
    <col min="1808" max="1808" width="10.83203125" style="142" bestFit="1" customWidth="1"/>
    <col min="1809" max="1809" width="12.27734375" style="142" bestFit="1" customWidth="1"/>
    <col min="1810" max="1810" width="9.1640625" style="142" customWidth="1"/>
    <col min="1811" max="1811" width="10.83203125" style="142" bestFit="1" customWidth="1"/>
    <col min="1812" max="1812" width="12.27734375" style="142" bestFit="1" customWidth="1"/>
    <col min="1813" max="1813" width="8" style="142" customWidth="1"/>
    <col min="1814" max="1814" width="10.83203125" style="142" bestFit="1" customWidth="1"/>
    <col min="1815" max="1815" width="12.27734375" style="142" bestFit="1" customWidth="1"/>
    <col min="1816" max="1816" width="8.1640625" style="142" bestFit="1" customWidth="1"/>
    <col min="1817" max="1817" width="10.83203125" style="142" bestFit="1" customWidth="1"/>
    <col min="1818" max="1818" width="12.27734375" style="142" bestFit="1" customWidth="1"/>
    <col min="1819" max="1819" width="18.27734375" style="142" bestFit="1" customWidth="1"/>
    <col min="1820" max="1820" width="10.83203125" style="142" bestFit="1" customWidth="1"/>
    <col min="1821" max="2056" width="8.83203125" style="142"/>
    <col min="2057" max="2057" width="38.27734375" style="142" customWidth="1"/>
    <col min="2058" max="2058" width="23.44140625" style="142" bestFit="1" customWidth="1"/>
    <col min="2059" max="2060" width="9.1640625" style="142" customWidth="1"/>
    <col min="2061" max="2061" width="11.27734375" style="142" bestFit="1" customWidth="1"/>
    <col min="2062" max="2062" width="14.44140625" style="142" bestFit="1" customWidth="1"/>
    <col min="2063" max="2063" width="8.1640625" style="142" customWidth="1"/>
    <col min="2064" max="2064" width="10.83203125" style="142" bestFit="1" customWidth="1"/>
    <col min="2065" max="2065" width="12.27734375" style="142" bestFit="1" customWidth="1"/>
    <col min="2066" max="2066" width="9.1640625" style="142" customWidth="1"/>
    <col min="2067" max="2067" width="10.83203125" style="142" bestFit="1" customWidth="1"/>
    <col min="2068" max="2068" width="12.27734375" style="142" bestFit="1" customWidth="1"/>
    <col min="2069" max="2069" width="8" style="142" customWidth="1"/>
    <col min="2070" max="2070" width="10.83203125" style="142" bestFit="1" customWidth="1"/>
    <col min="2071" max="2071" width="12.27734375" style="142" bestFit="1" customWidth="1"/>
    <col min="2072" max="2072" width="8.1640625" style="142" bestFit="1" customWidth="1"/>
    <col min="2073" max="2073" width="10.83203125" style="142" bestFit="1" customWidth="1"/>
    <col min="2074" max="2074" width="12.27734375" style="142" bestFit="1" customWidth="1"/>
    <col min="2075" max="2075" width="18.27734375" style="142" bestFit="1" customWidth="1"/>
    <col min="2076" max="2076" width="10.83203125" style="142" bestFit="1" customWidth="1"/>
    <col min="2077" max="2312" width="8.83203125" style="142"/>
    <col min="2313" max="2313" width="38.27734375" style="142" customWidth="1"/>
    <col min="2314" max="2314" width="23.44140625" style="142" bestFit="1" customWidth="1"/>
    <col min="2315" max="2316" width="9.1640625" style="142" customWidth="1"/>
    <col min="2317" max="2317" width="11.27734375" style="142" bestFit="1" customWidth="1"/>
    <col min="2318" max="2318" width="14.44140625" style="142" bestFit="1" customWidth="1"/>
    <col min="2319" max="2319" width="8.1640625" style="142" customWidth="1"/>
    <col min="2320" max="2320" width="10.83203125" style="142" bestFit="1" customWidth="1"/>
    <col min="2321" max="2321" width="12.27734375" style="142" bestFit="1" customWidth="1"/>
    <col min="2322" max="2322" width="9.1640625" style="142" customWidth="1"/>
    <col min="2323" max="2323" width="10.83203125" style="142" bestFit="1" customWidth="1"/>
    <col min="2324" max="2324" width="12.27734375" style="142" bestFit="1" customWidth="1"/>
    <col min="2325" max="2325" width="8" style="142" customWidth="1"/>
    <col min="2326" max="2326" width="10.83203125" style="142" bestFit="1" customWidth="1"/>
    <col min="2327" max="2327" width="12.27734375" style="142" bestFit="1" customWidth="1"/>
    <col min="2328" max="2328" width="8.1640625" style="142" bestFit="1" customWidth="1"/>
    <col min="2329" max="2329" width="10.83203125" style="142" bestFit="1" customWidth="1"/>
    <col min="2330" max="2330" width="12.27734375" style="142" bestFit="1" customWidth="1"/>
    <col min="2331" max="2331" width="18.27734375" style="142" bestFit="1" customWidth="1"/>
    <col min="2332" max="2332" width="10.83203125" style="142" bestFit="1" customWidth="1"/>
    <col min="2333" max="2568" width="8.83203125" style="142"/>
    <col min="2569" max="2569" width="38.27734375" style="142" customWidth="1"/>
    <col min="2570" max="2570" width="23.44140625" style="142" bestFit="1" customWidth="1"/>
    <col min="2571" max="2572" width="9.1640625" style="142" customWidth="1"/>
    <col min="2573" max="2573" width="11.27734375" style="142" bestFit="1" customWidth="1"/>
    <col min="2574" max="2574" width="14.44140625" style="142" bestFit="1" customWidth="1"/>
    <col min="2575" max="2575" width="8.1640625" style="142" customWidth="1"/>
    <col min="2576" max="2576" width="10.83203125" style="142" bestFit="1" customWidth="1"/>
    <col min="2577" max="2577" width="12.27734375" style="142" bestFit="1" customWidth="1"/>
    <col min="2578" max="2578" width="9.1640625" style="142" customWidth="1"/>
    <col min="2579" max="2579" width="10.83203125" style="142" bestFit="1" customWidth="1"/>
    <col min="2580" max="2580" width="12.27734375" style="142" bestFit="1" customWidth="1"/>
    <col min="2581" max="2581" width="8" style="142" customWidth="1"/>
    <col min="2582" max="2582" width="10.83203125" style="142" bestFit="1" customWidth="1"/>
    <col min="2583" max="2583" width="12.27734375" style="142" bestFit="1" customWidth="1"/>
    <col min="2584" max="2584" width="8.1640625" style="142" bestFit="1" customWidth="1"/>
    <col min="2585" max="2585" width="10.83203125" style="142" bestFit="1" customWidth="1"/>
    <col min="2586" max="2586" width="12.27734375" style="142" bestFit="1" customWidth="1"/>
    <col min="2587" max="2587" width="18.27734375" style="142" bestFit="1" customWidth="1"/>
    <col min="2588" max="2588" width="10.83203125" style="142" bestFit="1" customWidth="1"/>
    <col min="2589" max="2824" width="8.83203125" style="142"/>
    <col min="2825" max="2825" width="38.27734375" style="142" customWidth="1"/>
    <col min="2826" max="2826" width="23.44140625" style="142" bestFit="1" customWidth="1"/>
    <col min="2827" max="2828" width="9.1640625" style="142" customWidth="1"/>
    <col min="2829" max="2829" width="11.27734375" style="142" bestFit="1" customWidth="1"/>
    <col min="2830" max="2830" width="14.44140625" style="142" bestFit="1" customWidth="1"/>
    <col min="2831" max="2831" width="8.1640625" style="142" customWidth="1"/>
    <col min="2832" max="2832" width="10.83203125" style="142" bestFit="1" customWidth="1"/>
    <col min="2833" max="2833" width="12.27734375" style="142" bestFit="1" customWidth="1"/>
    <col min="2834" max="2834" width="9.1640625" style="142" customWidth="1"/>
    <col min="2835" max="2835" width="10.83203125" style="142" bestFit="1" customWidth="1"/>
    <col min="2836" max="2836" width="12.27734375" style="142" bestFit="1" customWidth="1"/>
    <col min="2837" max="2837" width="8" style="142" customWidth="1"/>
    <col min="2838" max="2838" width="10.83203125" style="142" bestFit="1" customWidth="1"/>
    <col min="2839" max="2839" width="12.27734375" style="142" bestFit="1" customWidth="1"/>
    <col min="2840" max="2840" width="8.1640625" style="142" bestFit="1" customWidth="1"/>
    <col min="2841" max="2841" width="10.83203125" style="142" bestFit="1" customWidth="1"/>
    <col min="2842" max="2842" width="12.27734375" style="142" bestFit="1" customWidth="1"/>
    <col min="2843" max="2843" width="18.27734375" style="142" bestFit="1" customWidth="1"/>
    <col min="2844" max="2844" width="10.83203125" style="142" bestFit="1" customWidth="1"/>
    <col min="2845" max="3080" width="8.83203125" style="142"/>
    <col min="3081" max="3081" width="38.27734375" style="142" customWidth="1"/>
    <col min="3082" max="3082" width="23.44140625" style="142" bestFit="1" customWidth="1"/>
    <col min="3083" max="3084" width="9.1640625" style="142" customWidth="1"/>
    <col min="3085" max="3085" width="11.27734375" style="142" bestFit="1" customWidth="1"/>
    <col min="3086" max="3086" width="14.44140625" style="142" bestFit="1" customWidth="1"/>
    <col min="3087" max="3087" width="8.1640625" style="142" customWidth="1"/>
    <col min="3088" max="3088" width="10.83203125" style="142" bestFit="1" customWidth="1"/>
    <col min="3089" max="3089" width="12.27734375" style="142" bestFit="1" customWidth="1"/>
    <col min="3090" max="3090" width="9.1640625" style="142" customWidth="1"/>
    <col min="3091" max="3091" width="10.83203125" style="142" bestFit="1" customWidth="1"/>
    <col min="3092" max="3092" width="12.27734375" style="142" bestFit="1" customWidth="1"/>
    <col min="3093" max="3093" width="8" style="142" customWidth="1"/>
    <col min="3094" max="3094" width="10.83203125" style="142" bestFit="1" customWidth="1"/>
    <col min="3095" max="3095" width="12.27734375" style="142" bestFit="1" customWidth="1"/>
    <col min="3096" max="3096" width="8.1640625" style="142" bestFit="1" customWidth="1"/>
    <col min="3097" max="3097" width="10.83203125" style="142" bestFit="1" customWidth="1"/>
    <col min="3098" max="3098" width="12.27734375" style="142" bestFit="1" customWidth="1"/>
    <col min="3099" max="3099" width="18.27734375" style="142" bestFit="1" customWidth="1"/>
    <col min="3100" max="3100" width="10.83203125" style="142" bestFit="1" customWidth="1"/>
    <col min="3101" max="3336" width="8.83203125" style="142"/>
    <col min="3337" max="3337" width="38.27734375" style="142" customWidth="1"/>
    <col min="3338" max="3338" width="23.44140625" style="142" bestFit="1" customWidth="1"/>
    <col min="3339" max="3340" width="9.1640625" style="142" customWidth="1"/>
    <col min="3341" max="3341" width="11.27734375" style="142" bestFit="1" customWidth="1"/>
    <col min="3342" max="3342" width="14.44140625" style="142" bestFit="1" customWidth="1"/>
    <col min="3343" max="3343" width="8.1640625" style="142" customWidth="1"/>
    <col min="3344" max="3344" width="10.83203125" style="142" bestFit="1" customWidth="1"/>
    <col min="3345" max="3345" width="12.27734375" style="142" bestFit="1" customWidth="1"/>
    <col min="3346" max="3346" width="9.1640625" style="142" customWidth="1"/>
    <col min="3347" max="3347" width="10.83203125" style="142" bestFit="1" customWidth="1"/>
    <col min="3348" max="3348" width="12.27734375" style="142" bestFit="1" customWidth="1"/>
    <col min="3349" max="3349" width="8" style="142" customWidth="1"/>
    <col min="3350" max="3350" width="10.83203125" style="142" bestFit="1" customWidth="1"/>
    <col min="3351" max="3351" width="12.27734375" style="142" bestFit="1" customWidth="1"/>
    <col min="3352" max="3352" width="8.1640625" style="142" bestFit="1" customWidth="1"/>
    <col min="3353" max="3353" width="10.83203125" style="142" bestFit="1" customWidth="1"/>
    <col min="3354" max="3354" width="12.27734375" style="142" bestFit="1" customWidth="1"/>
    <col min="3355" max="3355" width="18.27734375" style="142" bestFit="1" customWidth="1"/>
    <col min="3356" max="3356" width="10.83203125" style="142" bestFit="1" customWidth="1"/>
    <col min="3357" max="3592" width="8.83203125" style="142"/>
    <col min="3593" max="3593" width="38.27734375" style="142" customWidth="1"/>
    <col min="3594" max="3594" width="23.44140625" style="142" bestFit="1" customWidth="1"/>
    <col min="3595" max="3596" width="9.1640625" style="142" customWidth="1"/>
    <col min="3597" max="3597" width="11.27734375" style="142" bestFit="1" customWidth="1"/>
    <col min="3598" max="3598" width="14.44140625" style="142" bestFit="1" customWidth="1"/>
    <col min="3599" max="3599" width="8.1640625" style="142" customWidth="1"/>
    <col min="3600" max="3600" width="10.83203125" style="142" bestFit="1" customWidth="1"/>
    <col min="3601" max="3601" width="12.27734375" style="142" bestFit="1" customWidth="1"/>
    <col min="3602" max="3602" width="9.1640625" style="142" customWidth="1"/>
    <col min="3603" max="3603" width="10.83203125" style="142" bestFit="1" customWidth="1"/>
    <col min="3604" max="3604" width="12.27734375" style="142" bestFit="1" customWidth="1"/>
    <col min="3605" max="3605" width="8" style="142" customWidth="1"/>
    <col min="3606" max="3606" width="10.83203125" style="142" bestFit="1" customWidth="1"/>
    <col min="3607" max="3607" width="12.27734375" style="142" bestFit="1" customWidth="1"/>
    <col min="3608" max="3608" width="8.1640625" style="142" bestFit="1" customWidth="1"/>
    <col min="3609" max="3609" width="10.83203125" style="142" bestFit="1" customWidth="1"/>
    <col min="3610" max="3610" width="12.27734375" style="142" bestFit="1" customWidth="1"/>
    <col min="3611" max="3611" width="18.27734375" style="142" bestFit="1" customWidth="1"/>
    <col min="3612" max="3612" width="10.83203125" style="142" bestFit="1" customWidth="1"/>
    <col min="3613" max="3848" width="8.83203125" style="142"/>
    <col min="3849" max="3849" width="38.27734375" style="142" customWidth="1"/>
    <col min="3850" max="3850" width="23.44140625" style="142" bestFit="1" customWidth="1"/>
    <col min="3851" max="3852" width="9.1640625" style="142" customWidth="1"/>
    <col min="3853" max="3853" width="11.27734375" style="142" bestFit="1" customWidth="1"/>
    <col min="3854" max="3854" width="14.44140625" style="142" bestFit="1" customWidth="1"/>
    <col min="3855" max="3855" width="8.1640625" style="142" customWidth="1"/>
    <col min="3856" max="3856" width="10.83203125" style="142" bestFit="1" customWidth="1"/>
    <col min="3857" max="3857" width="12.27734375" style="142" bestFit="1" customWidth="1"/>
    <col min="3858" max="3858" width="9.1640625" style="142" customWidth="1"/>
    <col min="3859" max="3859" width="10.83203125" style="142" bestFit="1" customWidth="1"/>
    <col min="3860" max="3860" width="12.27734375" style="142" bestFit="1" customWidth="1"/>
    <col min="3861" max="3861" width="8" style="142" customWidth="1"/>
    <col min="3862" max="3862" width="10.83203125" style="142" bestFit="1" customWidth="1"/>
    <col min="3863" max="3863" width="12.27734375" style="142" bestFit="1" customWidth="1"/>
    <col min="3864" max="3864" width="8.1640625" style="142" bestFit="1" customWidth="1"/>
    <col min="3865" max="3865" width="10.83203125" style="142" bestFit="1" customWidth="1"/>
    <col min="3866" max="3866" width="12.27734375" style="142" bestFit="1" customWidth="1"/>
    <col min="3867" max="3867" width="18.27734375" style="142" bestFit="1" customWidth="1"/>
    <col min="3868" max="3868" width="10.83203125" style="142" bestFit="1" customWidth="1"/>
    <col min="3869" max="4104" width="8.83203125" style="142"/>
    <col min="4105" max="4105" width="38.27734375" style="142" customWidth="1"/>
    <col min="4106" max="4106" width="23.44140625" style="142" bestFit="1" customWidth="1"/>
    <col min="4107" max="4108" width="9.1640625" style="142" customWidth="1"/>
    <col min="4109" max="4109" width="11.27734375" style="142" bestFit="1" customWidth="1"/>
    <col min="4110" max="4110" width="14.44140625" style="142" bestFit="1" customWidth="1"/>
    <col min="4111" max="4111" width="8.1640625" style="142" customWidth="1"/>
    <col min="4112" max="4112" width="10.83203125" style="142" bestFit="1" customWidth="1"/>
    <col min="4113" max="4113" width="12.27734375" style="142" bestFit="1" customWidth="1"/>
    <col min="4114" max="4114" width="9.1640625" style="142" customWidth="1"/>
    <col min="4115" max="4115" width="10.83203125" style="142" bestFit="1" customWidth="1"/>
    <col min="4116" max="4116" width="12.27734375" style="142" bestFit="1" customWidth="1"/>
    <col min="4117" max="4117" width="8" style="142" customWidth="1"/>
    <col min="4118" max="4118" width="10.83203125" style="142" bestFit="1" customWidth="1"/>
    <col min="4119" max="4119" width="12.27734375" style="142" bestFit="1" customWidth="1"/>
    <col min="4120" max="4120" width="8.1640625" style="142" bestFit="1" customWidth="1"/>
    <col min="4121" max="4121" width="10.83203125" style="142" bestFit="1" customWidth="1"/>
    <col min="4122" max="4122" width="12.27734375" style="142" bestFit="1" customWidth="1"/>
    <col min="4123" max="4123" width="18.27734375" style="142" bestFit="1" customWidth="1"/>
    <col min="4124" max="4124" width="10.83203125" style="142" bestFit="1" customWidth="1"/>
    <col min="4125" max="4360" width="8.83203125" style="142"/>
    <col min="4361" max="4361" width="38.27734375" style="142" customWidth="1"/>
    <col min="4362" max="4362" width="23.44140625" style="142" bestFit="1" customWidth="1"/>
    <col min="4363" max="4364" width="9.1640625" style="142" customWidth="1"/>
    <col min="4365" max="4365" width="11.27734375" style="142" bestFit="1" customWidth="1"/>
    <col min="4366" max="4366" width="14.44140625" style="142" bestFit="1" customWidth="1"/>
    <col min="4367" max="4367" width="8.1640625" style="142" customWidth="1"/>
    <col min="4368" max="4368" width="10.83203125" style="142" bestFit="1" customWidth="1"/>
    <col min="4369" max="4369" width="12.27734375" style="142" bestFit="1" customWidth="1"/>
    <col min="4370" max="4370" width="9.1640625" style="142" customWidth="1"/>
    <col min="4371" max="4371" width="10.83203125" style="142" bestFit="1" customWidth="1"/>
    <col min="4372" max="4372" width="12.27734375" style="142" bestFit="1" customWidth="1"/>
    <col min="4373" max="4373" width="8" style="142" customWidth="1"/>
    <col min="4374" max="4374" width="10.83203125" style="142" bestFit="1" customWidth="1"/>
    <col min="4375" max="4375" width="12.27734375" style="142" bestFit="1" customWidth="1"/>
    <col min="4376" max="4376" width="8.1640625" style="142" bestFit="1" customWidth="1"/>
    <col min="4377" max="4377" width="10.83203125" style="142" bestFit="1" customWidth="1"/>
    <col min="4378" max="4378" width="12.27734375" style="142" bestFit="1" customWidth="1"/>
    <col min="4379" max="4379" width="18.27734375" style="142" bestFit="1" customWidth="1"/>
    <col min="4380" max="4380" width="10.83203125" style="142" bestFit="1" customWidth="1"/>
    <col min="4381" max="4616" width="8.83203125" style="142"/>
    <col min="4617" max="4617" width="38.27734375" style="142" customWidth="1"/>
    <col min="4618" max="4618" width="23.44140625" style="142" bestFit="1" customWidth="1"/>
    <col min="4619" max="4620" width="9.1640625" style="142" customWidth="1"/>
    <col min="4621" max="4621" width="11.27734375" style="142" bestFit="1" customWidth="1"/>
    <col min="4622" max="4622" width="14.44140625" style="142" bestFit="1" customWidth="1"/>
    <col min="4623" max="4623" width="8.1640625" style="142" customWidth="1"/>
    <col min="4624" max="4624" width="10.83203125" style="142" bestFit="1" customWidth="1"/>
    <col min="4625" max="4625" width="12.27734375" style="142" bestFit="1" customWidth="1"/>
    <col min="4626" max="4626" width="9.1640625" style="142" customWidth="1"/>
    <col min="4627" max="4627" width="10.83203125" style="142" bestFit="1" customWidth="1"/>
    <col min="4628" max="4628" width="12.27734375" style="142" bestFit="1" customWidth="1"/>
    <col min="4629" max="4629" width="8" style="142" customWidth="1"/>
    <col min="4630" max="4630" width="10.83203125" style="142" bestFit="1" customWidth="1"/>
    <col min="4631" max="4631" width="12.27734375" style="142" bestFit="1" customWidth="1"/>
    <col min="4632" max="4632" width="8.1640625" style="142" bestFit="1" customWidth="1"/>
    <col min="4633" max="4633" width="10.83203125" style="142" bestFit="1" customWidth="1"/>
    <col min="4634" max="4634" width="12.27734375" style="142" bestFit="1" customWidth="1"/>
    <col min="4635" max="4635" width="18.27734375" style="142" bestFit="1" customWidth="1"/>
    <col min="4636" max="4636" width="10.83203125" style="142" bestFit="1" customWidth="1"/>
    <col min="4637" max="4872" width="8.83203125" style="142"/>
    <col min="4873" max="4873" width="38.27734375" style="142" customWidth="1"/>
    <col min="4874" max="4874" width="23.44140625" style="142" bestFit="1" customWidth="1"/>
    <col min="4875" max="4876" width="9.1640625" style="142" customWidth="1"/>
    <col min="4877" max="4877" width="11.27734375" style="142" bestFit="1" customWidth="1"/>
    <col min="4878" max="4878" width="14.44140625" style="142" bestFit="1" customWidth="1"/>
    <col min="4879" max="4879" width="8.1640625" style="142" customWidth="1"/>
    <col min="4880" max="4880" width="10.83203125" style="142" bestFit="1" customWidth="1"/>
    <col min="4881" max="4881" width="12.27734375" style="142" bestFit="1" customWidth="1"/>
    <col min="4882" max="4882" width="9.1640625" style="142" customWidth="1"/>
    <col min="4883" max="4883" width="10.83203125" style="142" bestFit="1" customWidth="1"/>
    <col min="4884" max="4884" width="12.27734375" style="142" bestFit="1" customWidth="1"/>
    <col min="4885" max="4885" width="8" style="142" customWidth="1"/>
    <col min="4886" max="4886" width="10.83203125" style="142" bestFit="1" customWidth="1"/>
    <col min="4887" max="4887" width="12.27734375" style="142" bestFit="1" customWidth="1"/>
    <col min="4888" max="4888" width="8.1640625" style="142" bestFit="1" customWidth="1"/>
    <col min="4889" max="4889" width="10.83203125" style="142" bestFit="1" customWidth="1"/>
    <col min="4890" max="4890" width="12.27734375" style="142" bestFit="1" customWidth="1"/>
    <col min="4891" max="4891" width="18.27734375" style="142" bestFit="1" customWidth="1"/>
    <col min="4892" max="4892" width="10.83203125" style="142" bestFit="1" customWidth="1"/>
    <col min="4893" max="5128" width="8.83203125" style="142"/>
    <col min="5129" max="5129" width="38.27734375" style="142" customWidth="1"/>
    <col min="5130" max="5130" width="23.44140625" style="142" bestFit="1" customWidth="1"/>
    <col min="5131" max="5132" width="9.1640625" style="142" customWidth="1"/>
    <col min="5133" max="5133" width="11.27734375" style="142" bestFit="1" customWidth="1"/>
    <col min="5134" max="5134" width="14.44140625" style="142" bestFit="1" customWidth="1"/>
    <col min="5135" max="5135" width="8.1640625" style="142" customWidth="1"/>
    <col min="5136" max="5136" width="10.83203125" style="142" bestFit="1" customWidth="1"/>
    <col min="5137" max="5137" width="12.27734375" style="142" bestFit="1" customWidth="1"/>
    <col min="5138" max="5138" width="9.1640625" style="142" customWidth="1"/>
    <col min="5139" max="5139" width="10.83203125" style="142" bestFit="1" customWidth="1"/>
    <col min="5140" max="5140" width="12.27734375" style="142" bestFit="1" customWidth="1"/>
    <col min="5141" max="5141" width="8" style="142" customWidth="1"/>
    <col min="5142" max="5142" width="10.83203125" style="142" bestFit="1" customWidth="1"/>
    <col min="5143" max="5143" width="12.27734375" style="142" bestFit="1" customWidth="1"/>
    <col min="5144" max="5144" width="8.1640625" style="142" bestFit="1" customWidth="1"/>
    <col min="5145" max="5145" width="10.83203125" style="142" bestFit="1" customWidth="1"/>
    <col min="5146" max="5146" width="12.27734375" style="142" bestFit="1" customWidth="1"/>
    <col min="5147" max="5147" width="18.27734375" style="142" bestFit="1" customWidth="1"/>
    <col min="5148" max="5148" width="10.83203125" style="142" bestFit="1" customWidth="1"/>
    <col min="5149" max="5384" width="8.83203125" style="142"/>
    <col min="5385" max="5385" width="38.27734375" style="142" customWidth="1"/>
    <col min="5386" max="5386" width="23.44140625" style="142" bestFit="1" customWidth="1"/>
    <col min="5387" max="5388" width="9.1640625" style="142" customWidth="1"/>
    <col min="5389" max="5389" width="11.27734375" style="142" bestFit="1" customWidth="1"/>
    <col min="5390" max="5390" width="14.44140625" style="142" bestFit="1" customWidth="1"/>
    <col min="5391" max="5391" width="8.1640625" style="142" customWidth="1"/>
    <col min="5392" max="5392" width="10.83203125" style="142" bestFit="1" customWidth="1"/>
    <col min="5393" max="5393" width="12.27734375" style="142" bestFit="1" customWidth="1"/>
    <col min="5394" max="5394" width="9.1640625" style="142" customWidth="1"/>
    <col min="5395" max="5395" width="10.83203125" style="142" bestFit="1" customWidth="1"/>
    <col min="5396" max="5396" width="12.27734375" style="142" bestFit="1" customWidth="1"/>
    <col min="5397" max="5397" width="8" style="142" customWidth="1"/>
    <col min="5398" max="5398" width="10.83203125" style="142" bestFit="1" customWidth="1"/>
    <col min="5399" max="5399" width="12.27734375" style="142" bestFit="1" customWidth="1"/>
    <col min="5400" max="5400" width="8.1640625" style="142" bestFit="1" customWidth="1"/>
    <col min="5401" max="5401" width="10.83203125" style="142" bestFit="1" customWidth="1"/>
    <col min="5402" max="5402" width="12.27734375" style="142" bestFit="1" customWidth="1"/>
    <col min="5403" max="5403" width="18.27734375" style="142" bestFit="1" customWidth="1"/>
    <col min="5404" max="5404" width="10.83203125" style="142" bestFit="1" customWidth="1"/>
    <col min="5405" max="5640" width="8.83203125" style="142"/>
    <col min="5641" max="5641" width="38.27734375" style="142" customWidth="1"/>
    <col min="5642" max="5642" width="23.44140625" style="142" bestFit="1" customWidth="1"/>
    <col min="5643" max="5644" width="9.1640625" style="142" customWidth="1"/>
    <col min="5645" max="5645" width="11.27734375" style="142" bestFit="1" customWidth="1"/>
    <col min="5646" max="5646" width="14.44140625" style="142" bestFit="1" customWidth="1"/>
    <col min="5647" max="5647" width="8.1640625" style="142" customWidth="1"/>
    <col min="5648" max="5648" width="10.83203125" style="142" bestFit="1" customWidth="1"/>
    <col min="5649" max="5649" width="12.27734375" style="142" bestFit="1" customWidth="1"/>
    <col min="5650" max="5650" width="9.1640625" style="142" customWidth="1"/>
    <col min="5651" max="5651" width="10.83203125" style="142" bestFit="1" customWidth="1"/>
    <col min="5652" max="5652" width="12.27734375" style="142" bestFit="1" customWidth="1"/>
    <col min="5653" max="5653" width="8" style="142" customWidth="1"/>
    <col min="5654" max="5654" width="10.83203125" style="142" bestFit="1" customWidth="1"/>
    <col min="5655" max="5655" width="12.27734375" style="142" bestFit="1" customWidth="1"/>
    <col min="5656" max="5656" width="8.1640625" style="142" bestFit="1" customWidth="1"/>
    <col min="5657" max="5657" width="10.83203125" style="142" bestFit="1" customWidth="1"/>
    <col min="5658" max="5658" width="12.27734375" style="142" bestFit="1" customWidth="1"/>
    <col min="5659" max="5659" width="18.27734375" style="142" bestFit="1" customWidth="1"/>
    <col min="5660" max="5660" width="10.83203125" style="142" bestFit="1" customWidth="1"/>
    <col min="5661" max="5896" width="8.83203125" style="142"/>
    <col min="5897" max="5897" width="38.27734375" style="142" customWidth="1"/>
    <col min="5898" max="5898" width="23.44140625" style="142" bestFit="1" customWidth="1"/>
    <col min="5899" max="5900" width="9.1640625" style="142" customWidth="1"/>
    <col min="5901" max="5901" width="11.27734375" style="142" bestFit="1" customWidth="1"/>
    <col min="5902" max="5902" width="14.44140625" style="142" bestFit="1" customWidth="1"/>
    <col min="5903" max="5903" width="8.1640625" style="142" customWidth="1"/>
    <col min="5904" max="5904" width="10.83203125" style="142" bestFit="1" customWidth="1"/>
    <col min="5905" max="5905" width="12.27734375" style="142" bestFit="1" customWidth="1"/>
    <col min="5906" max="5906" width="9.1640625" style="142" customWidth="1"/>
    <col min="5907" max="5907" width="10.83203125" style="142" bestFit="1" customWidth="1"/>
    <col min="5908" max="5908" width="12.27734375" style="142" bestFit="1" customWidth="1"/>
    <col min="5909" max="5909" width="8" style="142" customWidth="1"/>
    <col min="5910" max="5910" width="10.83203125" style="142" bestFit="1" customWidth="1"/>
    <col min="5911" max="5911" width="12.27734375" style="142" bestFit="1" customWidth="1"/>
    <col min="5912" max="5912" width="8.1640625" style="142" bestFit="1" customWidth="1"/>
    <col min="5913" max="5913" width="10.83203125" style="142" bestFit="1" customWidth="1"/>
    <col min="5914" max="5914" width="12.27734375" style="142" bestFit="1" customWidth="1"/>
    <col min="5915" max="5915" width="18.27734375" style="142" bestFit="1" customWidth="1"/>
    <col min="5916" max="5916" width="10.83203125" style="142" bestFit="1" customWidth="1"/>
    <col min="5917" max="6152" width="8.83203125" style="142"/>
    <col min="6153" max="6153" width="38.27734375" style="142" customWidth="1"/>
    <col min="6154" max="6154" width="23.44140625" style="142" bestFit="1" customWidth="1"/>
    <col min="6155" max="6156" width="9.1640625" style="142" customWidth="1"/>
    <col min="6157" max="6157" width="11.27734375" style="142" bestFit="1" customWidth="1"/>
    <col min="6158" max="6158" width="14.44140625" style="142" bestFit="1" customWidth="1"/>
    <col min="6159" max="6159" width="8.1640625" style="142" customWidth="1"/>
    <col min="6160" max="6160" width="10.83203125" style="142" bestFit="1" customWidth="1"/>
    <col min="6161" max="6161" width="12.27734375" style="142" bestFit="1" customWidth="1"/>
    <col min="6162" max="6162" width="9.1640625" style="142" customWidth="1"/>
    <col min="6163" max="6163" width="10.83203125" style="142" bestFit="1" customWidth="1"/>
    <col min="6164" max="6164" width="12.27734375" style="142" bestFit="1" customWidth="1"/>
    <col min="6165" max="6165" width="8" style="142" customWidth="1"/>
    <col min="6166" max="6166" width="10.83203125" style="142" bestFit="1" customWidth="1"/>
    <col min="6167" max="6167" width="12.27734375" style="142" bestFit="1" customWidth="1"/>
    <col min="6168" max="6168" width="8.1640625" style="142" bestFit="1" customWidth="1"/>
    <col min="6169" max="6169" width="10.83203125" style="142" bestFit="1" customWidth="1"/>
    <col min="6170" max="6170" width="12.27734375" style="142" bestFit="1" customWidth="1"/>
    <col min="6171" max="6171" width="18.27734375" style="142" bestFit="1" customWidth="1"/>
    <col min="6172" max="6172" width="10.83203125" style="142" bestFit="1" customWidth="1"/>
    <col min="6173" max="6408" width="8.83203125" style="142"/>
    <col min="6409" max="6409" width="38.27734375" style="142" customWidth="1"/>
    <col min="6410" max="6410" width="23.44140625" style="142" bestFit="1" customWidth="1"/>
    <col min="6411" max="6412" width="9.1640625" style="142" customWidth="1"/>
    <col min="6413" max="6413" width="11.27734375" style="142" bestFit="1" customWidth="1"/>
    <col min="6414" max="6414" width="14.44140625" style="142" bestFit="1" customWidth="1"/>
    <col min="6415" max="6415" width="8.1640625" style="142" customWidth="1"/>
    <col min="6416" max="6416" width="10.83203125" style="142" bestFit="1" customWidth="1"/>
    <col min="6417" max="6417" width="12.27734375" style="142" bestFit="1" customWidth="1"/>
    <col min="6418" max="6418" width="9.1640625" style="142" customWidth="1"/>
    <col min="6419" max="6419" width="10.83203125" style="142" bestFit="1" customWidth="1"/>
    <col min="6420" max="6420" width="12.27734375" style="142" bestFit="1" customWidth="1"/>
    <col min="6421" max="6421" width="8" style="142" customWidth="1"/>
    <col min="6422" max="6422" width="10.83203125" style="142" bestFit="1" customWidth="1"/>
    <col min="6423" max="6423" width="12.27734375" style="142" bestFit="1" customWidth="1"/>
    <col min="6424" max="6424" width="8.1640625" style="142" bestFit="1" customWidth="1"/>
    <col min="6425" max="6425" width="10.83203125" style="142" bestFit="1" customWidth="1"/>
    <col min="6426" max="6426" width="12.27734375" style="142" bestFit="1" customWidth="1"/>
    <col min="6427" max="6427" width="18.27734375" style="142" bestFit="1" customWidth="1"/>
    <col min="6428" max="6428" width="10.83203125" style="142" bestFit="1" customWidth="1"/>
    <col min="6429" max="6664" width="8.83203125" style="142"/>
    <col min="6665" max="6665" width="38.27734375" style="142" customWidth="1"/>
    <col min="6666" max="6666" width="23.44140625" style="142" bestFit="1" customWidth="1"/>
    <col min="6667" max="6668" width="9.1640625" style="142" customWidth="1"/>
    <col min="6669" max="6669" width="11.27734375" style="142" bestFit="1" customWidth="1"/>
    <col min="6670" max="6670" width="14.44140625" style="142" bestFit="1" customWidth="1"/>
    <col min="6671" max="6671" width="8.1640625" style="142" customWidth="1"/>
    <col min="6672" max="6672" width="10.83203125" style="142" bestFit="1" customWidth="1"/>
    <col min="6673" max="6673" width="12.27734375" style="142" bestFit="1" customWidth="1"/>
    <col min="6674" max="6674" width="9.1640625" style="142" customWidth="1"/>
    <col min="6675" max="6675" width="10.83203125" style="142" bestFit="1" customWidth="1"/>
    <col min="6676" max="6676" width="12.27734375" style="142" bestFit="1" customWidth="1"/>
    <col min="6677" max="6677" width="8" style="142" customWidth="1"/>
    <col min="6678" max="6678" width="10.83203125" style="142" bestFit="1" customWidth="1"/>
    <col min="6679" max="6679" width="12.27734375" style="142" bestFit="1" customWidth="1"/>
    <col min="6680" max="6680" width="8.1640625" style="142" bestFit="1" customWidth="1"/>
    <col min="6681" max="6681" width="10.83203125" style="142" bestFit="1" customWidth="1"/>
    <col min="6682" max="6682" width="12.27734375" style="142" bestFit="1" customWidth="1"/>
    <col min="6683" max="6683" width="18.27734375" style="142" bestFit="1" customWidth="1"/>
    <col min="6684" max="6684" width="10.83203125" style="142" bestFit="1" customWidth="1"/>
    <col min="6685" max="6920" width="8.83203125" style="142"/>
    <col min="6921" max="6921" width="38.27734375" style="142" customWidth="1"/>
    <col min="6922" max="6922" width="23.44140625" style="142" bestFit="1" customWidth="1"/>
    <col min="6923" max="6924" width="9.1640625" style="142" customWidth="1"/>
    <col min="6925" max="6925" width="11.27734375" style="142" bestFit="1" customWidth="1"/>
    <col min="6926" max="6926" width="14.44140625" style="142" bestFit="1" customWidth="1"/>
    <col min="6927" max="6927" width="8.1640625" style="142" customWidth="1"/>
    <col min="6928" max="6928" width="10.83203125" style="142" bestFit="1" customWidth="1"/>
    <col min="6929" max="6929" width="12.27734375" style="142" bestFit="1" customWidth="1"/>
    <col min="6930" max="6930" width="9.1640625" style="142" customWidth="1"/>
    <col min="6931" max="6931" width="10.83203125" style="142" bestFit="1" customWidth="1"/>
    <col min="6932" max="6932" width="12.27734375" style="142" bestFit="1" customWidth="1"/>
    <col min="6933" max="6933" width="8" style="142" customWidth="1"/>
    <col min="6934" max="6934" width="10.83203125" style="142" bestFit="1" customWidth="1"/>
    <col min="6935" max="6935" width="12.27734375" style="142" bestFit="1" customWidth="1"/>
    <col min="6936" max="6936" width="8.1640625" style="142" bestFit="1" customWidth="1"/>
    <col min="6937" max="6937" width="10.83203125" style="142" bestFit="1" customWidth="1"/>
    <col min="6938" max="6938" width="12.27734375" style="142" bestFit="1" customWidth="1"/>
    <col min="6939" max="6939" width="18.27734375" style="142" bestFit="1" customWidth="1"/>
    <col min="6940" max="6940" width="10.83203125" style="142" bestFit="1" customWidth="1"/>
    <col min="6941" max="7176" width="8.83203125" style="142"/>
    <col min="7177" max="7177" width="38.27734375" style="142" customWidth="1"/>
    <col min="7178" max="7178" width="23.44140625" style="142" bestFit="1" customWidth="1"/>
    <col min="7179" max="7180" width="9.1640625" style="142" customWidth="1"/>
    <col min="7181" max="7181" width="11.27734375" style="142" bestFit="1" customWidth="1"/>
    <col min="7182" max="7182" width="14.44140625" style="142" bestFit="1" customWidth="1"/>
    <col min="7183" max="7183" width="8.1640625" style="142" customWidth="1"/>
    <col min="7184" max="7184" width="10.83203125" style="142" bestFit="1" customWidth="1"/>
    <col min="7185" max="7185" width="12.27734375" style="142" bestFit="1" customWidth="1"/>
    <col min="7186" max="7186" width="9.1640625" style="142" customWidth="1"/>
    <col min="7187" max="7187" width="10.83203125" style="142" bestFit="1" customWidth="1"/>
    <col min="7188" max="7188" width="12.27734375" style="142" bestFit="1" customWidth="1"/>
    <col min="7189" max="7189" width="8" style="142" customWidth="1"/>
    <col min="7190" max="7190" width="10.83203125" style="142" bestFit="1" customWidth="1"/>
    <col min="7191" max="7191" width="12.27734375" style="142" bestFit="1" customWidth="1"/>
    <col min="7192" max="7192" width="8.1640625" style="142" bestFit="1" customWidth="1"/>
    <col min="7193" max="7193" width="10.83203125" style="142" bestFit="1" customWidth="1"/>
    <col min="7194" max="7194" width="12.27734375" style="142" bestFit="1" customWidth="1"/>
    <col min="7195" max="7195" width="18.27734375" style="142" bestFit="1" customWidth="1"/>
    <col min="7196" max="7196" width="10.83203125" style="142" bestFit="1" customWidth="1"/>
    <col min="7197" max="7432" width="8.83203125" style="142"/>
    <col min="7433" max="7433" width="38.27734375" style="142" customWidth="1"/>
    <col min="7434" max="7434" width="23.44140625" style="142" bestFit="1" customWidth="1"/>
    <col min="7435" max="7436" width="9.1640625" style="142" customWidth="1"/>
    <col min="7437" max="7437" width="11.27734375" style="142" bestFit="1" customWidth="1"/>
    <col min="7438" max="7438" width="14.44140625" style="142" bestFit="1" customWidth="1"/>
    <col min="7439" max="7439" width="8.1640625" style="142" customWidth="1"/>
    <col min="7440" max="7440" width="10.83203125" style="142" bestFit="1" customWidth="1"/>
    <col min="7441" max="7441" width="12.27734375" style="142" bestFit="1" customWidth="1"/>
    <col min="7442" max="7442" width="9.1640625" style="142" customWidth="1"/>
    <col min="7443" max="7443" width="10.83203125" style="142" bestFit="1" customWidth="1"/>
    <col min="7444" max="7444" width="12.27734375" style="142" bestFit="1" customWidth="1"/>
    <col min="7445" max="7445" width="8" style="142" customWidth="1"/>
    <col min="7446" max="7446" width="10.83203125" style="142" bestFit="1" customWidth="1"/>
    <col min="7447" max="7447" width="12.27734375" style="142" bestFit="1" customWidth="1"/>
    <col min="7448" max="7448" width="8.1640625" style="142" bestFit="1" customWidth="1"/>
    <col min="7449" max="7449" width="10.83203125" style="142" bestFit="1" customWidth="1"/>
    <col min="7450" max="7450" width="12.27734375" style="142" bestFit="1" customWidth="1"/>
    <col min="7451" max="7451" width="18.27734375" style="142" bestFit="1" customWidth="1"/>
    <col min="7452" max="7452" width="10.83203125" style="142" bestFit="1" customWidth="1"/>
    <col min="7453" max="7688" width="8.83203125" style="142"/>
    <col min="7689" max="7689" width="38.27734375" style="142" customWidth="1"/>
    <col min="7690" max="7690" width="23.44140625" style="142" bestFit="1" customWidth="1"/>
    <col min="7691" max="7692" width="9.1640625" style="142" customWidth="1"/>
    <col min="7693" max="7693" width="11.27734375" style="142" bestFit="1" customWidth="1"/>
    <col min="7694" max="7694" width="14.44140625" style="142" bestFit="1" customWidth="1"/>
    <col min="7695" max="7695" width="8.1640625" style="142" customWidth="1"/>
    <col min="7696" max="7696" width="10.83203125" style="142" bestFit="1" customWidth="1"/>
    <col min="7697" max="7697" width="12.27734375" style="142" bestFit="1" customWidth="1"/>
    <col min="7698" max="7698" width="9.1640625" style="142" customWidth="1"/>
    <col min="7699" max="7699" width="10.83203125" style="142" bestFit="1" customWidth="1"/>
    <col min="7700" max="7700" width="12.27734375" style="142" bestFit="1" customWidth="1"/>
    <col min="7701" max="7701" width="8" style="142" customWidth="1"/>
    <col min="7702" max="7702" width="10.83203125" style="142" bestFit="1" customWidth="1"/>
    <col min="7703" max="7703" width="12.27734375" style="142" bestFit="1" customWidth="1"/>
    <col min="7704" max="7704" width="8.1640625" style="142" bestFit="1" customWidth="1"/>
    <col min="7705" max="7705" width="10.83203125" style="142" bestFit="1" customWidth="1"/>
    <col min="7706" max="7706" width="12.27734375" style="142" bestFit="1" customWidth="1"/>
    <col min="7707" max="7707" width="18.27734375" style="142" bestFit="1" customWidth="1"/>
    <col min="7708" max="7708" width="10.83203125" style="142" bestFit="1" customWidth="1"/>
    <col min="7709" max="7944" width="8.83203125" style="142"/>
    <col min="7945" max="7945" width="38.27734375" style="142" customWidth="1"/>
    <col min="7946" max="7946" width="23.44140625" style="142" bestFit="1" customWidth="1"/>
    <col min="7947" max="7948" width="9.1640625" style="142" customWidth="1"/>
    <col min="7949" max="7949" width="11.27734375" style="142" bestFit="1" customWidth="1"/>
    <col min="7950" max="7950" width="14.44140625" style="142" bestFit="1" customWidth="1"/>
    <col min="7951" max="7951" width="8.1640625" style="142" customWidth="1"/>
    <col min="7952" max="7952" width="10.83203125" style="142" bestFit="1" customWidth="1"/>
    <col min="7953" max="7953" width="12.27734375" style="142" bestFit="1" customWidth="1"/>
    <col min="7954" max="7954" width="9.1640625" style="142" customWidth="1"/>
    <col min="7955" max="7955" width="10.83203125" style="142" bestFit="1" customWidth="1"/>
    <col min="7956" max="7956" width="12.27734375" style="142" bestFit="1" customWidth="1"/>
    <col min="7957" max="7957" width="8" style="142" customWidth="1"/>
    <col min="7958" max="7958" width="10.83203125" style="142" bestFit="1" customWidth="1"/>
    <col min="7959" max="7959" width="12.27734375" style="142" bestFit="1" customWidth="1"/>
    <col min="7960" max="7960" width="8.1640625" style="142" bestFit="1" customWidth="1"/>
    <col min="7961" max="7961" width="10.83203125" style="142" bestFit="1" customWidth="1"/>
    <col min="7962" max="7962" width="12.27734375" style="142" bestFit="1" customWidth="1"/>
    <col min="7963" max="7963" width="18.27734375" style="142" bestFit="1" customWidth="1"/>
    <col min="7964" max="7964" width="10.83203125" style="142" bestFit="1" customWidth="1"/>
    <col min="7965" max="8200" width="8.83203125" style="142"/>
    <col min="8201" max="8201" width="38.27734375" style="142" customWidth="1"/>
    <col min="8202" max="8202" width="23.44140625" style="142" bestFit="1" customWidth="1"/>
    <col min="8203" max="8204" width="9.1640625" style="142" customWidth="1"/>
    <col min="8205" max="8205" width="11.27734375" style="142" bestFit="1" customWidth="1"/>
    <col min="8206" max="8206" width="14.44140625" style="142" bestFit="1" customWidth="1"/>
    <col min="8207" max="8207" width="8.1640625" style="142" customWidth="1"/>
    <col min="8208" max="8208" width="10.83203125" style="142" bestFit="1" customWidth="1"/>
    <col min="8209" max="8209" width="12.27734375" style="142" bestFit="1" customWidth="1"/>
    <col min="8210" max="8210" width="9.1640625" style="142" customWidth="1"/>
    <col min="8211" max="8211" width="10.83203125" style="142" bestFit="1" customWidth="1"/>
    <col min="8212" max="8212" width="12.27734375" style="142" bestFit="1" customWidth="1"/>
    <col min="8213" max="8213" width="8" style="142" customWidth="1"/>
    <col min="8214" max="8214" width="10.83203125" style="142" bestFit="1" customWidth="1"/>
    <col min="8215" max="8215" width="12.27734375" style="142" bestFit="1" customWidth="1"/>
    <col min="8216" max="8216" width="8.1640625" style="142" bestFit="1" customWidth="1"/>
    <col min="8217" max="8217" width="10.83203125" style="142" bestFit="1" customWidth="1"/>
    <col min="8218" max="8218" width="12.27734375" style="142" bestFit="1" customWidth="1"/>
    <col min="8219" max="8219" width="18.27734375" style="142" bestFit="1" customWidth="1"/>
    <col min="8220" max="8220" width="10.83203125" style="142" bestFit="1" customWidth="1"/>
    <col min="8221" max="8456" width="8.83203125" style="142"/>
    <col min="8457" max="8457" width="38.27734375" style="142" customWidth="1"/>
    <col min="8458" max="8458" width="23.44140625" style="142" bestFit="1" customWidth="1"/>
    <col min="8459" max="8460" width="9.1640625" style="142" customWidth="1"/>
    <col min="8461" max="8461" width="11.27734375" style="142" bestFit="1" customWidth="1"/>
    <col min="8462" max="8462" width="14.44140625" style="142" bestFit="1" customWidth="1"/>
    <col min="8463" max="8463" width="8.1640625" style="142" customWidth="1"/>
    <col min="8464" max="8464" width="10.83203125" style="142" bestFit="1" customWidth="1"/>
    <col min="8465" max="8465" width="12.27734375" style="142" bestFit="1" customWidth="1"/>
    <col min="8466" max="8466" width="9.1640625" style="142" customWidth="1"/>
    <col min="8467" max="8467" width="10.83203125" style="142" bestFit="1" customWidth="1"/>
    <col min="8468" max="8468" width="12.27734375" style="142" bestFit="1" customWidth="1"/>
    <col min="8469" max="8469" width="8" style="142" customWidth="1"/>
    <col min="8470" max="8470" width="10.83203125" style="142" bestFit="1" customWidth="1"/>
    <col min="8471" max="8471" width="12.27734375" style="142" bestFit="1" customWidth="1"/>
    <col min="8472" max="8472" width="8.1640625" style="142" bestFit="1" customWidth="1"/>
    <col min="8473" max="8473" width="10.83203125" style="142" bestFit="1" customWidth="1"/>
    <col min="8474" max="8474" width="12.27734375" style="142" bestFit="1" customWidth="1"/>
    <col min="8475" max="8475" width="18.27734375" style="142" bestFit="1" customWidth="1"/>
    <col min="8476" max="8476" width="10.83203125" style="142" bestFit="1" customWidth="1"/>
    <col min="8477" max="8712" width="8.83203125" style="142"/>
    <col min="8713" max="8713" width="38.27734375" style="142" customWidth="1"/>
    <col min="8714" max="8714" width="23.44140625" style="142" bestFit="1" customWidth="1"/>
    <col min="8715" max="8716" width="9.1640625" style="142" customWidth="1"/>
    <col min="8717" max="8717" width="11.27734375" style="142" bestFit="1" customWidth="1"/>
    <col min="8718" max="8718" width="14.44140625" style="142" bestFit="1" customWidth="1"/>
    <col min="8719" max="8719" width="8.1640625" style="142" customWidth="1"/>
    <col min="8720" max="8720" width="10.83203125" style="142" bestFit="1" customWidth="1"/>
    <col min="8721" max="8721" width="12.27734375" style="142" bestFit="1" customWidth="1"/>
    <col min="8722" max="8722" width="9.1640625" style="142" customWidth="1"/>
    <col min="8723" max="8723" width="10.83203125" style="142" bestFit="1" customWidth="1"/>
    <col min="8724" max="8724" width="12.27734375" style="142" bestFit="1" customWidth="1"/>
    <col min="8725" max="8725" width="8" style="142" customWidth="1"/>
    <col min="8726" max="8726" width="10.83203125" style="142" bestFit="1" customWidth="1"/>
    <col min="8727" max="8727" width="12.27734375" style="142" bestFit="1" customWidth="1"/>
    <col min="8728" max="8728" width="8.1640625" style="142" bestFit="1" customWidth="1"/>
    <col min="8729" max="8729" width="10.83203125" style="142" bestFit="1" customWidth="1"/>
    <col min="8730" max="8730" width="12.27734375" style="142" bestFit="1" customWidth="1"/>
    <col min="8731" max="8731" width="18.27734375" style="142" bestFit="1" customWidth="1"/>
    <col min="8732" max="8732" width="10.83203125" style="142" bestFit="1" customWidth="1"/>
    <col min="8733" max="8968" width="8.83203125" style="142"/>
    <col min="8969" max="8969" width="38.27734375" style="142" customWidth="1"/>
    <col min="8970" max="8970" width="23.44140625" style="142" bestFit="1" customWidth="1"/>
    <col min="8971" max="8972" width="9.1640625" style="142" customWidth="1"/>
    <col min="8973" max="8973" width="11.27734375" style="142" bestFit="1" customWidth="1"/>
    <col min="8974" max="8974" width="14.44140625" style="142" bestFit="1" customWidth="1"/>
    <col min="8975" max="8975" width="8.1640625" style="142" customWidth="1"/>
    <col min="8976" max="8976" width="10.83203125" style="142" bestFit="1" customWidth="1"/>
    <col min="8977" max="8977" width="12.27734375" style="142" bestFit="1" customWidth="1"/>
    <col min="8978" max="8978" width="9.1640625" style="142" customWidth="1"/>
    <col min="8979" max="8979" width="10.83203125" style="142" bestFit="1" customWidth="1"/>
    <col min="8980" max="8980" width="12.27734375" style="142" bestFit="1" customWidth="1"/>
    <col min="8981" max="8981" width="8" style="142" customWidth="1"/>
    <col min="8982" max="8982" width="10.83203125" style="142" bestFit="1" customWidth="1"/>
    <col min="8983" max="8983" width="12.27734375" style="142" bestFit="1" customWidth="1"/>
    <col min="8984" max="8984" width="8.1640625" style="142" bestFit="1" customWidth="1"/>
    <col min="8985" max="8985" width="10.83203125" style="142" bestFit="1" customWidth="1"/>
    <col min="8986" max="8986" width="12.27734375" style="142" bestFit="1" customWidth="1"/>
    <col min="8987" max="8987" width="18.27734375" style="142" bestFit="1" customWidth="1"/>
    <col min="8988" max="8988" width="10.83203125" style="142" bestFit="1" customWidth="1"/>
    <col min="8989" max="9224" width="8.83203125" style="142"/>
    <col min="9225" max="9225" width="38.27734375" style="142" customWidth="1"/>
    <col min="9226" max="9226" width="23.44140625" style="142" bestFit="1" customWidth="1"/>
    <col min="9227" max="9228" width="9.1640625" style="142" customWidth="1"/>
    <col min="9229" max="9229" width="11.27734375" style="142" bestFit="1" customWidth="1"/>
    <col min="9230" max="9230" width="14.44140625" style="142" bestFit="1" customWidth="1"/>
    <col min="9231" max="9231" width="8.1640625" style="142" customWidth="1"/>
    <col min="9232" max="9232" width="10.83203125" style="142" bestFit="1" customWidth="1"/>
    <col min="9233" max="9233" width="12.27734375" style="142" bestFit="1" customWidth="1"/>
    <col min="9234" max="9234" width="9.1640625" style="142" customWidth="1"/>
    <col min="9235" max="9235" width="10.83203125" style="142" bestFit="1" customWidth="1"/>
    <col min="9236" max="9236" width="12.27734375" style="142" bestFit="1" customWidth="1"/>
    <col min="9237" max="9237" width="8" style="142" customWidth="1"/>
    <col min="9238" max="9238" width="10.83203125" style="142" bestFit="1" customWidth="1"/>
    <col min="9239" max="9239" width="12.27734375" style="142" bestFit="1" customWidth="1"/>
    <col min="9240" max="9240" width="8.1640625" style="142" bestFit="1" customWidth="1"/>
    <col min="9241" max="9241" width="10.83203125" style="142" bestFit="1" customWidth="1"/>
    <col min="9242" max="9242" width="12.27734375" style="142" bestFit="1" customWidth="1"/>
    <col min="9243" max="9243" width="18.27734375" style="142" bestFit="1" customWidth="1"/>
    <col min="9244" max="9244" width="10.83203125" style="142" bestFit="1" customWidth="1"/>
    <col min="9245" max="9480" width="8.83203125" style="142"/>
    <col min="9481" max="9481" width="38.27734375" style="142" customWidth="1"/>
    <col min="9482" max="9482" width="23.44140625" style="142" bestFit="1" customWidth="1"/>
    <col min="9483" max="9484" width="9.1640625" style="142" customWidth="1"/>
    <col min="9485" max="9485" width="11.27734375" style="142" bestFit="1" customWidth="1"/>
    <col min="9486" max="9486" width="14.44140625" style="142" bestFit="1" customWidth="1"/>
    <col min="9487" max="9487" width="8.1640625" style="142" customWidth="1"/>
    <col min="9488" max="9488" width="10.83203125" style="142" bestFit="1" customWidth="1"/>
    <col min="9489" max="9489" width="12.27734375" style="142" bestFit="1" customWidth="1"/>
    <col min="9490" max="9490" width="9.1640625" style="142" customWidth="1"/>
    <col min="9491" max="9491" width="10.83203125" style="142" bestFit="1" customWidth="1"/>
    <col min="9492" max="9492" width="12.27734375" style="142" bestFit="1" customWidth="1"/>
    <col min="9493" max="9493" width="8" style="142" customWidth="1"/>
    <col min="9494" max="9494" width="10.83203125" style="142" bestFit="1" customWidth="1"/>
    <col min="9495" max="9495" width="12.27734375" style="142" bestFit="1" customWidth="1"/>
    <col min="9496" max="9496" width="8.1640625" style="142" bestFit="1" customWidth="1"/>
    <col min="9497" max="9497" width="10.83203125" style="142" bestFit="1" customWidth="1"/>
    <col min="9498" max="9498" width="12.27734375" style="142" bestFit="1" customWidth="1"/>
    <col min="9499" max="9499" width="18.27734375" style="142" bestFit="1" customWidth="1"/>
    <col min="9500" max="9500" width="10.83203125" style="142" bestFit="1" customWidth="1"/>
    <col min="9501" max="9736" width="8.83203125" style="142"/>
    <col min="9737" max="9737" width="38.27734375" style="142" customWidth="1"/>
    <col min="9738" max="9738" width="23.44140625" style="142" bestFit="1" customWidth="1"/>
    <col min="9739" max="9740" width="9.1640625" style="142" customWidth="1"/>
    <col min="9741" max="9741" width="11.27734375" style="142" bestFit="1" customWidth="1"/>
    <col min="9742" max="9742" width="14.44140625" style="142" bestFit="1" customWidth="1"/>
    <col min="9743" max="9743" width="8.1640625" style="142" customWidth="1"/>
    <col min="9744" max="9744" width="10.83203125" style="142" bestFit="1" customWidth="1"/>
    <col min="9745" max="9745" width="12.27734375" style="142" bestFit="1" customWidth="1"/>
    <col min="9746" max="9746" width="9.1640625" style="142" customWidth="1"/>
    <col min="9747" max="9747" width="10.83203125" style="142" bestFit="1" customWidth="1"/>
    <col min="9748" max="9748" width="12.27734375" style="142" bestFit="1" customWidth="1"/>
    <col min="9749" max="9749" width="8" style="142" customWidth="1"/>
    <col min="9750" max="9750" width="10.83203125" style="142" bestFit="1" customWidth="1"/>
    <col min="9751" max="9751" width="12.27734375" style="142" bestFit="1" customWidth="1"/>
    <col min="9752" max="9752" width="8.1640625" style="142" bestFit="1" customWidth="1"/>
    <col min="9753" max="9753" width="10.83203125" style="142" bestFit="1" customWidth="1"/>
    <col min="9754" max="9754" width="12.27734375" style="142" bestFit="1" customWidth="1"/>
    <col min="9755" max="9755" width="18.27734375" style="142" bestFit="1" customWidth="1"/>
    <col min="9756" max="9756" width="10.83203125" style="142" bestFit="1" customWidth="1"/>
    <col min="9757" max="9992" width="8.83203125" style="142"/>
    <col min="9993" max="9993" width="38.27734375" style="142" customWidth="1"/>
    <col min="9994" max="9994" width="23.44140625" style="142" bestFit="1" customWidth="1"/>
    <col min="9995" max="9996" width="9.1640625" style="142" customWidth="1"/>
    <col min="9997" max="9997" width="11.27734375" style="142" bestFit="1" customWidth="1"/>
    <col min="9998" max="9998" width="14.44140625" style="142" bestFit="1" customWidth="1"/>
    <col min="9999" max="9999" width="8.1640625" style="142" customWidth="1"/>
    <col min="10000" max="10000" width="10.83203125" style="142" bestFit="1" customWidth="1"/>
    <col min="10001" max="10001" width="12.27734375" style="142" bestFit="1" customWidth="1"/>
    <col min="10002" max="10002" width="9.1640625" style="142" customWidth="1"/>
    <col min="10003" max="10003" width="10.83203125" style="142" bestFit="1" customWidth="1"/>
    <col min="10004" max="10004" width="12.27734375" style="142" bestFit="1" customWidth="1"/>
    <col min="10005" max="10005" width="8" style="142" customWidth="1"/>
    <col min="10006" max="10006" width="10.83203125" style="142" bestFit="1" customWidth="1"/>
    <col min="10007" max="10007" width="12.27734375" style="142" bestFit="1" customWidth="1"/>
    <col min="10008" max="10008" width="8.1640625" style="142" bestFit="1" customWidth="1"/>
    <col min="10009" max="10009" width="10.83203125" style="142" bestFit="1" customWidth="1"/>
    <col min="10010" max="10010" width="12.27734375" style="142" bestFit="1" customWidth="1"/>
    <col min="10011" max="10011" width="18.27734375" style="142" bestFit="1" customWidth="1"/>
    <col min="10012" max="10012" width="10.83203125" style="142" bestFit="1" customWidth="1"/>
    <col min="10013" max="10248" width="8.83203125" style="142"/>
    <col min="10249" max="10249" width="38.27734375" style="142" customWidth="1"/>
    <col min="10250" max="10250" width="23.44140625" style="142" bestFit="1" customWidth="1"/>
    <col min="10251" max="10252" width="9.1640625" style="142" customWidth="1"/>
    <col min="10253" max="10253" width="11.27734375" style="142" bestFit="1" customWidth="1"/>
    <col min="10254" max="10254" width="14.44140625" style="142" bestFit="1" customWidth="1"/>
    <col min="10255" max="10255" width="8.1640625" style="142" customWidth="1"/>
    <col min="10256" max="10256" width="10.83203125" style="142" bestFit="1" customWidth="1"/>
    <col min="10257" max="10257" width="12.27734375" style="142" bestFit="1" customWidth="1"/>
    <col min="10258" max="10258" width="9.1640625" style="142" customWidth="1"/>
    <col min="10259" max="10259" width="10.83203125" style="142" bestFit="1" customWidth="1"/>
    <col min="10260" max="10260" width="12.27734375" style="142" bestFit="1" customWidth="1"/>
    <col min="10261" max="10261" width="8" style="142" customWidth="1"/>
    <col min="10262" max="10262" width="10.83203125" style="142" bestFit="1" customWidth="1"/>
    <col min="10263" max="10263" width="12.27734375" style="142" bestFit="1" customWidth="1"/>
    <col min="10264" max="10264" width="8.1640625" style="142" bestFit="1" customWidth="1"/>
    <col min="10265" max="10265" width="10.83203125" style="142" bestFit="1" customWidth="1"/>
    <col min="10266" max="10266" width="12.27734375" style="142" bestFit="1" customWidth="1"/>
    <col min="10267" max="10267" width="18.27734375" style="142" bestFit="1" customWidth="1"/>
    <col min="10268" max="10268" width="10.83203125" style="142" bestFit="1" customWidth="1"/>
    <col min="10269" max="10504" width="8.83203125" style="142"/>
    <col min="10505" max="10505" width="38.27734375" style="142" customWidth="1"/>
    <col min="10506" max="10506" width="23.44140625" style="142" bestFit="1" customWidth="1"/>
    <col min="10507" max="10508" width="9.1640625" style="142" customWidth="1"/>
    <col min="10509" max="10509" width="11.27734375" style="142" bestFit="1" customWidth="1"/>
    <col min="10510" max="10510" width="14.44140625" style="142" bestFit="1" customWidth="1"/>
    <col min="10511" max="10511" width="8.1640625" style="142" customWidth="1"/>
    <col min="10512" max="10512" width="10.83203125" style="142" bestFit="1" customWidth="1"/>
    <col min="10513" max="10513" width="12.27734375" style="142" bestFit="1" customWidth="1"/>
    <col min="10514" max="10514" width="9.1640625" style="142" customWidth="1"/>
    <col min="10515" max="10515" width="10.83203125" style="142" bestFit="1" customWidth="1"/>
    <col min="10516" max="10516" width="12.27734375" style="142" bestFit="1" customWidth="1"/>
    <col min="10517" max="10517" width="8" style="142" customWidth="1"/>
    <col min="10518" max="10518" width="10.83203125" style="142" bestFit="1" customWidth="1"/>
    <col min="10519" max="10519" width="12.27734375" style="142" bestFit="1" customWidth="1"/>
    <col min="10520" max="10520" width="8.1640625" style="142" bestFit="1" customWidth="1"/>
    <col min="10521" max="10521" width="10.83203125" style="142" bestFit="1" customWidth="1"/>
    <col min="10522" max="10522" width="12.27734375" style="142" bestFit="1" customWidth="1"/>
    <col min="10523" max="10523" width="18.27734375" style="142" bestFit="1" customWidth="1"/>
    <col min="10524" max="10524" width="10.83203125" style="142" bestFit="1" customWidth="1"/>
    <col min="10525" max="10760" width="8.83203125" style="142"/>
    <col min="10761" max="10761" width="38.27734375" style="142" customWidth="1"/>
    <col min="10762" max="10762" width="23.44140625" style="142" bestFit="1" customWidth="1"/>
    <col min="10763" max="10764" width="9.1640625" style="142" customWidth="1"/>
    <col min="10765" max="10765" width="11.27734375" style="142" bestFit="1" customWidth="1"/>
    <col min="10766" max="10766" width="14.44140625" style="142" bestFit="1" customWidth="1"/>
    <col min="10767" max="10767" width="8.1640625" style="142" customWidth="1"/>
    <col min="10768" max="10768" width="10.83203125" style="142" bestFit="1" customWidth="1"/>
    <col min="10769" max="10769" width="12.27734375" style="142" bestFit="1" customWidth="1"/>
    <col min="10770" max="10770" width="9.1640625" style="142" customWidth="1"/>
    <col min="10771" max="10771" width="10.83203125" style="142" bestFit="1" customWidth="1"/>
    <col min="10772" max="10772" width="12.27734375" style="142" bestFit="1" customWidth="1"/>
    <col min="10773" max="10773" width="8" style="142" customWidth="1"/>
    <col min="10774" max="10774" width="10.83203125" style="142" bestFit="1" customWidth="1"/>
    <col min="10775" max="10775" width="12.27734375" style="142" bestFit="1" customWidth="1"/>
    <col min="10776" max="10776" width="8.1640625" style="142" bestFit="1" customWidth="1"/>
    <col min="10777" max="10777" width="10.83203125" style="142" bestFit="1" customWidth="1"/>
    <col min="10778" max="10778" width="12.27734375" style="142" bestFit="1" customWidth="1"/>
    <col min="10779" max="10779" width="18.27734375" style="142" bestFit="1" customWidth="1"/>
    <col min="10780" max="10780" width="10.83203125" style="142" bestFit="1" customWidth="1"/>
    <col min="10781" max="11016" width="8.83203125" style="142"/>
    <col min="11017" max="11017" width="38.27734375" style="142" customWidth="1"/>
    <col min="11018" max="11018" width="23.44140625" style="142" bestFit="1" customWidth="1"/>
    <col min="11019" max="11020" width="9.1640625" style="142" customWidth="1"/>
    <col min="11021" max="11021" width="11.27734375" style="142" bestFit="1" customWidth="1"/>
    <col min="11022" max="11022" width="14.44140625" style="142" bestFit="1" customWidth="1"/>
    <col min="11023" max="11023" width="8.1640625" style="142" customWidth="1"/>
    <col min="11024" max="11024" width="10.83203125" style="142" bestFit="1" customWidth="1"/>
    <col min="11025" max="11025" width="12.27734375" style="142" bestFit="1" customWidth="1"/>
    <col min="11026" max="11026" width="9.1640625" style="142" customWidth="1"/>
    <col min="11027" max="11027" width="10.83203125" style="142" bestFit="1" customWidth="1"/>
    <col min="11028" max="11028" width="12.27734375" style="142" bestFit="1" customWidth="1"/>
    <col min="11029" max="11029" width="8" style="142" customWidth="1"/>
    <col min="11030" max="11030" width="10.83203125" style="142" bestFit="1" customWidth="1"/>
    <col min="11031" max="11031" width="12.27734375" style="142" bestFit="1" customWidth="1"/>
    <col min="11032" max="11032" width="8.1640625" style="142" bestFit="1" customWidth="1"/>
    <col min="11033" max="11033" width="10.83203125" style="142" bestFit="1" customWidth="1"/>
    <col min="11034" max="11034" width="12.27734375" style="142" bestFit="1" customWidth="1"/>
    <col min="11035" max="11035" width="18.27734375" style="142" bestFit="1" customWidth="1"/>
    <col min="11036" max="11036" width="10.83203125" style="142" bestFit="1" customWidth="1"/>
    <col min="11037" max="11272" width="8.83203125" style="142"/>
    <col min="11273" max="11273" width="38.27734375" style="142" customWidth="1"/>
    <col min="11274" max="11274" width="23.44140625" style="142" bestFit="1" customWidth="1"/>
    <col min="11275" max="11276" width="9.1640625" style="142" customWidth="1"/>
    <col min="11277" max="11277" width="11.27734375" style="142" bestFit="1" customWidth="1"/>
    <col min="11278" max="11278" width="14.44140625" style="142" bestFit="1" customWidth="1"/>
    <col min="11279" max="11279" width="8.1640625" style="142" customWidth="1"/>
    <col min="11280" max="11280" width="10.83203125" style="142" bestFit="1" customWidth="1"/>
    <col min="11281" max="11281" width="12.27734375" style="142" bestFit="1" customWidth="1"/>
    <col min="11282" max="11282" width="9.1640625" style="142" customWidth="1"/>
    <col min="11283" max="11283" width="10.83203125" style="142" bestFit="1" customWidth="1"/>
    <col min="11284" max="11284" width="12.27734375" style="142" bestFit="1" customWidth="1"/>
    <col min="11285" max="11285" width="8" style="142" customWidth="1"/>
    <col min="11286" max="11286" width="10.83203125" style="142" bestFit="1" customWidth="1"/>
    <col min="11287" max="11287" width="12.27734375" style="142" bestFit="1" customWidth="1"/>
    <col min="11288" max="11288" width="8.1640625" style="142" bestFit="1" customWidth="1"/>
    <col min="11289" max="11289" width="10.83203125" style="142" bestFit="1" customWidth="1"/>
    <col min="11290" max="11290" width="12.27734375" style="142" bestFit="1" customWidth="1"/>
    <col min="11291" max="11291" width="18.27734375" style="142" bestFit="1" customWidth="1"/>
    <col min="11292" max="11292" width="10.83203125" style="142" bestFit="1" customWidth="1"/>
    <col min="11293" max="11528" width="8.83203125" style="142"/>
    <col min="11529" max="11529" width="38.27734375" style="142" customWidth="1"/>
    <col min="11530" max="11530" width="23.44140625" style="142" bestFit="1" customWidth="1"/>
    <col min="11531" max="11532" width="9.1640625" style="142" customWidth="1"/>
    <col min="11533" max="11533" width="11.27734375" style="142" bestFit="1" customWidth="1"/>
    <col min="11534" max="11534" width="14.44140625" style="142" bestFit="1" customWidth="1"/>
    <col min="11535" max="11535" width="8.1640625" style="142" customWidth="1"/>
    <col min="11536" max="11536" width="10.83203125" style="142" bestFit="1" customWidth="1"/>
    <col min="11537" max="11537" width="12.27734375" style="142" bestFit="1" customWidth="1"/>
    <col min="11538" max="11538" width="9.1640625" style="142" customWidth="1"/>
    <col min="11539" max="11539" width="10.83203125" style="142" bestFit="1" customWidth="1"/>
    <col min="11540" max="11540" width="12.27734375" style="142" bestFit="1" customWidth="1"/>
    <col min="11541" max="11541" width="8" style="142" customWidth="1"/>
    <col min="11542" max="11542" width="10.83203125" style="142" bestFit="1" customWidth="1"/>
    <col min="11543" max="11543" width="12.27734375" style="142" bestFit="1" customWidth="1"/>
    <col min="11544" max="11544" width="8.1640625" style="142" bestFit="1" customWidth="1"/>
    <col min="11545" max="11545" width="10.83203125" style="142" bestFit="1" customWidth="1"/>
    <col min="11546" max="11546" width="12.27734375" style="142" bestFit="1" customWidth="1"/>
    <col min="11547" max="11547" width="18.27734375" style="142" bestFit="1" customWidth="1"/>
    <col min="11548" max="11548" width="10.83203125" style="142" bestFit="1" customWidth="1"/>
    <col min="11549" max="11784" width="8.83203125" style="142"/>
    <col min="11785" max="11785" width="38.27734375" style="142" customWidth="1"/>
    <col min="11786" max="11786" width="23.44140625" style="142" bestFit="1" customWidth="1"/>
    <col min="11787" max="11788" width="9.1640625" style="142" customWidth="1"/>
    <col min="11789" max="11789" width="11.27734375" style="142" bestFit="1" customWidth="1"/>
    <col min="11790" max="11790" width="14.44140625" style="142" bestFit="1" customWidth="1"/>
    <col min="11791" max="11791" width="8.1640625" style="142" customWidth="1"/>
    <col min="11792" max="11792" width="10.83203125" style="142" bestFit="1" customWidth="1"/>
    <col min="11793" max="11793" width="12.27734375" style="142" bestFit="1" customWidth="1"/>
    <col min="11794" max="11794" width="9.1640625" style="142" customWidth="1"/>
    <col min="11795" max="11795" width="10.83203125" style="142" bestFit="1" customWidth="1"/>
    <col min="11796" max="11796" width="12.27734375" style="142" bestFit="1" customWidth="1"/>
    <col min="11797" max="11797" width="8" style="142" customWidth="1"/>
    <col min="11798" max="11798" width="10.83203125" style="142" bestFit="1" customWidth="1"/>
    <col min="11799" max="11799" width="12.27734375" style="142" bestFit="1" customWidth="1"/>
    <col min="11800" max="11800" width="8.1640625" style="142" bestFit="1" customWidth="1"/>
    <col min="11801" max="11801" width="10.83203125" style="142" bestFit="1" customWidth="1"/>
    <col min="11802" max="11802" width="12.27734375" style="142" bestFit="1" customWidth="1"/>
    <col min="11803" max="11803" width="18.27734375" style="142" bestFit="1" customWidth="1"/>
    <col min="11804" max="11804" width="10.83203125" style="142" bestFit="1" customWidth="1"/>
    <col min="11805" max="12040" width="8.83203125" style="142"/>
    <col min="12041" max="12041" width="38.27734375" style="142" customWidth="1"/>
    <col min="12042" max="12042" width="23.44140625" style="142" bestFit="1" customWidth="1"/>
    <col min="12043" max="12044" width="9.1640625" style="142" customWidth="1"/>
    <col min="12045" max="12045" width="11.27734375" style="142" bestFit="1" customWidth="1"/>
    <col min="12046" max="12046" width="14.44140625" style="142" bestFit="1" customWidth="1"/>
    <col min="12047" max="12047" width="8.1640625" style="142" customWidth="1"/>
    <col min="12048" max="12048" width="10.83203125" style="142" bestFit="1" customWidth="1"/>
    <col min="12049" max="12049" width="12.27734375" style="142" bestFit="1" customWidth="1"/>
    <col min="12050" max="12050" width="9.1640625" style="142" customWidth="1"/>
    <col min="12051" max="12051" width="10.83203125" style="142" bestFit="1" customWidth="1"/>
    <col min="12052" max="12052" width="12.27734375" style="142" bestFit="1" customWidth="1"/>
    <col min="12053" max="12053" width="8" style="142" customWidth="1"/>
    <col min="12054" max="12054" width="10.83203125" style="142" bestFit="1" customWidth="1"/>
    <col min="12055" max="12055" width="12.27734375" style="142" bestFit="1" customWidth="1"/>
    <col min="12056" max="12056" width="8.1640625" style="142" bestFit="1" customWidth="1"/>
    <col min="12057" max="12057" width="10.83203125" style="142" bestFit="1" customWidth="1"/>
    <col min="12058" max="12058" width="12.27734375" style="142" bestFit="1" customWidth="1"/>
    <col min="12059" max="12059" width="18.27734375" style="142" bestFit="1" customWidth="1"/>
    <col min="12060" max="12060" width="10.83203125" style="142" bestFit="1" customWidth="1"/>
    <col min="12061" max="12296" width="8.83203125" style="142"/>
    <col min="12297" max="12297" width="38.27734375" style="142" customWidth="1"/>
    <col min="12298" max="12298" width="23.44140625" style="142" bestFit="1" customWidth="1"/>
    <col min="12299" max="12300" width="9.1640625" style="142" customWidth="1"/>
    <col min="12301" max="12301" width="11.27734375" style="142" bestFit="1" customWidth="1"/>
    <col min="12302" max="12302" width="14.44140625" style="142" bestFit="1" customWidth="1"/>
    <col min="12303" max="12303" width="8.1640625" style="142" customWidth="1"/>
    <col min="12304" max="12304" width="10.83203125" style="142" bestFit="1" customWidth="1"/>
    <col min="12305" max="12305" width="12.27734375" style="142" bestFit="1" customWidth="1"/>
    <col min="12306" max="12306" width="9.1640625" style="142" customWidth="1"/>
    <col min="12307" max="12307" width="10.83203125" style="142" bestFit="1" customWidth="1"/>
    <col min="12308" max="12308" width="12.27734375" style="142" bestFit="1" customWidth="1"/>
    <col min="12309" max="12309" width="8" style="142" customWidth="1"/>
    <col min="12310" max="12310" width="10.83203125" style="142" bestFit="1" customWidth="1"/>
    <col min="12311" max="12311" width="12.27734375" style="142" bestFit="1" customWidth="1"/>
    <col min="12312" max="12312" width="8.1640625" style="142" bestFit="1" customWidth="1"/>
    <col min="12313" max="12313" width="10.83203125" style="142" bestFit="1" customWidth="1"/>
    <col min="12314" max="12314" width="12.27734375" style="142" bestFit="1" customWidth="1"/>
    <col min="12315" max="12315" width="18.27734375" style="142" bestFit="1" customWidth="1"/>
    <col min="12316" max="12316" width="10.83203125" style="142" bestFit="1" customWidth="1"/>
    <col min="12317" max="12552" width="8.83203125" style="142"/>
    <col min="12553" max="12553" width="38.27734375" style="142" customWidth="1"/>
    <col min="12554" max="12554" width="23.44140625" style="142" bestFit="1" customWidth="1"/>
    <col min="12555" max="12556" width="9.1640625" style="142" customWidth="1"/>
    <col min="12557" max="12557" width="11.27734375" style="142" bestFit="1" customWidth="1"/>
    <col min="12558" max="12558" width="14.44140625" style="142" bestFit="1" customWidth="1"/>
    <col min="12559" max="12559" width="8.1640625" style="142" customWidth="1"/>
    <col min="12560" max="12560" width="10.83203125" style="142" bestFit="1" customWidth="1"/>
    <col min="12561" max="12561" width="12.27734375" style="142" bestFit="1" customWidth="1"/>
    <col min="12562" max="12562" width="9.1640625" style="142" customWidth="1"/>
    <col min="12563" max="12563" width="10.83203125" style="142" bestFit="1" customWidth="1"/>
    <col min="12564" max="12564" width="12.27734375" style="142" bestFit="1" customWidth="1"/>
    <col min="12565" max="12565" width="8" style="142" customWidth="1"/>
    <col min="12566" max="12566" width="10.83203125" style="142" bestFit="1" customWidth="1"/>
    <col min="12567" max="12567" width="12.27734375" style="142" bestFit="1" customWidth="1"/>
    <col min="12568" max="12568" width="8.1640625" style="142" bestFit="1" customWidth="1"/>
    <col min="12569" max="12569" width="10.83203125" style="142" bestFit="1" customWidth="1"/>
    <col min="12570" max="12570" width="12.27734375" style="142" bestFit="1" customWidth="1"/>
    <col min="12571" max="12571" width="18.27734375" style="142" bestFit="1" customWidth="1"/>
    <col min="12572" max="12572" width="10.83203125" style="142" bestFit="1" customWidth="1"/>
    <col min="12573" max="12808" width="8.83203125" style="142"/>
    <col min="12809" max="12809" width="38.27734375" style="142" customWidth="1"/>
    <col min="12810" max="12810" width="23.44140625" style="142" bestFit="1" customWidth="1"/>
    <col min="12811" max="12812" width="9.1640625" style="142" customWidth="1"/>
    <col min="12813" max="12813" width="11.27734375" style="142" bestFit="1" customWidth="1"/>
    <col min="12814" max="12814" width="14.44140625" style="142" bestFit="1" customWidth="1"/>
    <col min="12815" max="12815" width="8.1640625" style="142" customWidth="1"/>
    <col min="12816" max="12816" width="10.83203125" style="142" bestFit="1" customWidth="1"/>
    <col min="12817" max="12817" width="12.27734375" style="142" bestFit="1" customWidth="1"/>
    <col min="12818" max="12818" width="9.1640625" style="142" customWidth="1"/>
    <col min="12819" max="12819" width="10.83203125" style="142" bestFit="1" customWidth="1"/>
    <col min="12820" max="12820" width="12.27734375" style="142" bestFit="1" customWidth="1"/>
    <col min="12821" max="12821" width="8" style="142" customWidth="1"/>
    <col min="12822" max="12822" width="10.83203125" style="142" bestFit="1" customWidth="1"/>
    <col min="12823" max="12823" width="12.27734375" style="142" bestFit="1" customWidth="1"/>
    <col min="12824" max="12824" width="8.1640625" style="142" bestFit="1" customWidth="1"/>
    <col min="12825" max="12825" width="10.83203125" style="142" bestFit="1" customWidth="1"/>
    <col min="12826" max="12826" width="12.27734375" style="142" bestFit="1" customWidth="1"/>
    <col min="12827" max="12827" width="18.27734375" style="142" bestFit="1" customWidth="1"/>
    <col min="12828" max="12828" width="10.83203125" style="142" bestFit="1" customWidth="1"/>
    <col min="12829" max="13064" width="8.83203125" style="142"/>
    <col min="13065" max="13065" width="38.27734375" style="142" customWidth="1"/>
    <col min="13066" max="13066" width="23.44140625" style="142" bestFit="1" customWidth="1"/>
    <col min="13067" max="13068" width="9.1640625" style="142" customWidth="1"/>
    <col min="13069" max="13069" width="11.27734375" style="142" bestFit="1" customWidth="1"/>
    <col min="13070" max="13070" width="14.44140625" style="142" bestFit="1" customWidth="1"/>
    <col min="13071" max="13071" width="8.1640625" style="142" customWidth="1"/>
    <col min="13072" max="13072" width="10.83203125" style="142" bestFit="1" customWidth="1"/>
    <col min="13073" max="13073" width="12.27734375" style="142" bestFit="1" customWidth="1"/>
    <col min="13074" max="13074" width="9.1640625" style="142" customWidth="1"/>
    <col min="13075" max="13075" width="10.83203125" style="142" bestFit="1" customWidth="1"/>
    <col min="13076" max="13076" width="12.27734375" style="142" bestFit="1" customWidth="1"/>
    <col min="13077" max="13077" width="8" style="142" customWidth="1"/>
    <col min="13078" max="13078" width="10.83203125" style="142" bestFit="1" customWidth="1"/>
    <col min="13079" max="13079" width="12.27734375" style="142" bestFit="1" customWidth="1"/>
    <col min="13080" max="13080" width="8.1640625" style="142" bestFit="1" customWidth="1"/>
    <col min="13081" max="13081" width="10.83203125" style="142" bestFit="1" customWidth="1"/>
    <col min="13082" max="13082" width="12.27734375" style="142" bestFit="1" customWidth="1"/>
    <col min="13083" max="13083" width="18.27734375" style="142" bestFit="1" customWidth="1"/>
    <col min="13084" max="13084" width="10.83203125" style="142" bestFit="1" customWidth="1"/>
    <col min="13085" max="13320" width="8.83203125" style="142"/>
    <col min="13321" max="13321" width="38.27734375" style="142" customWidth="1"/>
    <col min="13322" max="13322" width="23.44140625" style="142" bestFit="1" customWidth="1"/>
    <col min="13323" max="13324" width="9.1640625" style="142" customWidth="1"/>
    <col min="13325" max="13325" width="11.27734375" style="142" bestFit="1" customWidth="1"/>
    <col min="13326" max="13326" width="14.44140625" style="142" bestFit="1" customWidth="1"/>
    <col min="13327" max="13327" width="8.1640625" style="142" customWidth="1"/>
    <col min="13328" max="13328" width="10.83203125" style="142" bestFit="1" customWidth="1"/>
    <col min="13329" max="13329" width="12.27734375" style="142" bestFit="1" customWidth="1"/>
    <col min="13330" max="13330" width="9.1640625" style="142" customWidth="1"/>
    <col min="13331" max="13331" width="10.83203125" style="142" bestFit="1" customWidth="1"/>
    <col min="13332" max="13332" width="12.27734375" style="142" bestFit="1" customWidth="1"/>
    <col min="13333" max="13333" width="8" style="142" customWidth="1"/>
    <col min="13334" max="13334" width="10.83203125" style="142" bestFit="1" customWidth="1"/>
    <col min="13335" max="13335" width="12.27734375" style="142" bestFit="1" customWidth="1"/>
    <col min="13336" max="13336" width="8.1640625" style="142" bestFit="1" customWidth="1"/>
    <col min="13337" max="13337" width="10.83203125" style="142" bestFit="1" customWidth="1"/>
    <col min="13338" max="13338" width="12.27734375" style="142" bestFit="1" customWidth="1"/>
    <col min="13339" max="13339" width="18.27734375" style="142" bestFit="1" customWidth="1"/>
    <col min="13340" max="13340" width="10.83203125" style="142" bestFit="1" customWidth="1"/>
    <col min="13341" max="13576" width="8.83203125" style="142"/>
    <col min="13577" max="13577" width="38.27734375" style="142" customWidth="1"/>
    <col min="13578" max="13578" width="23.44140625" style="142" bestFit="1" customWidth="1"/>
    <col min="13579" max="13580" width="9.1640625" style="142" customWidth="1"/>
    <col min="13581" max="13581" width="11.27734375" style="142" bestFit="1" customWidth="1"/>
    <col min="13582" max="13582" width="14.44140625" style="142" bestFit="1" customWidth="1"/>
    <col min="13583" max="13583" width="8.1640625" style="142" customWidth="1"/>
    <col min="13584" max="13584" width="10.83203125" style="142" bestFit="1" customWidth="1"/>
    <col min="13585" max="13585" width="12.27734375" style="142" bestFit="1" customWidth="1"/>
    <col min="13586" max="13586" width="9.1640625" style="142" customWidth="1"/>
    <col min="13587" max="13587" width="10.83203125" style="142" bestFit="1" customWidth="1"/>
    <col min="13588" max="13588" width="12.27734375" style="142" bestFit="1" customWidth="1"/>
    <col min="13589" max="13589" width="8" style="142" customWidth="1"/>
    <col min="13590" max="13590" width="10.83203125" style="142" bestFit="1" customWidth="1"/>
    <col min="13591" max="13591" width="12.27734375" style="142" bestFit="1" customWidth="1"/>
    <col min="13592" max="13592" width="8.1640625" style="142" bestFit="1" customWidth="1"/>
    <col min="13593" max="13593" width="10.83203125" style="142" bestFit="1" customWidth="1"/>
    <col min="13594" max="13594" width="12.27734375" style="142" bestFit="1" customWidth="1"/>
    <col min="13595" max="13595" width="18.27734375" style="142" bestFit="1" customWidth="1"/>
    <col min="13596" max="13596" width="10.83203125" style="142" bestFit="1" customWidth="1"/>
    <col min="13597" max="13832" width="8.83203125" style="142"/>
    <col min="13833" max="13833" width="38.27734375" style="142" customWidth="1"/>
    <col min="13834" max="13834" width="23.44140625" style="142" bestFit="1" customWidth="1"/>
    <col min="13835" max="13836" width="9.1640625" style="142" customWidth="1"/>
    <col min="13837" max="13837" width="11.27734375" style="142" bestFit="1" customWidth="1"/>
    <col min="13838" max="13838" width="14.44140625" style="142" bestFit="1" customWidth="1"/>
    <col min="13839" max="13839" width="8.1640625" style="142" customWidth="1"/>
    <col min="13840" max="13840" width="10.83203125" style="142" bestFit="1" customWidth="1"/>
    <col min="13841" max="13841" width="12.27734375" style="142" bestFit="1" customWidth="1"/>
    <col min="13842" max="13842" width="9.1640625" style="142" customWidth="1"/>
    <col min="13843" max="13843" width="10.83203125" style="142" bestFit="1" customWidth="1"/>
    <col min="13844" max="13844" width="12.27734375" style="142" bestFit="1" customWidth="1"/>
    <col min="13845" max="13845" width="8" style="142" customWidth="1"/>
    <col min="13846" max="13846" width="10.83203125" style="142" bestFit="1" customWidth="1"/>
    <col min="13847" max="13847" width="12.27734375" style="142" bestFit="1" customWidth="1"/>
    <col min="13848" max="13848" width="8.1640625" style="142" bestFit="1" customWidth="1"/>
    <col min="13849" max="13849" width="10.83203125" style="142" bestFit="1" customWidth="1"/>
    <col min="13850" max="13850" width="12.27734375" style="142" bestFit="1" customWidth="1"/>
    <col min="13851" max="13851" width="18.27734375" style="142" bestFit="1" customWidth="1"/>
    <col min="13852" max="13852" width="10.83203125" style="142" bestFit="1" customWidth="1"/>
    <col min="13853" max="14088" width="8.83203125" style="142"/>
    <col min="14089" max="14089" width="38.27734375" style="142" customWidth="1"/>
    <col min="14090" max="14090" width="23.44140625" style="142" bestFit="1" customWidth="1"/>
    <col min="14091" max="14092" width="9.1640625" style="142" customWidth="1"/>
    <col min="14093" max="14093" width="11.27734375" style="142" bestFit="1" customWidth="1"/>
    <col min="14094" max="14094" width="14.44140625" style="142" bestFit="1" customWidth="1"/>
    <col min="14095" max="14095" width="8.1640625" style="142" customWidth="1"/>
    <col min="14096" max="14096" width="10.83203125" style="142" bestFit="1" customWidth="1"/>
    <col min="14097" max="14097" width="12.27734375" style="142" bestFit="1" customWidth="1"/>
    <col min="14098" max="14098" width="9.1640625" style="142" customWidth="1"/>
    <col min="14099" max="14099" width="10.83203125" style="142" bestFit="1" customWidth="1"/>
    <col min="14100" max="14100" width="12.27734375" style="142" bestFit="1" customWidth="1"/>
    <col min="14101" max="14101" width="8" style="142" customWidth="1"/>
    <col min="14102" max="14102" width="10.83203125" style="142" bestFit="1" customWidth="1"/>
    <col min="14103" max="14103" width="12.27734375" style="142" bestFit="1" customWidth="1"/>
    <col min="14104" max="14104" width="8.1640625" style="142" bestFit="1" customWidth="1"/>
    <col min="14105" max="14105" width="10.83203125" style="142" bestFit="1" customWidth="1"/>
    <col min="14106" max="14106" width="12.27734375" style="142" bestFit="1" customWidth="1"/>
    <col min="14107" max="14107" width="18.27734375" style="142" bestFit="1" customWidth="1"/>
    <col min="14108" max="14108" width="10.83203125" style="142" bestFit="1" customWidth="1"/>
    <col min="14109" max="14344" width="8.83203125" style="142"/>
    <col min="14345" max="14345" width="38.27734375" style="142" customWidth="1"/>
    <col min="14346" max="14346" width="23.44140625" style="142" bestFit="1" customWidth="1"/>
    <col min="14347" max="14348" width="9.1640625" style="142" customWidth="1"/>
    <col min="14349" max="14349" width="11.27734375" style="142" bestFit="1" customWidth="1"/>
    <col min="14350" max="14350" width="14.44140625" style="142" bestFit="1" customWidth="1"/>
    <col min="14351" max="14351" width="8.1640625" style="142" customWidth="1"/>
    <col min="14352" max="14352" width="10.83203125" style="142" bestFit="1" customWidth="1"/>
    <col min="14353" max="14353" width="12.27734375" style="142" bestFit="1" customWidth="1"/>
    <col min="14354" max="14354" width="9.1640625" style="142" customWidth="1"/>
    <col min="14355" max="14355" width="10.83203125" style="142" bestFit="1" customWidth="1"/>
    <col min="14356" max="14356" width="12.27734375" style="142" bestFit="1" customWidth="1"/>
    <col min="14357" max="14357" width="8" style="142" customWidth="1"/>
    <col min="14358" max="14358" width="10.83203125" style="142" bestFit="1" customWidth="1"/>
    <col min="14359" max="14359" width="12.27734375" style="142" bestFit="1" customWidth="1"/>
    <col min="14360" max="14360" width="8.1640625" style="142" bestFit="1" customWidth="1"/>
    <col min="14361" max="14361" width="10.83203125" style="142" bestFit="1" customWidth="1"/>
    <col min="14362" max="14362" width="12.27734375" style="142" bestFit="1" customWidth="1"/>
    <col min="14363" max="14363" width="18.27734375" style="142" bestFit="1" customWidth="1"/>
    <col min="14364" max="14364" width="10.83203125" style="142" bestFit="1" customWidth="1"/>
    <col min="14365" max="14600" width="8.83203125" style="142"/>
    <col min="14601" max="14601" width="38.27734375" style="142" customWidth="1"/>
    <col min="14602" max="14602" width="23.44140625" style="142" bestFit="1" customWidth="1"/>
    <col min="14603" max="14604" width="9.1640625" style="142" customWidth="1"/>
    <col min="14605" max="14605" width="11.27734375" style="142" bestFit="1" customWidth="1"/>
    <col min="14606" max="14606" width="14.44140625" style="142" bestFit="1" customWidth="1"/>
    <col min="14607" max="14607" width="8.1640625" style="142" customWidth="1"/>
    <col min="14608" max="14608" width="10.83203125" style="142" bestFit="1" customWidth="1"/>
    <col min="14609" max="14609" width="12.27734375" style="142" bestFit="1" customWidth="1"/>
    <col min="14610" max="14610" width="9.1640625" style="142" customWidth="1"/>
    <col min="14611" max="14611" width="10.83203125" style="142" bestFit="1" customWidth="1"/>
    <col min="14612" max="14612" width="12.27734375" style="142" bestFit="1" customWidth="1"/>
    <col min="14613" max="14613" width="8" style="142" customWidth="1"/>
    <col min="14614" max="14614" width="10.83203125" style="142" bestFit="1" customWidth="1"/>
    <col min="14615" max="14615" width="12.27734375" style="142" bestFit="1" customWidth="1"/>
    <col min="14616" max="14616" width="8.1640625" style="142" bestFit="1" customWidth="1"/>
    <col min="14617" max="14617" width="10.83203125" style="142" bestFit="1" customWidth="1"/>
    <col min="14618" max="14618" width="12.27734375" style="142" bestFit="1" customWidth="1"/>
    <col min="14619" max="14619" width="18.27734375" style="142" bestFit="1" customWidth="1"/>
    <col min="14620" max="14620" width="10.83203125" style="142" bestFit="1" customWidth="1"/>
    <col min="14621" max="14856" width="8.83203125" style="142"/>
    <col min="14857" max="14857" width="38.27734375" style="142" customWidth="1"/>
    <col min="14858" max="14858" width="23.44140625" style="142" bestFit="1" customWidth="1"/>
    <col min="14859" max="14860" width="9.1640625" style="142" customWidth="1"/>
    <col min="14861" max="14861" width="11.27734375" style="142" bestFit="1" customWidth="1"/>
    <col min="14862" max="14862" width="14.44140625" style="142" bestFit="1" customWidth="1"/>
    <col min="14863" max="14863" width="8.1640625" style="142" customWidth="1"/>
    <col min="14864" max="14864" width="10.83203125" style="142" bestFit="1" customWidth="1"/>
    <col min="14865" max="14865" width="12.27734375" style="142" bestFit="1" customWidth="1"/>
    <col min="14866" max="14866" width="9.1640625" style="142" customWidth="1"/>
    <col min="14867" max="14867" width="10.83203125" style="142" bestFit="1" customWidth="1"/>
    <col min="14868" max="14868" width="12.27734375" style="142" bestFit="1" customWidth="1"/>
    <col min="14869" max="14869" width="8" style="142" customWidth="1"/>
    <col min="14870" max="14870" width="10.83203125" style="142" bestFit="1" customWidth="1"/>
    <col min="14871" max="14871" width="12.27734375" style="142" bestFit="1" customWidth="1"/>
    <col min="14872" max="14872" width="8.1640625" style="142" bestFit="1" customWidth="1"/>
    <col min="14873" max="14873" width="10.83203125" style="142" bestFit="1" customWidth="1"/>
    <col min="14874" max="14874" width="12.27734375" style="142" bestFit="1" customWidth="1"/>
    <col min="14875" max="14875" width="18.27734375" style="142" bestFit="1" customWidth="1"/>
    <col min="14876" max="14876" width="10.83203125" style="142" bestFit="1" customWidth="1"/>
    <col min="14877" max="15112" width="8.83203125" style="142"/>
    <col min="15113" max="15113" width="38.27734375" style="142" customWidth="1"/>
    <col min="15114" max="15114" width="23.44140625" style="142" bestFit="1" customWidth="1"/>
    <col min="15115" max="15116" width="9.1640625" style="142" customWidth="1"/>
    <col min="15117" max="15117" width="11.27734375" style="142" bestFit="1" customWidth="1"/>
    <col min="15118" max="15118" width="14.44140625" style="142" bestFit="1" customWidth="1"/>
    <col min="15119" max="15119" width="8.1640625" style="142" customWidth="1"/>
    <col min="15120" max="15120" width="10.83203125" style="142" bestFit="1" customWidth="1"/>
    <col min="15121" max="15121" width="12.27734375" style="142" bestFit="1" customWidth="1"/>
    <col min="15122" max="15122" width="9.1640625" style="142" customWidth="1"/>
    <col min="15123" max="15123" width="10.83203125" style="142" bestFit="1" customWidth="1"/>
    <col min="15124" max="15124" width="12.27734375" style="142" bestFit="1" customWidth="1"/>
    <col min="15125" max="15125" width="8" style="142" customWidth="1"/>
    <col min="15126" max="15126" width="10.83203125" style="142" bestFit="1" customWidth="1"/>
    <col min="15127" max="15127" width="12.27734375" style="142" bestFit="1" customWidth="1"/>
    <col min="15128" max="15128" width="8.1640625" style="142" bestFit="1" customWidth="1"/>
    <col min="15129" max="15129" width="10.83203125" style="142" bestFit="1" customWidth="1"/>
    <col min="15130" max="15130" width="12.27734375" style="142" bestFit="1" customWidth="1"/>
    <col min="15131" max="15131" width="18.27734375" style="142" bestFit="1" customWidth="1"/>
    <col min="15132" max="15132" width="10.83203125" style="142" bestFit="1" customWidth="1"/>
    <col min="15133" max="15368" width="8.83203125" style="142"/>
    <col min="15369" max="15369" width="38.27734375" style="142" customWidth="1"/>
    <col min="15370" max="15370" width="23.44140625" style="142" bestFit="1" customWidth="1"/>
    <col min="15371" max="15372" width="9.1640625" style="142" customWidth="1"/>
    <col min="15373" max="15373" width="11.27734375" style="142" bestFit="1" customWidth="1"/>
    <col min="15374" max="15374" width="14.44140625" style="142" bestFit="1" customWidth="1"/>
    <col min="15375" max="15375" width="8.1640625" style="142" customWidth="1"/>
    <col min="15376" max="15376" width="10.83203125" style="142" bestFit="1" customWidth="1"/>
    <col min="15377" max="15377" width="12.27734375" style="142" bestFit="1" customWidth="1"/>
    <col min="15378" max="15378" width="9.1640625" style="142" customWidth="1"/>
    <col min="15379" max="15379" width="10.83203125" style="142" bestFit="1" customWidth="1"/>
    <col min="15380" max="15380" width="12.27734375" style="142" bestFit="1" customWidth="1"/>
    <col min="15381" max="15381" width="8" style="142" customWidth="1"/>
    <col min="15382" max="15382" width="10.83203125" style="142" bestFit="1" customWidth="1"/>
    <col min="15383" max="15383" width="12.27734375" style="142" bestFit="1" customWidth="1"/>
    <col min="15384" max="15384" width="8.1640625" style="142" bestFit="1" customWidth="1"/>
    <col min="15385" max="15385" width="10.83203125" style="142" bestFit="1" customWidth="1"/>
    <col min="15386" max="15386" width="12.27734375" style="142" bestFit="1" customWidth="1"/>
    <col min="15387" max="15387" width="18.27734375" style="142" bestFit="1" customWidth="1"/>
    <col min="15388" max="15388" width="10.83203125" style="142" bestFit="1" customWidth="1"/>
    <col min="15389" max="15624" width="8.83203125" style="142"/>
    <col min="15625" max="15625" width="38.27734375" style="142" customWidth="1"/>
    <col min="15626" max="15626" width="23.44140625" style="142" bestFit="1" customWidth="1"/>
    <col min="15627" max="15628" width="9.1640625" style="142" customWidth="1"/>
    <col min="15629" max="15629" width="11.27734375" style="142" bestFit="1" customWidth="1"/>
    <col min="15630" max="15630" width="14.44140625" style="142" bestFit="1" customWidth="1"/>
    <col min="15631" max="15631" width="8.1640625" style="142" customWidth="1"/>
    <col min="15632" max="15632" width="10.83203125" style="142" bestFit="1" customWidth="1"/>
    <col min="15633" max="15633" width="12.27734375" style="142" bestFit="1" customWidth="1"/>
    <col min="15634" max="15634" width="9.1640625" style="142" customWidth="1"/>
    <col min="15635" max="15635" width="10.83203125" style="142" bestFit="1" customWidth="1"/>
    <col min="15636" max="15636" width="12.27734375" style="142" bestFit="1" customWidth="1"/>
    <col min="15637" max="15637" width="8" style="142" customWidth="1"/>
    <col min="15638" max="15638" width="10.83203125" style="142" bestFit="1" customWidth="1"/>
    <col min="15639" max="15639" width="12.27734375" style="142" bestFit="1" customWidth="1"/>
    <col min="15640" max="15640" width="8.1640625" style="142" bestFit="1" customWidth="1"/>
    <col min="15641" max="15641" width="10.83203125" style="142" bestFit="1" customWidth="1"/>
    <col min="15642" max="15642" width="12.27734375" style="142" bestFit="1" customWidth="1"/>
    <col min="15643" max="15643" width="18.27734375" style="142" bestFit="1" customWidth="1"/>
    <col min="15644" max="15644" width="10.83203125" style="142" bestFit="1" customWidth="1"/>
    <col min="15645" max="15880" width="8.83203125" style="142"/>
    <col min="15881" max="15881" width="38.27734375" style="142" customWidth="1"/>
    <col min="15882" max="15882" width="23.44140625" style="142" bestFit="1" customWidth="1"/>
    <col min="15883" max="15884" width="9.1640625" style="142" customWidth="1"/>
    <col min="15885" max="15885" width="11.27734375" style="142" bestFit="1" customWidth="1"/>
    <col min="15886" max="15886" width="14.44140625" style="142" bestFit="1" customWidth="1"/>
    <col min="15887" max="15887" width="8.1640625" style="142" customWidth="1"/>
    <col min="15888" max="15888" width="10.83203125" style="142" bestFit="1" customWidth="1"/>
    <col min="15889" max="15889" width="12.27734375" style="142" bestFit="1" customWidth="1"/>
    <col min="15890" max="15890" width="9.1640625" style="142" customWidth="1"/>
    <col min="15891" max="15891" width="10.83203125" style="142" bestFit="1" customWidth="1"/>
    <col min="15892" max="15892" width="12.27734375" style="142" bestFit="1" customWidth="1"/>
    <col min="15893" max="15893" width="8" style="142" customWidth="1"/>
    <col min="15894" max="15894" width="10.83203125" style="142" bestFit="1" customWidth="1"/>
    <col min="15895" max="15895" width="12.27734375" style="142" bestFit="1" customWidth="1"/>
    <col min="15896" max="15896" width="8.1640625" style="142" bestFit="1" customWidth="1"/>
    <col min="15897" max="15897" width="10.83203125" style="142" bestFit="1" customWidth="1"/>
    <col min="15898" max="15898" width="12.27734375" style="142" bestFit="1" customWidth="1"/>
    <col min="15899" max="15899" width="18.27734375" style="142" bestFit="1" customWidth="1"/>
    <col min="15900" max="15900" width="10.83203125" style="142" bestFit="1" customWidth="1"/>
    <col min="15901" max="16136" width="8.83203125" style="142"/>
    <col min="16137" max="16137" width="38.27734375" style="142" customWidth="1"/>
    <col min="16138" max="16138" width="23.44140625" style="142" bestFit="1" customWidth="1"/>
    <col min="16139" max="16140" width="9.1640625" style="142" customWidth="1"/>
    <col min="16141" max="16141" width="11.27734375" style="142" bestFit="1" customWidth="1"/>
    <col min="16142" max="16142" width="14.44140625" style="142" bestFit="1" customWidth="1"/>
    <col min="16143" max="16143" width="8.1640625" style="142" customWidth="1"/>
    <col min="16144" max="16144" width="10.83203125" style="142" bestFit="1" customWidth="1"/>
    <col min="16145" max="16145" width="12.27734375" style="142" bestFit="1" customWidth="1"/>
    <col min="16146" max="16146" width="9.1640625" style="142" customWidth="1"/>
    <col min="16147" max="16147" width="10.83203125" style="142" bestFit="1" customWidth="1"/>
    <col min="16148" max="16148" width="12.27734375" style="142" bestFit="1" customWidth="1"/>
    <col min="16149" max="16149" width="8" style="142" customWidth="1"/>
    <col min="16150" max="16150" width="10.83203125" style="142" bestFit="1" customWidth="1"/>
    <col min="16151" max="16151" width="12.27734375" style="142" bestFit="1" customWidth="1"/>
    <col min="16152" max="16152" width="8.1640625" style="142" bestFit="1" customWidth="1"/>
    <col min="16153" max="16153" width="10.83203125" style="142" bestFit="1" customWidth="1"/>
    <col min="16154" max="16154" width="12.27734375" style="142" bestFit="1" customWidth="1"/>
    <col min="16155" max="16155" width="18.27734375" style="142" bestFit="1" customWidth="1"/>
    <col min="16156" max="16156" width="10.83203125" style="142" bestFit="1" customWidth="1"/>
    <col min="16157" max="16384" width="8.83203125" style="142"/>
  </cols>
  <sheetData>
    <row r="1" spans="1:36" ht="14.7" thickBot="1"/>
    <row r="2" spans="1:36" ht="23.5" customHeight="1">
      <c r="A2" s="591" t="s">
        <v>62</v>
      </c>
      <c r="B2" s="587" t="s">
        <v>63</v>
      </c>
      <c r="C2" s="580" t="s">
        <v>64</v>
      </c>
      <c r="D2" s="581"/>
      <c r="E2" s="581"/>
      <c r="F2" s="582"/>
      <c r="G2" s="580" t="s">
        <v>65</v>
      </c>
      <c r="H2" s="581"/>
      <c r="I2" s="581"/>
      <c r="J2" s="582"/>
      <c r="K2" s="580" t="s">
        <v>66</v>
      </c>
      <c r="L2" s="581"/>
      <c r="M2" s="581"/>
      <c r="N2" s="582"/>
      <c r="O2" s="580" t="s">
        <v>67</v>
      </c>
      <c r="P2" s="581"/>
      <c r="Q2" s="581"/>
      <c r="R2" s="582"/>
      <c r="S2" s="580" t="s">
        <v>68</v>
      </c>
      <c r="T2" s="581"/>
      <c r="U2" s="581"/>
      <c r="V2" s="582"/>
      <c r="W2" s="583" t="s">
        <v>69</v>
      </c>
      <c r="AE2" s="148"/>
    </row>
    <row r="3" spans="1:36" ht="47.65" customHeight="1">
      <c r="A3" s="592"/>
      <c r="B3" s="588"/>
      <c r="C3" s="149" t="s">
        <v>70</v>
      </c>
      <c r="D3" s="150" t="s">
        <v>71</v>
      </c>
      <c r="E3" s="151" t="s">
        <v>72</v>
      </c>
      <c r="F3" s="152" t="s">
        <v>69</v>
      </c>
      <c r="G3" s="149" t="s">
        <v>70</v>
      </c>
      <c r="H3" s="150" t="s">
        <v>71</v>
      </c>
      <c r="I3" s="153" t="s">
        <v>72</v>
      </c>
      <c r="J3" s="154" t="s">
        <v>69</v>
      </c>
      <c r="K3" s="149" t="s">
        <v>70</v>
      </c>
      <c r="L3" s="150" t="s">
        <v>71</v>
      </c>
      <c r="M3" s="151" t="s">
        <v>72</v>
      </c>
      <c r="N3" s="154" t="s">
        <v>69</v>
      </c>
      <c r="O3" s="149" t="s">
        <v>70</v>
      </c>
      <c r="P3" s="150" t="s">
        <v>71</v>
      </c>
      <c r="Q3" s="153" t="s">
        <v>72</v>
      </c>
      <c r="R3" s="154" t="s">
        <v>69</v>
      </c>
      <c r="S3" s="149" t="s">
        <v>70</v>
      </c>
      <c r="T3" s="150" t="s">
        <v>71</v>
      </c>
      <c r="U3" s="153" t="s">
        <v>72</v>
      </c>
      <c r="V3" s="154" t="s">
        <v>69</v>
      </c>
      <c r="W3" s="584"/>
      <c r="AE3" s="148"/>
      <c r="AF3" s="142" t="s">
        <v>116</v>
      </c>
    </row>
    <row r="4" spans="1:36" ht="20.399999999999999">
      <c r="A4" s="311" t="s">
        <v>73</v>
      </c>
      <c r="B4" s="155"/>
      <c r="C4" s="156"/>
      <c r="D4" s="157"/>
      <c r="E4" s="158"/>
      <c r="F4" s="159"/>
      <c r="G4" s="156"/>
      <c r="H4" s="157"/>
      <c r="I4" s="160"/>
      <c r="J4" s="161"/>
      <c r="K4" s="156"/>
      <c r="L4" s="157"/>
      <c r="M4" s="158"/>
      <c r="N4" s="161"/>
      <c r="O4" s="162"/>
      <c r="P4" s="157"/>
      <c r="Q4" s="160"/>
      <c r="R4" s="161"/>
      <c r="S4" s="162"/>
      <c r="T4" s="157"/>
      <c r="U4" s="160"/>
      <c r="V4" s="163"/>
      <c r="W4" s="161"/>
      <c r="AE4" s="164" t="s">
        <v>117</v>
      </c>
      <c r="AF4" s="164" t="s">
        <v>118</v>
      </c>
      <c r="AG4" s="164" t="s">
        <v>119</v>
      </c>
    </row>
    <row r="5" spans="1:36" s="175" customFormat="1" ht="15" customHeight="1" outlineLevel="1">
      <c r="A5" s="165" t="s">
        <v>47</v>
      </c>
      <c r="B5" s="166"/>
      <c r="C5" s="167"/>
      <c r="D5" s="168"/>
      <c r="E5" s="169"/>
      <c r="F5" s="170"/>
      <c r="G5" s="167"/>
      <c r="H5" s="168"/>
      <c r="I5" s="171"/>
      <c r="J5" s="172"/>
      <c r="K5" s="167"/>
      <c r="L5" s="168"/>
      <c r="M5" s="169"/>
      <c r="N5" s="172"/>
      <c r="O5" s="167"/>
      <c r="P5" s="168"/>
      <c r="Q5" s="171"/>
      <c r="R5" s="172"/>
      <c r="S5" s="167"/>
      <c r="T5" s="168"/>
      <c r="U5" s="171"/>
      <c r="V5" s="172"/>
      <c r="W5" s="173"/>
      <c r="X5" s="174"/>
      <c r="Y5" s="142"/>
      <c r="Z5" s="142"/>
      <c r="AA5" s="142"/>
      <c r="AB5" s="142"/>
      <c r="AC5" s="142"/>
      <c r="AD5" s="142"/>
      <c r="AE5" s="148"/>
    </row>
    <row r="6" spans="1:36" s="175" customFormat="1" ht="15.6" outlineLevel="1">
      <c r="A6" s="176" t="s">
        <v>74</v>
      </c>
      <c r="B6" s="177"/>
      <c r="C6" s="167"/>
      <c r="D6" s="168"/>
      <c r="E6" s="169"/>
      <c r="F6" s="170"/>
      <c r="G6" s="167"/>
      <c r="H6" s="168"/>
      <c r="I6" s="171"/>
      <c r="J6" s="172"/>
      <c r="K6" s="167"/>
      <c r="L6" s="168"/>
      <c r="M6" s="169"/>
      <c r="N6" s="172"/>
      <c r="O6" s="167"/>
      <c r="P6" s="168"/>
      <c r="Q6" s="171"/>
      <c r="R6" s="172"/>
      <c r="S6" s="167"/>
      <c r="T6" s="168"/>
      <c r="U6" s="171"/>
      <c r="V6" s="172"/>
      <c r="W6" s="319"/>
      <c r="X6" s="178"/>
      <c r="Y6" s="142"/>
      <c r="Z6" s="142"/>
      <c r="AA6" s="142"/>
      <c r="AB6" s="142"/>
      <c r="AC6" s="142"/>
      <c r="AD6" s="142"/>
      <c r="AE6" s="148"/>
    </row>
    <row r="7" spans="1:36" outlineLevel="1">
      <c r="A7" s="179" t="s">
        <v>75</v>
      </c>
      <c r="B7" s="202"/>
      <c r="D7" s="251"/>
      <c r="F7" s="184">
        <f>C7*D7*E7</f>
        <v>0</v>
      </c>
      <c r="H7" s="251"/>
      <c r="I7" s="145"/>
      <c r="J7" s="184">
        <f>G7*H7*I7</f>
        <v>0</v>
      </c>
      <c r="L7" s="251"/>
      <c r="N7" s="184">
        <f>K7*L7*M7</f>
        <v>0</v>
      </c>
      <c r="P7" s="251"/>
      <c r="Q7" s="145"/>
      <c r="R7" s="184">
        <f>O7*P7*Q7</f>
        <v>0</v>
      </c>
      <c r="T7" s="251"/>
      <c r="U7" s="145"/>
      <c r="V7" s="184">
        <f>S7*T7*U7</f>
        <v>0</v>
      </c>
      <c r="W7" s="192">
        <f t="shared" ref="W7" si="0">F7+J7+N7+R7+V7</f>
        <v>0</v>
      </c>
      <c r="AE7" s="148"/>
      <c r="AF7" s="189"/>
      <c r="AG7" s="189"/>
    </row>
    <row r="8" spans="1:36" ht="15" customHeight="1" outlineLevel="1">
      <c r="A8" s="194" t="s">
        <v>76</v>
      </c>
      <c r="B8" s="195"/>
      <c r="C8" s="196"/>
      <c r="D8" s="197"/>
      <c r="E8" s="198"/>
      <c r="F8" s="199">
        <f>SUM(F7:F7)</f>
        <v>0</v>
      </c>
      <c r="G8" s="196"/>
      <c r="H8" s="197"/>
      <c r="I8" s="200"/>
      <c r="J8" s="199">
        <f>SUM(J7:J7)</f>
        <v>0</v>
      </c>
      <c r="K8" s="196"/>
      <c r="L8" s="197"/>
      <c r="M8" s="198"/>
      <c r="N8" s="199">
        <f>SUM(N7:N7)</f>
        <v>0</v>
      </c>
      <c r="O8" s="196"/>
      <c r="P8" s="197"/>
      <c r="Q8" s="200"/>
      <c r="R8" s="199">
        <f>SUM(R7:R7)</f>
        <v>0</v>
      </c>
      <c r="S8" s="196"/>
      <c r="T8" s="197"/>
      <c r="U8" s="200"/>
      <c r="V8" s="199">
        <f>SUM(V7:V7)</f>
        <v>0</v>
      </c>
      <c r="W8" s="321">
        <f>+F8+J8+N8+R8+V8</f>
        <v>0</v>
      </c>
      <c r="AE8" s="148"/>
      <c r="AF8" s="189"/>
      <c r="AG8" s="189" t="s">
        <v>120</v>
      </c>
    </row>
    <row r="9" spans="1:36" ht="15" customHeight="1" outlineLevel="1">
      <c r="A9" s="176" t="s">
        <v>83</v>
      </c>
      <c r="B9" s="202"/>
      <c r="C9" s="203"/>
      <c r="D9" s="204"/>
      <c r="E9" s="205"/>
      <c r="F9" s="184"/>
      <c r="G9" s="203"/>
      <c r="H9" s="204"/>
      <c r="I9" s="206"/>
      <c r="J9" s="186"/>
      <c r="K9" s="203"/>
      <c r="L9" s="204"/>
      <c r="M9" s="205"/>
      <c r="N9" s="186"/>
      <c r="O9" s="203"/>
      <c r="P9" s="204"/>
      <c r="Q9" s="206"/>
      <c r="R9" s="186"/>
      <c r="S9" s="203"/>
      <c r="T9" s="204"/>
      <c r="U9" s="206"/>
      <c r="V9" s="186"/>
      <c r="W9" s="338"/>
      <c r="X9" s="178"/>
      <c r="AE9" s="148"/>
      <c r="AF9" s="189"/>
      <c r="AG9" s="189" t="s">
        <v>120</v>
      </c>
      <c r="AJ9" s="191"/>
    </row>
    <row r="10" spans="1:36" ht="15" customHeight="1" outlineLevel="1">
      <c r="A10" s="179" t="str">
        <f>'Program Budget'!D12</f>
        <v>Key Personnel: Chief of Party - Ms. Rym Ayari</v>
      </c>
      <c r="B10" s="180" t="str">
        <f>'Program Budget'!F216</f>
        <v>Month</v>
      </c>
      <c r="C10" s="181">
        <f>'Program Budget'!H12</f>
        <v>13000</v>
      </c>
      <c r="D10" s="182">
        <f>'Program Budget'!G12</f>
        <v>12</v>
      </c>
      <c r="E10" s="183">
        <f>'Program Budget'!E216</f>
        <v>0.25</v>
      </c>
      <c r="F10" s="184">
        <f>C10*D10*E10</f>
        <v>39000</v>
      </c>
      <c r="G10" s="181">
        <f>C10*1.05</f>
        <v>13650</v>
      </c>
      <c r="H10" s="182">
        <f>'Program Budget'!K12</f>
        <v>12</v>
      </c>
      <c r="I10" s="185">
        <f>'Program Budget'!J216</f>
        <v>0.3</v>
      </c>
      <c r="J10" s="184">
        <f>G10*H10*I10</f>
        <v>49140</v>
      </c>
      <c r="K10" s="181">
        <f>G10*1.05</f>
        <v>14332.5</v>
      </c>
      <c r="L10" s="182">
        <f>'Program Budget'!N12</f>
        <v>12</v>
      </c>
      <c r="M10" s="185">
        <f>'Program Budget'!M216</f>
        <v>0.3</v>
      </c>
      <c r="N10" s="184">
        <f>K10*L10*M10</f>
        <v>51597</v>
      </c>
      <c r="O10" s="181">
        <f>K10*1.05</f>
        <v>15049.125</v>
      </c>
      <c r="P10" s="182">
        <f>'Program Budget'!Q12</f>
        <v>12</v>
      </c>
      <c r="Q10" s="185">
        <f>'Program Budget'!P216</f>
        <v>0.3</v>
      </c>
      <c r="R10" s="184">
        <f>O10*P10*Q10</f>
        <v>54176.85</v>
      </c>
      <c r="S10" s="181">
        <f>O10*1.05</f>
        <v>15801.581250000001</v>
      </c>
      <c r="T10" s="182">
        <f>'Program Budget'!T12</f>
        <v>12</v>
      </c>
      <c r="U10" s="185">
        <f>'Program Budget'!S216</f>
        <v>0.3</v>
      </c>
      <c r="V10" s="184">
        <f>S10*T10*U10</f>
        <v>56885.692499999997</v>
      </c>
      <c r="W10" s="320">
        <f>F10+J10+N10+R10+V10</f>
        <v>250799.54250000001</v>
      </c>
      <c r="X10" s="178"/>
      <c r="AE10" s="148"/>
      <c r="AF10" s="189"/>
      <c r="AG10" s="189"/>
      <c r="AJ10" s="191"/>
    </row>
    <row r="11" spans="1:36" ht="15" customHeight="1" outlineLevel="1">
      <c r="A11" s="179" t="str">
        <f>'Program Budget'!D13</f>
        <v>Key Personnel: Technical Director</v>
      </c>
      <c r="B11" s="180" t="str">
        <f>'Program Budget'!F217</f>
        <v>Month</v>
      </c>
      <c r="C11" s="181">
        <f>'Program Budget'!H13</f>
        <v>3916.6666666666665</v>
      </c>
      <c r="D11" s="182">
        <f>'Program Budget'!G13</f>
        <v>9</v>
      </c>
      <c r="E11" s="183">
        <f>'Program Budget'!E217</f>
        <v>0.25</v>
      </c>
      <c r="F11" s="184">
        <f>C11*D11*E11</f>
        <v>8812.5</v>
      </c>
      <c r="G11" s="181">
        <f t="shared" ref="G11:G30" si="1">C11*1.05</f>
        <v>4112.5</v>
      </c>
      <c r="H11" s="182">
        <f>'Program Budget'!K13</f>
        <v>12</v>
      </c>
      <c r="I11" s="185">
        <f>'Program Budget'!J217</f>
        <v>0.35</v>
      </c>
      <c r="J11" s="184">
        <f>G11*H11*I11</f>
        <v>17272.5</v>
      </c>
      <c r="K11" s="181">
        <f t="shared" ref="K11:K30" si="2">G11*1.05</f>
        <v>4318.125</v>
      </c>
      <c r="L11" s="182">
        <f>'Program Budget'!N13</f>
        <v>12</v>
      </c>
      <c r="M11" s="185">
        <f>'Program Budget'!M217</f>
        <v>0.32</v>
      </c>
      <c r="N11" s="184">
        <f>K11*L11*M11</f>
        <v>16581.599999999999</v>
      </c>
      <c r="O11" s="181">
        <f t="shared" ref="O11:O30" si="3">K11*1.05</f>
        <v>4534.03125</v>
      </c>
      <c r="P11" s="182">
        <f>'Program Budget'!Q13</f>
        <v>12</v>
      </c>
      <c r="Q11" s="185">
        <f>'Program Budget'!P217</f>
        <v>0.32</v>
      </c>
      <c r="R11" s="184">
        <f>O11*P11*Q11</f>
        <v>17410.68</v>
      </c>
      <c r="S11" s="181">
        <f t="shared" ref="S11:S30" si="4">O11*1.05</f>
        <v>4760.7328125000004</v>
      </c>
      <c r="T11" s="182">
        <f>'Program Budget'!T13</f>
        <v>9</v>
      </c>
      <c r="U11" s="185">
        <f>'Program Budget'!S217</f>
        <v>0.32</v>
      </c>
      <c r="V11" s="184">
        <f>S11*T11*U11</f>
        <v>13710.9105</v>
      </c>
      <c r="W11" s="320">
        <f>F11+J11+N11+R11+V11</f>
        <v>73788.190499999997</v>
      </c>
      <c r="X11" s="187"/>
      <c r="Y11" s="174"/>
      <c r="Z11" s="188"/>
      <c r="AA11" s="188"/>
      <c r="AE11" s="148">
        <v>180</v>
      </c>
      <c r="AF11" s="189" t="s">
        <v>121</v>
      </c>
      <c r="AG11" s="189" t="s">
        <v>122</v>
      </c>
      <c r="AH11" s="190"/>
      <c r="AJ11" s="191"/>
    </row>
    <row r="12" spans="1:36" ht="15" customHeight="1" outlineLevel="1">
      <c r="A12" s="179" t="str">
        <f>'Program Budget'!D14</f>
        <v>Technical Lead Component 1</v>
      </c>
      <c r="B12" s="180" t="str">
        <f>'Program Budget'!F218</f>
        <v>Month</v>
      </c>
      <c r="C12" s="181">
        <f>'Program Budget'!H14</f>
        <v>2500</v>
      </c>
      <c r="D12" s="182">
        <f>'Program Budget'!G14</f>
        <v>6</v>
      </c>
      <c r="E12" s="183">
        <f>'Program Budget'!E218</f>
        <v>0</v>
      </c>
      <c r="F12" s="184">
        <f t="shared" ref="F12:F30" si="5">C12*D12*E12</f>
        <v>0</v>
      </c>
      <c r="G12" s="181">
        <f t="shared" si="1"/>
        <v>2625</v>
      </c>
      <c r="H12" s="182">
        <f>'Program Budget'!K14</f>
        <v>12</v>
      </c>
      <c r="I12" s="185">
        <f>'Program Budget'!J218</f>
        <v>0</v>
      </c>
      <c r="J12" s="184">
        <f t="shared" ref="J12:J30" si="6">G12*H12*I12</f>
        <v>0</v>
      </c>
      <c r="K12" s="181">
        <f t="shared" si="2"/>
        <v>2756.25</v>
      </c>
      <c r="L12" s="182">
        <f>'Program Budget'!N14</f>
        <v>12</v>
      </c>
      <c r="M12" s="185">
        <f>'Program Budget'!M218</f>
        <v>0</v>
      </c>
      <c r="N12" s="184">
        <f t="shared" ref="N12:N30" si="7">K12*L12*M12</f>
        <v>0</v>
      </c>
      <c r="O12" s="181">
        <f t="shared" si="3"/>
        <v>2894.0625</v>
      </c>
      <c r="P12" s="182">
        <f>'Program Budget'!Q14</f>
        <v>12</v>
      </c>
      <c r="Q12" s="185">
        <f>'Program Budget'!P218</f>
        <v>0</v>
      </c>
      <c r="R12" s="184">
        <f t="shared" ref="R12:R30" si="8">O12*P12*Q12</f>
        <v>0</v>
      </c>
      <c r="S12" s="181">
        <f t="shared" si="4"/>
        <v>3038.765625</v>
      </c>
      <c r="T12" s="182">
        <f>'Program Budget'!T14</f>
        <v>9</v>
      </c>
      <c r="U12" s="185">
        <f>'Program Budget'!S218</f>
        <v>0</v>
      </c>
      <c r="V12" s="184">
        <f t="shared" ref="V12:V30" si="9">S12*T12*U12</f>
        <v>0</v>
      </c>
      <c r="W12" s="320">
        <f t="shared" ref="W12:W30" si="10">F12+J12+N12+R12+V12</f>
        <v>0</v>
      </c>
      <c r="X12" s="187"/>
      <c r="Y12" s="174"/>
      <c r="Z12" s="188"/>
      <c r="AA12" s="188"/>
      <c r="AE12" s="148">
        <v>180</v>
      </c>
      <c r="AF12" s="189" t="s">
        <v>121</v>
      </c>
      <c r="AG12" s="189" t="s">
        <v>122</v>
      </c>
      <c r="AH12" s="190"/>
      <c r="AJ12" s="191"/>
    </row>
    <row r="13" spans="1:36" ht="15" customHeight="1" outlineLevel="1">
      <c r="A13" s="179" t="str">
        <f>'Program Budget'!D15</f>
        <v>Technical Lead Component 2</v>
      </c>
      <c r="B13" s="180" t="str">
        <f>'Program Budget'!F219</f>
        <v>Month</v>
      </c>
      <c r="C13" s="181">
        <f>'Program Budget'!H15</f>
        <v>2500</v>
      </c>
      <c r="D13" s="182">
        <f>'Program Budget'!G15</f>
        <v>6</v>
      </c>
      <c r="E13" s="183">
        <f>'Program Budget'!E219</f>
        <v>0.8</v>
      </c>
      <c r="F13" s="184">
        <f t="shared" si="5"/>
        <v>12000</v>
      </c>
      <c r="G13" s="181">
        <f t="shared" si="1"/>
        <v>2625</v>
      </c>
      <c r="H13" s="182">
        <f>'Program Budget'!K15</f>
        <v>12</v>
      </c>
      <c r="I13" s="185">
        <f>'Program Budget'!J219</f>
        <v>1</v>
      </c>
      <c r="J13" s="184">
        <f t="shared" si="6"/>
        <v>31500</v>
      </c>
      <c r="K13" s="181">
        <f t="shared" si="2"/>
        <v>2756.25</v>
      </c>
      <c r="L13" s="182">
        <f>'Program Budget'!N15</f>
        <v>12</v>
      </c>
      <c r="M13" s="185">
        <f>'Program Budget'!M219</f>
        <v>1</v>
      </c>
      <c r="N13" s="184">
        <f t="shared" si="7"/>
        <v>33075</v>
      </c>
      <c r="O13" s="181">
        <f t="shared" si="3"/>
        <v>2894.0625</v>
      </c>
      <c r="P13" s="182">
        <f>'Program Budget'!Q15</f>
        <v>12</v>
      </c>
      <c r="Q13" s="185">
        <f>'Program Budget'!P219</f>
        <v>1</v>
      </c>
      <c r="R13" s="184">
        <f t="shared" si="8"/>
        <v>34728.75</v>
      </c>
      <c r="S13" s="181">
        <f t="shared" si="4"/>
        <v>3038.765625</v>
      </c>
      <c r="T13" s="182">
        <f>'Program Budget'!T15</f>
        <v>9</v>
      </c>
      <c r="U13" s="185">
        <f>'Program Budget'!S219</f>
        <v>1</v>
      </c>
      <c r="V13" s="184">
        <f t="shared" si="9"/>
        <v>27348.890625</v>
      </c>
      <c r="W13" s="320">
        <f t="shared" si="10"/>
        <v>138652.640625</v>
      </c>
      <c r="X13" s="187"/>
      <c r="Y13" s="174"/>
      <c r="Z13" s="188"/>
      <c r="AA13" s="188"/>
      <c r="AE13" s="148">
        <v>180</v>
      </c>
      <c r="AF13" s="189" t="s">
        <v>121</v>
      </c>
      <c r="AG13" s="189" t="s">
        <v>122</v>
      </c>
      <c r="AH13" s="190"/>
      <c r="AJ13" s="191"/>
    </row>
    <row r="14" spans="1:36" ht="15" customHeight="1" outlineLevel="1">
      <c r="A14" s="179" t="str">
        <f>'Program Budget'!D16</f>
        <v>Technical Lead Component 3</v>
      </c>
      <c r="B14" s="180" t="str">
        <f>'Program Budget'!F220</f>
        <v>Month</v>
      </c>
      <c r="C14" s="181">
        <f>'Program Budget'!H16</f>
        <v>2500</v>
      </c>
      <c r="D14" s="182">
        <f>'Program Budget'!G16</f>
        <v>6</v>
      </c>
      <c r="E14" s="183">
        <f>'Program Budget'!E220</f>
        <v>0</v>
      </c>
      <c r="F14" s="184">
        <f t="shared" si="5"/>
        <v>0</v>
      </c>
      <c r="G14" s="181">
        <f t="shared" si="1"/>
        <v>2625</v>
      </c>
      <c r="H14" s="182">
        <f>'Program Budget'!K16</f>
        <v>12</v>
      </c>
      <c r="I14" s="185">
        <f>'Program Budget'!J220</f>
        <v>0</v>
      </c>
      <c r="J14" s="184">
        <f t="shared" si="6"/>
        <v>0</v>
      </c>
      <c r="K14" s="181">
        <f t="shared" si="2"/>
        <v>2756.25</v>
      </c>
      <c r="L14" s="182">
        <f>'Program Budget'!N16</f>
        <v>12</v>
      </c>
      <c r="M14" s="185">
        <f>'Program Budget'!M220</f>
        <v>0</v>
      </c>
      <c r="N14" s="184">
        <f t="shared" si="7"/>
        <v>0</v>
      </c>
      <c r="O14" s="181">
        <f t="shared" si="3"/>
        <v>2894.0625</v>
      </c>
      <c r="P14" s="182">
        <f>'Program Budget'!Q16</f>
        <v>12</v>
      </c>
      <c r="Q14" s="185">
        <f>'Program Budget'!P220</f>
        <v>0</v>
      </c>
      <c r="R14" s="184">
        <f t="shared" si="8"/>
        <v>0</v>
      </c>
      <c r="S14" s="181">
        <f t="shared" si="4"/>
        <v>3038.765625</v>
      </c>
      <c r="T14" s="182">
        <f>'Program Budget'!T16</f>
        <v>9</v>
      </c>
      <c r="U14" s="185">
        <f>'Program Budget'!S220</f>
        <v>0</v>
      </c>
      <c r="V14" s="184">
        <f t="shared" si="9"/>
        <v>0</v>
      </c>
      <c r="W14" s="320">
        <f t="shared" si="10"/>
        <v>0</v>
      </c>
      <c r="X14" s="187"/>
      <c r="Y14" s="174"/>
      <c r="Z14" s="188"/>
      <c r="AA14" s="188"/>
      <c r="AE14" s="148"/>
      <c r="AF14" s="189"/>
      <c r="AG14" s="189"/>
      <c r="AH14" s="190"/>
      <c r="AJ14" s="191"/>
    </row>
    <row r="15" spans="1:36" ht="15" customHeight="1" outlineLevel="1">
      <c r="A15" s="179" t="str">
        <f>'Program Budget'!D17</f>
        <v>Technical Specialist Component 1</v>
      </c>
      <c r="B15" s="180" t="str">
        <f>'Program Budget'!F221</f>
        <v>Month</v>
      </c>
      <c r="C15" s="181">
        <f>'Program Budget'!H17</f>
        <v>1833.3333333333333</v>
      </c>
      <c r="D15" s="182">
        <f>'Program Budget'!G17</f>
        <v>6</v>
      </c>
      <c r="E15" s="183">
        <f>'Program Budget'!E221</f>
        <v>0</v>
      </c>
      <c r="F15" s="184">
        <f t="shared" si="5"/>
        <v>0</v>
      </c>
      <c r="G15" s="181">
        <f t="shared" si="1"/>
        <v>1925</v>
      </c>
      <c r="H15" s="182">
        <f>'Program Budget'!K17</f>
        <v>12</v>
      </c>
      <c r="I15" s="185">
        <f>'Program Budget'!J221</f>
        <v>0</v>
      </c>
      <c r="J15" s="184">
        <f t="shared" si="6"/>
        <v>0</v>
      </c>
      <c r="K15" s="181">
        <f t="shared" si="2"/>
        <v>2021.25</v>
      </c>
      <c r="L15" s="182">
        <f>'Program Budget'!N17</f>
        <v>12</v>
      </c>
      <c r="M15" s="185">
        <f>'Program Budget'!M221</f>
        <v>0</v>
      </c>
      <c r="N15" s="184">
        <f t="shared" si="7"/>
        <v>0</v>
      </c>
      <c r="O15" s="181">
        <f t="shared" si="3"/>
        <v>2122.3125</v>
      </c>
      <c r="P15" s="182">
        <f>'Program Budget'!Q17</f>
        <v>12</v>
      </c>
      <c r="Q15" s="185">
        <f>'Program Budget'!P221</f>
        <v>0</v>
      </c>
      <c r="R15" s="184">
        <f t="shared" si="8"/>
        <v>0</v>
      </c>
      <c r="S15" s="181">
        <f t="shared" si="4"/>
        <v>2228.4281249999999</v>
      </c>
      <c r="T15" s="182">
        <f>'Program Budget'!T17</f>
        <v>6</v>
      </c>
      <c r="U15" s="185">
        <f>'Program Budget'!S221</f>
        <v>0</v>
      </c>
      <c r="V15" s="184">
        <f t="shared" si="9"/>
        <v>0</v>
      </c>
      <c r="W15" s="320">
        <f t="shared" si="10"/>
        <v>0</v>
      </c>
      <c r="X15" s="187"/>
      <c r="Y15" s="174"/>
      <c r="Z15" s="188"/>
      <c r="AA15" s="188"/>
      <c r="AE15" s="148"/>
      <c r="AF15" s="189"/>
      <c r="AG15" s="189"/>
      <c r="AH15" s="190"/>
      <c r="AJ15" s="191"/>
    </row>
    <row r="16" spans="1:36" ht="15" customHeight="1" outlineLevel="1">
      <c r="A16" s="179" t="str">
        <f>'Program Budget'!D18</f>
        <v>Technical Specialist Component 2</v>
      </c>
      <c r="B16" s="180" t="str">
        <f>'Program Budget'!F222</f>
        <v>Month</v>
      </c>
      <c r="C16" s="181">
        <f>'Program Budget'!H18</f>
        <v>1833.3333333333333</v>
      </c>
      <c r="D16" s="182">
        <f>'Program Budget'!G18</f>
        <v>6</v>
      </c>
      <c r="E16" s="183">
        <f>'Program Budget'!E222</f>
        <v>0.8</v>
      </c>
      <c r="F16" s="184">
        <f t="shared" si="5"/>
        <v>8800</v>
      </c>
      <c r="G16" s="181">
        <f t="shared" si="1"/>
        <v>1925</v>
      </c>
      <c r="H16" s="182">
        <f>'Program Budget'!K18</f>
        <v>12</v>
      </c>
      <c r="I16" s="185">
        <f>'Program Budget'!J222</f>
        <v>1</v>
      </c>
      <c r="J16" s="184">
        <f t="shared" si="6"/>
        <v>23100</v>
      </c>
      <c r="K16" s="181">
        <f t="shared" si="2"/>
        <v>2021.25</v>
      </c>
      <c r="L16" s="182">
        <f>'Program Budget'!N18</f>
        <v>12</v>
      </c>
      <c r="M16" s="185">
        <f>'Program Budget'!M222</f>
        <v>1</v>
      </c>
      <c r="N16" s="184">
        <f t="shared" si="7"/>
        <v>24255</v>
      </c>
      <c r="O16" s="181">
        <f t="shared" si="3"/>
        <v>2122.3125</v>
      </c>
      <c r="P16" s="182">
        <f>'Program Budget'!Q18</f>
        <v>12</v>
      </c>
      <c r="Q16" s="185">
        <f>'Program Budget'!P222</f>
        <v>1</v>
      </c>
      <c r="R16" s="184">
        <f t="shared" si="8"/>
        <v>25467.75</v>
      </c>
      <c r="S16" s="181">
        <f t="shared" si="4"/>
        <v>2228.4281249999999</v>
      </c>
      <c r="T16" s="182">
        <f>'Program Budget'!T18</f>
        <v>6</v>
      </c>
      <c r="U16" s="185">
        <f>'Program Budget'!S222</f>
        <v>1</v>
      </c>
      <c r="V16" s="184">
        <f t="shared" si="9"/>
        <v>13370.568749999999</v>
      </c>
      <c r="W16" s="320">
        <f t="shared" si="10"/>
        <v>94993.318750000006</v>
      </c>
      <c r="X16" s="187"/>
      <c r="Y16" s="174"/>
      <c r="Z16" s="188"/>
      <c r="AA16" s="188"/>
      <c r="AE16" s="148">
        <v>180</v>
      </c>
      <c r="AF16" s="189" t="s">
        <v>121</v>
      </c>
      <c r="AG16" s="189" t="s">
        <v>122</v>
      </c>
      <c r="AH16" s="190"/>
      <c r="AJ16" s="191"/>
    </row>
    <row r="17" spans="1:36" ht="15" customHeight="1" outlineLevel="1">
      <c r="A17" s="179" t="str">
        <f>'Program Budget'!D19</f>
        <v>Technical Specialist Component 3</v>
      </c>
      <c r="B17" s="180" t="str">
        <f>'Program Budget'!F223</f>
        <v>Month</v>
      </c>
      <c r="C17" s="181">
        <f>'Program Budget'!H19</f>
        <v>1833.3333333333333</v>
      </c>
      <c r="D17" s="182">
        <f>'Program Budget'!G19</f>
        <v>6</v>
      </c>
      <c r="E17" s="183">
        <f>'Program Budget'!E223</f>
        <v>0</v>
      </c>
      <c r="F17" s="184">
        <f t="shared" si="5"/>
        <v>0</v>
      </c>
      <c r="G17" s="181">
        <f t="shared" si="1"/>
        <v>1925</v>
      </c>
      <c r="H17" s="182">
        <f>'Program Budget'!K19</f>
        <v>12</v>
      </c>
      <c r="I17" s="185">
        <f>'Program Budget'!J223</f>
        <v>0</v>
      </c>
      <c r="J17" s="184">
        <f t="shared" si="6"/>
        <v>0</v>
      </c>
      <c r="K17" s="181">
        <f t="shared" si="2"/>
        <v>2021.25</v>
      </c>
      <c r="L17" s="182">
        <f>'Program Budget'!N19</f>
        <v>12</v>
      </c>
      <c r="M17" s="185">
        <f>'Program Budget'!M223</f>
        <v>0</v>
      </c>
      <c r="N17" s="184">
        <f t="shared" si="7"/>
        <v>0</v>
      </c>
      <c r="O17" s="181">
        <f t="shared" si="3"/>
        <v>2122.3125</v>
      </c>
      <c r="P17" s="182">
        <f>'Program Budget'!Q19</f>
        <v>12</v>
      </c>
      <c r="Q17" s="185">
        <f>'Program Budget'!P223</f>
        <v>0</v>
      </c>
      <c r="R17" s="184">
        <f t="shared" si="8"/>
        <v>0</v>
      </c>
      <c r="S17" s="181">
        <f t="shared" si="4"/>
        <v>2228.4281249999999</v>
      </c>
      <c r="T17" s="182">
        <f>'Program Budget'!T19</f>
        <v>6</v>
      </c>
      <c r="U17" s="185">
        <f>'Program Budget'!S223</f>
        <v>0</v>
      </c>
      <c r="V17" s="184">
        <f t="shared" si="9"/>
        <v>0</v>
      </c>
      <c r="W17" s="320">
        <f t="shared" si="10"/>
        <v>0</v>
      </c>
      <c r="X17" s="187"/>
      <c r="Y17" s="174"/>
      <c r="Z17" s="188"/>
      <c r="AA17" s="188"/>
      <c r="AE17" s="148"/>
      <c r="AF17" s="189"/>
      <c r="AG17" s="189"/>
      <c r="AH17" s="190"/>
      <c r="AJ17" s="191"/>
    </row>
    <row r="18" spans="1:36" ht="15" customHeight="1" outlineLevel="1">
      <c r="A18" s="179" t="str">
        <f>'Program Budget'!D20</f>
        <v>Capacity Building Specialist (2)</v>
      </c>
      <c r="B18" s="180" t="str">
        <f>'Program Budget'!F224</f>
        <v>Month</v>
      </c>
      <c r="C18" s="181">
        <f>'Program Budget'!H20</f>
        <v>3333.3333333333335</v>
      </c>
      <c r="D18" s="182">
        <f>'Program Budget'!G20</f>
        <v>4</v>
      </c>
      <c r="E18" s="183">
        <f>'Program Budget'!E224</f>
        <v>0</v>
      </c>
      <c r="F18" s="184">
        <f t="shared" ref="F18" si="11">C18*D18*E18</f>
        <v>0</v>
      </c>
      <c r="G18" s="181">
        <f t="shared" ref="G18" si="12">C18*1.05</f>
        <v>3500.0000000000005</v>
      </c>
      <c r="H18" s="182">
        <f>'Program Budget'!K20</f>
        <v>12</v>
      </c>
      <c r="I18" s="185">
        <f>'Program Budget'!J224</f>
        <v>0</v>
      </c>
      <c r="J18" s="184">
        <f t="shared" ref="J18" si="13">G18*H18*I18</f>
        <v>0</v>
      </c>
      <c r="K18" s="181">
        <f t="shared" ref="K18" si="14">G18*1.05</f>
        <v>3675.0000000000005</v>
      </c>
      <c r="L18" s="182">
        <f>'Program Budget'!N20</f>
        <v>12</v>
      </c>
      <c r="M18" s="185">
        <f>'Program Budget'!M224</f>
        <v>0</v>
      </c>
      <c r="N18" s="184">
        <f t="shared" ref="N18" si="15">K18*L18*M18</f>
        <v>0</v>
      </c>
      <c r="O18" s="181">
        <f t="shared" ref="O18" si="16">K18*1.05</f>
        <v>3858.7500000000005</v>
      </c>
      <c r="P18" s="182">
        <f>'Program Budget'!Q20</f>
        <v>12</v>
      </c>
      <c r="Q18" s="185">
        <f>'Program Budget'!P224</f>
        <v>0</v>
      </c>
      <c r="R18" s="184">
        <f t="shared" ref="R18" si="17">O18*P18*Q18</f>
        <v>0</v>
      </c>
      <c r="S18" s="181">
        <f t="shared" ref="S18" si="18">O18*1.05</f>
        <v>4051.6875000000005</v>
      </c>
      <c r="T18" s="182">
        <f>'Program Budget'!T20</f>
        <v>5</v>
      </c>
      <c r="U18" s="185">
        <f>'Program Budget'!S224</f>
        <v>0</v>
      </c>
      <c r="V18" s="184">
        <f t="shared" ref="V18" si="19">S18*T18*U18</f>
        <v>0</v>
      </c>
      <c r="W18" s="320">
        <f t="shared" ref="W18" si="20">F18+J18+N18+R18+V18</f>
        <v>0</v>
      </c>
      <c r="X18" s="187"/>
      <c r="Y18" s="174"/>
      <c r="Z18" s="188"/>
      <c r="AA18" s="188"/>
      <c r="AE18" s="148"/>
      <c r="AF18" s="189"/>
      <c r="AG18" s="189"/>
      <c r="AH18" s="190"/>
      <c r="AJ18" s="191"/>
    </row>
    <row r="19" spans="1:36" ht="15" customHeight="1" outlineLevel="1">
      <c r="A19" s="179" t="str">
        <f>'Program Budget'!D21</f>
        <v>Sociocultural and Gender Specialist</v>
      </c>
      <c r="B19" s="180" t="str">
        <f>'Program Budget'!F225</f>
        <v>Month</v>
      </c>
      <c r="C19" s="181">
        <f>'Program Budget'!H21</f>
        <v>1833.3333333333333</v>
      </c>
      <c r="D19" s="182">
        <f>'Program Budget'!G21</f>
        <v>7</v>
      </c>
      <c r="E19" s="183">
        <f>'Program Budget'!E225</f>
        <v>0.25</v>
      </c>
      <c r="F19" s="184">
        <f t="shared" si="5"/>
        <v>3208.333333333333</v>
      </c>
      <c r="G19" s="181">
        <f t="shared" si="1"/>
        <v>1925</v>
      </c>
      <c r="H19" s="182">
        <f>'Program Budget'!K21</f>
        <v>12</v>
      </c>
      <c r="I19" s="185">
        <f>'Program Budget'!J225</f>
        <v>0.35</v>
      </c>
      <c r="J19" s="184">
        <f t="shared" si="6"/>
        <v>8084.9999999999991</v>
      </c>
      <c r="K19" s="181">
        <f t="shared" si="2"/>
        <v>2021.25</v>
      </c>
      <c r="L19" s="182">
        <f>'Program Budget'!N21</f>
        <v>12</v>
      </c>
      <c r="M19" s="185">
        <f>'Program Budget'!M225</f>
        <v>0.35</v>
      </c>
      <c r="N19" s="184">
        <f t="shared" si="7"/>
        <v>8489.25</v>
      </c>
      <c r="O19" s="181">
        <f t="shared" si="3"/>
        <v>2122.3125</v>
      </c>
      <c r="P19" s="182">
        <f>'Program Budget'!Q21</f>
        <v>12</v>
      </c>
      <c r="Q19" s="185">
        <f>'Program Budget'!P225</f>
        <v>0.35</v>
      </c>
      <c r="R19" s="184">
        <f t="shared" si="8"/>
        <v>8913.7124999999996</v>
      </c>
      <c r="S19" s="181">
        <f t="shared" si="4"/>
        <v>2228.4281249999999</v>
      </c>
      <c r="T19" s="182">
        <f>'Program Budget'!T21</f>
        <v>9</v>
      </c>
      <c r="U19" s="185">
        <f>'Program Budget'!S225</f>
        <v>0.35</v>
      </c>
      <c r="V19" s="184">
        <f t="shared" si="9"/>
        <v>7019.5485937499989</v>
      </c>
      <c r="W19" s="320">
        <f t="shared" si="10"/>
        <v>35715.844427083328</v>
      </c>
      <c r="X19" s="187"/>
      <c r="Y19" s="174"/>
      <c r="Z19" s="188"/>
      <c r="AA19" s="188"/>
      <c r="AE19" s="148"/>
      <c r="AF19" s="189"/>
      <c r="AG19" s="189"/>
      <c r="AH19" s="190"/>
      <c r="AJ19" s="191"/>
    </row>
    <row r="20" spans="1:36" ht="15" customHeight="1" outlineLevel="1">
      <c r="A20" s="179" t="str">
        <f>'Program Budget'!D22</f>
        <v>Sociocultural and Gender Officers (3)</v>
      </c>
      <c r="B20" s="180" t="str">
        <f>'Program Budget'!F226</f>
        <v>Month</v>
      </c>
      <c r="C20" s="181">
        <f>'Program Budget'!H22</f>
        <v>3750</v>
      </c>
      <c r="D20" s="182">
        <f>'Program Budget'!G22</f>
        <v>7</v>
      </c>
      <c r="E20" s="183">
        <f>'Program Budget'!E226</f>
        <v>0.25</v>
      </c>
      <c r="F20" s="184">
        <f t="shared" si="5"/>
        <v>6562.5</v>
      </c>
      <c r="G20" s="181">
        <f t="shared" si="1"/>
        <v>3937.5</v>
      </c>
      <c r="H20" s="182">
        <f>'Program Budget'!K22</f>
        <v>12</v>
      </c>
      <c r="I20" s="185">
        <f>'Program Budget'!J226</f>
        <v>0.35</v>
      </c>
      <c r="J20" s="184">
        <f t="shared" si="6"/>
        <v>16537.5</v>
      </c>
      <c r="K20" s="181">
        <f t="shared" si="2"/>
        <v>4134.375</v>
      </c>
      <c r="L20" s="182">
        <f>'Program Budget'!N22</f>
        <v>12</v>
      </c>
      <c r="M20" s="185">
        <f>'Program Budget'!M226</f>
        <v>0.35</v>
      </c>
      <c r="N20" s="184">
        <f t="shared" si="7"/>
        <v>17364.375</v>
      </c>
      <c r="O20" s="181">
        <f t="shared" si="3"/>
        <v>4341.09375</v>
      </c>
      <c r="P20" s="182">
        <f>'Program Budget'!Q22</f>
        <v>12</v>
      </c>
      <c r="Q20" s="185">
        <f>'Program Budget'!P226</f>
        <v>0.35</v>
      </c>
      <c r="R20" s="184">
        <f t="shared" si="8"/>
        <v>18232.59375</v>
      </c>
      <c r="S20" s="181">
        <f t="shared" si="4"/>
        <v>4558.1484375</v>
      </c>
      <c r="T20" s="182">
        <f>'Program Budget'!T22</f>
        <v>9</v>
      </c>
      <c r="U20" s="185">
        <f>'Program Budget'!S226</f>
        <v>0.35</v>
      </c>
      <c r="V20" s="184">
        <f t="shared" si="9"/>
        <v>14358.167578125</v>
      </c>
      <c r="W20" s="320">
        <f t="shared" si="10"/>
        <v>73055.136328124994</v>
      </c>
      <c r="X20" s="187"/>
      <c r="Y20" s="174"/>
      <c r="Z20" s="188"/>
      <c r="AA20" s="188"/>
      <c r="AE20" s="148"/>
      <c r="AF20" s="189"/>
      <c r="AG20" s="189"/>
      <c r="AH20" s="190"/>
      <c r="AJ20" s="191"/>
    </row>
    <row r="21" spans="1:36" ht="15" customHeight="1" outlineLevel="1">
      <c r="A21" s="179" t="str">
        <f>'Program Budget'!D23</f>
        <v>Communications Specialists</v>
      </c>
      <c r="B21" s="180" t="str">
        <f>'Program Budget'!F227</f>
        <v>Month</v>
      </c>
      <c r="C21" s="181">
        <f>'Program Budget'!H23</f>
        <v>1500</v>
      </c>
      <c r="D21" s="182">
        <f>'Program Budget'!G23</f>
        <v>7</v>
      </c>
      <c r="E21" s="183">
        <f>'Program Budget'!E227</f>
        <v>0.25</v>
      </c>
      <c r="F21" s="184">
        <f t="shared" si="5"/>
        <v>2625</v>
      </c>
      <c r="G21" s="181">
        <f t="shared" si="1"/>
        <v>1575</v>
      </c>
      <c r="H21" s="182">
        <f>'Program Budget'!K23</f>
        <v>12</v>
      </c>
      <c r="I21" s="185">
        <f>'Program Budget'!J227</f>
        <v>0.3</v>
      </c>
      <c r="J21" s="184">
        <f t="shared" si="6"/>
        <v>5670</v>
      </c>
      <c r="K21" s="181">
        <f t="shared" si="2"/>
        <v>1653.75</v>
      </c>
      <c r="L21" s="182">
        <f>'Program Budget'!N23</f>
        <v>12</v>
      </c>
      <c r="M21" s="185">
        <f>'Program Budget'!M227</f>
        <v>0.3</v>
      </c>
      <c r="N21" s="184">
        <f t="shared" si="7"/>
        <v>5953.5</v>
      </c>
      <c r="O21" s="181">
        <f t="shared" si="3"/>
        <v>1736.4375</v>
      </c>
      <c r="P21" s="182">
        <f>'Program Budget'!Q23</f>
        <v>12</v>
      </c>
      <c r="Q21" s="185">
        <f>'Program Budget'!P227</f>
        <v>0.3</v>
      </c>
      <c r="R21" s="184">
        <f t="shared" si="8"/>
        <v>6251.1750000000002</v>
      </c>
      <c r="S21" s="181">
        <f t="shared" si="4"/>
        <v>1823.2593750000001</v>
      </c>
      <c r="T21" s="182">
        <f>'Program Budget'!T23</f>
        <v>10</v>
      </c>
      <c r="U21" s="185">
        <f>'Program Budget'!S227</f>
        <v>0.3</v>
      </c>
      <c r="V21" s="184">
        <f t="shared" si="9"/>
        <v>5469.7781249999998</v>
      </c>
      <c r="W21" s="320">
        <f t="shared" si="10"/>
        <v>25969.453125</v>
      </c>
      <c r="X21" s="187"/>
      <c r="Y21" s="174"/>
      <c r="Z21" s="188"/>
      <c r="AA21" s="188"/>
      <c r="AE21" s="148">
        <v>180</v>
      </c>
      <c r="AF21" s="189" t="s">
        <v>121</v>
      </c>
      <c r="AG21" s="189" t="s">
        <v>122</v>
      </c>
      <c r="AH21" s="190"/>
      <c r="AJ21" s="191"/>
    </row>
    <row r="22" spans="1:36" ht="15" customHeight="1" outlineLevel="1">
      <c r="A22" s="179" t="str">
        <f>'Program Budget'!D24</f>
        <v xml:space="preserve">M&amp;E Director </v>
      </c>
      <c r="B22" s="180" t="str">
        <f>'Program Budget'!F228</f>
        <v>Month</v>
      </c>
      <c r="C22" s="181">
        <f>'Program Budget'!H24</f>
        <v>3916.6666666666665</v>
      </c>
      <c r="D22" s="182">
        <f>'Program Budget'!G24</f>
        <v>9</v>
      </c>
      <c r="E22" s="183">
        <f>'Program Budget'!E228</f>
        <v>0.25</v>
      </c>
      <c r="F22" s="184">
        <f t="shared" si="5"/>
        <v>8812.5</v>
      </c>
      <c r="G22" s="181">
        <f t="shared" si="1"/>
        <v>4112.5</v>
      </c>
      <c r="H22" s="182">
        <f>'Program Budget'!K24</f>
        <v>12</v>
      </c>
      <c r="I22" s="185">
        <f>'Program Budget'!J228</f>
        <v>0.3</v>
      </c>
      <c r="J22" s="184">
        <f t="shared" si="6"/>
        <v>14805</v>
      </c>
      <c r="K22" s="181">
        <f t="shared" si="2"/>
        <v>4318.125</v>
      </c>
      <c r="L22" s="182">
        <f>'Program Budget'!N24</f>
        <v>12</v>
      </c>
      <c r="M22" s="185">
        <f>'Program Budget'!M228</f>
        <v>0.3</v>
      </c>
      <c r="N22" s="184">
        <f t="shared" si="7"/>
        <v>15545.25</v>
      </c>
      <c r="O22" s="181">
        <f t="shared" si="3"/>
        <v>4534.03125</v>
      </c>
      <c r="P22" s="182">
        <f>'Program Budget'!Q24</f>
        <v>12</v>
      </c>
      <c r="Q22" s="185">
        <f>'Program Budget'!P228</f>
        <v>0.3</v>
      </c>
      <c r="R22" s="184">
        <f t="shared" si="8"/>
        <v>16322.512499999999</v>
      </c>
      <c r="S22" s="181">
        <f t="shared" si="4"/>
        <v>4760.7328125000004</v>
      </c>
      <c r="T22" s="182">
        <f>'Program Budget'!T24</f>
        <v>12</v>
      </c>
      <c r="U22" s="185">
        <f>'Program Budget'!S228</f>
        <v>0.3</v>
      </c>
      <c r="V22" s="184">
        <f t="shared" si="9"/>
        <v>17138.638125000001</v>
      </c>
      <c r="W22" s="320">
        <f t="shared" si="10"/>
        <v>72623.900624999995</v>
      </c>
      <c r="X22" s="187"/>
      <c r="Y22" s="174"/>
      <c r="Z22" s="188"/>
      <c r="AA22" s="188"/>
      <c r="AE22" s="148">
        <v>180</v>
      </c>
      <c r="AF22" s="189" t="s">
        <v>121</v>
      </c>
      <c r="AG22" s="189" t="s">
        <v>122</v>
      </c>
      <c r="AH22" s="190"/>
      <c r="AJ22" s="191"/>
    </row>
    <row r="23" spans="1:36" ht="15" customHeight="1" outlineLevel="1">
      <c r="A23" s="179" t="str">
        <f>'Program Budget'!D25</f>
        <v>M&amp;E Specialist</v>
      </c>
      <c r="B23" s="180" t="str">
        <f>'Program Budget'!F229</f>
        <v>Month</v>
      </c>
      <c r="C23" s="181">
        <f>'Program Budget'!H25</f>
        <v>1833.3333333333333</v>
      </c>
      <c r="D23" s="182">
        <f>'Program Budget'!G25</f>
        <v>8</v>
      </c>
      <c r="E23" s="183">
        <f>'Program Budget'!E229</f>
        <v>0.25</v>
      </c>
      <c r="F23" s="184">
        <f t="shared" si="5"/>
        <v>3666.6666666666665</v>
      </c>
      <c r="G23" s="181">
        <f t="shared" si="1"/>
        <v>1925</v>
      </c>
      <c r="H23" s="182">
        <f>'Program Budget'!K25</f>
        <v>12</v>
      </c>
      <c r="I23" s="185">
        <f>'Program Budget'!J229</f>
        <v>0.3</v>
      </c>
      <c r="J23" s="184">
        <f t="shared" si="6"/>
        <v>6930</v>
      </c>
      <c r="K23" s="181">
        <f t="shared" si="2"/>
        <v>2021.25</v>
      </c>
      <c r="L23" s="182">
        <f>'Program Budget'!N25</f>
        <v>12</v>
      </c>
      <c r="M23" s="185">
        <f>'Program Budget'!M229</f>
        <v>0.3</v>
      </c>
      <c r="N23" s="184">
        <f t="shared" si="7"/>
        <v>7276.5</v>
      </c>
      <c r="O23" s="181">
        <f t="shared" si="3"/>
        <v>2122.3125</v>
      </c>
      <c r="P23" s="182">
        <f>'Program Budget'!Q25</f>
        <v>12</v>
      </c>
      <c r="Q23" s="185">
        <f>'Program Budget'!P229</f>
        <v>0.3</v>
      </c>
      <c r="R23" s="184">
        <f t="shared" si="8"/>
        <v>7640.3249999999998</v>
      </c>
      <c r="S23" s="181">
        <f t="shared" si="4"/>
        <v>2228.4281249999999</v>
      </c>
      <c r="T23" s="182">
        <f>'Program Budget'!T25</f>
        <v>10</v>
      </c>
      <c r="U23" s="185">
        <f>'Program Budget'!S229</f>
        <v>0.3</v>
      </c>
      <c r="V23" s="184">
        <f t="shared" si="9"/>
        <v>6685.2843750000002</v>
      </c>
      <c r="W23" s="320">
        <f t="shared" si="10"/>
        <v>32198.776041666664</v>
      </c>
      <c r="X23" s="187"/>
      <c r="Y23" s="174"/>
      <c r="Z23" s="188"/>
      <c r="AA23" s="188"/>
      <c r="AE23" s="148">
        <v>180</v>
      </c>
      <c r="AF23" s="189" t="s">
        <v>121</v>
      </c>
      <c r="AG23" s="189" t="s">
        <v>122</v>
      </c>
      <c r="AH23" s="190"/>
      <c r="AJ23" s="191"/>
    </row>
    <row r="24" spans="1:36" ht="15" customHeight="1" outlineLevel="1">
      <c r="A24" s="179" t="str">
        <f>'Program Budget'!D26</f>
        <v xml:space="preserve">Key Personnel: Finance Director </v>
      </c>
      <c r="B24" s="180" t="str">
        <f>'Program Budget'!F230</f>
        <v>Month</v>
      </c>
      <c r="C24" s="181">
        <f>'Program Budget'!H26</f>
        <v>3916.6666666666665</v>
      </c>
      <c r="D24" s="182">
        <f>'Program Budget'!G26</f>
        <v>11</v>
      </c>
      <c r="E24" s="183">
        <f>'Program Budget'!E230</f>
        <v>0.25</v>
      </c>
      <c r="F24" s="184">
        <f t="shared" si="5"/>
        <v>10770.833333333332</v>
      </c>
      <c r="G24" s="181">
        <f t="shared" si="1"/>
        <v>4112.5</v>
      </c>
      <c r="H24" s="182">
        <f>'Program Budget'!K26</f>
        <v>12</v>
      </c>
      <c r="I24" s="185">
        <f>'Program Budget'!J230</f>
        <v>0.25</v>
      </c>
      <c r="J24" s="184">
        <f t="shared" si="6"/>
        <v>12337.5</v>
      </c>
      <c r="K24" s="181">
        <f t="shared" si="2"/>
        <v>4318.125</v>
      </c>
      <c r="L24" s="182">
        <f>'Program Budget'!N26</f>
        <v>12</v>
      </c>
      <c r="M24" s="185">
        <f>'Program Budget'!M230</f>
        <v>0.25</v>
      </c>
      <c r="N24" s="184">
        <f t="shared" si="7"/>
        <v>12954.375</v>
      </c>
      <c r="O24" s="181">
        <f t="shared" si="3"/>
        <v>4534.03125</v>
      </c>
      <c r="P24" s="182">
        <f>'Program Budget'!Q26</f>
        <v>12</v>
      </c>
      <c r="Q24" s="185">
        <f>'Program Budget'!P230</f>
        <v>0.25</v>
      </c>
      <c r="R24" s="184">
        <f t="shared" si="8"/>
        <v>13602.09375</v>
      </c>
      <c r="S24" s="181">
        <f t="shared" si="4"/>
        <v>4760.7328125000004</v>
      </c>
      <c r="T24" s="182">
        <f>'Program Budget'!T26</f>
        <v>12</v>
      </c>
      <c r="U24" s="185">
        <f>'Program Budget'!S230</f>
        <v>0.25</v>
      </c>
      <c r="V24" s="184">
        <f t="shared" si="9"/>
        <v>14282.198437500001</v>
      </c>
      <c r="W24" s="320">
        <f t="shared" si="10"/>
        <v>63947.000520833331</v>
      </c>
      <c r="X24" s="187"/>
      <c r="Y24" s="174"/>
      <c r="Z24" s="188"/>
      <c r="AA24" s="188"/>
      <c r="AE24" s="148">
        <v>180</v>
      </c>
      <c r="AF24" s="189" t="s">
        <v>121</v>
      </c>
      <c r="AG24" s="189" t="s">
        <v>122</v>
      </c>
      <c r="AH24" s="190"/>
      <c r="AJ24" s="191"/>
    </row>
    <row r="25" spans="1:36" ht="15" customHeight="1" outlineLevel="1">
      <c r="A25" s="179" t="str">
        <f>'Program Budget'!D27</f>
        <v>Contracts &amp; Compliance Specialist</v>
      </c>
      <c r="B25" s="180" t="str">
        <f>'Program Budget'!F231</f>
        <v>Month</v>
      </c>
      <c r="C25" s="181">
        <f>'Program Budget'!H27</f>
        <v>1833.3333333333333</v>
      </c>
      <c r="D25" s="182">
        <f>'Program Budget'!G27</f>
        <v>9</v>
      </c>
      <c r="E25" s="183">
        <f>'Program Budget'!E231</f>
        <v>0.25</v>
      </c>
      <c r="F25" s="184">
        <f t="shared" si="5"/>
        <v>4125</v>
      </c>
      <c r="G25" s="181">
        <f t="shared" si="1"/>
        <v>1925</v>
      </c>
      <c r="H25" s="182">
        <f>'Program Budget'!K27</f>
        <v>12</v>
      </c>
      <c r="I25" s="185">
        <f>'Program Budget'!J231</f>
        <v>0.25</v>
      </c>
      <c r="J25" s="184">
        <f t="shared" si="6"/>
        <v>5775</v>
      </c>
      <c r="K25" s="181">
        <f t="shared" si="2"/>
        <v>2021.25</v>
      </c>
      <c r="L25" s="182">
        <f>'Program Budget'!N27</f>
        <v>12</v>
      </c>
      <c r="M25" s="185">
        <f>'Program Budget'!M231</f>
        <v>0.25</v>
      </c>
      <c r="N25" s="184">
        <f t="shared" si="7"/>
        <v>6063.75</v>
      </c>
      <c r="O25" s="181">
        <f t="shared" si="3"/>
        <v>2122.3125</v>
      </c>
      <c r="P25" s="182">
        <f>'Program Budget'!Q27</f>
        <v>12</v>
      </c>
      <c r="Q25" s="185">
        <f>'Program Budget'!P231</f>
        <v>0.25</v>
      </c>
      <c r="R25" s="184">
        <f t="shared" si="8"/>
        <v>6366.9375</v>
      </c>
      <c r="S25" s="181">
        <f t="shared" si="4"/>
        <v>2228.4281249999999</v>
      </c>
      <c r="T25" s="182">
        <f>'Program Budget'!T27</f>
        <v>12</v>
      </c>
      <c r="U25" s="185">
        <f>'Program Budget'!S231</f>
        <v>0.25</v>
      </c>
      <c r="V25" s="184">
        <f t="shared" si="9"/>
        <v>6685.2843749999993</v>
      </c>
      <c r="W25" s="320">
        <f t="shared" si="10"/>
        <v>29015.971874999999</v>
      </c>
      <c r="X25" s="187"/>
      <c r="Y25" s="174"/>
      <c r="Z25" s="188"/>
      <c r="AA25" s="188"/>
      <c r="AE25" s="148"/>
      <c r="AF25" s="189"/>
      <c r="AG25" s="189"/>
      <c r="AH25" s="190"/>
      <c r="AJ25" s="191"/>
    </row>
    <row r="26" spans="1:36" ht="15" customHeight="1" outlineLevel="1">
      <c r="A26" s="179" t="str">
        <f>'Program Budget'!D28</f>
        <v>Grants &amp; Procurement Officer (2)</v>
      </c>
      <c r="B26" s="180" t="str">
        <f>'Program Budget'!F232</f>
        <v>Month</v>
      </c>
      <c r="C26" s="181">
        <f>'Program Budget'!H28</f>
        <v>2500</v>
      </c>
      <c r="D26" s="182">
        <f>'Program Budget'!G28</f>
        <v>9</v>
      </c>
      <c r="E26" s="183">
        <f>'Program Budget'!E232</f>
        <v>0.25</v>
      </c>
      <c r="F26" s="184">
        <f t="shared" si="5"/>
        <v>5625</v>
      </c>
      <c r="G26" s="181">
        <f t="shared" si="1"/>
        <v>2625</v>
      </c>
      <c r="H26" s="182">
        <f>'Program Budget'!K28</f>
        <v>12</v>
      </c>
      <c r="I26" s="185">
        <f>'Program Budget'!J232</f>
        <v>0.25</v>
      </c>
      <c r="J26" s="184">
        <f t="shared" si="6"/>
        <v>7875</v>
      </c>
      <c r="K26" s="181">
        <f t="shared" si="2"/>
        <v>2756.25</v>
      </c>
      <c r="L26" s="182">
        <f>'Program Budget'!N28</f>
        <v>12</v>
      </c>
      <c r="M26" s="185">
        <f>'Program Budget'!M232</f>
        <v>0.25</v>
      </c>
      <c r="N26" s="184">
        <f t="shared" si="7"/>
        <v>8268.75</v>
      </c>
      <c r="O26" s="181">
        <f t="shared" si="3"/>
        <v>2894.0625</v>
      </c>
      <c r="P26" s="182">
        <f>'Program Budget'!Q28</f>
        <v>12</v>
      </c>
      <c r="Q26" s="185">
        <f>'Program Budget'!P232</f>
        <v>0.25</v>
      </c>
      <c r="R26" s="184">
        <f t="shared" si="8"/>
        <v>8682.1875</v>
      </c>
      <c r="S26" s="181">
        <f t="shared" si="4"/>
        <v>3038.765625</v>
      </c>
      <c r="T26" s="182">
        <f>'Program Budget'!T28</f>
        <v>12</v>
      </c>
      <c r="U26" s="185">
        <f>'Program Budget'!S232</f>
        <v>0.25</v>
      </c>
      <c r="V26" s="184">
        <f t="shared" si="9"/>
        <v>9116.296875</v>
      </c>
      <c r="W26" s="320">
        <f t="shared" si="10"/>
        <v>39567.234375</v>
      </c>
      <c r="X26" s="187"/>
      <c r="Y26" s="174"/>
      <c r="Z26" s="188"/>
      <c r="AA26" s="188"/>
      <c r="AE26" s="148">
        <v>180</v>
      </c>
      <c r="AF26" s="189" t="s">
        <v>121</v>
      </c>
      <c r="AG26" s="189" t="s">
        <v>122</v>
      </c>
      <c r="AH26" s="190"/>
      <c r="AJ26" s="191"/>
    </row>
    <row r="27" spans="1:36" ht="15" customHeight="1" outlineLevel="1">
      <c r="A27" s="179" t="str">
        <f>'Program Budget'!D29</f>
        <v xml:space="preserve">Accountant </v>
      </c>
      <c r="B27" s="180" t="str">
        <f>'Program Budget'!F233</f>
        <v>Month</v>
      </c>
      <c r="C27" s="181">
        <f>'Program Budget'!H29</f>
        <v>1666.6666666666667</v>
      </c>
      <c r="D27" s="182">
        <f>'Program Budget'!G29</f>
        <v>10</v>
      </c>
      <c r="E27" s="183">
        <f>'Program Budget'!E233</f>
        <v>0.25</v>
      </c>
      <c r="F27" s="184">
        <f t="shared" si="5"/>
        <v>4166.666666666667</v>
      </c>
      <c r="G27" s="181">
        <f t="shared" si="1"/>
        <v>1750.0000000000002</v>
      </c>
      <c r="H27" s="182">
        <f>'Program Budget'!K29</f>
        <v>12</v>
      </c>
      <c r="I27" s="185">
        <f>'Program Budget'!J233</f>
        <v>0.25</v>
      </c>
      <c r="J27" s="184">
        <f t="shared" si="6"/>
        <v>5250.0000000000009</v>
      </c>
      <c r="K27" s="181">
        <f t="shared" si="2"/>
        <v>1837.5000000000002</v>
      </c>
      <c r="L27" s="182">
        <f>'Program Budget'!N29</f>
        <v>12</v>
      </c>
      <c r="M27" s="185">
        <f>'Program Budget'!M233</f>
        <v>0.25</v>
      </c>
      <c r="N27" s="184">
        <f t="shared" si="7"/>
        <v>5512.5000000000009</v>
      </c>
      <c r="O27" s="181">
        <f t="shared" si="3"/>
        <v>1929.3750000000002</v>
      </c>
      <c r="P27" s="182">
        <f>'Program Budget'!Q29</f>
        <v>12</v>
      </c>
      <c r="Q27" s="185">
        <f>'Program Budget'!P233</f>
        <v>0.25</v>
      </c>
      <c r="R27" s="184">
        <f t="shared" si="8"/>
        <v>5788.1250000000009</v>
      </c>
      <c r="S27" s="181">
        <f t="shared" si="4"/>
        <v>2025.8437500000002</v>
      </c>
      <c r="T27" s="182">
        <f>'Program Budget'!T29</f>
        <v>11</v>
      </c>
      <c r="U27" s="185">
        <f>'Program Budget'!S233</f>
        <v>0.25</v>
      </c>
      <c r="V27" s="184">
        <f t="shared" si="9"/>
        <v>5571.0703125000009</v>
      </c>
      <c r="W27" s="320">
        <f t="shared" si="10"/>
        <v>26288.361979166668</v>
      </c>
      <c r="X27" s="187"/>
      <c r="Y27" s="174"/>
      <c r="Z27" s="188"/>
      <c r="AA27" s="188"/>
      <c r="AE27" s="148">
        <v>180</v>
      </c>
      <c r="AF27" s="189" t="s">
        <v>121</v>
      </c>
      <c r="AG27" s="189" t="s">
        <v>122</v>
      </c>
      <c r="AH27" s="190"/>
      <c r="AJ27" s="191"/>
    </row>
    <row r="28" spans="1:36" ht="15" customHeight="1" outlineLevel="1">
      <c r="A28" s="179" t="str">
        <f>'Program Budget'!D30</f>
        <v>Administrative Officer</v>
      </c>
      <c r="B28" s="180" t="str">
        <f>'Program Budget'!F234</f>
        <v>Month</v>
      </c>
      <c r="C28" s="181">
        <f>'Program Budget'!H30</f>
        <v>833.33333333333337</v>
      </c>
      <c r="D28" s="182">
        <f>'Program Budget'!G30</f>
        <v>9</v>
      </c>
      <c r="E28" s="183">
        <f>'Program Budget'!E234</f>
        <v>0.25</v>
      </c>
      <c r="F28" s="184">
        <f t="shared" si="5"/>
        <v>1875</v>
      </c>
      <c r="G28" s="181">
        <f t="shared" si="1"/>
        <v>875.00000000000011</v>
      </c>
      <c r="H28" s="182">
        <f>'Program Budget'!K30</f>
        <v>12</v>
      </c>
      <c r="I28" s="185">
        <f>'Program Budget'!J234</f>
        <v>0.25</v>
      </c>
      <c r="J28" s="184">
        <f t="shared" si="6"/>
        <v>2625.0000000000005</v>
      </c>
      <c r="K28" s="181">
        <f t="shared" si="2"/>
        <v>918.75000000000011</v>
      </c>
      <c r="L28" s="182">
        <f>'Program Budget'!N30</f>
        <v>12</v>
      </c>
      <c r="M28" s="185">
        <f>'Program Budget'!M234</f>
        <v>0.25</v>
      </c>
      <c r="N28" s="184">
        <f t="shared" si="7"/>
        <v>2756.2500000000005</v>
      </c>
      <c r="O28" s="181">
        <f t="shared" si="3"/>
        <v>964.68750000000011</v>
      </c>
      <c r="P28" s="182">
        <f>'Program Budget'!Q30</f>
        <v>12</v>
      </c>
      <c r="Q28" s="185">
        <f>'Program Budget'!P234</f>
        <v>0.25</v>
      </c>
      <c r="R28" s="184">
        <f t="shared" si="8"/>
        <v>2894.0625000000005</v>
      </c>
      <c r="S28" s="181">
        <f t="shared" si="4"/>
        <v>1012.9218750000001</v>
      </c>
      <c r="T28" s="182">
        <f>'Program Budget'!T30</f>
        <v>10</v>
      </c>
      <c r="U28" s="185">
        <f>'Program Budget'!S234</f>
        <v>0.25</v>
      </c>
      <c r="V28" s="184">
        <f t="shared" si="9"/>
        <v>2532.3046875000005</v>
      </c>
      <c r="W28" s="320">
        <f t="shared" si="10"/>
        <v>12682.6171875</v>
      </c>
      <c r="X28" s="187"/>
      <c r="Y28" s="174"/>
      <c r="Z28" s="188"/>
      <c r="AA28" s="188"/>
      <c r="AE28" s="148">
        <v>180</v>
      </c>
      <c r="AF28" s="189" t="s">
        <v>121</v>
      </c>
      <c r="AG28" s="189" t="s">
        <v>122</v>
      </c>
      <c r="AH28" s="190"/>
      <c r="AJ28" s="191"/>
    </row>
    <row r="29" spans="1:36" ht="15" customHeight="1" outlineLevel="1">
      <c r="A29" s="179" t="str">
        <f>'Program Budget'!D31</f>
        <v>Human Resources Manager</v>
      </c>
      <c r="B29" s="180" t="str">
        <f>'Program Budget'!F235</f>
        <v>Month</v>
      </c>
      <c r="C29" s="181">
        <f>'Program Budget'!H31</f>
        <v>2500</v>
      </c>
      <c r="D29" s="182">
        <f>'Program Budget'!G31</f>
        <v>11</v>
      </c>
      <c r="E29" s="183">
        <f>'Program Budget'!E235</f>
        <v>0.25</v>
      </c>
      <c r="F29" s="184">
        <f t="shared" si="5"/>
        <v>6875</v>
      </c>
      <c r="G29" s="181">
        <f t="shared" si="1"/>
        <v>2625</v>
      </c>
      <c r="H29" s="182">
        <f>'Program Budget'!K31</f>
        <v>12</v>
      </c>
      <c r="I29" s="185">
        <f>'Program Budget'!J235</f>
        <v>0.25</v>
      </c>
      <c r="J29" s="184">
        <f t="shared" si="6"/>
        <v>7875</v>
      </c>
      <c r="K29" s="181">
        <f t="shared" si="2"/>
        <v>2756.25</v>
      </c>
      <c r="L29" s="182">
        <f>'Program Budget'!N31</f>
        <v>12</v>
      </c>
      <c r="M29" s="185">
        <f>'Program Budget'!M235</f>
        <v>0.25</v>
      </c>
      <c r="N29" s="184">
        <f t="shared" si="7"/>
        <v>8268.75</v>
      </c>
      <c r="O29" s="181">
        <f t="shared" si="3"/>
        <v>2894.0625</v>
      </c>
      <c r="P29" s="182">
        <f>'Program Budget'!Q31</f>
        <v>12</v>
      </c>
      <c r="Q29" s="185">
        <f>'Program Budget'!P235</f>
        <v>0.25</v>
      </c>
      <c r="R29" s="184">
        <f t="shared" si="8"/>
        <v>8682.1875</v>
      </c>
      <c r="S29" s="181">
        <f t="shared" si="4"/>
        <v>3038.765625</v>
      </c>
      <c r="T29" s="182">
        <f>'Program Budget'!T31</f>
        <v>12</v>
      </c>
      <c r="U29" s="185">
        <f>'Program Budget'!S235</f>
        <v>0.25</v>
      </c>
      <c r="V29" s="184">
        <f t="shared" si="9"/>
        <v>9116.296875</v>
      </c>
      <c r="W29" s="320">
        <f t="shared" si="10"/>
        <v>40817.234375</v>
      </c>
      <c r="X29" s="187"/>
      <c r="Y29" s="174"/>
      <c r="Z29" s="188"/>
      <c r="AA29" s="188"/>
      <c r="AE29" s="148">
        <v>180</v>
      </c>
      <c r="AF29" s="189" t="s">
        <v>121</v>
      </c>
      <c r="AG29" s="189" t="s">
        <v>122</v>
      </c>
      <c r="AH29" s="190"/>
      <c r="AJ29" s="191"/>
    </row>
    <row r="30" spans="1:36" ht="15" customHeight="1" outlineLevel="1">
      <c r="A30" s="179" t="str">
        <f>'Program Budget'!D32</f>
        <v>Driver (3 Individuals)</v>
      </c>
      <c r="B30" s="180" t="str">
        <f>'Program Budget'!F236</f>
        <v>Month</v>
      </c>
      <c r="C30" s="181">
        <f>'Program Budget'!H32</f>
        <v>2250</v>
      </c>
      <c r="D30" s="182">
        <f>'Program Budget'!G32</f>
        <v>3</v>
      </c>
      <c r="E30" s="183">
        <f>'Program Budget'!E236</f>
        <v>0.3</v>
      </c>
      <c r="F30" s="184">
        <f t="shared" si="5"/>
        <v>2025</v>
      </c>
      <c r="G30" s="181">
        <f t="shared" si="1"/>
        <v>2362.5</v>
      </c>
      <c r="H30" s="182">
        <f>'Program Budget'!K32</f>
        <v>12</v>
      </c>
      <c r="I30" s="185">
        <f>'Program Budget'!J236</f>
        <v>0.25</v>
      </c>
      <c r="J30" s="184">
        <f t="shared" si="6"/>
        <v>7087.5</v>
      </c>
      <c r="K30" s="181">
        <f t="shared" si="2"/>
        <v>2480.625</v>
      </c>
      <c r="L30" s="182">
        <f>'Program Budget'!N32</f>
        <v>12</v>
      </c>
      <c r="M30" s="185">
        <f>'Program Budget'!M236</f>
        <v>0.25</v>
      </c>
      <c r="N30" s="184">
        <f t="shared" si="7"/>
        <v>7441.875</v>
      </c>
      <c r="O30" s="181">
        <f t="shared" si="3"/>
        <v>2604.65625</v>
      </c>
      <c r="P30" s="182">
        <f>'Program Budget'!Q32</f>
        <v>12</v>
      </c>
      <c r="Q30" s="185">
        <f>'Program Budget'!P236</f>
        <v>0.25</v>
      </c>
      <c r="R30" s="184">
        <f t="shared" si="8"/>
        <v>7813.96875</v>
      </c>
      <c r="S30" s="181">
        <f t="shared" si="4"/>
        <v>2734.8890624999999</v>
      </c>
      <c r="T30" s="182">
        <f>'Program Budget'!T32</f>
        <v>9</v>
      </c>
      <c r="U30" s="185">
        <f>'Program Budget'!S236</f>
        <v>0.25</v>
      </c>
      <c r="V30" s="184">
        <f t="shared" si="9"/>
        <v>6153.5003906249995</v>
      </c>
      <c r="W30" s="320">
        <f t="shared" si="10"/>
        <v>30521.844140624999</v>
      </c>
      <c r="X30" s="187"/>
      <c r="Y30" s="174"/>
      <c r="Z30" s="188"/>
      <c r="AA30" s="188"/>
      <c r="AE30" s="148">
        <v>180</v>
      </c>
      <c r="AF30" s="189" t="s">
        <v>121</v>
      </c>
      <c r="AG30" s="189" t="s">
        <v>122</v>
      </c>
      <c r="AH30" s="190"/>
      <c r="AJ30" s="191"/>
    </row>
    <row r="31" spans="1:36" ht="15" customHeight="1" outlineLevel="1">
      <c r="A31" s="194" t="s">
        <v>78</v>
      </c>
      <c r="B31" s="195"/>
      <c r="C31" s="196"/>
      <c r="D31" s="197"/>
      <c r="E31" s="198"/>
      <c r="F31" s="208">
        <f>SUM(F10:F30)</f>
        <v>128950</v>
      </c>
      <c r="G31" s="196"/>
      <c r="H31" s="197"/>
      <c r="J31" s="208">
        <f>SUM(J10:J30)</f>
        <v>221865</v>
      </c>
      <c r="K31" s="196"/>
      <c r="L31" s="197"/>
      <c r="M31" s="198"/>
      <c r="N31" s="208">
        <f>SUM(N10:N30)</f>
        <v>231403.72500000001</v>
      </c>
      <c r="O31" s="196"/>
      <c r="P31" s="197"/>
      <c r="Q31" s="200"/>
      <c r="R31" s="208">
        <f>SUM(R10:R30)</f>
        <v>242973.91125</v>
      </c>
      <c r="S31" s="196"/>
      <c r="T31" s="197"/>
      <c r="U31" s="200"/>
      <c r="V31" s="208">
        <f>SUM(V10:V30)</f>
        <v>215444.431125</v>
      </c>
      <c r="W31" s="208">
        <f>SUM(W10:W30)</f>
        <v>1040637.0673749999</v>
      </c>
      <c r="AE31" s="148"/>
      <c r="AF31" s="189"/>
      <c r="AG31" s="189"/>
    </row>
    <row r="32" spans="1:36" s="175" customFormat="1" ht="15" customHeight="1" outlineLevel="1">
      <c r="A32" s="211"/>
      <c r="B32" s="202"/>
      <c r="C32" s="203"/>
      <c r="D32" s="204"/>
      <c r="E32" s="145"/>
      <c r="F32" s="184"/>
      <c r="G32" s="203"/>
      <c r="H32" s="204"/>
      <c r="I32" s="200"/>
      <c r="J32" s="184"/>
      <c r="K32" s="203"/>
      <c r="L32" s="204"/>
      <c r="M32" s="145"/>
      <c r="N32" s="184"/>
      <c r="O32" s="203"/>
      <c r="P32" s="204"/>
      <c r="Q32" s="145"/>
      <c r="R32" s="184"/>
      <c r="S32" s="203"/>
      <c r="T32" s="204"/>
      <c r="U32" s="145"/>
      <c r="V32" s="184"/>
      <c r="W32" s="192"/>
      <c r="X32" s="142"/>
      <c r="Y32" s="142"/>
      <c r="Z32" s="142"/>
      <c r="AA32" s="142"/>
      <c r="AB32" s="142"/>
      <c r="AC32" s="142"/>
      <c r="AD32" s="142"/>
      <c r="AE32" s="148"/>
      <c r="AF32" s="189"/>
      <c r="AG32" s="189"/>
      <c r="AH32" s="209"/>
      <c r="AI32" s="210"/>
      <c r="AJ32" s="142"/>
    </row>
    <row r="33" spans="1:36" s="222" customFormat="1" ht="15" customHeight="1">
      <c r="A33" s="212" t="s">
        <v>81</v>
      </c>
      <c r="B33" s="213"/>
      <c r="C33" s="214"/>
      <c r="D33" s="215"/>
      <c r="E33" s="216"/>
      <c r="F33" s="217">
        <f>F31+F8</f>
        <v>128950</v>
      </c>
      <c r="G33" s="214"/>
      <c r="H33" s="215"/>
      <c r="I33" s="218"/>
      <c r="J33" s="217">
        <f>J31+J8</f>
        <v>221865</v>
      </c>
      <c r="K33" s="214"/>
      <c r="L33" s="215"/>
      <c r="M33" s="216"/>
      <c r="N33" s="217">
        <f>N31+N8</f>
        <v>231403.72500000001</v>
      </c>
      <c r="O33" s="214"/>
      <c r="P33" s="215"/>
      <c r="Q33" s="218"/>
      <c r="R33" s="217">
        <f>R31+R8</f>
        <v>242973.91125</v>
      </c>
      <c r="S33" s="214"/>
      <c r="T33" s="215"/>
      <c r="U33" s="218"/>
      <c r="V33" s="217">
        <f>V31+V8</f>
        <v>215444.431125</v>
      </c>
      <c r="W33" s="219">
        <f>+F33+J33+N33+R33+V33</f>
        <v>1040637.067375</v>
      </c>
      <c r="X33" s="220"/>
      <c r="Y33" s="220"/>
      <c r="Z33" s="220"/>
      <c r="AA33" s="220"/>
      <c r="AB33" s="220"/>
      <c r="AC33" s="221"/>
      <c r="AD33" s="221"/>
      <c r="AE33" s="220"/>
      <c r="AG33" s="222" t="s">
        <v>120</v>
      </c>
      <c r="AJ33" s="221"/>
    </row>
    <row r="34" spans="1:36" s="175" customFormat="1" ht="15" customHeight="1" outlineLevel="1">
      <c r="A34" s="176" t="s">
        <v>82</v>
      </c>
      <c r="B34" s="177"/>
      <c r="C34" s="167"/>
      <c r="D34" s="168"/>
      <c r="E34" s="169"/>
      <c r="F34" s="170"/>
      <c r="G34" s="167"/>
      <c r="H34" s="168"/>
      <c r="I34" s="171"/>
      <c r="J34" s="172"/>
      <c r="K34" s="167"/>
      <c r="L34" s="168"/>
      <c r="M34" s="169"/>
      <c r="N34" s="172"/>
      <c r="O34" s="167"/>
      <c r="P34" s="168"/>
      <c r="Q34" s="171"/>
      <c r="R34" s="172"/>
      <c r="S34" s="167"/>
      <c r="T34" s="168"/>
      <c r="U34" s="171"/>
      <c r="V34" s="172"/>
      <c r="W34" s="173"/>
      <c r="X34" s="142"/>
      <c r="Y34" s="142"/>
      <c r="Z34" s="142"/>
      <c r="AA34" s="142"/>
      <c r="AB34" s="142"/>
      <c r="AC34" s="142"/>
      <c r="AD34" s="142"/>
      <c r="AE34" s="148"/>
      <c r="AJ34" s="142"/>
    </row>
    <row r="35" spans="1:36" s="175" customFormat="1" ht="15" customHeight="1" outlineLevel="1">
      <c r="A35" s="223" t="s">
        <v>74</v>
      </c>
      <c r="B35" s="202"/>
      <c r="C35" s="143"/>
      <c r="D35" s="251"/>
      <c r="E35" s="145"/>
      <c r="F35" s="184">
        <f>C35*D35*E35</f>
        <v>0</v>
      </c>
      <c r="G35" s="143"/>
      <c r="H35" s="251"/>
      <c r="I35" s="145"/>
      <c r="J35" s="184">
        <f>G35*H35*I35</f>
        <v>0</v>
      </c>
      <c r="K35" s="143"/>
      <c r="L35" s="251"/>
      <c r="M35" s="145"/>
      <c r="N35" s="184">
        <f>K35*L35*M35</f>
        <v>0</v>
      </c>
      <c r="O35" s="143"/>
      <c r="P35" s="251"/>
      <c r="Q35" s="145"/>
      <c r="R35" s="184">
        <f>O35*P35*Q35</f>
        <v>0</v>
      </c>
      <c r="S35" s="143"/>
      <c r="T35" s="251"/>
      <c r="U35" s="145"/>
      <c r="V35" s="184">
        <f>S35*T35*U35</f>
        <v>0</v>
      </c>
      <c r="W35" s="192">
        <f t="shared" ref="W35" si="21">F35+J35+N35+R35+V35</f>
        <v>0</v>
      </c>
      <c r="X35" s="142"/>
      <c r="Y35" s="142"/>
      <c r="Z35" s="142"/>
      <c r="AA35" s="142"/>
      <c r="AB35" s="142"/>
      <c r="AC35" s="142"/>
      <c r="AD35" s="142"/>
      <c r="AE35" s="148">
        <v>194</v>
      </c>
      <c r="AF35" s="189" t="s">
        <v>123</v>
      </c>
      <c r="AG35" s="189" t="s">
        <v>124</v>
      </c>
      <c r="AJ35" s="142"/>
    </row>
    <row r="36" spans="1:36" s="175" customFormat="1" ht="15" customHeight="1" outlineLevel="1">
      <c r="A36" s="223" t="s">
        <v>83</v>
      </c>
      <c r="B36" s="202" t="str">
        <f>'Program Budget'!F240</f>
        <v>%</v>
      </c>
      <c r="C36" s="330">
        <f>F31</f>
        <v>128950</v>
      </c>
      <c r="D36" s="204">
        <v>1</v>
      </c>
      <c r="E36" s="145">
        <f>'Program Budget'!H240</f>
        <v>0.45500000000000002</v>
      </c>
      <c r="F36" s="184">
        <f>C36*D36*E36</f>
        <v>58672.25</v>
      </c>
      <c r="G36" s="330">
        <f>J31</f>
        <v>221865</v>
      </c>
      <c r="H36" s="204">
        <v>1</v>
      </c>
      <c r="I36" s="145">
        <f t="shared" ref="I36" si="22">E36</f>
        <v>0.45500000000000002</v>
      </c>
      <c r="J36" s="184">
        <f t="shared" ref="J36" si="23">G36*H36*I36</f>
        <v>100948.575</v>
      </c>
      <c r="K36" s="330">
        <f>N31</f>
        <v>231403.72500000001</v>
      </c>
      <c r="L36" s="204">
        <v>1</v>
      </c>
      <c r="M36" s="145">
        <f t="shared" ref="M36" si="24">I36</f>
        <v>0.45500000000000002</v>
      </c>
      <c r="N36" s="184">
        <f t="shared" ref="N36" si="25">K36*L36*M36</f>
        <v>105288.694875</v>
      </c>
      <c r="O36" s="330">
        <f>R31</f>
        <v>242973.91125</v>
      </c>
      <c r="P36" s="204">
        <v>1</v>
      </c>
      <c r="Q36" s="145">
        <f t="shared" ref="Q36" si="26">M36</f>
        <v>0.45500000000000002</v>
      </c>
      <c r="R36" s="184">
        <f t="shared" ref="R36" si="27">O36*P36*Q36</f>
        <v>110553.12961875001</v>
      </c>
      <c r="S36" s="330">
        <f>V31</f>
        <v>215444.431125</v>
      </c>
      <c r="T36" s="204">
        <v>1</v>
      </c>
      <c r="U36" s="145">
        <f t="shared" ref="U36" si="28">Q36</f>
        <v>0.45500000000000002</v>
      </c>
      <c r="V36" s="184">
        <f t="shared" ref="V36" si="29">S36*T36*U36</f>
        <v>98027.216161875011</v>
      </c>
      <c r="W36" s="322">
        <f t="shared" ref="W36" si="30">F36+J36+N36+R36+V36</f>
        <v>473489.86565562501</v>
      </c>
      <c r="X36" s="142"/>
      <c r="Y36" s="142"/>
      <c r="Z36" s="142"/>
      <c r="AA36" s="142"/>
      <c r="AB36" s="142"/>
      <c r="AC36" s="142"/>
      <c r="AD36" s="142"/>
      <c r="AE36" s="224">
        <v>197</v>
      </c>
      <c r="AF36" s="225" t="s">
        <v>125</v>
      </c>
      <c r="AG36" s="225" t="s">
        <v>126</v>
      </c>
      <c r="AJ36" s="142"/>
    </row>
    <row r="37" spans="1:36" ht="15" customHeight="1" outlineLevel="1">
      <c r="A37" s="194" t="s">
        <v>85</v>
      </c>
      <c r="B37" s="195"/>
      <c r="C37" s="196"/>
      <c r="D37" s="197"/>
      <c r="E37" s="198"/>
      <c r="F37" s="199">
        <f>+SUM(F35:F36)</f>
        <v>58672.25</v>
      </c>
      <c r="G37" s="196"/>
      <c r="H37" s="197"/>
      <c r="I37" s="200"/>
      <c r="J37" s="199">
        <f>+SUM(J35:J36)</f>
        <v>100948.575</v>
      </c>
      <c r="K37" s="196"/>
      <c r="L37" s="197"/>
      <c r="M37" s="198"/>
      <c r="N37" s="199">
        <f>+SUM(N35:N36)</f>
        <v>105288.694875</v>
      </c>
      <c r="O37" s="196"/>
      <c r="P37" s="197"/>
      <c r="Q37" s="200"/>
      <c r="R37" s="199">
        <f>+SUM(R35:R36)</f>
        <v>110553.12961875001</v>
      </c>
      <c r="S37" s="196"/>
      <c r="T37" s="197"/>
      <c r="U37" s="200"/>
      <c r="V37" s="199">
        <f>+SUM(V35:V36)</f>
        <v>98027.216161875011</v>
      </c>
      <c r="W37" s="321">
        <f>+F37+J37+N37+R37+V37</f>
        <v>473489.86565562501</v>
      </c>
      <c r="AE37" s="148"/>
      <c r="AF37" s="189"/>
      <c r="AG37" s="189"/>
    </row>
    <row r="38" spans="1:36" s="175" customFormat="1" ht="15" customHeight="1" outlineLevel="1">
      <c r="A38" s="176" t="s">
        <v>86</v>
      </c>
      <c r="B38" s="233"/>
      <c r="C38" s="203"/>
      <c r="D38" s="204"/>
      <c r="E38" s="145"/>
      <c r="F38" s="234"/>
      <c r="G38" s="203"/>
      <c r="H38" s="204"/>
      <c r="I38" s="146"/>
      <c r="J38" s="207"/>
      <c r="K38" s="203"/>
      <c r="L38" s="204"/>
      <c r="M38" s="145"/>
      <c r="N38" s="207"/>
      <c r="O38" s="203"/>
      <c r="P38" s="204"/>
      <c r="Q38" s="146"/>
      <c r="R38" s="207"/>
      <c r="S38" s="203"/>
      <c r="T38" s="204"/>
      <c r="U38" s="146"/>
      <c r="V38" s="207"/>
      <c r="W38" s="320">
        <f>+F38+J38+N38+R38+V38</f>
        <v>0</v>
      </c>
      <c r="X38" s="142"/>
      <c r="Y38" s="142"/>
      <c r="Z38" s="142"/>
      <c r="AA38" s="142"/>
      <c r="AB38" s="142"/>
      <c r="AC38" s="142"/>
      <c r="AD38" s="142"/>
      <c r="AE38" s="148"/>
      <c r="AF38" s="189"/>
      <c r="AG38" s="189" t="s">
        <v>120</v>
      </c>
      <c r="AJ38" s="142"/>
    </row>
    <row r="39" spans="1:36" outlineLevel="1">
      <c r="A39" s="179" t="s">
        <v>75</v>
      </c>
      <c r="B39" s="202"/>
      <c r="D39" s="251"/>
      <c r="F39" s="184">
        <f>C39*D39*E39</f>
        <v>0</v>
      </c>
      <c r="H39" s="251"/>
      <c r="I39" s="145"/>
      <c r="J39" s="184">
        <f>G39*H39*I39</f>
        <v>0</v>
      </c>
      <c r="L39" s="251"/>
      <c r="N39" s="184">
        <f>K39*L39*M39</f>
        <v>0</v>
      </c>
      <c r="P39" s="251"/>
      <c r="Q39" s="145"/>
      <c r="R39" s="184">
        <f>O39*P39*Q39</f>
        <v>0</v>
      </c>
      <c r="T39" s="251"/>
      <c r="U39" s="145"/>
      <c r="V39" s="184">
        <f>S39*T39*U39</f>
        <v>0</v>
      </c>
      <c r="W39" s="186">
        <f t="shared" ref="W39" si="31">F39+J39+N39+R39+V39</f>
        <v>0</v>
      </c>
      <c r="AE39" s="148"/>
      <c r="AF39" s="189"/>
      <c r="AG39" s="189"/>
    </row>
    <row r="40" spans="1:36" ht="15" customHeight="1" outlineLevel="1">
      <c r="A40" s="194" t="s">
        <v>87</v>
      </c>
      <c r="B40" s="195"/>
      <c r="C40" s="196"/>
      <c r="D40" s="197"/>
      <c r="E40" s="198"/>
      <c r="F40" s="199">
        <f>SUM(F39:F39)</f>
        <v>0</v>
      </c>
      <c r="G40" s="196"/>
      <c r="H40" s="197"/>
      <c r="I40" s="200"/>
      <c r="J40" s="199">
        <f>SUM(J39:J39)</f>
        <v>0</v>
      </c>
      <c r="K40" s="196"/>
      <c r="L40" s="197"/>
      <c r="M40" s="198"/>
      <c r="N40" s="199">
        <f>SUM(N39:N39)</f>
        <v>0</v>
      </c>
      <c r="O40" s="196"/>
      <c r="P40" s="197"/>
      <c r="Q40" s="200"/>
      <c r="R40" s="199">
        <f>SUM(R39:R39)</f>
        <v>0</v>
      </c>
      <c r="S40" s="196"/>
      <c r="T40" s="197"/>
      <c r="U40" s="200"/>
      <c r="V40" s="199">
        <f>SUM(V39:V39)</f>
        <v>0</v>
      </c>
      <c r="W40" s="321">
        <f>F40+J40+N40+R40+V40</f>
        <v>0</v>
      </c>
      <c r="AE40" s="148"/>
      <c r="AF40" s="189"/>
      <c r="AG40" s="189"/>
    </row>
    <row r="41" spans="1:36" s="244" customFormat="1" ht="18.3" outlineLevel="1">
      <c r="A41" s="235" t="s">
        <v>88</v>
      </c>
      <c r="B41" s="236"/>
      <c r="C41" s="237"/>
      <c r="D41" s="238"/>
      <c r="E41" s="239"/>
      <c r="F41" s="240">
        <f>F40+F37</f>
        <v>58672.25</v>
      </c>
      <c r="G41" s="237"/>
      <c r="H41" s="238"/>
      <c r="I41" s="241"/>
      <c r="J41" s="240">
        <f>J40+J37</f>
        <v>100948.575</v>
      </c>
      <c r="K41" s="237"/>
      <c r="L41" s="238"/>
      <c r="M41" s="239"/>
      <c r="N41" s="240">
        <f>N40+N37</f>
        <v>105288.694875</v>
      </c>
      <c r="O41" s="237"/>
      <c r="P41" s="238"/>
      <c r="Q41" s="241"/>
      <c r="R41" s="240">
        <f>R40+R37</f>
        <v>110553.12961875001</v>
      </c>
      <c r="S41" s="237"/>
      <c r="T41" s="238"/>
      <c r="U41" s="241"/>
      <c r="V41" s="240">
        <f>V40+V37</f>
        <v>98027.216161875011</v>
      </c>
      <c r="W41" s="219">
        <f>+F41+J41+N41+R41+V41</f>
        <v>473489.86565562501</v>
      </c>
      <c r="X41" s="221"/>
      <c r="Y41" s="221"/>
      <c r="Z41" s="221"/>
      <c r="AA41" s="221"/>
      <c r="AB41" s="221"/>
      <c r="AC41" s="221"/>
      <c r="AD41" s="221"/>
      <c r="AE41" s="220">
        <v>287</v>
      </c>
      <c r="AF41" s="242" t="s">
        <v>129</v>
      </c>
      <c r="AG41" s="242" t="s">
        <v>130</v>
      </c>
      <c r="AH41" s="243"/>
      <c r="AJ41" s="221"/>
    </row>
    <row r="42" spans="1:36" s="246" customFormat="1" ht="15.6" outlineLevel="1">
      <c r="A42" s="176" t="s">
        <v>90</v>
      </c>
      <c r="B42" s="177"/>
      <c r="C42" s="143"/>
      <c r="D42" s="144"/>
      <c r="E42" s="169"/>
      <c r="F42" s="184"/>
      <c r="G42" s="143"/>
      <c r="H42" s="144"/>
      <c r="I42" s="171"/>
      <c r="J42" s="184"/>
      <c r="K42" s="143"/>
      <c r="L42" s="144"/>
      <c r="M42" s="169"/>
      <c r="N42" s="184"/>
      <c r="O42" s="143"/>
      <c r="P42" s="144"/>
      <c r="Q42" s="171"/>
      <c r="R42" s="184"/>
      <c r="S42" s="143"/>
      <c r="T42" s="144"/>
      <c r="U42" s="171"/>
      <c r="V42" s="184"/>
      <c r="W42" s="320"/>
      <c r="X42" s="142"/>
      <c r="Y42" s="142"/>
      <c r="Z42" s="142"/>
      <c r="AA42" s="142"/>
      <c r="AB42" s="142"/>
      <c r="AC42" s="142"/>
      <c r="AD42" s="142"/>
      <c r="AE42" s="148"/>
      <c r="AF42" s="189"/>
      <c r="AG42" s="189"/>
      <c r="AH42" s="245"/>
      <c r="AJ42" s="142"/>
    </row>
    <row r="43" spans="1:36" ht="15" customHeight="1" outlineLevel="1">
      <c r="A43" s="179" t="str">
        <f>'Program Budget'!D256</f>
        <v>Local Transportation (Car Rental, Taxis)</v>
      </c>
      <c r="B43" s="180" t="str">
        <f>'Program Budget'!F256</f>
        <v>Month</v>
      </c>
      <c r="C43" s="181">
        <f>'Program Budget'!H256</f>
        <v>50</v>
      </c>
      <c r="D43" s="182">
        <f>'Program Budget'!G256</f>
        <v>3</v>
      </c>
      <c r="E43" s="183">
        <v>1</v>
      </c>
      <c r="F43" s="184">
        <f>C43*D43*E43</f>
        <v>150</v>
      </c>
      <c r="G43" s="181">
        <f>C43*1.07</f>
        <v>53.5</v>
      </c>
      <c r="H43" s="182">
        <f>'Program Budget'!K256</f>
        <v>12</v>
      </c>
      <c r="I43" s="183">
        <v>1</v>
      </c>
      <c r="J43" s="184">
        <f>G43*H43*I43</f>
        <v>642</v>
      </c>
      <c r="K43" s="181">
        <f>G43*1.07</f>
        <v>57.245000000000005</v>
      </c>
      <c r="L43" s="182">
        <f>'Program Budget'!N256</f>
        <v>12</v>
      </c>
      <c r="M43" s="183">
        <v>1</v>
      </c>
      <c r="N43" s="184">
        <f>K43*L43*M43</f>
        <v>686.94</v>
      </c>
      <c r="O43" s="181">
        <f>K43*1.07</f>
        <v>61.252150000000007</v>
      </c>
      <c r="P43" s="182">
        <f>'Program Budget'!Q256</f>
        <v>12</v>
      </c>
      <c r="Q43" s="183">
        <v>1</v>
      </c>
      <c r="R43" s="184">
        <f>O43*P43*Q43</f>
        <v>735.02580000000012</v>
      </c>
      <c r="S43" s="181">
        <f>O43*1.07</f>
        <v>65.539800500000013</v>
      </c>
      <c r="T43" s="182">
        <f>'Program Budget'!T256</f>
        <v>9</v>
      </c>
      <c r="U43" s="183">
        <v>1</v>
      </c>
      <c r="V43" s="184">
        <f>S43*T43*U43</f>
        <v>589.85820450000006</v>
      </c>
      <c r="W43" s="320">
        <f>F43+J43+N43+R43+V43</f>
        <v>2803.8240045000002</v>
      </c>
      <c r="X43" s="187"/>
      <c r="Y43" s="174"/>
      <c r="Z43" s="188"/>
      <c r="AA43" s="188"/>
      <c r="AE43" s="148">
        <v>180</v>
      </c>
      <c r="AF43" s="189" t="s">
        <v>121</v>
      </c>
      <c r="AG43" s="189" t="s">
        <v>122</v>
      </c>
      <c r="AH43" s="190"/>
      <c r="AJ43" s="191"/>
    </row>
    <row r="44" spans="1:36" ht="15" customHeight="1" outlineLevel="1">
      <c r="A44" s="179" t="str">
        <f>'Program Budget'!D257</f>
        <v>Local Transportation for Stakeholder Workshop</v>
      </c>
      <c r="B44" s="180" t="str">
        <f>'Program Budget'!F257</f>
        <v>Trip</v>
      </c>
      <c r="C44" s="181">
        <f>'Program Budget'!H257</f>
        <v>100</v>
      </c>
      <c r="D44" s="182">
        <f>'Program Budget'!G257</f>
        <v>3</v>
      </c>
      <c r="E44" s="183">
        <v>1</v>
      </c>
      <c r="F44" s="184">
        <f>C44*D44*E44</f>
        <v>300</v>
      </c>
      <c r="G44" s="181">
        <f>C44*1.07</f>
        <v>107</v>
      </c>
      <c r="H44" s="182">
        <f>'Program Budget'!K257</f>
        <v>0</v>
      </c>
      <c r="I44" s="183">
        <v>0</v>
      </c>
      <c r="J44" s="184">
        <f>G44*H44*I44</f>
        <v>0</v>
      </c>
      <c r="K44" s="181">
        <f>G44*1.07</f>
        <v>114.49000000000001</v>
      </c>
      <c r="L44" s="182">
        <f>'Program Budget'!N257</f>
        <v>0</v>
      </c>
      <c r="M44" s="183">
        <v>0</v>
      </c>
      <c r="N44" s="184">
        <f>K44*L44*M44</f>
        <v>0</v>
      </c>
      <c r="O44" s="181">
        <f>K44*1.07</f>
        <v>122.50430000000001</v>
      </c>
      <c r="P44" s="182">
        <f>'Program Budget'!Q257</f>
        <v>0</v>
      </c>
      <c r="Q44" s="183">
        <v>0</v>
      </c>
      <c r="R44" s="184">
        <f>O44*P44*Q44</f>
        <v>0</v>
      </c>
      <c r="S44" s="181">
        <f>O44*1.07</f>
        <v>131.07960100000003</v>
      </c>
      <c r="T44" s="182">
        <f>'Program Budget'!T257</f>
        <v>0</v>
      </c>
      <c r="U44" s="183">
        <v>0</v>
      </c>
      <c r="V44" s="184">
        <f>S44*T44*U44</f>
        <v>0</v>
      </c>
      <c r="W44" s="320">
        <f>F44+J44+N44+R44+V44</f>
        <v>300</v>
      </c>
      <c r="X44" s="187"/>
      <c r="Y44" s="174"/>
      <c r="Z44" s="188"/>
      <c r="AA44" s="188"/>
      <c r="AE44" s="148">
        <v>180</v>
      </c>
      <c r="AF44" s="189" t="s">
        <v>121</v>
      </c>
      <c r="AG44" s="189" t="s">
        <v>122</v>
      </c>
      <c r="AH44" s="190"/>
      <c r="AJ44" s="191"/>
    </row>
    <row r="45" spans="1:36" ht="15" customHeight="1" outlineLevel="1">
      <c r="A45" s="179" t="str">
        <f>'Program Budget'!D259</f>
        <v>Local Transportation for Technical Package Design</v>
      </c>
      <c r="B45" s="180" t="str">
        <f>'Program Budget'!F259</f>
        <v>Trip</v>
      </c>
      <c r="C45" s="181">
        <f>'Program Budget'!H259</f>
        <v>100</v>
      </c>
      <c r="D45" s="182">
        <f>'Program Budget'!G259</f>
        <v>8</v>
      </c>
      <c r="E45" s="183">
        <v>1</v>
      </c>
      <c r="F45" s="184">
        <f>C45*D45*E45</f>
        <v>800</v>
      </c>
      <c r="G45" s="181">
        <f t="shared" ref="G45:G51" si="32">C45*1.07</f>
        <v>107</v>
      </c>
      <c r="H45" s="182">
        <f>'Program Budget'!K259</f>
        <v>0</v>
      </c>
      <c r="I45" s="183">
        <v>0</v>
      </c>
      <c r="J45" s="184">
        <f>G45*H45*I45</f>
        <v>0</v>
      </c>
      <c r="K45" s="181">
        <f t="shared" ref="K45:K51" si="33">G45*1.07</f>
        <v>114.49000000000001</v>
      </c>
      <c r="L45" s="182">
        <f>'Program Budget'!N259</f>
        <v>0</v>
      </c>
      <c r="M45" s="183">
        <v>0</v>
      </c>
      <c r="N45" s="184">
        <f>K45*L45*M45</f>
        <v>0</v>
      </c>
      <c r="O45" s="181">
        <f t="shared" ref="O45:O51" si="34">K45*1.07</f>
        <v>122.50430000000001</v>
      </c>
      <c r="P45" s="182">
        <f>'Program Budget'!Q259</f>
        <v>0</v>
      </c>
      <c r="Q45" s="183">
        <v>0</v>
      </c>
      <c r="R45" s="184">
        <f>O45*P45*Q45</f>
        <v>0</v>
      </c>
      <c r="S45" s="181">
        <f t="shared" ref="S45:S51" si="35">O45*1.07</f>
        <v>131.07960100000003</v>
      </c>
      <c r="T45" s="182">
        <f>'Program Budget'!T259</f>
        <v>0</v>
      </c>
      <c r="U45" s="183">
        <v>0</v>
      </c>
      <c r="V45" s="184">
        <f>S45*T45*U45</f>
        <v>0</v>
      </c>
      <c r="W45" s="320">
        <f>F45+J45+N45+R45+V45</f>
        <v>800</v>
      </c>
      <c r="X45" s="187"/>
      <c r="Y45" s="174"/>
      <c r="Z45" s="188"/>
      <c r="AA45" s="188"/>
      <c r="AE45" s="148">
        <v>180</v>
      </c>
      <c r="AF45" s="189" t="s">
        <v>121</v>
      </c>
      <c r="AG45" s="189" t="s">
        <v>122</v>
      </c>
      <c r="AH45" s="190"/>
      <c r="AJ45" s="191"/>
    </row>
    <row r="46" spans="1:36" ht="15" customHeight="1" outlineLevel="1">
      <c r="A46" s="179" t="str">
        <f>'Program Budget'!D261</f>
        <v>Transport Stipends for Producers Organization Leaders to Attend PASPs Trainings</v>
      </c>
      <c r="B46" s="180" t="str">
        <f>'Program Budget'!F261</f>
        <v>Participant</v>
      </c>
      <c r="C46" s="181">
        <f>'Program Budget'!H261</f>
        <v>7</v>
      </c>
      <c r="D46" s="182">
        <f>'Program Budget'!G261</f>
        <v>0</v>
      </c>
      <c r="E46" s="183">
        <v>0</v>
      </c>
      <c r="F46" s="184">
        <f t="shared" ref="F46" si="36">C46*D46*E46</f>
        <v>0</v>
      </c>
      <c r="G46" s="181">
        <f t="shared" si="32"/>
        <v>7.49</v>
      </c>
      <c r="H46" s="182">
        <f>'Program Budget'!K261</f>
        <v>36</v>
      </c>
      <c r="I46" s="183">
        <v>1</v>
      </c>
      <c r="J46" s="184">
        <f t="shared" ref="J46" si="37">G46*H46*I46</f>
        <v>269.64</v>
      </c>
      <c r="K46" s="181">
        <f t="shared" si="33"/>
        <v>8.0143000000000004</v>
      </c>
      <c r="L46" s="182">
        <f>'Program Budget'!N261</f>
        <v>38</v>
      </c>
      <c r="M46" s="183">
        <v>1</v>
      </c>
      <c r="N46" s="184">
        <f t="shared" ref="N46" si="38">K46*L46*M46</f>
        <v>304.54340000000002</v>
      </c>
      <c r="O46" s="181">
        <f t="shared" si="34"/>
        <v>8.5753010000000014</v>
      </c>
      <c r="P46" s="182">
        <f>'Program Budget'!Q261</f>
        <v>36</v>
      </c>
      <c r="Q46" s="183">
        <v>1</v>
      </c>
      <c r="R46" s="184">
        <f t="shared" ref="R46" si="39">O46*P46*Q46</f>
        <v>308.71083600000003</v>
      </c>
      <c r="S46" s="181">
        <f t="shared" si="35"/>
        <v>9.1755720700000012</v>
      </c>
      <c r="T46" s="182">
        <f>'Program Budget'!T261</f>
        <v>0</v>
      </c>
      <c r="U46" s="183">
        <v>0</v>
      </c>
      <c r="V46" s="184">
        <f t="shared" ref="V46" si="40">S46*T46*U46</f>
        <v>0</v>
      </c>
      <c r="W46" s="320">
        <f t="shared" ref="W46" si="41">F46+J46+N46+R46+V46</f>
        <v>882.89423600000009</v>
      </c>
      <c r="X46" s="187"/>
      <c r="Y46" s="174"/>
      <c r="Z46" s="188"/>
      <c r="AA46" s="188"/>
      <c r="AE46" s="148">
        <v>180</v>
      </c>
      <c r="AF46" s="189" t="s">
        <v>121</v>
      </c>
      <c r="AG46" s="189" t="s">
        <v>122</v>
      </c>
      <c r="AH46" s="190"/>
      <c r="AJ46" s="191"/>
    </row>
    <row r="47" spans="1:36" s="246" customFormat="1" ht="15.6" outlineLevel="1">
      <c r="A47" s="176" t="s">
        <v>93</v>
      </c>
      <c r="B47" s="202"/>
      <c r="C47" s="143"/>
      <c r="D47" s="144"/>
      <c r="E47" s="145"/>
      <c r="F47" s="184"/>
      <c r="G47" s="181"/>
      <c r="H47" s="144"/>
      <c r="I47" s="146"/>
      <c r="J47" s="184"/>
      <c r="K47" s="181"/>
      <c r="L47" s="144"/>
      <c r="M47" s="145"/>
      <c r="N47" s="184"/>
      <c r="O47" s="181"/>
      <c r="P47" s="144"/>
      <c r="Q47" s="146"/>
      <c r="R47" s="184"/>
      <c r="S47" s="181"/>
      <c r="T47" s="144"/>
      <c r="U47" s="146"/>
      <c r="V47" s="184"/>
      <c r="W47" s="320"/>
      <c r="X47" s="142"/>
      <c r="Y47" s="142"/>
      <c r="Z47" s="142"/>
      <c r="AA47" s="142"/>
      <c r="AB47" s="142"/>
      <c r="AC47" s="142"/>
      <c r="AD47" s="142"/>
      <c r="AE47" s="148"/>
      <c r="AF47" s="189"/>
      <c r="AG47" s="189"/>
      <c r="AH47" s="245"/>
      <c r="AJ47" s="142"/>
    </row>
    <row r="48" spans="1:36" ht="15" customHeight="1" outlineLevel="1">
      <c r="A48" s="179" t="str">
        <f>'Program Budget'!D255</f>
        <v>Vehicle Fuel Expense (for Field Office Vehicles)</v>
      </c>
      <c r="B48" s="180" t="str">
        <f>'Program Budget'!F255</f>
        <v>Month</v>
      </c>
      <c r="C48" s="181">
        <f>'Program Budget'!H255</f>
        <v>100</v>
      </c>
      <c r="D48" s="182">
        <f>'Program Budget'!G255</f>
        <v>3</v>
      </c>
      <c r="E48" s="183">
        <v>1</v>
      </c>
      <c r="F48" s="184">
        <f>C48*D48*E48</f>
        <v>300</v>
      </c>
      <c r="G48" s="181">
        <f t="shared" si="32"/>
        <v>107</v>
      </c>
      <c r="H48" s="182">
        <f>'Program Budget'!K255</f>
        <v>12</v>
      </c>
      <c r="I48" s="183">
        <v>1</v>
      </c>
      <c r="J48" s="184">
        <f>G48*H48*I48</f>
        <v>1284</v>
      </c>
      <c r="K48" s="181">
        <f t="shared" si="33"/>
        <v>114.49000000000001</v>
      </c>
      <c r="L48" s="182">
        <f>'Program Budget'!N255</f>
        <v>12</v>
      </c>
      <c r="M48" s="183">
        <v>1</v>
      </c>
      <c r="N48" s="184">
        <f>K48*L48*M48</f>
        <v>1373.88</v>
      </c>
      <c r="O48" s="181">
        <f t="shared" si="34"/>
        <v>122.50430000000001</v>
      </c>
      <c r="P48" s="182">
        <f>'Program Budget'!Q255</f>
        <v>12</v>
      </c>
      <c r="Q48" s="183">
        <v>1</v>
      </c>
      <c r="R48" s="184">
        <f>O48*P48*Q48</f>
        <v>1470.0516000000002</v>
      </c>
      <c r="S48" s="181">
        <f t="shared" si="35"/>
        <v>131.07960100000003</v>
      </c>
      <c r="T48" s="182">
        <f>'Program Budget'!T255</f>
        <v>9</v>
      </c>
      <c r="U48" s="183">
        <v>1</v>
      </c>
      <c r="V48" s="184">
        <f>S48*T48*U48</f>
        <v>1179.7164090000001</v>
      </c>
      <c r="W48" s="320">
        <f>F48+J48+N48+R48+V48</f>
        <v>5607.6480090000005</v>
      </c>
      <c r="X48" s="187"/>
      <c r="Y48" s="174"/>
      <c r="Z48" s="188"/>
      <c r="AA48" s="188"/>
      <c r="AE48" s="148">
        <v>180</v>
      </c>
      <c r="AF48" s="189" t="s">
        <v>121</v>
      </c>
      <c r="AG48" s="189" t="s">
        <v>122</v>
      </c>
      <c r="AH48" s="190"/>
      <c r="AJ48" s="191"/>
    </row>
    <row r="49" spans="1:36" s="246" customFormat="1" ht="15.6" outlineLevel="1">
      <c r="A49" s="176" t="s">
        <v>96</v>
      </c>
      <c r="B49" s="202"/>
      <c r="C49" s="143"/>
      <c r="D49" s="144"/>
      <c r="E49" s="145"/>
      <c r="F49" s="184">
        <f>C49*D49*E49</f>
        <v>0</v>
      </c>
      <c r="G49" s="181"/>
      <c r="H49" s="144"/>
      <c r="I49" s="146"/>
      <c r="J49" s="184">
        <f>G49*H49*I49</f>
        <v>0</v>
      </c>
      <c r="K49" s="181"/>
      <c r="L49" s="144"/>
      <c r="M49" s="145"/>
      <c r="N49" s="184">
        <f>K49*L49*M49</f>
        <v>0</v>
      </c>
      <c r="O49" s="181"/>
      <c r="P49" s="144"/>
      <c r="Q49" s="146"/>
      <c r="R49" s="184">
        <f>O49*P49*Q49</f>
        <v>0</v>
      </c>
      <c r="S49" s="181"/>
      <c r="T49" s="144"/>
      <c r="U49" s="146"/>
      <c r="V49" s="184"/>
      <c r="W49" s="320"/>
      <c r="X49" s="142"/>
      <c r="Y49" s="142"/>
      <c r="Z49" s="142"/>
      <c r="AA49" s="142"/>
      <c r="AB49" s="142"/>
      <c r="AC49" s="142"/>
      <c r="AD49" s="142"/>
      <c r="AE49" s="148"/>
      <c r="AF49" s="189"/>
      <c r="AG49" s="189"/>
      <c r="AH49" s="245"/>
      <c r="AJ49" s="142"/>
    </row>
    <row r="50" spans="1:36" ht="15" customHeight="1" outlineLevel="1">
      <c r="A50" s="179" t="str">
        <f>'Program Budget'!D258</f>
        <v>Lodging and M&amp;IE for Stakeholder Workshop</v>
      </c>
      <c r="B50" s="180" t="str">
        <f>'Program Budget'!F258</f>
        <v>Day</v>
      </c>
      <c r="C50" s="181">
        <f>'Program Budget'!H258</f>
        <v>129</v>
      </c>
      <c r="D50" s="182">
        <f>'Program Budget'!G258</f>
        <v>6</v>
      </c>
      <c r="E50" s="183">
        <v>1</v>
      </c>
      <c r="F50" s="184">
        <f>C50*D50*E50</f>
        <v>774</v>
      </c>
      <c r="G50" s="181">
        <f t="shared" si="32"/>
        <v>138.03</v>
      </c>
      <c r="H50" s="182">
        <f>'Program Budget'!K258</f>
        <v>0</v>
      </c>
      <c r="I50" s="183">
        <v>1</v>
      </c>
      <c r="J50" s="184">
        <f>G50*H50*I50</f>
        <v>0</v>
      </c>
      <c r="K50" s="181">
        <f t="shared" si="33"/>
        <v>147.69210000000001</v>
      </c>
      <c r="L50" s="182">
        <f>'Program Budget'!N258</f>
        <v>0</v>
      </c>
      <c r="M50" s="183">
        <v>1</v>
      </c>
      <c r="N50" s="184">
        <f>K50*L50*M50</f>
        <v>0</v>
      </c>
      <c r="O50" s="181">
        <f t="shared" si="34"/>
        <v>158.03054700000001</v>
      </c>
      <c r="P50" s="182">
        <f>'Program Budget'!Q258</f>
        <v>0</v>
      </c>
      <c r="Q50" s="183">
        <v>1</v>
      </c>
      <c r="R50" s="184">
        <f>O50*P50*Q50</f>
        <v>0</v>
      </c>
      <c r="S50" s="181">
        <f t="shared" si="35"/>
        <v>169.09268529000002</v>
      </c>
      <c r="T50" s="182">
        <f>'Program Budget'!T258</f>
        <v>0</v>
      </c>
      <c r="U50" s="183">
        <v>1</v>
      </c>
      <c r="V50" s="184">
        <f>S50*T50*U50</f>
        <v>0</v>
      </c>
      <c r="W50" s="320">
        <f>F50+J50+N50+R50+V50</f>
        <v>774</v>
      </c>
      <c r="X50" s="187"/>
      <c r="Y50" s="174"/>
      <c r="Z50" s="188"/>
      <c r="AA50" s="188"/>
      <c r="AE50" s="148">
        <v>180</v>
      </c>
      <c r="AF50" s="189" t="s">
        <v>121</v>
      </c>
      <c r="AG50" s="189" t="s">
        <v>122</v>
      </c>
      <c r="AH50" s="190"/>
      <c r="AJ50" s="191"/>
    </row>
    <row r="51" spans="1:36" ht="15" customHeight="1" outlineLevel="1">
      <c r="A51" s="179" t="str">
        <f>'Program Budget'!D260</f>
        <v>Lodging and M&amp;IE for Technical Package Design</v>
      </c>
      <c r="B51" s="180" t="str">
        <f>'Program Budget'!F260</f>
        <v>Day</v>
      </c>
      <c r="C51" s="181">
        <f>'Program Budget'!H260</f>
        <v>129</v>
      </c>
      <c r="D51" s="182">
        <f>'Program Budget'!G260</f>
        <v>16</v>
      </c>
      <c r="E51" s="183">
        <v>1</v>
      </c>
      <c r="F51" s="184">
        <f>C51*D51*E51</f>
        <v>2064</v>
      </c>
      <c r="G51" s="181">
        <f t="shared" si="32"/>
        <v>138.03</v>
      </c>
      <c r="H51" s="182">
        <f>'Program Budget'!K260</f>
        <v>0</v>
      </c>
      <c r="I51" s="183">
        <v>1</v>
      </c>
      <c r="J51" s="184">
        <f>G51*H51*I51</f>
        <v>0</v>
      </c>
      <c r="K51" s="181">
        <f t="shared" si="33"/>
        <v>147.69210000000001</v>
      </c>
      <c r="L51" s="182">
        <f>'Program Budget'!N260</f>
        <v>0</v>
      </c>
      <c r="M51" s="183">
        <v>1</v>
      </c>
      <c r="N51" s="184">
        <f>K51*L51*M51</f>
        <v>0</v>
      </c>
      <c r="O51" s="181">
        <f t="shared" si="34"/>
        <v>158.03054700000001</v>
      </c>
      <c r="P51" s="182">
        <f>'Program Budget'!Q260</f>
        <v>0</v>
      </c>
      <c r="Q51" s="183">
        <v>1</v>
      </c>
      <c r="R51" s="184">
        <f>O51*P51*Q51</f>
        <v>0</v>
      </c>
      <c r="S51" s="181">
        <f t="shared" si="35"/>
        <v>169.09268529000002</v>
      </c>
      <c r="T51" s="182">
        <f>'Program Budget'!T260</f>
        <v>0</v>
      </c>
      <c r="U51" s="183">
        <v>1</v>
      </c>
      <c r="V51" s="184">
        <f>S51*T51*U51</f>
        <v>0</v>
      </c>
      <c r="W51" s="320">
        <f>F51+J51+N51+R51+V51</f>
        <v>2064</v>
      </c>
      <c r="X51" s="187"/>
      <c r="Y51" s="174"/>
      <c r="Z51" s="188"/>
      <c r="AA51" s="188"/>
      <c r="AE51" s="148">
        <v>180</v>
      </c>
      <c r="AF51" s="189" t="s">
        <v>121</v>
      </c>
      <c r="AG51" s="189" t="s">
        <v>122</v>
      </c>
      <c r="AH51" s="190"/>
      <c r="AJ51" s="191"/>
    </row>
    <row r="52" spans="1:36" outlineLevel="1">
      <c r="A52" s="312"/>
      <c r="B52" s="202"/>
      <c r="F52" s="184"/>
      <c r="J52" s="184"/>
      <c r="N52" s="184"/>
      <c r="R52" s="184"/>
      <c r="V52" s="184"/>
      <c r="W52" s="186"/>
      <c r="AE52" s="148"/>
      <c r="AF52" s="189"/>
      <c r="AG52" s="189"/>
    </row>
    <row r="53" spans="1:36" ht="18.3">
      <c r="A53" s="247" t="s">
        <v>97</v>
      </c>
      <c r="B53" s="213"/>
      <c r="C53" s="214"/>
      <c r="D53" s="248"/>
      <c r="E53" s="249"/>
      <c r="F53" s="217">
        <f>SUM(F42:F52)</f>
        <v>4388</v>
      </c>
      <c r="G53" s="214"/>
      <c r="H53" s="248"/>
      <c r="I53" s="218"/>
      <c r="J53" s="217">
        <f>SUM(J42:J52)</f>
        <v>2195.64</v>
      </c>
      <c r="K53" s="214"/>
      <c r="L53" s="248"/>
      <c r="M53" s="249"/>
      <c r="N53" s="217">
        <f>SUM(N42:N52)</f>
        <v>2365.3634000000002</v>
      </c>
      <c r="O53" s="214"/>
      <c r="P53" s="248"/>
      <c r="Q53" s="218"/>
      <c r="R53" s="217">
        <f>SUM(R42:R52)</f>
        <v>2513.7882360000003</v>
      </c>
      <c r="S53" s="214"/>
      <c r="T53" s="248"/>
      <c r="U53" s="218"/>
      <c r="V53" s="217">
        <f>SUM(V42:V52)</f>
        <v>1769.5746135000002</v>
      </c>
      <c r="W53" s="219">
        <f>+F53+J53+N53+R53+V53</f>
        <v>13232.366249500001</v>
      </c>
      <c r="X53" s="148"/>
      <c r="Y53" s="148"/>
      <c r="Z53" s="148"/>
      <c r="AA53" s="148"/>
      <c r="AB53" s="148"/>
      <c r="AE53" s="148"/>
      <c r="AF53" s="175"/>
      <c r="AG53" s="175" t="s">
        <v>120</v>
      </c>
      <c r="AH53" s="175"/>
    </row>
    <row r="54" spans="1:36" ht="15.6" outlineLevel="1">
      <c r="A54" s="176" t="s">
        <v>49</v>
      </c>
      <c r="B54" s="250"/>
      <c r="D54" s="251"/>
      <c r="E54" s="252"/>
      <c r="F54" s="234"/>
      <c r="H54" s="251"/>
      <c r="I54" s="253"/>
      <c r="J54" s="207"/>
      <c r="L54" s="251"/>
      <c r="M54" s="252"/>
      <c r="N54" s="207"/>
      <c r="P54" s="251"/>
      <c r="Q54" s="253"/>
      <c r="R54" s="207"/>
      <c r="T54" s="251"/>
      <c r="U54" s="253"/>
      <c r="V54" s="207"/>
      <c r="W54" s="186"/>
      <c r="AE54" s="148"/>
      <c r="AF54" s="189"/>
      <c r="AG54" s="254"/>
    </row>
    <row r="55" spans="1:36" ht="15.6" outlineLevel="1">
      <c r="A55" s="255" t="str">
        <f>'Program Budget'!D244</f>
        <v>Contract for Private Agriculture Service Providers (PASPs) to Train on Technical Assistance Business Models</v>
      </c>
      <c r="B55" s="180" t="str">
        <f>'Program Budget'!F244</f>
        <v>Region</v>
      </c>
      <c r="C55" s="181">
        <f>'Program Budget'!H244</f>
        <v>25000</v>
      </c>
      <c r="D55" s="182">
        <f>'Program Budget'!G244</f>
        <v>4</v>
      </c>
      <c r="E55" s="183">
        <v>1</v>
      </c>
      <c r="F55" s="184">
        <f>C55*D55*E55</f>
        <v>100000</v>
      </c>
      <c r="G55" s="181">
        <f>(C55/2)</f>
        <v>12500</v>
      </c>
      <c r="H55" s="182">
        <f>'Program Budget'!K244</f>
        <v>4</v>
      </c>
      <c r="I55" s="183">
        <v>1</v>
      </c>
      <c r="J55" s="184">
        <f>G55*H55*I55</f>
        <v>50000</v>
      </c>
      <c r="K55" s="181">
        <f>G55</f>
        <v>12500</v>
      </c>
      <c r="L55" s="182">
        <f>'Program Budget'!N244</f>
        <v>4</v>
      </c>
      <c r="M55" s="183">
        <v>1</v>
      </c>
      <c r="N55" s="184">
        <f>K55*L55*M55</f>
        <v>50000</v>
      </c>
      <c r="O55" s="181">
        <f>K55</f>
        <v>12500</v>
      </c>
      <c r="P55" s="182">
        <f>'Program Budget'!Q244</f>
        <v>4</v>
      </c>
      <c r="Q55" s="183">
        <v>1</v>
      </c>
      <c r="R55" s="184">
        <f>O55*P55*Q55</f>
        <v>50000</v>
      </c>
      <c r="S55" s="181">
        <f>O55</f>
        <v>12500</v>
      </c>
      <c r="T55" s="182">
        <f>'Program Budget'!T244</f>
        <v>0</v>
      </c>
      <c r="U55" s="183">
        <v>0</v>
      </c>
      <c r="V55" s="184">
        <f>S55*T55*U55</f>
        <v>0</v>
      </c>
      <c r="W55" s="320">
        <f>F55+J55+N55+R55+V55</f>
        <v>250000</v>
      </c>
      <c r="AE55" s="148"/>
      <c r="AF55" s="189"/>
      <c r="AG55" s="254"/>
    </row>
    <row r="56" spans="1:36" ht="15.6" outlineLevel="1">
      <c r="A56" s="255" t="str">
        <f>'Program Budget'!D245</f>
        <v>Contract for Private Agriculture Service Providers (PASPs) to Support Capacity-Building Efforts for Producer Organizations</v>
      </c>
      <c r="B56" s="180" t="str">
        <f>'Program Budget'!F245</f>
        <v>Day</v>
      </c>
      <c r="C56" s="181">
        <f>'Program Budget'!H245</f>
        <v>350</v>
      </c>
      <c r="D56" s="182">
        <f>'Program Budget'!G245</f>
        <v>0</v>
      </c>
      <c r="E56" s="183">
        <v>0</v>
      </c>
      <c r="F56" s="184">
        <f>C56*D56*E56</f>
        <v>0</v>
      </c>
      <c r="G56" s="181">
        <f>C56</f>
        <v>350</v>
      </c>
      <c r="H56" s="182">
        <f>'Program Budget'!K245</f>
        <v>4</v>
      </c>
      <c r="I56" s="183">
        <v>1</v>
      </c>
      <c r="J56" s="184">
        <f>G56*H56*I56</f>
        <v>1400</v>
      </c>
      <c r="K56" s="181">
        <f>G56</f>
        <v>350</v>
      </c>
      <c r="L56" s="182">
        <f>'Program Budget'!N245</f>
        <v>4</v>
      </c>
      <c r="M56" s="183">
        <v>1</v>
      </c>
      <c r="N56" s="184">
        <f>K56*L56*M56</f>
        <v>1400</v>
      </c>
      <c r="O56" s="181">
        <f>K56</f>
        <v>350</v>
      </c>
      <c r="P56" s="182">
        <f>'Program Budget'!Q245</f>
        <v>4</v>
      </c>
      <c r="Q56" s="183">
        <v>1</v>
      </c>
      <c r="R56" s="184">
        <f>O56*P56*Q56</f>
        <v>1400</v>
      </c>
      <c r="S56" s="181">
        <f>O56</f>
        <v>350</v>
      </c>
      <c r="T56" s="182">
        <f>'Program Budget'!T245</f>
        <v>0</v>
      </c>
      <c r="U56" s="183">
        <v>0</v>
      </c>
      <c r="V56" s="184">
        <f>S56*T56*U56</f>
        <v>0</v>
      </c>
      <c r="W56" s="320">
        <f>F56+J56+N56+R56+V56</f>
        <v>4200</v>
      </c>
      <c r="AE56" s="148"/>
      <c r="AF56" s="189"/>
      <c r="AG56" s="254"/>
    </row>
    <row r="57" spans="1:36" ht="15.6" outlineLevel="1">
      <c r="A57" s="255" t="str">
        <f>'Program Budget'!D246</f>
        <v>Contract for Women-Led Enterprise Development Technical Assistance</v>
      </c>
      <c r="B57" s="180" t="str">
        <f>'Program Budget'!F246</f>
        <v>Unit</v>
      </c>
      <c r="C57" s="181">
        <f>'Program Budget'!H246</f>
        <v>5000</v>
      </c>
      <c r="D57" s="182">
        <f>'Program Budget'!G246</f>
        <v>0</v>
      </c>
      <c r="E57" s="183">
        <v>0</v>
      </c>
      <c r="F57" s="184">
        <f>C57*D57*E57</f>
        <v>0</v>
      </c>
      <c r="G57" s="181">
        <f>C57</f>
        <v>5000</v>
      </c>
      <c r="H57" s="182">
        <f>'Program Budget'!K246</f>
        <v>12</v>
      </c>
      <c r="I57" s="183">
        <v>1</v>
      </c>
      <c r="J57" s="184">
        <f>G57*H57*I57</f>
        <v>60000</v>
      </c>
      <c r="K57" s="181">
        <f>G57</f>
        <v>5000</v>
      </c>
      <c r="L57" s="182">
        <f>'Program Budget'!N246</f>
        <v>13</v>
      </c>
      <c r="M57" s="183">
        <v>1</v>
      </c>
      <c r="N57" s="184">
        <f>K57*L57*M57</f>
        <v>65000</v>
      </c>
      <c r="O57" s="181">
        <f>K57</f>
        <v>5000</v>
      </c>
      <c r="P57" s="182">
        <f>'Program Budget'!Q246</f>
        <v>0</v>
      </c>
      <c r="Q57" s="183">
        <v>0</v>
      </c>
      <c r="R57" s="184">
        <f>O57*P57*Q57</f>
        <v>0</v>
      </c>
      <c r="S57" s="181">
        <f>O57</f>
        <v>5000</v>
      </c>
      <c r="T57" s="182">
        <f>'Program Budget'!T246</f>
        <v>0</v>
      </c>
      <c r="U57" s="183">
        <v>0</v>
      </c>
      <c r="V57" s="184">
        <f>S57*T57*U57</f>
        <v>0</v>
      </c>
      <c r="W57" s="320">
        <f>F57+J57+N57+R57+V57</f>
        <v>125000</v>
      </c>
      <c r="AE57" s="148"/>
      <c r="AF57" s="189"/>
      <c r="AG57" s="254"/>
    </row>
    <row r="58" spans="1:36" ht="15.6" outlineLevel="1">
      <c r="A58" s="255" t="str">
        <f>'Program Budget'!D247</f>
        <v>Security Services, Risk Assessments, &amp; Security Assessment</v>
      </c>
      <c r="B58" s="180" t="str">
        <f>'Program Budget'!F247</f>
        <v>Year</v>
      </c>
      <c r="C58" s="181">
        <f>'Program Budget'!H247</f>
        <v>5000</v>
      </c>
      <c r="D58" s="182">
        <f>'Program Budget'!G247</f>
        <v>1</v>
      </c>
      <c r="E58" s="183">
        <v>1</v>
      </c>
      <c r="F58" s="184">
        <f>C58*D58*E58</f>
        <v>5000</v>
      </c>
      <c r="G58" s="181">
        <f>C58</f>
        <v>5000</v>
      </c>
      <c r="H58" s="182">
        <f>'Program Budget'!K247</f>
        <v>1</v>
      </c>
      <c r="I58" s="183">
        <v>1</v>
      </c>
      <c r="J58" s="184">
        <f>G58*H58*I58</f>
        <v>5000</v>
      </c>
      <c r="K58" s="181">
        <f>G58</f>
        <v>5000</v>
      </c>
      <c r="L58" s="182">
        <f>'Program Budget'!N247</f>
        <v>1</v>
      </c>
      <c r="M58" s="183">
        <v>1</v>
      </c>
      <c r="N58" s="184">
        <f>K58*L58*M58</f>
        <v>5000</v>
      </c>
      <c r="O58" s="181">
        <f>K58</f>
        <v>5000</v>
      </c>
      <c r="P58" s="182">
        <f>'Program Budget'!Q247</f>
        <v>1</v>
      </c>
      <c r="Q58" s="183">
        <v>1</v>
      </c>
      <c r="R58" s="184">
        <f>O58*P58*Q58</f>
        <v>5000</v>
      </c>
      <c r="S58" s="181">
        <f>O58</f>
        <v>5000</v>
      </c>
      <c r="T58" s="182">
        <f>'Program Budget'!T247</f>
        <v>1</v>
      </c>
      <c r="U58" s="183">
        <v>1</v>
      </c>
      <c r="V58" s="184">
        <f>S58*T58*U58</f>
        <v>5000</v>
      </c>
      <c r="W58" s="320">
        <f>F58+J58+N58+R58+V58</f>
        <v>25000</v>
      </c>
      <c r="AE58" s="148"/>
      <c r="AF58" s="189"/>
      <c r="AG58" s="254"/>
    </row>
    <row r="59" spans="1:36" ht="15.6" outlineLevel="1">
      <c r="A59" s="255"/>
      <c r="B59" s="180"/>
      <c r="C59" s="181"/>
      <c r="D59" s="182"/>
      <c r="E59" s="183"/>
      <c r="F59" s="184"/>
      <c r="G59" s="181"/>
      <c r="H59" s="182"/>
      <c r="I59" s="183"/>
      <c r="J59" s="184"/>
      <c r="K59" s="181"/>
      <c r="L59" s="182"/>
      <c r="M59" s="183"/>
      <c r="N59" s="184"/>
      <c r="O59" s="181"/>
      <c r="P59" s="182"/>
      <c r="Q59" s="183"/>
      <c r="R59" s="184"/>
      <c r="S59" s="181"/>
      <c r="T59" s="182"/>
      <c r="U59" s="183"/>
      <c r="V59" s="184"/>
      <c r="W59" s="320"/>
      <c r="AE59" s="148"/>
      <c r="AF59" s="189"/>
      <c r="AG59" s="254"/>
    </row>
    <row r="60" spans="1:36" ht="18.3" outlineLevel="1">
      <c r="A60" s="247" t="s">
        <v>98</v>
      </c>
      <c r="B60" s="213"/>
      <c r="C60" s="214"/>
      <c r="D60" s="248"/>
      <c r="E60" s="249"/>
      <c r="F60" s="217">
        <f>SUM(F55:F59)</f>
        <v>105000</v>
      </c>
      <c r="G60" s="214"/>
      <c r="H60" s="248"/>
      <c r="I60" s="218"/>
      <c r="J60" s="217">
        <f>SUM(J55:J59)</f>
        <v>116400</v>
      </c>
      <c r="K60" s="214"/>
      <c r="L60" s="248"/>
      <c r="M60" s="249"/>
      <c r="N60" s="217">
        <f>SUM(N55:N59)</f>
        <v>121400</v>
      </c>
      <c r="O60" s="214"/>
      <c r="P60" s="248"/>
      <c r="Q60" s="218"/>
      <c r="R60" s="217">
        <f>SUM(R55:R59)</f>
        <v>56400</v>
      </c>
      <c r="S60" s="214"/>
      <c r="T60" s="248"/>
      <c r="U60" s="218"/>
      <c r="V60" s="217">
        <f>SUM(V55:V59)</f>
        <v>5000</v>
      </c>
      <c r="W60" s="217">
        <f>SUM(W55:W59)</f>
        <v>404200</v>
      </c>
      <c r="AE60" s="148"/>
      <c r="AF60" s="189"/>
      <c r="AG60" s="254"/>
    </row>
    <row r="61" spans="1:36" ht="15.6" outlineLevel="1">
      <c r="A61" s="176" t="s">
        <v>99</v>
      </c>
      <c r="B61" s="259"/>
      <c r="D61" s="251"/>
      <c r="F61" s="184"/>
      <c r="H61" s="251"/>
      <c r="J61" s="186"/>
      <c r="L61" s="251"/>
      <c r="N61" s="186"/>
      <c r="P61" s="251"/>
      <c r="R61" s="186"/>
      <c r="T61" s="251"/>
      <c r="V61" s="186"/>
      <c r="W61" s="186"/>
      <c r="AE61" s="148"/>
    </row>
    <row r="62" spans="1:36" outlineLevel="1">
      <c r="A62" s="179" t="s">
        <v>75</v>
      </c>
      <c r="B62" s="202"/>
      <c r="D62" s="260"/>
      <c r="F62" s="184">
        <f>C62*D62*E62</f>
        <v>0</v>
      </c>
      <c r="H62" s="260"/>
      <c r="I62" s="145"/>
      <c r="J62" s="184">
        <f t="shared" ref="J62" si="42">G62*H62*I62</f>
        <v>0</v>
      </c>
      <c r="L62" s="260"/>
      <c r="N62" s="184">
        <f t="shared" ref="N62" si="43">K62*L62*M62</f>
        <v>0</v>
      </c>
      <c r="P62" s="260"/>
      <c r="Q62" s="145"/>
      <c r="R62" s="184">
        <f t="shared" ref="R62" si="44">O62*P62*Q62</f>
        <v>0</v>
      </c>
      <c r="T62" s="260"/>
      <c r="U62" s="145"/>
      <c r="V62" s="184">
        <f t="shared" ref="V62" si="45">S62*T62*U62</f>
        <v>0</v>
      </c>
      <c r="W62" s="186">
        <f t="shared" ref="W62" si="46">F62+J62+N62+R62+V62</f>
        <v>0</v>
      </c>
      <c r="AE62" s="148">
        <v>298</v>
      </c>
      <c r="AF62" s="189" t="s">
        <v>149</v>
      </c>
      <c r="AG62" s="189" t="s">
        <v>150</v>
      </c>
    </row>
    <row r="63" spans="1:36" ht="18.3" outlineLevel="1">
      <c r="A63" s="247" t="s">
        <v>100</v>
      </c>
      <c r="B63" s="213"/>
      <c r="C63" s="214"/>
      <c r="D63" s="248"/>
      <c r="E63" s="249"/>
      <c r="F63" s="217">
        <f>SUM(F62:F62)</f>
        <v>0</v>
      </c>
      <c r="G63" s="214"/>
      <c r="H63" s="248"/>
      <c r="I63" s="218"/>
      <c r="J63" s="217">
        <f>SUM(J62:J62)</f>
        <v>0</v>
      </c>
      <c r="K63" s="214"/>
      <c r="L63" s="248"/>
      <c r="M63" s="249"/>
      <c r="N63" s="217">
        <f>SUM(N62:N62)</f>
        <v>0</v>
      </c>
      <c r="O63" s="214"/>
      <c r="P63" s="248"/>
      <c r="Q63" s="218"/>
      <c r="R63" s="217">
        <f>SUM(R62:R62)</f>
        <v>0</v>
      </c>
      <c r="S63" s="214"/>
      <c r="T63" s="248"/>
      <c r="U63" s="218"/>
      <c r="V63" s="217">
        <f>SUM(V62:V62)</f>
        <v>0</v>
      </c>
      <c r="W63" s="219">
        <f>+F63+J63+N63+R63+V63</f>
        <v>0</v>
      </c>
      <c r="AE63" s="148"/>
      <c r="AF63" s="189"/>
      <c r="AG63" s="254"/>
    </row>
    <row r="64" spans="1:36" ht="15.6" outlineLevel="1">
      <c r="A64" s="176" t="s">
        <v>32</v>
      </c>
      <c r="B64" s="202"/>
      <c r="D64" s="251"/>
      <c r="F64" s="184"/>
      <c r="H64" s="251"/>
      <c r="I64" s="145"/>
      <c r="J64" s="184"/>
      <c r="L64" s="251"/>
      <c r="N64" s="184"/>
      <c r="P64" s="251"/>
      <c r="Q64" s="145"/>
      <c r="R64" s="184"/>
      <c r="T64" s="251"/>
      <c r="U64" s="145"/>
      <c r="V64" s="184"/>
      <c r="W64" s="186"/>
      <c r="AE64" s="148"/>
      <c r="AF64" s="189"/>
      <c r="AG64" s="189"/>
    </row>
    <row r="65" spans="1:33" outlineLevel="1">
      <c r="A65" s="179" t="s">
        <v>75</v>
      </c>
      <c r="B65" s="202"/>
      <c r="D65" s="260"/>
      <c r="F65" s="184">
        <f>C65*D65*E65</f>
        <v>0</v>
      </c>
      <c r="H65" s="260"/>
      <c r="I65" s="145"/>
      <c r="J65" s="184">
        <f t="shared" ref="J65" si="47">G65*H65*I65</f>
        <v>0</v>
      </c>
      <c r="L65" s="260"/>
      <c r="N65" s="184">
        <f t="shared" ref="N65" si="48">K65*L65*M65</f>
        <v>0</v>
      </c>
      <c r="P65" s="260"/>
      <c r="Q65" s="145"/>
      <c r="R65" s="184">
        <f t="shared" ref="R65" si="49">O65*P65*Q65</f>
        <v>0</v>
      </c>
      <c r="T65" s="260"/>
      <c r="U65" s="145"/>
      <c r="V65" s="184">
        <f t="shared" ref="V65" si="50">S65*T65*U65</f>
        <v>0</v>
      </c>
      <c r="W65" s="186">
        <f t="shared" ref="W65" si="51">F65+J65+N65+R65+V65</f>
        <v>0</v>
      </c>
      <c r="AE65" s="148">
        <v>298</v>
      </c>
      <c r="AF65" s="189" t="s">
        <v>149</v>
      </c>
      <c r="AG65" s="189" t="s">
        <v>150</v>
      </c>
    </row>
    <row r="66" spans="1:33" ht="18.3" outlineLevel="1">
      <c r="A66" s="247" t="s">
        <v>101</v>
      </c>
      <c r="B66" s="213"/>
      <c r="C66" s="214"/>
      <c r="D66" s="248"/>
      <c r="E66" s="249"/>
      <c r="F66" s="217">
        <f>SUM(F62:F62)</f>
        <v>0</v>
      </c>
      <c r="G66" s="214"/>
      <c r="H66" s="248"/>
      <c r="I66" s="218"/>
      <c r="J66" s="217">
        <f>SUM(J62:J62)</f>
        <v>0</v>
      </c>
      <c r="K66" s="214"/>
      <c r="L66" s="248"/>
      <c r="M66" s="249"/>
      <c r="N66" s="217">
        <f>SUM(N62:N62)</f>
        <v>0</v>
      </c>
      <c r="O66" s="214"/>
      <c r="P66" s="248"/>
      <c r="Q66" s="218"/>
      <c r="R66" s="217">
        <f>SUM(R62:R62)</f>
        <v>0</v>
      </c>
      <c r="S66" s="214"/>
      <c r="T66" s="248"/>
      <c r="U66" s="218"/>
      <c r="V66" s="217">
        <f>SUM(V62:V62)</f>
        <v>0</v>
      </c>
      <c r="W66" s="219">
        <f>+F66+J66+N66+R66+V66</f>
        <v>0</v>
      </c>
      <c r="AE66" s="148">
        <v>236</v>
      </c>
      <c r="AF66" s="189" t="s">
        <v>137</v>
      </c>
      <c r="AG66" s="254" t="s">
        <v>138</v>
      </c>
    </row>
    <row r="67" spans="1:33" ht="15.6" outlineLevel="1">
      <c r="A67" s="176" t="s">
        <v>33</v>
      </c>
      <c r="B67" s="250"/>
      <c r="D67" s="251"/>
      <c r="E67" s="252"/>
      <c r="F67" s="234"/>
      <c r="H67" s="251"/>
      <c r="I67" s="253"/>
      <c r="J67" s="207"/>
      <c r="L67" s="251"/>
      <c r="M67" s="252"/>
      <c r="N67" s="207"/>
      <c r="P67" s="251"/>
      <c r="Q67" s="253"/>
      <c r="R67" s="207"/>
      <c r="T67" s="251"/>
      <c r="U67" s="253"/>
      <c r="V67" s="207"/>
      <c r="W67" s="186"/>
      <c r="AE67" s="148">
        <v>236</v>
      </c>
      <c r="AF67" s="189" t="s">
        <v>137</v>
      </c>
      <c r="AG67" s="254" t="s">
        <v>138</v>
      </c>
    </row>
    <row r="68" spans="1:33" ht="15.6" outlineLevel="1">
      <c r="A68" s="255" t="str">
        <f>'Program Budget'!D251</f>
        <v>Communication Costs for Publication of RFPs/RFAs</v>
      </c>
      <c r="B68" s="180" t="str">
        <f>'Program Budget'!F251</f>
        <v>Unit</v>
      </c>
      <c r="C68" s="181">
        <f>'Program Budget'!H251</f>
        <v>500</v>
      </c>
      <c r="D68" s="182">
        <f>'Program Budget'!G251</f>
        <v>1</v>
      </c>
      <c r="E68" s="183">
        <v>1</v>
      </c>
      <c r="F68" s="184">
        <f t="shared" ref="F68" si="52">C68*D68*E68</f>
        <v>500</v>
      </c>
      <c r="G68" s="181">
        <f t="shared" ref="G68" si="53">C68</f>
        <v>500</v>
      </c>
      <c r="H68" s="182">
        <f>'Program Budget'!K251</f>
        <v>3</v>
      </c>
      <c r="I68" s="183">
        <v>1</v>
      </c>
      <c r="J68" s="184">
        <f t="shared" ref="J68" si="54">G68*H68*I68</f>
        <v>1500</v>
      </c>
      <c r="K68" s="181">
        <f t="shared" ref="K68" si="55">G68</f>
        <v>500</v>
      </c>
      <c r="L68" s="182">
        <f>'Program Budget'!N251</f>
        <v>1</v>
      </c>
      <c r="M68" s="183">
        <v>1</v>
      </c>
      <c r="N68" s="184">
        <f t="shared" ref="N68" si="56">K68*L68*M68</f>
        <v>500</v>
      </c>
      <c r="O68" s="181">
        <f t="shared" ref="O68" si="57">K68</f>
        <v>500</v>
      </c>
      <c r="P68" s="182">
        <f>'Program Budget'!Q251</f>
        <v>0</v>
      </c>
      <c r="Q68" s="183">
        <v>0</v>
      </c>
      <c r="R68" s="184">
        <f t="shared" ref="R68" si="58">O68*P68*Q68</f>
        <v>0</v>
      </c>
      <c r="S68" s="181">
        <f t="shared" ref="S68" si="59">O68</f>
        <v>500</v>
      </c>
      <c r="T68" s="182">
        <f>'Program Budget'!T251</f>
        <v>0</v>
      </c>
      <c r="U68" s="183">
        <v>0</v>
      </c>
      <c r="V68" s="184">
        <f t="shared" ref="V68" si="60">S68*T68*U68</f>
        <v>0</v>
      </c>
      <c r="W68" s="320">
        <f t="shared" ref="W68" si="61">F68+J68+N68+R68+V68</f>
        <v>2500</v>
      </c>
      <c r="AE68" s="148"/>
      <c r="AF68" s="189"/>
      <c r="AG68" s="189"/>
    </row>
    <row r="69" spans="1:33" outlineLevel="1">
      <c r="A69" s="179"/>
      <c r="B69" s="202"/>
      <c r="D69" s="260"/>
      <c r="F69" s="184"/>
      <c r="H69" s="260"/>
      <c r="I69" s="145"/>
      <c r="J69" s="184"/>
      <c r="L69" s="260"/>
      <c r="N69" s="184"/>
      <c r="P69" s="260"/>
      <c r="Q69" s="145"/>
      <c r="R69" s="184"/>
      <c r="T69" s="260"/>
      <c r="U69" s="145"/>
      <c r="V69" s="184"/>
      <c r="W69" s="186"/>
      <c r="AE69" s="148"/>
      <c r="AF69" s="189"/>
      <c r="AG69" s="189"/>
    </row>
    <row r="70" spans="1:33" ht="18.3" outlineLevel="1">
      <c r="A70" s="247" t="s">
        <v>102</v>
      </c>
      <c r="B70" s="213"/>
      <c r="C70" s="214"/>
      <c r="D70" s="248"/>
      <c r="E70" s="249"/>
      <c r="F70" s="217">
        <f>SUM(F68:F69)</f>
        <v>500</v>
      </c>
      <c r="G70" s="214"/>
      <c r="H70" s="248"/>
      <c r="I70" s="218"/>
      <c r="J70" s="217">
        <f>SUM(J68:J69)</f>
        <v>1500</v>
      </c>
      <c r="K70" s="214"/>
      <c r="L70" s="248"/>
      <c r="M70" s="249"/>
      <c r="N70" s="217">
        <f>SUM(N68:N69)</f>
        <v>500</v>
      </c>
      <c r="O70" s="214"/>
      <c r="P70" s="248"/>
      <c r="Q70" s="218"/>
      <c r="R70" s="217">
        <f>SUM(R68:R69)</f>
        <v>0</v>
      </c>
      <c r="S70" s="214"/>
      <c r="T70" s="248"/>
      <c r="U70" s="218"/>
      <c r="V70" s="217">
        <f>SUM(V68:V69)</f>
        <v>0</v>
      </c>
      <c r="W70" s="217">
        <f>SUM(W68:W69)</f>
        <v>2500</v>
      </c>
      <c r="AE70" s="148"/>
      <c r="AF70" s="189"/>
      <c r="AG70" s="254"/>
    </row>
    <row r="71" spans="1:33" ht="15.6" outlineLevel="1">
      <c r="A71" s="262" t="s">
        <v>103</v>
      </c>
      <c r="B71" s="202"/>
      <c r="C71" s="263"/>
      <c r="D71" s="264"/>
      <c r="F71" s="234"/>
      <c r="G71" s="263"/>
      <c r="H71" s="264"/>
      <c r="J71" s="207"/>
      <c r="K71" s="263"/>
      <c r="L71" s="264"/>
      <c r="N71" s="207"/>
      <c r="O71" s="263"/>
      <c r="P71" s="264"/>
      <c r="R71" s="207"/>
      <c r="S71" s="263"/>
      <c r="T71" s="264"/>
      <c r="V71" s="207"/>
      <c r="W71" s="186"/>
      <c r="AE71" s="148"/>
      <c r="AF71" s="189"/>
      <c r="AG71" s="254"/>
    </row>
    <row r="72" spans="1:33" ht="15.6" outlineLevel="1">
      <c r="A72" s="176" t="s">
        <v>152</v>
      </c>
      <c r="B72" s="202"/>
      <c r="C72" s="263"/>
      <c r="D72" s="264"/>
      <c r="F72" s="184"/>
      <c r="G72" s="263"/>
      <c r="H72" s="264"/>
      <c r="I72" s="145"/>
      <c r="J72" s="184"/>
      <c r="K72" s="263"/>
      <c r="L72" s="264"/>
      <c r="N72" s="184"/>
      <c r="O72" s="263"/>
      <c r="P72" s="264"/>
      <c r="Q72" s="145"/>
      <c r="R72" s="184"/>
      <c r="S72" s="263"/>
      <c r="T72" s="264"/>
      <c r="U72" s="145"/>
      <c r="V72" s="184"/>
      <c r="W72" s="186"/>
      <c r="AE72" s="148"/>
      <c r="AF72" s="189"/>
      <c r="AG72" s="254"/>
    </row>
    <row r="73" spans="1:33" ht="15.6" outlineLevel="1">
      <c r="A73" s="255" t="str">
        <f>'Program Budget'!D266</f>
        <v>Workshop with Stakeholders on Complementary Crop Feedback (Venue, Materials, Food, &amp; Refreshments)</v>
      </c>
      <c r="B73" s="180" t="str">
        <f>'Program Budget'!F266</f>
        <v>Workshop</v>
      </c>
      <c r="C73" s="181">
        <f>'Program Budget'!H266</f>
        <v>850</v>
      </c>
      <c r="D73" s="182">
        <f>'Program Budget'!G266</f>
        <v>1</v>
      </c>
      <c r="E73" s="183">
        <v>1</v>
      </c>
      <c r="F73" s="184">
        <f t="shared" ref="F73" si="62">C73*D73*E73</f>
        <v>850</v>
      </c>
      <c r="G73" s="181">
        <f t="shared" ref="G73:G78" si="63">C73</f>
        <v>850</v>
      </c>
      <c r="H73" s="182">
        <f>'Program Budget'!K266</f>
        <v>0</v>
      </c>
      <c r="I73" s="183">
        <v>0</v>
      </c>
      <c r="J73" s="184">
        <f t="shared" ref="J73" si="64">G73*H73*I73</f>
        <v>0</v>
      </c>
      <c r="K73" s="181">
        <f t="shared" ref="K73:K78" si="65">G73</f>
        <v>850</v>
      </c>
      <c r="L73" s="182">
        <f>'Program Budget'!N266</f>
        <v>0</v>
      </c>
      <c r="M73" s="183">
        <v>0</v>
      </c>
      <c r="N73" s="184">
        <f t="shared" ref="N73" si="66">K73*L73*M73</f>
        <v>0</v>
      </c>
      <c r="O73" s="181">
        <f t="shared" ref="O73:O78" si="67">K73</f>
        <v>850</v>
      </c>
      <c r="P73" s="182">
        <f>'Program Budget'!Q266</f>
        <v>0</v>
      </c>
      <c r="Q73" s="183">
        <v>0</v>
      </c>
      <c r="R73" s="184">
        <f t="shared" ref="R73" si="68">O73*P73*Q73</f>
        <v>0</v>
      </c>
      <c r="S73" s="181">
        <f t="shared" ref="S73:S78" si="69">O73</f>
        <v>850</v>
      </c>
      <c r="T73" s="182">
        <f>'Program Budget'!T266</f>
        <v>0</v>
      </c>
      <c r="U73" s="183">
        <v>0</v>
      </c>
      <c r="V73" s="184">
        <f t="shared" ref="V73" si="70">S73*T73*U73</f>
        <v>0</v>
      </c>
      <c r="W73" s="320">
        <f t="shared" ref="W73" si="71">F73+J73+N73+R73+V73</f>
        <v>850</v>
      </c>
      <c r="AE73" s="148"/>
      <c r="AF73" s="189"/>
      <c r="AG73" s="254"/>
    </row>
    <row r="74" spans="1:33" ht="15.6" outlineLevel="1">
      <c r="A74" s="255" t="str">
        <f>'Program Budget'!D267</f>
        <v>Development of Technical Package (Technical Review, Printing, &amp; Translation)</v>
      </c>
      <c r="B74" s="180" t="str">
        <f>'Program Budget'!F267</f>
        <v>Package</v>
      </c>
      <c r="C74" s="181">
        <f>'Program Budget'!H267</f>
        <v>5000</v>
      </c>
      <c r="D74" s="182">
        <f>'Program Budget'!G267</f>
        <v>4</v>
      </c>
      <c r="E74" s="183">
        <v>1</v>
      </c>
      <c r="F74" s="184">
        <f t="shared" ref="F74:F78" si="72">C74*D74*E74</f>
        <v>20000</v>
      </c>
      <c r="G74" s="181">
        <f t="shared" si="63"/>
        <v>5000</v>
      </c>
      <c r="H74" s="182">
        <f>'Program Budget'!K267</f>
        <v>0</v>
      </c>
      <c r="I74" s="183">
        <v>0</v>
      </c>
      <c r="J74" s="184">
        <f t="shared" ref="J74:J78" si="73">G74*H74*I74</f>
        <v>0</v>
      </c>
      <c r="K74" s="181">
        <f t="shared" si="65"/>
        <v>5000</v>
      </c>
      <c r="L74" s="182">
        <f>'Program Budget'!N267</f>
        <v>0</v>
      </c>
      <c r="M74" s="183">
        <v>0</v>
      </c>
      <c r="N74" s="184">
        <f t="shared" ref="N74:N78" si="74">K74*L74*M74</f>
        <v>0</v>
      </c>
      <c r="O74" s="181">
        <f t="shared" si="67"/>
        <v>5000</v>
      </c>
      <c r="P74" s="182">
        <f>'Program Budget'!Q267</f>
        <v>0</v>
      </c>
      <c r="Q74" s="183">
        <v>0</v>
      </c>
      <c r="R74" s="184">
        <f t="shared" ref="R74:R78" si="75">O74*P74*Q74</f>
        <v>0</v>
      </c>
      <c r="S74" s="181">
        <f t="shared" si="69"/>
        <v>5000</v>
      </c>
      <c r="T74" s="182">
        <f>'Program Budget'!T267</f>
        <v>0</v>
      </c>
      <c r="U74" s="183">
        <v>0</v>
      </c>
      <c r="V74" s="184">
        <f t="shared" ref="V74:V78" si="76">S74*T74*U74</f>
        <v>0</v>
      </c>
      <c r="W74" s="320">
        <f t="shared" ref="W74:W78" si="77">F74+J74+N74+R74+V74</f>
        <v>20000</v>
      </c>
      <c r="AE74" s="148"/>
      <c r="AF74" s="189"/>
      <c r="AG74" s="254"/>
    </row>
    <row r="75" spans="1:33" ht="15.6" outlineLevel="1">
      <c r="A75" s="255" t="str">
        <f>'Program Budget'!D268</f>
        <v>Train PASPs in Cost-Efficient Date and Complementary Oasis Production (Venue, Materials, Food, &amp; Refreshments)</v>
      </c>
      <c r="B75" s="180" t="str">
        <f>'Program Budget'!F268</f>
        <v>Training</v>
      </c>
      <c r="C75" s="181">
        <f>'Program Budget'!H268</f>
        <v>730</v>
      </c>
      <c r="D75" s="182">
        <f>'Program Budget'!G268</f>
        <v>2</v>
      </c>
      <c r="E75" s="183">
        <v>1</v>
      </c>
      <c r="F75" s="184">
        <f t="shared" si="72"/>
        <v>1460</v>
      </c>
      <c r="G75" s="181">
        <f t="shared" si="63"/>
        <v>730</v>
      </c>
      <c r="H75" s="182">
        <f>'Program Budget'!K268</f>
        <v>0</v>
      </c>
      <c r="I75" s="183">
        <v>0</v>
      </c>
      <c r="J75" s="184">
        <f t="shared" si="73"/>
        <v>0</v>
      </c>
      <c r="K75" s="181">
        <f t="shared" si="65"/>
        <v>730</v>
      </c>
      <c r="L75" s="182">
        <f>'Program Budget'!N268</f>
        <v>0</v>
      </c>
      <c r="M75" s="183">
        <v>0</v>
      </c>
      <c r="N75" s="184">
        <f t="shared" si="74"/>
        <v>0</v>
      </c>
      <c r="O75" s="181">
        <f t="shared" si="67"/>
        <v>730</v>
      </c>
      <c r="P75" s="182">
        <f>'Program Budget'!Q268</f>
        <v>0</v>
      </c>
      <c r="Q75" s="183">
        <v>0</v>
      </c>
      <c r="R75" s="184">
        <f t="shared" si="75"/>
        <v>0</v>
      </c>
      <c r="S75" s="181">
        <f t="shared" si="69"/>
        <v>730</v>
      </c>
      <c r="T75" s="182">
        <f>'Program Budget'!T268</f>
        <v>0</v>
      </c>
      <c r="U75" s="183">
        <v>0</v>
      </c>
      <c r="V75" s="184">
        <f t="shared" si="76"/>
        <v>0</v>
      </c>
      <c r="W75" s="320">
        <f t="shared" si="77"/>
        <v>1460</v>
      </c>
      <c r="AE75" s="148"/>
      <c r="AF75" s="189"/>
      <c r="AG75" s="254"/>
    </row>
    <row r="76" spans="1:33" ht="15.6" outlineLevel="1">
      <c r="A76" s="255" t="str">
        <f>'Program Budget'!D269</f>
        <v>PASPs Trainings to Support Capacity-Building Efforts for Producer Organizations (Materials, Food, &amp; Refreshments)</v>
      </c>
      <c r="B76" s="180" t="str">
        <f>'Program Budget'!F269</f>
        <v>Day</v>
      </c>
      <c r="C76" s="181">
        <f>'Program Budget'!H269</f>
        <v>330</v>
      </c>
      <c r="D76" s="182">
        <f>'Program Budget'!G269</f>
        <v>0</v>
      </c>
      <c r="E76" s="183">
        <v>0</v>
      </c>
      <c r="F76" s="184">
        <f t="shared" si="72"/>
        <v>0</v>
      </c>
      <c r="G76" s="181">
        <f t="shared" si="63"/>
        <v>330</v>
      </c>
      <c r="H76" s="182">
        <f>'Program Budget'!K269</f>
        <v>4</v>
      </c>
      <c r="I76" s="183">
        <v>1</v>
      </c>
      <c r="J76" s="184">
        <f t="shared" si="73"/>
        <v>1320</v>
      </c>
      <c r="K76" s="181">
        <f t="shared" si="65"/>
        <v>330</v>
      </c>
      <c r="L76" s="182">
        <f>'Program Budget'!N269</f>
        <v>4</v>
      </c>
      <c r="M76" s="183">
        <v>1</v>
      </c>
      <c r="N76" s="184">
        <f t="shared" si="74"/>
        <v>1320</v>
      </c>
      <c r="O76" s="181">
        <f t="shared" si="67"/>
        <v>330</v>
      </c>
      <c r="P76" s="182">
        <f>'Program Budget'!Q269</f>
        <v>4</v>
      </c>
      <c r="Q76" s="183">
        <v>1</v>
      </c>
      <c r="R76" s="184">
        <f t="shared" si="75"/>
        <v>1320</v>
      </c>
      <c r="S76" s="181">
        <f t="shared" si="69"/>
        <v>330</v>
      </c>
      <c r="T76" s="182">
        <f>'Program Budget'!T269</f>
        <v>0</v>
      </c>
      <c r="U76" s="183">
        <v>0</v>
      </c>
      <c r="V76" s="184">
        <f t="shared" si="76"/>
        <v>0</v>
      </c>
      <c r="W76" s="320">
        <f t="shared" si="77"/>
        <v>3960</v>
      </c>
      <c r="AE76" s="148"/>
      <c r="AF76" s="189"/>
      <c r="AG76" s="254"/>
    </row>
    <row r="77" spans="1:33" ht="15.6" outlineLevel="1">
      <c r="A77" s="255" t="str">
        <f>'Program Budget'!D270</f>
        <v>Training on Best Practices with US Grains Council for Alfalfa Processers (Materials, Food, &amp; Refreshments)</v>
      </c>
      <c r="B77" s="180" t="str">
        <f>'Program Budget'!F270</f>
        <v>Training</v>
      </c>
      <c r="C77" s="181">
        <f>'Program Budget'!H270</f>
        <v>380</v>
      </c>
      <c r="D77" s="182">
        <f>'Program Budget'!G270</f>
        <v>0</v>
      </c>
      <c r="E77" s="183">
        <v>0</v>
      </c>
      <c r="F77" s="184">
        <f t="shared" si="72"/>
        <v>0</v>
      </c>
      <c r="G77" s="181">
        <f t="shared" si="63"/>
        <v>380</v>
      </c>
      <c r="H77" s="182">
        <f>'Program Budget'!K270</f>
        <v>2</v>
      </c>
      <c r="I77" s="183">
        <v>1</v>
      </c>
      <c r="J77" s="184">
        <f t="shared" si="73"/>
        <v>760</v>
      </c>
      <c r="K77" s="181">
        <f t="shared" si="65"/>
        <v>380</v>
      </c>
      <c r="L77" s="182">
        <f>'Program Budget'!N270</f>
        <v>0</v>
      </c>
      <c r="M77" s="183">
        <v>0</v>
      </c>
      <c r="N77" s="184">
        <f t="shared" si="74"/>
        <v>0</v>
      </c>
      <c r="O77" s="181">
        <f t="shared" si="67"/>
        <v>380</v>
      </c>
      <c r="P77" s="182">
        <f>'Program Budget'!Q270</f>
        <v>0</v>
      </c>
      <c r="Q77" s="183">
        <v>0</v>
      </c>
      <c r="R77" s="184">
        <f t="shared" si="75"/>
        <v>0</v>
      </c>
      <c r="S77" s="181">
        <f t="shared" si="69"/>
        <v>380</v>
      </c>
      <c r="T77" s="182">
        <f>'Program Budget'!T270</f>
        <v>0</v>
      </c>
      <c r="U77" s="183">
        <v>0</v>
      </c>
      <c r="V77" s="184">
        <f t="shared" si="76"/>
        <v>0</v>
      </c>
      <c r="W77" s="320">
        <f t="shared" si="77"/>
        <v>760</v>
      </c>
      <c r="AE77" s="148"/>
      <c r="AF77" s="189"/>
      <c r="AG77" s="254"/>
    </row>
    <row r="78" spans="1:33" ht="15.6" outlineLevel="1">
      <c r="A78" s="255" t="str">
        <f>'Program Budget'!D271</f>
        <v>Meeting Expenses with Producer Organizations and Stakeholders</v>
      </c>
      <c r="B78" s="180" t="str">
        <f>'Program Budget'!F271</f>
        <v>Meeting</v>
      </c>
      <c r="C78" s="181">
        <f>'Program Budget'!H271</f>
        <v>75</v>
      </c>
      <c r="D78" s="182">
        <f>'Program Budget'!G271</f>
        <v>4</v>
      </c>
      <c r="E78" s="183">
        <v>1</v>
      </c>
      <c r="F78" s="184">
        <f t="shared" si="72"/>
        <v>300</v>
      </c>
      <c r="G78" s="181">
        <f t="shared" si="63"/>
        <v>75</v>
      </c>
      <c r="H78" s="182">
        <f>'Program Budget'!K271</f>
        <v>8</v>
      </c>
      <c r="I78" s="183">
        <v>1</v>
      </c>
      <c r="J78" s="184">
        <f t="shared" si="73"/>
        <v>600</v>
      </c>
      <c r="K78" s="181">
        <f t="shared" si="65"/>
        <v>75</v>
      </c>
      <c r="L78" s="182">
        <f>'Program Budget'!N271</f>
        <v>8</v>
      </c>
      <c r="M78" s="183">
        <v>1</v>
      </c>
      <c r="N78" s="184">
        <f t="shared" si="74"/>
        <v>600</v>
      </c>
      <c r="O78" s="181">
        <f t="shared" si="67"/>
        <v>75</v>
      </c>
      <c r="P78" s="182">
        <f>'Program Budget'!Q271</f>
        <v>4</v>
      </c>
      <c r="Q78" s="183">
        <v>1</v>
      </c>
      <c r="R78" s="184">
        <f t="shared" si="75"/>
        <v>300</v>
      </c>
      <c r="S78" s="181">
        <f t="shared" si="69"/>
        <v>75</v>
      </c>
      <c r="T78" s="182">
        <f>'Program Budget'!T271</f>
        <v>4</v>
      </c>
      <c r="U78" s="183">
        <v>1</v>
      </c>
      <c r="V78" s="184">
        <f t="shared" si="76"/>
        <v>300</v>
      </c>
      <c r="W78" s="320">
        <f t="shared" si="77"/>
        <v>2100</v>
      </c>
      <c r="AE78" s="148"/>
      <c r="AF78" s="189"/>
      <c r="AG78" s="254"/>
    </row>
    <row r="79" spans="1:33" ht="15.6" outlineLevel="1">
      <c r="A79" s="176" t="s">
        <v>107</v>
      </c>
      <c r="B79" s="180"/>
      <c r="C79" s="181"/>
      <c r="D79" s="182"/>
      <c r="E79" s="183"/>
      <c r="F79" s="184"/>
      <c r="G79" s="181"/>
      <c r="H79" s="182"/>
      <c r="I79" s="183"/>
      <c r="J79" s="184"/>
      <c r="K79" s="181"/>
      <c r="L79" s="182"/>
      <c r="M79" s="183"/>
      <c r="N79" s="184"/>
      <c r="O79" s="181"/>
      <c r="P79" s="182"/>
      <c r="Q79" s="183"/>
      <c r="R79" s="184"/>
      <c r="S79" s="181"/>
      <c r="T79" s="182"/>
      <c r="U79" s="183"/>
      <c r="V79" s="184"/>
      <c r="W79" s="320"/>
      <c r="AE79" s="148"/>
      <c r="AF79" s="189"/>
      <c r="AG79" s="254"/>
    </row>
    <row r="80" spans="1:33" ht="15.6" outlineLevel="1">
      <c r="A80" s="255" t="str">
        <f>'Program Budget'!D273</f>
        <v xml:space="preserve">Cold Storage Grants </v>
      </c>
      <c r="B80" s="180" t="str">
        <f>'Program Budget'!F273</f>
        <v>Grant</v>
      </c>
      <c r="C80" s="181">
        <f>'Program Budget'!H273</f>
        <v>3750</v>
      </c>
      <c r="D80" s="182">
        <f>'Program Budget'!G273</f>
        <v>0</v>
      </c>
      <c r="E80" s="183">
        <v>0</v>
      </c>
      <c r="F80" s="184">
        <f t="shared" ref="F80:F82" si="78">C80*D80*E80</f>
        <v>0</v>
      </c>
      <c r="G80" s="181">
        <f>C80</f>
        <v>3750</v>
      </c>
      <c r="H80" s="182">
        <f>'Program Budget'!K273</f>
        <v>60</v>
      </c>
      <c r="I80" s="183">
        <v>1</v>
      </c>
      <c r="J80" s="184">
        <f t="shared" ref="J80:J82" si="79">G80*H80*I80</f>
        <v>225000</v>
      </c>
      <c r="K80" s="181">
        <f>G80</f>
        <v>3750</v>
      </c>
      <c r="L80" s="182">
        <f>'Program Budget'!N273</f>
        <v>0</v>
      </c>
      <c r="M80" s="183">
        <v>0</v>
      </c>
      <c r="N80" s="184">
        <f t="shared" ref="N80:N82" si="80">K80*L80*M80</f>
        <v>0</v>
      </c>
      <c r="O80" s="181">
        <f>K80</f>
        <v>3750</v>
      </c>
      <c r="P80" s="182">
        <f>'Program Budget'!Q273</f>
        <v>0</v>
      </c>
      <c r="Q80" s="183">
        <v>0</v>
      </c>
      <c r="R80" s="184">
        <f t="shared" ref="R80:R82" si="81">O80*P80*Q80</f>
        <v>0</v>
      </c>
      <c r="S80" s="181">
        <f>O80</f>
        <v>3750</v>
      </c>
      <c r="T80" s="182">
        <f>'Program Budget'!T273</f>
        <v>0</v>
      </c>
      <c r="U80" s="183">
        <v>0</v>
      </c>
      <c r="V80" s="184">
        <f t="shared" ref="V80:V82" si="82">S80*T80*U80</f>
        <v>0</v>
      </c>
      <c r="W80" s="320">
        <f t="shared" ref="W80:W82" si="83">F80+J80+N80+R80+V80</f>
        <v>225000</v>
      </c>
      <c r="AE80" s="148"/>
      <c r="AF80" s="189"/>
      <c r="AG80" s="254"/>
    </row>
    <row r="81" spans="1:33" ht="15.6" outlineLevel="1">
      <c r="A81" s="255" t="str">
        <f>'Program Budget'!D274</f>
        <v>Grants for Alfalfa Processers</v>
      </c>
      <c r="B81" s="180" t="str">
        <f>'Program Budget'!F274</f>
        <v>Grant</v>
      </c>
      <c r="C81" s="181">
        <f>'Program Budget'!H274</f>
        <v>5000</v>
      </c>
      <c r="D81" s="182">
        <f>'Program Budget'!G274</f>
        <v>0</v>
      </c>
      <c r="E81" s="183">
        <v>0</v>
      </c>
      <c r="F81" s="184">
        <f t="shared" si="78"/>
        <v>0</v>
      </c>
      <c r="G81" s="181">
        <f>C81</f>
        <v>5000</v>
      </c>
      <c r="H81" s="182">
        <f>'Program Budget'!K274</f>
        <v>4</v>
      </c>
      <c r="I81" s="183">
        <v>1</v>
      </c>
      <c r="J81" s="184">
        <f t="shared" si="79"/>
        <v>20000</v>
      </c>
      <c r="K81" s="181">
        <f>G81</f>
        <v>5000</v>
      </c>
      <c r="L81" s="182">
        <f>'Program Budget'!N274</f>
        <v>0</v>
      </c>
      <c r="M81" s="183">
        <v>0</v>
      </c>
      <c r="N81" s="184">
        <f t="shared" si="80"/>
        <v>0</v>
      </c>
      <c r="O81" s="181">
        <f>K81</f>
        <v>5000</v>
      </c>
      <c r="P81" s="182">
        <f>'Program Budget'!Q274</f>
        <v>0</v>
      </c>
      <c r="Q81" s="183">
        <v>0</v>
      </c>
      <c r="R81" s="184">
        <f t="shared" si="81"/>
        <v>0</v>
      </c>
      <c r="S81" s="181">
        <f>O81</f>
        <v>5000</v>
      </c>
      <c r="T81" s="182">
        <f>'Program Budget'!T274</f>
        <v>0</v>
      </c>
      <c r="U81" s="183">
        <v>0</v>
      </c>
      <c r="V81" s="184">
        <f t="shared" si="82"/>
        <v>0</v>
      </c>
      <c r="W81" s="320">
        <f t="shared" si="83"/>
        <v>20000</v>
      </c>
      <c r="AE81" s="148"/>
      <c r="AF81" s="189"/>
      <c r="AG81" s="254"/>
    </row>
    <row r="82" spans="1:33" ht="15.6" outlineLevel="1">
      <c r="A82" s="255" t="str">
        <f>'Program Budget'!D275</f>
        <v>Women-Led Enterprise Development Grants</v>
      </c>
      <c r="B82" s="180" t="str">
        <f>'Program Budget'!F275</f>
        <v>Grant</v>
      </c>
      <c r="C82" s="181">
        <f>'Program Budget'!H275</f>
        <v>7500</v>
      </c>
      <c r="D82" s="182">
        <f>'Program Budget'!G275</f>
        <v>0</v>
      </c>
      <c r="E82" s="183">
        <v>0</v>
      </c>
      <c r="F82" s="184">
        <f t="shared" si="78"/>
        <v>0</v>
      </c>
      <c r="G82" s="181">
        <f>C82</f>
        <v>7500</v>
      </c>
      <c r="H82" s="182">
        <f>'Program Budget'!K275</f>
        <v>12</v>
      </c>
      <c r="I82" s="183">
        <v>1</v>
      </c>
      <c r="J82" s="184">
        <f t="shared" si="79"/>
        <v>90000</v>
      </c>
      <c r="K82" s="181">
        <f>G82</f>
        <v>7500</v>
      </c>
      <c r="L82" s="182">
        <f>'Program Budget'!N275</f>
        <v>13</v>
      </c>
      <c r="M82" s="183">
        <v>1</v>
      </c>
      <c r="N82" s="184">
        <f t="shared" si="80"/>
        <v>97500</v>
      </c>
      <c r="O82" s="181">
        <f>K82</f>
        <v>7500</v>
      </c>
      <c r="P82" s="182">
        <f>'Program Budget'!Q275</f>
        <v>0</v>
      </c>
      <c r="Q82" s="183">
        <v>0</v>
      </c>
      <c r="R82" s="184">
        <f t="shared" si="81"/>
        <v>0</v>
      </c>
      <c r="S82" s="181">
        <f>O82</f>
        <v>7500</v>
      </c>
      <c r="T82" s="182">
        <f>'Program Budget'!T275</f>
        <v>0</v>
      </c>
      <c r="U82" s="183">
        <v>0</v>
      </c>
      <c r="V82" s="184">
        <f t="shared" si="82"/>
        <v>0</v>
      </c>
      <c r="W82" s="320">
        <f t="shared" si="83"/>
        <v>187500</v>
      </c>
      <c r="AE82" s="148"/>
      <c r="AF82" s="189"/>
      <c r="AG82" s="254"/>
    </row>
    <row r="83" spans="1:33" ht="15.6" outlineLevel="1">
      <c r="A83" s="267"/>
      <c r="B83" s="227"/>
      <c r="C83" s="265"/>
      <c r="D83" s="266"/>
      <c r="E83" s="230"/>
      <c r="F83" s="231"/>
      <c r="G83" s="265"/>
      <c r="H83" s="266"/>
      <c r="I83" s="230"/>
      <c r="J83" s="231"/>
      <c r="K83" s="265"/>
      <c r="L83" s="266"/>
      <c r="M83" s="230"/>
      <c r="N83" s="231"/>
      <c r="O83" s="265"/>
      <c r="P83" s="266"/>
      <c r="Q83" s="230"/>
      <c r="R83" s="231"/>
      <c r="S83" s="265"/>
      <c r="T83" s="266"/>
      <c r="U83" s="230"/>
      <c r="V83" s="231"/>
      <c r="W83" s="186"/>
      <c r="AE83" s="148"/>
      <c r="AF83" s="189"/>
      <c r="AG83" s="254"/>
    </row>
    <row r="84" spans="1:33" ht="18.3" outlineLevel="1">
      <c r="A84" s="268" t="s">
        <v>110</v>
      </c>
      <c r="B84" s="213"/>
      <c r="C84" s="237"/>
      <c r="D84" s="238"/>
      <c r="E84" s="269"/>
      <c r="F84" s="240">
        <f>SUM(F72:F83)</f>
        <v>22610</v>
      </c>
      <c r="G84" s="237"/>
      <c r="H84" s="238"/>
      <c r="I84" s="241"/>
      <c r="J84" s="240">
        <f>SUM(J72:J83)</f>
        <v>337680</v>
      </c>
      <c r="K84" s="237"/>
      <c r="L84" s="238"/>
      <c r="M84" s="269"/>
      <c r="N84" s="240">
        <f>SUM(N72:N83)</f>
        <v>99420</v>
      </c>
      <c r="O84" s="237"/>
      <c r="P84" s="238"/>
      <c r="Q84" s="241"/>
      <c r="R84" s="240">
        <f>SUM(R72:R83)</f>
        <v>1620</v>
      </c>
      <c r="S84" s="237"/>
      <c r="T84" s="238"/>
      <c r="U84" s="241"/>
      <c r="V84" s="240">
        <f>SUM(V72:V83)</f>
        <v>300</v>
      </c>
      <c r="W84" s="219">
        <f>+F84+J84+N84+R84+V84</f>
        <v>461630</v>
      </c>
      <c r="AE84" s="148">
        <v>250</v>
      </c>
      <c r="AF84" s="189" t="s">
        <v>141</v>
      </c>
      <c r="AG84" s="254" t="s">
        <v>142</v>
      </c>
    </row>
    <row r="85" spans="1:33" ht="15.6" outlineLevel="1">
      <c r="A85" s="270"/>
      <c r="B85" s="225"/>
      <c r="C85" s="263"/>
      <c r="D85" s="264"/>
      <c r="F85" s="184"/>
      <c r="G85" s="263"/>
      <c r="H85" s="264"/>
      <c r="J85" s="186"/>
      <c r="K85" s="263"/>
      <c r="L85" s="264"/>
      <c r="N85" s="186"/>
      <c r="O85" s="263"/>
      <c r="P85" s="264"/>
      <c r="R85" s="186"/>
      <c r="S85" s="263"/>
      <c r="T85" s="264"/>
      <c r="V85" s="186"/>
      <c r="W85" s="186"/>
      <c r="AE85" s="148">
        <v>317</v>
      </c>
      <c r="AF85" s="189" t="s">
        <v>143</v>
      </c>
      <c r="AG85" s="254" t="s">
        <v>144</v>
      </c>
    </row>
    <row r="86" spans="1:33" ht="18.3" outlineLevel="1">
      <c r="A86" s="271" t="s">
        <v>111</v>
      </c>
      <c r="B86" s="272"/>
      <c r="C86" s="273"/>
      <c r="D86" s="274"/>
      <c r="E86" s="275"/>
      <c r="F86" s="276">
        <f>F33+F41+F53+F66+F70+F60+F84</f>
        <v>320120.25</v>
      </c>
      <c r="G86" s="273"/>
      <c r="H86" s="274"/>
      <c r="I86" s="277"/>
      <c r="J86" s="276">
        <f>J33+J41+J53+J66+J70+J60+J84</f>
        <v>780589.21500000008</v>
      </c>
      <c r="K86" s="273"/>
      <c r="L86" s="274"/>
      <c r="M86" s="275"/>
      <c r="N86" s="276">
        <f>N33+N41+N53+N66+N70+N60+N84</f>
        <v>560377.78327500005</v>
      </c>
      <c r="O86" s="273"/>
      <c r="P86" s="274"/>
      <c r="Q86" s="277"/>
      <c r="R86" s="276">
        <f>R33+R41+R53+R66+R70+R60+R84</f>
        <v>414060.82910475001</v>
      </c>
      <c r="S86" s="273"/>
      <c r="T86" s="274"/>
      <c r="U86" s="277"/>
      <c r="V86" s="276">
        <f>V33+V41+V53+V66+V70+V60+V84</f>
        <v>320541.22190037498</v>
      </c>
      <c r="W86" s="276">
        <f>W33+W41+W53+W66+W70+W60+W84</f>
        <v>2395689.2992801247</v>
      </c>
      <c r="AE86" s="148">
        <v>318</v>
      </c>
      <c r="AF86" s="189" t="s">
        <v>145</v>
      </c>
      <c r="AG86" s="254" t="s">
        <v>146</v>
      </c>
    </row>
    <row r="87" spans="1:33">
      <c r="A87" s="316"/>
      <c r="B87" s="225"/>
      <c r="C87" s="263"/>
      <c r="D87" s="264"/>
      <c r="F87" s="184"/>
      <c r="G87" s="263"/>
      <c r="H87" s="264"/>
      <c r="J87" s="186"/>
      <c r="K87" s="263"/>
      <c r="L87" s="264"/>
      <c r="N87" s="186"/>
      <c r="O87" s="263"/>
      <c r="P87" s="264"/>
      <c r="R87" s="186"/>
      <c r="S87" s="263"/>
      <c r="T87" s="264"/>
      <c r="V87" s="186"/>
      <c r="W87" s="186"/>
    </row>
    <row r="88" spans="1:33" ht="20.399999999999999">
      <c r="A88" s="278" t="s">
        <v>53</v>
      </c>
      <c r="B88" s="279"/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79"/>
    </row>
    <row r="89" spans="1:33" ht="15" customHeight="1">
      <c r="A89" s="281" t="s">
        <v>54</v>
      </c>
      <c r="B89" s="337" t="s">
        <v>147</v>
      </c>
      <c r="C89" s="181">
        <v>0</v>
      </c>
      <c r="D89" s="182">
        <v>0</v>
      </c>
      <c r="E89" s="183">
        <v>0.2828</v>
      </c>
      <c r="F89" s="184">
        <f>C89*D89*E89</f>
        <v>0</v>
      </c>
      <c r="G89" s="181">
        <v>0</v>
      </c>
      <c r="H89" s="182">
        <v>0</v>
      </c>
      <c r="I89" s="183">
        <v>0.2828</v>
      </c>
      <c r="J89" s="184">
        <f>G89*H89*I89</f>
        <v>0</v>
      </c>
      <c r="K89" s="181">
        <v>0</v>
      </c>
      <c r="L89" s="182">
        <v>0</v>
      </c>
      <c r="M89" s="183">
        <v>0.2828</v>
      </c>
      <c r="N89" s="184">
        <f>K89*L89*M89</f>
        <v>0</v>
      </c>
      <c r="O89" s="181">
        <v>0</v>
      </c>
      <c r="P89" s="182">
        <v>0</v>
      </c>
      <c r="Q89" s="183">
        <v>0.2828</v>
      </c>
      <c r="R89" s="184">
        <f>O89*P89*Q89</f>
        <v>0</v>
      </c>
      <c r="S89" s="181">
        <v>0</v>
      </c>
      <c r="T89" s="182">
        <v>0</v>
      </c>
      <c r="U89" s="183">
        <v>0.2828</v>
      </c>
      <c r="V89" s="184">
        <f>S89*T89*U89</f>
        <v>0</v>
      </c>
      <c r="W89" s="320">
        <f>F89+J89+N89+R89+V89</f>
        <v>0</v>
      </c>
    </row>
    <row r="90" spans="1:33" ht="15" customHeight="1">
      <c r="A90" s="281" t="s">
        <v>55</v>
      </c>
      <c r="B90" s="337" t="s">
        <v>147</v>
      </c>
      <c r="C90" s="181">
        <f>F86</f>
        <v>320120.25</v>
      </c>
      <c r="D90" s="182">
        <v>1</v>
      </c>
      <c r="E90" s="183">
        <v>0.2828</v>
      </c>
      <c r="F90" s="184">
        <f>C90*D90*E90</f>
        <v>90530.006699999998</v>
      </c>
      <c r="G90" s="181">
        <f>J86</f>
        <v>780589.21500000008</v>
      </c>
      <c r="H90" s="182">
        <v>1</v>
      </c>
      <c r="I90" s="183">
        <v>0.2828</v>
      </c>
      <c r="J90" s="184">
        <f>G90*H90*I90</f>
        <v>220750.63000200002</v>
      </c>
      <c r="K90" s="181">
        <f>N86</f>
        <v>560377.78327500005</v>
      </c>
      <c r="L90" s="182">
        <v>1</v>
      </c>
      <c r="M90" s="183">
        <v>0.2828</v>
      </c>
      <c r="N90" s="184">
        <f>K90*L90*M90</f>
        <v>158474.83711017002</v>
      </c>
      <c r="O90" s="181">
        <f>R86</f>
        <v>414060.82910475001</v>
      </c>
      <c r="P90" s="182">
        <v>1</v>
      </c>
      <c r="Q90" s="183">
        <v>0.2828</v>
      </c>
      <c r="R90" s="184">
        <f>O90*P90*Q90</f>
        <v>117096.4024708233</v>
      </c>
      <c r="S90" s="181">
        <f>V86</f>
        <v>320541.22190037498</v>
      </c>
      <c r="T90" s="182">
        <v>1</v>
      </c>
      <c r="U90" s="183">
        <v>0.2828</v>
      </c>
      <c r="V90" s="184">
        <f>S90*T90*U90</f>
        <v>90649.057553426042</v>
      </c>
      <c r="W90" s="320">
        <f>F90+J90+N90+R90+V90</f>
        <v>677500.93383641937</v>
      </c>
    </row>
    <row r="91" spans="1:33">
      <c r="A91" s="284"/>
      <c r="B91" s="225"/>
      <c r="C91" s="256"/>
      <c r="D91" s="285"/>
      <c r="E91" s="286"/>
      <c r="F91" s="184"/>
      <c r="G91" s="256"/>
      <c r="H91" s="285"/>
      <c r="I91" s="185"/>
      <c r="J91" s="184"/>
      <c r="K91" s="256"/>
      <c r="L91" s="285"/>
      <c r="M91" s="286"/>
      <c r="N91" s="184"/>
      <c r="O91" s="256"/>
      <c r="P91" s="285"/>
      <c r="Q91" s="185"/>
      <c r="R91" s="184"/>
      <c r="S91" s="256"/>
      <c r="T91" s="285"/>
      <c r="U91" s="185"/>
      <c r="V91" s="184"/>
      <c r="W91" s="186"/>
    </row>
    <row r="92" spans="1:33" ht="18.3">
      <c r="A92" s="271" t="s">
        <v>112</v>
      </c>
      <c r="B92" s="272"/>
      <c r="C92" s="273"/>
      <c r="D92" s="274"/>
      <c r="E92" s="275"/>
      <c r="F92" s="276">
        <f>SUM(F89:F91)</f>
        <v>90530.006699999998</v>
      </c>
      <c r="G92" s="273"/>
      <c r="H92" s="274"/>
      <c r="I92" s="277"/>
      <c r="J92" s="276">
        <f>SUM(J89:J91)</f>
        <v>220750.63000200002</v>
      </c>
      <c r="K92" s="273"/>
      <c r="L92" s="274"/>
      <c r="M92" s="275"/>
      <c r="N92" s="276">
        <f>SUM(N89:N91)</f>
        <v>158474.83711017002</v>
      </c>
      <c r="O92" s="273"/>
      <c r="P92" s="274"/>
      <c r="Q92" s="277"/>
      <c r="R92" s="276">
        <f>SUM(R89:R91)</f>
        <v>117096.4024708233</v>
      </c>
      <c r="S92" s="273"/>
      <c r="T92" s="274"/>
      <c r="U92" s="277"/>
      <c r="V92" s="276">
        <f>SUM(V89:V91)</f>
        <v>90649.057553426042</v>
      </c>
      <c r="W92" s="276">
        <f>SUM(W89:W91)</f>
        <v>677500.93383641937</v>
      </c>
    </row>
    <row r="93" spans="1:33">
      <c r="A93" s="184"/>
      <c r="B93" s="225"/>
      <c r="C93" s="256"/>
      <c r="D93" s="285"/>
      <c r="E93" s="286"/>
      <c r="F93" s="184"/>
      <c r="G93" s="256"/>
      <c r="H93" s="285"/>
      <c r="I93" s="185"/>
      <c r="J93" s="184"/>
      <c r="K93" s="256"/>
      <c r="L93" s="285"/>
      <c r="M93" s="286"/>
      <c r="N93" s="184"/>
      <c r="O93" s="256"/>
      <c r="P93" s="285"/>
      <c r="Q93" s="185"/>
      <c r="R93" s="184"/>
      <c r="S93" s="256"/>
      <c r="T93" s="285"/>
      <c r="U93" s="185"/>
      <c r="V93" s="184"/>
      <c r="W93" s="186"/>
    </row>
    <row r="94" spans="1:33" ht="18.3">
      <c r="A94" s="291" t="s">
        <v>113</v>
      </c>
      <c r="B94" s="292"/>
      <c r="C94" s="293"/>
      <c r="D94" s="294"/>
      <c r="E94" s="295"/>
      <c r="F94" s="296">
        <f>F86+F92</f>
        <v>410650.25670000003</v>
      </c>
      <c r="G94" s="293"/>
      <c r="H94" s="294"/>
      <c r="I94" s="297"/>
      <c r="J94" s="296">
        <f>J86+J92</f>
        <v>1001339.8450020001</v>
      </c>
      <c r="K94" s="293"/>
      <c r="L94" s="294"/>
      <c r="M94" s="295"/>
      <c r="N94" s="296">
        <f>N86+N92</f>
        <v>718852.6203851701</v>
      </c>
      <c r="O94" s="293"/>
      <c r="P94" s="294"/>
      <c r="Q94" s="297"/>
      <c r="R94" s="296">
        <f>R86+R92</f>
        <v>531157.23157557333</v>
      </c>
      <c r="S94" s="293"/>
      <c r="T94" s="294"/>
      <c r="U94" s="297"/>
      <c r="V94" s="296">
        <f>V86+V92</f>
        <v>411190.27945380099</v>
      </c>
      <c r="W94" s="298">
        <f>F94+J94+N94+R94+V94</f>
        <v>3073190.2331165443</v>
      </c>
    </row>
    <row r="95" spans="1:33" ht="15.6">
      <c r="A95" s="299" t="str">
        <f>'Program Budget'!D279</f>
        <v>Cost Share for Co-Investment of Cold Storage Grants</v>
      </c>
      <c r="B95" s="300" t="str">
        <f>'Program Budget'!F279</f>
        <v>Grant</v>
      </c>
      <c r="C95" s="228">
        <f>'Program Budget'!H279</f>
        <v>2750</v>
      </c>
      <c r="D95" s="301">
        <f>'Program Budget'!G279</f>
        <v>0</v>
      </c>
      <c r="E95" s="230">
        <v>0</v>
      </c>
      <c r="F95" s="231">
        <f t="shared" ref="F95" si="84">C95*D95*E95</f>
        <v>0</v>
      </c>
      <c r="G95" s="228">
        <f>C95</f>
        <v>2750</v>
      </c>
      <c r="H95" s="301">
        <f>'Program Budget'!K279</f>
        <v>60</v>
      </c>
      <c r="I95" s="302">
        <v>1</v>
      </c>
      <c r="J95" s="231">
        <f t="shared" ref="J95" si="85">G95*H95*I95</f>
        <v>165000</v>
      </c>
      <c r="K95" s="228">
        <f>G95</f>
        <v>2750</v>
      </c>
      <c r="L95" s="301">
        <f>'Program Budget'!N279</f>
        <v>0</v>
      </c>
      <c r="M95" s="230">
        <v>0</v>
      </c>
      <c r="N95" s="231">
        <f t="shared" ref="N95" si="86">K95*L95*M95</f>
        <v>0</v>
      </c>
      <c r="O95" s="228">
        <f>K95</f>
        <v>2750</v>
      </c>
      <c r="P95" s="301">
        <f>'Program Budget'!Q279</f>
        <v>0</v>
      </c>
      <c r="Q95" s="302">
        <v>0</v>
      </c>
      <c r="R95" s="231">
        <f t="shared" ref="R95" si="87">O95*P95*Q95</f>
        <v>0</v>
      </c>
      <c r="S95" s="228">
        <f>O95</f>
        <v>2750</v>
      </c>
      <c r="T95" s="301">
        <f>'Program Budget'!T279</f>
        <v>0</v>
      </c>
      <c r="U95" s="302">
        <v>0</v>
      </c>
      <c r="V95" s="231">
        <f t="shared" ref="V95" si="88">S95*T95*U95</f>
        <v>0</v>
      </c>
      <c r="W95" s="192">
        <f>F95+J95+N95+R95+V95</f>
        <v>165000</v>
      </c>
    </row>
    <row r="96" spans="1:33" ht="18.3">
      <c r="A96" s="291" t="s">
        <v>114</v>
      </c>
      <c r="B96" s="292"/>
      <c r="C96" s="293"/>
      <c r="D96" s="294"/>
      <c r="E96" s="295"/>
      <c r="F96" s="296">
        <f>F94+F95</f>
        <v>410650.25670000003</v>
      </c>
      <c r="G96" s="293"/>
      <c r="H96" s="294"/>
      <c r="I96" s="297"/>
      <c r="J96" s="296">
        <f>J94+J95</f>
        <v>1166339.8450020002</v>
      </c>
      <c r="K96" s="293"/>
      <c r="L96" s="294"/>
      <c r="M96" s="295"/>
      <c r="N96" s="296">
        <f>N94+N95</f>
        <v>718852.6203851701</v>
      </c>
      <c r="O96" s="293"/>
      <c r="P96" s="294"/>
      <c r="Q96" s="297"/>
      <c r="R96" s="296">
        <f>R94+R95</f>
        <v>531157.23157557333</v>
      </c>
      <c r="S96" s="293"/>
      <c r="T96" s="294"/>
      <c r="U96" s="297"/>
      <c r="V96" s="296">
        <f>V94+V95</f>
        <v>411190.27945380099</v>
      </c>
      <c r="W96" s="298">
        <f>F96+J96+N96+R96+V96</f>
        <v>3238190.2331165448</v>
      </c>
    </row>
    <row r="97" spans="1:23">
      <c r="A97" s="180"/>
      <c r="B97" s="180"/>
      <c r="W97" s="186"/>
    </row>
    <row r="98" spans="1:23" ht="15.6">
      <c r="A98" s="303" t="s">
        <v>115</v>
      </c>
      <c r="B98" s="304"/>
      <c r="C98" s="305"/>
      <c r="D98" s="306"/>
      <c r="E98" s="307"/>
      <c r="F98" s="308"/>
      <c r="G98" s="305"/>
      <c r="H98" s="306"/>
      <c r="I98" s="309"/>
      <c r="J98" s="310"/>
      <c r="K98" s="305"/>
      <c r="L98" s="306"/>
      <c r="M98" s="307"/>
      <c r="N98" s="310"/>
      <c r="O98" s="305"/>
      <c r="P98" s="306"/>
      <c r="Q98" s="309"/>
      <c r="R98" s="310"/>
      <c r="S98" s="305"/>
      <c r="T98" s="306"/>
      <c r="U98" s="309"/>
      <c r="V98" s="310"/>
      <c r="W98" s="310"/>
    </row>
  </sheetData>
  <mergeCells count="8">
    <mergeCell ref="S2:V2"/>
    <mergeCell ref="W2:W3"/>
    <mergeCell ref="A2:A3"/>
    <mergeCell ref="B2:B3"/>
    <mergeCell ref="C2:F2"/>
    <mergeCell ref="G2:J2"/>
    <mergeCell ref="K2:N2"/>
    <mergeCell ref="O2:R2"/>
  </mergeCells>
  <printOptions horizontalCentered="1"/>
  <pageMargins left="0.25" right="0.25" top="0.75" bottom="0.75" header="0.3" footer="0.3"/>
  <pageSetup scale="34" orientation="landscape" r:id="rId1"/>
  <headerFooter alignWithMargins="0"/>
  <rowBreaks count="1" manualBreakCount="1">
    <brk id="93" max="1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997A-A7B0-4E25-9A94-CA9453FD08F2}">
  <sheetPr>
    <tabColor theme="6" tint="0.39997558519241921"/>
    <pageSetUpPr fitToPage="1"/>
  </sheetPr>
  <dimension ref="A1:AJ124"/>
  <sheetViews>
    <sheetView showOutlineSymbols="0" showWhiteSpace="0" zoomScale="70" zoomScaleNormal="70" workbookViewId="0">
      <pane xSplit="2" ySplit="3" topLeftCell="C40" activePane="bottomRight" state="frozen"/>
      <selection pane="topRight"/>
      <selection pane="bottomLeft"/>
      <selection pane="bottomRight" activeCell="W49" sqref="W49:W53"/>
    </sheetView>
  </sheetViews>
  <sheetFormatPr defaultRowHeight="14.4" outlineLevelRow="1" outlineLevelCol="1"/>
  <cols>
    <col min="1" max="1" width="62.5546875" style="142" customWidth="1"/>
    <col min="2" max="2" width="16.44140625" style="142" bestFit="1" customWidth="1"/>
    <col min="3" max="3" width="12.44140625" style="143" bestFit="1" customWidth="1" outlineLevel="1"/>
    <col min="4" max="4" width="11.83203125" style="144" bestFit="1" customWidth="1" outlineLevel="1"/>
    <col min="5" max="5" width="12.5546875" style="145" bestFit="1" customWidth="1" outlineLevel="1"/>
    <col min="6" max="6" width="8.5546875" style="142" bestFit="1" customWidth="1"/>
    <col min="7" max="7" width="12.44140625" style="143" bestFit="1" customWidth="1" outlineLevel="1"/>
    <col min="8" max="8" width="11.83203125" style="144" bestFit="1" customWidth="1" outlineLevel="1"/>
    <col min="9" max="9" width="12.5546875" style="146" bestFit="1" customWidth="1" outlineLevel="1"/>
    <col min="10" max="10" width="10.27734375" style="143" bestFit="1" customWidth="1"/>
    <col min="11" max="11" width="12.44140625" style="143" bestFit="1" customWidth="1" outlineLevel="1"/>
    <col min="12" max="12" width="11.83203125" style="144" bestFit="1" customWidth="1" outlineLevel="1"/>
    <col min="13" max="13" width="12.5546875" style="145" bestFit="1" customWidth="1" outlineLevel="1"/>
    <col min="14" max="14" width="10.27734375" style="143" bestFit="1" customWidth="1"/>
    <col min="15" max="15" width="12.44140625" style="143" bestFit="1" customWidth="1" outlineLevel="1"/>
    <col min="16" max="16" width="11.83203125" style="144" bestFit="1" customWidth="1" outlineLevel="1"/>
    <col min="17" max="17" width="12.5546875" style="146" bestFit="1" customWidth="1" outlineLevel="1"/>
    <col min="18" max="18" width="8.5546875" style="143" bestFit="1" customWidth="1"/>
    <col min="19" max="19" width="12.44140625" style="143" bestFit="1" customWidth="1" outlineLevel="1"/>
    <col min="20" max="20" width="11.83203125" style="144" bestFit="1" customWidth="1" outlineLevel="1"/>
    <col min="21" max="21" width="12.5546875" style="146" bestFit="1" customWidth="1" outlineLevel="1"/>
    <col min="22" max="22" width="8.5546875" style="143" bestFit="1" customWidth="1"/>
    <col min="23" max="23" width="17.44140625" style="143" customWidth="1"/>
    <col min="24" max="24" width="9" style="142" customWidth="1"/>
    <col min="25" max="25" width="8.71875" style="142" customWidth="1"/>
    <col min="26" max="26" width="10.83203125" style="142" customWidth="1"/>
    <col min="27" max="27" width="8.71875" style="142" customWidth="1"/>
    <col min="28" max="28" width="10.83203125" style="142" customWidth="1"/>
    <col min="29" max="29" width="4.83203125" style="142" customWidth="1"/>
    <col min="30" max="30" width="4.83203125" style="142" hidden="1" customWidth="1"/>
    <col min="31" max="31" width="7" style="147" hidden="1" customWidth="1"/>
    <col min="32" max="32" width="19.27734375" style="142" hidden="1" customWidth="1"/>
    <col min="33" max="33" width="34" style="142" hidden="1" customWidth="1"/>
    <col min="34" max="34" width="9.71875" style="142" hidden="1" customWidth="1"/>
    <col min="35" max="35" width="9.71875" style="142" customWidth="1"/>
    <col min="36" max="36" width="14.27734375" style="142" customWidth="1"/>
    <col min="37" max="264" width="8.83203125" style="142"/>
    <col min="265" max="265" width="38.27734375" style="142" customWidth="1"/>
    <col min="266" max="266" width="23.44140625" style="142" bestFit="1" customWidth="1"/>
    <col min="267" max="268" width="9.1640625" style="142" customWidth="1"/>
    <col min="269" max="269" width="11.27734375" style="142" bestFit="1" customWidth="1"/>
    <col min="270" max="270" width="14.44140625" style="142" bestFit="1" customWidth="1"/>
    <col min="271" max="271" width="8.1640625" style="142" customWidth="1"/>
    <col min="272" max="272" width="10.83203125" style="142" bestFit="1" customWidth="1"/>
    <col min="273" max="273" width="12.27734375" style="142" bestFit="1" customWidth="1"/>
    <col min="274" max="274" width="9.1640625" style="142" customWidth="1"/>
    <col min="275" max="275" width="10.83203125" style="142" bestFit="1" customWidth="1"/>
    <col min="276" max="276" width="12.27734375" style="142" bestFit="1" customWidth="1"/>
    <col min="277" max="277" width="8" style="142" customWidth="1"/>
    <col min="278" max="278" width="10.83203125" style="142" bestFit="1" customWidth="1"/>
    <col min="279" max="279" width="12.27734375" style="142" bestFit="1" customWidth="1"/>
    <col min="280" max="280" width="8.1640625" style="142" bestFit="1" customWidth="1"/>
    <col min="281" max="281" width="10.83203125" style="142" bestFit="1" customWidth="1"/>
    <col min="282" max="282" width="12.27734375" style="142" bestFit="1" customWidth="1"/>
    <col min="283" max="283" width="18.27734375" style="142" bestFit="1" customWidth="1"/>
    <col min="284" max="284" width="10.83203125" style="142" bestFit="1" customWidth="1"/>
    <col min="285" max="520" width="8.83203125" style="142"/>
    <col min="521" max="521" width="38.27734375" style="142" customWidth="1"/>
    <col min="522" max="522" width="23.44140625" style="142" bestFit="1" customWidth="1"/>
    <col min="523" max="524" width="9.1640625" style="142" customWidth="1"/>
    <col min="525" max="525" width="11.27734375" style="142" bestFit="1" customWidth="1"/>
    <col min="526" max="526" width="14.44140625" style="142" bestFit="1" customWidth="1"/>
    <col min="527" max="527" width="8.1640625" style="142" customWidth="1"/>
    <col min="528" max="528" width="10.83203125" style="142" bestFit="1" customWidth="1"/>
    <col min="529" max="529" width="12.27734375" style="142" bestFit="1" customWidth="1"/>
    <col min="530" max="530" width="9.1640625" style="142" customWidth="1"/>
    <col min="531" max="531" width="10.83203125" style="142" bestFit="1" customWidth="1"/>
    <col min="532" max="532" width="12.27734375" style="142" bestFit="1" customWidth="1"/>
    <col min="533" max="533" width="8" style="142" customWidth="1"/>
    <col min="534" max="534" width="10.83203125" style="142" bestFit="1" customWidth="1"/>
    <col min="535" max="535" width="12.27734375" style="142" bestFit="1" customWidth="1"/>
    <col min="536" max="536" width="8.1640625" style="142" bestFit="1" customWidth="1"/>
    <col min="537" max="537" width="10.83203125" style="142" bestFit="1" customWidth="1"/>
    <col min="538" max="538" width="12.27734375" style="142" bestFit="1" customWidth="1"/>
    <col min="539" max="539" width="18.27734375" style="142" bestFit="1" customWidth="1"/>
    <col min="540" max="540" width="10.83203125" style="142" bestFit="1" customWidth="1"/>
    <col min="541" max="776" width="8.83203125" style="142"/>
    <col min="777" max="777" width="38.27734375" style="142" customWidth="1"/>
    <col min="778" max="778" width="23.44140625" style="142" bestFit="1" customWidth="1"/>
    <col min="779" max="780" width="9.1640625" style="142" customWidth="1"/>
    <col min="781" max="781" width="11.27734375" style="142" bestFit="1" customWidth="1"/>
    <col min="782" max="782" width="14.44140625" style="142" bestFit="1" customWidth="1"/>
    <col min="783" max="783" width="8.1640625" style="142" customWidth="1"/>
    <col min="784" max="784" width="10.83203125" style="142" bestFit="1" customWidth="1"/>
    <col min="785" max="785" width="12.27734375" style="142" bestFit="1" customWidth="1"/>
    <col min="786" max="786" width="9.1640625" style="142" customWidth="1"/>
    <col min="787" max="787" width="10.83203125" style="142" bestFit="1" customWidth="1"/>
    <col min="788" max="788" width="12.27734375" style="142" bestFit="1" customWidth="1"/>
    <col min="789" max="789" width="8" style="142" customWidth="1"/>
    <col min="790" max="790" width="10.83203125" style="142" bestFit="1" customWidth="1"/>
    <col min="791" max="791" width="12.27734375" style="142" bestFit="1" customWidth="1"/>
    <col min="792" max="792" width="8.1640625" style="142" bestFit="1" customWidth="1"/>
    <col min="793" max="793" width="10.83203125" style="142" bestFit="1" customWidth="1"/>
    <col min="794" max="794" width="12.27734375" style="142" bestFit="1" customWidth="1"/>
    <col min="795" max="795" width="18.27734375" style="142" bestFit="1" customWidth="1"/>
    <col min="796" max="796" width="10.83203125" style="142" bestFit="1" customWidth="1"/>
    <col min="797" max="1032" width="8.83203125" style="142"/>
    <col min="1033" max="1033" width="38.27734375" style="142" customWidth="1"/>
    <col min="1034" max="1034" width="23.44140625" style="142" bestFit="1" customWidth="1"/>
    <col min="1035" max="1036" width="9.1640625" style="142" customWidth="1"/>
    <col min="1037" max="1037" width="11.27734375" style="142" bestFit="1" customWidth="1"/>
    <col min="1038" max="1038" width="14.44140625" style="142" bestFit="1" customWidth="1"/>
    <col min="1039" max="1039" width="8.1640625" style="142" customWidth="1"/>
    <col min="1040" max="1040" width="10.83203125" style="142" bestFit="1" customWidth="1"/>
    <col min="1041" max="1041" width="12.27734375" style="142" bestFit="1" customWidth="1"/>
    <col min="1042" max="1042" width="9.1640625" style="142" customWidth="1"/>
    <col min="1043" max="1043" width="10.83203125" style="142" bestFit="1" customWidth="1"/>
    <col min="1044" max="1044" width="12.27734375" style="142" bestFit="1" customWidth="1"/>
    <col min="1045" max="1045" width="8" style="142" customWidth="1"/>
    <col min="1046" max="1046" width="10.83203125" style="142" bestFit="1" customWidth="1"/>
    <col min="1047" max="1047" width="12.27734375" style="142" bestFit="1" customWidth="1"/>
    <col min="1048" max="1048" width="8.1640625" style="142" bestFit="1" customWidth="1"/>
    <col min="1049" max="1049" width="10.83203125" style="142" bestFit="1" customWidth="1"/>
    <col min="1050" max="1050" width="12.27734375" style="142" bestFit="1" customWidth="1"/>
    <col min="1051" max="1051" width="18.27734375" style="142" bestFit="1" customWidth="1"/>
    <col min="1052" max="1052" width="10.83203125" style="142" bestFit="1" customWidth="1"/>
    <col min="1053" max="1288" width="8.83203125" style="142"/>
    <col min="1289" max="1289" width="38.27734375" style="142" customWidth="1"/>
    <col min="1290" max="1290" width="23.44140625" style="142" bestFit="1" customWidth="1"/>
    <col min="1291" max="1292" width="9.1640625" style="142" customWidth="1"/>
    <col min="1293" max="1293" width="11.27734375" style="142" bestFit="1" customWidth="1"/>
    <col min="1294" max="1294" width="14.44140625" style="142" bestFit="1" customWidth="1"/>
    <col min="1295" max="1295" width="8.1640625" style="142" customWidth="1"/>
    <col min="1296" max="1296" width="10.83203125" style="142" bestFit="1" customWidth="1"/>
    <col min="1297" max="1297" width="12.27734375" style="142" bestFit="1" customWidth="1"/>
    <col min="1298" max="1298" width="9.1640625" style="142" customWidth="1"/>
    <col min="1299" max="1299" width="10.83203125" style="142" bestFit="1" customWidth="1"/>
    <col min="1300" max="1300" width="12.27734375" style="142" bestFit="1" customWidth="1"/>
    <col min="1301" max="1301" width="8" style="142" customWidth="1"/>
    <col min="1302" max="1302" width="10.83203125" style="142" bestFit="1" customWidth="1"/>
    <col min="1303" max="1303" width="12.27734375" style="142" bestFit="1" customWidth="1"/>
    <col min="1304" max="1304" width="8.1640625" style="142" bestFit="1" customWidth="1"/>
    <col min="1305" max="1305" width="10.83203125" style="142" bestFit="1" customWidth="1"/>
    <col min="1306" max="1306" width="12.27734375" style="142" bestFit="1" customWidth="1"/>
    <col min="1307" max="1307" width="18.27734375" style="142" bestFit="1" customWidth="1"/>
    <col min="1308" max="1308" width="10.83203125" style="142" bestFit="1" customWidth="1"/>
    <col min="1309" max="1544" width="8.83203125" style="142"/>
    <col min="1545" max="1545" width="38.27734375" style="142" customWidth="1"/>
    <col min="1546" max="1546" width="23.44140625" style="142" bestFit="1" customWidth="1"/>
    <col min="1547" max="1548" width="9.1640625" style="142" customWidth="1"/>
    <col min="1549" max="1549" width="11.27734375" style="142" bestFit="1" customWidth="1"/>
    <col min="1550" max="1550" width="14.44140625" style="142" bestFit="1" customWidth="1"/>
    <col min="1551" max="1551" width="8.1640625" style="142" customWidth="1"/>
    <col min="1552" max="1552" width="10.83203125" style="142" bestFit="1" customWidth="1"/>
    <col min="1553" max="1553" width="12.27734375" style="142" bestFit="1" customWidth="1"/>
    <col min="1554" max="1554" width="9.1640625" style="142" customWidth="1"/>
    <col min="1555" max="1555" width="10.83203125" style="142" bestFit="1" customWidth="1"/>
    <col min="1556" max="1556" width="12.27734375" style="142" bestFit="1" customWidth="1"/>
    <col min="1557" max="1557" width="8" style="142" customWidth="1"/>
    <col min="1558" max="1558" width="10.83203125" style="142" bestFit="1" customWidth="1"/>
    <col min="1559" max="1559" width="12.27734375" style="142" bestFit="1" customWidth="1"/>
    <col min="1560" max="1560" width="8.1640625" style="142" bestFit="1" customWidth="1"/>
    <col min="1561" max="1561" width="10.83203125" style="142" bestFit="1" customWidth="1"/>
    <col min="1562" max="1562" width="12.27734375" style="142" bestFit="1" customWidth="1"/>
    <col min="1563" max="1563" width="18.27734375" style="142" bestFit="1" customWidth="1"/>
    <col min="1564" max="1564" width="10.83203125" style="142" bestFit="1" customWidth="1"/>
    <col min="1565" max="1800" width="8.83203125" style="142"/>
    <col min="1801" max="1801" width="38.27734375" style="142" customWidth="1"/>
    <col min="1802" max="1802" width="23.44140625" style="142" bestFit="1" customWidth="1"/>
    <col min="1803" max="1804" width="9.1640625" style="142" customWidth="1"/>
    <col min="1805" max="1805" width="11.27734375" style="142" bestFit="1" customWidth="1"/>
    <col min="1806" max="1806" width="14.44140625" style="142" bestFit="1" customWidth="1"/>
    <col min="1807" max="1807" width="8.1640625" style="142" customWidth="1"/>
    <col min="1808" max="1808" width="10.83203125" style="142" bestFit="1" customWidth="1"/>
    <col min="1809" max="1809" width="12.27734375" style="142" bestFit="1" customWidth="1"/>
    <col min="1810" max="1810" width="9.1640625" style="142" customWidth="1"/>
    <col min="1811" max="1811" width="10.83203125" style="142" bestFit="1" customWidth="1"/>
    <col min="1812" max="1812" width="12.27734375" style="142" bestFit="1" customWidth="1"/>
    <col min="1813" max="1813" width="8" style="142" customWidth="1"/>
    <col min="1814" max="1814" width="10.83203125" style="142" bestFit="1" customWidth="1"/>
    <col min="1815" max="1815" width="12.27734375" style="142" bestFit="1" customWidth="1"/>
    <col min="1816" max="1816" width="8.1640625" style="142" bestFit="1" customWidth="1"/>
    <col min="1817" max="1817" width="10.83203125" style="142" bestFit="1" customWidth="1"/>
    <col min="1818" max="1818" width="12.27734375" style="142" bestFit="1" customWidth="1"/>
    <col min="1819" max="1819" width="18.27734375" style="142" bestFit="1" customWidth="1"/>
    <col min="1820" max="1820" width="10.83203125" style="142" bestFit="1" customWidth="1"/>
    <col min="1821" max="2056" width="8.83203125" style="142"/>
    <col min="2057" max="2057" width="38.27734375" style="142" customWidth="1"/>
    <col min="2058" max="2058" width="23.44140625" style="142" bestFit="1" customWidth="1"/>
    <col min="2059" max="2060" width="9.1640625" style="142" customWidth="1"/>
    <col min="2061" max="2061" width="11.27734375" style="142" bestFit="1" customWidth="1"/>
    <col min="2062" max="2062" width="14.44140625" style="142" bestFit="1" customWidth="1"/>
    <col min="2063" max="2063" width="8.1640625" style="142" customWidth="1"/>
    <col min="2064" max="2064" width="10.83203125" style="142" bestFit="1" customWidth="1"/>
    <col min="2065" max="2065" width="12.27734375" style="142" bestFit="1" customWidth="1"/>
    <col min="2066" max="2066" width="9.1640625" style="142" customWidth="1"/>
    <col min="2067" max="2067" width="10.83203125" style="142" bestFit="1" customWidth="1"/>
    <col min="2068" max="2068" width="12.27734375" style="142" bestFit="1" customWidth="1"/>
    <col min="2069" max="2069" width="8" style="142" customWidth="1"/>
    <col min="2070" max="2070" width="10.83203125" style="142" bestFit="1" customWidth="1"/>
    <col min="2071" max="2071" width="12.27734375" style="142" bestFit="1" customWidth="1"/>
    <col min="2072" max="2072" width="8.1640625" style="142" bestFit="1" customWidth="1"/>
    <col min="2073" max="2073" width="10.83203125" style="142" bestFit="1" customWidth="1"/>
    <col min="2074" max="2074" width="12.27734375" style="142" bestFit="1" customWidth="1"/>
    <col min="2075" max="2075" width="18.27734375" style="142" bestFit="1" customWidth="1"/>
    <col min="2076" max="2076" width="10.83203125" style="142" bestFit="1" customWidth="1"/>
    <col min="2077" max="2312" width="8.83203125" style="142"/>
    <col min="2313" max="2313" width="38.27734375" style="142" customWidth="1"/>
    <col min="2314" max="2314" width="23.44140625" style="142" bestFit="1" customWidth="1"/>
    <col min="2315" max="2316" width="9.1640625" style="142" customWidth="1"/>
    <col min="2317" max="2317" width="11.27734375" style="142" bestFit="1" customWidth="1"/>
    <col min="2318" max="2318" width="14.44140625" style="142" bestFit="1" customWidth="1"/>
    <col min="2319" max="2319" width="8.1640625" style="142" customWidth="1"/>
    <col min="2320" max="2320" width="10.83203125" style="142" bestFit="1" customWidth="1"/>
    <col min="2321" max="2321" width="12.27734375" style="142" bestFit="1" customWidth="1"/>
    <col min="2322" max="2322" width="9.1640625" style="142" customWidth="1"/>
    <col min="2323" max="2323" width="10.83203125" style="142" bestFit="1" customWidth="1"/>
    <col min="2324" max="2324" width="12.27734375" style="142" bestFit="1" customWidth="1"/>
    <col min="2325" max="2325" width="8" style="142" customWidth="1"/>
    <col min="2326" max="2326" width="10.83203125" style="142" bestFit="1" customWidth="1"/>
    <col min="2327" max="2327" width="12.27734375" style="142" bestFit="1" customWidth="1"/>
    <col min="2328" max="2328" width="8.1640625" style="142" bestFit="1" customWidth="1"/>
    <col min="2329" max="2329" width="10.83203125" style="142" bestFit="1" customWidth="1"/>
    <col min="2330" max="2330" width="12.27734375" style="142" bestFit="1" customWidth="1"/>
    <col min="2331" max="2331" width="18.27734375" style="142" bestFit="1" customWidth="1"/>
    <col min="2332" max="2332" width="10.83203125" style="142" bestFit="1" customWidth="1"/>
    <col min="2333" max="2568" width="8.83203125" style="142"/>
    <col min="2569" max="2569" width="38.27734375" style="142" customWidth="1"/>
    <col min="2570" max="2570" width="23.44140625" style="142" bestFit="1" customWidth="1"/>
    <col min="2571" max="2572" width="9.1640625" style="142" customWidth="1"/>
    <col min="2573" max="2573" width="11.27734375" style="142" bestFit="1" customWidth="1"/>
    <col min="2574" max="2574" width="14.44140625" style="142" bestFit="1" customWidth="1"/>
    <col min="2575" max="2575" width="8.1640625" style="142" customWidth="1"/>
    <col min="2576" max="2576" width="10.83203125" style="142" bestFit="1" customWidth="1"/>
    <col min="2577" max="2577" width="12.27734375" style="142" bestFit="1" customWidth="1"/>
    <col min="2578" max="2578" width="9.1640625" style="142" customWidth="1"/>
    <col min="2579" max="2579" width="10.83203125" style="142" bestFit="1" customWidth="1"/>
    <col min="2580" max="2580" width="12.27734375" style="142" bestFit="1" customWidth="1"/>
    <col min="2581" max="2581" width="8" style="142" customWidth="1"/>
    <col min="2582" max="2582" width="10.83203125" style="142" bestFit="1" customWidth="1"/>
    <col min="2583" max="2583" width="12.27734375" style="142" bestFit="1" customWidth="1"/>
    <col min="2584" max="2584" width="8.1640625" style="142" bestFit="1" customWidth="1"/>
    <col min="2585" max="2585" width="10.83203125" style="142" bestFit="1" customWidth="1"/>
    <col min="2586" max="2586" width="12.27734375" style="142" bestFit="1" customWidth="1"/>
    <col min="2587" max="2587" width="18.27734375" style="142" bestFit="1" customWidth="1"/>
    <col min="2588" max="2588" width="10.83203125" style="142" bestFit="1" customWidth="1"/>
    <col min="2589" max="2824" width="8.83203125" style="142"/>
    <col min="2825" max="2825" width="38.27734375" style="142" customWidth="1"/>
    <col min="2826" max="2826" width="23.44140625" style="142" bestFit="1" customWidth="1"/>
    <col min="2827" max="2828" width="9.1640625" style="142" customWidth="1"/>
    <col min="2829" max="2829" width="11.27734375" style="142" bestFit="1" customWidth="1"/>
    <col min="2830" max="2830" width="14.44140625" style="142" bestFit="1" customWidth="1"/>
    <col min="2831" max="2831" width="8.1640625" style="142" customWidth="1"/>
    <col min="2832" max="2832" width="10.83203125" style="142" bestFit="1" customWidth="1"/>
    <col min="2833" max="2833" width="12.27734375" style="142" bestFit="1" customWidth="1"/>
    <col min="2834" max="2834" width="9.1640625" style="142" customWidth="1"/>
    <col min="2835" max="2835" width="10.83203125" style="142" bestFit="1" customWidth="1"/>
    <col min="2836" max="2836" width="12.27734375" style="142" bestFit="1" customWidth="1"/>
    <col min="2837" max="2837" width="8" style="142" customWidth="1"/>
    <col min="2838" max="2838" width="10.83203125" style="142" bestFit="1" customWidth="1"/>
    <col min="2839" max="2839" width="12.27734375" style="142" bestFit="1" customWidth="1"/>
    <col min="2840" max="2840" width="8.1640625" style="142" bestFit="1" customWidth="1"/>
    <col min="2841" max="2841" width="10.83203125" style="142" bestFit="1" customWidth="1"/>
    <col min="2842" max="2842" width="12.27734375" style="142" bestFit="1" customWidth="1"/>
    <col min="2843" max="2843" width="18.27734375" style="142" bestFit="1" customWidth="1"/>
    <col min="2844" max="2844" width="10.83203125" style="142" bestFit="1" customWidth="1"/>
    <col min="2845" max="3080" width="8.83203125" style="142"/>
    <col min="3081" max="3081" width="38.27734375" style="142" customWidth="1"/>
    <col min="3082" max="3082" width="23.44140625" style="142" bestFit="1" customWidth="1"/>
    <col min="3083" max="3084" width="9.1640625" style="142" customWidth="1"/>
    <col min="3085" max="3085" width="11.27734375" style="142" bestFit="1" customWidth="1"/>
    <col min="3086" max="3086" width="14.44140625" style="142" bestFit="1" customWidth="1"/>
    <col min="3087" max="3087" width="8.1640625" style="142" customWidth="1"/>
    <col min="3088" max="3088" width="10.83203125" style="142" bestFit="1" customWidth="1"/>
    <col min="3089" max="3089" width="12.27734375" style="142" bestFit="1" customWidth="1"/>
    <col min="3090" max="3090" width="9.1640625" style="142" customWidth="1"/>
    <col min="3091" max="3091" width="10.83203125" style="142" bestFit="1" customWidth="1"/>
    <col min="3092" max="3092" width="12.27734375" style="142" bestFit="1" customWidth="1"/>
    <col min="3093" max="3093" width="8" style="142" customWidth="1"/>
    <col min="3094" max="3094" width="10.83203125" style="142" bestFit="1" customWidth="1"/>
    <col min="3095" max="3095" width="12.27734375" style="142" bestFit="1" customWidth="1"/>
    <col min="3096" max="3096" width="8.1640625" style="142" bestFit="1" customWidth="1"/>
    <col min="3097" max="3097" width="10.83203125" style="142" bestFit="1" customWidth="1"/>
    <col min="3098" max="3098" width="12.27734375" style="142" bestFit="1" customWidth="1"/>
    <col min="3099" max="3099" width="18.27734375" style="142" bestFit="1" customWidth="1"/>
    <col min="3100" max="3100" width="10.83203125" style="142" bestFit="1" customWidth="1"/>
    <col min="3101" max="3336" width="8.83203125" style="142"/>
    <col min="3337" max="3337" width="38.27734375" style="142" customWidth="1"/>
    <col min="3338" max="3338" width="23.44140625" style="142" bestFit="1" customWidth="1"/>
    <col min="3339" max="3340" width="9.1640625" style="142" customWidth="1"/>
    <col min="3341" max="3341" width="11.27734375" style="142" bestFit="1" customWidth="1"/>
    <col min="3342" max="3342" width="14.44140625" style="142" bestFit="1" customWidth="1"/>
    <col min="3343" max="3343" width="8.1640625" style="142" customWidth="1"/>
    <col min="3344" max="3344" width="10.83203125" style="142" bestFit="1" customWidth="1"/>
    <col min="3345" max="3345" width="12.27734375" style="142" bestFit="1" customWidth="1"/>
    <col min="3346" max="3346" width="9.1640625" style="142" customWidth="1"/>
    <col min="3347" max="3347" width="10.83203125" style="142" bestFit="1" customWidth="1"/>
    <col min="3348" max="3348" width="12.27734375" style="142" bestFit="1" customWidth="1"/>
    <col min="3349" max="3349" width="8" style="142" customWidth="1"/>
    <col min="3350" max="3350" width="10.83203125" style="142" bestFit="1" customWidth="1"/>
    <col min="3351" max="3351" width="12.27734375" style="142" bestFit="1" customWidth="1"/>
    <col min="3352" max="3352" width="8.1640625" style="142" bestFit="1" customWidth="1"/>
    <col min="3353" max="3353" width="10.83203125" style="142" bestFit="1" customWidth="1"/>
    <col min="3354" max="3354" width="12.27734375" style="142" bestFit="1" customWidth="1"/>
    <col min="3355" max="3355" width="18.27734375" style="142" bestFit="1" customWidth="1"/>
    <col min="3356" max="3356" width="10.83203125" style="142" bestFit="1" customWidth="1"/>
    <col min="3357" max="3592" width="8.83203125" style="142"/>
    <col min="3593" max="3593" width="38.27734375" style="142" customWidth="1"/>
    <col min="3594" max="3594" width="23.44140625" style="142" bestFit="1" customWidth="1"/>
    <col min="3595" max="3596" width="9.1640625" style="142" customWidth="1"/>
    <col min="3597" max="3597" width="11.27734375" style="142" bestFit="1" customWidth="1"/>
    <col min="3598" max="3598" width="14.44140625" style="142" bestFit="1" customWidth="1"/>
    <col min="3599" max="3599" width="8.1640625" style="142" customWidth="1"/>
    <col min="3600" max="3600" width="10.83203125" style="142" bestFit="1" customWidth="1"/>
    <col min="3601" max="3601" width="12.27734375" style="142" bestFit="1" customWidth="1"/>
    <col min="3602" max="3602" width="9.1640625" style="142" customWidth="1"/>
    <col min="3603" max="3603" width="10.83203125" style="142" bestFit="1" customWidth="1"/>
    <col min="3604" max="3604" width="12.27734375" style="142" bestFit="1" customWidth="1"/>
    <col min="3605" max="3605" width="8" style="142" customWidth="1"/>
    <col min="3606" max="3606" width="10.83203125" style="142" bestFit="1" customWidth="1"/>
    <col min="3607" max="3607" width="12.27734375" style="142" bestFit="1" customWidth="1"/>
    <col min="3608" max="3608" width="8.1640625" style="142" bestFit="1" customWidth="1"/>
    <col min="3609" max="3609" width="10.83203125" style="142" bestFit="1" customWidth="1"/>
    <col min="3610" max="3610" width="12.27734375" style="142" bestFit="1" customWidth="1"/>
    <col min="3611" max="3611" width="18.27734375" style="142" bestFit="1" customWidth="1"/>
    <col min="3612" max="3612" width="10.83203125" style="142" bestFit="1" customWidth="1"/>
    <col min="3613" max="3848" width="8.83203125" style="142"/>
    <col min="3849" max="3849" width="38.27734375" style="142" customWidth="1"/>
    <col min="3850" max="3850" width="23.44140625" style="142" bestFit="1" customWidth="1"/>
    <col min="3851" max="3852" width="9.1640625" style="142" customWidth="1"/>
    <col min="3853" max="3853" width="11.27734375" style="142" bestFit="1" customWidth="1"/>
    <col min="3854" max="3854" width="14.44140625" style="142" bestFit="1" customWidth="1"/>
    <col min="3855" max="3855" width="8.1640625" style="142" customWidth="1"/>
    <col min="3856" max="3856" width="10.83203125" style="142" bestFit="1" customWidth="1"/>
    <col min="3857" max="3857" width="12.27734375" style="142" bestFit="1" customWidth="1"/>
    <col min="3858" max="3858" width="9.1640625" style="142" customWidth="1"/>
    <col min="3859" max="3859" width="10.83203125" style="142" bestFit="1" customWidth="1"/>
    <col min="3860" max="3860" width="12.27734375" style="142" bestFit="1" customWidth="1"/>
    <col min="3861" max="3861" width="8" style="142" customWidth="1"/>
    <col min="3862" max="3862" width="10.83203125" style="142" bestFit="1" customWidth="1"/>
    <col min="3863" max="3863" width="12.27734375" style="142" bestFit="1" customWidth="1"/>
    <col min="3864" max="3864" width="8.1640625" style="142" bestFit="1" customWidth="1"/>
    <col min="3865" max="3865" width="10.83203125" style="142" bestFit="1" customWidth="1"/>
    <col min="3866" max="3866" width="12.27734375" style="142" bestFit="1" customWidth="1"/>
    <col min="3867" max="3867" width="18.27734375" style="142" bestFit="1" customWidth="1"/>
    <col min="3868" max="3868" width="10.83203125" style="142" bestFit="1" customWidth="1"/>
    <col min="3869" max="4104" width="8.83203125" style="142"/>
    <col min="4105" max="4105" width="38.27734375" style="142" customWidth="1"/>
    <col min="4106" max="4106" width="23.44140625" style="142" bestFit="1" customWidth="1"/>
    <col min="4107" max="4108" width="9.1640625" style="142" customWidth="1"/>
    <col min="4109" max="4109" width="11.27734375" style="142" bestFit="1" customWidth="1"/>
    <col min="4110" max="4110" width="14.44140625" style="142" bestFit="1" customWidth="1"/>
    <col min="4111" max="4111" width="8.1640625" style="142" customWidth="1"/>
    <col min="4112" max="4112" width="10.83203125" style="142" bestFit="1" customWidth="1"/>
    <col min="4113" max="4113" width="12.27734375" style="142" bestFit="1" customWidth="1"/>
    <col min="4114" max="4114" width="9.1640625" style="142" customWidth="1"/>
    <col min="4115" max="4115" width="10.83203125" style="142" bestFit="1" customWidth="1"/>
    <col min="4116" max="4116" width="12.27734375" style="142" bestFit="1" customWidth="1"/>
    <col min="4117" max="4117" width="8" style="142" customWidth="1"/>
    <col min="4118" max="4118" width="10.83203125" style="142" bestFit="1" customWidth="1"/>
    <col min="4119" max="4119" width="12.27734375" style="142" bestFit="1" customWidth="1"/>
    <col min="4120" max="4120" width="8.1640625" style="142" bestFit="1" customWidth="1"/>
    <col min="4121" max="4121" width="10.83203125" style="142" bestFit="1" customWidth="1"/>
    <col min="4122" max="4122" width="12.27734375" style="142" bestFit="1" customWidth="1"/>
    <col min="4123" max="4123" width="18.27734375" style="142" bestFit="1" customWidth="1"/>
    <col min="4124" max="4124" width="10.83203125" style="142" bestFit="1" customWidth="1"/>
    <col min="4125" max="4360" width="8.83203125" style="142"/>
    <col min="4361" max="4361" width="38.27734375" style="142" customWidth="1"/>
    <col min="4362" max="4362" width="23.44140625" style="142" bestFit="1" customWidth="1"/>
    <col min="4363" max="4364" width="9.1640625" style="142" customWidth="1"/>
    <col min="4365" max="4365" width="11.27734375" style="142" bestFit="1" customWidth="1"/>
    <col min="4366" max="4366" width="14.44140625" style="142" bestFit="1" customWidth="1"/>
    <col min="4367" max="4367" width="8.1640625" style="142" customWidth="1"/>
    <col min="4368" max="4368" width="10.83203125" style="142" bestFit="1" customWidth="1"/>
    <col min="4369" max="4369" width="12.27734375" style="142" bestFit="1" customWidth="1"/>
    <col min="4370" max="4370" width="9.1640625" style="142" customWidth="1"/>
    <col min="4371" max="4371" width="10.83203125" style="142" bestFit="1" customWidth="1"/>
    <col min="4372" max="4372" width="12.27734375" style="142" bestFit="1" customWidth="1"/>
    <col min="4373" max="4373" width="8" style="142" customWidth="1"/>
    <col min="4374" max="4374" width="10.83203125" style="142" bestFit="1" customWidth="1"/>
    <col min="4375" max="4375" width="12.27734375" style="142" bestFit="1" customWidth="1"/>
    <col min="4376" max="4376" width="8.1640625" style="142" bestFit="1" customWidth="1"/>
    <col min="4377" max="4377" width="10.83203125" style="142" bestFit="1" customWidth="1"/>
    <col min="4378" max="4378" width="12.27734375" style="142" bestFit="1" customWidth="1"/>
    <col min="4379" max="4379" width="18.27734375" style="142" bestFit="1" customWidth="1"/>
    <col min="4380" max="4380" width="10.83203125" style="142" bestFit="1" customWidth="1"/>
    <col min="4381" max="4616" width="8.83203125" style="142"/>
    <col min="4617" max="4617" width="38.27734375" style="142" customWidth="1"/>
    <col min="4618" max="4618" width="23.44140625" style="142" bestFit="1" customWidth="1"/>
    <col min="4619" max="4620" width="9.1640625" style="142" customWidth="1"/>
    <col min="4621" max="4621" width="11.27734375" style="142" bestFit="1" customWidth="1"/>
    <col min="4622" max="4622" width="14.44140625" style="142" bestFit="1" customWidth="1"/>
    <col min="4623" max="4623" width="8.1640625" style="142" customWidth="1"/>
    <col min="4624" max="4624" width="10.83203125" style="142" bestFit="1" customWidth="1"/>
    <col min="4625" max="4625" width="12.27734375" style="142" bestFit="1" customWidth="1"/>
    <col min="4626" max="4626" width="9.1640625" style="142" customWidth="1"/>
    <col min="4627" max="4627" width="10.83203125" style="142" bestFit="1" customWidth="1"/>
    <col min="4628" max="4628" width="12.27734375" style="142" bestFit="1" customWidth="1"/>
    <col min="4629" max="4629" width="8" style="142" customWidth="1"/>
    <col min="4630" max="4630" width="10.83203125" style="142" bestFit="1" customWidth="1"/>
    <col min="4631" max="4631" width="12.27734375" style="142" bestFit="1" customWidth="1"/>
    <col min="4632" max="4632" width="8.1640625" style="142" bestFit="1" customWidth="1"/>
    <col min="4633" max="4633" width="10.83203125" style="142" bestFit="1" customWidth="1"/>
    <col min="4634" max="4634" width="12.27734375" style="142" bestFit="1" customWidth="1"/>
    <col min="4635" max="4635" width="18.27734375" style="142" bestFit="1" customWidth="1"/>
    <col min="4636" max="4636" width="10.83203125" style="142" bestFit="1" customWidth="1"/>
    <col min="4637" max="4872" width="8.83203125" style="142"/>
    <col min="4873" max="4873" width="38.27734375" style="142" customWidth="1"/>
    <col min="4874" max="4874" width="23.44140625" style="142" bestFit="1" customWidth="1"/>
    <col min="4875" max="4876" width="9.1640625" style="142" customWidth="1"/>
    <col min="4877" max="4877" width="11.27734375" style="142" bestFit="1" customWidth="1"/>
    <col min="4878" max="4878" width="14.44140625" style="142" bestFit="1" customWidth="1"/>
    <col min="4879" max="4879" width="8.1640625" style="142" customWidth="1"/>
    <col min="4880" max="4880" width="10.83203125" style="142" bestFit="1" customWidth="1"/>
    <col min="4881" max="4881" width="12.27734375" style="142" bestFit="1" customWidth="1"/>
    <col min="4882" max="4882" width="9.1640625" style="142" customWidth="1"/>
    <col min="4883" max="4883" width="10.83203125" style="142" bestFit="1" customWidth="1"/>
    <col min="4884" max="4884" width="12.27734375" style="142" bestFit="1" customWidth="1"/>
    <col min="4885" max="4885" width="8" style="142" customWidth="1"/>
    <col min="4886" max="4886" width="10.83203125" style="142" bestFit="1" customWidth="1"/>
    <col min="4887" max="4887" width="12.27734375" style="142" bestFit="1" customWidth="1"/>
    <col min="4888" max="4888" width="8.1640625" style="142" bestFit="1" customWidth="1"/>
    <col min="4889" max="4889" width="10.83203125" style="142" bestFit="1" customWidth="1"/>
    <col min="4890" max="4890" width="12.27734375" style="142" bestFit="1" customWidth="1"/>
    <col min="4891" max="4891" width="18.27734375" style="142" bestFit="1" customWidth="1"/>
    <col min="4892" max="4892" width="10.83203125" style="142" bestFit="1" customWidth="1"/>
    <col min="4893" max="5128" width="8.83203125" style="142"/>
    <col min="5129" max="5129" width="38.27734375" style="142" customWidth="1"/>
    <col min="5130" max="5130" width="23.44140625" style="142" bestFit="1" customWidth="1"/>
    <col min="5131" max="5132" width="9.1640625" style="142" customWidth="1"/>
    <col min="5133" max="5133" width="11.27734375" style="142" bestFit="1" customWidth="1"/>
    <col min="5134" max="5134" width="14.44140625" style="142" bestFit="1" customWidth="1"/>
    <col min="5135" max="5135" width="8.1640625" style="142" customWidth="1"/>
    <col min="5136" max="5136" width="10.83203125" style="142" bestFit="1" customWidth="1"/>
    <col min="5137" max="5137" width="12.27734375" style="142" bestFit="1" customWidth="1"/>
    <col min="5138" max="5138" width="9.1640625" style="142" customWidth="1"/>
    <col min="5139" max="5139" width="10.83203125" style="142" bestFit="1" customWidth="1"/>
    <col min="5140" max="5140" width="12.27734375" style="142" bestFit="1" customWidth="1"/>
    <col min="5141" max="5141" width="8" style="142" customWidth="1"/>
    <col min="5142" max="5142" width="10.83203125" style="142" bestFit="1" customWidth="1"/>
    <col min="5143" max="5143" width="12.27734375" style="142" bestFit="1" customWidth="1"/>
    <col min="5144" max="5144" width="8.1640625" style="142" bestFit="1" customWidth="1"/>
    <col min="5145" max="5145" width="10.83203125" style="142" bestFit="1" customWidth="1"/>
    <col min="5146" max="5146" width="12.27734375" style="142" bestFit="1" customWidth="1"/>
    <col min="5147" max="5147" width="18.27734375" style="142" bestFit="1" customWidth="1"/>
    <col min="5148" max="5148" width="10.83203125" style="142" bestFit="1" customWidth="1"/>
    <col min="5149" max="5384" width="8.83203125" style="142"/>
    <col min="5385" max="5385" width="38.27734375" style="142" customWidth="1"/>
    <col min="5386" max="5386" width="23.44140625" style="142" bestFit="1" customWidth="1"/>
    <col min="5387" max="5388" width="9.1640625" style="142" customWidth="1"/>
    <col min="5389" max="5389" width="11.27734375" style="142" bestFit="1" customWidth="1"/>
    <col min="5390" max="5390" width="14.44140625" style="142" bestFit="1" customWidth="1"/>
    <col min="5391" max="5391" width="8.1640625" style="142" customWidth="1"/>
    <col min="5392" max="5392" width="10.83203125" style="142" bestFit="1" customWidth="1"/>
    <col min="5393" max="5393" width="12.27734375" style="142" bestFit="1" customWidth="1"/>
    <col min="5394" max="5394" width="9.1640625" style="142" customWidth="1"/>
    <col min="5395" max="5395" width="10.83203125" style="142" bestFit="1" customWidth="1"/>
    <col min="5396" max="5396" width="12.27734375" style="142" bestFit="1" customWidth="1"/>
    <col min="5397" max="5397" width="8" style="142" customWidth="1"/>
    <col min="5398" max="5398" width="10.83203125" style="142" bestFit="1" customWidth="1"/>
    <col min="5399" max="5399" width="12.27734375" style="142" bestFit="1" customWidth="1"/>
    <col min="5400" max="5400" width="8.1640625" style="142" bestFit="1" customWidth="1"/>
    <col min="5401" max="5401" width="10.83203125" style="142" bestFit="1" customWidth="1"/>
    <col min="5402" max="5402" width="12.27734375" style="142" bestFit="1" customWidth="1"/>
    <col min="5403" max="5403" width="18.27734375" style="142" bestFit="1" customWidth="1"/>
    <col min="5404" max="5404" width="10.83203125" style="142" bestFit="1" customWidth="1"/>
    <col min="5405" max="5640" width="8.83203125" style="142"/>
    <col min="5641" max="5641" width="38.27734375" style="142" customWidth="1"/>
    <col min="5642" max="5642" width="23.44140625" style="142" bestFit="1" customWidth="1"/>
    <col min="5643" max="5644" width="9.1640625" style="142" customWidth="1"/>
    <col min="5645" max="5645" width="11.27734375" style="142" bestFit="1" customWidth="1"/>
    <col min="5646" max="5646" width="14.44140625" style="142" bestFit="1" customWidth="1"/>
    <col min="5647" max="5647" width="8.1640625" style="142" customWidth="1"/>
    <col min="5648" max="5648" width="10.83203125" style="142" bestFit="1" customWidth="1"/>
    <col min="5649" max="5649" width="12.27734375" style="142" bestFit="1" customWidth="1"/>
    <col min="5650" max="5650" width="9.1640625" style="142" customWidth="1"/>
    <col min="5651" max="5651" width="10.83203125" style="142" bestFit="1" customWidth="1"/>
    <col min="5652" max="5652" width="12.27734375" style="142" bestFit="1" customWidth="1"/>
    <col min="5653" max="5653" width="8" style="142" customWidth="1"/>
    <col min="5654" max="5654" width="10.83203125" style="142" bestFit="1" customWidth="1"/>
    <col min="5655" max="5655" width="12.27734375" style="142" bestFit="1" customWidth="1"/>
    <col min="5656" max="5656" width="8.1640625" style="142" bestFit="1" customWidth="1"/>
    <col min="5657" max="5657" width="10.83203125" style="142" bestFit="1" customWidth="1"/>
    <col min="5658" max="5658" width="12.27734375" style="142" bestFit="1" customWidth="1"/>
    <col min="5659" max="5659" width="18.27734375" style="142" bestFit="1" customWidth="1"/>
    <col min="5660" max="5660" width="10.83203125" style="142" bestFit="1" customWidth="1"/>
    <col min="5661" max="5896" width="8.83203125" style="142"/>
    <col min="5897" max="5897" width="38.27734375" style="142" customWidth="1"/>
    <col min="5898" max="5898" width="23.44140625" style="142" bestFit="1" customWidth="1"/>
    <col min="5899" max="5900" width="9.1640625" style="142" customWidth="1"/>
    <col min="5901" max="5901" width="11.27734375" style="142" bestFit="1" customWidth="1"/>
    <col min="5902" max="5902" width="14.44140625" style="142" bestFit="1" customWidth="1"/>
    <col min="5903" max="5903" width="8.1640625" style="142" customWidth="1"/>
    <col min="5904" max="5904" width="10.83203125" style="142" bestFit="1" customWidth="1"/>
    <col min="5905" max="5905" width="12.27734375" style="142" bestFit="1" customWidth="1"/>
    <col min="5906" max="5906" width="9.1640625" style="142" customWidth="1"/>
    <col min="5907" max="5907" width="10.83203125" style="142" bestFit="1" customWidth="1"/>
    <col min="5908" max="5908" width="12.27734375" style="142" bestFit="1" customWidth="1"/>
    <col min="5909" max="5909" width="8" style="142" customWidth="1"/>
    <col min="5910" max="5910" width="10.83203125" style="142" bestFit="1" customWidth="1"/>
    <col min="5911" max="5911" width="12.27734375" style="142" bestFit="1" customWidth="1"/>
    <col min="5912" max="5912" width="8.1640625" style="142" bestFit="1" customWidth="1"/>
    <col min="5913" max="5913" width="10.83203125" style="142" bestFit="1" customWidth="1"/>
    <col min="5914" max="5914" width="12.27734375" style="142" bestFit="1" customWidth="1"/>
    <col min="5915" max="5915" width="18.27734375" style="142" bestFit="1" customWidth="1"/>
    <col min="5916" max="5916" width="10.83203125" style="142" bestFit="1" customWidth="1"/>
    <col min="5917" max="6152" width="8.83203125" style="142"/>
    <col min="6153" max="6153" width="38.27734375" style="142" customWidth="1"/>
    <col min="6154" max="6154" width="23.44140625" style="142" bestFit="1" customWidth="1"/>
    <col min="6155" max="6156" width="9.1640625" style="142" customWidth="1"/>
    <col min="6157" max="6157" width="11.27734375" style="142" bestFit="1" customWidth="1"/>
    <col min="6158" max="6158" width="14.44140625" style="142" bestFit="1" customWidth="1"/>
    <col min="6159" max="6159" width="8.1640625" style="142" customWidth="1"/>
    <col min="6160" max="6160" width="10.83203125" style="142" bestFit="1" customWidth="1"/>
    <col min="6161" max="6161" width="12.27734375" style="142" bestFit="1" customWidth="1"/>
    <col min="6162" max="6162" width="9.1640625" style="142" customWidth="1"/>
    <col min="6163" max="6163" width="10.83203125" style="142" bestFit="1" customWidth="1"/>
    <col min="6164" max="6164" width="12.27734375" style="142" bestFit="1" customWidth="1"/>
    <col min="6165" max="6165" width="8" style="142" customWidth="1"/>
    <col min="6166" max="6166" width="10.83203125" style="142" bestFit="1" customWidth="1"/>
    <col min="6167" max="6167" width="12.27734375" style="142" bestFit="1" customWidth="1"/>
    <col min="6168" max="6168" width="8.1640625" style="142" bestFit="1" customWidth="1"/>
    <col min="6169" max="6169" width="10.83203125" style="142" bestFit="1" customWidth="1"/>
    <col min="6170" max="6170" width="12.27734375" style="142" bestFit="1" customWidth="1"/>
    <col min="6171" max="6171" width="18.27734375" style="142" bestFit="1" customWidth="1"/>
    <col min="6172" max="6172" width="10.83203125" style="142" bestFit="1" customWidth="1"/>
    <col min="6173" max="6408" width="8.83203125" style="142"/>
    <col min="6409" max="6409" width="38.27734375" style="142" customWidth="1"/>
    <col min="6410" max="6410" width="23.44140625" style="142" bestFit="1" customWidth="1"/>
    <col min="6411" max="6412" width="9.1640625" style="142" customWidth="1"/>
    <col min="6413" max="6413" width="11.27734375" style="142" bestFit="1" customWidth="1"/>
    <col min="6414" max="6414" width="14.44140625" style="142" bestFit="1" customWidth="1"/>
    <col min="6415" max="6415" width="8.1640625" style="142" customWidth="1"/>
    <col min="6416" max="6416" width="10.83203125" style="142" bestFit="1" customWidth="1"/>
    <col min="6417" max="6417" width="12.27734375" style="142" bestFit="1" customWidth="1"/>
    <col min="6418" max="6418" width="9.1640625" style="142" customWidth="1"/>
    <col min="6419" max="6419" width="10.83203125" style="142" bestFit="1" customWidth="1"/>
    <col min="6420" max="6420" width="12.27734375" style="142" bestFit="1" customWidth="1"/>
    <col min="6421" max="6421" width="8" style="142" customWidth="1"/>
    <col min="6422" max="6422" width="10.83203125" style="142" bestFit="1" customWidth="1"/>
    <col min="6423" max="6423" width="12.27734375" style="142" bestFit="1" customWidth="1"/>
    <col min="6424" max="6424" width="8.1640625" style="142" bestFit="1" customWidth="1"/>
    <col min="6425" max="6425" width="10.83203125" style="142" bestFit="1" customWidth="1"/>
    <col min="6426" max="6426" width="12.27734375" style="142" bestFit="1" customWidth="1"/>
    <col min="6427" max="6427" width="18.27734375" style="142" bestFit="1" customWidth="1"/>
    <col min="6428" max="6428" width="10.83203125" style="142" bestFit="1" customWidth="1"/>
    <col min="6429" max="6664" width="8.83203125" style="142"/>
    <col min="6665" max="6665" width="38.27734375" style="142" customWidth="1"/>
    <col min="6666" max="6666" width="23.44140625" style="142" bestFit="1" customWidth="1"/>
    <col min="6667" max="6668" width="9.1640625" style="142" customWidth="1"/>
    <col min="6669" max="6669" width="11.27734375" style="142" bestFit="1" customWidth="1"/>
    <col min="6670" max="6670" width="14.44140625" style="142" bestFit="1" customWidth="1"/>
    <col min="6671" max="6671" width="8.1640625" style="142" customWidth="1"/>
    <col min="6672" max="6672" width="10.83203125" style="142" bestFit="1" customWidth="1"/>
    <col min="6673" max="6673" width="12.27734375" style="142" bestFit="1" customWidth="1"/>
    <col min="6674" max="6674" width="9.1640625" style="142" customWidth="1"/>
    <col min="6675" max="6675" width="10.83203125" style="142" bestFit="1" customWidth="1"/>
    <col min="6676" max="6676" width="12.27734375" style="142" bestFit="1" customWidth="1"/>
    <col min="6677" max="6677" width="8" style="142" customWidth="1"/>
    <col min="6678" max="6678" width="10.83203125" style="142" bestFit="1" customWidth="1"/>
    <col min="6679" max="6679" width="12.27734375" style="142" bestFit="1" customWidth="1"/>
    <col min="6680" max="6680" width="8.1640625" style="142" bestFit="1" customWidth="1"/>
    <col min="6681" max="6681" width="10.83203125" style="142" bestFit="1" customWidth="1"/>
    <col min="6682" max="6682" width="12.27734375" style="142" bestFit="1" customWidth="1"/>
    <col min="6683" max="6683" width="18.27734375" style="142" bestFit="1" customWidth="1"/>
    <col min="6684" max="6684" width="10.83203125" style="142" bestFit="1" customWidth="1"/>
    <col min="6685" max="6920" width="8.83203125" style="142"/>
    <col min="6921" max="6921" width="38.27734375" style="142" customWidth="1"/>
    <col min="6922" max="6922" width="23.44140625" style="142" bestFit="1" customWidth="1"/>
    <col min="6923" max="6924" width="9.1640625" style="142" customWidth="1"/>
    <col min="6925" max="6925" width="11.27734375" style="142" bestFit="1" customWidth="1"/>
    <col min="6926" max="6926" width="14.44140625" style="142" bestFit="1" customWidth="1"/>
    <col min="6927" max="6927" width="8.1640625" style="142" customWidth="1"/>
    <col min="6928" max="6928" width="10.83203125" style="142" bestFit="1" customWidth="1"/>
    <col min="6929" max="6929" width="12.27734375" style="142" bestFit="1" customWidth="1"/>
    <col min="6930" max="6930" width="9.1640625" style="142" customWidth="1"/>
    <col min="6931" max="6931" width="10.83203125" style="142" bestFit="1" customWidth="1"/>
    <col min="6932" max="6932" width="12.27734375" style="142" bestFit="1" customWidth="1"/>
    <col min="6933" max="6933" width="8" style="142" customWidth="1"/>
    <col min="6934" max="6934" width="10.83203125" style="142" bestFit="1" customWidth="1"/>
    <col min="6935" max="6935" width="12.27734375" style="142" bestFit="1" customWidth="1"/>
    <col min="6936" max="6936" width="8.1640625" style="142" bestFit="1" customWidth="1"/>
    <col min="6937" max="6937" width="10.83203125" style="142" bestFit="1" customWidth="1"/>
    <col min="6938" max="6938" width="12.27734375" style="142" bestFit="1" customWidth="1"/>
    <col min="6939" max="6939" width="18.27734375" style="142" bestFit="1" customWidth="1"/>
    <col min="6940" max="6940" width="10.83203125" style="142" bestFit="1" customWidth="1"/>
    <col min="6941" max="7176" width="8.83203125" style="142"/>
    <col min="7177" max="7177" width="38.27734375" style="142" customWidth="1"/>
    <col min="7178" max="7178" width="23.44140625" style="142" bestFit="1" customWidth="1"/>
    <col min="7179" max="7180" width="9.1640625" style="142" customWidth="1"/>
    <col min="7181" max="7181" width="11.27734375" style="142" bestFit="1" customWidth="1"/>
    <col min="7182" max="7182" width="14.44140625" style="142" bestFit="1" customWidth="1"/>
    <col min="7183" max="7183" width="8.1640625" style="142" customWidth="1"/>
    <col min="7184" max="7184" width="10.83203125" style="142" bestFit="1" customWidth="1"/>
    <col min="7185" max="7185" width="12.27734375" style="142" bestFit="1" customWidth="1"/>
    <col min="7186" max="7186" width="9.1640625" style="142" customWidth="1"/>
    <col min="7187" max="7187" width="10.83203125" style="142" bestFit="1" customWidth="1"/>
    <col min="7188" max="7188" width="12.27734375" style="142" bestFit="1" customWidth="1"/>
    <col min="7189" max="7189" width="8" style="142" customWidth="1"/>
    <col min="7190" max="7190" width="10.83203125" style="142" bestFit="1" customWidth="1"/>
    <col min="7191" max="7191" width="12.27734375" style="142" bestFit="1" customWidth="1"/>
    <col min="7192" max="7192" width="8.1640625" style="142" bestFit="1" customWidth="1"/>
    <col min="7193" max="7193" width="10.83203125" style="142" bestFit="1" customWidth="1"/>
    <col min="7194" max="7194" width="12.27734375" style="142" bestFit="1" customWidth="1"/>
    <col min="7195" max="7195" width="18.27734375" style="142" bestFit="1" customWidth="1"/>
    <col min="7196" max="7196" width="10.83203125" style="142" bestFit="1" customWidth="1"/>
    <col min="7197" max="7432" width="8.83203125" style="142"/>
    <col min="7433" max="7433" width="38.27734375" style="142" customWidth="1"/>
    <col min="7434" max="7434" width="23.44140625" style="142" bestFit="1" customWidth="1"/>
    <col min="7435" max="7436" width="9.1640625" style="142" customWidth="1"/>
    <col min="7437" max="7437" width="11.27734375" style="142" bestFit="1" customWidth="1"/>
    <col min="7438" max="7438" width="14.44140625" style="142" bestFit="1" customWidth="1"/>
    <col min="7439" max="7439" width="8.1640625" style="142" customWidth="1"/>
    <col min="7440" max="7440" width="10.83203125" style="142" bestFit="1" customWidth="1"/>
    <col min="7441" max="7441" width="12.27734375" style="142" bestFit="1" customWidth="1"/>
    <col min="7442" max="7442" width="9.1640625" style="142" customWidth="1"/>
    <col min="7443" max="7443" width="10.83203125" style="142" bestFit="1" customWidth="1"/>
    <col min="7444" max="7444" width="12.27734375" style="142" bestFit="1" customWidth="1"/>
    <col min="7445" max="7445" width="8" style="142" customWidth="1"/>
    <col min="7446" max="7446" width="10.83203125" style="142" bestFit="1" customWidth="1"/>
    <col min="7447" max="7447" width="12.27734375" style="142" bestFit="1" customWidth="1"/>
    <col min="7448" max="7448" width="8.1640625" style="142" bestFit="1" customWidth="1"/>
    <col min="7449" max="7449" width="10.83203125" style="142" bestFit="1" customWidth="1"/>
    <col min="7450" max="7450" width="12.27734375" style="142" bestFit="1" customWidth="1"/>
    <col min="7451" max="7451" width="18.27734375" style="142" bestFit="1" customWidth="1"/>
    <col min="7452" max="7452" width="10.83203125" style="142" bestFit="1" customWidth="1"/>
    <col min="7453" max="7688" width="8.83203125" style="142"/>
    <col min="7689" max="7689" width="38.27734375" style="142" customWidth="1"/>
    <col min="7690" max="7690" width="23.44140625" style="142" bestFit="1" customWidth="1"/>
    <col min="7691" max="7692" width="9.1640625" style="142" customWidth="1"/>
    <col min="7693" max="7693" width="11.27734375" style="142" bestFit="1" customWidth="1"/>
    <col min="7694" max="7694" width="14.44140625" style="142" bestFit="1" customWidth="1"/>
    <col min="7695" max="7695" width="8.1640625" style="142" customWidth="1"/>
    <col min="7696" max="7696" width="10.83203125" style="142" bestFit="1" customWidth="1"/>
    <col min="7697" max="7697" width="12.27734375" style="142" bestFit="1" customWidth="1"/>
    <col min="7698" max="7698" width="9.1640625" style="142" customWidth="1"/>
    <col min="7699" max="7699" width="10.83203125" style="142" bestFit="1" customWidth="1"/>
    <col min="7700" max="7700" width="12.27734375" style="142" bestFit="1" customWidth="1"/>
    <col min="7701" max="7701" width="8" style="142" customWidth="1"/>
    <col min="7702" max="7702" width="10.83203125" style="142" bestFit="1" customWidth="1"/>
    <col min="7703" max="7703" width="12.27734375" style="142" bestFit="1" customWidth="1"/>
    <col min="7704" max="7704" width="8.1640625" style="142" bestFit="1" customWidth="1"/>
    <col min="7705" max="7705" width="10.83203125" style="142" bestFit="1" customWidth="1"/>
    <col min="7706" max="7706" width="12.27734375" style="142" bestFit="1" customWidth="1"/>
    <col min="7707" max="7707" width="18.27734375" style="142" bestFit="1" customWidth="1"/>
    <col min="7708" max="7708" width="10.83203125" style="142" bestFit="1" customWidth="1"/>
    <col min="7709" max="7944" width="8.83203125" style="142"/>
    <col min="7945" max="7945" width="38.27734375" style="142" customWidth="1"/>
    <col min="7946" max="7946" width="23.44140625" style="142" bestFit="1" customWidth="1"/>
    <col min="7947" max="7948" width="9.1640625" style="142" customWidth="1"/>
    <col min="7949" max="7949" width="11.27734375" style="142" bestFit="1" customWidth="1"/>
    <col min="7950" max="7950" width="14.44140625" style="142" bestFit="1" customWidth="1"/>
    <col min="7951" max="7951" width="8.1640625" style="142" customWidth="1"/>
    <col min="7952" max="7952" width="10.83203125" style="142" bestFit="1" customWidth="1"/>
    <col min="7953" max="7953" width="12.27734375" style="142" bestFit="1" customWidth="1"/>
    <col min="7954" max="7954" width="9.1640625" style="142" customWidth="1"/>
    <col min="7955" max="7955" width="10.83203125" style="142" bestFit="1" customWidth="1"/>
    <col min="7956" max="7956" width="12.27734375" style="142" bestFit="1" customWidth="1"/>
    <col min="7957" max="7957" width="8" style="142" customWidth="1"/>
    <col min="7958" max="7958" width="10.83203125" style="142" bestFit="1" customWidth="1"/>
    <col min="7959" max="7959" width="12.27734375" style="142" bestFit="1" customWidth="1"/>
    <col min="7960" max="7960" width="8.1640625" style="142" bestFit="1" customWidth="1"/>
    <col min="7961" max="7961" width="10.83203125" style="142" bestFit="1" customWidth="1"/>
    <col min="7962" max="7962" width="12.27734375" style="142" bestFit="1" customWidth="1"/>
    <col min="7963" max="7963" width="18.27734375" style="142" bestFit="1" customWidth="1"/>
    <col min="7964" max="7964" width="10.83203125" style="142" bestFit="1" customWidth="1"/>
    <col min="7965" max="8200" width="8.83203125" style="142"/>
    <col min="8201" max="8201" width="38.27734375" style="142" customWidth="1"/>
    <col min="8202" max="8202" width="23.44140625" style="142" bestFit="1" customWidth="1"/>
    <col min="8203" max="8204" width="9.1640625" style="142" customWidth="1"/>
    <col min="8205" max="8205" width="11.27734375" style="142" bestFit="1" customWidth="1"/>
    <col min="8206" max="8206" width="14.44140625" style="142" bestFit="1" customWidth="1"/>
    <col min="8207" max="8207" width="8.1640625" style="142" customWidth="1"/>
    <col min="8208" max="8208" width="10.83203125" style="142" bestFit="1" customWidth="1"/>
    <col min="8209" max="8209" width="12.27734375" style="142" bestFit="1" customWidth="1"/>
    <col min="8210" max="8210" width="9.1640625" style="142" customWidth="1"/>
    <col min="8211" max="8211" width="10.83203125" style="142" bestFit="1" customWidth="1"/>
    <col min="8212" max="8212" width="12.27734375" style="142" bestFit="1" customWidth="1"/>
    <col min="8213" max="8213" width="8" style="142" customWidth="1"/>
    <col min="8214" max="8214" width="10.83203125" style="142" bestFit="1" customWidth="1"/>
    <col min="8215" max="8215" width="12.27734375" style="142" bestFit="1" customWidth="1"/>
    <col min="8216" max="8216" width="8.1640625" style="142" bestFit="1" customWidth="1"/>
    <col min="8217" max="8217" width="10.83203125" style="142" bestFit="1" customWidth="1"/>
    <col min="8218" max="8218" width="12.27734375" style="142" bestFit="1" customWidth="1"/>
    <col min="8219" max="8219" width="18.27734375" style="142" bestFit="1" customWidth="1"/>
    <col min="8220" max="8220" width="10.83203125" style="142" bestFit="1" customWidth="1"/>
    <col min="8221" max="8456" width="8.83203125" style="142"/>
    <col min="8457" max="8457" width="38.27734375" style="142" customWidth="1"/>
    <col min="8458" max="8458" width="23.44140625" style="142" bestFit="1" customWidth="1"/>
    <col min="8459" max="8460" width="9.1640625" style="142" customWidth="1"/>
    <col min="8461" max="8461" width="11.27734375" style="142" bestFit="1" customWidth="1"/>
    <col min="8462" max="8462" width="14.44140625" style="142" bestFit="1" customWidth="1"/>
    <col min="8463" max="8463" width="8.1640625" style="142" customWidth="1"/>
    <col min="8464" max="8464" width="10.83203125" style="142" bestFit="1" customWidth="1"/>
    <col min="8465" max="8465" width="12.27734375" style="142" bestFit="1" customWidth="1"/>
    <col min="8466" max="8466" width="9.1640625" style="142" customWidth="1"/>
    <col min="8467" max="8467" width="10.83203125" style="142" bestFit="1" customWidth="1"/>
    <col min="8468" max="8468" width="12.27734375" style="142" bestFit="1" customWidth="1"/>
    <col min="8469" max="8469" width="8" style="142" customWidth="1"/>
    <col min="8470" max="8470" width="10.83203125" style="142" bestFit="1" customWidth="1"/>
    <col min="8471" max="8471" width="12.27734375" style="142" bestFit="1" customWidth="1"/>
    <col min="8472" max="8472" width="8.1640625" style="142" bestFit="1" customWidth="1"/>
    <col min="8473" max="8473" width="10.83203125" style="142" bestFit="1" customWidth="1"/>
    <col min="8474" max="8474" width="12.27734375" style="142" bestFit="1" customWidth="1"/>
    <col min="8475" max="8475" width="18.27734375" style="142" bestFit="1" customWidth="1"/>
    <col min="8476" max="8476" width="10.83203125" style="142" bestFit="1" customWidth="1"/>
    <col min="8477" max="8712" width="8.83203125" style="142"/>
    <col min="8713" max="8713" width="38.27734375" style="142" customWidth="1"/>
    <col min="8714" max="8714" width="23.44140625" style="142" bestFit="1" customWidth="1"/>
    <col min="8715" max="8716" width="9.1640625" style="142" customWidth="1"/>
    <col min="8717" max="8717" width="11.27734375" style="142" bestFit="1" customWidth="1"/>
    <col min="8718" max="8718" width="14.44140625" style="142" bestFit="1" customWidth="1"/>
    <col min="8719" max="8719" width="8.1640625" style="142" customWidth="1"/>
    <col min="8720" max="8720" width="10.83203125" style="142" bestFit="1" customWidth="1"/>
    <col min="8721" max="8721" width="12.27734375" style="142" bestFit="1" customWidth="1"/>
    <col min="8722" max="8722" width="9.1640625" style="142" customWidth="1"/>
    <col min="8723" max="8723" width="10.83203125" style="142" bestFit="1" customWidth="1"/>
    <col min="8724" max="8724" width="12.27734375" style="142" bestFit="1" customWidth="1"/>
    <col min="8725" max="8725" width="8" style="142" customWidth="1"/>
    <col min="8726" max="8726" width="10.83203125" style="142" bestFit="1" customWidth="1"/>
    <col min="8727" max="8727" width="12.27734375" style="142" bestFit="1" customWidth="1"/>
    <col min="8728" max="8728" width="8.1640625" style="142" bestFit="1" customWidth="1"/>
    <col min="8729" max="8729" width="10.83203125" style="142" bestFit="1" customWidth="1"/>
    <col min="8730" max="8730" width="12.27734375" style="142" bestFit="1" customWidth="1"/>
    <col min="8731" max="8731" width="18.27734375" style="142" bestFit="1" customWidth="1"/>
    <col min="8732" max="8732" width="10.83203125" style="142" bestFit="1" customWidth="1"/>
    <col min="8733" max="8968" width="8.83203125" style="142"/>
    <col min="8969" max="8969" width="38.27734375" style="142" customWidth="1"/>
    <col min="8970" max="8970" width="23.44140625" style="142" bestFit="1" customWidth="1"/>
    <col min="8971" max="8972" width="9.1640625" style="142" customWidth="1"/>
    <col min="8973" max="8973" width="11.27734375" style="142" bestFit="1" customWidth="1"/>
    <col min="8974" max="8974" width="14.44140625" style="142" bestFit="1" customWidth="1"/>
    <col min="8975" max="8975" width="8.1640625" style="142" customWidth="1"/>
    <col min="8976" max="8976" width="10.83203125" style="142" bestFit="1" customWidth="1"/>
    <col min="8977" max="8977" width="12.27734375" style="142" bestFit="1" customWidth="1"/>
    <col min="8978" max="8978" width="9.1640625" style="142" customWidth="1"/>
    <col min="8979" max="8979" width="10.83203125" style="142" bestFit="1" customWidth="1"/>
    <col min="8980" max="8980" width="12.27734375" style="142" bestFit="1" customWidth="1"/>
    <col min="8981" max="8981" width="8" style="142" customWidth="1"/>
    <col min="8982" max="8982" width="10.83203125" style="142" bestFit="1" customWidth="1"/>
    <col min="8983" max="8983" width="12.27734375" style="142" bestFit="1" customWidth="1"/>
    <col min="8984" max="8984" width="8.1640625" style="142" bestFit="1" customWidth="1"/>
    <col min="8985" max="8985" width="10.83203125" style="142" bestFit="1" customWidth="1"/>
    <col min="8986" max="8986" width="12.27734375" style="142" bestFit="1" customWidth="1"/>
    <col min="8987" max="8987" width="18.27734375" style="142" bestFit="1" customWidth="1"/>
    <col min="8988" max="8988" width="10.83203125" style="142" bestFit="1" customWidth="1"/>
    <col min="8989" max="9224" width="8.83203125" style="142"/>
    <col min="9225" max="9225" width="38.27734375" style="142" customWidth="1"/>
    <col min="9226" max="9226" width="23.44140625" style="142" bestFit="1" customWidth="1"/>
    <col min="9227" max="9228" width="9.1640625" style="142" customWidth="1"/>
    <col min="9229" max="9229" width="11.27734375" style="142" bestFit="1" customWidth="1"/>
    <col min="9230" max="9230" width="14.44140625" style="142" bestFit="1" customWidth="1"/>
    <col min="9231" max="9231" width="8.1640625" style="142" customWidth="1"/>
    <col min="9232" max="9232" width="10.83203125" style="142" bestFit="1" customWidth="1"/>
    <col min="9233" max="9233" width="12.27734375" style="142" bestFit="1" customWidth="1"/>
    <col min="9234" max="9234" width="9.1640625" style="142" customWidth="1"/>
    <col min="9235" max="9235" width="10.83203125" style="142" bestFit="1" customWidth="1"/>
    <col min="9236" max="9236" width="12.27734375" style="142" bestFit="1" customWidth="1"/>
    <col min="9237" max="9237" width="8" style="142" customWidth="1"/>
    <col min="9238" max="9238" width="10.83203125" style="142" bestFit="1" customWidth="1"/>
    <col min="9239" max="9239" width="12.27734375" style="142" bestFit="1" customWidth="1"/>
    <col min="9240" max="9240" width="8.1640625" style="142" bestFit="1" customWidth="1"/>
    <col min="9241" max="9241" width="10.83203125" style="142" bestFit="1" customWidth="1"/>
    <col min="9242" max="9242" width="12.27734375" style="142" bestFit="1" customWidth="1"/>
    <col min="9243" max="9243" width="18.27734375" style="142" bestFit="1" customWidth="1"/>
    <col min="9244" max="9244" width="10.83203125" style="142" bestFit="1" customWidth="1"/>
    <col min="9245" max="9480" width="8.83203125" style="142"/>
    <col min="9481" max="9481" width="38.27734375" style="142" customWidth="1"/>
    <col min="9482" max="9482" width="23.44140625" style="142" bestFit="1" customWidth="1"/>
    <col min="9483" max="9484" width="9.1640625" style="142" customWidth="1"/>
    <col min="9485" max="9485" width="11.27734375" style="142" bestFit="1" customWidth="1"/>
    <col min="9486" max="9486" width="14.44140625" style="142" bestFit="1" customWidth="1"/>
    <col min="9487" max="9487" width="8.1640625" style="142" customWidth="1"/>
    <col min="9488" max="9488" width="10.83203125" style="142" bestFit="1" customWidth="1"/>
    <col min="9489" max="9489" width="12.27734375" style="142" bestFit="1" customWidth="1"/>
    <col min="9490" max="9490" width="9.1640625" style="142" customWidth="1"/>
    <col min="9491" max="9491" width="10.83203125" style="142" bestFit="1" customWidth="1"/>
    <col min="9492" max="9492" width="12.27734375" style="142" bestFit="1" customWidth="1"/>
    <col min="9493" max="9493" width="8" style="142" customWidth="1"/>
    <col min="9494" max="9494" width="10.83203125" style="142" bestFit="1" customWidth="1"/>
    <col min="9495" max="9495" width="12.27734375" style="142" bestFit="1" customWidth="1"/>
    <col min="9496" max="9496" width="8.1640625" style="142" bestFit="1" customWidth="1"/>
    <col min="9497" max="9497" width="10.83203125" style="142" bestFit="1" customWidth="1"/>
    <col min="9498" max="9498" width="12.27734375" style="142" bestFit="1" customWidth="1"/>
    <col min="9499" max="9499" width="18.27734375" style="142" bestFit="1" customWidth="1"/>
    <col min="9500" max="9500" width="10.83203125" style="142" bestFit="1" customWidth="1"/>
    <col min="9501" max="9736" width="8.83203125" style="142"/>
    <col min="9737" max="9737" width="38.27734375" style="142" customWidth="1"/>
    <col min="9738" max="9738" width="23.44140625" style="142" bestFit="1" customWidth="1"/>
    <col min="9739" max="9740" width="9.1640625" style="142" customWidth="1"/>
    <col min="9741" max="9741" width="11.27734375" style="142" bestFit="1" customWidth="1"/>
    <col min="9742" max="9742" width="14.44140625" style="142" bestFit="1" customWidth="1"/>
    <col min="9743" max="9743" width="8.1640625" style="142" customWidth="1"/>
    <col min="9744" max="9744" width="10.83203125" style="142" bestFit="1" customWidth="1"/>
    <col min="9745" max="9745" width="12.27734375" style="142" bestFit="1" customWidth="1"/>
    <col min="9746" max="9746" width="9.1640625" style="142" customWidth="1"/>
    <col min="9747" max="9747" width="10.83203125" style="142" bestFit="1" customWidth="1"/>
    <col min="9748" max="9748" width="12.27734375" style="142" bestFit="1" customWidth="1"/>
    <col min="9749" max="9749" width="8" style="142" customWidth="1"/>
    <col min="9750" max="9750" width="10.83203125" style="142" bestFit="1" customWidth="1"/>
    <col min="9751" max="9751" width="12.27734375" style="142" bestFit="1" customWidth="1"/>
    <col min="9752" max="9752" width="8.1640625" style="142" bestFit="1" customWidth="1"/>
    <col min="9753" max="9753" width="10.83203125" style="142" bestFit="1" customWidth="1"/>
    <col min="9754" max="9754" width="12.27734375" style="142" bestFit="1" customWidth="1"/>
    <col min="9755" max="9755" width="18.27734375" style="142" bestFit="1" customWidth="1"/>
    <col min="9756" max="9756" width="10.83203125" style="142" bestFit="1" customWidth="1"/>
    <col min="9757" max="9992" width="8.83203125" style="142"/>
    <col min="9993" max="9993" width="38.27734375" style="142" customWidth="1"/>
    <col min="9994" max="9994" width="23.44140625" style="142" bestFit="1" customWidth="1"/>
    <col min="9995" max="9996" width="9.1640625" style="142" customWidth="1"/>
    <col min="9997" max="9997" width="11.27734375" style="142" bestFit="1" customWidth="1"/>
    <col min="9998" max="9998" width="14.44140625" style="142" bestFit="1" customWidth="1"/>
    <col min="9999" max="9999" width="8.1640625" style="142" customWidth="1"/>
    <col min="10000" max="10000" width="10.83203125" style="142" bestFit="1" customWidth="1"/>
    <col min="10001" max="10001" width="12.27734375" style="142" bestFit="1" customWidth="1"/>
    <col min="10002" max="10002" width="9.1640625" style="142" customWidth="1"/>
    <col min="10003" max="10003" width="10.83203125" style="142" bestFit="1" customWidth="1"/>
    <col min="10004" max="10004" width="12.27734375" style="142" bestFit="1" customWidth="1"/>
    <col min="10005" max="10005" width="8" style="142" customWidth="1"/>
    <col min="10006" max="10006" width="10.83203125" style="142" bestFit="1" customWidth="1"/>
    <col min="10007" max="10007" width="12.27734375" style="142" bestFit="1" customWidth="1"/>
    <col min="10008" max="10008" width="8.1640625" style="142" bestFit="1" customWidth="1"/>
    <col min="10009" max="10009" width="10.83203125" style="142" bestFit="1" customWidth="1"/>
    <col min="10010" max="10010" width="12.27734375" style="142" bestFit="1" customWidth="1"/>
    <col min="10011" max="10011" width="18.27734375" style="142" bestFit="1" customWidth="1"/>
    <col min="10012" max="10012" width="10.83203125" style="142" bestFit="1" customWidth="1"/>
    <col min="10013" max="10248" width="8.83203125" style="142"/>
    <col min="10249" max="10249" width="38.27734375" style="142" customWidth="1"/>
    <col min="10250" max="10250" width="23.44140625" style="142" bestFit="1" customWidth="1"/>
    <col min="10251" max="10252" width="9.1640625" style="142" customWidth="1"/>
    <col min="10253" max="10253" width="11.27734375" style="142" bestFit="1" customWidth="1"/>
    <col min="10254" max="10254" width="14.44140625" style="142" bestFit="1" customWidth="1"/>
    <col min="10255" max="10255" width="8.1640625" style="142" customWidth="1"/>
    <col min="10256" max="10256" width="10.83203125" style="142" bestFit="1" customWidth="1"/>
    <col min="10257" max="10257" width="12.27734375" style="142" bestFit="1" customWidth="1"/>
    <col min="10258" max="10258" width="9.1640625" style="142" customWidth="1"/>
    <col min="10259" max="10259" width="10.83203125" style="142" bestFit="1" customWidth="1"/>
    <col min="10260" max="10260" width="12.27734375" style="142" bestFit="1" customWidth="1"/>
    <col min="10261" max="10261" width="8" style="142" customWidth="1"/>
    <col min="10262" max="10262" width="10.83203125" style="142" bestFit="1" customWidth="1"/>
    <col min="10263" max="10263" width="12.27734375" style="142" bestFit="1" customWidth="1"/>
    <col min="10264" max="10264" width="8.1640625" style="142" bestFit="1" customWidth="1"/>
    <col min="10265" max="10265" width="10.83203125" style="142" bestFit="1" customWidth="1"/>
    <col min="10266" max="10266" width="12.27734375" style="142" bestFit="1" customWidth="1"/>
    <col min="10267" max="10267" width="18.27734375" style="142" bestFit="1" customWidth="1"/>
    <col min="10268" max="10268" width="10.83203125" style="142" bestFit="1" customWidth="1"/>
    <col min="10269" max="10504" width="8.83203125" style="142"/>
    <col min="10505" max="10505" width="38.27734375" style="142" customWidth="1"/>
    <col min="10506" max="10506" width="23.44140625" style="142" bestFit="1" customWidth="1"/>
    <col min="10507" max="10508" width="9.1640625" style="142" customWidth="1"/>
    <col min="10509" max="10509" width="11.27734375" style="142" bestFit="1" customWidth="1"/>
    <col min="10510" max="10510" width="14.44140625" style="142" bestFit="1" customWidth="1"/>
    <col min="10511" max="10511" width="8.1640625" style="142" customWidth="1"/>
    <col min="10512" max="10512" width="10.83203125" style="142" bestFit="1" customWidth="1"/>
    <col min="10513" max="10513" width="12.27734375" style="142" bestFit="1" customWidth="1"/>
    <col min="10514" max="10514" width="9.1640625" style="142" customWidth="1"/>
    <col min="10515" max="10515" width="10.83203125" style="142" bestFit="1" customWidth="1"/>
    <col min="10516" max="10516" width="12.27734375" style="142" bestFit="1" customWidth="1"/>
    <col min="10517" max="10517" width="8" style="142" customWidth="1"/>
    <col min="10518" max="10518" width="10.83203125" style="142" bestFit="1" customWidth="1"/>
    <col min="10519" max="10519" width="12.27734375" style="142" bestFit="1" customWidth="1"/>
    <col min="10520" max="10520" width="8.1640625" style="142" bestFit="1" customWidth="1"/>
    <col min="10521" max="10521" width="10.83203125" style="142" bestFit="1" customWidth="1"/>
    <col min="10522" max="10522" width="12.27734375" style="142" bestFit="1" customWidth="1"/>
    <col min="10523" max="10523" width="18.27734375" style="142" bestFit="1" customWidth="1"/>
    <col min="10524" max="10524" width="10.83203125" style="142" bestFit="1" customWidth="1"/>
    <col min="10525" max="10760" width="8.83203125" style="142"/>
    <col min="10761" max="10761" width="38.27734375" style="142" customWidth="1"/>
    <col min="10762" max="10762" width="23.44140625" style="142" bestFit="1" customWidth="1"/>
    <col min="10763" max="10764" width="9.1640625" style="142" customWidth="1"/>
    <col min="10765" max="10765" width="11.27734375" style="142" bestFit="1" customWidth="1"/>
    <col min="10766" max="10766" width="14.44140625" style="142" bestFit="1" customWidth="1"/>
    <col min="10767" max="10767" width="8.1640625" style="142" customWidth="1"/>
    <col min="10768" max="10768" width="10.83203125" style="142" bestFit="1" customWidth="1"/>
    <col min="10769" max="10769" width="12.27734375" style="142" bestFit="1" customWidth="1"/>
    <col min="10770" max="10770" width="9.1640625" style="142" customWidth="1"/>
    <col min="10771" max="10771" width="10.83203125" style="142" bestFit="1" customWidth="1"/>
    <col min="10772" max="10772" width="12.27734375" style="142" bestFit="1" customWidth="1"/>
    <col min="10773" max="10773" width="8" style="142" customWidth="1"/>
    <col min="10774" max="10774" width="10.83203125" style="142" bestFit="1" customWidth="1"/>
    <col min="10775" max="10775" width="12.27734375" style="142" bestFit="1" customWidth="1"/>
    <col min="10776" max="10776" width="8.1640625" style="142" bestFit="1" customWidth="1"/>
    <col min="10777" max="10777" width="10.83203125" style="142" bestFit="1" customWidth="1"/>
    <col min="10778" max="10778" width="12.27734375" style="142" bestFit="1" customWidth="1"/>
    <col min="10779" max="10779" width="18.27734375" style="142" bestFit="1" customWidth="1"/>
    <col min="10780" max="10780" width="10.83203125" style="142" bestFit="1" customWidth="1"/>
    <col min="10781" max="11016" width="8.83203125" style="142"/>
    <col min="11017" max="11017" width="38.27734375" style="142" customWidth="1"/>
    <col min="11018" max="11018" width="23.44140625" style="142" bestFit="1" customWidth="1"/>
    <col min="11019" max="11020" width="9.1640625" style="142" customWidth="1"/>
    <col min="11021" max="11021" width="11.27734375" style="142" bestFit="1" customWidth="1"/>
    <col min="11022" max="11022" width="14.44140625" style="142" bestFit="1" customWidth="1"/>
    <col min="11023" max="11023" width="8.1640625" style="142" customWidth="1"/>
    <col min="11024" max="11024" width="10.83203125" style="142" bestFit="1" customWidth="1"/>
    <col min="11025" max="11025" width="12.27734375" style="142" bestFit="1" customWidth="1"/>
    <col min="11026" max="11026" width="9.1640625" style="142" customWidth="1"/>
    <col min="11027" max="11027" width="10.83203125" style="142" bestFit="1" customWidth="1"/>
    <col min="11028" max="11028" width="12.27734375" style="142" bestFit="1" customWidth="1"/>
    <col min="11029" max="11029" width="8" style="142" customWidth="1"/>
    <col min="11030" max="11030" width="10.83203125" style="142" bestFit="1" customWidth="1"/>
    <col min="11031" max="11031" width="12.27734375" style="142" bestFit="1" customWidth="1"/>
    <col min="11032" max="11032" width="8.1640625" style="142" bestFit="1" customWidth="1"/>
    <col min="11033" max="11033" width="10.83203125" style="142" bestFit="1" customWidth="1"/>
    <col min="11034" max="11034" width="12.27734375" style="142" bestFit="1" customWidth="1"/>
    <col min="11035" max="11035" width="18.27734375" style="142" bestFit="1" customWidth="1"/>
    <col min="11036" max="11036" width="10.83203125" style="142" bestFit="1" customWidth="1"/>
    <col min="11037" max="11272" width="8.83203125" style="142"/>
    <col min="11273" max="11273" width="38.27734375" style="142" customWidth="1"/>
    <col min="11274" max="11274" width="23.44140625" style="142" bestFit="1" customWidth="1"/>
    <col min="11275" max="11276" width="9.1640625" style="142" customWidth="1"/>
    <col min="11277" max="11277" width="11.27734375" style="142" bestFit="1" customWidth="1"/>
    <col min="11278" max="11278" width="14.44140625" style="142" bestFit="1" customWidth="1"/>
    <col min="11279" max="11279" width="8.1640625" style="142" customWidth="1"/>
    <col min="11280" max="11280" width="10.83203125" style="142" bestFit="1" customWidth="1"/>
    <col min="11281" max="11281" width="12.27734375" style="142" bestFit="1" customWidth="1"/>
    <col min="11282" max="11282" width="9.1640625" style="142" customWidth="1"/>
    <col min="11283" max="11283" width="10.83203125" style="142" bestFit="1" customWidth="1"/>
    <col min="11284" max="11284" width="12.27734375" style="142" bestFit="1" customWidth="1"/>
    <col min="11285" max="11285" width="8" style="142" customWidth="1"/>
    <col min="11286" max="11286" width="10.83203125" style="142" bestFit="1" customWidth="1"/>
    <col min="11287" max="11287" width="12.27734375" style="142" bestFit="1" customWidth="1"/>
    <col min="11288" max="11288" width="8.1640625" style="142" bestFit="1" customWidth="1"/>
    <col min="11289" max="11289" width="10.83203125" style="142" bestFit="1" customWidth="1"/>
    <col min="11290" max="11290" width="12.27734375" style="142" bestFit="1" customWidth="1"/>
    <col min="11291" max="11291" width="18.27734375" style="142" bestFit="1" customWidth="1"/>
    <col min="11292" max="11292" width="10.83203125" style="142" bestFit="1" customWidth="1"/>
    <col min="11293" max="11528" width="8.83203125" style="142"/>
    <col min="11529" max="11529" width="38.27734375" style="142" customWidth="1"/>
    <col min="11530" max="11530" width="23.44140625" style="142" bestFit="1" customWidth="1"/>
    <col min="11531" max="11532" width="9.1640625" style="142" customWidth="1"/>
    <col min="11533" max="11533" width="11.27734375" style="142" bestFit="1" customWidth="1"/>
    <col min="11534" max="11534" width="14.44140625" style="142" bestFit="1" customWidth="1"/>
    <col min="11535" max="11535" width="8.1640625" style="142" customWidth="1"/>
    <col min="11536" max="11536" width="10.83203125" style="142" bestFit="1" customWidth="1"/>
    <col min="11537" max="11537" width="12.27734375" style="142" bestFit="1" customWidth="1"/>
    <col min="11538" max="11538" width="9.1640625" style="142" customWidth="1"/>
    <col min="11539" max="11539" width="10.83203125" style="142" bestFit="1" customWidth="1"/>
    <col min="11540" max="11540" width="12.27734375" style="142" bestFit="1" customWidth="1"/>
    <col min="11541" max="11541" width="8" style="142" customWidth="1"/>
    <col min="11542" max="11542" width="10.83203125" style="142" bestFit="1" customWidth="1"/>
    <col min="11543" max="11543" width="12.27734375" style="142" bestFit="1" customWidth="1"/>
    <col min="11544" max="11544" width="8.1640625" style="142" bestFit="1" customWidth="1"/>
    <col min="11545" max="11545" width="10.83203125" style="142" bestFit="1" customWidth="1"/>
    <col min="11546" max="11546" width="12.27734375" style="142" bestFit="1" customWidth="1"/>
    <col min="11547" max="11547" width="18.27734375" style="142" bestFit="1" customWidth="1"/>
    <col min="11548" max="11548" width="10.83203125" style="142" bestFit="1" customWidth="1"/>
    <col min="11549" max="11784" width="8.83203125" style="142"/>
    <col min="11785" max="11785" width="38.27734375" style="142" customWidth="1"/>
    <col min="11786" max="11786" width="23.44140625" style="142" bestFit="1" customWidth="1"/>
    <col min="11787" max="11788" width="9.1640625" style="142" customWidth="1"/>
    <col min="11789" max="11789" width="11.27734375" style="142" bestFit="1" customWidth="1"/>
    <col min="11790" max="11790" width="14.44140625" style="142" bestFit="1" customWidth="1"/>
    <col min="11791" max="11791" width="8.1640625" style="142" customWidth="1"/>
    <col min="11792" max="11792" width="10.83203125" style="142" bestFit="1" customWidth="1"/>
    <col min="11793" max="11793" width="12.27734375" style="142" bestFit="1" customWidth="1"/>
    <col min="11794" max="11794" width="9.1640625" style="142" customWidth="1"/>
    <col min="11795" max="11795" width="10.83203125" style="142" bestFit="1" customWidth="1"/>
    <col min="11796" max="11796" width="12.27734375" style="142" bestFit="1" customWidth="1"/>
    <col min="11797" max="11797" width="8" style="142" customWidth="1"/>
    <col min="11798" max="11798" width="10.83203125" style="142" bestFit="1" customWidth="1"/>
    <col min="11799" max="11799" width="12.27734375" style="142" bestFit="1" customWidth="1"/>
    <col min="11800" max="11800" width="8.1640625" style="142" bestFit="1" customWidth="1"/>
    <col min="11801" max="11801" width="10.83203125" style="142" bestFit="1" customWidth="1"/>
    <col min="11802" max="11802" width="12.27734375" style="142" bestFit="1" customWidth="1"/>
    <col min="11803" max="11803" width="18.27734375" style="142" bestFit="1" customWidth="1"/>
    <col min="11804" max="11804" width="10.83203125" style="142" bestFit="1" customWidth="1"/>
    <col min="11805" max="12040" width="8.83203125" style="142"/>
    <col min="12041" max="12041" width="38.27734375" style="142" customWidth="1"/>
    <col min="12042" max="12042" width="23.44140625" style="142" bestFit="1" customWidth="1"/>
    <col min="12043" max="12044" width="9.1640625" style="142" customWidth="1"/>
    <col min="12045" max="12045" width="11.27734375" style="142" bestFit="1" customWidth="1"/>
    <col min="12046" max="12046" width="14.44140625" style="142" bestFit="1" customWidth="1"/>
    <col min="12047" max="12047" width="8.1640625" style="142" customWidth="1"/>
    <col min="12048" max="12048" width="10.83203125" style="142" bestFit="1" customWidth="1"/>
    <col min="12049" max="12049" width="12.27734375" style="142" bestFit="1" customWidth="1"/>
    <col min="12050" max="12050" width="9.1640625" style="142" customWidth="1"/>
    <col min="12051" max="12051" width="10.83203125" style="142" bestFit="1" customWidth="1"/>
    <col min="12052" max="12052" width="12.27734375" style="142" bestFit="1" customWidth="1"/>
    <col min="12053" max="12053" width="8" style="142" customWidth="1"/>
    <col min="12054" max="12054" width="10.83203125" style="142" bestFit="1" customWidth="1"/>
    <col min="12055" max="12055" width="12.27734375" style="142" bestFit="1" customWidth="1"/>
    <col min="12056" max="12056" width="8.1640625" style="142" bestFit="1" customWidth="1"/>
    <col min="12057" max="12057" width="10.83203125" style="142" bestFit="1" customWidth="1"/>
    <col min="12058" max="12058" width="12.27734375" style="142" bestFit="1" customWidth="1"/>
    <col min="12059" max="12059" width="18.27734375" style="142" bestFit="1" customWidth="1"/>
    <col min="12060" max="12060" width="10.83203125" style="142" bestFit="1" customWidth="1"/>
    <col min="12061" max="12296" width="8.83203125" style="142"/>
    <col min="12297" max="12297" width="38.27734375" style="142" customWidth="1"/>
    <col min="12298" max="12298" width="23.44140625" style="142" bestFit="1" customWidth="1"/>
    <col min="12299" max="12300" width="9.1640625" style="142" customWidth="1"/>
    <col min="12301" max="12301" width="11.27734375" style="142" bestFit="1" customWidth="1"/>
    <col min="12302" max="12302" width="14.44140625" style="142" bestFit="1" customWidth="1"/>
    <col min="12303" max="12303" width="8.1640625" style="142" customWidth="1"/>
    <col min="12304" max="12304" width="10.83203125" style="142" bestFit="1" customWidth="1"/>
    <col min="12305" max="12305" width="12.27734375" style="142" bestFit="1" customWidth="1"/>
    <col min="12306" max="12306" width="9.1640625" style="142" customWidth="1"/>
    <col min="12307" max="12307" width="10.83203125" style="142" bestFit="1" customWidth="1"/>
    <col min="12308" max="12308" width="12.27734375" style="142" bestFit="1" customWidth="1"/>
    <col min="12309" max="12309" width="8" style="142" customWidth="1"/>
    <col min="12310" max="12310" width="10.83203125" style="142" bestFit="1" customWidth="1"/>
    <col min="12311" max="12311" width="12.27734375" style="142" bestFit="1" customWidth="1"/>
    <col min="12312" max="12312" width="8.1640625" style="142" bestFit="1" customWidth="1"/>
    <col min="12313" max="12313" width="10.83203125" style="142" bestFit="1" customWidth="1"/>
    <col min="12314" max="12314" width="12.27734375" style="142" bestFit="1" customWidth="1"/>
    <col min="12315" max="12315" width="18.27734375" style="142" bestFit="1" customWidth="1"/>
    <col min="12316" max="12316" width="10.83203125" style="142" bestFit="1" customWidth="1"/>
    <col min="12317" max="12552" width="8.83203125" style="142"/>
    <col min="12553" max="12553" width="38.27734375" style="142" customWidth="1"/>
    <col min="12554" max="12554" width="23.44140625" style="142" bestFit="1" customWidth="1"/>
    <col min="12555" max="12556" width="9.1640625" style="142" customWidth="1"/>
    <col min="12557" max="12557" width="11.27734375" style="142" bestFit="1" customWidth="1"/>
    <col min="12558" max="12558" width="14.44140625" style="142" bestFit="1" customWidth="1"/>
    <col min="12559" max="12559" width="8.1640625" style="142" customWidth="1"/>
    <col min="12560" max="12560" width="10.83203125" style="142" bestFit="1" customWidth="1"/>
    <col min="12561" max="12561" width="12.27734375" style="142" bestFit="1" customWidth="1"/>
    <col min="12562" max="12562" width="9.1640625" style="142" customWidth="1"/>
    <col min="12563" max="12563" width="10.83203125" style="142" bestFit="1" customWidth="1"/>
    <col min="12564" max="12564" width="12.27734375" style="142" bestFit="1" customWidth="1"/>
    <col min="12565" max="12565" width="8" style="142" customWidth="1"/>
    <col min="12566" max="12566" width="10.83203125" style="142" bestFit="1" customWidth="1"/>
    <col min="12567" max="12567" width="12.27734375" style="142" bestFit="1" customWidth="1"/>
    <col min="12568" max="12568" width="8.1640625" style="142" bestFit="1" customWidth="1"/>
    <col min="12569" max="12569" width="10.83203125" style="142" bestFit="1" customWidth="1"/>
    <col min="12570" max="12570" width="12.27734375" style="142" bestFit="1" customWidth="1"/>
    <col min="12571" max="12571" width="18.27734375" style="142" bestFit="1" customWidth="1"/>
    <col min="12572" max="12572" width="10.83203125" style="142" bestFit="1" customWidth="1"/>
    <col min="12573" max="12808" width="8.83203125" style="142"/>
    <col min="12809" max="12809" width="38.27734375" style="142" customWidth="1"/>
    <col min="12810" max="12810" width="23.44140625" style="142" bestFit="1" customWidth="1"/>
    <col min="12811" max="12812" width="9.1640625" style="142" customWidth="1"/>
    <col min="12813" max="12813" width="11.27734375" style="142" bestFit="1" customWidth="1"/>
    <col min="12814" max="12814" width="14.44140625" style="142" bestFit="1" customWidth="1"/>
    <col min="12815" max="12815" width="8.1640625" style="142" customWidth="1"/>
    <col min="12816" max="12816" width="10.83203125" style="142" bestFit="1" customWidth="1"/>
    <col min="12817" max="12817" width="12.27734375" style="142" bestFit="1" customWidth="1"/>
    <col min="12818" max="12818" width="9.1640625" style="142" customWidth="1"/>
    <col min="12819" max="12819" width="10.83203125" style="142" bestFit="1" customWidth="1"/>
    <col min="12820" max="12820" width="12.27734375" style="142" bestFit="1" customWidth="1"/>
    <col min="12821" max="12821" width="8" style="142" customWidth="1"/>
    <col min="12822" max="12822" width="10.83203125" style="142" bestFit="1" customWidth="1"/>
    <col min="12823" max="12823" width="12.27734375" style="142" bestFit="1" customWidth="1"/>
    <col min="12824" max="12824" width="8.1640625" style="142" bestFit="1" customWidth="1"/>
    <col min="12825" max="12825" width="10.83203125" style="142" bestFit="1" customWidth="1"/>
    <col min="12826" max="12826" width="12.27734375" style="142" bestFit="1" customWidth="1"/>
    <col min="12827" max="12827" width="18.27734375" style="142" bestFit="1" customWidth="1"/>
    <col min="12828" max="12828" width="10.83203125" style="142" bestFit="1" customWidth="1"/>
    <col min="12829" max="13064" width="8.83203125" style="142"/>
    <col min="13065" max="13065" width="38.27734375" style="142" customWidth="1"/>
    <col min="13066" max="13066" width="23.44140625" style="142" bestFit="1" customWidth="1"/>
    <col min="13067" max="13068" width="9.1640625" style="142" customWidth="1"/>
    <col min="13069" max="13069" width="11.27734375" style="142" bestFit="1" customWidth="1"/>
    <col min="13070" max="13070" width="14.44140625" style="142" bestFit="1" customWidth="1"/>
    <col min="13071" max="13071" width="8.1640625" style="142" customWidth="1"/>
    <col min="13072" max="13072" width="10.83203125" style="142" bestFit="1" customWidth="1"/>
    <col min="13073" max="13073" width="12.27734375" style="142" bestFit="1" customWidth="1"/>
    <col min="13074" max="13074" width="9.1640625" style="142" customWidth="1"/>
    <col min="13075" max="13075" width="10.83203125" style="142" bestFit="1" customWidth="1"/>
    <col min="13076" max="13076" width="12.27734375" style="142" bestFit="1" customWidth="1"/>
    <col min="13077" max="13077" width="8" style="142" customWidth="1"/>
    <col min="13078" max="13078" width="10.83203125" style="142" bestFit="1" customWidth="1"/>
    <col min="13079" max="13079" width="12.27734375" style="142" bestFit="1" customWidth="1"/>
    <col min="13080" max="13080" width="8.1640625" style="142" bestFit="1" customWidth="1"/>
    <col min="13081" max="13081" width="10.83203125" style="142" bestFit="1" customWidth="1"/>
    <col min="13082" max="13082" width="12.27734375" style="142" bestFit="1" customWidth="1"/>
    <col min="13083" max="13083" width="18.27734375" style="142" bestFit="1" customWidth="1"/>
    <col min="13084" max="13084" width="10.83203125" style="142" bestFit="1" customWidth="1"/>
    <col min="13085" max="13320" width="8.83203125" style="142"/>
    <col min="13321" max="13321" width="38.27734375" style="142" customWidth="1"/>
    <col min="13322" max="13322" width="23.44140625" style="142" bestFit="1" customWidth="1"/>
    <col min="13323" max="13324" width="9.1640625" style="142" customWidth="1"/>
    <col min="13325" max="13325" width="11.27734375" style="142" bestFit="1" customWidth="1"/>
    <col min="13326" max="13326" width="14.44140625" style="142" bestFit="1" customWidth="1"/>
    <col min="13327" max="13327" width="8.1640625" style="142" customWidth="1"/>
    <col min="13328" max="13328" width="10.83203125" style="142" bestFit="1" customWidth="1"/>
    <col min="13329" max="13329" width="12.27734375" style="142" bestFit="1" customWidth="1"/>
    <col min="13330" max="13330" width="9.1640625" style="142" customWidth="1"/>
    <col min="13331" max="13331" width="10.83203125" style="142" bestFit="1" customWidth="1"/>
    <col min="13332" max="13332" width="12.27734375" style="142" bestFit="1" customWidth="1"/>
    <col min="13333" max="13333" width="8" style="142" customWidth="1"/>
    <col min="13334" max="13334" width="10.83203125" style="142" bestFit="1" customWidth="1"/>
    <col min="13335" max="13335" width="12.27734375" style="142" bestFit="1" customWidth="1"/>
    <col min="13336" max="13336" width="8.1640625" style="142" bestFit="1" customWidth="1"/>
    <col min="13337" max="13337" width="10.83203125" style="142" bestFit="1" customWidth="1"/>
    <col min="13338" max="13338" width="12.27734375" style="142" bestFit="1" customWidth="1"/>
    <col min="13339" max="13339" width="18.27734375" style="142" bestFit="1" customWidth="1"/>
    <col min="13340" max="13340" width="10.83203125" style="142" bestFit="1" customWidth="1"/>
    <col min="13341" max="13576" width="8.83203125" style="142"/>
    <col min="13577" max="13577" width="38.27734375" style="142" customWidth="1"/>
    <col min="13578" max="13578" width="23.44140625" style="142" bestFit="1" customWidth="1"/>
    <col min="13579" max="13580" width="9.1640625" style="142" customWidth="1"/>
    <col min="13581" max="13581" width="11.27734375" style="142" bestFit="1" customWidth="1"/>
    <col min="13582" max="13582" width="14.44140625" style="142" bestFit="1" customWidth="1"/>
    <col min="13583" max="13583" width="8.1640625" style="142" customWidth="1"/>
    <col min="13584" max="13584" width="10.83203125" style="142" bestFit="1" customWidth="1"/>
    <col min="13585" max="13585" width="12.27734375" style="142" bestFit="1" customWidth="1"/>
    <col min="13586" max="13586" width="9.1640625" style="142" customWidth="1"/>
    <col min="13587" max="13587" width="10.83203125" style="142" bestFit="1" customWidth="1"/>
    <col min="13588" max="13588" width="12.27734375" style="142" bestFit="1" customWidth="1"/>
    <col min="13589" max="13589" width="8" style="142" customWidth="1"/>
    <col min="13590" max="13590" width="10.83203125" style="142" bestFit="1" customWidth="1"/>
    <col min="13591" max="13591" width="12.27734375" style="142" bestFit="1" customWidth="1"/>
    <col min="13592" max="13592" width="8.1640625" style="142" bestFit="1" customWidth="1"/>
    <col min="13593" max="13593" width="10.83203125" style="142" bestFit="1" customWidth="1"/>
    <col min="13594" max="13594" width="12.27734375" style="142" bestFit="1" customWidth="1"/>
    <col min="13595" max="13595" width="18.27734375" style="142" bestFit="1" customWidth="1"/>
    <col min="13596" max="13596" width="10.83203125" style="142" bestFit="1" customWidth="1"/>
    <col min="13597" max="13832" width="8.83203125" style="142"/>
    <col min="13833" max="13833" width="38.27734375" style="142" customWidth="1"/>
    <col min="13834" max="13834" width="23.44140625" style="142" bestFit="1" customWidth="1"/>
    <col min="13835" max="13836" width="9.1640625" style="142" customWidth="1"/>
    <col min="13837" max="13837" width="11.27734375" style="142" bestFit="1" customWidth="1"/>
    <col min="13838" max="13838" width="14.44140625" style="142" bestFit="1" customWidth="1"/>
    <col min="13839" max="13839" width="8.1640625" style="142" customWidth="1"/>
    <col min="13840" max="13840" width="10.83203125" style="142" bestFit="1" customWidth="1"/>
    <col min="13841" max="13841" width="12.27734375" style="142" bestFit="1" customWidth="1"/>
    <col min="13842" max="13842" width="9.1640625" style="142" customWidth="1"/>
    <col min="13843" max="13843" width="10.83203125" style="142" bestFit="1" customWidth="1"/>
    <col min="13844" max="13844" width="12.27734375" style="142" bestFit="1" customWidth="1"/>
    <col min="13845" max="13845" width="8" style="142" customWidth="1"/>
    <col min="13846" max="13846" width="10.83203125" style="142" bestFit="1" customWidth="1"/>
    <col min="13847" max="13847" width="12.27734375" style="142" bestFit="1" customWidth="1"/>
    <col min="13848" max="13848" width="8.1640625" style="142" bestFit="1" customWidth="1"/>
    <col min="13849" max="13849" width="10.83203125" style="142" bestFit="1" customWidth="1"/>
    <col min="13850" max="13850" width="12.27734375" style="142" bestFit="1" customWidth="1"/>
    <col min="13851" max="13851" width="18.27734375" style="142" bestFit="1" customWidth="1"/>
    <col min="13852" max="13852" width="10.83203125" style="142" bestFit="1" customWidth="1"/>
    <col min="13853" max="14088" width="8.83203125" style="142"/>
    <col min="14089" max="14089" width="38.27734375" style="142" customWidth="1"/>
    <col min="14090" max="14090" width="23.44140625" style="142" bestFit="1" customWidth="1"/>
    <col min="14091" max="14092" width="9.1640625" style="142" customWidth="1"/>
    <col min="14093" max="14093" width="11.27734375" style="142" bestFit="1" customWidth="1"/>
    <col min="14094" max="14094" width="14.44140625" style="142" bestFit="1" customWidth="1"/>
    <col min="14095" max="14095" width="8.1640625" style="142" customWidth="1"/>
    <col min="14096" max="14096" width="10.83203125" style="142" bestFit="1" customWidth="1"/>
    <col min="14097" max="14097" width="12.27734375" style="142" bestFit="1" customWidth="1"/>
    <col min="14098" max="14098" width="9.1640625" style="142" customWidth="1"/>
    <col min="14099" max="14099" width="10.83203125" style="142" bestFit="1" customWidth="1"/>
    <col min="14100" max="14100" width="12.27734375" style="142" bestFit="1" customWidth="1"/>
    <col min="14101" max="14101" width="8" style="142" customWidth="1"/>
    <col min="14102" max="14102" width="10.83203125" style="142" bestFit="1" customWidth="1"/>
    <col min="14103" max="14103" width="12.27734375" style="142" bestFit="1" customWidth="1"/>
    <col min="14104" max="14104" width="8.1640625" style="142" bestFit="1" customWidth="1"/>
    <col min="14105" max="14105" width="10.83203125" style="142" bestFit="1" customWidth="1"/>
    <col min="14106" max="14106" width="12.27734375" style="142" bestFit="1" customWidth="1"/>
    <col min="14107" max="14107" width="18.27734375" style="142" bestFit="1" customWidth="1"/>
    <col min="14108" max="14108" width="10.83203125" style="142" bestFit="1" customWidth="1"/>
    <col min="14109" max="14344" width="8.83203125" style="142"/>
    <col min="14345" max="14345" width="38.27734375" style="142" customWidth="1"/>
    <col min="14346" max="14346" width="23.44140625" style="142" bestFit="1" customWidth="1"/>
    <col min="14347" max="14348" width="9.1640625" style="142" customWidth="1"/>
    <col min="14349" max="14349" width="11.27734375" style="142" bestFit="1" customWidth="1"/>
    <col min="14350" max="14350" width="14.44140625" style="142" bestFit="1" customWidth="1"/>
    <col min="14351" max="14351" width="8.1640625" style="142" customWidth="1"/>
    <col min="14352" max="14352" width="10.83203125" style="142" bestFit="1" customWidth="1"/>
    <col min="14353" max="14353" width="12.27734375" style="142" bestFit="1" customWidth="1"/>
    <col min="14354" max="14354" width="9.1640625" style="142" customWidth="1"/>
    <col min="14355" max="14355" width="10.83203125" style="142" bestFit="1" customWidth="1"/>
    <col min="14356" max="14356" width="12.27734375" style="142" bestFit="1" customWidth="1"/>
    <col min="14357" max="14357" width="8" style="142" customWidth="1"/>
    <col min="14358" max="14358" width="10.83203125" style="142" bestFit="1" customWidth="1"/>
    <col min="14359" max="14359" width="12.27734375" style="142" bestFit="1" customWidth="1"/>
    <col min="14360" max="14360" width="8.1640625" style="142" bestFit="1" customWidth="1"/>
    <col min="14361" max="14361" width="10.83203125" style="142" bestFit="1" customWidth="1"/>
    <col min="14362" max="14362" width="12.27734375" style="142" bestFit="1" customWidth="1"/>
    <col min="14363" max="14363" width="18.27734375" style="142" bestFit="1" customWidth="1"/>
    <col min="14364" max="14364" width="10.83203125" style="142" bestFit="1" customWidth="1"/>
    <col min="14365" max="14600" width="8.83203125" style="142"/>
    <col min="14601" max="14601" width="38.27734375" style="142" customWidth="1"/>
    <col min="14602" max="14602" width="23.44140625" style="142" bestFit="1" customWidth="1"/>
    <col min="14603" max="14604" width="9.1640625" style="142" customWidth="1"/>
    <col min="14605" max="14605" width="11.27734375" style="142" bestFit="1" customWidth="1"/>
    <col min="14606" max="14606" width="14.44140625" style="142" bestFit="1" customWidth="1"/>
    <col min="14607" max="14607" width="8.1640625" style="142" customWidth="1"/>
    <col min="14608" max="14608" width="10.83203125" style="142" bestFit="1" customWidth="1"/>
    <col min="14609" max="14609" width="12.27734375" style="142" bestFit="1" customWidth="1"/>
    <col min="14610" max="14610" width="9.1640625" style="142" customWidth="1"/>
    <col min="14611" max="14611" width="10.83203125" style="142" bestFit="1" customWidth="1"/>
    <col min="14612" max="14612" width="12.27734375" style="142" bestFit="1" customWidth="1"/>
    <col min="14613" max="14613" width="8" style="142" customWidth="1"/>
    <col min="14614" max="14614" width="10.83203125" style="142" bestFit="1" customWidth="1"/>
    <col min="14615" max="14615" width="12.27734375" style="142" bestFit="1" customWidth="1"/>
    <col min="14616" max="14616" width="8.1640625" style="142" bestFit="1" customWidth="1"/>
    <col min="14617" max="14617" width="10.83203125" style="142" bestFit="1" customWidth="1"/>
    <col min="14618" max="14618" width="12.27734375" style="142" bestFit="1" customWidth="1"/>
    <col min="14619" max="14619" width="18.27734375" style="142" bestFit="1" customWidth="1"/>
    <col min="14620" max="14620" width="10.83203125" style="142" bestFit="1" customWidth="1"/>
    <col min="14621" max="14856" width="8.83203125" style="142"/>
    <col min="14857" max="14857" width="38.27734375" style="142" customWidth="1"/>
    <col min="14858" max="14858" width="23.44140625" style="142" bestFit="1" customWidth="1"/>
    <col min="14859" max="14860" width="9.1640625" style="142" customWidth="1"/>
    <col min="14861" max="14861" width="11.27734375" style="142" bestFit="1" customWidth="1"/>
    <col min="14862" max="14862" width="14.44140625" style="142" bestFit="1" customWidth="1"/>
    <col min="14863" max="14863" width="8.1640625" style="142" customWidth="1"/>
    <col min="14864" max="14864" width="10.83203125" style="142" bestFit="1" customWidth="1"/>
    <col min="14865" max="14865" width="12.27734375" style="142" bestFit="1" customWidth="1"/>
    <col min="14866" max="14866" width="9.1640625" style="142" customWidth="1"/>
    <col min="14867" max="14867" width="10.83203125" style="142" bestFit="1" customWidth="1"/>
    <col min="14868" max="14868" width="12.27734375" style="142" bestFit="1" customWidth="1"/>
    <col min="14869" max="14869" width="8" style="142" customWidth="1"/>
    <col min="14870" max="14870" width="10.83203125" style="142" bestFit="1" customWidth="1"/>
    <col min="14871" max="14871" width="12.27734375" style="142" bestFit="1" customWidth="1"/>
    <col min="14872" max="14872" width="8.1640625" style="142" bestFit="1" customWidth="1"/>
    <col min="14873" max="14873" width="10.83203125" style="142" bestFit="1" customWidth="1"/>
    <col min="14874" max="14874" width="12.27734375" style="142" bestFit="1" customWidth="1"/>
    <col min="14875" max="14875" width="18.27734375" style="142" bestFit="1" customWidth="1"/>
    <col min="14876" max="14876" width="10.83203125" style="142" bestFit="1" customWidth="1"/>
    <col min="14877" max="15112" width="8.83203125" style="142"/>
    <col min="15113" max="15113" width="38.27734375" style="142" customWidth="1"/>
    <col min="15114" max="15114" width="23.44140625" style="142" bestFit="1" customWidth="1"/>
    <col min="15115" max="15116" width="9.1640625" style="142" customWidth="1"/>
    <col min="15117" max="15117" width="11.27734375" style="142" bestFit="1" customWidth="1"/>
    <col min="15118" max="15118" width="14.44140625" style="142" bestFit="1" customWidth="1"/>
    <col min="15119" max="15119" width="8.1640625" style="142" customWidth="1"/>
    <col min="15120" max="15120" width="10.83203125" style="142" bestFit="1" customWidth="1"/>
    <col min="15121" max="15121" width="12.27734375" style="142" bestFit="1" customWidth="1"/>
    <col min="15122" max="15122" width="9.1640625" style="142" customWidth="1"/>
    <col min="15123" max="15123" width="10.83203125" style="142" bestFit="1" customWidth="1"/>
    <col min="15124" max="15124" width="12.27734375" style="142" bestFit="1" customWidth="1"/>
    <col min="15125" max="15125" width="8" style="142" customWidth="1"/>
    <col min="15126" max="15126" width="10.83203125" style="142" bestFit="1" customWidth="1"/>
    <col min="15127" max="15127" width="12.27734375" style="142" bestFit="1" customWidth="1"/>
    <col min="15128" max="15128" width="8.1640625" style="142" bestFit="1" customWidth="1"/>
    <col min="15129" max="15129" width="10.83203125" style="142" bestFit="1" customWidth="1"/>
    <col min="15130" max="15130" width="12.27734375" style="142" bestFit="1" customWidth="1"/>
    <col min="15131" max="15131" width="18.27734375" style="142" bestFit="1" customWidth="1"/>
    <col min="15132" max="15132" width="10.83203125" style="142" bestFit="1" customWidth="1"/>
    <col min="15133" max="15368" width="8.83203125" style="142"/>
    <col min="15369" max="15369" width="38.27734375" style="142" customWidth="1"/>
    <col min="15370" max="15370" width="23.44140625" style="142" bestFit="1" customWidth="1"/>
    <col min="15371" max="15372" width="9.1640625" style="142" customWidth="1"/>
    <col min="15373" max="15373" width="11.27734375" style="142" bestFit="1" customWidth="1"/>
    <col min="15374" max="15374" width="14.44140625" style="142" bestFit="1" customWidth="1"/>
    <col min="15375" max="15375" width="8.1640625" style="142" customWidth="1"/>
    <col min="15376" max="15376" width="10.83203125" style="142" bestFit="1" customWidth="1"/>
    <col min="15377" max="15377" width="12.27734375" style="142" bestFit="1" customWidth="1"/>
    <col min="15378" max="15378" width="9.1640625" style="142" customWidth="1"/>
    <col min="15379" max="15379" width="10.83203125" style="142" bestFit="1" customWidth="1"/>
    <col min="15380" max="15380" width="12.27734375" style="142" bestFit="1" customWidth="1"/>
    <col min="15381" max="15381" width="8" style="142" customWidth="1"/>
    <col min="15382" max="15382" width="10.83203125" style="142" bestFit="1" customWidth="1"/>
    <col min="15383" max="15383" width="12.27734375" style="142" bestFit="1" customWidth="1"/>
    <col min="15384" max="15384" width="8.1640625" style="142" bestFit="1" customWidth="1"/>
    <col min="15385" max="15385" width="10.83203125" style="142" bestFit="1" customWidth="1"/>
    <col min="15386" max="15386" width="12.27734375" style="142" bestFit="1" customWidth="1"/>
    <col min="15387" max="15387" width="18.27734375" style="142" bestFit="1" customWidth="1"/>
    <col min="15388" max="15388" width="10.83203125" style="142" bestFit="1" customWidth="1"/>
    <col min="15389" max="15624" width="8.83203125" style="142"/>
    <col min="15625" max="15625" width="38.27734375" style="142" customWidth="1"/>
    <col min="15626" max="15626" width="23.44140625" style="142" bestFit="1" customWidth="1"/>
    <col min="15627" max="15628" width="9.1640625" style="142" customWidth="1"/>
    <col min="15629" max="15629" width="11.27734375" style="142" bestFit="1" customWidth="1"/>
    <col min="15630" max="15630" width="14.44140625" style="142" bestFit="1" customWidth="1"/>
    <col min="15631" max="15631" width="8.1640625" style="142" customWidth="1"/>
    <col min="15632" max="15632" width="10.83203125" style="142" bestFit="1" customWidth="1"/>
    <col min="15633" max="15633" width="12.27734375" style="142" bestFit="1" customWidth="1"/>
    <col min="15634" max="15634" width="9.1640625" style="142" customWidth="1"/>
    <col min="15635" max="15635" width="10.83203125" style="142" bestFit="1" customWidth="1"/>
    <col min="15636" max="15636" width="12.27734375" style="142" bestFit="1" customWidth="1"/>
    <col min="15637" max="15637" width="8" style="142" customWidth="1"/>
    <col min="15638" max="15638" width="10.83203125" style="142" bestFit="1" customWidth="1"/>
    <col min="15639" max="15639" width="12.27734375" style="142" bestFit="1" customWidth="1"/>
    <col min="15640" max="15640" width="8.1640625" style="142" bestFit="1" customWidth="1"/>
    <col min="15641" max="15641" width="10.83203125" style="142" bestFit="1" customWidth="1"/>
    <col min="15642" max="15642" width="12.27734375" style="142" bestFit="1" customWidth="1"/>
    <col min="15643" max="15643" width="18.27734375" style="142" bestFit="1" customWidth="1"/>
    <col min="15644" max="15644" width="10.83203125" style="142" bestFit="1" customWidth="1"/>
    <col min="15645" max="15880" width="8.83203125" style="142"/>
    <col min="15881" max="15881" width="38.27734375" style="142" customWidth="1"/>
    <col min="15882" max="15882" width="23.44140625" style="142" bestFit="1" customWidth="1"/>
    <col min="15883" max="15884" width="9.1640625" style="142" customWidth="1"/>
    <col min="15885" max="15885" width="11.27734375" style="142" bestFit="1" customWidth="1"/>
    <col min="15886" max="15886" width="14.44140625" style="142" bestFit="1" customWidth="1"/>
    <col min="15887" max="15887" width="8.1640625" style="142" customWidth="1"/>
    <col min="15888" max="15888" width="10.83203125" style="142" bestFit="1" customWidth="1"/>
    <col min="15889" max="15889" width="12.27734375" style="142" bestFit="1" customWidth="1"/>
    <col min="15890" max="15890" width="9.1640625" style="142" customWidth="1"/>
    <col min="15891" max="15891" width="10.83203125" style="142" bestFit="1" customWidth="1"/>
    <col min="15892" max="15892" width="12.27734375" style="142" bestFit="1" customWidth="1"/>
    <col min="15893" max="15893" width="8" style="142" customWidth="1"/>
    <col min="15894" max="15894" width="10.83203125" style="142" bestFit="1" customWidth="1"/>
    <col min="15895" max="15895" width="12.27734375" style="142" bestFit="1" customWidth="1"/>
    <col min="15896" max="15896" width="8.1640625" style="142" bestFit="1" customWidth="1"/>
    <col min="15897" max="15897" width="10.83203125" style="142" bestFit="1" customWidth="1"/>
    <col min="15898" max="15898" width="12.27734375" style="142" bestFit="1" customWidth="1"/>
    <col min="15899" max="15899" width="18.27734375" style="142" bestFit="1" customWidth="1"/>
    <col min="15900" max="15900" width="10.83203125" style="142" bestFit="1" customWidth="1"/>
    <col min="15901" max="16136" width="8.83203125" style="142"/>
    <col min="16137" max="16137" width="38.27734375" style="142" customWidth="1"/>
    <col min="16138" max="16138" width="23.44140625" style="142" bestFit="1" customWidth="1"/>
    <col min="16139" max="16140" width="9.1640625" style="142" customWidth="1"/>
    <col min="16141" max="16141" width="11.27734375" style="142" bestFit="1" customWidth="1"/>
    <col min="16142" max="16142" width="14.44140625" style="142" bestFit="1" customWidth="1"/>
    <col min="16143" max="16143" width="8.1640625" style="142" customWidth="1"/>
    <col min="16144" max="16144" width="10.83203125" style="142" bestFit="1" customWidth="1"/>
    <col min="16145" max="16145" width="12.27734375" style="142" bestFit="1" customWidth="1"/>
    <col min="16146" max="16146" width="9.1640625" style="142" customWidth="1"/>
    <col min="16147" max="16147" width="10.83203125" style="142" bestFit="1" customWidth="1"/>
    <col min="16148" max="16148" width="12.27734375" style="142" bestFit="1" customWidth="1"/>
    <col min="16149" max="16149" width="8" style="142" customWidth="1"/>
    <col min="16150" max="16150" width="10.83203125" style="142" bestFit="1" customWidth="1"/>
    <col min="16151" max="16151" width="12.27734375" style="142" bestFit="1" customWidth="1"/>
    <col min="16152" max="16152" width="8.1640625" style="142" bestFit="1" customWidth="1"/>
    <col min="16153" max="16153" width="10.83203125" style="142" bestFit="1" customWidth="1"/>
    <col min="16154" max="16154" width="12.27734375" style="142" bestFit="1" customWidth="1"/>
    <col min="16155" max="16155" width="18.27734375" style="142" bestFit="1" customWidth="1"/>
    <col min="16156" max="16156" width="10.83203125" style="142" bestFit="1" customWidth="1"/>
    <col min="16157" max="16384" width="8.83203125" style="142"/>
  </cols>
  <sheetData>
    <row r="1" spans="1:36" ht="14.7" thickBot="1"/>
    <row r="2" spans="1:36" ht="23.5" customHeight="1">
      <c r="A2" s="591" t="s">
        <v>62</v>
      </c>
      <c r="B2" s="587" t="s">
        <v>63</v>
      </c>
      <c r="C2" s="580" t="s">
        <v>64</v>
      </c>
      <c r="D2" s="581"/>
      <c r="E2" s="581"/>
      <c r="F2" s="582"/>
      <c r="G2" s="580" t="s">
        <v>65</v>
      </c>
      <c r="H2" s="581"/>
      <c r="I2" s="581"/>
      <c r="J2" s="582"/>
      <c r="K2" s="580" t="s">
        <v>66</v>
      </c>
      <c r="L2" s="581"/>
      <c r="M2" s="581"/>
      <c r="N2" s="582"/>
      <c r="O2" s="580" t="s">
        <v>67</v>
      </c>
      <c r="P2" s="581"/>
      <c r="Q2" s="581"/>
      <c r="R2" s="582"/>
      <c r="S2" s="580" t="s">
        <v>68</v>
      </c>
      <c r="T2" s="581"/>
      <c r="U2" s="581"/>
      <c r="V2" s="582"/>
      <c r="W2" s="583" t="s">
        <v>69</v>
      </c>
      <c r="AE2" s="148"/>
    </row>
    <row r="3" spans="1:36" ht="47.65" customHeight="1">
      <c r="A3" s="592"/>
      <c r="B3" s="588"/>
      <c r="C3" s="149" t="s">
        <v>70</v>
      </c>
      <c r="D3" s="150" t="s">
        <v>71</v>
      </c>
      <c r="E3" s="151" t="s">
        <v>72</v>
      </c>
      <c r="F3" s="152" t="s">
        <v>69</v>
      </c>
      <c r="G3" s="149" t="s">
        <v>70</v>
      </c>
      <c r="H3" s="150" t="s">
        <v>71</v>
      </c>
      <c r="I3" s="153" t="s">
        <v>72</v>
      </c>
      <c r="J3" s="154" t="s">
        <v>69</v>
      </c>
      <c r="K3" s="149" t="s">
        <v>70</v>
      </c>
      <c r="L3" s="150" t="s">
        <v>71</v>
      </c>
      <c r="M3" s="151" t="s">
        <v>72</v>
      </c>
      <c r="N3" s="154" t="s">
        <v>69</v>
      </c>
      <c r="O3" s="149" t="s">
        <v>70</v>
      </c>
      <c r="P3" s="150" t="s">
        <v>71</v>
      </c>
      <c r="Q3" s="153" t="s">
        <v>72</v>
      </c>
      <c r="R3" s="154" t="s">
        <v>69</v>
      </c>
      <c r="S3" s="149" t="s">
        <v>70</v>
      </c>
      <c r="T3" s="150" t="s">
        <v>71</v>
      </c>
      <c r="U3" s="153" t="s">
        <v>72</v>
      </c>
      <c r="V3" s="154" t="s">
        <v>69</v>
      </c>
      <c r="W3" s="584"/>
      <c r="AE3" s="148"/>
      <c r="AF3" s="142" t="s">
        <v>116</v>
      </c>
    </row>
    <row r="4" spans="1:36" ht="20.399999999999999">
      <c r="A4" s="311" t="s">
        <v>73</v>
      </c>
      <c r="B4" s="155"/>
      <c r="C4" s="156"/>
      <c r="D4" s="157"/>
      <c r="E4" s="158"/>
      <c r="F4" s="159"/>
      <c r="G4" s="156"/>
      <c r="H4" s="157"/>
      <c r="I4" s="160"/>
      <c r="J4" s="161"/>
      <c r="K4" s="156"/>
      <c r="L4" s="157"/>
      <c r="M4" s="158"/>
      <c r="N4" s="161"/>
      <c r="O4" s="162"/>
      <c r="P4" s="157"/>
      <c r="Q4" s="160"/>
      <c r="R4" s="161"/>
      <c r="S4" s="162"/>
      <c r="T4" s="157"/>
      <c r="U4" s="160"/>
      <c r="V4" s="163"/>
      <c r="W4" s="161"/>
      <c r="AE4" s="164" t="s">
        <v>117</v>
      </c>
      <c r="AF4" s="164" t="s">
        <v>118</v>
      </c>
      <c r="AG4" s="164" t="s">
        <v>119</v>
      </c>
    </row>
    <row r="5" spans="1:36" s="175" customFormat="1" ht="15" customHeight="1" outlineLevel="1">
      <c r="A5" s="165" t="s">
        <v>47</v>
      </c>
      <c r="B5" s="166"/>
      <c r="C5" s="167"/>
      <c r="D5" s="168"/>
      <c r="E5" s="169"/>
      <c r="F5" s="170"/>
      <c r="G5" s="167"/>
      <c r="H5" s="168"/>
      <c r="I5" s="171"/>
      <c r="J5" s="172"/>
      <c r="K5" s="167"/>
      <c r="L5" s="168"/>
      <c r="M5" s="169"/>
      <c r="N5" s="172"/>
      <c r="O5" s="167"/>
      <c r="P5" s="168"/>
      <c r="Q5" s="171"/>
      <c r="R5" s="172"/>
      <c r="S5" s="167"/>
      <c r="T5" s="168"/>
      <c r="U5" s="171"/>
      <c r="V5" s="172"/>
      <c r="W5" s="173"/>
      <c r="X5" s="174"/>
      <c r="Y5" s="142"/>
      <c r="Z5" s="142"/>
      <c r="AA5" s="142"/>
      <c r="AB5" s="142"/>
      <c r="AC5" s="142"/>
      <c r="AD5" s="142"/>
      <c r="AE5" s="148"/>
    </row>
    <row r="6" spans="1:36" s="175" customFormat="1" ht="15.6" outlineLevel="1">
      <c r="A6" s="176" t="s">
        <v>74</v>
      </c>
      <c r="B6" s="177"/>
      <c r="C6" s="167"/>
      <c r="D6" s="168"/>
      <c r="E6" s="169"/>
      <c r="F6" s="170"/>
      <c r="G6" s="167"/>
      <c r="H6" s="168"/>
      <c r="I6" s="171"/>
      <c r="J6" s="172"/>
      <c r="K6" s="167"/>
      <c r="L6" s="168"/>
      <c r="M6" s="169"/>
      <c r="N6" s="172"/>
      <c r="O6" s="167"/>
      <c r="P6" s="168"/>
      <c r="Q6" s="171"/>
      <c r="R6" s="172"/>
      <c r="S6" s="167"/>
      <c r="T6" s="168"/>
      <c r="U6" s="171"/>
      <c r="V6" s="172"/>
      <c r="W6" s="319"/>
      <c r="X6" s="178"/>
      <c r="Y6" s="142"/>
      <c r="Z6" s="142"/>
      <c r="AA6" s="142"/>
      <c r="AB6" s="142"/>
      <c r="AC6" s="142"/>
      <c r="AD6" s="142"/>
      <c r="AE6" s="148"/>
    </row>
    <row r="7" spans="1:36" outlineLevel="1">
      <c r="A7" s="179" t="s">
        <v>75</v>
      </c>
      <c r="B7" s="202"/>
      <c r="D7" s="251"/>
      <c r="F7" s="184">
        <f>C7*D7*E7</f>
        <v>0</v>
      </c>
      <c r="H7" s="251"/>
      <c r="I7" s="145"/>
      <c r="J7" s="184">
        <f>G7*H7*I7</f>
        <v>0</v>
      </c>
      <c r="L7" s="251"/>
      <c r="N7" s="184">
        <f>K7*L7*M7</f>
        <v>0</v>
      </c>
      <c r="P7" s="251"/>
      <c r="Q7" s="145"/>
      <c r="R7" s="184">
        <f>O7*P7*Q7</f>
        <v>0</v>
      </c>
      <c r="T7" s="251"/>
      <c r="U7" s="145"/>
      <c r="V7" s="184">
        <f>S7*T7*U7</f>
        <v>0</v>
      </c>
      <c r="W7" s="192">
        <f t="shared" ref="W7" si="0">F7+J7+N7+R7+V7</f>
        <v>0</v>
      </c>
      <c r="AE7" s="148"/>
      <c r="AF7" s="189"/>
      <c r="AG7" s="189"/>
    </row>
    <row r="8" spans="1:36" ht="15" customHeight="1" outlineLevel="1">
      <c r="A8" s="194" t="s">
        <v>76</v>
      </c>
      <c r="B8" s="195"/>
      <c r="C8" s="196"/>
      <c r="D8" s="197"/>
      <c r="E8" s="198"/>
      <c r="F8" s="199">
        <f>SUM(F7:F7)</f>
        <v>0</v>
      </c>
      <c r="G8" s="196"/>
      <c r="H8" s="197"/>
      <c r="I8" s="200"/>
      <c r="J8" s="199">
        <f>SUM(J7:J7)</f>
        <v>0</v>
      </c>
      <c r="K8" s="196"/>
      <c r="L8" s="197"/>
      <c r="M8" s="198"/>
      <c r="N8" s="199">
        <f>SUM(N7:N7)</f>
        <v>0</v>
      </c>
      <c r="O8" s="196"/>
      <c r="P8" s="197"/>
      <c r="Q8" s="200"/>
      <c r="R8" s="199">
        <f>SUM(R7:R7)</f>
        <v>0</v>
      </c>
      <c r="S8" s="196"/>
      <c r="T8" s="197"/>
      <c r="U8" s="200"/>
      <c r="V8" s="199">
        <f>SUM(V7:V7)</f>
        <v>0</v>
      </c>
      <c r="W8" s="321">
        <f>+F8+J8+N8+R8+V8</f>
        <v>0</v>
      </c>
      <c r="AE8" s="148"/>
      <c r="AF8" s="189"/>
      <c r="AG8" s="189" t="s">
        <v>120</v>
      </c>
    </row>
    <row r="9" spans="1:36" ht="15" customHeight="1" outlineLevel="1">
      <c r="A9" s="176" t="s">
        <v>83</v>
      </c>
      <c r="B9" s="202"/>
      <c r="C9" s="203"/>
      <c r="D9" s="204"/>
      <c r="E9" s="205"/>
      <c r="F9" s="184"/>
      <c r="G9" s="203"/>
      <c r="H9" s="204"/>
      <c r="I9" s="206"/>
      <c r="J9" s="186"/>
      <c r="K9" s="203"/>
      <c r="L9" s="204"/>
      <c r="M9" s="205"/>
      <c r="N9" s="186"/>
      <c r="O9" s="203"/>
      <c r="P9" s="204"/>
      <c r="Q9" s="206"/>
      <c r="R9" s="186"/>
      <c r="S9" s="203"/>
      <c r="T9" s="204"/>
      <c r="U9" s="206"/>
      <c r="V9" s="186"/>
      <c r="W9" s="338"/>
      <c r="X9" s="178"/>
      <c r="AE9" s="148"/>
      <c r="AF9" s="189"/>
      <c r="AG9" s="189" t="s">
        <v>120</v>
      </c>
      <c r="AJ9" s="191"/>
    </row>
    <row r="10" spans="1:36" ht="15" customHeight="1" outlineLevel="1">
      <c r="A10" s="179" t="str">
        <f>'Program Budget'!D12</f>
        <v>Key Personnel: Chief of Party - Ms. Rym Ayari</v>
      </c>
      <c r="B10" s="180" t="str">
        <f>'Program Budget'!F287</f>
        <v>Month</v>
      </c>
      <c r="C10" s="181">
        <f>'Program Budget'!H12</f>
        <v>13000</v>
      </c>
      <c r="D10" s="182">
        <f>'Program Budget'!G12</f>
        <v>12</v>
      </c>
      <c r="E10" s="183">
        <f>'Program Budget'!E287</f>
        <v>0.2</v>
      </c>
      <c r="F10" s="184">
        <f>C10*D10*E10</f>
        <v>31200</v>
      </c>
      <c r="G10" s="181">
        <f>C10*1.05</f>
        <v>13650</v>
      </c>
      <c r="H10" s="182">
        <f>'Program Budget'!K12</f>
        <v>12</v>
      </c>
      <c r="I10" s="185">
        <f>'Program Budget'!J287</f>
        <v>0.3</v>
      </c>
      <c r="J10" s="184">
        <f>G10*H10*I10</f>
        <v>49140</v>
      </c>
      <c r="K10" s="181">
        <f>G10*1.05</f>
        <v>14332.5</v>
      </c>
      <c r="L10" s="182">
        <f>'Program Budget'!N12</f>
        <v>12</v>
      </c>
      <c r="M10" s="185">
        <f>'Program Budget'!M287</f>
        <v>0.3</v>
      </c>
      <c r="N10" s="184">
        <f>K10*L10*M10</f>
        <v>51597</v>
      </c>
      <c r="O10" s="181">
        <f>K10*1.05</f>
        <v>15049.125</v>
      </c>
      <c r="P10" s="182">
        <f>'Program Budget'!Q12</f>
        <v>12</v>
      </c>
      <c r="Q10" s="185">
        <f>'Program Budget'!P287</f>
        <v>0.3</v>
      </c>
      <c r="R10" s="184">
        <f>O10*P10*Q10</f>
        <v>54176.85</v>
      </c>
      <c r="S10" s="181">
        <f>O10*1.05</f>
        <v>15801.581250000001</v>
      </c>
      <c r="T10" s="182">
        <f>'Program Budget'!T12</f>
        <v>12</v>
      </c>
      <c r="U10" s="185">
        <f>'Program Budget'!S287</f>
        <v>0.3</v>
      </c>
      <c r="V10" s="184">
        <f>S10*T10*U10</f>
        <v>56885.692499999997</v>
      </c>
      <c r="W10" s="320">
        <f>F10+J10+N10+R10+V10</f>
        <v>242999.54250000001</v>
      </c>
      <c r="X10" s="178"/>
      <c r="AE10" s="148"/>
      <c r="AF10" s="189"/>
      <c r="AG10" s="189"/>
      <c r="AJ10" s="191"/>
    </row>
    <row r="11" spans="1:36" ht="15" customHeight="1" outlineLevel="1">
      <c r="A11" s="179" t="str">
        <f>'Program Budget'!D13</f>
        <v>Key Personnel: Technical Director</v>
      </c>
      <c r="B11" s="180" t="str">
        <f>'Program Budget'!F288</f>
        <v>Month</v>
      </c>
      <c r="C11" s="181">
        <f>'Program Budget'!H13</f>
        <v>3916.6666666666665</v>
      </c>
      <c r="D11" s="182">
        <f>'Program Budget'!G13</f>
        <v>9</v>
      </c>
      <c r="E11" s="183">
        <f>'Program Budget'!E288</f>
        <v>0.2</v>
      </c>
      <c r="F11" s="184">
        <f>C11*D11*E11</f>
        <v>7050</v>
      </c>
      <c r="G11" s="181">
        <f t="shared" ref="G11:G30" si="1">C11*1.05</f>
        <v>4112.5</v>
      </c>
      <c r="H11" s="182">
        <f>'Program Budget'!K13</f>
        <v>12</v>
      </c>
      <c r="I11" s="185">
        <f>'Program Budget'!J288</f>
        <v>0.3</v>
      </c>
      <c r="J11" s="184">
        <f>G11*H11*I11</f>
        <v>14805</v>
      </c>
      <c r="K11" s="181">
        <f t="shared" ref="K11:K30" si="2">G11*1.05</f>
        <v>4318.125</v>
      </c>
      <c r="L11" s="182">
        <f>'Program Budget'!N13</f>
        <v>12</v>
      </c>
      <c r="M11" s="185">
        <f>'Program Budget'!M288</f>
        <v>0.33</v>
      </c>
      <c r="N11" s="184">
        <f>K11*L11*M11</f>
        <v>17099.775000000001</v>
      </c>
      <c r="O11" s="181">
        <f t="shared" ref="O11:O30" si="3">K11*1.05</f>
        <v>4534.03125</v>
      </c>
      <c r="P11" s="182">
        <f>'Program Budget'!Q13</f>
        <v>12</v>
      </c>
      <c r="Q11" s="185">
        <f>'Program Budget'!P288</f>
        <v>0.33</v>
      </c>
      <c r="R11" s="184">
        <f>O11*P11*Q11</f>
        <v>17954.763750000002</v>
      </c>
      <c r="S11" s="181">
        <f t="shared" ref="S11:S30" si="4">O11*1.05</f>
        <v>4760.7328125000004</v>
      </c>
      <c r="T11" s="182">
        <f>'Program Budget'!T13</f>
        <v>9</v>
      </c>
      <c r="U11" s="185">
        <f>'Program Budget'!S288</f>
        <v>0.33</v>
      </c>
      <c r="V11" s="184">
        <f>S11*T11*U11</f>
        <v>14139.376453125002</v>
      </c>
      <c r="W11" s="320">
        <f>F11+J11+N11+R11+V11</f>
        <v>71048.915203125012</v>
      </c>
      <c r="X11" s="187"/>
      <c r="Y11" s="174"/>
      <c r="Z11" s="188"/>
      <c r="AA11" s="188"/>
      <c r="AE11" s="148">
        <v>180</v>
      </c>
      <c r="AF11" s="189" t="s">
        <v>121</v>
      </c>
      <c r="AG11" s="189" t="s">
        <v>122</v>
      </c>
      <c r="AH11" s="190"/>
      <c r="AJ11" s="191"/>
    </row>
    <row r="12" spans="1:36" ht="15" customHeight="1" outlineLevel="1">
      <c r="A12" s="179" t="str">
        <f>'Program Budget'!D14</f>
        <v>Technical Lead Component 1</v>
      </c>
      <c r="B12" s="180" t="str">
        <f>'Program Budget'!F289</f>
        <v>Month</v>
      </c>
      <c r="C12" s="181">
        <f>'Program Budget'!H14</f>
        <v>2500</v>
      </c>
      <c r="D12" s="182">
        <f>'Program Budget'!G14</f>
        <v>6</v>
      </c>
      <c r="E12" s="183">
        <f>'Program Budget'!E289</f>
        <v>0</v>
      </c>
      <c r="F12" s="184">
        <f t="shared" ref="F12:F30" si="5">C12*D12*E12</f>
        <v>0</v>
      </c>
      <c r="G12" s="181">
        <f t="shared" si="1"/>
        <v>2625</v>
      </c>
      <c r="H12" s="182">
        <f>'Program Budget'!K14</f>
        <v>12</v>
      </c>
      <c r="I12" s="185">
        <f>'Program Budget'!J289</f>
        <v>0</v>
      </c>
      <c r="J12" s="184">
        <f t="shared" ref="J12:J30" si="6">G12*H12*I12</f>
        <v>0</v>
      </c>
      <c r="K12" s="181">
        <f t="shared" si="2"/>
        <v>2756.25</v>
      </c>
      <c r="L12" s="182">
        <f>'Program Budget'!N14</f>
        <v>12</v>
      </c>
      <c r="M12" s="185">
        <f>'Program Budget'!M289</f>
        <v>0</v>
      </c>
      <c r="N12" s="184">
        <f t="shared" ref="N12:N30" si="7">K12*L12*M12</f>
        <v>0</v>
      </c>
      <c r="O12" s="181">
        <f t="shared" si="3"/>
        <v>2894.0625</v>
      </c>
      <c r="P12" s="182">
        <f>'Program Budget'!Q14</f>
        <v>12</v>
      </c>
      <c r="Q12" s="185">
        <f>'Program Budget'!P289</f>
        <v>0</v>
      </c>
      <c r="R12" s="184">
        <f t="shared" ref="R12:R30" si="8">O12*P12*Q12</f>
        <v>0</v>
      </c>
      <c r="S12" s="181">
        <f t="shared" si="4"/>
        <v>3038.765625</v>
      </c>
      <c r="T12" s="182">
        <f>'Program Budget'!T14</f>
        <v>9</v>
      </c>
      <c r="U12" s="185">
        <f>'Program Budget'!S289</f>
        <v>0</v>
      </c>
      <c r="V12" s="184">
        <f t="shared" ref="V12:V30" si="9">S12*T12*U12</f>
        <v>0</v>
      </c>
      <c r="W12" s="320">
        <f t="shared" ref="W12:W30" si="10">F12+J12+N12+R12+V12</f>
        <v>0</v>
      </c>
      <c r="X12" s="187"/>
      <c r="Y12" s="174"/>
      <c r="Z12" s="188"/>
      <c r="AA12" s="188"/>
      <c r="AE12" s="148">
        <v>180</v>
      </c>
      <c r="AF12" s="189" t="s">
        <v>121</v>
      </c>
      <c r="AG12" s="189" t="s">
        <v>122</v>
      </c>
      <c r="AH12" s="190"/>
      <c r="AJ12" s="191"/>
    </row>
    <row r="13" spans="1:36" ht="15" customHeight="1" outlineLevel="1">
      <c r="A13" s="179" t="str">
        <f>'Program Budget'!D15</f>
        <v>Technical Lead Component 2</v>
      </c>
      <c r="B13" s="180" t="str">
        <f>'Program Budget'!F290</f>
        <v>Month</v>
      </c>
      <c r="C13" s="181">
        <f>'Program Budget'!H15</f>
        <v>2500</v>
      </c>
      <c r="D13" s="182">
        <f>'Program Budget'!G15</f>
        <v>6</v>
      </c>
      <c r="E13" s="183">
        <f>'Program Budget'!E290</f>
        <v>0</v>
      </c>
      <c r="F13" s="184">
        <f t="shared" si="5"/>
        <v>0</v>
      </c>
      <c r="G13" s="181">
        <f t="shared" si="1"/>
        <v>2625</v>
      </c>
      <c r="H13" s="182">
        <f>'Program Budget'!K15</f>
        <v>12</v>
      </c>
      <c r="I13" s="185">
        <f>'Program Budget'!J290</f>
        <v>0</v>
      </c>
      <c r="J13" s="184">
        <f t="shared" si="6"/>
        <v>0</v>
      </c>
      <c r="K13" s="181">
        <f t="shared" si="2"/>
        <v>2756.25</v>
      </c>
      <c r="L13" s="182">
        <f>'Program Budget'!N15</f>
        <v>12</v>
      </c>
      <c r="M13" s="185">
        <f>'Program Budget'!M290</f>
        <v>0</v>
      </c>
      <c r="N13" s="184">
        <f t="shared" si="7"/>
        <v>0</v>
      </c>
      <c r="O13" s="181">
        <f t="shared" si="3"/>
        <v>2894.0625</v>
      </c>
      <c r="P13" s="182">
        <f>'Program Budget'!Q15</f>
        <v>12</v>
      </c>
      <c r="Q13" s="185">
        <f>'Program Budget'!P290</f>
        <v>0</v>
      </c>
      <c r="R13" s="184">
        <f t="shared" si="8"/>
        <v>0</v>
      </c>
      <c r="S13" s="181">
        <f t="shared" si="4"/>
        <v>3038.765625</v>
      </c>
      <c r="T13" s="182">
        <f>'Program Budget'!T15</f>
        <v>9</v>
      </c>
      <c r="U13" s="185">
        <f>'Program Budget'!S290</f>
        <v>0</v>
      </c>
      <c r="V13" s="184">
        <f t="shared" si="9"/>
        <v>0</v>
      </c>
      <c r="W13" s="320">
        <f t="shared" si="10"/>
        <v>0</v>
      </c>
      <c r="X13" s="187"/>
      <c r="Y13" s="174"/>
      <c r="Z13" s="188"/>
      <c r="AA13" s="188"/>
      <c r="AE13" s="148">
        <v>180</v>
      </c>
      <c r="AF13" s="189" t="s">
        <v>121</v>
      </c>
      <c r="AG13" s="189" t="s">
        <v>122</v>
      </c>
      <c r="AH13" s="190"/>
      <c r="AJ13" s="191"/>
    </row>
    <row r="14" spans="1:36" ht="15" customHeight="1" outlineLevel="1">
      <c r="A14" s="179" t="str">
        <f>'Program Budget'!D16</f>
        <v>Technical Lead Component 3</v>
      </c>
      <c r="B14" s="180" t="str">
        <f>'Program Budget'!F291</f>
        <v>Month</v>
      </c>
      <c r="C14" s="181">
        <f>'Program Budget'!H16</f>
        <v>2500</v>
      </c>
      <c r="D14" s="182">
        <f>'Program Budget'!G16</f>
        <v>6</v>
      </c>
      <c r="E14" s="183">
        <f>'Program Budget'!E291</f>
        <v>0.8</v>
      </c>
      <c r="F14" s="184">
        <f t="shared" si="5"/>
        <v>12000</v>
      </c>
      <c r="G14" s="181">
        <f t="shared" si="1"/>
        <v>2625</v>
      </c>
      <c r="H14" s="182">
        <f>'Program Budget'!K16</f>
        <v>12</v>
      </c>
      <c r="I14" s="185">
        <f>'Program Budget'!J291</f>
        <v>1</v>
      </c>
      <c r="J14" s="184">
        <f t="shared" si="6"/>
        <v>31500</v>
      </c>
      <c r="K14" s="181">
        <f t="shared" si="2"/>
        <v>2756.25</v>
      </c>
      <c r="L14" s="182">
        <f>'Program Budget'!N16</f>
        <v>12</v>
      </c>
      <c r="M14" s="185">
        <f>'Program Budget'!M291</f>
        <v>1</v>
      </c>
      <c r="N14" s="184">
        <f t="shared" si="7"/>
        <v>33075</v>
      </c>
      <c r="O14" s="181">
        <f t="shared" si="3"/>
        <v>2894.0625</v>
      </c>
      <c r="P14" s="182">
        <f>'Program Budget'!Q16</f>
        <v>12</v>
      </c>
      <c r="Q14" s="185">
        <f>'Program Budget'!P291</f>
        <v>1</v>
      </c>
      <c r="R14" s="184">
        <f t="shared" si="8"/>
        <v>34728.75</v>
      </c>
      <c r="S14" s="181">
        <f t="shared" si="4"/>
        <v>3038.765625</v>
      </c>
      <c r="T14" s="182">
        <f>'Program Budget'!T16</f>
        <v>9</v>
      </c>
      <c r="U14" s="185">
        <f>'Program Budget'!S291</f>
        <v>1</v>
      </c>
      <c r="V14" s="184">
        <f t="shared" si="9"/>
        <v>27348.890625</v>
      </c>
      <c r="W14" s="320">
        <f t="shared" si="10"/>
        <v>138652.640625</v>
      </c>
      <c r="X14" s="187"/>
      <c r="Y14" s="174"/>
      <c r="Z14" s="188"/>
      <c r="AA14" s="188"/>
      <c r="AE14" s="148">
        <v>180</v>
      </c>
      <c r="AF14" s="189" t="s">
        <v>121</v>
      </c>
      <c r="AG14" s="189" t="s">
        <v>122</v>
      </c>
      <c r="AH14" s="190"/>
      <c r="AJ14" s="191"/>
    </row>
    <row r="15" spans="1:36" ht="15" customHeight="1" outlineLevel="1">
      <c r="A15" s="179" t="str">
        <f>'Program Budget'!D17</f>
        <v>Technical Specialist Component 1</v>
      </c>
      <c r="B15" s="180" t="str">
        <f>'Program Budget'!F292</f>
        <v>Month</v>
      </c>
      <c r="C15" s="181">
        <f>'Program Budget'!H17</f>
        <v>1833.3333333333333</v>
      </c>
      <c r="D15" s="182">
        <f>'Program Budget'!G17</f>
        <v>6</v>
      </c>
      <c r="E15" s="183">
        <f>'Program Budget'!E292</f>
        <v>0</v>
      </c>
      <c r="F15" s="184">
        <f t="shared" si="5"/>
        <v>0</v>
      </c>
      <c r="G15" s="181">
        <f t="shared" si="1"/>
        <v>1925</v>
      </c>
      <c r="H15" s="182">
        <f>'Program Budget'!K17</f>
        <v>12</v>
      </c>
      <c r="I15" s="185">
        <f>'Program Budget'!J292</f>
        <v>0</v>
      </c>
      <c r="J15" s="184">
        <f t="shared" si="6"/>
        <v>0</v>
      </c>
      <c r="K15" s="181">
        <f t="shared" si="2"/>
        <v>2021.25</v>
      </c>
      <c r="L15" s="182">
        <f>'Program Budget'!N17</f>
        <v>12</v>
      </c>
      <c r="M15" s="185">
        <f>'Program Budget'!M292</f>
        <v>0</v>
      </c>
      <c r="N15" s="184">
        <f t="shared" si="7"/>
        <v>0</v>
      </c>
      <c r="O15" s="181">
        <f t="shared" si="3"/>
        <v>2122.3125</v>
      </c>
      <c r="P15" s="182">
        <f>'Program Budget'!Q17</f>
        <v>12</v>
      </c>
      <c r="Q15" s="185">
        <f>'Program Budget'!P292</f>
        <v>0</v>
      </c>
      <c r="R15" s="184">
        <f t="shared" si="8"/>
        <v>0</v>
      </c>
      <c r="S15" s="181">
        <f t="shared" si="4"/>
        <v>2228.4281249999999</v>
      </c>
      <c r="T15" s="182">
        <f>'Program Budget'!T17</f>
        <v>6</v>
      </c>
      <c r="U15" s="185">
        <f>'Program Budget'!S292</f>
        <v>0</v>
      </c>
      <c r="V15" s="184">
        <f t="shared" si="9"/>
        <v>0</v>
      </c>
      <c r="W15" s="320">
        <f t="shared" si="10"/>
        <v>0</v>
      </c>
      <c r="X15" s="187"/>
      <c r="Y15" s="174"/>
      <c r="Z15" s="188"/>
      <c r="AA15" s="188"/>
      <c r="AE15" s="148"/>
      <c r="AF15" s="189"/>
      <c r="AG15" s="189"/>
      <c r="AH15" s="190"/>
      <c r="AJ15" s="191"/>
    </row>
    <row r="16" spans="1:36" ht="15" customHeight="1" outlineLevel="1">
      <c r="A16" s="179" t="str">
        <f>'Program Budget'!D18</f>
        <v>Technical Specialist Component 2</v>
      </c>
      <c r="B16" s="180" t="str">
        <f>'Program Budget'!F293</f>
        <v>Month</v>
      </c>
      <c r="C16" s="181">
        <f>'Program Budget'!H18</f>
        <v>1833.3333333333333</v>
      </c>
      <c r="D16" s="182">
        <f>'Program Budget'!G18</f>
        <v>6</v>
      </c>
      <c r="E16" s="183">
        <f>'Program Budget'!E293</f>
        <v>0</v>
      </c>
      <c r="F16" s="184">
        <f t="shared" si="5"/>
        <v>0</v>
      </c>
      <c r="G16" s="181">
        <f t="shared" si="1"/>
        <v>1925</v>
      </c>
      <c r="H16" s="182">
        <f>'Program Budget'!K18</f>
        <v>12</v>
      </c>
      <c r="I16" s="185">
        <f>'Program Budget'!J293</f>
        <v>0</v>
      </c>
      <c r="J16" s="184">
        <f t="shared" si="6"/>
        <v>0</v>
      </c>
      <c r="K16" s="181">
        <f t="shared" si="2"/>
        <v>2021.25</v>
      </c>
      <c r="L16" s="182">
        <f>'Program Budget'!N18</f>
        <v>12</v>
      </c>
      <c r="M16" s="185">
        <f>'Program Budget'!M293</f>
        <v>0</v>
      </c>
      <c r="N16" s="184">
        <f t="shared" si="7"/>
        <v>0</v>
      </c>
      <c r="O16" s="181">
        <f t="shared" si="3"/>
        <v>2122.3125</v>
      </c>
      <c r="P16" s="182">
        <f>'Program Budget'!Q18</f>
        <v>12</v>
      </c>
      <c r="Q16" s="185">
        <f>'Program Budget'!P293</f>
        <v>0</v>
      </c>
      <c r="R16" s="184">
        <f t="shared" si="8"/>
        <v>0</v>
      </c>
      <c r="S16" s="181">
        <f t="shared" si="4"/>
        <v>2228.4281249999999</v>
      </c>
      <c r="T16" s="182">
        <f>'Program Budget'!T18</f>
        <v>6</v>
      </c>
      <c r="U16" s="185">
        <f>'Program Budget'!S293</f>
        <v>0</v>
      </c>
      <c r="V16" s="184">
        <f t="shared" si="9"/>
        <v>0</v>
      </c>
      <c r="W16" s="320">
        <f t="shared" si="10"/>
        <v>0</v>
      </c>
      <c r="X16" s="187"/>
      <c r="Y16" s="174"/>
      <c r="Z16" s="188"/>
      <c r="AA16" s="188"/>
      <c r="AE16" s="148"/>
      <c r="AF16" s="189"/>
      <c r="AG16" s="189"/>
      <c r="AH16" s="190"/>
      <c r="AJ16" s="191"/>
    </row>
    <row r="17" spans="1:36" ht="15" customHeight="1" outlineLevel="1">
      <c r="A17" s="179" t="str">
        <f>'Program Budget'!D19</f>
        <v>Technical Specialist Component 3</v>
      </c>
      <c r="B17" s="180" t="str">
        <f>'Program Budget'!F294</f>
        <v>Month</v>
      </c>
      <c r="C17" s="181">
        <f>'Program Budget'!H19</f>
        <v>1833.3333333333333</v>
      </c>
      <c r="D17" s="182">
        <f>'Program Budget'!G19</f>
        <v>6</v>
      </c>
      <c r="E17" s="183">
        <f>'Program Budget'!E294</f>
        <v>0.8</v>
      </c>
      <c r="F17" s="184">
        <f t="shared" si="5"/>
        <v>8800</v>
      </c>
      <c r="G17" s="181">
        <f t="shared" si="1"/>
        <v>1925</v>
      </c>
      <c r="H17" s="182">
        <f>'Program Budget'!K19</f>
        <v>12</v>
      </c>
      <c r="I17" s="185">
        <f>'Program Budget'!J294</f>
        <v>1</v>
      </c>
      <c r="J17" s="184">
        <f t="shared" si="6"/>
        <v>23100</v>
      </c>
      <c r="K17" s="181">
        <f t="shared" si="2"/>
        <v>2021.25</v>
      </c>
      <c r="L17" s="182">
        <f>'Program Budget'!N19</f>
        <v>12</v>
      </c>
      <c r="M17" s="185">
        <f>'Program Budget'!M294</f>
        <v>1</v>
      </c>
      <c r="N17" s="184">
        <f t="shared" si="7"/>
        <v>24255</v>
      </c>
      <c r="O17" s="181">
        <f t="shared" si="3"/>
        <v>2122.3125</v>
      </c>
      <c r="P17" s="182">
        <f>'Program Budget'!Q19</f>
        <v>12</v>
      </c>
      <c r="Q17" s="185">
        <f>'Program Budget'!P294</f>
        <v>1</v>
      </c>
      <c r="R17" s="184">
        <f t="shared" si="8"/>
        <v>25467.75</v>
      </c>
      <c r="S17" s="181">
        <f t="shared" si="4"/>
        <v>2228.4281249999999</v>
      </c>
      <c r="T17" s="182">
        <f>'Program Budget'!T19</f>
        <v>6</v>
      </c>
      <c r="U17" s="185">
        <f>'Program Budget'!S294</f>
        <v>1</v>
      </c>
      <c r="V17" s="184">
        <f t="shared" si="9"/>
        <v>13370.568749999999</v>
      </c>
      <c r="W17" s="320">
        <f t="shared" si="10"/>
        <v>94993.318750000006</v>
      </c>
      <c r="X17" s="187"/>
      <c r="Y17" s="174"/>
      <c r="Z17" s="188"/>
      <c r="AA17" s="188"/>
      <c r="AE17" s="148"/>
      <c r="AF17" s="189"/>
      <c r="AG17" s="189"/>
      <c r="AH17" s="190"/>
      <c r="AJ17" s="191"/>
    </row>
    <row r="18" spans="1:36" ht="15" customHeight="1" outlineLevel="1">
      <c r="A18" s="179" t="str">
        <f>'Program Budget'!D20</f>
        <v>Capacity Building Specialist (2)</v>
      </c>
      <c r="B18" s="180" t="str">
        <f>'Program Budget'!F295</f>
        <v>Month</v>
      </c>
      <c r="C18" s="181">
        <f>'Program Budget'!H20</f>
        <v>3333.3333333333335</v>
      </c>
      <c r="D18" s="182">
        <f>'Program Budget'!G20</f>
        <v>4</v>
      </c>
      <c r="E18" s="183">
        <f>'Program Budget'!E295</f>
        <v>0.8</v>
      </c>
      <c r="F18" s="184">
        <f t="shared" ref="F18" si="11">C18*D18*E18</f>
        <v>10666.666666666668</v>
      </c>
      <c r="G18" s="181">
        <f t="shared" ref="G18" si="12">C18*1.05</f>
        <v>3500.0000000000005</v>
      </c>
      <c r="H18" s="182">
        <f>'Program Budget'!K20</f>
        <v>12</v>
      </c>
      <c r="I18" s="185">
        <f>'Program Budget'!J295</f>
        <v>1</v>
      </c>
      <c r="J18" s="184">
        <f t="shared" ref="J18" si="13">G18*H18*I18</f>
        <v>42000.000000000007</v>
      </c>
      <c r="K18" s="181">
        <f t="shared" ref="K18" si="14">G18*1.05</f>
        <v>3675.0000000000005</v>
      </c>
      <c r="L18" s="182">
        <f>'Program Budget'!N20</f>
        <v>12</v>
      </c>
      <c r="M18" s="185">
        <f>'Program Budget'!M295</f>
        <v>1</v>
      </c>
      <c r="N18" s="184">
        <f t="shared" ref="N18" si="15">K18*L18*M18</f>
        <v>44100.000000000007</v>
      </c>
      <c r="O18" s="181">
        <f t="shared" ref="O18" si="16">K18*1.05</f>
        <v>3858.7500000000005</v>
      </c>
      <c r="P18" s="182">
        <f>'Program Budget'!Q20</f>
        <v>12</v>
      </c>
      <c r="Q18" s="185">
        <f>'Program Budget'!P295</f>
        <v>1</v>
      </c>
      <c r="R18" s="184">
        <f t="shared" ref="R18" si="17">O18*P18*Q18</f>
        <v>46305.000000000007</v>
      </c>
      <c r="S18" s="181">
        <f t="shared" ref="S18" si="18">O18*1.05</f>
        <v>4051.6875000000005</v>
      </c>
      <c r="T18" s="182">
        <f>'Program Budget'!T20</f>
        <v>5</v>
      </c>
      <c r="U18" s="185">
        <f>'Program Budget'!S295</f>
        <v>1</v>
      </c>
      <c r="V18" s="184">
        <f t="shared" ref="V18" si="19">S18*T18*U18</f>
        <v>20258.437500000004</v>
      </c>
      <c r="W18" s="320">
        <f t="shared" ref="W18" si="20">F18+J18+N18+R18+V18</f>
        <v>163330.10416666669</v>
      </c>
      <c r="X18" s="187"/>
      <c r="Y18" s="174"/>
      <c r="Z18" s="188"/>
      <c r="AA18" s="188"/>
      <c r="AE18" s="148"/>
      <c r="AF18" s="189"/>
      <c r="AG18" s="189"/>
      <c r="AH18" s="190"/>
      <c r="AJ18" s="191"/>
    </row>
    <row r="19" spans="1:36" ht="15" customHeight="1" outlineLevel="1">
      <c r="A19" s="179" t="str">
        <f>'Program Budget'!D21</f>
        <v>Sociocultural and Gender Specialist</v>
      </c>
      <c r="B19" s="180" t="str">
        <f>'Program Budget'!F296</f>
        <v>Month</v>
      </c>
      <c r="C19" s="181">
        <f>'Program Budget'!H21</f>
        <v>1833.3333333333333</v>
      </c>
      <c r="D19" s="182">
        <f>'Program Budget'!G21</f>
        <v>7</v>
      </c>
      <c r="E19" s="183">
        <f>'Program Budget'!E296</f>
        <v>0.25</v>
      </c>
      <c r="F19" s="184">
        <f t="shared" si="5"/>
        <v>3208.333333333333</v>
      </c>
      <c r="G19" s="181">
        <f t="shared" si="1"/>
        <v>1925</v>
      </c>
      <c r="H19" s="182">
        <f>'Program Budget'!K21</f>
        <v>12</v>
      </c>
      <c r="I19" s="185">
        <f>'Program Budget'!J296</f>
        <v>0.3</v>
      </c>
      <c r="J19" s="184">
        <f t="shared" si="6"/>
        <v>6930</v>
      </c>
      <c r="K19" s="181">
        <f t="shared" si="2"/>
        <v>2021.25</v>
      </c>
      <c r="L19" s="182">
        <f>'Program Budget'!N21</f>
        <v>12</v>
      </c>
      <c r="M19" s="185">
        <f>'Program Budget'!M296</f>
        <v>0.35</v>
      </c>
      <c r="N19" s="184">
        <f t="shared" si="7"/>
        <v>8489.25</v>
      </c>
      <c r="O19" s="181">
        <f t="shared" si="3"/>
        <v>2122.3125</v>
      </c>
      <c r="P19" s="182">
        <f>'Program Budget'!Q21</f>
        <v>12</v>
      </c>
      <c r="Q19" s="185">
        <f>'Program Budget'!P296</f>
        <v>0.35</v>
      </c>
      <c r="R19" s="184">
        <f t="shared" si="8"/>
        <v>8913.7124999999996</v>
      </c>
      <c r="S19" s="181">
        <f t="shared" si="4"/>
        <v>2228.4281249999999</v>
      </c>
      <c r="T19" s="182">
        <f>'Program Budget'!T21</f>
        <v>9</v>
      </c>
      <c r="U19" s="185">
        <f>'Program Budget'!S296</f>
        <v>0.35</v>
      </c>
      <c r="V19" s="184">
        <f t="shared" si="9"/>
        <v>7019.5485937499989</v>
      </c>
      <c r="W19" s="320">
        <f t="shared" si="10"/>
        <v>34560.844427083328</v>
      </c>
      <c r="X19" s="187"/>
      <c r="Y19" s="174"/>
      <c r="Z19" s="188"/>
      <c r="AA19" s="188"/>
      <c r="AE19" s="148">
        <v>180</v>
      </c>
      <c r="AF19" s="189" t="s">
        <v>121</v>
      </c>
      <c r="AG19" s="189" t="s">
        <v>122</v>
      </c>
      <c r="AH19" s="190"/>
      <c r="AJ19" s="191"/>
    </row>
    <row r="20" spans="1:36" ht="15" customHeight="1" outlineLevel="1">
      <c r="A20" s="179" t="str">
        <f>'Program Budget'!D22</f>
        <v>Sociocultural and Gender Officers (3)</v>
      </c>
      <c r="B20" s="180" t="str">
        <f>'Program Budget'!F297</f>
        <v>Month</v>
      </c>
      <c r="C20" s="181">
        <f>'Program Budget'!H22</f>
        <v>3750</v>
      </c>
      <c r="D20" s="182">
        <f>'Program Budget'!G22</f>
        <v>7</v>
      </c>
      <c r="E20" s="183">
        <f>'Program Budget'!E297</f>
        <v>0.25</v>
      </c>
      <c r="F20" s="184">
        <f t="shared" si="5"/>
        <v>6562.5</v>
      </c>
      <c r="G20" s="181">
        <f t="shared" si="1"/>
        <v>3937.5</v>
      </c>
      <c r="H20" s="182">
        <f>'Program Budget'!K22</f>
        <v>12</v>
      </c>
      <c r="I20" s="185">
        <f>'Program Budget'!J297</f>
        <v>0.3</v>
      </c>
      <c r="J20" s="184">
        <f t="shared" si="6"/>
        <v>14175</v>
      </c>
      <c r="K20" s="181">
        <f t="shared" si="2"/>
        <v>4134.375</v>
      </c>
      <c r="L20" s="182">
        <f>'Program Budget'!N22</f>
        <v>12</v>
      </c>
      <c r="M20" s="185">
        <f>'Program Budget'!M297</f>
        <v>0.35</v>
      </c>
      <c r="N20" s="184">
        <f t="shared" si="7"/>
        <v>17364.375</v>
      </c>
      <c r="O20" s="181">
        <f t="shared" si="3"/>
        <v>4341.09375</v>
      </c>
      <c r="P20" s="182">
        <f>'Program Budget'!Q22</f>
        <v>12</v>
      </c>
      <c r="Q20" s="185">
        <f>'Program Budget'!P297</f>
        <v>0.35</v>
      </c>
      <c r="R20" s="184">
        <f t="shared" si="8"/>
        <v>18232.59375</v>
      </c>
      <c r="S20" s="181">
        <f t="shared" si="4"/>
        <v>4558.1484375</v>
      </c>
      <c r="T20" s="182">
        <f>'Program Budget'!T22</f>
        <v>9</v>
      </c>
      <c r="U20" s="185">
        <f>'Program Budget'!S297</f>
        <v>0.35</v>
      </c>
      <c r="V20" s="184">
        <f t="shared" si="9"/>
        <v>14358.167578125</v>
      </c>
      <c r="W20" s="320">
        <f t="shared" si="10"/>
        <v>70692.636328124994</v>
      </c>
      <c r="X20" s="187"/>
      <c r="Y20" s="174"/>
      <c r="Z20" s="188"/>
      <c r="AA20" s="188"/>
      <c r="AE20" s="148">
        <v>180</v>
      </c>
      <c r="AF20" s="189" t="s">
        <v>121</v>
      </c>
      <c r="AG20" s="189" t="s">
        <v>122</v>
      </c>
      <c r="AH20" s="190"/>
      <c r="AJ20" s="191"/>
    </row>
    <row r="21" spans="1:36" ht="15" customHeight="1" outlineLevel="1">
      <c r="A21" s="179" t="str">
        <f>'Program Budget'!D23</f>
        <v>Communications Specialists</v>
      </c>
      <c r="B21" s="180" t="str">
        <f>'Program Budget'!F298</f>
        <v>Month</v>
      </c>
      <c r="C21" s="181">
        <f>'Program Budget'!H23</f>
        <v>1500</v>
      </c>
      <c r="D21" s="182">
        <f>'Program Budget'!G23</f>
        <v>7</v>
      </c>
      <c r="E21" s="183">
        <f>'Program Budget'!E298</f>
        <v>0.25</v>
      </c>
      <c r="F21" s="184">
        <f t="shared" si="5"/>
        <v>2625</v>
      </c>
      <c r="G21" s="181">
        <f t="shared" si="1"/>
        <v>1575</v>
      </c>
      <c r="H21" s="182">
        <f>'Program Budget'!K23</f>
        <v>12</v>
      </c>
      <c r="I21" s="185">
        <f>'Program Budget'!J298</f>
        <v>0.3</v>
      </c>
      <c r="J21" s="184">
        <f t="shared" si="6"/>
        <v>5670</v>
      </c>
      <c r="K21" s="181">
        <f t="shared" si="2"/>
        <v>1653.75</v>
      </c>
      <c r="L21" s="182">
        <f>'Program Budget'!N23</f>
        <v>12</v>
      </c>
      <c r="M21" s="185">
        <f>'Program Budget'!M298</f>
        <v>0.3</v>
      </c>
      <c r="N21" s="184">
        <f t="shared" si="7"/>
        <v>5953.5</v>
      </c>
      <c r="O21" s="181">
        <f t="shared" si="3"/>
        <v>1736.4375</v>
      </c>
      <c r="P21" s="182">
        <f>'Program Budget'!Q23</f>
        <v>12</v>
      </c>
      <c r="Q21" s="185">
        <f>'Program Budget'!P298</f>
        <v>0.3</v>
      </c>
      <c r="R21" s="184">
        <f t="shared" si="8"/>
        <v>6251.1750000000002</v>
      </c>
      <c r="S21" s="181">
        <f t="shared" si="4"/>
        <v>1823.2593750000001</v>
      </c>
      <c r="T21" s="182">
        <f>'Program Budget'!T23</f>
        <v>10</v>
      </c>
      <c r="U21" s="185">
        <f>'Program Budget'!S298</f>
        <v>0.3</v>
      </c>
      <c r="V21" s="184">
        <f t="shared" si="9"/>
        <v>5469.7781249999998</v>
      </c>
      <c r="W21" s="320">
        <f t="shared" si="10"/>
        <v>25969.453125</v>
      </c>
      <c r="X21" s="187"/>
      <c r="Y21" s="174"/>
      <c r="Z21" s="188"/>
      <c r="AA21" s="188"/>
      <c r="AE21" s="148">
        <v>180</v>
      </c>
      <c r="AF21" s="189" t="s">
        <v>121</v>
      </c>
      <c r="AG21" s="189" t="s">
        <v>122</v>
      </c>
      <c r="AH21" s="190"/>
      <c r="AJ21" s="191"/>
    </row>
    <row r="22" spans="1:36" ht="15" customHeight="1" outlineLevel="1">
      <c r="A22" s="179" t="str">
        <f>'Program Budget'!D24</f>
        <v xml:space="preserve">M&amp;E Director </v>
      </c>
      <c r="B22" s="180" t="str">
        <f>'Program Budget'!F299</f>
        <v>Month</v>
      </c>
      <c r="C22" s="181">
        <f>'Program Budget'!H24</f>
        <v>3916.6666666666665</v>
      </c>
      <c r="D22" s="182">
        <f>'Program Budget'!G24</f>
        <v>9</v>
      </c>
      <c r="E22" s="183">
        <f>'Program Budget'!E299</f>
        <v>0.25</v>
      </c>
      <c r="F22" s="184">
        <f t="shared" si="5"/>
        <v>8812.5</v>
      </c>
      <c r="G22" s="181">
        <f t="shared" si="1"/>
        <v>4112.5</v>
      </c>
      <c r="H22" s="182">
        <f>'Program Budget'!K24</f>
        <v>12</v>
      </c>
      <c r="I22" s="185">
        <f>'Program Budget'!J299</f>
        <v>0.3</v>
      </c>
      <c r="J22" s="184">
        <f t="shared" si="6"/>
        <v>14805</v>
      </c>
      <c r="K22" s="181">
        <f t="shared" si="2"/>
        <v>4318.125</v>
      </c>
      <c r="L22" s="182">
        <f>'Program Budget'!N24</f>
        <v>12</v>
      </c>
      <c r="M22" s="185">
        <f>'Program Budget'!M299</f>
        <v>0.3</v>
      </c>
      <c r="N22" s="184">
        <f t="shared" si="7"/>
        <v>15545.25</v>
      </c>
      <c r="O22" s="181">
        <f t="shared" si="3"/>
        <v>4534.03125</v>
      </c>
      <c r="P22" s="182">
        <f>'Program Budget'!Q24</f>
        <v>12</v>
      </c>
      <c r="Q22" s="185">
        <f>'Program Budget'!P299</f>
        <v>0.3</v>
      </c>
      <c r="R22" s="184">
        <f t="shared" si="8"/>
        <v>16322.512499999999</v>
      </c>
      <c r="S22" s="181">
        <f t="shared" si="4"/>
        <v>4760.7328125000004</v>
      </c>
      <c r="T22" s="182">
        <f>'Program Budget'!T24</f>
        <v>12</v>
      </c>
      <c r="U22" s="185">
        <f>'Program Budget'!S299</f>
        <v>0.3</v>
      </c>
      <c r="V22" s="184">
        <f t="shared" si="9"/>
        <v>17138.638125000001</v>
      </c>
      <c r="W22" s="320">
        <f t="shared" si="10"/>
        <v>72623.900624999995</v>
      </c>
      <c r="X22" s="187"/>
      <c r="Y22" s="174"/>
      <c r="Z22" s="188"/>
      <c r="AA22" s="188"/>
      <c r="AE22" s="148">
        <v>180</v>
      </c>
      <c r="AF22" s="189" t="s">
        <v>121</v>
      </c>
      <c r="AG22" s="189" t="s">
        <v>122</v>
      </c>
      <c r="AH22" s="190"/>
      <c r="AJ22" s="191"/>
    </row>
    <row r="23" spans="1:36" ht="15" customHeight="1" outlineLevel="1">
      <c r="A23" s="179" t="str">
        <f>'Program Budget'!D25</f>
        <v>M&amp;E Specialist</v>
      </c>
      <c r="B23" s="180" t="str">
        <f>'Program Budget'!F300</f>
        <v>Month</v>
      </c>
      <c r="C23" s="181">
        <f>'Program Budget'!H25</f>
        <v>1833.3333333333333</v>
      </c>
      <c r="D23" s="182">
        <f>'Program Budget'!G25</f>
        <v>8</v>
      </c>
      <c r="E23" s="183">
        <f>'Program Budget'!E300</f>
        <v>0.25</v>
      </c>
      <c r="F23" s="184">
        <f t="shared" si="5"/>
        <v>3666.6666666666665</v>
      </c>
      <c r="G23" s="181">
        <f t="shared" si="1"/>
        <v>1925</v>
      </c>
      <c r="H23" s="182">
        <f>'Program Budget'!K25</f>
        <v>12</v>
      </c>
      <c r="I23" s="185">
        <f>'Program Budget'!J300</f>
        <v>0.3</v>
      </c>
      <c r="J23" s="184">
        <f t="shared" si="6"/>
        <v>6930</v>
      </c>
      <c r="K23" s="181">
        <f t="shared" si="2"/>
        <v>2021.25</v>
      </c>
      <c r="L23" s="182">
        <f>'Program Budget'!N25</f>
        <v>12</v>
      </c>
      <c r="M23" s="185">
        <f>'Program Budget'!M300</f>
        <v>0.3</v>
      </c>
      <c r="N23" s="184">
        <f t="shared" si="7"/>
        <v>7276.5</v>
      </c>
      <c r="O23" s="181">
        <f t="shared" si="3"/>
        <v>2122.3125</v>
      </c>
      <c r="P23" s="182">
        <f>'Program Budget'!Q25</f>
        <v>12</v>
      </c>
      <c r="Q23" s="185">
        <f>'Program Budget'!P300</f>
        <v>0.3</v>
      </c>
      <c r="R23" s="184">
        <f t="shared" si="8"/>
        <v>7640.3249999999998</v>
      </c>
      <c r="S23" s="181">
        <f t="shared" si="4"/>
        <v>2228.4281249999999</v>
      </c>
      <c r="T23" s="182">
        <f>'Program Budget'!T25</f>
        <v>10</v>
      </c>
      <c r="U23" s="185">
        <f>'Program Budget'!S300</f>
        <v>0.3</v>
      </c>
      <c r="V23" s="184">
        <f t="shared" si="9"/>
        <v>6685.2843750000002</v>
      </c>
      <c r="W23" s="320">
        <f t="shared" si="10"/>
        <v>32198.776041666664</v>
      </c>
      <c r="X23" s="187"/>
      <c r="Y23" s="174"/>
      <c r="Z23" s="188"/>
      <c r="AA23" s="188"/>
      <c r="AE23" s="148"/>
      <c r="AF23" s="189"/>
      <c r="AG23" s="189"/>
      <c r="AH23" s="190"/>
      <c r="AJ23" s="191"/>
    </row>
    <row r="24" spans="1:36" ht="15" customHeight="1" outlineLevel="1">
      <c r="A24" s="179" t="str">
        <f>'Program Budget'!D26</f>
        <v xml:space="preserve">Key Personnel: Finance Director </v>
      </c>
      <c r="B24" s="180" t="str">
        <f>'Program Budget'!F301</f>
        <v>Month</v>
      </c>
      <c r="C24" s="181">
        <f>'Program Budget'!H26</f>
        <v>3916.6666666666665</v>
      </c>
      <c r="D24" s="182">
        <f>'Program Budget'!G26</f>
        <v>11</v>
      </c>
      <c r="E24" s="183">
        <f>'Program Budget'!E301</f>
        <v>0.25</v>
      </c>
      <c r="F24" s="184">
        <f t="shared" si="5"/>
        <v>10770.833333333332</v>
      </c>
      <c r="G24" s="181">
        <f t="shared" si="1"/>
        <v>4112.5</v>
      </c>
      <c r="H24" s="182">
        <f>'Program Budget'!K26</f>
        <v>12</v>
      </c>
      <c r="I24" s="185">
        <f>'Program Budget'!J301</f>
        <v>0.25</v>
      </c>
      <c r="J24" s="184">
        <f t="shared" si="6"/>
        <v>12337.5</v>
      </c>
      <c r="K24" s="181">
        <f t="shared" si="2"/>
        <v>4318.125</v>
      </c>
      <c r="L24" s="182">
        <f>'Program Budget'!N26</f>
        <v>12</v>
      </c>
      <c r="M24" s="185">
        <f>'Program Budget'!M301</f>
        <v>0.25</v>
      </c>
      <c r="N24" s="184">
        <f t="shared" si="7"/>
        <v>12954.375</v>
      </c>
      <c r="O24" s="181">
        <f t="shared" si="3"/>
        <v>4534.03125</v>
      </c>
      <c r="P24" s="182">
        <f>'Program Budget'!Q26</f>
        <v>12</v>
      </c>
      <c r="Q24" s="185">
        <f>'Program Budget'!P301</f>
        <v>0.25</v>
      </c>
      <c r="R24" s="184">
        <f t="shared" si="8"/>
        <v>13602.09375</v>
      </c>
      <c r="S24" s="181">
        <f t="shared" si="4"/>
        <v>4760.7328125000004</v>
      </c>
      <c r="T24" s="182">
        <f>'Program Budget'!T26</f>
        <v>12</v>
      </c>
      <c r="U24" s="185">
        <f>'Program Budget'!S301</f>
        <v>0.25</v>
      </c>
      <c r="V24" s="184">
        <f t="shared" si="9"/>
        <v>14282.198437500001</v>
      </c>
      <c r="W24" s="320">
        <f t="shared" si="10"/>
        <v>63947.000520833331</v>
      </c>
      <c r="X24" s="187"/>
      <c r="Y24" s="174"/>
      <c r="Z24" s="188"/>
      <c r="AA24" s="188"/>
      <c r="AE24" s="148">
        <v>180</v>
      </c>
      <c r="AF24" s="189" t="s">
        <v>121</v>
      </c>
      <c r="AG24" s="189" t="s">
        <v>122</v>
      </c>
      <c r="AH24" s="190"/>
      <c r="AJ24" s="191"/>
    </row>
    <row r="25" spans="1:36" ht="15" customHeight="1" outlineLevel="1">
      <c r="A25" s="179" t="str">
        <f>'Program Budget'!D27</f>
        <v>Contracts &amp; Compliance Specialist</v>
      </c>
      <c r="B25" s="180" t="str">
        <f>'Program Budget'!F302</f>
        <v>Month</v>
      </c>
      <c r="C25" s="181">
        <f>'Program Budget'!H27</f>
        <v>1833.3333333333333</v>
      </c>
      <c r="D25" s="182">
        <f>'Program Budget'!G27</f>
        <v>9</v>
      </c>
      <c r="E25" s="183">
        <f>'Program Budget'!E302</f>
        <v>0.25</v>
      </c>
      <c r="F25" s="184">
        <f t="shared" si="5"/>
        <v>4125</v>
      </c>
      <c r="G25" s="181">
        <f t="shared" si="1"/>
        <v>1925</v>
      </c>
      <c r="H25" s="182">
        <f>'Program Budget'!K27</f>
        <v>12</v>
      </c>
      <c r="I25" s="185">
        <f>'Program Budget'!J302</f>
        <v>0.25</v>
      </c>
      <c r="J25" s="184">
        <f t="shared" si="6"/>
        <v>5775</v>
      </c>
      <c r="K25" s="181">
        <f t="shared" si="2"/>
        <v>2021.25</v>
      </c>
      <c r="L25" s="182">
        <f>'Program Budget'!N27</f>
        <v>12</v>
      </c>
      <c r="M25" s="185">
        <f>'Program Budget'!M302</f>
        <v>0.25</v>
      </c>
      <c r="N25" s="184">
        <f t="shared" si="7"/>
        <v>6063.75</v>
      </c>
      <c r="O25" s="181">
        <f t="shared" si="3"/>
        <v>2122.3125</v>
      </c>
      <c r="P25" s="182">
        <f>'Program Budget'!Q27</f>
        <v>12</v>
      </c>
      <c r="Q25" s="185">
        <f>'Program Budget'!P302</f>
        <v>0.25</v>
      </c>
      <c r="R25" s="184">
        <f t="shared" si="8"/>
        <v>6366.9375</v>
      </c>
      <c r="S25" s="181">
        <f t="shared" si="4"/>
        <v>2228.4281249999999</v>
      </c>
      <c r="T25" s="182">
        <f>'Program Budget'!T27</f>
        <v>12</v>
      </c>
      <c r="U25" s="185">
        <f>'Program Budget'!S302</f>
        <v>0.25</v>
      </c>
      <c r="V25" s="184">
        <f t="shared" si="9"/>
        <v>6685.2843749999993</v>
      </c>
      <c r="W25" s="320">
        <f t="shared" si="10"/>
        <v>29015.971874999999</v>
      </c>
      <c r="X25" s="187"/>
      <c r="Y25" s="174"/>
      <c r="Z25" s="188"/>
      <c r="AA25" s="188"/>
      <c r="AE25" s="148">
        <v>180</v>
      </c>
      <c r="AF25" s="189" t="s">
        <v>121</v>
      </c>
      <c r="AG25" s="189" t="s">
        <v>122</v>
      </c>
      <c r="AH25" s="190"/>
      <c r="AJ25" s="191"/>
    </row>
    <row r="26" spans="1:36" ht="15" customHeight="1" outlineLevel="1">
      <c r="A26" s="179" t="str">
        <f>'Program Budget'!D28</f>
        <v>Grants &amp; Procurement Officer (2)</v>
      </c>
      <c r="B26" s="180" t="str">
        <f>'Program Budget'!F303</f>
        <v>Month</v>
      </c>
      <c r="C26" s="181">
        <f>'Program Budget'!H28</f>
        <v>2500</v>
      </c>
      <c r="D26" s="182">
        <f>'Program Budget'!G28</f>
        <v>9</v>
      </c>
      <c r="E26" s="183">
        <f>'Program Budget'!E303</f>
        <v>0.25</v>
      </c>
      <c r="F26" s="184">
        <f t="shared" si="5"/>
        <v>5625</v>
      </c>
      <c r="G26" s="181">
        <f t="shared" si="1"/>
        <v>2625</v>
      </c>
      <c r="H26" s="182">
        <f>'Program Budget'!K28</f>
        <v>12</v>
      </c>
      <c r="I26" s="185">
        <f>'Program Budget'!J303</f>
        <v>0.25</v>
      </c>
      <c r="J26" s="184">
        <f t="shared" si="6"/>
        <v>7875</v>
      </c>
      <c r="K26" s="181">
        <f t="shared" si="2"/>
        <v>2756.25</v>
      </c>
      <c r="L26" s="182">
        <f>'Program Budget'!N28</f>
        <v>12</v>
      </c>
      <c r="M26" s="185">
        <f>'Program Budget'!M303</f>
        <v>0.25</v>
      </c>
      <c r="N26" s="184">
        <f t="shared" si="7"/>
        <v>8268.75</v>
      </c>
      <c r="O26" s="181">
        <f t="shared" si="3"/>
        <v>2894.0625</v>
      </c>
      <c r="P26" s="182">
        <f>'Program Budget'!Q28</f>
        <v>12</v>
      </c>
      <c r="Q26" s="185">
        <f>'Program Budget'!P303</f>
        <v>0.25</v>
      </c>
      <c r="R26" s="184">
        <f t="shared" si="8"/>
        <v>8682.1875</v>
      </c>
      <c r="S26" s="181">
        <f t="shared" si="4"/>
        <v>3038.765625</v>
      </c>
      <c r="T26" s="182">
        <f>'Program Budget'!T28</f>
        <v>12</v>
      </c>
      <c r="U26" s="185">
        <f>'Program Budget'!S303</f>
        <v>0.25</v>
      </c>
      <c r="V26" s="184">
        <f t="shared" si="9"/>
        <v>9116.296875</v>
      </c>
      <c r="W26" s="320">
        <f t="shared" si="10"/>
        <v>39567.234375</v>
      </c>
      <c r="X26" s="187"/>
      <c r="Y26" s="174"/>
      <c r="Z26" s="188"/>
      <c r="AA26" s="188"/>
      <c r="AE26" s="148">
        <v>180</v>
      </c>
      <c r="AF26" s="189" t="s">
        <v>121</v>
      </c>
      <c r="AG26" s="189" t="s">
        <v>122</v>
      </c>
      <c r="AH26" s="190"/>
      <c r="AJ26" s="191"/>
    </row>
    <row r="27" spans="1:36" ht="15" customHeight="1" outlineLevel="1">
      <c r="A27" s="179" t="str">
        <f>'Program Budget'!D29</f>
        <v xml:space="preserve">Accountant </v>
      </c>
      <c r="B27" s="180" t="str">
        <f>'Program Budget'!F304</f>
        <v>Month</v>
      </c>
      <c r="C27" s="181">
        <f>'Program Budget'!H29</f>
        <v>1666.6666666666667</v>
      </c>
      <c r="D27" s="182">
        <f>'Program Budget'!G29</f>
        <v>10</v>
      </c>
      <c r="E27" s="183">
        <f>'Program Budget'!E304</f>
        <v>0.25</v>
      </c>
      <c r="F27" s="184">
        <f t="shared" si="5"/>
        <v>4166.666666666667</v>
      </c>
      <c r="G27" s="181">
        <f t="shared" si="1"/>
        <v>1750.0000000000002</v>
      </c>
      <c r="H27" s="182">
        <f>'Program Budget'!K29</f>
        <v>12</v>
      </c>
      <c r="I27" s="185">
        <f>'Program Budget'!J304</f>
        <v>0.25</v>
      </c>
      <c r="J27" s="184">
        <f t="shared" si="6"/>
        <v>5250.0000000000009</v>
      </c>
      <c r="K27" s="181">
        <f t="shared" si="2"/>
        <v>1837.5000000000002</v>
      </c>
      <c r="L27" s="182">
        <f>'Program Budget'!N29</f>
        <v>12</v>
      </c>
      <c r="M27" s="185">
        <f>'Program Budget'!M304</f>
        <v>0.25</v>
      </c>
      <c r="N27" s="184">
        <f t="shared" si="7"/>
        <v>5512.5000000000009</v>
      </c>
      <c r="O27" s="181">
        <f t="shared" si="3"/>
        <v>1929.3750000000002</v>
      </c>
      <c r="P27" s="182">
        <f>'Program Budget'!Q29</f>
        <v>12</v>
      </c>
      <c r="Q27" s="185">
        <f>'Program Budget'!P304</f>
        <v>0.25</v>
      </c>
      <c r="R27" s="184">
        <f t="shared" si="8"/>
        <v>5788.1250000000009</v>
      </c>
      <c r="S27" s="181">
        <f t="shared" si="4"/>
        <v>2025.8437500000002</v>
      </c>
      <c r="T27" s="182">
        <f>'Program Budget'!T29</f>
        <v>11</v>
      </c>
      <c r="U27" s="185">
        <f>'Program Budget'!S304</f>
        <v>0.25</v>
      </c>
      <c r="V27" s="184">
        <f t="shared" si="9"/>
        <v>5571.0703125000009</v>
      </c>
      <c r="W27" s="320">
        <f t="shared" si="10"/>
        <v>26288.361979166668</v>
      </c>
      <c r="X27" s="187"/>
      <c r="Y27" s="174"/>
      <c r="Z27" s="188"/>
      <c r="AA27" s="188"/>
      <c r="AE27" s="148"/>
      <c r="AF27" s="189"/>
      <c r="AG27" s="189"/>
      <c r="AH27" s="190"/>
      <c r="AJ27" s="191"/>
    </row>
    <row r="28" spans="1:36" ht="15" customHeight="1" outlineLevel="1">
      <c r="A28" s="179" t="str">
        <f>'Program Budget'!D30</f>
        <v>Administrative Officer</v>
      </c>
      <c r="B28" s="180" t="str">
        <f>'Program Budget'!F305</f>
        <v>Month</v>
      </c>
      <c r="C28" s="181">
        <f>'Program Budget'!H30</f>
        <v>833.33333333333337</v>
      </c>
      <c r="D28" s="182">
        <f>'Program Budget'!G30</f>
        <v>9</v>
      </c>
      <c r="E28" s="183">
        <f>'Program Budget'!E305</f>
        <v>0.25</v>
      </c>
      <c r="F28" s="184">
        <f t="shared" si="5"/>
        <v>1875</v>
      </c>
      <c r="G28" s="181">
        <f t="shared" si="1"/>
        <v>875.00000000000011</v>
      </c>
      <c r="H28" s="182">
        <f>'Program Budget'!K30</f>
        <v>12</v>
      </c>
      <c r="I28" s="185">
        <f>'Program Budget'!J305</f>
        <v>0.25</v>
      </c>
      <c r="J28" s="184">
        <f t="shared" si="6"/>
        <v>2625.0000000000005</v>
      </c>
      <c r="K28" s="181">
        <f t="shared" si="2"/>
        <v>918.75000000000011</v>
      </c>
      <c r="L28" s="182">
        <f>'Program Budget'!N30</f>
        <v>12</v>
      </c>
      <c r="M28" s="185">
        <f>'Program Budget'!M305</f>
        <v>0.25</v>
      </c>
      <c r="N28" s="184">
        <f t="shared" si="7"/>
        <v>2756.2500000000005</v>
      </c>
      <c r="O28" s="181">
        <f t="shared" si="3"/>
        <v>964.68750000000011</v>
      </c>
      <c r="P28" s="182">
        <f>'Program Budget'!Q30</f>
        <v>12</v>
      </c>
      <c r="Q28" s="185">
        <f>'Program Budget'!P305</f>
        <v>0.25</v>
      </c>
      <c r="R28" s="184">
        <f t="shared" si="8"/>
        <v>2894.0625000000005</v>
      </c>
      <c r="S28" s="181">
        <f t="shared" si="4"/>
        <v>1012.9218750000001</v>
      </c>
      <c r="T28" s="182">
        <f>'Program Budget'!T30</f>
        <v>10</v>
      </c>
      <c r="U28" s="185">
        <f>'Program Budget'!S305</f>
        <v>0.25</v>
      </c>
      <c r="V28" s="184">
        <f t="shared" si="9"/>
        <v>2532.3046875000005</v>
      </c>
      <c r="W28" s="320">
        <f t="shared" si="10"/>
        <v>12682.6171875</v>
      </c>
      <c r="X28" s="187"/>
      <c r="Y28" s="174"/>
      <c r="Z28" s="188"/>
      <c r="AA28" s="188"/>
      <c r="AE28" s="148"/>
      <c r="AF28" s="189"/>
      <c r="AG28" s="189"/>
      <c r="AH28" s="190"/>
      <c r="AJ28" s="191"/>
    </row>
    <row r="29" spans="1:36" ht="15" customHeight="1" outlineLevel="1">
      <c r="A29" s="179" t="str">
        <f>'Program Budget'!D31</f>
        <v>Human Resources Manager</v>
      </c>
      <c r="B29" s="180" t="str">
        <f>'Program Budget'!F306</f>
        <v>Month</v>
      </c>
      <c r="C29" s="181">
        <f>'Program Budget'!H31</f>
        <v>2500</v>
      </c>
      <c r="D29" s="182">
        <f>'Program Budget'!G31</f>
        <v>11</v>
      </c>
      <c r="E29" s="183">
        <f>'Program Budget'!E306</f>
        <v>0.25</v>
      </c>
      <c r="F29" s="184">
        <f t="shared" si="5"/>
        <v>6875</v>
      </c>
      <c r="G29" s="181">
        <f t="shared" si="1"/>
        <v>2625</v>
      </c>
      <c r="H29" s="182">
        <f>'Program Budget'!K31</f>
        <v>12</v>
      </c>
      <c r="I29" s="185">
        <f>'Program Budget'!J306</f>
        <v>0.25</v>
      </c>
      <c r="J29" s="184">
        <f t="shared" si="6"/>
        <v>7875</v>
      </c>
      <c r="K29" s="181">
        <f t="shared" si="2"/>
        <v>2756.25</v>
      </c>
      <c r="L29" s="182">
        <f>'Program Budget'!N31</f>
        <v>12</v>
      </c>
      <c r="M29" s="185">
        <f>'Program Budget'!M306</f>
        <v>0.25</v>
      </c>
      <c r="N29" s="184">
        <f t="shared" si="7"/>
        <v>8268.75</v>
      </c>
      <c r="O29" s="181">
        <f t="shared" si="3"/>
        <v>2894.0625</v>
      </c>
      <c r="P29" s="182">
        <f>'Program Budget'!Q31</f>
        <v>12</v>
      </c>
      <c r="Q29" s="185">
        <f>'Program Budget'!P306</f>
        <v>0.25</v>
      </c>
      <c r="R29" s="184">
        <f t="shared" si="8"/>
        <v>8682.1875</v>
      </c>
      <c r="S29" s="181">
        <f t="shared" si="4"/>
        <v>3038.765625</v>
      </c>
      <c r="T29" s="182">
        <f>'Program Budget'!T31</f>
        <v>12</v>
      </c>
      <c r="U29" s="185">
        <f>'Program Budget'!S306</f>
        <v>0.25</v>
      </c>
      <c r="V29" s="184">
        <f t="shared" si="9"/>
        <v>9116.296875</v>
      </c>
      <c r="W29" s="320">
        <f t="shared" si="10"/>
        <v>40817.234375</v>
      </c>
      <c r="X29" s="187"/>
      <c r="Y29" s="174"/>
      <c r="Z29" s="188"/>
      <c r="AA29" s="188"/>
      <c r="AE29" s="148">
        <v>180</v>
      </c>
      <c r="AF29" s="189" t="s">
        <v>121</v>
      </c>
      <c r="AG29" s="189" t="s">
        <v>122</v>
      </c>
      <c r="AH29" s="190"/>
      <c r="AJ29" s="191"/>
    </row>
    <row r="30" spans="1:36" ht="15" customHeight="1" outlineLevel="1">
      <c r="A30" s="179" t="str">
        <f>'Program Budget'!D32</f>
        <v>Driver (3 Individuals)</v>
      </c>
      <c r="B30" s="180" t="str">
        <f>'Program Budget'!F307</f>
        <v>Month</v>
      </c>
      <c r="C30" s="181">
        <f>'Program Budget'!H32</f>
        <v>2250</v>
      </c>
      <c r="D30" s="182">
        <f>'Program Budget'!G32</f>
        <v>3</v>
      </c>
      <c r="E30" s="183">
        <f>'Program Budget'!E307</f>
        <v>0.3</v>
      </c>
      <c r="F30" s="184">
        <f t="shared" si="5"/>
        <v>2025</v>
      </c>
      <c r="G30" s="181">
        <f t="shared" si="1"/>
        <v>2362.5</v>
      </c>
      <c r="H30" s="182">
        <f>'Program Budget'!K32</f>
        <v>12</v>
      </c>
      <c r="I30" s="185">
        <f>'Program Budget'!J307</f>
        <v>0.25</v>
      </c>
      <c r="J30" s="184">
        <f t="shared" si="6"/>
        <v>7087.5</v>
      </c>
      <c r="K30" s="181">
        <f t="shared" si="2"/>
        <v>2480.625</v>
      </c>
      <c r="L30" s="182">
        <f>'Program Budget'!N32</f>
        <v>12</v>
      </c>
      <c r="M30" s="185">
        <f>'Program Budget'!M307</f>
        <v>0.25</v>
      </c>
      <c r="N30" s="184">
        <f t="shared" si="7"/>
        <v>7441.875</v>
      </c>
      <c r="O30" s="181">
        <f t="shared" si="3"/>
        <v>2604.65625</v>
      </c>
      <c r="P30" s="182">
        <f>'Program Budget'!Q32</f>
        <v>12</v>
      </c>
      <c r="Q30" s="185">
        <f>'Program Budget'!P307</f>
        <v>0.25</v>
      </c>
      <c r="R30" s="184">
        <f t="shared" si="8"/>
        <v>7813.96875</v>
      </c>
      <c r="S30" s="181">
        <f t="shared" si="4"/>
        <v>2734.8890624999999</v>
      </c>
      <c r="T30" s="182">
        <f>'Program Budget'!T32</f>
        <v>9</v>
      </c>
      <c r="U30" s="185">
        <f>'Program Budget'!S307</f>
        <v>0.25</v>
      </c>
      <c r="V30" s="184">
        <f t="shared" si="9"/>
        <v>6153.5003906249995</v>
      </c>
      <c r="W30" s="322">
        <f t="shared" si="10"/>
        <v>30521.844140624999</v>
      </c>
      <c r="X30" s="187"/>
      <c r="Y30" s="174"/>
      <c r="Z30" s="188"/>
      <c r="AA30" s="188"/>
      <c r="AE30" s="148">
        <v>180</v>
      </c>
      <c r="AF30" s="189" t="s">
        <v>121</v>
      </c>
      <c r="AG30" s="189" t="s">
        <v>122</v>
      </c>
      <c r="AH30" s="190"/>
      <c r="AJ30" s="191"/>
    </row>
    <row r="31" spans="1:36" ht="15" customHeight="1" outlineLevel="1">
      <c r="A31" s="194" t="s">
        <v>78</v>
      </c>
      <c r="B31" s="195"/>
      <c r="C31" s="196"/>
      <c r="D31" s="197"/>
      <c r="E31" s="198"/>
      <c r="F31" s="208">
        <f>SUM(F10:F30)</f>
        <v>130054.16666666667</v>
      </c>
      <c r="G31" s="196"/>
      <c r="H31" s="197"/>
      <c r="I31" s="200"/>
      <c r="J31" s="208">
        <f>SUM(J10:J30)</f>
        <v>257880</v>
      </c>
      <c r="K31" s="196"/>
      <c r="L31" s="197"/>
      <c r="M31" s="198"/>
      <c r="N31" s="208">
        <f>SUM(N10:N30)</f>
        <v>276021.90000000002</v>
      </c>
      <c r="O31" s="196"/>
      <c r="P31" s="197"/>
      <c r="Q31" s="200"/>
      <c r="R31" s="208">
        <f>SUM(R10:R30)</f>
        <v>289822.995</v>
      </c>
      <c r="S31" s="196"/>
      <c r="T31" s="197"/>
      <c r="U31" s="200"/>
      <c r="V31" s="208">
        <f>SUM(V10:V30)</f>
        <v>236131.33457812495</v>
      </c>
      <c r="W31" s="208">
        <f>SUM(W10:W30)</f>
        <v>1189910.396244792</v>
      </c>
      <c r="AE31" s="148"/>
      <c r="AF31" s="189"/>
      <c r="AG31" s="189"/>
    </row>
    <row r="32" spans="1:36" s="175" customFormat="1" ht="15" customHeight="1" outlineLevel="1">
      <c r="A32" s="211"/>
      <c r="B32" s="202"/>
      <c r="C32" s="203"/>
      <c r="D32" s="204"/>
      <c r="E32" s="145"/>
      <c r="F32" s="184"/>
      <c r="G32" s="203"/>
      <c r="H32" s="204"/>
      <c r="I32" s="145"/>
      <c r="J32" s="184"/>
      <c r="K32" s="203"/>
      <c r="L32" s="204"/>
      <c r="M32" s="145"/>
      <c r="N32" s="184"/>
      <c r="O32" s="203"/>
      <c r="P32" s="204"/>
      <c r="Q32" s="145"/>
      <c r="R32" s="184"/>
      <c r="S32" s="203"/>
      <c r="T32" s="204"/>
      <c r="U32" s="145"/>
      <c r="V32" s="184"/>
      <c r="W32" s="192"/>
      <c r="X32" s="142"/>
      <c r="Y32" s="142"/>
      <c r="Z32" s="142"/>
      <c r="AA32" s="142"/>
      <c r="AB32" s="142"/>
      <c r="AC32" s="142"/>
      <c r="AD32" s="142"/>
      <c r="AE32" s="148"/>
      <c r="AF32" s="189"/>
      <c r="AG32" s="189"/>
      <c r="AH32" s="209"/>
      <c r="AI32" s="210"/>
      <c r="AJ32" s="142"/>
    </row>
    <row r="33" spans="1:36" s="222" customFormat="1" ht="15" customHeight="1">
      <c r="A33" s="212" t="s">
        <v>81</v>
      </c>
      <c r="B33" s="213"/>
      <c r="C33" s="214"/>
      <c r="D33" s="215"/>
      <c r="E33" s="216"/>
      <c r="F33" s="217">
        <f>F31+F8</f>
        <v>130054.16666666667</v>
      </c>
      <c r="G33" s="214"/>
      <c r="H33" s="215"/>
      <c r="I33" s="218"/>
      <c r="J33" s="217">
        <f>J31+J8</f>
        <v>257880</v>
      </c>
      <c r="K33" s="214"/>
      <c r="L33" s="215"/>
      <c r="M33" s="216"/>
      <c r="N33" s="217">
        <f>N31+N8</f>
        <v>276021.90000000002</v>
      </c>
      <c r="O33" s="214"/>
      <c r="P33" s="215"/>
      <c r="Q33" s="218"/>
      <c r="R33" s="217">
        <f>R31+R8</f>
        <v>289822.995</v>
      </c>
      <c r="S33" s="214"/>
      <c r="T33" s="215"/>
      <c r="U33" s="218"/>
      <c r="V33" s="217">
        <f>V31+V8</f>
        <v>236131.33457812495</v>
      </c>
      <c r="W33" s="219">
        <f>+F33+J33+N33+R33+V33</f>
        <v>1189910.3962447916</v>
      </c>
      <c r="X33" s="220"/>
      <c r="Y33" s="220"/>
      <c r="Z33" s="220"/>
      <c r="AA33" s="220"/>
      <c r="AB33" s="220"/>
      <c r="AC33" s="221"/>
      <c r="AD33" s="221"/>
      <c r="AE33" s="220"/>
      <c r="AG33" s="222" t="s">
        <v>120</v>
      </c>
      <c r="AJ33" s="221"/>
    </row>
    <row r="34" spans="1:36" s="175" customFormat="1" ht="15" customHeight="1" outlineLevel="1">
      <c r="A34" s="176" t="s">
        <v>82</v>
      </c>
      <c r="B34" s="177"/>
      <c r="C34" s="167"/>
      <c r="D34" s="168"/>
      <c r="E34" s="169"/>
      <c r="F34" s="170"/>
      <c r="G34" s="167"/>
      <c r="H34" s="168"/>
      <c r="I34" s="171"/>
      <c r="J34" s="172"/>
      <c r="K34" s="167"/>
      <c r="L34" s="168"/>
      <c r="M34" s="169"/>
      <c r="N34" s="172"/>
      <c r="O34" s="167"/>
      <c r="P34" s="168"/>
      <c r="Q34" s="171"/>
      <c r="R34" s="172"/>
      <c r="S34" s="167"/>
      <c r="T34" s="168"/>
      <c r="U34" s="171"/>
      <c r="V34" s="172"/>
      <c r="W34" s="173"/>
      <c r="X34" s="142"/>
      <c r="Y34" s="142"/>
      <c r="Z34" s="142"/>
      <c r="AA34" s="142"/>
      <c r="AB34" s="142"/>
      <c r="AC34" s="142"/>
      <c r="AD34" s="142"/>
      <c r="AE34" s="148"/>
      <c r="AJ34" s="142"/>
    </row>
    <row r="35" spans="1:36" s="175" customFormat="1" ht="15" customHeight="1" outlineLevel="1">
      <c r="A35" s="223" t="s">
        <v>74</v>
      </c>
      <c r="B35" s="202"/>
      <c r="C35" s="143"/>
      <c r="D35" s="251"/>
      <c r="E35" s="145"/>
      <c r="F35" s="184">
        <f>C35*D35*E35</f>
        <v>0</v>
      </c>
      <c r="G35" s="143"/>
      <c r="H35" s="251"/>
      <c r="I35" s="145"/>
      <c r="J35" s="184">
        <f>G35*H35*I35</f>
        <v>0</v>
      </c>
      <c r="K35" s="143"/>
      <c r="L35" s="251"/>
      <c r="M35" s="145"/>
      <c r="N35" s="184">
        <f>K35*L35*M35</f>
        <v>0</v>
      </c>
      <c r="O35" s="143"/>
      <c r="P35" s="251"/>
      <c r="Q35" s="145"/>
      <c r="R35" s="184">
        <f>O35*P35*Q35</f>
        <v>0</v>
      </c>
      <c r="S35" s="143"/>
      <c r="T35" s="251"/>
      <c r="U35" s="145"/>
      <c r="V35" s="184">
        <f>S35*T35*U35</f>
        <v>0</v>
      </c>
      <c r="W35" s="192">
        <f t="shared" ref="W35" si="21">F35+J35+N35+R35+V35</f>
        <v>0</v>
      </c>
      <c r="X35" s="142"/>
      <c r="Y35" s="142"/>
      <c r="Z35" s="142"/>
      <c r="AA35" s="142"/>
      <c r="AB35" s="142"/>
      <c r="AC35" s="142"/>
      <c r="AD35" s="142"/>
      <c r="AE35" s="148">
        <v>194</v>
      </c>
      <c r="AF35" s="189" t="s">
        <v>123</v>
      </c>
      <c r="AG35" s="189" t="s">
        <v>124</v>
      </c>
      <c r="AJ35" s="142"/>
    </row>
    <row r="36" spans="1:36" s="175" customFormat="1" ht="15" customHeight="1" outlineLevel="1">
      <c r="A36" s="223" t="s">
        <v>83</v>
      </c>
      <c r="B36" s="202" t="str">
        <f>'Program Budget'!F311</f>
        <v>%</v>
      </c>
      <c r="C36" s="330">
        <f>F31</f>
        <v>130054.16666666667</v>
      </c>
      <c r="D36" s="204">
        <v>1</v>
      </c>
      <c r="E36" s="145">
        <f>'Program Budget'!H311</f>
        <v>0.45500000000000002</v>
      </c>
      <c r="F36" s="184">
        <f>C36*D36*E36</f>
        <v>59174.645833333336</v>
      </c>
      <c r="G36" s="330">
        <f>J31</f>
        <v>257880</v>
      </c>
      <c r="H36" s="204">
        <v>1</v>
      </c>
      <c r="I36" s="145">
        <f t="shared" ref="I36" si="22">E36</f>
        <v>0.45500000000000002</v>
      </c>
      <c r="J36" s="184">
        <f t="shared" ref="J36" si="23">G36*H36*I36</f>
        <v>117335.40000000001</v>
      </c>
      <c r="K36" s="330">
        <f>N31</f>
        <v>276021.90000000002</v>
      </c>
      <c r="L36" s="204">
        <v>1</v>
      </c>
      <c r="M36" s="145">
        <f t="shared" ref="M36" si="24">I36</f>
        <v>0.45500000000000002</v>
      </c>
      <c r="N36" s="184">
        <f t="shared" ref="N36" si="25">K36*L36*M36</f>
        <v>125589.96450000002</v>
      </c>
      <c r="O36" s="330">
        <f>R31</f>
        <v>289822.995</v>
      </c>
      <c r="P36" s="204">
        <v>1</v>
      </c>
      <c r="Q36" s="145">
        <f t="shared" ref="Q36" si="26">M36</f>
        <v>0.45500000000000002</v>
      </c>
      <c r="R36" s="184">
        <f t="shared" ref="R36" si="27">O36*P36*Q36</f>
        <v>131869.46272499999</v>
      </c>
      <c r="S36" s="330">
        <f>V31</f>
        <v>236131.33457812495</v>
      </c>
      <c r="T36" s="204">
        <v>1</v>
      </c>
      <c r="U36" s="145">
        <f t="shared" ref="U36" si="28">Q36</f>
        <v>0.45500000000000002</v>
      </c>
      <c r="V36" s="184">
        <f t="shared" ref="V36" si="29">S36*T36*U36</f>
        <v>107439.75723304685</v>
      </c>
      <c r="W36" s="322">
        <f t="shared" ref="W36" si="30">F36+J36+N36+R36+V36</f>
        <v>541409.2302913802</v>
      </c>
      <c r="X36" s="142"/>
      <c r="Y36" s="142"/>
      <c r="Z36" s="142"/>
      <c r="AA36" s="142"/>
      <c r="AB36" s="142"/>
      <c r="AC36" s="142"/>
      <c r="AD36" s="142"/>
      <c r="AE36" s="224">
        <v>197</v>
      </c>
      <c r="AF36" s="225" t="s">
        <v>125</v>
      </c>
      <c r="AG36" s="225" t="s">
        <v>126</v>
      </c>
      <c r="AJ36" s="142"/>
    </row>
    <row r="37" spans="1:36" ht="15" customHeight="1" outlineLevel="1">
      <c r="A37" s="194" t="s">
        <v>85</v>
      </c>
      <c r="B37" s="195"/>
      <c r="C37" s="196"/>
      <c r="D37" s="197"/>
      <c r="E37" s="198"/>
      <c r="F37" s="199">
        <f>+SUM(F35:F36)</f>
        <v>59174.645833333336</v>
      </c>
      <c r="G37" s="196"/>
      <c r="H37" s="197"/>
      <c r="I37" s="200"/>
      <c r="J37" s="199">
        <f>+SUM(J35:J36)</f>
        <v>117335.40000000001</v>
      </c>
      <c r="K37" s="196"/>
      <c r="L37" s="197"/>
      <c r="M37" s="198"/>
      <c r="N37" s="199">
        <f>+SUM(N35:N36)</f>
        <v>125589.96450000002</v>
      </c>
      <c r="O37" s="196"/>
      <c r="P37" s="197"/>
      <c r="Q37" s="200"/>
      <c r="R37" s="199">
        <f>+SUM(R35:R36)</f>
        <v>131869.46272499999</v>
      </c>
      <c r="S37" s="196"/>
      <c r="T37" s="197"/>
      <c r="U37" s="200"/>
      <c r="V37" s="199">
        <f>+SUM(V35:V36)</f>
        <v>107439.75723304685</v>
      </c>
      <c r="W37" s="321">
        <f>+F37+J37+N37+R37+V37</f>
        <v>541409.2302913802</v>
      </c>
      <c r="AE37" s="148"/>
      <c r="AF37" s="189"/>
      <c r="AG37" s="189"/>
    </row>
    <row r="38" spans="1:36" s="175" customFormat="1" ht="15" customHeight="1" outlineLevel="1">
      <c r="A38" s="176" t="s">
        <v>86</v>
      </c>
      <c r="B38" s="233"/>
      <c r="C38" s="203"/>
      <c r="D38" s="204"/>
      <c r="E38" s="145"/>
      <c r="F38" s="234"/>
      <c r="G38" s="203"/>
      <c r="H38" s="204"/>
      <c r="I38" s="146"/>
      <c r="J38" s="207"/>
      <c r="K38" s="203"/>
      <c r="L38" s="204"/>
      <c r="M38" s="145"/>
      <c r="N38" s="207"/>
      <c r="O38" s="203"/>
      <c r="P38" s="204"/>
      <c r="Q38" s="146"/>
      <c r="R38" s="207"/>
      <c r="S38" s="203"/>
      <c r="T38" s="204"/>
      <c r="U38" s="146"/>
      <c r="V38" s="207"/>
      <c r="W38" s="320">
        <f>+F38+J38+N38+R38+V38</f>
        <v>0</v>
      </c>
      <c r="X38" s="142"/>
      <c r="Y38" s="142"/>
      <c r="Z38" s="142"/>
      <c r="AA38" s="142"/>
      <c r="AB38" s="142"/>
      <c r="AC38" s="142"/>
      <c r="AD38" s="142"/>
      <c r="AE38" s="148"/>
      <c r="AF38" s="189"/>
      <c r="AG38" s="189" t="s">
        <v>120</v>
      </c>
      <c r="AJ38" s="142"/>
    </row>
    <row r="39" spans="1:36" outlineLevel="1">
      <c r="A39" s="179" t="s">
        <v>75</v>
      </c>
      <c r="B39" s="202"/>
      <c r="D39" s="251"/>
      <c r="F39" s="184">
        <f>C39*D39*E39</f>
        <v>0</v>
      </c>
      <c r="H39" s="251"/>
      <c r="I39" s="145"/>
      <c r="J39" s="184">
        <f>G39*H39*I39</f>
        <v>0</v>
      </c>
      <c r="L39" s="251"/>
      <c r="N39" s="184">
        <f>K39*L39*M39</f>
        <v>0</v>
      </c>
      <c r="P39" s="251"/>
      <c r="Q39" s="145"/>
      <c r="R39" s="184">
        <f>O39*P39*Q39</f>
        <v>0</v>
      </c>
      <c r="T39" s="251"/>
      <c r="U39" s="145"/>
      <c r="V39" s="184">
        <f>S39*T39*U39</f>
        <v>0</v>
      </c>
      <c r="W39" s="186">
        <f t="shared" ref="W39" si="31">F39+J39+N39+R39+V39</f>
        <v>0</v>
      </c>
      <c r="AE39" s="148"/>
      <c r="AF39" s="189"/>
      <c r="AG39" s="189"/>
    </row>
    <row r="40" spans="1:36" ht="15" customHeight="1" outlineLevel="1">
      <c r="A40" s="194" t="s">
        <v>87</v>
      </c>
      <c r="B40" s="195"/>
      <c r="C40" s="196"/>
      <c r="D40" s="197"/>
      <c r="E40" s="198"/>
      <c r="F40" s="199">
        <f>SUM(F39:F39)</f>
        <v>0</v>
      </c>
      <c r="G40" s="196"/>
      <c r="H40" s="197"/>
      <c r="I40" s="200"/>
      <c r="J40" s="199">
        <f>SUM(J39:J39)</f>
        <v>0</v>
      </c>
      <c r="K40" s="196"/>
      <c r="L40" s="197"/>
      <c r="M40" s="198"/>
      <c r="N40" s="199">
        <f>SUM(N39:N39)</f>
        <v>0</v>
      </c>
      <c r="O40" s="196"/>
      <c r="P40" s="197"/>
      <c r="Q40" s="200"/>
      <c r="R40" s="199">
        <f>SUM(R39:R39)</f>
        <v>0</v>
      </c>
      <c r="S40" s="196"/>
      <c r="T40" s="197"/>
      <c r="U40" s="200"/>
      <c r="V40" s="199">
        <f>SUM(V39:V39)</f>
        <v>0</v>
      </c>
      <c r="W40" s="321">
        <f>F40+J40+N40+R40+V40</f>
        <v>0</v>
      </c>
      <c r="AE40" s="148"/>
      <c r="AF40" s="189"/>
      <c r="AG40" s="189"/>
    </row>
    <row r="41" spans="1:36" ht="15" customHeight="1" outlineLevel="1">
      <c r="A41" s="194"/>
      <c r="B41" s="195"/>
      <c r="C41" s="196"/>
      <c r="D41" s="197"/>
      <c r="E41" s="198"/>
      <c r="F41" s="199"/>
      <c r="G41" s="196"/>
      <c r="H41" s="197"/>
      <c r="I41" s="200"/>
      <c r="J41" s="199"/>
      <c r="K41" s="196"/>
      <c r="L41" s="197"/>
      <c r="M41" s="198"/>
      <c r="N41" s="199"/>
      <c r="O41" s="196"/>
      <c r="P41" s="197"/>
      <c r="Q41" s="200"/>
      <c r="R41" s="199"/>
      <c r="S41" s="196"/>
      <c r="T41" s="197"/>
      <c r="U41" s="200"/>
      <c r="V41" s="199"/>
      <c r="W41" s="201"/>
      <c r="AE41" s="148"/>
      <c r="AF41" s="189"/>
      <c r="AG41" s="189"/>
    </row>
    <row r="42" spans="1:36" s="244" customFormat="1" ht="18.3" outlineLevel="1">
      <c r="A42" s="235" t="s">
        <v>88</v>
      </c>
      <c r="B42" s="236"/>
      <c r="C42" s="237"/>
      <c r="D42" s="238"/>
      <c r="E42" s="239"/>
      <c r="F42" s="240">
        <f>F40+F37</f>
        <v>59174.645833333336</v>
      </c>
      <c r="G42" s="237"/>
      <c r="H42" s="238"/>
      <c r="I42" s="241"/>
      <c r="J42" s="240">
        <f>J40+J37</f>
        <v>117335.40000000001</v>
      </c>
      <c r="K42" s="237"/>
      <c r="L42" s="238"/>
      <c r="M42" s="239"/>
      <c r="N42" s="240">
        <f>N40+N37</f>
        <v>125589.96450000002</v>
      </c>
      <c r="O42" s="237"/>
      <c r="P42" s="238"/>
      <c r="Q42" s="241"/>
      <c r="R42" s="240">
        <f>R40+R37</f>
        <v>131869.46272499999</v>
      </c>
      <c r="S42" s="237"/>
      <c r="T42" s="238"/>
      <c r="U42" s="241"/>
      <c r="V42" s="240">
        <f>V40+V37</f>
        <v>107439.75723304685</v>
      </c>
      <c r="W42" s="219">
        <f>+F42+J42+N42+R42+V42</f>
        <v>541409.2302913802</v>
      </c>
      <c r="X42" s="221"/>
      <c r="Y42" s="221"/>
      <c r="Z42" s="221"/>
      <c r="AA42" s="221"/>
      <c r="AB42" s="221"/>
      <c r="AC42" s="221"/>
      <c r="AD42" s="221"/>
      <c r="AE42" s="220">
        <v>287</v>
      </c>
      <c r="AF42" s="242" t="s">
        <v>129</v>
      </c>
      <c r="AG42" s="242" t="s">
        <v>130</v>
      </c>
      <c r="AH42" s="243"/>
      <c r="AJ42" s="221"/>
    </row>
    <row r="43" spans="1:36" s="246" customFormat="1" ht="15.6" outlineLevel="1">
      <c r="A43" s="176" t="s">
        <v>89</v>
      </c>
      <c r="B43" s="177"/>
      <c r="C43" s="143"/>
      <c r="D43" s="144"/>
      <c r="E43" s="169"/>
      <c r="F43" s="184"/>
      <c r="G43" s="143"/>
      <c r="H43" s="144"/>
      <c r="I43" s="171"/>
      <c r="J43" s="184"/>
      <c r="K43" s="143"/>
      <c r="L43" s="144"/>
      <c r="M43" s="169"/>
      <c r="N43" s="184"/>
      <c r="O43" s="143"/>
      <c r="P43" s="144"/>
      <c r="Q43" s="171"/>
      <c r="R43" s="184"/>
      <c r="S43" s="143"/>
      <c r="T43" s="144"/>
      <c r="U43" s="171"/>
      <c r="V43" s="184"/>
      <c r="W43" s="320"/>
      <c r="X43" s="142"/>
      <c r="Y43" s="142"/>
      <c r="Z43" s="142"/>
      <c r="AA43" s="142"/>
      <c r="AB43" s="142"/>
      <c r="AC43" s="142"/>
      <c r="AD43" s="142"/>
      <c r="AE43" s="148"/>
      <c r="AF43" s="189"/>
      <c r="AG43" s="189"/>
      <c r="AH43" s="245"/>
      <c r="AJ43" s="142"/>
    </row>
    <row r="44" spans="1:36" ht="15" customHeight="1" outlineLevel="1">
      <c r="A44" s="179" t="str">
        <f>'Program Budget'!D339</f>
        <v>Airfare and Local Transport for Two-Way Trade (US to Tunisia) to - 50% of Cost</v>
      </c>
      <c r="B44" s="180" t="str">
        <f>'Program Budget'!F339</f>
        <v>Trip</v>
      </c>
      <c r="C44" s="181">
        <f>'Program Budget'!H339</f>
        <v>775</v>
      </c>
      <c r="D44" s="182">
        <f>'Program Budget'!G339</f>
        <v>0</v>
      </c>
      <c r="E44" s="183">
        <v>0</v>
      </c>
      <c r="F44" s="184">
        <f>C44*D44*E44</f>
        <v>0</v>
      </c>
      <c r="G44" s="181">
        <f>C44*1.07</f>
        <v>829.25</v>
      </c>
      <c r="H44" s="182">
        <f>'Program Budget'!K339</f>
        <v>0</v>
      </c>
      <c r="I44" s="183">
        <v>0</v>
      </c>
      <c r="J44" s="184">
        <f>G44*H44*I44</f>
        <v>0</v>
      </c>
      <c r="K44" s="181">
        <f>G44*1.07</f>
        <v>887.29750000000001</v>
      </c>
      <c r="L44" s="182">
        <f>'Program Budget'!N339</f>
        <v>10</v>
      </c>
      <c r="M44" s="183">
        <v>1</v>
      </c>
      <c r="N44" s="184">
        <f>K44*L44*M44</f>
        <v>8872.9750000000004</v>
      </c>
      <c r="O44" s="181">
        <f>K44*1.07</f>
        <v>949.4083250000001</v>
      </c>
      <c r="P44" s="182">
        <f>'Program Budget'!Q339</f>
        <v>0</v>
      </c>
      <c r="Q44" s="183">
        <v>0</v>
      </c>
      <c r="R44" s="184">
        <f>O44*P44*Q44</f>
        <v>0</v>
      </c>
      <c r="S44" s="181">
        <f>O44*1.07</f>
        <v>1015.8669077500002</v>
      </c>
      <c r="T44" s="182">
        <f>'Program Budget'!T339</f>
        <v>0</v>
      </c>
      <c r="U44" s="183">
        <v>0</v>
      </c>
      <c r="V44" s="184">
        <f>S44*T44*U44</f>
        <v>0</v>
      </c>
      <c r="W44" s="320">
        <f>F44+J44+N44+R44+V44</f>
        <v>8872.9750000000004</v>
      </c>
      <c r="X44" s="187"/>
      <c r="Y44" s="174"/>
      <c r="Z44" s="188"/>
      <c r="AA44" s="188"/>
      <c r="AE44" s="148">
        <v>180</v>
      </c>
      <c r="AF44" s="189" t="s">
        <v>121</v>
      </c>
      <c r="AG44" s="189" t="s">
        <v>122</v>
      </c>
      <c r="AH44" s="190"/>
      <c r="AJ44" s="191"/>
    </row>
    <row r="45" spans="1:36" ht="15" customHeight="1" outlineLevel="1">
      <c r="A45" s="179" t="str">
        <f>'Program Budget'!D340</f>
        <v>Airfare and Local Transport for Two-Way Trade (Tunisia to US)</v>
      </c>
      <c r="B45" s="180" t="str">
        <f>'Program Budget'!F340</f>
        <v>Trip</v>
      </c>
      <c r="C45" s="181">
        <f>'Program Budget'!H340</f>
        <v>1550</v>
      </c>
      <c r="D45" s="182">
        <f>'Program Budget'!G340</f>
        <v>0</v>
      </c>
      <c r="E45" s="183">
        <v>0</v>
      </c>
      <c r="F45" s="184">
        <f>C45*D45*E45</f>
        <v>0</v>
      </c>
      <c r="G45" s="181">
        <f t="shared" ref="G45:G61" si="32">C45*1.07</f>
        <v>1658.5</v>
      </c>
      <c r="H45" s="182">
        <f>'Program Budget'!K340</f>
        <v>0</v>
      </c>
      <c r="I45" s="183">
        <v>0</v>
      </c>
      <c r="J45" s="184">
        <f>G45*H45*I45</f>
        <v>0</v>
      </c>
      <c r="K45" s="181">
        <f t="shared" ref="K45:K61" si="33">G45*1.07</f>
        <v>1774.595</v>
      </c>
      <c r="L45" s="182">
        <f>'Program Budget'!N340</f>
        <v>10</v>
      </c>
      <c r="M45" s="183">
        <v>1</v>
      </c>
      <c r="N45" s="184">
        <f>K45*L45*M45</f>
        <v>17745.95</v>
      </c>
      <c r="O45" s="181">
        <f t="shared" ref="O45:O61" si="34">K45*1.07</f>
        <v>1898.8166500000002</v>
      </c>
      <c r="P45" s="182">
        <f>'Program Budget'!Q340</f>
        <v>0</v>
      </c>
      <c r="Q45" s="183">
        <v>0</v>
      </c>
      <c r="R45" s="184">
        <f>O45*P45*Q45</f>
        <v>0</v>
      </c>
      <c r="S45" s="181">
        <f t="shared" ref="S45:S61" si="35">O45*1.07</f>
        <v>2031.7338155000004</v>
      </c>
      <c r="T45" s="182">
        <f>'Program Budget'!T340</f>
        <v>0</v>
      </c>
      <c r="U45" s="183">
        <v>0</v>
      </c>
      <c r="V45" s="184">
        <f>S45*T45*U45</f>
        <v>0</v>
      </c>
      <c r="W45" s="320">
        <f>F45+J45+N45+R45+V45</f>
        <v>17745.95</v>
      </c>
      <c r="X45" s="187"/>
      <c r="Y45" s="174"/>
      <c r="Z45" s="188"/>
      <c r="AA45" s="188"/>
      <c r="AE45" s="148">
        <v>180</v>
      </c>
      <c r="AF45" s="189" t="s">
        <v>121</v>
      </c>
      <c r="AG45" s="189" t="s">
        <v>122</v>
      </c>
      <c r="AH45" s="190"/>
      <c r="AJ45" s="191"/>
    </row>
    <row r="46" spans="1:36" ht="15" customHeight="1" outlineLevel="1">
      <c r="A46" s="179" t="str">
        <f>'Program Budget'!D344</f>
        <v>Airfare and Local Transport for International Food Shows (Tunisia to Dubai)</v>
      </c>
      <c r="B46" s="180" t="str">
        <f>'Program Budget'!F344</f>
        <v>Trip</v>
      </c>
      <c r="C46" s="181">
        <f>'Program Budget'!H344</f>
        <v>750</v>
      </c>
      <c r="D46" s="182">
        <f>'Program Budget'!G344</f>
        <v>0</v>
      </c>
      <c r="E46" s="183">
        <v>0</v>
      </c>
      <c r="F46" s="184">
        <f>C46*D46*E46</f>
        <v>0</v>
      </c>
      <c r="G46" s="181">
        <f t="shared" si="32"/>
        <v>802.5</v>
      </c>
      <c r="H46" s="182">
        <f>'Program Budget'!K344</f>
        <v>5</v>
      </c>
      <c r="I46" s="183">
        <v>1</v>
      </c>
      <c r="J46" s="184">
        <f>G46*H46*I46</f>
        <v>4012.5</v>
      </c>
      <c r="K46" s="181">
        <f t="shared" si="33"/>
        <v>858.67500000000007</v>
      </c>
      <c r="L46" s="182">
        <f>'Program Budget'!N344</f>
        <v>5</v>
      </c>
      <c r="M46" s="183">
        <v>1</v>
      </c>
      <c r="N46" s="184">
        <f>K46*L46*M46</f>
        <v>4293.375</v>
      </c>
      <c r="O46" s="181">
        <f t="shared" si="34"/>
        <v>918.78225000000009</v>
      </c>
      <c r="P46" s="182">
        <f>'Program Budget'!Q344</f>
        <v>0</v>
      </c>
      <c r="Q46" s="183">
        <v>0</v>
      </c>
      <c r="R46" s="184">
        <f>O46*P46*Q46</f>
        <v>0</v>
      </c>
      <c r="S46" s="181">
        <f t="shared" si="35"/>
        <v>983.09700750000013</v>
      </c>
      <c r="T46" s="182">
        <f>'Program Budget'!T344</f>
        <v>0</v>
      </c>
      <c r="U46" s="183">
        <v>0</v>
      </c>
      <c r="V46" s="184">
        <f>S46*T46*U46</f>
        <v>0</v>
      </c>
      <c r="W46" s="320">
        <f>F46+J46+N46+R46+V46</f>
        <v>8305.875</v>
      </c>
      <c r="X46" s="187"/>
      <c r="Y46" s="174"/>
      <c r="Z46" s="188"/>
      <c r="AA46" s="188"/>
      <c r="AE46" s="148">
        <v>180</v>
      </c>
      <c r="AF46" s="189" t="s">
        <v>121</v>
      </c>
      <c r="AG46" s="189" t="s">
        <v>122</v>
      </c>
      <c r="AH46" s="190"/>
      <c r="AJ46" s="191"/>
    </row>
    <row r="47" spans="1:36" ht="15" customHeight="1" outlineLevel="1">
      <c r="A47" s="179" t="str">
        <f>'Program Budget'!D345</f>
        <v>Airfare and Local Transport for International Food Shows (Tunisia to US)</v>
      </c>
      <c r="B47" s="180" t="str">
        <f>'Program Budget'!F345</f>
        <v>Trip</v>
      </c>
      <c r="C47" s="181">
        <f>'Program Budget'!H345</f>
        <v>1550</v>
      </c>
      <c r="D47" s="182">
        <f>'Program Budget'!G345</f>
        <v>0</v>
      </c>
      <c r="E47" s="183">
        <v>0</v>
      </c>
      <c r="F47" s="184">
        <f>C47*D47*E47</f>
        <v>0</v>
      </c>
      <c r="G47" s="181">
        <f t="shared" si="32"/>
        <v>1658.5</v>
      </c>
      <c r="H47" s="182">
        <f>'Program Budget'!K345</f>
        <v>0</v>
      </c>
      <c r="I47" s="183">
        <v>0</v>
      </c>
      <c r="J47" s="184">
        <f>G47*H47*I47</f>
        <v>0</v>
      </c>
      <c r="K47" s="181">
        <f t="shared" si="33"/>
        <v>1774.595</v>
      </c>
      <c r="L47" s="182">
        <f>'Program Budget'!N345</f>
        <v>5</v>
      </c>
      <c r="M47" s="183">
        <v>1</v>
      </c>
      <c r="N47" s="184">
        <f>K47*L47*M47</f>
        <v>8872.9750000000004</v>
      </c>
      <c r="O47" s="181">
        <f t="shared" si="34"/>
        <v>1898.8166500000002</v>
      </c>
      <c r="P47" s="182">
        <f>'Program Budget'!Q345</f>
        <v>5</v>
      </c>
      <c r="Q47" s="183">
        <v>1</v>
      </c>
      <c r="R47" s="184">
        <f>O47*P47*Q47</f>
        <v>9494.0832500000015</v>
      </c>
      <c r="S47" s="181">
        <f t="shared" si="35"/>
        <v>2031.7338155000004</v>
      </c>
      <c r="T47" s="182">
        <f>'Program Budget'!T345</f>
        <v>0</v>
      </c>
      <c r="U47" s="183">
        <v>0</v>
      </c>
      <c r="V47" s="184">
        <f>S47*T47*U47</f>
        <v>0</v>
      </c>
      <c r="W47" s="320">
        <f>F47+J47+N47+R47+V47</f>
        <v>18367.058250000002</v>
      </c>
      <c r="X47" s="187"/>
      <c r="Y47" s="174"/>
      <c r="Z47" s="188"/>
      <c r="AA47" s="188"/>
      <c r="AE47" s="148">
        <v>180</v>
      </c>
      <c r="AF47" s="189" t="s">
        <v>121</v>
      </c>
      <c r="AG47" s="189" t="s">
        <v>122</v>
      </c>
      <c r="AH47" s="190"/>
      <c r="AJ47" s="191"/>
    </row>
    <row r="48" spans="1:36" s="246" customFormat="1" ht="15.6" outlineLevel="1">
      <c r="A48" s="176" t="s">
        <v>90</v>
      </c>
      <c r="B48" s="177"/>
      <c r="C48" s="143"/>
      <c r="D48" s="144"/>
      <c r="E48" s="169"/>
      <c r="F48" s="184"/>
      <c r="G48" s="181"/>
      <c r="H48" s="144"/>
      <c r="I48" s="171"/>
      <c r="J48" s="184"/>
      <c r="K48" s="181"/>
      <c r="L48" s="144"/>
      <c r="M48" s="169"/>
      <c r="N48" s="184"/>
      <c r="O48" s="181"/>
      <c r="P48" s="144"/>
      <c r="Q48" s="171"/>
      <c r="R48" s="184"/>
      <c r="S48" s="181"/>
      <c r="T48" s="144"/>
      <c r="U48" s="171"/>
      <c r="V48" s="184"/>
      <c r="W48" s="320"/>
      <c r="X48" s="142"/>
      <c r="Y48" s="142"/>
      <c r="Z48" s="142"/>
      <c r="AA48" s="142"/>
      <c r="AB48" s="142"/>
      <c r="AC48" s="142"/>
      <c r="AD48" s="142"/>
      <c r="AE48" s="148"/>
      <c r="AF48" s="189"/>
      <c r="AG48" s="189"/>
      <c r="AH48" s="245"/>
      <c r="AJ48" s="142"/>
    </row>
    <row r="49" spans="1:36" ht="15" customHeight="1" outlineLevel="1">
      <c r="A49" s="179" t="str">
        <f>'Program Budget'!D332</f>
        <v>Local Transportation (Car Rental, Taxis)</v>
      </c>
      <c r="B49" s="180" t="str">
        <f>'Program Budget'!F332</f>
        <v>Month</v>
      </c>
      <c r="C49" s="181">
        <f>'Program Budget'!H332</f>
        <v>75</v>
      </c>
      <c r="D49" s="182">
        <f>'Program Budget'!G332</f>
        <v>3</v>
      </c>
      <c r="E49" s="183">
        <v>1</v>
      </c>
      <c r="F49" s="184">
        <f>C49*D49*E49</f>
        <v>225</v>
      </c>
      <c r="G49" s="181">
        <f t="shared" ref="G49" si="36">C49*1.07</f>
        <v>80.25</v>
      </c>
      <c r="H49" s="182">
        <f>'Program Budget'!K332</f>
        <v>12</v>
      </c>
      <c r="I49" s="183">
        <v>1</v>
      </c>
      <c r="J49" s="184">
        <f>G49*H49*I49</f>
        <v>963</v>
      </c>
      <c r="K49" s="181">
        <f t="shared" ref="K49" si="37">G49*1.07</f>
        <v>85.867500000000007</v>
      </c>
      <c r="L49" s="182">
        <f>'Program Budget'!N332</f>
        <v>12</v>
      </c>
      <c r="M49" s="183">
        <v>1</v>
      </c>
      <c r="N49" s="184">
        <f>K49*L49*M49</f>
        <v>1030.4100000000001</v>
      </c>
      <c r="O49" s="181">
        <f t="shared" ref="O49" si="38">K49*1.07</f>
        <v>91.878225000000015</v>
      </c>
      <c r="P49" s="182">
        <f>'Program Budget'!Q332</f>
        <v>12</v>
      </c>
      <c r="Q49" s="183">
        <v>1</v>
      </c>
      <c r="R49" s="184">
        <f>O49*P49*Q49</f>
        <v>1102.5387000000001</v>
      </c>
      <c r="S49" s="181">
        <f t="shared" ref="S49" si="39">O49*1.07</f>
        <v>98.309700750000019</v>
      </c>
      <c r="T49" s="182">
        <f>'Program Budget'!T332</f>
        <v>7</v>
      </c>
      <c r="U49" s="183">
        <v>1</v>
      </c>
      <c r="V49" s="184">
        <f>S49*T49*U49</f>
        <v>688.1679052500001</v>
      </c>
      <c r="W49" s="320">
        <f>F49+J49+N49+R49+V49</f>
        <v>4009.1166052500002</v>
      </c>
      <c r="X49" s="187"/>
      <c r="Y49" s="174"/>
      <c r="Z49" s="188"/>
      <c r="AA49" s="188"/>
      <c r="AE49" s="148">
        <v>180</v>
      </c>
      <c r="AF49" s="189" t="s">
        <v>121</v>
      </c>
      <c r="AG49" s="189" t="s">
        <v>122</v>
      </c>
      <c r="AH49" s="190"/>
      <c r="AJ49" s="191"/>
    </row>
    <row r="50" spans="1:36" ht="15" customHeight="1" outlineLevel="1">
      <c r="A50" s="179" t="str">
        <f>'Program Budget'!D333</f>
        <v>Transport Stipends for Producers Organization Leaders to Attend PASPs Trainings</v>
      </c>
      <c r="B50" s="180" t="str">
        <f>'Program Budget'!F333</f>
        <v>Participant</v>
      </c>
      <c r="C50" s="181">
        <f>'Program Budget'!H333</f>
        <v>7</v>
      </c>
      <c r="D50" s="182">
        <f>'Program Budget'!G333</f>
        <v>0</v>
      </c>
      <c r="E50" s="183">
        <v>1</v>
      </c>
      <c r="F50" s="184">
        <f>C50*D50*E50</f>
        <v>0</v>
      </c>
      <c r="G50" s="181">
        <f t="shared" si="32"/>
        <v>7.49</v>
      </c>
      <c r="H50" s="182">
        <f>'Program Budget'!K333</f>
        <v>36</v>
      </c>
      <c r="I50" s="183">
        <v>1</v>
      </c>
      <c r="J50" s="184">
        <f>G50*H50*I50</f>
        <v>269.64</v>
      </c>
      <c r="K50" s="181">
        <f t="shared" si="33"/>
        <v>8.0143000000000004</v>
      </c>
      <c r="L50" s="182">
        <f>'Program Budget'!N333</f>
        <v>38</v>
      </c>
      <c r="M50" s="183">
        <v>1</v>
      </c>
      <c r="N50" s="184">
        <f>K50*L50*M50</f>
        <v>304.54340000000002</v>
      </c>
      <c r="O50" s="181">
        <f t="shared" si="34"/>
        <v>8.5753010000000014</v>
      </c>
      <c r="P50" s="182">
        <f>'Program Budget'!Q333</f>
        <v>36</v>
      </c>
      <c r="Q50" s="183">
        <v>1</v>
      </c>
      <c r="R50" s="184">
        <f>O50*P50*Q50</f>
        <v>308.71083600000003</v>
      </c>
      <c r="S50" s="181">
        <f t="shared" si="35"/>
        <v>9.1755720700000012</v>
      </c>
      <c r="T50" s="182">
        <f>'Program Budget'!T333</f>
        <v>0</v>
      </c>
      <c r="U50" s="183">
        <v>1</v>
      </c>
      <c r="V50" s="184">
        <f>S50*T50*U50</f>
        <v>0</v>
      </c>
      <c r="W50" s="320">
        <f>F50+J50+N50+R50+V50</f>
        <v>882.89423600000009</v>
      </c>
      <c r="X50" s="187"/>
      <c r="Y50" s="174"/>
      <c r="Z50" s="188"/>
      <c r="AA50" s="188"/>
      <c r="AE50" s="148">
        <v>180</v>
      </c>
      <c r="AF50" s="189" t="s">
        <v>121</v>
      </c>
      <c r="AG50" s="189" t="s">
        <v>122</v>
      </c>
      <c r="AH50" s="190"/>
      <c r="AJ50" s="191"/>
    </row>
    <row r="51" spans="1:36" ht="15" customHeight="1" outlineLevel="1">
      <c r="A51" s="179" t="str">
        <f>'Program Budget'!D334</f>
        <v>Transport Stipends for Producers Organization to Attend Market Access Training</v>
      </c>
      <c r="B51" s="180" t="str">
        <f>'Program Budget'!F334</f>
        <v>Participant</v>
      </c>
      <c r="C51" s="181">
        <f>'Program Budget'!H334</f>
        <v>10</v>
      </c>
      <c r="D51" s="182">
        <f>'Program Budget'!G334</f>
        <v>0</v>
      </c>
      <c r="E51" s="183">
        <v>1</v>
      </c>
      <c r="F51" s="184">
        <f>C51*D51*E51</f>
        <v>0</v>
      </c>
      <c r="G51" s="181">
        <f t="shared" si="32"/>
        <v>10.700000000000001</v>
      </c>
      <c r="H51" s="182">
        <f>'Program Budget'!K334</f>
        <v>200</v>
      </c>
      <c r="I51" s="183">
        <v>1</v>
      </c>
      <c r="J51" s="184">
        <f>G51*H51*I51</f>
        <v>2140</v>
      </c>
      <c r="K51" s="181">
        <f t="shared" si="33"/>
        <v>11.449000000000002</v>
      </c>
      <c r="L51" s="182">
        <f>'Program Budget'!N334</f>
        <v>0</v>
      </c>
      <c r="M51" s="183">
        <v>1</v>
      </c>
      <c r="N51" s="184">
        <f>K51*L51*M51</f>
        <v>0</v>
      </c>
      <c r="O51" s="181">
        <f t="shared" si="34"/>
        <v>12.250430000000003</v>
      </c>
      <c r="P51" s="182">
        <f>'Program Budget'!Q334</f>
        <v>0</v>
      </c>
      <c r="Q51" s="183">
        <v>1</v>
      </c>
      <c r="R51" s="184">
        <f>O51*P51*Q51</f>
        <v>0</v>
      </c>
      <c r="S51" s="181">
        <f t="shared" si="35"/>
        <v>13.107960100000005</v>
      </c>
      <c r="T51" s="182">
        <f>'Program Budget'!T334</f>
        <v>0</v>
      </c>
      <c r="U51" s="183">
        <v>1</v>
      </c>
      <c r="V51" s="184">
        <f>S51*T51*U51</f>
        <v>0</v>
      </c>
      <c r="W51" s="320">
        <f>F51+J51+N51+R51+V51</f>
        <v>2140</v>
      </c>
      <c r="X51" s="187"/>
      <c r="Y51" s="174"/>
      <c r="Z51" s="188"/>
      <c r="AA51" s="188"/>
      <c r="AE51" s="148">
        <v>180</v>
      </c>
      <c r="AF51" s="189" t="s">
        <v>121</v>
      </c>
      <c r="AG51" s="189" t="s">
        <v>122</v>
      </c>
      <c r="AH51" s="190"/>
      <c r="AJ51" s="191"/>
    </row>
    <row r="52" spans="1:36" ht="15" customHeight="1" outlineLevel="1">
      <c r="A52" s="179" t="str">
        <f>'Program Budget'!D335</f>
        <v>Transportation for US Consultant to Provide Technical Assistance on Farmer Certification</v>
      </c>
      <c r="B52" s="180" t="str">
        <f>'Program Budget'!F335</f>
        <v>Trip</v>
      </c>
      <c r="C52" s="181">
        <f>'Program Budget'!H335</f>
        <v>1550</v>
      </c>
      <c r="D52" s="182">
        <f>'Program Budget'!G335</f>
        <v>0</v>
      </c>
      <c r="E52" s="183">
        <v>1</v>
      </c>
      <c r="F52" s="184">
        <f>C52*D52*E52</f>
        <v>0</v>
      </c>
      <c r="G52" s="181">
        <f t="shared" si="32"/>
        <v>1658.5</v>
      </c>
      <c r="H52" s="182">
        <f>'Program Budget'!K335</f>
        <v>0</v>
      </c>
      <c r="I52" s="183">
        <v>1</v>
      </c>
      <c r="J52" s="184">
        <f>G52*H52*I52</f>
        <v>0</v>
      </c>
      <c r="K52" s="181">
        <f t="shared" si="33"/>
        <v>1774.595</v>
      </c>
      <c r="L52" s="182">
        <f>'Program Budget'!N335</f>
        <v>1</v>
      </c>
      <c r="M52" s="183">
        <v>1</v>
      </c>
      <c r="N52" s="184">
        <f>K52*L52*M52</f>
        <v>1774.595</v>
      </c>
      <c r="O52" s="181">
        <f t="shared" si="34"/>
        <v>1898.8166500000002</v>
      </c>
      <c r="P52" s="182">
        <f>'Program Budget'!Q335</f>
        <v>0</v>
      </c>
      <c r="Q52" s="183">
        <v>1</v>
      </c>
      <c r="R52" s="184">
        <f>O52*P52*Q52</f>
        <v>0</v>
      </c>
      <c r="S52" s="181">
        <f t="shared" si="35"/>
        <v>2031.7338155000004</v>
      </c>
      <c r="T52" s="182">
        <f>'Program Budget'!T335</f>
        <v>0</v>
      </c>
      <c r="U52" s="183">
        <v>1</v>
      </c>
      <c r="V52" s="184">
        <f>S52*T52*U52</f>
        <v>0</v>
      </c>
      <c r="W52" s="320">
        <f>F52+J52+N52+R52+V52</f>
        <v>1774.595</v>
      </c>
      <c r="X52" s="187"/>
      <c r="Y52" s="174"/>
      <c r="Z52" s="188"/>
      <c r="AA52" s="188"/>
      <c r="AE52" s="148">
        <v>180</v>
      </c>
      <c r="AF52" s="189" t="s">
        <v>121</v>
      </c>
      <c r="AG52" s="189" t="s">
        <v>122</v>
      </c>
      <c r="AH52" s="190"/>
      <c r="AJ52" s="191"/>
    </row>
    <row r="53" spans="1:36" ht="15" customHeight="1" outlineLevel="1">
      <c r="A53" s="179" t="str">
        <f>'Program Budget'!D337</f>
        <v>Local Transportation Stipend for Financial Literacy Trainings</v>
      </c>
      <c r="B53" s="180" t="str">
        <f>'Program Budget'!F337</f>
        <v>Trip</v>
      </c>
      <c r="C53" s="181">
        <f>'Program Budget'!H337</f>
        <v>10</v>
      </c>
      <c r="D53" s="182">
        <f>'Program Budget'!G337</f>
        <v>0</v>
      </c>
      <c r="E53" s="183">
        <v>1</v>
      </c>
      <c r="F53" s="184">
        <f>C53*D53*E53</f>
        <v>0</v>
      </c>
      <c r="G53" s="181">
        <f t="shared" si="32"/>
        <v>10.700000000000001</v>
      </c>
      <c r="H53" s="182">
        <f>'Program Budget'!K337</f>
        <v>160</v>
      </c>
      <c r="I53" s="183">
        <v>1</v>
      </c>
      <c r="J53" s="184">
        <f>G53*H53*I53</f>
        <v>1712.0000000000002</v>
      </c>
      <c r="K53" s="181">
        <f t="shared" si="33"/>
        <v>11.449000000000002</v>
      </c>
      <c r="L53" s="182">
        <f>'Program Budget'!N337</f>
        <v>160</v>
      </c>
      <c r="M53" s="183">
        <v>1</v>
      </c>
      <c r="N53" s="184">
        <f>K53*L53*M53</f>
        <v>1831.8400000000001</v>
      </c>
      <c r="O53" s="181">
        <f t="shared" si="34"/>
        <v>12.250430000000003</v>
      </c>
      <c r="P53" s="182">
        <f>'Program Budget'!Q337</f>
        <v>0</v>
      </c>
      <c r="Q53" s="183">
        <v>1</v>
      </c>
      <c r="R53" s="184">
        <f>O53*P53*Q53</f>
        <v>0</v>
      </c>
      <c r="S53" s="181">
        <f t="shared" si="35"/>
        <v>13.107960100000005</v>
      </c>
      <c r="T53" s="182">
        <f>'Program Budget'!T337</f>
        <v>0</v>
      </c>
      <c r="U53" s="183">
        <v>1</v>
      </c>
      <c r="V53" s="184">
        <f>S53*T53*U53</f>
        <v>0</v>
      </c>
      <c r="W53" s="320">
        <f>F53+J53+N53+R53+V53</f>
        <v>3543.84</v>
      </c>
      <c r="X53" s="187"/>
      <c r="Y53" s="174"/>
      <c r="Z53" s="188"/>
      <c r="AA53" s="188"/>
      <c r="AE53" s="148">
        <v>180</v>
      </c>
      <c r="AF53" s="189" t="s">
        <v>121</v>
      </c>
      <c r="AG53" s="189" t="s">
        <v>122</v>
      </c>
      <c r="AH53" s="190"/>
      <c r="AJ53" s="191"/>
    </row>
    <row r="54" spans="1:36" s="246" customFormat="1" ht="15.6" outlineLevel="1">
      <c r="A54" s="176" t="s">
        <v>93</v>
      </c>
      <c r="B54" s="202"/>
      <c r="C54" s="143"/>
      <c r="D54" s="144"/>
      <c r="E54" s="145"/>
      <c r="F54" s="184"/>
      <c r="G54" s="181"/>
      <c r="H54" s="144"/>
      <c r="I54" s="146"/>
      <c r="J54" s="184"/>
      <c r="K54" s="181"/>
      <c r="L54" s="144"/>
      <c r="M54" s="145"/>
      <c r="N54" s="184"/>
      <c r="O54" s="181"/>
      <c r="P54" s="144"/>
      <c r="Q54" s="146"/>
      <c r="R54" s="184"/>
      <c r="S54" s="181"/>
      <c r="T54" s="144"/>
      <c r="U54" s="146"/>
      <c r="V54" s="184"/>
      <c r="W54" s="320"/>
      <c r="X54" s="142"/>
      <c r="Y54" s="142"/>
      <c r="Z54" s="142"/>
      <c r="AA54" s="142"/>
      <c r="AB54" s="142"/>
      <c r="AC54" s="142"/>
      <c r="AD54" s="142"/>
      <c r="AE54" s="148"/>
      <c r="AF54" s="189"/>
      <c r="AG54" s="189"/>
      <c r="AH54" s="245"/>
      <c r="AJ54" s="142"/>
    </row>
    <row r="55" spans="1:36" ht="15" customHeight="1" outlineLevel="1">
      <c r="A55" s="179" t="str">
        <f>'Program Budget'!D331</f>
        <v>Vehicle Fuel Expense (for Field Office Vehicles)</v>
      </c>
      <c r="B55" s="180" t="str">
        <f>'Program Budget'!F331</f>
        <v>Month</v>
      </c>
      <c r="C55" s="181">
        <f>'Program Budget'!H331</f>
        <v>325</v>
      </c>
      <c r="D55" s="182">
        <f>'Program Budget'!G331</f>
        <v>3</v>
      </c>
      <c r="E55" s="183">
        <v>1</v>
      </c>
      <c r="F55" s="184">
        <f>C55*D55*E55</f>
        <v>975</v>
      </c>
      <c r="G55" s="181">
        <f t="shared" si="32"/>
        <v>347.75</v>
      </c>
      <c r="H55" s="182">
        <f>'Program Budget'!K331</f>
        <v>12</v>
      </c>
      <c r="I55" s="183">
        <v>1</v>
      </c>
      <c r="J55" s="184">
        <f>G55*H55*I55</f>
        <v>4173</v>
      </c>
      <c r="K55" s="181">
        <f t="shared" si="33"/>
        <v>372.09250000000003</v>
      </c>
      <c r="L55" s="182">
        <f>'Program Budget'!N331</f>
        <v>12</v>
      </c>
      <c r="M55" s="183">
        <v>1</v>
      </c>
      <c r="N55" s="184">
        <f>K55*L55*M55</f>
        <v>4465.1100000000006</v>
      </c>
      <c r="O55" s="181">
        <f t="shared" si="34"/>
        <v>398.13897500000007</v>
      </c>
      <c r="P55" s="182">
        <f>'Program Budget'!Q331</f>
        <v>12</v>
      </c>
      <c r="Q55" s="183">
        <v>1</v>
      </c>
      <c r="R55" s="184">
        <f>O55*P55*Q55</f>
        <v>4777.6677000000009</v>
      </c>
      <c r="S55" s="181">
        <f t="shared" si="35"/>
        <v>426.00870325000011</v>
      </c>
      <c r="T55" s="182">
        <f>'Program Budget'!T331</f>
        <v>7</v>
      </c>
      <c r="U55" s="183">
        <v>1</v>
      </c>
      <c r="V55" s="184">
        <f>S55*T55*U55</f>
        <v>2982.0609227500008</v>
      </c>
      <c r="W55" s="320">
        <f>F55+J55+N55+R55+V55</f>
        <v>17372.838622750001</v>
      </c>
      <c r="X55" s="187"/>
      <c r="Y55" s="174"/>
      <c r="Z55" s="188"/>
      <c r="AA55" s="188"/>
      <c r="AE55" s="148">
        <v>180</v>
      </c>
      <c r="AF55" s="189" t="s">
        <v>121</v>
      </c>
      <c r="AG55" s="189" t="s">
        <v>122</v>
      </c>
      <c r="AH55" s="190"/>
      <c r="AJ55" s="191"/>
    </row>
    <row r="56" spans="1:36" s="246" customFormat="1" ht="15.6" outlineLevel="1">
      <c r="A56" s="176" t="s">
        <v>96</v>
      </c>
      <c r="B56" s="202"/>
      <c r="C56" s="143"/>
      <c r="D56" s="144"/>
      <c r="E56" s="145"/>
      <c r="F56" s="184"/>
      <c r="G56" s="181"/>
      <c r="H56" s="144"/>
      <c r="I56" s="146"/>
      <c r="J56" s="184"/>
      <c r="K56" s="181"/>
      <c r="L56" s="144"/>
      <c r="M56" s="145"/>
      <c r="N56" s="184"/>
      <c r="O56" s="181"/>
      <c r="P56" s="144"/>
      <c r="Q56" s="146"/>
      <c r="R56" s="184"/>
      <c r="S56" s="181"/>
      <c r="T56" s="144"/>
      <c r="U56" s="146"/>
      <c r="V56" s="184"/>
      <c r="W56" s="320"/>
      <c r="X56" s="142"/>
      <c r="Y56" s="142"/>
      <c r="Z56" s="142"/>
      <c r="AA56" s="142"/>
      <c r="AB56" s="142"/>
      <c r="AC56" s="142"/>
      <c r="AD56" s="142"/>
      <c r="AE56" s="148"/>
      <c r="AF56" s="189"/>
      <c r="AG56" s="189"/>
      <c r="AH56" s="245"/>
      <c r="AJ56" s="142"/>
    </row>
    <row r="57" spans="1:36" ht="15" customHeight="1" outlineLevel="1">
      <c r="A57" s="179" t="str">
        <f>'Program Budget'!D336</f>
        <v>Lodging and M&amp;IE  for US Consultant to Provide Technical Assistance on Farmer Certification</v>
      </c>
      <c r="B57" s="180" t="str">
        <f>'Program Budget'!F336</f>
        <v>Day</v>
      </c>
      <c r="C57" s="181">
        <f>'Program Budget'!H336</f>
        <v>212</v>
      </c>
      <c r="D57" s="182">
        <f>'Program Budget'!G336</f>
        <v>0</v>
      </c>
      <c r="E57" s="183">
        <v>0</v>
      </c>
      <c r="F57" s="184">
        <f>C57*D57*E57</f>
        <v>0</v>
      </c>
      <c r="G57" s="181">
        <f t="shared" si="32"/>
        <v>226.84</v>
      </c>
      <c r="H57" s="182">
        <f>'Program Budget'!K336</f>
        <v>0</v>
      </c>
      <c r="I57" s="183">
        <v>0</v>
      </c>
      <c r="J57" s="184">
        <f>G57*H57*I57</f>
        <v>0</v>
      </c>
      <c r="K57" s="181">
        <f t="shared" si="33"/>
        <v>242.71880000000002</v>
      </c>
      <c r="L57" s="182">
        <f>'Program Budget'!N336</f>
        <v>15</v>
      </c>
      <c r="M57" s="183">
        <v>1</v>
      </c>
      <c r="N57" s="184">
        <f>K57*L57*M57</f>
        <v>3640.7820000000002</v>
      </c>
      <c r="O57" s="181">
        <f t="shared" si="34"/>
        <v>259.70911600000005</v>
      </c>
      <c r="P57" s="182">
        <f>'Program Budget'!Q336</f>
        <v>0</v>
      </c>
      <c r="Q57" s="183">
        <v>0</v>
      </c>
      <c r="R57" s="184">
        <f>O57*P57*Q57</f>
        <v>0</v>
      </c>
      <c r="S57" s="181">
        <f t="shared" si="35"/>
        <v>277.88875412000004</v>
      </c>
      <c r="T57" s="182">
        <f>'Program Budget'!T336</f>
        <v>0</v>
      </c>
      <c r="U57" s="183">
        <v>0</v>
      </c>
      <c r="V57" s="184">
        <f>S57*T57*U57</f>
        <v>0</v>
      </c>
      <c r="W57" s="320">
        <f>F57+J57+N57+R57+V57</f>
        <v>3640.7820000000002</v>
      </c>
      <c r="X57" s="187"/>
      <c r="Y57" s="174"/>
      <c r="Z57" s="188"/>
      <c r="AA57" s="188"/>
      <c r="AE57" s="148">
        <v>180</v>
      </c>
      <c r="AF57" s="189" t="s">
        <v>121</v>
      </c>
      <c r="AG57" s="189" t="s">
        <v>122</v>
      </c>
      <c r="AH57" s="190"/>
      <c r="AJ57" s="191"/>
    </row>
    <row r="58" spans="1:36" ht="15" customHeight="1" outlineLevel="1">
      <c r="A58" s="179" t="str">
        <f>'Program Budget'!D341</f>
        <v>Lodging and M&amp;IE for Two-Way Trade Travel (Tunisia to US)</v>
      </c>
      <c r="B58" s="180" t="str">
        <f>'Program Budget'!F341</f>
        <v>Day</v>
      </c>
      <c r="C58" s="181">
        <f>'Program Budget'!H341</f>
        <v>219</v>
      </c>
      <c r="D58" s="182">
        <f>'Program Budget'!G341</f>
        <v>0</v>
      </c>
      <c r="E58" s="183">
        <v>0</v>
      </c>
      <c r="F58" s="184">
        <f>C58*D58*E58</f>
        <v>0</v>
      </c>
      <c r="G58" s="181">
        <f t="shared" si="32"/>
        <v>234.33</v>
      </c>
      <c r="H58" s="182">
        <f>'Program Budget'!K341</f>
        <v>0</v>
      </c>
      <c r="I58" s="183">
        <v>0</v>
      </c>
      <c r="J58" s="184">
        <f>G58*H58*I58</f>
        <v>0</v>
      </c>
      <c r="K58" s="181">
        <f t="shared" si="33"/>
        <v>250.73310000000004</v>
      </c>
      <c r="L58" s="182">
        <f>'Program Budget'!N341</f>
        <v>70</v>
      </c>
      <c r="M58" s="183">
        <v>1</v>
      </c>
      <c r="N58" s="184">
        <f>K58*L58*M58</f>
        <v>17551.317000000003</v>
      </c>
      <c r="O58" s="181">
        <f t="shared" si="34"/>
        <v>268.28441700000008</v>
      </c>
      <c r="P58" s="182">
        <f>'Program Budget'!Q341</f>
        <v>0</v>
      </c>
      <c r="Q58" s="183">
        <v>0</v>
      </c>
      <c r="R58" s="184">
        <f>O58*P58*Q58</f>
        <v>0</v>
      </c>
      <c r="S58" s="181">
        <f t="shared" si="35"/>
        <v>287.06432619000009</v>
      </c>
      <c r="T58" s="182">
        <f>'Program Budget'!T341</f>
        <v>0</v>
      </c>
      <c r="U58" s="183">
        <v>0</v>
      </c>
      <c r="V58" s="184">
        <f>S58*T58*U58</f>
        <v>0</v>
      </c>
      <c r="W58" s="320">
        <f>F58+J58+N58+R58+V58</f>
        <v>17551.317000000003</v>
      </c>
      <c r="X58" s="187"/>
      <c r="Y58" s="174"/>
      <c r="Z58" s="188"/>
      <c r="AA58" s="188"/>
      <c r="AE58" s="148">
        <v>180</v>
      </c>
      <c r="AF58" s="189" t="s">
        <v>121</v>
      </c>
      <c r="AG58" s="189" t="s">
        <v>122</v>
      </c>
      <c r="AH58" s="190"/>
      <c r="AJ58" s="191"/>
    </row>
    <row r="59" spans="1:36" ht="15" customHeight="1" outlineLevel="1">
      <c r="A59" s="179" t="str">
        <f>'Program Budget'!D342</f>
        <v>Lodging and M&amp;IE for Two-Way Trade (US to Tunisia)</v>
      </c>
      <c r="B59" s="180" t="str">
        <f>'Program Budget'!F342</f>
        <v>Day</v>
      </c>
      <c r="C59" s="181">
        <f>'Program Budget'!H342</f>
        <v>212</v>
      </c>
      <c r="D59" s="182">
        <f>'Program Budget'!G342</f>
        <v>0</v>
      </c>
      <c r="E59" s="183">
        <v>0</v>
      </c>
      <c r="F59" s="184">
        <f>C59*D59*E59</f>
        <v>0</v>
      </c>
      <c r="G59" s="181">
        <f t="shared" si="32"/>
        <v>226.84</v>
      </c>
      <c r="H59" s="182">
        <f>'Program Budget'!K342</f>
        <v>0</v>
      </c>
      <c r="I59" s="183">
        <v>0</v>
      </c>
      <c r="J59" s="184">
        <f>G59*H59*I59</f>
        <v>0</v>
      </c>
      <c r="K59" s="181">
        <f t="shared" si="33"/>
        <v>242.71880000000002</v>
      </c>
      <c r="L59" s="182">
        <f>'Program Budget'!N342</f>
        <v>70</v>
      </c>
      <c r="M59" s="183">
        <v>1</v>
      </c>
      <c r="N59" s="184">
        <f>K59*L59*M59</f>
        <v>16990.316000000003</v>
      </c>
      <c r="O59" s="181">
        <f t="shared" si="34"/>
        <v>259.70911600000005</v>
      </c>
      <c r="P59" s="182">
        <f>'Program Budget'!Q342</f>
        <v>0</v>
      </c>
      <c r="Q59" s="183">
        <v>0</v>
      </c>
      <c r="R59" s="184">
        <f>O59*P59*Q59</f>
        <v>0</v>
      </c>
      <c r="S59" s="181">
        <f t="shared" si="35"/>
        <v>277.88875412000004</v>
      </c>
      <c r="T59" s="182">
        <f>'Program Budget'!T342</f>
        <v>0</v>
      </c>
      <c r="U59" s="183">
        <v>0</v>
      </c>
      <c r="V59" s="184">
        <f>S59*T59*U59</f>
        <v>0</v>
      </c>
      <c r="W59" s="320">
        <f>F59+J59+N59+R59+V59</f>
        <v>16990.316000000003</v>
      </c>
      <c r="X59" s="187"/>
      <c r="Y59" s="174"/>
      <c r="Z59" s="188"/>
      <c r="AA59" s="188"/>
      <c r="AE59" s="148">
        <v>180</v>
      </c>
      <c r="AF59" s="189" t="s">
        <v>121</v>
      </c>
      <c r="AG59" s="189" t="s">
        <v>122</v>
      </c>
      <c r="AH59" s="190"/>
      <c r="AJ59" s="191"/>
    </row>
    <row r="60" spans="1:36" ht="15" customHeight="1" outlineLevel="1">
      <c r="A60" s="179" t="str">
        <f>'Program Budget'!D346</f>
        <v>Lodging and M&amp;IE for International Food Shows (Dubai)</v>
      </c>
      <c r="B60" s="180" t="str">
        <f>'Program Budget'!F346</f>
        <v>Day</v>
      </c>
      <c r="C60" s="181">
        <f>'Program Budget'!H346</f>
        <v>236</v>
      </c>
      <c r="D60" s="182">
        <f>'Program Budget'!G346</f>
        <v>0</v>
      </c>
      <c r="E60" s="183">
        <v>0</v>
      </c>
      <c r="F60" s="184">
        <f>C60*D60*E60</f>
        <v>0</v>
      </c>
      <c r="G60" s="181">
        <f t="shared" si="32"/>
        <v>252.52</v>
      </c>
      <c r="H60" s="182">
        <f>'Program Budget'!K346</f>
        <v>35</v>
      </c>
      <c r="I60" s="183">
        <v>1</v>
      </c>
      <c r="J60" s="184">
        <f>G60*H60*I60</f>
        <v>8838.2000000000007</v>
      </c>
      <c r="K60" s="181">
        <f t="shared" si="33"/>
        <v>270.19640000000004</v>
      </c>
      <c r="L60" s="182">
        <f>'Program Budget'!N346</f>
        <v>35</v>
      </c>
      <c r="M60" s="183">
        <v>1</v>
      </c>
      <c r="N60" s="184">
        <f>K60*L60*M60</f>
        <v>9456.8740000000016</v>
      </c>
      <c r="O60" s="181">
        <f t="shared" si="34"/>
        <v>289.11014800000004</v>
      </c>
      <c r="P60" s="182">
        <f>'Program Budget'!Q346</f>
        <v>0</v>
      </c>
      <c r="Q60" s="183">
        <v>0</v>
      </c>
      <c r="R60" s="184">
        <f>O60*P60*Q60</f>
        <v>0</v>
      </c>
      <c r="S60" s="181">
        <f t="shared" si="35"/>
        <v>309.34785836000003</v>
      </c>
      <c r="T60" s="182">
        <f>'Program Budget'!T341</f>
        <v>0</v>
      </c>
      <c r="U60" s="183">
        <v>0</v>
      </c>
      <c r="V60" s="184">
        <f>S60*T60*U60</f>
        <v>0</v>
      </c>
      <c r="W60" s="320">
        <f>F60+J60+N60+R60+V60</f>
        <v>18295.074000000001</v>
      </c>
      <c r="X60" s="187"/>
      <c r="Y60" s="174"/>
      <c r="Z60" s="188"/>
      <c r="AA60" s="188"/>
      <c r="AE60" s="148">
        <v>180</v>
      </c>
      <c r="AF60" s="189" t="s">
        <v>121</v>
      </c>
      <c r="AG60" s="189" t="s">
        <v>122</v>
      </c>
      <c r="AH60" s="190"/>
      <c r="AJ60" s="191"/>
    </row>
    <row r="61" spans="1:36" ht="15" customHeight="1" outlineLevel="1">
      <c r="A61" s="179" t="str">
        <f>'Program Budget'!D347</f>
        <v>Lodging and M&amp;IE for International Food Shows (USA)</v>
      </c>
      <c r="B61" s="180" t="str">
        <f>'Program Budget'!F347</f>
        <v>Day</v>
      </c>
      <c r="C61" s="181">
        <f>'Program Budget'!H347</f>
        <v>321</v>
      </c>
      <c r="D61" s="182">
        <f>'Program Budget'!G347</f>
        <v>0</v>
      </c>
      <c r="E61" s="183">
        <v>0</v>
      </c>
      <c r="F61" s="184">
        <f>C61*D61*E61</f>
        <v>0</v>
      </c>
      <c r="G61" s="181">
        <f t="shared" si="32"/>
        <v>343.47</v>
      </c>
      <c r="H61" s="182">
        <f>'Program Budget'!K347</f>
        <v>0</v>
      </c>
      <c r="I61" s="183">
        <v>0</v>
      </c>
      <c r="J61" s="184">
        <f>G61*H61*I61</f>
        <v>0</v>
      </c>
      <c r="K61" s="181">
        <f t="shared" si="33"/>
        <v>367.51290000000006</v>
      </c>
      <c r="L61" s="182">
        <f>'Program Budget'!N347</f>
        <v>35</v>
      </c>
      <c r="M61" s="183">
        <v>1</v>
      </c>
      <c r="N61" s="184">
        <f>K61*L61*M61</f>
        <v>12862.951500000003</v>
      </c>
      <c r="O61" s="181">
        <f t="shared" si="34"/>
        <v>393.23880300000008</v>
      </c>
      <c r="P61" s="182">
        <f>'Program Budget'!Q347</f>
        <v>35</v>
      </c>
      <c r="Q61" s="183">
        <v>1</v>
      </c>
      <c r="R61" s="184">
        <f>O61*P61*Q61</f>
        <v>13763.358105000003</v>
      </c>
      <c r="S61" s="181">
        <f t="shared" si="35"/>
        <v>420.76551921000009</v>
      </c>
      <c r="T61" s="182">
        <f>'Program Budget'!T342</f>
        <v>0</v>
      </c>
      <c r="U61" s="183">
        <v>0</v>
      </c>
      <c r="V61" s="184">
        <f>S61*T61*U61</f>
        <v>0</v>
      </c>
      <c r="W61" s="320">
        <f>F61+J61+N61+R61+V61</f>
        <v>26626.309605000006</v>
      </c>
      <c r="X61" s="187"/>
      <c r="Y61" s="174"/>
      <c r="Z61" s="188"/>
      <c r="AA61" s="188"/>
      <c r="AE61" s="148">
        <v>180</v>
      </c>
      <c r="AF61" s="189" t="s">
        <v>121</v>
      </c>
      <c r="AG61" s="189" t="s">
        <v>122</v>
      </c>
      <c r="AH61" s="190"/>
      <c r="AJ61" s="191"/>
    </row>
    <row r="62" spans="1:36" outlineLevel="1">
      <c r="A62" s="312"/>
      <c r="B62" s="202"/>
      <c r="F62" s="184"/>
      <c r="J62" s="184"/>
      <c r="N62" s="184"/>
      <c r="R62" s="184"/>
      <c r="V62" s="184"/>
      <c r="W62" s="186"/>
      <c r="AE62" s="148"/>
      <c r="AF62" s="189"/>
      <c r="AG62" s="189"/>
    </row>
    <row r="63" spans="1:36" ht="18.3">
      <c r="A63" s="247" t="s">
        <v>97</v>
      </c>
      <c r="B63" s="213"/>
      <c r="C63" s="214"/>
      <c r="D63" s="248"/>
      <c r="E63" s="249"/>
      <c r="F63" s="217">
        <f>SUM(F43:F62)</f>
        <v>1200</v>
      </c>
      <c r="G63" s="214"/>
      <c r="H63" s="248"/>
      <c r="I63" s="218"/>
      <c r="J63" s="217">
        <f>SUM(J43:J62)</f>
        <v>22108.340000000004</v>
      </c>
      <c r="K63" s="214"/>
      <c r="L63" s="248"/>
      <c r="M63" s="249"/>
      <c r="N63" s="217">
        <f>SUM(N43:N62)</f>
        <v>109694.01390000002</v>
      </c>
      <c r="O63" s="214"/>
      <c r="P63" s="248"/>
      <c r="Q63" s="218"/>
      <c r="R63" s="217">
        <f>SUM(R43:R62)</f>
        <v>29446.358591000004</v>
      </c>
      <c r="S63" s="214"/>
      <c r="T63" s="248"/>
      <c r="U63" s="218"/>
      <c r="V63" s="217">
        <f>SUM(V43:V62)</f>
        <v>3670.2288280000012</v>
      </c>
      <c r="W63" s="219">
        <f>+F63+J63+N63+R63+V63</f>
        <v>166118.94131900001</v>
      </c>
      <c r="X63" s="148"/>
      <c r="Y63" s="552"/>
      <c r="Z63" s="148"/>
      <c r="AA63" s="148"/>
      <c r="AB63" s="148"/>
      <c r="AE63" s="148"/>
      <c r="AF63" s="175"/>
      <c r="AG63" s="175" t="s">
        <v>120</v>
      </c>
      <c r="AH63" s="175"/>
    </row>
    <row r="64" spans="1:36" ht="15.6" outlineLevel="1">
      <c r="A64" s="176" t="s">
        <v>49</v>
      </c>
      <c r="B64" s="250"/>
      <c r="D64" s="251"/>
      <c r="E64" s="252"/>
      <c r="F64" s="234"/>
      <c r="H64" s="251"/>
      <c r="I64" s="253"/>
      <c r="J64" s="207"/>
      <c r="L64" s="251"/>
      <c r="M64" s="252"/>
      <c r="N64" s="207"/>
      <c r="P64" s="251"/>
      <c r="Q64" s="253"/>
      <c r="R64" s="207"/>
      <c r="T64" s="251"/>
      <c r="U64" s="253"/>
      <c r="V64" s="207"/>
      <c r="W64" s="186"/>
      <c r="AE64" s="148"/>
      <c r="AF64" s="189"/>
      <c r="AG64" s="254"/>
    </row>
    <row r="65" spans="1:33" ht="15.6" outlineLevel="1">
      <c r="A65" s="255" t="str">
        <f>'Program Budget'!D315</f>
        <v>Subrecipient: 6th Grain</v>
      </c>
      <c r="B65" s="180" t="str">
        <f>'Program Budget'!F315</f>
        <v>Subrecipient</v>
      </c>
      <c r="C65" s="181">
        <f>'Program Budget'!I315</f>
        <v>189531.67200000002</v>
      </c>
      <c r="D65" s="182">
        <f>'Program Budget'!G315</f>
        <v>1</v>
      </c>
      <c r="E65" s="183">
        <v>1</v>
      </c>
      <c r="F65" s="184">
        <f t="shared" ref="F65:F71" si="40">C65*D65*E65</f>
        <v>189531.67200000002</v>
      </c>
      <c r="G65" s="181">
        <f>'Program Budget'!L315</f>
        <v>176568.93408000001</v>
      </c>
      <c r="H65" s="182">
        <f>'Program Budget'!K315</f>
        <v>1</v>
      </c>
      <c r="I65" s="183">
        <v>1</v>
      </c>
      <c r="J65" s="184">
        <f t="shared" ref="J65:J71" si="41">G65*H65*I65</f>
        <v>176568.93408000001</v>
      </c>
      <c r="K65" s="181">
        <f>'Program Budget'!O315</f>
        <v>135632.77544960001</v>
      </c>
      <c r="L65" s="182">
        <f>'Program Budget'!N315</f>
        <v>1</v>
      </c>
      <c r="M65" s="183">
        <v>1</v>
      </c>
      <c r="N65" s="184">
        <f t="shared" ref="N65:N71" si="42">K65*L65*M65</f>
        <v>135632.77544960001</v>
      </c>
      <c r="O65" s="181">
        <f>'Program Budget'!R315</f>
        <v>0</v>
      </c>
      <c r="P65" s="182">
        <f>'Program Budget'!Q315</f>
        <v>0</v>
      </c>
      <c r="Q65" s="183">
        <v>0</v>
      </c>
      <c r="R65" s="184">
        <f t="shared" ref="R65:R71" si="43">O65*P65*Q65</f>
        <v>0</v>
      </c>
      <c r="S65" s="181">
        <f>'Program Budget'!U315</f>
        <v>0</v>
      </c>
      <c r="T65" s="182">
        <f>'Program Budget'!T315</f>
        <v>0</v>
      </c>
      <c r="U65" s="183">
        <v>0</v>
      </c>
      <c r="V65" s="184">
        <f t="shared" ref="V65:V71" si="44">S65*T65*U65</f>
        <v>0</v>
      </c>
      <c r="W65" s="320">
        <f t="shared" ref="W65:W71" si="45">F65+J65+N65+R65+V65</f>
        <v>501733.38152960007</v>
      </c>
      <c r="AE65" s="148"/>
      <c r="AF65" s="189"/>
      <c r="AG65" s="254"/>
    </row>
    <row r="66" spans="1:33" ht="15.6" outlineLevel="1">
      <c r="A66" s="255" t="str">
        <f>'Program Budget'!D316</f>
        <v>Contract for Private Agriculture Service Providers (PASPs) to Train Producer Organizations to Leverage Economies of Scale</v>
      </c>
      <c r="B66" s="180" t="str">
        <f>'Program Budget'!F316</f>
        <v>Day</v>
      </c>
      <c r="C66" s="181">
        <f>'Program Budget'!H316</f>
        <v>350</v>
      </c>
      <c r="D66" s="182">
        <f>'Program Budget'!G316</f>
        <v>0</v>
      </c>
      <c r="E66" s="183">
        <v>0</v>
      </c>
      <c r="F66" s="184">
        <f t="shared" si="40"/>
        <v>0</v>
      </c>
      <c r="G66" s="181">
        <f t="shared" ref="G66:G71" si="46">C66</f>
        <v>350</v>
      </c>
      <c r="H66" s="182">
        <f>'Program Budget'!K316</f>
        <v>4</v>
      </c>
      <c r="I66" s="183">
        <v>1</v>
      </c>
      <c r="J66" s="184">
        <f t="shared" si="41"/>
        <v>1400</v>
      </c>
      <c r="K66" s="181">
        <f t="shared" ref="K66:K71" si="47">G66</f>
        <v>350</v>
      </c>
      <c r="L66" s="182">
        <f>'Program Budget'!N316</f>
        <v>4</v>
      </c>
      <c r="M66" s="183">
        <v>1</v>
      </c>
      <c r="N66" s="184">
        <f t="shared" si="42"/>
        <v>1400</v>
      </c>
      <c r="O66" s="181">
        <f t="shared" ref="O66:O71" si="48">K66</f>
        <v>350</v>
      </c>
      <c r="P66" s="182">
        <f>'Program Budget'!Q316</f>
        <v>4</v>
      </c>
      <c r="Q66" s="183">
        <v>1</v>
      </c>
      <c r="R66" s="184">
        <f t="shared" si="43"/>
        <v>1400</v>
      </c>
      <c r="S66" s="181">
        <f t="shared" ref="S66:S71" si="49">O66</f>
        <v>350</v>
      </c>
      <c r="T66" s="182">
        <f>'Program Budget'!T316</f>
        <v>0</v>
      </c>
      <c r="U66" s="183">
        <v>0</v>
      </c>
      <c r="V66" s="184">
        <f t="shared" si="44"/>
        <v>0</v>
      </c>
      <c r="W66" s="320">
        <f t="shared" si="45"/>
        <v>4200</v>
      </c>
      <c r="AE66" s="148"/>
      <c r="AF66" s="189"/>
      <c r="AG66" s="254"/>
    </row>
    <row r="67" spans="1:33" ht="15.6" outlineLevel="1">
      <c r="A67" s="255" t="str">
        <f>'Program Budget'!D317</f>
        <v>Contract for Organization to Provide Farmers Organic Certifications</v>
      </c>
      <c r="B67" s="180" t="str">
        <f>'Program Budget'!F317</f>
        <v>Certification</v>
      </c>
      <c r="C67" s="181">
        <f>'Program Budget'!H317</f>
        <v>100</v>
      </c>
      <c r="D67" s="182">
        <f>'Program Budget'!G317</f>
        <v>0</v>
      </c>
      <c r="E67" s="183">
        <v>0</v>
      </c>
      <c r="F67" s="184">
        <f t="shared" si="40"/>
        <v>0</v>
      </c>
      <c r="G67" s="181">
        <f t="shared" si="46"/>
        <v>100</v>
      </c>
      <c r="H67" s="182">
        <f>'Program Budget'!K317</f>
        <v>0</v>
      </c>
      <c r="I67" s="183">
        <v>0</v>
      </c>
      <c r="J67" s="184">
        <f t="shared" si="41"/>
        <v>0</v>
      </c>
      <c r="K67" s="181">
        <f t="shared" si="47"/>
        <v>100</v>
      </c>
      <c r="L67" s="182">
        <f>'Program Budget'!N317</f>
        <v>1000</v>
      </c>
      <c r="M67" s="183">
        <v>1</v>
      </c>
      <c r="N67" s="184">
        <f t="shared" si="42"/>
        <v>100000</v>
      </c>
      <c r="O67" s="181">
        <f t="shared" si="48"/>
        <v>100</v>
      </c>
      <c r="P67" s="182">
        <f>'Program Budget'!Q317</f>
        <v>0</v>
      </c>
      <c r="Q67" s="183">
        <v>0</v>
      </c>
      <c r="R67" s="184">
        <f t="shared" si="43"/>
        <v>0</v>
      </c>
      <c r="S67" s="181">
        <f t="shared" si="49"/>
        <v>100</v>
      </c>
      <c r="T67" s="182">
        <f>'Program Budget'!T317</f>
        <v>0</v>
      </c>
      <c r="U67" s="183">
        <v>0</v>
      </c>
      <c r="V67" s="184">
        <f t="shared" si="44"/>
        <v>0</v>
      </c>
      <c r="W67" s="320">
        <f t="shared" si="45"/>
        <v>100000</v>
      </c>
      <c r="AE67" s="148"/>
      <c r="AF67" s="189"/>
      <c r="AG67" s="254"/>
    </row>
    <row r="68" spans="1:33" ht="15.6" outlineLevel="1">
      <c r="A68" s="255" t="str">
        <f>'Program Budget'!D318</f>
        <v>US Consultant to Provide Technical Assistance for Processers and Exporters</v>
      </c>
      <c r="B68" s="180" t="str">
        <f>'Program Budget'!F318</f>
        <v>Day</v>
      </c>
      <c r="C68" s="181">
        <f>'Program Budget'!H318</f>
        <v>720</v>
      </c>
      <c r="D68" s="182">
        <f>'Program Budget'!G318</f>
        <v>0</v>
      </c>
      <c r="E68" s="183">
        <v>0</v>
      </c>
      <c r="F68" s="184">
        <f t="shared" si="40"/>
        <v>0</v>
      </c>
      <c r="G68" s="181">
        <f t="shared" si="46"/>
        <v>720</v>
      </c>
      <c r="H68" s="182">
        <f>'Program Budget'!K318</f>
        <v>0</v>
      </c>
      <c r="I68" s="183">
        <v>0</v>
      </c>
      <c r="J68" s="184">
        <f t="shared" si="41"/>
        <v>0</v>
      </c>
      <c r="K68" s="181">
        <f t="shared" si="47"/>
        <v>720</v>
      </c>
      <c r="L68" s="182">
        <f>'Program Budget'!N318</f>
        <v>15</v>
      </c>
      <c r="M68" s="183">
        <v>1</v>
      </c>
      <c r="N68" s="184">
        <f t="shared" si="42"/>
        <v>10800</v>
      </c>
      <c r="O68" s="181">
        <f t="shared" si="48"/>
        <v>720</v>
      </c>
      <c r="P68" s="182">
        <f>'Program Budget'!Q318</f>
        <v>0</v>
      </c>
      <c r="Q68" s="183">
        <v>0</v>
      </c>
      <c r="R68" s="184">
        <f t="shared" si="43"/>
        <v>0</v>
      </c>
      <c r="S68" s="181">
        <f t="shared" si="49"/>
        <v>720</v>
      </c>
      <c r="T68" s="182">
        <f>'Program Budget'!T318</f>
        <v>0</v>
      </c>
      <c r="U68" s="183">
        <v>0</v>
      </c>
      <c r="V68" s="184">
        <f t="shared" si="44"/>
        <v>0</v>
      </c>
      <c r="W68" s="320">
        <f t="shared" si="45"/>
        <v>10800</v>
      </c>
      <c r="AE68" s="148"/>
      <c r="AF68" s="189"/>
      <c r="AG68" s="254"/>
    </row>
    <row r="69" spans="1:33" ht="15.6" outlineLevel="1">
      <c r="A69" s="255" t="str">
        <f>'Program Budget'!D319</f>
        <v>Legal Advisors for Review of Farming Contracts</v>
      </c>
      <c r="B69" s="180" t="str">
        <f>'Program Budget'!F319</f>
        <v>Day</v>
      </c>
      <c r="C69" s="181">
        <f>'Program Budget'!H319</f>
        <v>325</v>
      </c>
      <c r="D69" s="182">
        <f>'Program Budget'!G319</f>
        <v>0</v>
      </c>
      <c r="E69" s="183">
        <v>0</v>
      </c>
      <c r="F69" s="184">
        <f t="shared" si="40"/>
        <v>0</v>
      </c>
      <c r="G69" s="181">
        <f t="shared" si="46"/>
        <v>325</v>
      </c>
      <c r="H69" s="182">
        <f>'Program Budget'!K319</f>
        <v>10</v>
      </c>
      <c r="I69" s="183">
        <v>1</v>
      </c>
      <c r="J69" s="184">
        <f t="shared" si="41"/>
        <v>3250</v>
      </c>
      <c r="K69" s="181">
        <f t="shared" si="47"/>
        <v>325</v>
      </c>
      <c r="L69" s="182">
        <f>'Program Budget'!N319</f>
        <v>0</v>
      </c>
      <c r="M69" s="183">
        <v>0</v>
      </c>
      <c r="N69" s="184">
        <f t="shared" si="42"/>
        <v>0</v>
      </c>
      <c r="O69" s="181">
        <f t="shared" si="48"/>
        <v>325</v>
      </c>
      <c r="P69" s="182">
        <f>'Program Budget'!Q319</f>
        <v>0</v>
      </c>
      <c r="Q69" s="183">
        <v>0</v>
      </c>
      <c r="R69" s="184">
        <f t="shared" si="43"/>
        <v>0</v>
      </c>
      <c r="S69" s="181">
        <f t="shared" si="49"/>
        <v>325</v>
      </c>
      <c r="T69" s="182">
        <f>'Program Budget'!T319</f>
        <v>0</v>
      </c>
      <c r="U69" s="183">
        <v>0</v>
      </c>
      <c r="V69" s="184">
        <f t="shared" si="44"/>
        <v>0</v>
      </c>
      <c r="W69" s="320">
        <f t="shared" si="45"/>
        <v>3250</v>
      </c>
      <c r="AE69" s="148"/>
      <c r="AF69" s="189"/>
      <c r="AG69" s="254"/>
    </row>
    <row r="70" spans="1:33" ht="15.6" outlineLevel="1">
      <c r="A70" s="255" t="str">
        <f>'Program Budget'!D320</f>
        <v>Contract for Expert on Agriculture Finance</v>
      </c>
      <c r="B70" s="180" t="str">
        <f>'Program Budget'!F320</f>
        <v>Month</v>
      </c>
      <c r="C70" s="181">
        <f>'Program Budget'!H320</f>
        <v>5250</v>
      </c>
      <c r="D70" s="182">
        <f>'Program Budget'!G320</f>
        <v>0</v>
      </c>
      <c r="E70" s="183">
        <v>0</v>
      </c>
      <c r="F70" s="184">
        <f t="shared" si="40"/>
        <v>0</v>
      </c>
      <c r="G70" s="181">
        <f t="shared" si="46"/>
        <v>5250</v>
      </c>
      <c r="H70" s="182">
        <f>'Program Budget'!K320</f>
        <v>2</v>
      </c>
      <c r="I70" s="183">
        <v>1</v>
      </c>
      <c r="J70" s="184">
        <f t="shared" si="41"/>
        <v>10500</v>
      </c>
      <c r="K70" s="181">
        <f t="shared" si="47"/>
        <v>5250</v>
      </c>
      <c r="L70" s="182">
        <f>'Program Budget'!N320</f>
        <v>0</v>
      </c>
      <c r="M70" s="183">
        <v>0</v>
      </c>
      <c r="N70" s="184">
        <f t="shared" si="42"/>
        <v>0</v>
      </c>
      <c r="O70" s="181">
        <f t="shared" si="48"/>
        <v>5250</v>
      </c>
      <c r="P70" s="182">
        <f>'Program Budget'!Q320</f>
        <v>0</v>
      </c>
      <c r="Q70" s="183">
        <v>0</v>
      </c>
      <c r="R70" s="184">
        <f t="shared" si="43"/>
        <v>0</v>
      </c>
      <c r="S70" s="181">
        <f t="shared" si="49"/>
        <v>5250</v>
      </c>
      <c r="T70" s="182">
        <f>'Program Budget'!T320</f>
        <v>0</v>
      </c>
      <c r="U70" s="183">
        <v>0</v>
      </c>
      <c r="V70" s="184">
        <f t="shared" si="44"/>
        <v>0</v>
      </c>
      <c r="W70" s="320">
        <f t="shared" si="45"/>
        <v>10500</v>
      </c>
      <c r="AE70" s="148"/>
      <c r="AF70" s="189"/>
      <c r="AG70" s="254"/>
    </row>
    <row r="71" spans="1:33" ht="15.6" outlineLevel="1">
      <c r="A71" s="255" t="str">
        <f>'Program Budget'!D321</f>
        <v>Security Services, Risk Assessments, &amp; Security Assessment</v>
      </c>
      <c r="B71" s="180" t="str">
        <f>'Program Budget'!F321</f>
        <v>Year</v>
      </c>
      <c r="C71" s="181">
        <f>'Program Budget'!H321</f>
        <v>5000</v>
      </c>
      <c r="D71" s="182">
        <f>'Program Budget'!G321</f>
        <v>1</v>
      </c>
      <c r="E71" s="183">
        <v>1</v>
      </c>
      <c r="F71" s="184">
        <f t="shared" si="40"/>
        <v>5000</v>
      </c>
      <c r="G71" s="181">
        <f t="shared" si="46"/>
        <v>5000</v>
      </c>
      <c r="H71" s="182">
        <f>'Program Budget'!K321</f>
        <v>1</v>
      </c>
      <c r="I71" s="183">
        <v>1</v>
      </c>
      <c r="J71" s="184">
        <f t="shared" si="41"/>
        <v>5000</v>
      </c>
      <c r="K71" s="181">
        <f t="shared" si="47"/>
        <v>5000</v>
      </c>
      <c r="L71" s="182">
        <f>'Program Budget'!N321</f>
        <v>1</v>
      </c>
      <c r="M71" s="183">
        <v>1</v>
      </c>
      <c r="N71" s="184">
        <f t="shared" si="42"/>
        <v>5000</v>
      </c>
      <c r="O71" s="181">
        <f t="shared" si="48"/>
        <v>5000</v>
      </c>
      <c r="P71" s="182">
        <f>'Program Budget'!Q321</f>
        <v>1</v>
      </c>
      <c r="Q71" s="183">
        <v>1</v>
      </c>
      <c r="R71" s="184">
        <f t="shared" si="43"/>
        <v>5000</v>
      </c>
      <c r="S71" s="181">
        <f t="shared" si="49"/>
        <v>5000</v>
      </c>
      <c r="T71" s="182">
        <f>'Program Budget'!T321</f>
        <v>1</v>
      </c>
      <c r="U71" s="183">
        <v>1</v>
      </c>
      <c r="V71" s="184">
        <f t="shared" si="44"/>
        <v>5000</v>
      </c>
      <c r="W71" s="320">
        <f t="shared" si="45"/>
        <v>25000</v>
      </c>
      <c r="AE71" s="148"/>
      <c r="AF71" s="189"/>
      <c r="AG71" s="254"/>
    </row>
    <row r="72" spans="1:33" outlineLevel="1">
      <c r="A72" s="313"/>
      <c r="B72" s="202"/>
      <c r="C72" s="256"/>
      <c r="D72" s="257"/>
      <c r="F72" s="184"/>
      <c r="G72" s="256"/>
      <c r="H72" s="257"/>
      <c r="I72" s="145"/>
      <c r="J72" s="184"/>
      <c r="K72" s="256"/>
      <c r="L72" s="257"/>
      <c r="N72" s="184"/>
      <c r="O72" s="256"/>
      <c r="P72" s="257"/>
      <c r="Q72" s="145"/>
      <c r="R72" s="184"/>
      <c r="S72" s="256"/>
      <c r="T72" s="257"/>
      <c r="U72" s="145"/>
      <c r="V72" s="184"/>
      <c r="W72" s="258"/>
      <c r="AE72" s="148"/>
      <c r="AF72" s="189"/>
      <c r="AG72" s="254"/>
    </row>
    <row r="73" spans="1:33" ht="18.3" outlineLevel="1">
      <c r="A73" s="247" t="s">
        <v>98</v>
      </c>
      <c r="B73" s="213"/>
      <c r="C73" s="214"/>
      <c r="D73" s="248"/>
      <c r="E73" s="249"/>
      <c r="F73" s="217">
        <f>SUM(F65:F72)</f>
        <v>194531.67200000002</v>
      </c>
      <c r="G73" s="214"/>
      <c r="H73" s="248"/>
      <c r="I73" s="218"/>
      <c r="J73" s="217">
        <f>SUM(J65:J72)</f>
        <v>196718.93408000001</v>
      </c>
      <c r="K73" s="214"/>
      <c r="L73" s="248"/>
      <c r="M73" s="249"/>
      <c r="N73" s="217">
        <f>SUM(N65:N72)</f>
        <v>252832.77544960001</v>
      </c>
      <c r="O73" s="214"/>
      <c r="P73" s="248"/>
      <c r="Q73" s="218"/>
      <c r="R73" s="217">
        <f>SUM(R65:R72)</f>
        <v>6400</v>
      </c>
      <c r="S73" s="214"/>
      <c r="T73" s="248"/>
      <c r="U73" s="218"/>
      <c r="V73" s="217">
        <f>SUM(V65:V72)</f>
        <v>5000</v>
      </c>
      <c r="W73" s="219">
        <f>+F73+J73+N73+R73+V73</f>
        <v>655483.38152960013</v>
      </c>
      <c r="AE73" s="148"/>
      <c r="AF73" s="189"/>
      <c r="AG73" s="254"/>
    </row>
    <row r="74" spans="1:33" ht="15.6" outlineLevel="1">
      <c r="A74" s="176" t="s">
        <v>99</v>
      </c>
      <c r="B74" s="259"/>
      <c r="D74" s="251"/>
      <c r="F74" s="184"/>
      <c r="H74" s="251"/>
      <c r="J74" s="186"/>
      <c r="L74" s="251"/>
      <c r="N74" s="186"/>
      <c r="P74" s="251"/>
      <c r="R74" s="186"/>
      <c r="T74" s="251"/>
      <c r="V74" s="186"/>
      <c r="W74" s="186"/>
      <c r="AE74" s="148"/>
      <c r="AF74" s="189"/>
      <c r="AG74" s="254"/>
    </row>
    <row r="75" spans="1:33" outlineLevel="1">
      <c r="A75" s="179" t="s">
        <v>75</v>
      </c>
      <c r="B75" s="202"/>
      <c r="D75" s="260"/>
      <c r="F75" s="184">
        <f>C75*D75*E75</f>
        <v>0</v>
      </c>
      <c r="H75" s="260"/>
      <c r="I75" s="145"/>
      <c r="J75" s="184">
        <f t="shared" ref="J75" si="50">G75*H75*I75</f>
        <v>0</v>
      </c>
      <c r="L75" s="260"/>
      <c r="N75" s="184">
        <f t="shared" ref="N75" si="51">K75*L75*M75</f>
        <v>0</v>
      </c>
      <c r="P75" s="260"/>
      <c r="Q75" s="145"/>
      <c r="R75" s="184">
        <f t="shared" ref="R75" si="52">O75*P75*Q75</f>
        <v>0</v>
      </c>
      <c r="T75" s="260"/>
      <c r="U75" s="145"/>
      <c r="V75" s="184">
        <f t="shared" ref="V75" si="53">S75*T75*U75</f>
        <v>0</v>
      </c>
      <c r="W75" s="186">
        <f t="shared" ref="W75" si="54">F75+J75+N75+R75+V75</f>
        <v>0</v>
      </c>
      <c r="AE75" s="148"/>
    </row>
    <row r="76" spans="1:33" ht="18.3" outlineLevel="1">
      <c r="A76" s="247" t="s">
        <v>100</v>
      </c>
      <c r="B76" s="213"/>
      <c r="C76" s="214"/>
      <c r="D76" s="248"/>
      <c r="E76" s="249"/>
      <c r="F76" s="217">
        <f>SUM(F75:F75)</f>
        <v>0</v>
      </c>
      <c r="G76" s="214"/>
      <c r="H76" s="248"/>
      <c r="I76" s="218"/>
      <c r="J76" s="217">
        <f>SUM(J75:J75)</f>
        <v>0</v>
      </c>
      <c r="K76" s="214"/>
      <c r="L76" s="248"/>
      <c r="M76" s="249"/>
      <c r="N76" s="217">
        <f>SUM(N75:N75)</f>
        <v>0</v>
      </c>
      <c r="O76" s="214"/>
      <c r="P76" s="248"/>
      <c r="Q76" s="218"/>
      <c r="R76" s="217">
        <f>SUM(R75:R75)</f>
        <v>0</v>
      </c>
      <c r="S76" s="214"/>
      <c r="T76" s="248"/>
      <c r="U76" s="218"/>
      <c r="V76" s="217">
        <f>SUM(V75:V75)</f>
        <v>0</v>
      </c>
      <c r="W76" s="219">
        <f>+F76+J76+N76+R76+V76</f>
        <v>0</v>
      </c>
      <c r="AE76" s="148">
        <v>298</v>
      </c>
      <c r="AF76" s="189" t="s">
        <v>149</v>
      </c>
      <c r="AG76" s="189" t="s">
        <v>150</v>
      </c>
    </row>
    <row r="77" spans="1:33" ht="15.6" outlineLevel="1">
      <c r="A77" s="176" t="s">
        <v>32</v>
      </c>
      <c r="B77" s="202"/>
      <c r="D77" s="251"/>
      <c r="F77" s="184"/>
      <c r="H77" s="251"/>
      <c r="I77" s="145"/>
      <c r="J77" s="184"/>
      <c r="L77" s="251"/>
      <c r="N77" s="184"/>
      <c r="P77" s="251"/>
      <c r="Q77" s="145"/>
      <c r="R77" s="184"/>
      <c r="T77" s="251"/>
      <c r="U77" s="145"/>
      <c r="V77" s="184"/>
      <c r="W77" s="186"/>
      <c r="AE77" s="148"/>
      <c r="AF77" s="189"/>
      <c r="AG77" s="254"/>
    </row>
    <row r="78" spans="1:33" outlineLevel="1">
      <c r="A78" s="179" t="s">
        <v>75</v>
      </c>
      <c r="B78" s="202"/>
      <c r="D78" s="251"/>
      <c r="F78" s="184">
        <f>C78*D78*E78</f>
        <v>0</v>
      </c>
      <c r="H78" s="251"/>
      <c r="I78" s="145"/>
      <c r="J78" s="184">
        <f>G78*H78*I78</f>
        <v>0</v>
      </c>
      <c r="L78" s="251"/>
      <c r="N78" s="184">
        <f>K78*L78*M78</f>
        <v>0</v>
      </c>
      <c r="P78" s="251"/>
      <c r="Q78" s="145"/>
      <c r="R78" s="184">
        <f>O78*P78*Q78</f>
        <v>0</v>
      </c>
      <c r="T78" s="251"/>
      <c r="U78" s="145"/>
      <c r="V78" s="184">
        <f>S78*T78*U78</f>
        <v>0</v>
      </c>
      <c r="W78" s="186">
        <f t="shared" ref="W78" si="55">F78+J78+N78+R78+V78</f>
        <v>0</v>
      </c>
      <c r="AE78" s="148"/>
      <c r="AF78" s="189"/>
      <c r="AG78" s="189"/>
    </row>
    <row r="79" spans="1:33" ht="18.3" outlineLevel="1">
      <c r="A79" s="247" t="s">
        <v>101</v>
      </c>
      <c r="B79" s="213"/>
      <c r="C79" s="214"/>
      <c r="D79" s="248"/>
      <c r="E79" s="249"/>
      <c r="F79" s="217">
        <f>SUM(F75:F75)</f>
        <v>0</v>
      </c>
      <c r="G79" s="214"/>
      <c r="H79" s="248"/>
      <c r="I79" s="218"/>
      <c r="J79" s="217">
        <f>SUM(J75:J75)</f>
        <v>0</v>
      </c>
      <c r="K79" s="214"/>
      <c r="L79" s="248"/>
      <c r="M79" s="249"/>
      <c r="N79" s="217">
        <f>SUM(N75:N75)</f>
        <v>0</v>
      </c>
      <c r="O79" s="214"/>
      <c r="P79" s="248"/>
      <c r="Q79" s="218"/>
      <c r="R79" s="217">
        <f>SUM(R75:R75)</f>
        <v>0</v>
      </c>
      <c r="S79" s="214"/>
      <c r="T79" s="248"/>
      <c r="U79" s="218"/>
      <c r="V79" s="217">
        <f>SUM(V75:V75)</f>
        <v>0</v>
      </c>
      <c r="W79" s="219">
        <f>+F79+J79+N79+R79+V79</f>
        <v>0</v>
      </c>
      <c r="AE79" s="148"/>
      <c r="AF79" s="189"/>
      <c r="AG79" s="189"/>
    </row>
    <row r="80" spans="1:33" ht="15.6" outlineLevel="1">
      <c r="A80" s="176" t="s">
        <v>33</v>
      </c>
      <c r="B80" s="250"/>
      <c r="D80" s="251"/>
      <c r="E80" s="252"/>
      <c r="F80" s="234"/>
      <c r="H80" s="251"/>
      <c r="I80" s="253"/>
      <c r="J80" s="207"/>
      <c r="L80" s="251"/>
      <c r="M80" s="252"/>
      <c r="N80" s="207"/>
      <c r="P80" s="251"/>
      <c r="Q80" s="253"/>
      <c r="R80" s="207"/>
      <c r="T80" s="251"/>
      <c r="U80" s="253"/>
      <c r="V80" s="207"/>
      <c r="W80" s="186"/>
      <c r="AE80" s="148">
        <v>236</v>
      </c>
      <c r="AF80" s="189" t="s">
        <v>137</v>
      </c>
      <c r="AG80" s="254" t="s">
        <v>138</v>
      </c>
    </row>
    <row r="81" spans="1:33" ht="15.6" outlineLevel="1">
      <c r="A81" s="255" t="str">
        <f>'Program Budget'!D325</f>
        <v xml:space="preserve">Supplies for Remote Irrigation Pilot </v>
      </c>
      <c r="B81" s="180" t="str">
        <f>'Program Budget'!F325</f>
        <v>Unit</v>
      </c>
      <c r="C81" s="181">
        <f>'Program Budget'!H325</f>
        <v>4000</v>
      </c>
      <c r="D81" s="182">
        <f>'Program Budget'!G325</f>
        <v>0</v>
      </c>
      <c r="E81" s="183">
        <v>1</v>
      </c>
      <c r="F81" s="184">
        <f t="shared" ref="F81" si="56">C81*D81*E81</f>
        <v>0</v>
      </c>
      <c r="G81" s="181">
        <f t="shared" ref="G81" si="57">C81</f>
        <v>4000</v>
      </c>
      <c r="H81" s="182">
        <f>'Program Budget'!K325</f>
        <v>0</v>
      </c>
      <c r="I81" s="183">
        <v>1</v>
      </c>
      <c r="J81" s="184">
        <f t="shared" ref="J81" si="58">G81*H81*I81</f>
        <v>0</v>
      </c>
      <c r="K81" s="181">
        <f t="shared" ref="K81" si="59">G81</f>
        <v>4000</v>
      </c>
      <c r="L81" s="182">
        <f>'Program Budget'!N325</f>
        <v>4</v>
      </c>
      <c r="M81" s="183">
        <v>1</v>
      </c>
      <c r="N81" s="184">
        <f t="shared" ref="N81" si="60">K81*L81*M81</f>
        <v>16000</v>
      </c>
      <c r="O81" s="181">
        <f t="shared" ref="O81" si="61">K81</f>
        <v>4000</v>
      </c>
      <c r="P81" s="182">
        <f>'Program Budget'!Q325</f>
        <v>0</v>
      </c>
      <c r="Q81" s="183">
        <v>1</v>
      </c>
      <c r="R81" s="184">
        <f t="shared" ref="R81" si="62">O81*P81*Q81</f>
        <v>0</v>
      </c>
      <c r="S81" s="181">
        <f t="shared" ref="S81" si="63">O81</f>
        <v>4000</v>
      </c>
      <c r="T81" s="182">
        <f>'Program Budget'!T325</f>
        <v>0</v>
      </c>
      <c r="U81" s="183">
        <v>1</v>
      </c>
      <c r="V81" s="184">
        <f t="shared" ref="V81" si="64">S81*T81*U81</f>
        <v>0</v>
      </c>
      <c r="W81" s="320">
        <f t="shared" ref="W81" si="65">F81+J81+N81+R81+V81</f>
        <v>16000</v>
      </c>
      <c r="AE81" s="148">
        <v>236</v>
      </c>
      <c r="AF81" s="189" t="s">
        <v>137</v>
      </c>
      <c r="AG81" s="254" t="s">
        <v>138</v>
      </c>
    </row>
    <row r="82" spans="1:33" ht="15.6" outlineLevel="1">
      <c r="A82" s="255" t="str">
        <f>'Program Budget'!D326</f>
        <v>Supplies for Low-Cost Water Meters</v>
      </c>
      <c r="B82" s="180" t="str">
        <f>'Program Budget'!F326</f>
        <v>Unit</v>
      </c>
      <c r="C82" s="181">
        <f>'Program Budget'!H326</f>
        <v>1000</v>
      </c>
      <c r="D82" s="182">
        <f>'Program Budget'!G326</f>
        <v>0</v>
      </c>
      <c r="E82" s="183">
        <v>1</v>
      </c>
      <c r="F82" s="184">
        <f t="shared" ref="F82:F83" si="66">C82*D82*E82</f>
        <v>0</v>
      </c>
      <c r="G82" s="181">
        <f t="shared" ref="G82:G83" si="67">C82</f>
        <v>1000</v>
      </c>
      <c r="H82" s="182">
        <f>'Program Budget'!K326</f>
        <v>0</v>
      </c>
      <c r="I82" s="183">
        <v>1</v>
      </c>
      <c r="J82" s="184">
        <f t="shared" ref="J82:J83" si="68">G82*H82*I82</f>
        <v>0</v>
      </c>
      <c r="K82" s="181">
        <f t="shared" ref="K82:K83" si="69">G82</f>
        <v>1000</v>
      </c>
      <c r="L82" s="182">
        <f>'Program Budget'!N326</f>
        <v>10</v>
      </c>
      <c r="M82" s="183">
        <v>1</v>
      </c>
      <c r="N82" s="184">
        <f t="shared" ref="N82:N83" si="70">K82*L82*M82</f>
        <v>10000</v>
      </c>
      <c r="O82" s="181">
        <f t="shared" ref="O82:O83" si="71">K82</f>
        <v>1000</v>
      </c>
      <c r="P82" s="182">
        <f>'Program Budget'!Q326</f>
        <v>0</v>
      </c>
      <c r="Q82" s="183">
        <v>1</v>
      </c>
      <c r="R82" s="184">
        <f t="shared" ref="R82:R83" si="72">O82*P82*Q82</f>
        <v>0</v>
      </c>
      <c r="S82" s="181">
        <f t="shared" ref="S82:S83" si="73">O82</f>
        <v>1000</v>
      </c>
      <c r="T82" s="182">
        <f>'Program Budget'!T326</f>
        <v>0</v>
      </c>
      <c r="U82" s="183">
        <v>1</v>
      </c>
      <c r="V82" s="184">
        <f t="shared" ref="V82:V83" si="74">S82*T82*U82</f>
        <v>0</v>
      </c>
      <c r="W82" s="320">
        <f t="shared" ref="W82:W83" si="75">F82+J82+N82+R82+V82</f>
        <v>10000</v>
      </c>
      <c r="AE82" s="148">
        <v>236</v>
      </c>
      <c r="AF82" s="189" t="s">
        <v>137</v>
      </c>
      <c r="AG82" s="254" t="s">
        <v>138</v>
      </c>
    </row>
    <row r="83" spans="1:33" ht="15.6" outlineLevel="1">
      <c r="A83" s="255" t="str">
        <f>'Program Budget'!D327</f>
        <v>Communication Costs for Publication of RFPs/RFAs</v>
      </c>
      <c r="B83" s="180" t="str">
        <f>'Program Budget'!F327</f>
        <v>Unit</v>
      </c>
      <c r="C83" s="181">
        <f>'Program Budget'!H327</f>
        <v>500</v>
      </c>
      <c r="D83" s="182">
        <f>'Program Budget'!G327</f>
        <v>0</v>
      </c>
      <c r="E83" s="183">
        <v>1</v>
      </c>
      <c r="F83" s="184">
        <f t="shared" si="66"/>
        <v>0</v>
      </c>
      <c r="G83" s="181">
        <f t="shared" si="67"/>
        <v>500</v>
      </c>
      <c r="H83" s="182">
        <f>'Program Budget'!K327</f>
        <v>3</v>
      </c>
      <c r="I83" s="183">
        <v>1</v>
      </c>
      <c r="J83" s="184">
        <f t="shared" si="68"/>
        <v>1500</v>
      </c>
      <c r="K83" s="181">
        <f t="shared" si="69"/>
        <v>500</v>
      </c>
      <c r="L83" s="182">
        <f>'Program Budget'!N327</f>
        <v>3</v>
      </c>
      <c r="M83" s="183">
        <v>1</v>
      </c>
      <c r="N83" s="184">
        <f t="shared" si="70"/>
        <v>1500</v>
      </c>
      <c r="O83" s="181">
        <f t="shared" si="71"/>
        <v>500</v>
      </c>
      <c r="P83" s="182">
        <f>'Program Budget'!Q327</f>
        <v>1</v>
      </c>
      <c r="Q83" s="183">
        <v>1</v>
      </c>
      <c r="R83" s="184">
        <f t="shared" si="72"/>
        <v>500</v>
      </c>
      <c r="S83" s="181">
        <f t="shared" si="73"/>
        <v>500</v>
      </c>
      <c r="T83" s="182">
        <f>'Program Budget'!T327</f>
        <v>0</v>
      </c>
      <c r="U83" s="183">
        <v>1</v>
      </c>
      <c r="V83" s="184">
        <f t="shared" si="74"/>
        <v>0</v>
      </c>
      <c r="W83" s="320">
        <f t="shared" si="75"/>
        <v>3500</v>
      </c>
      <c r="AE83" s="148">
        <v>236</v>
      </c>
      <c r="AF83" s="189" t="s">
        <v>137</v>
      </c>
      <c r="AG83" s="254" t="s">
        <v>138</v>
      </c>
    </row>
    <row r="84" spans="1:33" outlineLevel="1">
      <c r="A84" s="179"/>
      <c r="B84" s="202"/>
      <c r="C84" s="256"/>
      <c r="D84" s="257"/>
      <c r="F84" s="184"/>
      <c r="G84" s="256"/>
      <c r="H84" s="257"/>
      <c r="I84" s="145"/>
      <c r="J84" s="184"/>
      <c r="K84" s="256"/>
      <c r="L84" s="257"/>
      <c r="N84" s="184"/>
      <c r="O84" s="256"/>
      <c r="P84" s="257"/>
      <c r="Q84" s="145"/>
      <c r="R84" s="184"/>
      <c r="S84" s="256"/>
      <c r="T84" s="257"/>
      <c r="U84" s="145"/>
      <c r="V84" s="184"/>
      <c r="W84" s="186"/>
      <c r="AE84" s="148"/>
      <c r="AF84" s="189"/>
      <c r="AG84" s="254"/>
    </row>
    <row r="85" spans="1:33" ht="18.3" outlineLevel="1">
      <c r="A85" s="247" t="s">
        <v>102</v>
      </c>
      <c r="B85" s="213"/>
      <c r="C85" s="214"/>
      <c r="D85" s="248"/>
      <c r="E85" s="249"/>
      <c r="F85" s="217">
        <f>SUM(F80:F84)</f>
        <v>0</v>
      </c>
      <c r="G85" s="214"/>
      <c r="H85" s="248"/>
      <c r="I85" s="218"/>
      <c r="J85" s="217">
        <f>SUM(J80:J84)</f>
        <v>1500</v>
      </c>
      <c r="K85" s="214"/>
      <c r="L85" s="248"/>
      <c r="M85" s="249"/>
      <c r="N85" s="217">
        <f>SUM(N80:N84)</f>
        <v>27500</v>
      </c>
      <c r="O85" s="214"/>
      <c r="P85" s="248"/>
      <c r="Q85" s="218"/>
      <c r="R85" s="217">
        <f>SUM(R80:R84)</f>
        <v>500</v>
      </c>
      <c r="S85" s="214"/>
      <c r="T85" s="248"/>
      <c r="U85" s="218"/>
      <c r="V85" s="217">
        <f>SUM(V80:V84)</f>
        <v>0</v>
      </c>
      <c r="W85" s="217">
        <f>SUM(W80:W84)</f>
        <v>29500</v>
      </c>
      <c r="AE85" s="148"/>
      <c r="AF85" s="189"/>
      <c r="AG85" s="254"/>
    </row>
    <row r="86" spans="1:33" ht="15.6" outlineLevel="1">
      <c r="A86" s="262" t="s">
        <v>103</v>
      </c>
      <c r="B86" s="202"/>
      <c r="C86" s="263"/>
      <c r="D86" s="264"/>
      <c r="F86" s="234"/>
      <c r="G86" s="263"/>
      <c r="H86" s="264"/>
      <c r="J86" s="207"/>
      <c r="K86" s="263"/>
      <c r="L86" s="264"/>
      <c r="N86" s="207"/>
      <c r="O86" s="263"/>
      <c r="P86" s="264"/>
      <c r="R86" s="207"/>
      <c r="S86" s="263"/>
      <c r="T86" s="264"/>
      <c r="V86" s="207"/>
      <c r="W86" s="186"/>
      <c r="AE86" s="148"/>
      <c r="AF86" s="189"/>
      <c r="AG86" s="254"/>
    </row>
    <row r="87" spans="1:33" ht="15.6" outlineLevel="1">
      <c r="A87" s="176" t="s">
        <v>107</v>
      </c>
      <c r="B87" s="202"/>
      <c r="C87" s="263"/>
      <c r="D87" s="264"/>
      <c r="F87" s="184"/>
      <c r="G87" s="263"/>
      <c r="H87" s="264"/>
      <c r="I87" s="145"/>
      <c r="J87" s="184"/>
      <c r="K87" s="263"/>
      <c r="L87" s="264"/>
      <c r="N87" s="184"/>
      <c r="O87" s="263"/>
      <c r="P87" s="264"/>
      <c r="Q87" s="145"/>
      <c r="R87" s="184"/>
      <c r="S87" s="263"/>
      <c r="T87" s="264"/>
      <c r="U87" s="145"/>
      <c r="V87" s="184"/>
      <c r="W87" s="186"/>
      <c r="AE87" s="148"/>
      <c r="AF87" s="189"/>
      <c r="AG87" s="254"/>
    </row>
    <row r="88" spans="1:33" ht="15.6" outlineLevel="1">
      <c r="A88" s="255" t="str">
        <f>'Program Budget'!D352</f>
        <v>Grant to Scale Solar Energy Technologies</v>
      </c>
      <c r="B88" s="180" t="str">
        <f>'Program Budget'!F352</f>
        <v>Grant</v>
      </c>
      <c r="C88" s="181">
        <f>'Program Budget'!H352</f>
        <v>1000</v>
      </c>
      <c r="D88" s="182">
        <f>'Program Budget'!G352</f>
        <v>0</v>
      </c>
      <c r="E88" s="183">
        <v>0</v>
      </c>
      <c r="F88" s="184">
        <f t="shared" ref="F88" si="76">C88*D88*E88</f>
        <v>0</v>
      </c>
      <c r="G88" s="181">
        <f t="shared" ref="G88" si="77">C88</f>
        <v>1000</v>
      </c>
      <c r="H88" s="182">
        <f>'Program Budget'!K352</f>
        <v>25</v>
      </c>
      <c r="I88" s="183">
        <v>1</v>
      </c>
      <c r="J88" s="184">
        <f t="shared" ref="J88" si="78">G88*H88*I88</f>
        <v>25000</v>
      </c>
      <c r="K88" s="181">
        <f t="shared" ref="K88" si="79">G88</f>
        <v>1000</v>
      </c>
      <c r="L88" s="182">
        <f>'Program Budget'!N352</f>
        <v>25</v>
      </c>
      <c r="M88" s="183">
        <v>1</v>
      </c>
      <c r="N88" s="184">
        <f t="shared" ref="N88" si="80">K88*L88*M88</f>
        <v>25000</v>
      </c>
      <c r="O88" s="181">
        <f t="shared" ref="O88" si="81">K88</f>
        <v>1000</v>
      </c>
      <c r="P88" s="182">
        <f>'Program Budget'!Q352</f>
        <v>0</v>
      </c>
      <c r="Q88" s="183">
        <v>0</v>
      </c>
      <c r="R88" s="184">
        <f t="shared" ref="R88" si="82">O88*P88*Q88</f>
        <v>0</v>
      </c>
      <c r="S88" s="181">
        <f t="shared" ref="S88" si="83">O88</f>
        <v>1000</v>
      </c>
      <c r="T88" s="182">
        <f>'Program Budget'!T352</f>
        <v>0</v>
      </c>
      <c r="U88" s="183">
        <v>0</v>
      </c>
      <c r="V88" s="184">
        <f t="shared" ref="V88" si="84">S88*T88*U88</f>
        <v>0</v>
      </c>
      <c r="W88" s="320">
        <f t="shared" ref="W88" si="85">F88+J88+N88+R88+V88</f>
        <v>50000</v>
      </c>
      <c r="AE88" s="148"/>
      <c r="AF88" s="189"/>
      <c r="AG88" s="254"/>
    </row>
    <row r="89" spans="1:33" ht="15.6" outlineLevel="1">
      <c r="A89" s="255" t="str">
        <f>'Program Budget'!D353</f>
        <v>Grants for Producer Organization Mechanization</v>
      </c>
      <c r="B89" s="180" t="str">
        <f>'Program Budget'!F353</f>
        <v>Grant</v>
      </c>
      <c r="C89" s="181">
        <f>'Program Budget'!H353</f>
        <v>5000</v>
      </c>
      <c r="D89" s="182">
        <f>'Program Budget'!G353</f>
        <v>0</v>
      </c>
      <c r="E89" s="183">
        <v>0</v>
      </c>
      <c r="F89" s="184">
        <f t="shared" ref="F89:F97" si="86">C89*D89*E89</f>
        <v>0</v>
      </c>
      <c r="G89" s="181">
        <f t="shared" ref="G89:G97" si="87">C89</f>
        <v>5000</v>
      </c>
      <c r="H89" s="182">
        <f>'Program Budget'!K353</f>
        <v>2</v>
      </c>
      <c r="I89" s="183">
        <v>1</v>
      </c>
      <c r="J89" s="184">
        <f t="shared" ref="J89:J97" si="88">G89*H89*I89</f>
        <v>10000</v>
      </c>
      <c r="K89" s="181">
        <f t="shared" ref="K89:K97" si="89">G89</f>
        <v>5000</v>
      </c>
      <c r="L89" s="182">
        <f>'Program Budget'!N353</f>
        <v>3</v>
      </c>
      <c r="M89" s="183">
        <v>1</v>
      </c>
      <c r="N89" s="184">
        <f t="shared" ref="N89:N97" si="90">K89*L89*M89</f>
        <v>15000</v>
      </c>
      <c r="O89" s="181">
        <f t="shared" ref="O89:O97" si="91">K89</f>
        <v>5000</v>
      </c>
      <c r="P89" s="182">
        <f>'Program Budget'!Q353</f>
        <v>0</v>
      </c>
      <c r="Q89" s="183">
        <v>0</v>
      </c>
      <c r="R89" s="184">
        <f t="shared" ref="R89:R97" si="92">O89*P89*Q89</f>
        <v>0</v>
      </c>
      <c r="S89" s="181">
        <f t="shared" ref="S89:S97" si="93">O89</f>
        <v>5000</v>
      </c>
      <c r="T89" s="182">
        <f>'Program Budget'!T353</f>
        <v>0</v>
      </c>
      <c r="U89" s="183">
        <v>0</v>
      </c>
      <c r="V89" s="184">
        <f t="shared" ref="V89:V97" si="94">S89*T89*U89</f>
        <v>0</v>
      </c>
      <c r="W89" s="320">
        <f t="shared" ref="W89:W97" si="95">F89+J89+N89+R89+V89</f>
        <v>25000</v>
      </c>
      <c r="AE89" s="148"/>
      <c r="AF89" s="189"/>
      <c r="AG89" s="254"/>
    </row>
    <row r="90" spans="1:33" ht="15.6" outlineLevel="1">
      <c r="A90" s="255" t="str">
        <f>'Program Budget'!D354</f>
        <v xml:space="preserve">Grants for Youth-Led Mechanization Service Providers  </v>
      </c>
      <c r="B90" s="180" t="str">
        <f>'Program Budget'!F354</f>
        <v>Grant</v>
      </c>
      <c r="C90" s="181">
        <f>'Program Budget'!H354</f>
        <v>5000</v>
      </c>
      <c r="D90" s="182">
        <f>'Program Budget'!G354</f>
        <v>0</v>
      </c>
      <c r="E90" s="183">
        <v>0</v>
      </c>
      <c r="F90" s="184">
        <f t="shared" si="86"/>
        <v>0</v>
      </c>
      <c r="G90" s="181">
        <f t="shared" si="87"/>
        <v>5000</v>
      </c>
      <c r="H90" s="182">
        <f>'Program Budget'!K354</f>
        <v>0</v>
      </c>
      <c r="I90" s="183">
        <v>0</v>
      </c>
      <c r="J90" s="184">
        <f t="shared" si="88"/>
        <v>0</v>
      </c>
      <c r="K90" s="181">
        <f t="shared" si="89"/>
        <v>5000</v>
      </c>
      <c r="L90" s="182">
        <f>'Program Budget'!N354</f>
        <v>2</v>
      </c>
      <c r="M90" s="183">
        <v>1</v>
      </c>
      <c r="N90" s="184">
        <f t="shared" si="90"/>
        <v>10000</v>
      </c>
      <c r="O90" s="181">
        <f t="shared" si="91"/>
        <v>5000</v>
      </c>
      <c r="P90" s="182">
        <f>'Program Budget'!Q354</f>
        <v>3</v>
      </c>
      <c r="Q90" s="183">
        <v>1</v>
      </c>
      <c r="R90" s="184">
        <f t="shared" si="92"/>
        <v>15000</v>
      </c>
      <c r="S90" s="181">
        <f t="shared" si="93"/>
        <v>5000</v>
      </c>
      <c r="T90" s="182">
        <f>'Program Budget'!T354</f>
        <v>0</v>
      </c>
      <c r="U90" s="183">
        <v>0</v>
      </c>
      <c r="V90" s="184">
        <f t="shared" si="94"/>
        <v>0</v>
      </c>
      <c r="W90" s="320">
        <f t="shared" si="95"/>
        <v>25000</v>
      </c>
      <c r="AE90" s="148"/>
      <c r="AF90" s="189"/>
      <c r="AG90" s="254"/>
    </row>
    <row r="91" spans="1:33" ht="15.6" outlineLevel="1">
      <c r="A91" s="255" t="str">
        <f>'Program Budget'!D355</f>
        <v>Grants for Women-Led Date Product Processing</v>
      </c>
      <c r="B91" s="180" t="str">
        <f>'Program Budget'!F355</f>
        <v>Grant</v>
      </c>
      <c r="C91" s="181">
        <f>'Program Budget'!H355</f>
        <v>7500</v>
      </c>
      <c r="D91" s="182">
        <f>'Program Budget'!G355</f>
        <v>0</v>
      </c>
      <c r="E91" s="183">
        <v>0</v>
      </c>
      <c r="F91" s="184">
        <f t="shared" si="86"/>
        <v>0</v>
      </c>
      <c r="G91" s="181">
        <f t="shared" si="87"/>
        <v>7500</v>
      </c>
      <c r="H91" s="182">
        <f>'Program Budget'!K355</f>
        <v>25</v>
      </c>
      <c r="I91" s="183">
        <v>1</v>
      </c>
      <c r="J91" s="184">
        <f t="shared" si="88"/>
        <v>187500</v>
      </c>
      <c r="K91" s="181">
        <f t="shared" si="89"/>
        <v>7500</v>
      </c>
      <c r="L91" s="182">
        <f>'Program Budget'!N355</f>
        <v>0</v>
      </c>
      <c r="M91" s="183">
        <v>0</v>
      </c>
      <c r="N91" s="184">
        <f t="shared" si="90"/>
        <v>0</v>
      </c>
      <c r="O91" s="181">
        <f t="shared" si="91"/>
        <v>7500</v>
      </c>
      <c r="P91" s="182">
        <f>'Program Budget'!Q355</f>
        <v>0</v>
      </c>
      <c r="Q91" s="183">
        <v>0</v>
      </c>
      <c r="R91" s="184">
        <f t="shared" si="92"/>
        <v>0</v>
      </c>
      <c r="S91" s="181">
        <f t="shared" si="93"/>
        <v>7500</v>
      </c>
      <c r="T91" s="182">
        <f>'Program Budget'!T355</f>
        <v>0</v>
      </c>
      <c r="U91" s="183">
        <v>0</v>
      </c>
      <c r="V91" s="184">
        <f t="shared" si="94"/>
        <v>0</v>
      </c>
      <c r="W91" s="320">
        <f t="shared" si="95"/>
        <v>187500</v>
      </c>
      <c r="AE91" s="148"/>
      <c r="AF91" s="189"/>
      <c r="AG91" s="254"/>
    </row>
    <row r="92" spans="1:33" ht="15.6" outlineLevel="1">
      <c r="A92" s="176" t="str">
        <f>'Program Budget'!D356</f>
        <v>Trainings and Meetings</v>
      </c>
      <c r="B92" s="180"/>
      <c r="C92" s="181"/>
      <c r="D92" s="182"/>
      <c r="E92" s="183"/>
      <c r="F92" s="184"/>
      <c r="G92" s="181"/>
      <c r="H92" s="182"/>
      <c r="I92" s="183"/>
      <c r="J92" s="184"/>
      <c r="K92" s="181"/>
      <c r="L92" s="182"/>
      <c r="M92" s="183"/>
      <c r="N92" s="184"/>
      <c r="O92" s="181"/>
      <c r="P92" s="182"/>
      <c r="Q92" s="183"/>
      <c r="R92" s="184"/>
      <c r="S92" s="181"/>
      <c r="T92" s="182"/>
      <c r="U92" s="183"/>
      <c r="V92" s="184"/>
      <c r="W92" s="320"/>
      <c r="AE92" s="148"/>
      <c r="AF92" s="189"/>
      <c r="AG92" s="254"/>
    </row>
    <row r="93" spans="1:33" ht="15.6" outlineLevel="1">
      <c r="A93" s="255" t="str">
        <f>'Program Budget'!D357</f>
        <v>PASPs Trainings to Support Capacity-Building Efforts for Producer Organizations (Materials, Food, &amp; Refreshments)</v>
      </c>
      <c r="B93" s="180" t="str">
        <f>'Program Budget'!F357</f>
        <v>Day</v>
      </c>
      <c r="C93" s="181">
        <f>'Program Budget'!H357</f>
        <v>330</v>
      </c>
      <c r="D93" s="182">
        <f>'Program Budget'!G357</f>
        <v>0</v>
      </c>
      <c r="E93" s="183">
        <v>0</v>
      </c>
      <c r="F93" s="184">
        <f t="shared" si="86"/>
        <v>0</v>
      </c>
      <c r="G93" s="181">
        <f t="shared" si="87"/>
        <v>330</v>
      </c>
      <c r="H93" s="182">
        <f>'Program Budget'!K357</f>
        <v>4</v>
      </c>
      <c r="I93" s="183">
        <v>1</v>
      </c>
      <c r="J93" s="184">
        <f t="shared" si="88"/>
        <v>1320</v>
      </c>
      <c r="K93" s="181">
        <f t="shared" si="89"/>
        <v>330</v>
      </c>
      <c r="L93" s="182">
        <f>'Program Budget'!N357</f>
        <v>4</v>
      </c>
      <c r="M93" s="183">
        <v>1</v>
      </c>
      <c r="N93" s="184">
        <f t="shared" si="90"/>
        <v>1320</v>
      </c>
      <c r="O93" s="181">
        <f t="shared" si="91"/>
        <v>330</v>
      </c>
      <c r="P93" s="182">
        <f>'Program Budget'!Q357</f>
        <v>4</v>
      </c>
      <c r="Q93" s="183">
        <v>1</v>
      </c>
      <c r="R93" s="184">
        <f t="shared" si="92"/>
        <v>1320</v>
      </c>
      <c r="S93" s="181">
        <f t="shared" si="93"/>
        <v>330</v>
      </c>
      <c r="T93" s="182">
        <f>'Program Budget'!T357</f>
        <v>0</v>
      </c>
      <c r="U93" s="183">
        <v>0</v>
      </c>
      <c r="V93" s="184">
        <f t="shared" si="94"/>
        <v>0</v>
      </c>
      <c r="W93" s="320">
        <f t="shared" si="95"/>
        <v>3960</v>
      </c>
      <c r="AE93" s="148"/>
      <c r="AF93" s="189"/>
      <c r="AG93" s="254"/>
    </row>
    <row r="94" spans="1:33" ht="15.6" outlineLevel="1">
      <c r="A94" s="255" t="str">
        <f>'Program Budget'!D358</f>
        <v>Market Access Trainings for Independent Producers (Materials, Food, &amp; Refreshments)</v>
      </c>
      <c r="B94" s="180" t="str">
        <f>'Program Budget'!F358</f>
        <v>Training</v>
      </c>
      <c r="C94" s="181">
        <f>'Program Budget'!H358</f>
        <v>1800</v>
      </c>
      <c r="D94" s="182">
        <f>'Program Budget'!G358</f>
        <v>0</v>
      </c>
      <c r="E94" s="183">
        <v>0</v>
      </c>
      <c r="F94" s="184">
        <f t="shared" si="86"/>
        <v>0</v>
      </c>
      <c r="G94" s="181">
        <f t="shared" si="87"/>
        <v>1800</v>
      </c>
      <c r="H94" s="182">
        <f>'Program Budget'!K358</f>
        <v>4</v>
      </c>
      <c r="I94" s="183">
        <v>1</v>
      </c>
      <c r="J94" s="184">
        <f t="shared" si="88"/>
        <v>7200</v>
      </c>
      <c r="K94" s="181">
        <f t="shared" si="89"/>
        <v>1800</v>
      </c>
      <c r="L94" s="182">
        <f>'Program Budget'!N358</f>
        <v>0</v>
      </c>
      <c r="M94" s="183">
        <v>0</v>
      </c>
      <c r="N94" s="184">
        <f t="shared" si="90"/>
        <v>0</v>
      </c>
      <c r="O94" s="181">
        <f t="shared" si="91"/>
        <v>1800</v>
      </c>
      <c r="P94" s="182">
        <f>'Program Budget'!Q358</f>
        <v>0</v>
      </c>
      <c r="Q94" s="183">
        <v>0</v>
      </c>
      <c r="R94" s="184">
        <f t="shared" si="92"/>
        <v>0</v>
      </c>
      <c r="S94" s="181">
        <f t="shared" si="93"/>
        <v>1800</v>
      </c>
      <c r="T94" s="182">
        <f>'Program Budget'!T358</f>
        <v>0</v>
      </c>
      <c r="U94" s="183">
        <v>0</v>
      </c>
      <c r="V94" s="184">
        <f t="shared" si="94"/>
        <v>0</v>
      </c>
      <c r="W94" s="320">
        <f t="shared" si="95"/>
        <v>7200</v>
      </c>
      <c r="AE94" s="148"/>
      <c r="AF94" s="189"/>
      <c r="AG94" s="254"/>
    </row>
    <row r="95" spans="1:33" ht="15.6" outlineLevel="1">
      <c r="A95" s="255" t="str">
        <f>'Program Budget'!D359</f>
        <v>Meeting Expenses for Meetings with Producer Organizations and Exporters</v>
      </c>
      <c r="B95" s="180" t="str">
        <f>'Program Budget'!F359</f>
        <v>Meeting</v>
      </c>
      <c r="C95" s="181">
        <f>'Program Budget'!H359</f>
        <v>150</v>
      </c>
      <c r="D95" s="182">
        <f>'Program Budget'!G359</f>
        <v>6</v>
      </c>
      <c r="E95" s="183">
        <v>1</v>
      </c>
      <c r="F95" s="184">
        <f t="shared" si="86"/>
        <v>900</v>
      </c>
      <c r="G95" s="181">
        <f t="shared" si="87"/>
        <v>150</v>
      </c>
      <c r="H95" s="182">
        <f>'Program Budget'!K359</f>
        <v>12</v>
      </c>
      <c r="I95" s="183">
        <v>1</v>
      </c>
      <c r="J95" s="184">
        <f t="shared" si="88"/>
        <v>1800</v>
      </c>
      <c r="K95" s="181">
        <f t="shared" si="89"/>
        <v>150</v>
      </c>
      <c r="L95" s="182">
        <f>'Program Budget'!N359</f>
        <v>12</v>
      </c>
      <c r="M95" s="183">
        <v>1</v>
      </c>
      <c r="N95" s="184">
        <f t="shared" si="90"/>
        <v>1800</v>
      </c>
      <c r="O95" s="181">
        <f t="shared" si="91"/>
        <v>150</v>
      </c>
      <c r="P95" s="182">
        <f>'Program Budget'!Q359</f>
        <v>12</v>
      </c>
      <c r="Q95" s="183">
        <v>1</v>
      </c>
      <c r="R95" s="184">
        <f t="shared" si="92"/>
        <v>1800</v>
      </c>
      <c r="S95" s="181">
        <f t="shared" si="93"/>
        <v>150</v>
      </c>
      <c r="T95" s="182">
        <f>'Program Budget'!T359</f>
        <v>9</v>
      </c>
      <c r="U95" s="183">
        <v>1</v>
      </c>
      <c r="V95" s="184">
        <f t="shared" si="94"/>
        <v>1350</v>
      </c>
      <c r="W95" s="320">
        <f t="shared" si="95"/>
        <v>7650</v>
      </c>
      <c r="AE95" s="148"/>
      <c r="AF95" s="189"/>
      <c r="AG95" s="254"/>
    </row>
    <row r="96" spans="1:33" ht="15.6" outlineLevel="1">
      <c r="A96" s="255" t="str">
        <f>'Program Budget'!D360</f>
        <v>Trainings on Financial Literacy (Materials, Food, &amp; Refreshments)</v>
      </c>
      <c r="B96" s="180" t="str">
        <f>'Program Budget'!F360</f>
        <v>Training</v>
      </c>
      <c r="C96" s="181">
        <f>'Program Budget'!H360</f>
        <v>680</v>
      </c>
      <c r="D96" s="182">
        <f>'Program Budget'!G360</f>
        <v>0</v>
      </c>
      <c r="E96" s="183">
        <v>0</v>
      </c>
      <c r="F96" s="184">
        <f t="shared" si="86"/>
        <v>0</v>
      </c>
      <c r="G96" s="181">
        <f t="shared" si="87"/>
        <v>680</v>
      </c>
      <c r="H96" s="182">
        <f>'Program Budget'!K360</f>
        <v>4</v>
      </c>
      <c r="I96" s="183">
        <v>1</v>
      </c>
      <c r="J96" s="184">
        <f t="shared" si="88"/>
        <v>2720</v>
      </c>
      <c r="K96" s="181">
        <f t="shared" si="89"/>
        <v>680</v>
      </c>
      <c r="L96" s="182">
        <f>'Program Budget'!N360</f>
        <v>4</v>
      </c>
      <c r="M96" s="183">
        <v>1</v>
      </c>
      <c r="N96" s="184">
        <f t="shared" si="90"/>
        <v>2720</v>
      </c>
      <c r="O96" s="181">
        <f t="shared" si="91"/>
        <v>680</v>
      </c>
      <c r="P96" s="182">
        <f>'Program Budget'!Q360</f>
        <v>0</v>
      </c>
      <c r="Q96" s="183">
        <v>0</v>
      </c>
      <c r="R96" s="184">
        <f t="shared" si="92"/>
        <v>0</v>
      </c>
      <c r="S96" s="181">
        <f t="shared" si="93"/>
        <v>680</v>
      </c>
      <c r="T96" s="182">
        <f>'Program Budget'!T360</f>
        <v>0</v>
      </c>
      <c r="U96" s="183">
        <v>0</v>
      </c>
      <c r="V96" s="184">
        <f t="shared" si="94"/>
        <v>0</v>
      </c>
      <c r="W96" s="320">
        <f t="shared" si="95"/>
        <v>5440</v>
      </c>
      <c r="AE96" s="148"/>
      <c r="AF96" s="189"/>
      <c r="AG96" s="254"/>
    </row>
    <row r="97" spans="1:33" ht="15.6" outlineLevel="1">
      <c r="A97" s="255" t="str">
        <f>'Program Budget'!D361</f>
        <v>Meeting Expenses for Capacity Building Session with Financial Institutions</v>
      </c>
      <c r="B97" s="180" t="str">
        <f>'Program Budget'!F361</f>
        <v>Meeting</v>
      </c>
      <c r="C97" s="181">
        <f>'Program Budget'!H361</f>
        <v>150</v>
      </c>
      <c r="D97" s="182">
        <f>'Program Budget'!G361</f>
        <v>0</v>
      </c>
      <c r="E97" s="183">
        <v>0</v>
      </c>
      <c r="F97" s="184">
        <f t="shared" si="86"/>
        <v>0</v>
      </c>
      <c r="G97" s="181">
        <f t="shared" si="87"/>
        <v>150</v>
      </c>
      <c r="H97" s="182">
        <f>'Program Budget'!K361</f>
        <v>6</v>
      </c>
      <c r="I97" s="183">
        <v>1</v>
      </c>
      <c r="J97" s="184">
        <f t="shared" si="88"/>
        <v>900</v>
      </c>
      <c r="K97" s="181">
        <f t="shared" si="89"/>
        <v>150</v>
      </c>
      <c r="L97" s="182">
        <f>'Program Budget'!N361</f>
        <v>6</v>
      </c>
      <c r="M97" s="183">
        <v>1</v>
      </c>
      <c r="N97" s="184">
        <f t="shared" si="90"/>
        <v>900</v>
      </c>
      <c r="O97" s="181">
        <f t="shared" si="91"/>
        <v>150</v>
      </c>
      <c r="P97" s="182">
        <f>'Program Budget'!Q361</f>
        <v>0</v>
      </c>
      <c r="Q97" s="183">
        <v>0</v>
      </c>
      <c r="R97" s="184">
        <f t="shared" si="92"/>
        <v>0</v>
      </c>
      <c r="S97" s="181">
        <f t="shared" si="93"/>
        <v>150</v>
      </c>
      <c r="T97" s="182">
        <f>'Program Budget'!T361</f>
        <v>0</v>
      </c>
      <c r="U97" s="183">
        <v>0</v>
      </c>
      <c r="V97" s="184">
        <f t="shared" si="94"/>
        <v>0</v>
      </c>
      <c r="W97" s="320">
        <f t="shared" si="95"/>
        <v>1800</v>
      </c>
      <c r="AE97" s="148"/>
      <c r="AF97" s="189"/>
      <c r="AG97" s="254"/>
    </row>
    <row r="98" spans="1:33" ht="15.6" outlineLevel="1">
      <c r="A98" s="176" t="str">
        <f>'Program Budget'!D362</f>
        <v>Materials Development</v>
      </c>
      <c r="B98" s="180"/>
      <c r="C98" s="181"/>
      <c r="D98" s="182"/>
      <c r="E98" s="183"/>
      <c r="F98" s="184"/>
      <c r="G98" s="181"/>
      <c r="H98" s="182"/>
      <c r="I98" s="183"/>
      <c r="J98" s="184"/>
      <c r="K98" s="181"/>
      <c r="L98" s="182"/>
      <c r="M98" s="183"/>
      <c r="N98" s="184"/>
      <c r="O98" s="181"/>
      <c r="P98" s="182"/>
      <c r="Q98" s="183"/>
      <c r="R98" s="184"/>
      <c r="S98" s="181"/>
      <c r="T98" s="182"/>
      <c r="U98" s="183"/>
      <c r="V98" s="184"/>
      <c r="W98" s="320"/>
      <c r="AE98" s="148"/>
      <c r="AF98" s="189"/>
      <c r="AG98" s="254"/>
    </row>
    <row r="99" spans="1:33" ht="15.6" outlineLevel="1">
      <c r="A99" s="255" t="str">
        <f>'Program Budget'!D363</f>
        <v>Develop Marketing Materials for Producer Organizations to Develop Business Models for Membership Benefits</v>
      </c>
      <c r="B99" s="180" t="str">
        <f>'Program Budget'!F363</f>
        <v>Unit</v>
      </c>
      <c r="C99" s="181">
        <f>'Program Budget'!H363</f>
        <v>2000</v>
      </c>
      <c r="D99" s="182">
        <f>'Program Budget'!G363</f>
        <v>0</v>
      </c>
      <c r="E99" s="183">
        <v>0</v>
      </c>
      <c r="F99" s="184">
        <f t="shared" ref="F99:F102" si="96">C99*D99*E99</f>
        <v>0</v>
      </c>
      <c r="G99" s="181">
        <f t="shared" ref="G99:G102" si="97">C99</f>
        <v>2000</v>
      </c>
      <c r="H99" s="182">
        <f>'Program Budget'!K363</f>
        <v>10</v>
      </c>
      <c r="I99" s="183">
        <v>1</v>
      </c>
      <c r="J99" s="184">
        <f t="shared" ref="J99:J102" si="98">G99*H99*I99</f>
        <v>20000</v>
      </c>
      <c r="K99" s="181">
        <f t="shared" ref="K99:K102" si="99">G99</f>
        <v>2000</v>
      </c>
      <c r="L99" s="182">
        <f>'Program Budget'!N363</f>
        <v>0</v>
      </c>
      <c r="M99" s="183">
        <v>0</v>
      </c>
      <c r="N99" s="184">
        <f t="shared" ref="N99:N102" si="100">K99*L99*M99</f>
        <v>0</v>
      </c>
      <c r="O99" s="181">
        <f t="shared" ref="O99:O102" si="101">K99</f>
        <v>2000</v>
      </c>
      <c r="P99" s="182">
        <f>'Program Budget'!Q363</f>
        <v>0</v>
      </c>
      <c r="Q99" s="183">
        <v>0</v>
      </c>
      <c r="R99" s="184">
        <f t="shared" ref="R99:R102" si="102">O99*P99*Q99</f>
        <v>0</v>
      </c>
      <c r="S99" s="181">
        <f t="shared" ref="S99:S102" si="103">O99</f>
        <v>2000</v>
      </c>
      <c r="T99" s="182">
        <f>'Program Budget'!T363</f>
        <v>0</v>
      </c>
      <c r="U99" s="183">
        <v>0</v>
      </c>
      <c r="V99" s="184">
        <f t="shared" ref="V99:V102" si="104">S99*T99*U99</f>
        <v>0</v>
      </c>
      <c r="W99" s="320">
        <f t="shared" ref="W99:W102" si="105">F99+J99+N99+R99+V99</f>
        <v>20000</v>
      </c>
      <c r="AE99" s="148"/>
      <c r="AF99" s="189"/>
      <c r="AG99" s="254"/>
    </row>
    <row r="100" spans="1:33" ht="15.6" outlineLevel="1">
      <c r="A100" s="255" t="str">
        <f>'Program Budget'!D364</f>
        <v>Materials Development on Date Grading (Printing &amp; Translation)</v>
      </c>
      <c r="B100" s="180" t="str">
        <f>'Program Budget'!F364</f>
        <v>Unit</v>
      </c>
      <c r="C100" s="181">
        <f>'Program Budget'!H364</f>
        <v>3000</v>
      </c>
      <c r="D100" s="182">
        <f>'Program Budget'!G364</f>
        <v>0</v>
      </c>
      <c r="E100" s="183">
        <v>0</v>
      </c>
      <c r="F100" s="184">
        <f t="shared" si="96"/>
        <v>0</v>
      </c>
      <c r="G100" s="181">
        <f t="shared" si="97"/>
        <v>3000</v>
      </c>
      <c r="H100" s="182">
        <f>'Program Budget'!K364</f>
        <v>1</v>
      </c>
      <c r="I100" s="183">
        <v>1</v>
      </c>
      <c r="J100" s="184">
        <f t="shared" si="98"/>
        <v>3000</v>
      </c>
      <c r="K100" s="181">
        <f t="shared" si="99"/>
        <v>3000</v>
      </c>
      <c r="L100" s="182">
        <f>'Program Budget'!N364</f>
        <v>0</v>
      </c>
      <c r="M100" s="183">
        <v>0</v>
      </c>
      <c r="N100" s="184">
        <f t="shared" si="100"/>
        <v>0</v>
      </c>
      <c r="O100" s="181">
        <f t="shared" si="101"/>
        <v>3000</v>
      </c>
      <c r="P100" s="182">
        <f>'Program Budget'!Q364</f>
        <v>0</v>
      </c>
      <c r="Q100" s="183">
        <v>0</v>
      </c>
      <c r="R100" s="184">
        <f t="shared" si="102"/>
        <v>0</v>
      </c>
      <c r="S100" s="181">
        <f t="shared" si="103"/>
        <v>3000</v>
      </c>
      <c r="T100" s="182">
        <f>'Program Budget'!T364</f>
        <v>0</v>
      </c>
      <c r="U100" s="183">
        <v>0</v>
      </c>
      <c r="V100" s="184">
        <f t="shared" si="104"/>
        <v>0</v>
      </c>
      <c r="W100" s="320">
        <f t="shared" si="105"/>
        <v>3000</v>
      </c>
      <c r="AE100" s="148"/>
      <c r="AF100" s="189"/>
      <c r="AG100" s="254"/>
    </row>
    <row r="101" spans="1:33" ht="15.6" outlineLevel="1">
      <c r="A101" s="176" t="str">
        <f>'Program Budget'!D365</f>
        <v>Registrations and Events</v>
      </c>
      <c r="B101" s="180"/>
      <c r="C101" s="181"/>
      <c r="D101" s="182"/>
      <c r="E101" s="183"/>
      <c r="F101" s="184"/>
      <c r="G101" s="181"/>
      <c r="H101" s="182"/>
      <c r="I101" s="183"/>
      <c r="J101" s="184"/>
      <c r="K101" s="181"/>
      <c r="L101" s="182"/>
      <c r="M101" s="183"/>
      <c r="N101" s="184"/>
      <c r="O101" s="181"/>
      <c r="P101" s="182"/>
      <c r="Q101" s="183"/>
      <c r="R101" s="184"/>
      <c r="S101" s="181"/>
      <c r="T101" s="182"/>
      <c r="U101" s="183"/>
      <c r="V101" s="184"/>
      <c r="W101" s="320"/>
      <c r="AE101" s="148"/>
      <c r="AF101" s="189"/>
      <c r="AG101" s="254"/>
    </row>
    <row r="102" spans="1:33" ht="15.6" outlineLevel="1">
      <c r="A102" s="255" t="str">
        <f>'Program Budget'!D366</f>
        <v>Registration and Booths for International Food Shows</v>
      </c>
      <c r="B102" s="180" t="str">
        <f>'Program Budget'!F366</f>
        <v>Event</v>
      </c>
      <c r="C102" s="181">
        <f>'Program Budget'!H366</f>
        <v>5000</v>
      </c>
      <c r="D102" s="182">
        <f>'Program Budget'!G366</f>
        <v>0</v>
      </c>
      <c r="E102" s="183">
        <v>0</v>
      </c>
      <c r="F102" s="184">
        <f t="shared" si="96"/>
        <v>0</v>
      </c>
      <c r="G102" s="181">
        <f t="shared" si="97"/>
        <v>5000</v>
      </c>
      <c r="H102" s="182">
        <f>'Program Budget'!K366</f>
        <v>1</v>
      </c>
      <c r="I102" s="183">
        <v>1</v>
      </c>
      <c r="J102" s="184">
        <f t="shared" si="98"/>
        <v>5000</v>
      </c>
      <c r="K102" s="181">
        <f t="shared" si="99"/>
        <v>5000</v>
      </c>
      <c r="L102" s="182">
        <f>'Program Budget'!N366</f>
        <v>2</v>
      </c>
      <c r="M102" s="183">
        <v>1</v>
      </c>
      <c r="N102" s="184">
        <f t="shared" si="100"/>
        <v>10000</v>
      </c>
      <c r="O102" s="181">
        <f t="shared" si="101"/>
        <v>5000</v>
      </c>
      <c r="P102" s="182">
        <f>'Program Budget'!Q366</f>
        <v>1</v>
      </c>
      <c r="Q102" s="183">
        <v>1</v>
      </c>
      <c r="R102" s="184">
        <f t="shared" si="102"/>
        <v>5000</v>
      </c>
      <c r="S102" s="181">
        <f t="shared" si="103"/>
        <v>5000</v>
      </c>
      <c r="T102" s="182">
        <f>'Program Budget'!T366</f>
        <v>0</v>
      </c>
      <c r="U102" s="183">
        <v>0</v>
      </c>
      <c r="V102" s="184">
        <f t="shared" si="104"/>
        <v>0</v>
      </c>
      <c r="W102" s="320">
        <f t="shared" si="105"/>
        <v>20000</v>
      </c>
      <c r="AE102" s="148"/>
      <c r="AF102" s="189"/>
      <c r="AG102" s="254"/>
    </row>
    <row r="103" spans="1:33" ht="15.6" outlineLevel="1">
      <c r="A103" s="267"/>
      <c r="B103" s="227"/>
      <c r="C103" s="265"/>
      <c r="D103" s="266"/>
      <c r="E103" s="230"/>
      <c r="F103" s="231"/>
      <c r="G103" s="265"/>
      <c r="H103" s="266"/>
      <c r="I103" s="230"/>
      <c r="J103" s="231"/>
      <c r="K103" s="265"/>
      <c r="L103" s="266"/>
      <c r="M103" s="230"/>
      <c r="N103" s="231"/>
      <c r="O103" s="265"/>
      <c r="P103" s="266"/>
      <c r="Q103" s="230"/>
      <c r="R103" s="231"/>
      <c r="S103" s="265"/>
      <c r="T103" s="266"/>
      <c r="U103" s="230"/>
      <c r="V103" s="231"/>
      <c r="W103" s="186"/>
      <c r="AE103" s="148"/>
      <c r="AF103" s="189"/>
      <c r="AG103" s="254"/>
    </row>
    <row r="104" spans="1:33" ht="18.3" outlineLevel="1">
      <c r="A104" s="268" t="s">
        <v>110</v>
      </c>
      <c r="B104" s="213"/>
      <c r="C104" s="237"/>
      <c r="D104" s="238"/>
      <c r="E104" s="269"/>
      <c r="F104" s="240">
        <f>SUM(F88:F102)</f>
        <v>900</v>
      </c>
      <c r="G104" s="237"/>
      <c r="H104" s="238"/>
      <c r="I104" s="241"/>
      <c r="J104" s="240">
        <f>SUM(J88:J102)</f>
        <v>264440</v>
      </c>
      <c r="K104" s="237"/>
      <c r="L104" s="238"/>
      <c r="M104" s="269"/>
      <c r="N104" s="240">
        <f>SUM(N88:N102)</f>
        <v>66740</v>
      </c>
      <c r="O104" s="237"/>
      <c r="P104" s="238"/>
      <c r="Q104" s="241"/>
      <c r="R104" s="240">
        <f>SUM(R88:R102)</f>
        <v>23120</v>
      </c>
      <c r="S104" s="237"/>
      <c r="T104" s="238"/>
      <c r="U104" s="241"/>
      <c r="V104" s="240">
        <f>SUM(V88:V102)</f>
        <v>1350</v>
      </c>
      <c r="W104" s="240">
        <f>SUM(W88:W102)</f>
        <v>356550</v>
      </c>
      <c r="AE104" s="148"/>
      <c r="AF104" s="189"/>
      <c r="AG104" s="254"/>
    </row>
    <row r="105" spans="1:33" ht="15.6" outlineLevel="1">
      <c r="A105" s="270"/>
      <c r="B105" s="225"/>
      <c r="C105" s="263"/>
      <c r="D105" s="264"/>
      <c r="F105" s="184"/>
      <c r="G105" s="263"/>
      <c r="H105" s="264"/>
      <c r="J105" s="186"/>
      <c r="K105" s="263"/>
      <c r="L105" s="264"/>
      <c r="N105" s="186"/>
      <c r="O105" s="263"/>
      <c r="P105" s="264"/>
      <c r="R105" s="186"/>
      <c r="S105" s="263"/>
      <c r="T105" s="264"/>
      <c r="V105" s="186"/>
      <c r="W105" s="186"/>
      <c r="AE105" s="148">
        <v>250</v>
      </c>
      <c r="AF105" s="189" t="s">
        <v>141</v>
      </c>
      <c r="AG105" s="254" t="s">
        <v>142</v>
      </c>
    </row>
    <row r="106" spans="1:33" ht="18.3" outlineLevel="1">
      <c r="A106" s="271" t="s">
        <v>111</v>
      </c>
      <c r="B106" s="272"/>
      <c r="C106" s="273"/>
      <c r="D106" s="274"/>
      <c r="E106" s="275"/>
      <c r="F106" s="276">
        <f>F33+F42+F63+F79+F85+F73+F104</f>
        <v>385860.48450000002</v>
      </c>
      <c r="G106" s="273"/>
      <c r="H106" s="274"/>
      <c r="I106" s="277"/>
      <c r="J106" s="276">
        <f>J33+J42+J63+J79+J85+J73+J104</f>
        <v>859982.67408000003</v>
      </c>
      <c r="K106" s="273"/>
      <c r="L106" s="274"/>
      <c r="M106" s="275"/>
      <c r="N106" s="276">
        <f>N33+N42+N63+N79+N85+N73+N104</f>
        <v>858378.65384960012</v>
      </c>
      <c r="O106" s="273"/>
      <c r="P106" s="274"/>
      <c r="Q106" s="277"/>
      <c r="R106" s="276">
        <f>R33+R42+R63+R79+R85+R73+R104</f>
        <v>481158.81631600001</v>
      </c>
      <c r="S106" s="273"/>
      <c r="T106" s="274"/>
      <c r="U106" s="277"/>
      <c r="V106" s="276">
        <f>V33+V42+V63+V79+V85+V73+V104</f>
        <v>353591.32063917181</v>
      </c>
      <c r="W106" s="276">
        <f>W33+W42+W63+W79+W85+W73+W104</f>
        <v>2938971.9493847722</v>
      </c>
      <c r="AE106" s="148">
        <v>317</v>
      </c>
      <c r="AF106" s="189" t="s">
        <v>143</v>
      </c>
      <c r="AG106" s="254" t="s">
        <v>144</v>
      </c>
    </row>
    <row r="107" spans="1:33" outlineLevel="1">
      <c r="A107" s="316"/>
      <c r="B107" s="225"/>
      <c r="C107" s="263"/>
      <c r="D107" s="264"/>
      <c r="F107" s="184"/>
      <c r="G107" s="263"/>
      <c r="H107" s="264"/>
      <c r="J107" s="186"/>
      <c r="K107" s="263"/>
      <c r="L107" s="264"/>
      <c r="N107" s="186"/>
      <c r="O107" s="263"/>
      <c r="P107" s="264"/>
      <c r="R107" s="186"/>
      <c r="S107" s="263"/>
      <c r="T107" s="264"/>
      <c r="V107" s="186"/>
      <c r="W107" s="186"/>
      <c r="AE107" s="148">
        <v>318</v>
      </c>
      <c r="AF107" s="189" t="s">
        <v>145</v>
      </c>
      <c r="AG107" s="254" t="s">
        <v>146</v>
      </c>
    </row>
    <row r="108" spans="1:33" ht="20.399999999999999">
      <c r="A108" s="278" t="s">
        <v>53</v>
      </c>
      <c r="B108" s="279"/>
      <c r="C108" s="280"/>
      <c r="D108" s="280"/>
      <c r="E108" s="280"/>
      <c r="F108" s="280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79"/>
    </row>
    <row r="109" spans="1:33" ht="18.3">
      <c r="A109" s="281" t="s">
        <v>54</v>
      </c>
      <c r="B109" s="337" t="s">
        <v>147</v>
      </c>
      <c r="C109" s="181">
        <v>0</v>
      </c>
      <c r="D109" s="182">
        <v>0</v>
      </c>
      <c r="E109" s="183">
        <v>0.2828</v>
      </c>
      <c r="F109" s="184">
        <f>C109*D109*E109</f>
        <v>0</v>
      </c>
      <c r="G109" s="181">
        <v>0</v>
      </c>
      <c r="H109" s="182">
        <v>0</v>
      </c>
      <c r="I109" s="183">
        <v>0.2828</v>
      </c>
      <c r="J109" s="184">
        <f>G109*H109*I109</f>
        <v>0</v>
      </c>
      <c r="K109" s="181">
        <v>0</v>
      </c>
      <c r="L109" s="182">
        <v>0</v>
      </c>
      <c r="M109" s="183">
        <v>0.2828</v>
      </c>
      <c r="N109" s="184">
        <f>K109*L109*M109</f>
        <v>0</v>
      </c>
      <c r="O109" s="181">
        <v>0</v>
      </c>
      <c r="P109" s="182">
        <v>0</v>
      </c>
      <c r="Q109" s="183">
        <v>0.2828</v>
      </c>
      <c r="R109" s="184">
        <f>O109*P109*Q109</f>
        <v>0</v>
      </c>
      <c r="S109" s="181">
        <v>0</v>
      </c>
      <c r="T109" s="182">
        <v>0</v>
      </c>
      <c r="U109" s="183">
        <v>0.2828</v>
      </c>
      <c r="V109" s="184">
        <f>S109*T109*U109</f>
        <v>0</v>
      </c>
      <c r="W109" s="320">
        <f>F109+J109+N109+R109+V109</f>
        <v>0</v>
      </c>
    </row>
    <row r="110" spans="1:33" ht="15" customHeight="1">
      <c r="A110" s="281" t="s">
        <v>55</v>
      </c>
      <c r="B110" s="337" t="s">
        <v>147</v>
      </c>
      <c r="C110" s="181">
        <f>F106</f>
        <v>385860.48450000002</v>
      </c>
      <c r="D110" s="182">
        <v>1</v>
      </c>
      <c r="E110" s="183">
        <v>0.2828</v>
      </c>
      <c r="F110" s="184">
        <f>C110*D110*E110</f>
        <v>109121.34501660001</v>
      </c>
      <c r="G110" s="181">
        <f>J106</f>
        <v>859982.67408000003</v>
      </c>
      <c r="H110" s="182">
        <v>1</v>
      </c>
      <c r="I110" s="183">
        <v>0.2828</v>
      </c>
      <c r="J110" s="184">
        <f>G110*H110*I110</f>
        <v>243203.10022982399</v>
      </c>
      <c r="K110" s="181">
        <f>N106</f>
        <v>858378.65384960012</v>
      </c>
      <c r="L110" s="182">
        <v>1</v>
      </c>
      <c r="M110" s="183">
        <v>0.2828</v>
      </c>
      <c r="N110" s="184">
        <f>K110*L110*M110</f>
        <v>242749.48330866691</v>
      </c>
      <c r="O110" s="181">
        <f>R106</f>
        <v>481158.81631600001</v>
      </c>
      <c r="P110" s="182">
        <v>1</v>
      </c>
      <c r="Q110" s="183">
        <v>0.2828</v>
      </c>
      <c r="R110" s="184">
        <f>O110*P110*Q110</f>
        <v>136071.71325416479</v>
      </c>
      <c r="S110" s="181">
        <f>V106</f>
        <v>353591.32063917181</v>
      </c>
      <c r="T110" s="182">
        <v>1</v>
      </c>
      <c r="U110" s="183">
        <v>0.2828</v>
      </c>
      <c r="V110" s="184">
        <f>S110*T110*U110</f>
        <v>99995.625476757792</v>
      </c>
      <c r="W110" s="320">
        <f>F110+J110+N110+R110+V110</f>
        <v>831141.26728601346</v>
      </c>
    </row>
    <row r="111" spans="1:33" ht="15" customHeight="1">
      <c r="A111" s="284"/>
      <c r="B111" s="225"/>
      <c r="C111" s="256"/>
      <c r="D111" s="285"/>
      <c r="E111" s="286"/>
      <c r="F111" s="184"/>
      <c r="G111" s="181"/>
      <c r="H111" s="285"/>
      <c r="I111" s="185"/>
      <c r="J111" s="184"/>
      <c r="K111" s="181"/>
      <c r="L111" s="285"/>
      <c r="M111" s="286"/>
      <c r="N111" s="184"/>
      <c r="O111" s="181"/>
      <c r="P111" s="285"/>
      <c r="Q111" s="185"/>
      <c r="R111" s="184"/>
      <c r="S111" s="256"/>
      <c r="T111" s="285"/>
      <c r="U111" s="185"/>
      <c r="V111" s="184"/>
      <c r="W111" s="186"/>
    </row>
    <row r="112" spans="1:33" ht="18.3">
      <c r="A112" s="271" t="s">
        <v>112</v>
      </c>
      <c r="B112" s="272"/>
      <c r="C112" s="273"/>
      <c r="D112" s="274"/>
      <c r="E112" s="275"/>
      <c r="F112" s="276">
        <f>SUM(F109:F111)</f>
        <v>109121.34501660001</v>
      </c>
      <c r="G112" s="273"/>
      <c r="H112" s="274"/>
      <c r="I112" s="277"/>
      <c r="J112" s="276">
        <f>SUM(J109:J111)</f>
        <v>243203.10022982399</v>
      </c>
      <c r="K112" s="273"/>
      <c r="L112" s="274"/>
      <c r="M112" s="275"/>
      <c r="N112" s="276">
        <f>SUM(N109:N111)</f>
        <v>242749.48330866691</v>
      </c>
      <c r="O112" s="273"/>
      <c r="P112" s="274"/>
      <c r="Q112" s="277"/>
      <c r="R112" s="276">
        <f>SUM(R109:R111)</f>
        <v>136071.71325416479</v>
      </c>
      <c r="S112" s="273"/>
      <c r="T112" s="274"/>
      <c r="U112" s="277"/>
      <c r="V112" s="276">
        <f>SUM(V109:V111)</f>
        <v>99995.625476757792</v>
      </c>
      <c r="W112" s="276">
        <f>SUM(W109:W111)</f>
        <v>831141.26728601346</v>
      </c>
    </row>
    <row r="113" spans="1:23">
      <c r="A113" s="231"/>
      <c r="B113" s="287"/>
      <c r="C113" s="265"/>
      <c r="D113" s="288"/>
      <c r="E113" s="289"/>
      <c r="F113" s="231"/>
      <c r="G113" s="265"/>
      <c r="H113" s="288"/>
      <c r="I113" s="290"/>
      <c r="J113" s="231"/>
      <c r="K113" s="265"/>
      <c r="L113" s="288"/>
      <c r="M113" s="289"/>
      <c r="N113" s="231"/>
      <c r="O113" s="265"/>
      <c r="P113" s="288"/>
      <c r="Q113" s="290"/>
      <c r="R113" s="231"/>
      <c r="S113" s="265"/>
      <c r="T113" s="288"/>
      <c r="U113" s="290"/>
      <c r="V113" s="231"/>
      <c r="W113" s="192"/>
    </row>
    <row r="114" spans="1:23" ht="18.3">
      <c r="A114" s="291" t="s">
        <v>113</v>
      </c>
      <c r="B114" s="292"/>
      <c r="C114" s="293"/>
      <c r="D114" s="294"/>
      <c r="E114" s="295"/>
      <c r="F114" s="296">
        <f>F106+F112</f>
        <v>494981.8295166</v>
      </c>
      <c r="G114" s="293"/>
      <c r="H114" s="294"/>
      <c r="I114" s="297"/>
      <c r="J114" s="296">
        <f>J106+J112</f>
        <v>1103185.774309824</v>
      </c>
      <c r="K114" s="293"/>
      <c r="L114" s="294"/>
      <c r="M114" s="295"/>
      <c r="N114" s="296">
        <f>N106+N112</f>
        <v>1101128.137158267</v>
      </c>
      <c r="O114" s="293"/>
      <c r="P114" s="294"/>
      <c r="Q114" s="297"/>
      <c r="R114" s="296">
        <f>R106+R112</f>
        <v>617230.52957016486</v>
      </c>
      <c r="S114" s="293"/>
      <c r="T114" s="294"/>
      <c r="U114" s="297"/>
      <c r="V114" s="296">
        <f>V106+V112</f>
        <v>453586.94611592963</v>
      </c>
      <c r="W114" s="298">
        <f t="shared" ref="W114:W122" si="106">F114+J114+N114+R114+V114</f>
        <v>3770113.216670786</v>
      </c>
    </row>
    <row r="115" spans="1:23" ht="15.6">
      <c r="A115" s="299" t="str">
        <f>'Program Budget'!D370</f>
        <v xml:space="preserve">Cost Share from Subrecipient: 6th Grain </v>
      </c>
      <c r="B115" s="300" t="str">
        <f>'Program Budget'!F370</f>
        <v>Unit</v>
      </c>
      <c r="C115" s="228">
        <f>'Program Budget'!H370</f>
        <v>3000</v>
      </c>
      <c r="D115" s="301">
        <f>'Program Budget'!G370</f>
        <v>1</v>
      </c>
      <c r="E115" s="230">
        <v>1</v>
      </c>
      <c r="F115" s="231">
        <f t="shared" ref="F115" si="107">C115*D115*E115</f>
        <v>3000</v>
      </c>
      <c r="G115" s="228">
        <f t="shared" ref="G115:G121" si="108">C115</f>
        <v>3000</v>
      </c>
      <c r="H115" s="301">
        <f>'Program Budget'!K370</f>
        <v>1</v>
      </c>
      <c r="I115" s="302">
        <v>1</v>
      </c>
      <c r="J115" s="231">
        <f t="shared" ref="J115" si="109">G115*H115*I115</f>
        <v>3000</v>
      </c>
      <c r="K115" s="228">
        <f t="shared" ref="K115:K121" si="110">+G115</f>
        <v>3000</v>
      </c>
      <c r="L115" s="301">
        <f>'Program Budget'!N370</f>
        <v>1</v>
      </c>
      <c r="M115" s="230">
        <v>1</v>
      </c>
      <c r="N115" s="231">
        <f t="shared" ref="N115" si="111">K115*L115*M115</f>
        <v>3000</v>
      </c>
      <c r="O115" s="228">
        <f t="shared" ref="O115:O121" si="112">K115</f>
        <v>3000</v>
      </c>
      <c r="P115" s="301">
        <f>'Program Budget'!Q370</f>
        <v>0</v>
      </c>
      <c r="Q115" s="302">
        <v>0</v>
      </c>
      <c r="R115" s="231">
        <f t="shared" ref="R115" si="113">O115*P115*Q115</f>
        <v>0</v>
      </c>
      <c r="S115" s="228">
        <f t="shared" ref="S115:S121" si="114">O115</f>
        <v>3000</v>
      </c>
      <c r="T115" s="301">
        <f>'Program Budget'!T370</f>
        <v>0</v>
      </c>
      <c r="U115" s="302">
        <v>0</v>
      </c>
      <c r="V115" s="231">
        <f t="shared" ref="V115" si="115">S115*T115*U115</f>
        <v>0</v>
      </c>
      <c r="W115" s="192">
        <f t="shared" si="106"/>
        <v>9000</v>
      </c>
    </row>
    <row r="116" spans="1:23" ht="15.6">
      <c r="A116" s="299" t="str">
        <f>'Program Budget'!D371</f>
        <v xml:space="preserve">Venue Space Market Access Trainings </v>
      </c>
      <c r="B116" s="300" t="str">
        <f>'Program Budget'!F371</f>
        <v>Training</v>
      </c>
      <c r="C116" s="228">
        <f>'Program Budget'!H371</f>
        <v>250</v>
      </c>
      <c r="D116" s="301">
        <f>'Program Budget'!G371</f>
        <v>0</v>
      </c>
      <c r="E116" s="230">
        <v>0</v>
      </c>
      <c r="F116" s="231">
        <f t="shared" ref="F116:F121" si="116">C116*D116*E116</f>
        <v>0</v>
      </c>
      <c r="G116" s="228">
        <f t="shared" si="108"/>
        <v>250</v>
      </c>
      <c r="H116" s="301">
        <f>'Program Budget'!K371</f>
        <v>4</v>
      </c>
      <c r="I116" s="302">
        <v>1</v>
      </c>
      <c r="J116" s="231">
        <f t="shared" ref="J116:J121" si="117">G116*H116*I116</f>
        <v>1000</v>
      </c>
      <c r="K116" s="228">
        <f t="shared" si="110"/>
        <v>250</v>
      </c>
      <c r="L116" s="301">
        <f>'Program Budget'!N371</f>
        <v>0</v>
      </c>
      <c r="M116" s="230">
        <v>0</v>
      </c>
      <c r="N116" s="231">
        <f t="shared" ref="N116:N121" si="118">K116*L116*M116</f>
        <v>0</v>
      </c>
      <c r="O116" s="228">
        <f t="shared" si="112"/>
        <v>250</v>
      </c>
      <c r="P116" s="301">
        <f>'Program Budget'!Q371</f>
        <v>0</v>
      </c>
      <c r="Q116" s="302">
        <v>0</v>
      </c>
      <c r="R116" s="231">
        <f t="shared" ref="R116:R121" si="119">O116*P116*Q116</f>
        <v>0</v>
      </c>
      <c r="S116" s="228">
        <f t="shared" si="114"/>
        <v>250</v>
      </c>
      <c r="T116" s="301">
        <f>'Program Budget'!T371</f>
        <v>0</v>
      </c>
      <c r="U116" s="302">
        <v>0</v>
      </c>
      <c r="V116" s="231">
        <f t="shared" ref="V116:V121" si="120">S116*T116*U116</f>
        <v>0</v>
      </c>
      <c r="W116" s="192">
        <f t="shared" si="106"/>
        <v>1000</v>
      </c>
    </row>
    <row r="117" spans="1:23" ht="15.6">
      <c r="A117" s="299" t="str">
        <f>'Program Budget'!D372</f>
        <v>Technical Assistance from PAMPAT to Support Date Product Processors</v>
      </c>
      <c r="B117" s="300" t="str">
        <f>'Program Budget'!F372</f>
        <v>Unit</v>
      </c>
      <c r="C117" s="228">
        <f>'Program Budget'!H372</f>
        <v>5000</v>
      </c>
      <c r="D117" s="301">
        <f>'Program Budget'!G372</f>
        <v>0</v>
      </c>
      <c r="E117" s="230">
        <v>0</v>
      </c>
      <c r="F117" s="231">
        <f t="shared" si="116"/>
        <v>0</v>
      </c>
      <c r="G117" s="228">
        <f t="shared" si="108"/>
        <v>5000</v>
      </c>
      <c r="H117" s="301">
        <f>'Program Budget'!K372</f>
        <v>1</v>
      </c>
      <c r="I117" s="302">
        <v>1</v>
      </c>
      <c r="J117" s="231">
        <f t="shared" si="117"/>
        <v>5000</v>
      </c>
      <c r="K117" s="228">
        <f t="shared" si="110"/>
        <v>5000</v>
      </c>
      <c r="L117" s="301">
        <f>'Program Budget'!N372</f>
        <v>0</v>
      </c>
      <c r="M117" s="230">
        <v>0</v>
      </c>
      <c r="N117" s="231">
        <f t="shared" si="118"/>
        <v>0</v>
      </c>
      <c r="O117" s="228">
        <f t="shared" si="112"/>
        <v>5000</v>
      </c>
      <c r="P117" s="301">
        <f>'Program Budget'!Q372</f>
        <v>0</v>
      </c>
      <c r="Q117" s="302">
        <v>0</v>
      </c>
      <c r="R117" s="231">
        <f t="shared" si="119"/>
        <v>0</v>
      </c>
      <c r="S117" s="228">
        <f t="shared" si="114"/>
        <v>5000</v>
      </c>
      <c r="T117" s="301">
        <f>'Program Budget'!T372</f>
        <v>0</v>
      </c>
      <c r="U117" s="302">
        <v>0</v>
      </c>
      <c r="V117" s="231">
        <f t="shared" si="120"/>
        <v>0</v>
      </c>
      <c r="W117" s="192">
        <f t="shared" si="106"/>
        <v>5000</v>
      </c>
    </row>
    <row r="118" spans="1:23" ht="15.6">
      <c r="A118" s="299" t="str">
        <f>'Program Budget'!D373</f>
        <v>Venue Space for Financial Literacy Trainings</v>
      </c>
      <c r="B118" s="300" t="str">
        <f>'Program Budget'!F373</f>
        <v>Training</v>
      </c>
      <c r="C118" s="228">
        <f>'Program Budget'!H373</f>
        <v>250</v>
      </c>
      <c r="D118" s="301">
        <f>'Program Budget'!G373</f>
        <v>0</v>
      </c>
      <c r="E118" s="230">
        <v>0</v>
      </c>
      <c r="F118" s="231">
        <f t="shared" si="116"/>
        <v>0</v>
      </c>
      <c r="G118" s="228">
        <f t="shared" si="108"/>
        <v>250</v>
      </c>
      <c r="H118" s="301">
        <f>'Program Budget'!K373</f>
        <v>4</v>
      </c>
      <c r="I118" s="302">
        <v>1</v>
      </c>
      <c r="J118" s="231">
        <f t="shared" si="117"/>
        <v>1000</v>
      </c>
      <c r="K118" s="228">
        <f t="shared" si="110"/>
        <v>250</v>
      </c>
      <c r="L118" s="301">
        <f>'Program Budget'!N373</f>
        <v>4</v>
      </c>
      <c r="M118" s="230">
        <v>1</v>
      </c>
      <c r="N118" s="231">
        <f t="shared" si="118"/>
        <v>1000</v>
      </c>
      <c r="O118" s="228">
        <f t="shared" si="112"/>
        <v>250</v>
      </c>
      <c r="P118" s="301">
        <f>'Program Budget'!Q373</f>
        <v>0</v>
      </c>
      <c r="Q118" s="302">
        <v>0</v>
      </c>
      <c r="R118" s="231">
        <f t="shared" si="119"/>
        <v>0</v>
      </c>
      <c r="S118" s="228">
        <f t="shared" si="114"/>
        <v>250</v>
      </c>
      <c r="T118" s="301">
        <f>'Program Budget'!T373</f>
        <v>0</v>
      </c>
      <c r="U118" s="302">
        <v>0</v>
      </c>
      <c r="V118" s="231">
        <f t="shared" si="120"/>
        <v>0</v>
      </c>
      <c r="W118" s="192">
        <f t="shared" si="106"/>
        <v>2000</v>
      </c>
    </row>
    <row r="119" spans="1:23" ht="15.6">
      <c r="A119" s="299" t="str">
        <f>'Program Budget'!D374</f>
        <v xml:space="preserve">Packers and Exporters Support for Organic Certifications </v>
      </c>
      <c r="B119" s="300" t="str">
        <f>'Program Budget'!F374</f>
        <v>Unit</v>
      </c>
      <c r="C119" s="228">
        <f>'Program Budget'!H374</f>
        <v>15</v>
      </c>
      <c r="D119" s="301">
        <f>'Program Budget'!G374</f>
        <v>0</v>
      </c>
      <c r="E119" s="230">
        <v>0</v>
      </c>
      <c r="F119" s="231">
        <f t="shared" si="116"/>
        <v>0</v>
      </c>
      <c r="G119" s="228">
        <f t="shared" si="108"/>
        <v>15</v>
      </c>
      <c r="H119" s="301">
        <f>'Program Budget'!K374</f>
        <v>0</v>
      </c>
      <c r="I119" s="302">
        <v>0</v>
      </c>
      <c r="J119" s="231">
        <f t="shared" si="117"/>
        <v>0</v>
      </c>
      <c r="K119" s="228">
        <f t="shared" si="110"/>
        <v>15</v>
      </c>
      <c r="L119" s="301">
        <f>'Program Budget'!N374</f>
        <v>1000</v>
      </c>
      <c r="M119" s="230">
        <v>1</v>
      </c>
      <c r="N119" s="231">
        <f t="shared" si="118"/>
        <v>15000</v>
      </c>
      <c r="O119" s="228">
        <f t="shared" si="112"/>
        <v>15</v>
      </c>
      <c r="P119" s="301">
        <f>'Program Budget'!Q374</f>
        <v>0</v>
      </c>
      <c r="Q119" s="302">
        <v>0</v>
      </c>
      <c r="R119" s="231">
        <f t="shared" si="119"/>
        <v>0</v>
      </c>
      <c r="S119" s="228">
        <f t="shared" si="114"/>
        <v>15</v>
      </c>
      <c r="T119" s="301">
        <f>'Program Budget'!T374</f>
        <v>0</v>
      </c>
      <c r="U119" s="302">
        <v>0</v>
      </c>
      <c r="V119" s="231">
        <f t="shared" si="120"/>
        <v>0</v>
      </c>
      <c r="W119" s="192">
        <f t="shared" si="106"/>
        <v>15000</v>
      </c>
    </row>
    <row r="120" spans="1:23" ht="15.6">
      <c r="A120" s="299" t="str">
        <f>'Program Budget'!D375</f>
        <v>Airfare and Local Transport for Two-Way Trade (US to Tunisia) to - 50% of Cost</v>
      </c>
      <c r="B120" s="300" t="str">
        <f>'Program Budget'!F375</f>
        <v>Unit</v>
      </c>
      <c r="C120" s="228">
        <f>'Program Budget'!H375</f>
        <v>775</v>
      </c>
      <c r="D120" s="301">
        <f>'Program Budget'!G375</f>
        <v>0</v>
      </c>
      <c r="E120" s="230">
        <v>0</v>
      </c>
      <c r="F120" s="231">
        <f t="shared" si="116"/>
        <v>0</v>
      </c>
      <c r="G120" s="228">
        <f t="shared" si="108"/>
        <v>775</v>
      </c>
      <c r="H120" s="301">
        <f>'Program Budget'!K375</f>
        <v>0</v>
      </c>
      <c r="I120" s="302">
        <v>0</v>
      </c>
      <c r="J120" s="231">
        <f t="shared" si="117"/>
        <v>0</v>
      </c>
      <c r="K120" s="228">
        <f t="shared" si="110"/>
        <v>775</v>
      </c>
      <c r="L120" s="301">
        <f>'Program Budget'!N375</f>
        <v>10</v>
      </c>
      <c r="M120" s="230">
        <v>1</v>
      </c>
      <c r="N120" s="231">
        <f t="shared" si="118"/>
        <v>7750</v>
      </c>
      <c r="O120" s="228">
        <f t="shared" si="112"/>
        <v>775</v>
      </c>
      <c r="P120" s="301">
        <f>'Program Budget'!Q375</f>
        <v>0</v>
      </c>
      <c r="Q120" s="302">
        <v>0</v>
      </c>
      <c r="R120" s="231">
        <f t="shared" si="119"/>
        <v>0</v>
      </c>
      <c r="S120" s="228">
        <f t="shared" si="114"/>
        <v>775</v>
      </c>
      <c r="T120" s="301">
        <f>'Program Budget'!T375</f>
        <v>0</v>
      </c>
      <c r="U120" s="302">
        <v>0</v>
      </c>
      <c r="V120" s="231">
        <f t="shared" si="120"/>
        <v>0</v>
      </c>
      <c r="W120" s="192">
        <f t="shared" si="106"/>
        <v>7750</v>
      </c>
    </row>
    <row r="121" spans="1:23" ht="15.6">
      <c r="A121" s="299" t="str">
        <f>'Program Budget'!D376</f>
        <v>Contributions to Registrations and Booths for International Food Shows</v>
      </c>
      <c r="B121" s="300" t="str">
        <f>'Program Budget'!F376</f>
        <v>Event</v>
      </c>
      <c r="C121" s="228">
        <f>'Program Budget'!H376</f>
        <v>1000</v>
      </c>
      <c r="D121" s="301">
        <f>'Program Budget'!G376</f>
        <v>0</v>
      </c>
      <c r="E121" s="230">
        <v>0</v>
      </c>
      <c r="F121" s="231">
        <f t="shared" si="116"/>
        <v>0</v>
      </c>
      <c r="G121" s="228">
        <f t="shared" si="108"/>
        <v>1000</v>
      </c>
      <c r="H121" s="301">
        <f>'Program Budget'!K376</f>
        <v>1</v>
      </c>
      <c r="I121" s="302">
        <v>1</v>
      </c>
      <c r="J121" s="231">
        <f t="shared" si="117"/>
        <v>1000</v>
      </c>
      <c r="K121" s="228">
        <f t="shared" si="110"/>
        <v>1000</v>
      </c>
      <c r="L121" s="301">
        <f>'Program Budget'!N376</f>
        <v>2</v>
      </c>
      <c r="M121" s="230">
        <v>1</v>
      </c>
      <c r="N121" s="231">
        <f t="shared" si="118"/>
        <v>2000</v>
      </c>
      <c r="O121" s="228">
        <f t="shared" si="112"/>
        <v>1000</v>
      </c>
      <c r="P121" s="301">
        <f>'Program Budget'!Q376</f>
        <v>1</v>
      </c>
      <c r="Q121" s="302">
        <v>1</v>
      </c>
      <c r="R121" s="231">
        <f t="shared" si="119"/>
        <v>1000</v>
      </c>
      <c r="S121" s="228">
        <f t="shared" si="114"/>
        <v>1000</v>
      </c>
      <c r="T121" s="301">
        <f>'Program Budget'!T376</f>
        <v>0</v>
      </c>
      <c r="U121" s="302">
        <v>0</v>
      </c>
      <c r="V121" s="231">
        <f t="shared" si="120"/>
        <v>0</v>
      </c>
      <c r="W121" s="192">
        <f t="shared" si="106"/>
        <v>4000</v>
      </c>
    </row>
    <row r="122" spans="1:23" ht="18.3">
      <c r="A122" s="291" t="s">
        <v>114</v>
      </c>
      <c r="B122" s="292"/>
      <c r="C122" s="293"/>
      <c r="D122" s="294"/>
      <c r="E122" s="295"/>
      <c r="F122" s="296">
        <f>F114+F115</f>
        <v>497981.8295166</v>
      </c>
      <c r="G122" s="293"/>
      <c r="H122" s="294"/>
      <c r="I122" s="297"/>
      <c r="J122" s="296">
        <f>J114+J115</f>
        <v>1106185.774309824</v>
      </c>
      <c r="K122" s="293"/>
      <c r="L122" s="294"/>
      <c r="M122" s="295"/>
      <c r="N122" s="296">
        <f>N114+N115</f>
        <v>1104128.137158267</v>
      </c>
      <c r="O122" s="293"/>
      <c r="P122" s="294"/>
      <c r="Q122" s="297"/>
      <c r="R122" s="296">
        <f>R114+R115</f>
        <v>617230.52957016486</v>
      </c>
      <c r="S122" s="293"/>
      <c r="T122" s="294"/>
      <c r="U122" s="297"/>
      <c r="V122" s="296">
        <f>V114+V115</f>
        <v>453586.94611592963</v>
      </c>
      <c r="W122" s="298">
        <f t="shared" si="106"/>
        <v>3779113.216670786</v>
      </c>
    </row>
    <row r="123" spans="1:23">
      <c r="A123" s="180"/>
      <c r="B123" s="180"/>
      <c r="W123" s="186"/>
    </row>
    <row r="124" spans="1:23" ht="31.2">
      <c r="A124" s="303" t="s">
        <v>115</v>
      </c>
      <c r="B124" s="304"/>
      <c r="C124" s="305"/>
      <c r="D124" s="306"/>
      <c r="E124" s="307"/>
      <c r="F124" s="308"/>
      <c r="G124" s="305"/>
      <c r="H124" s="306"/>
      <c r="I124" s="309"/>
      <c r="J124" s="310"/>
      <c r="K124" s="305"/>
      <c r="L124" s="306"/>
      <c r="M124" s="307"/>
      <c r="N124" s="310"/>
      <c r="O124" s="305"/>
      <c r="P124" s="306"/>
      <c r="Q124" s="309"/>
      <c r="R124" s="310"/>
      <c r="S124" s="305"/>
      <c r="T124" s="306"/>
      <c r="U124" s="309"/>
      <c r="V124" s="310"/>
      <c r="W124" s="310"/>
    </row>
  </sheetData>
  <mergeCells count="8">
    <mergeCell ref="S2:V2"/>
    <mergeCell ref="W2:W3"/>
    <mergeCell ref="A2:A3"/>
    <mergeCell ref="B2:B3"/>
    <mergeCell ref="C2:F2"/>
    <mergeCell ref="G2:J2"/>
    <mergeCell ref="K2:N2"/>
    <mergeCell ref="O2:R2"/>
  </mergeCells>
  <printOptions horizontalCentered="1"/>
  <pageMargins left="0.25" right="0.25" top="0.75" bottom="0.75" header="0.3" footer="0.3"/>
  <pageSetup scale="34" orientation="landscape" r:id="rId1"/>
  <headerFooter alignWithMargins="0"/>
  <rowBreaks count="1" manualBreakCount="1">
    <brk id="113" max="1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399"/>
  <sheetViews>
    <sheetView tabSelected="1" zoomScale="85" zoomScaleNormal="85" zoomScaleSheetLayoutView="90" workbookViewId="0">
      <pane xSplit="4" ySplit="9" topLeftCell="E118" activePane="bottomRight" state="frozen"/>
      <selection pane="topRight" activeCell="C1" sqref="C1"/>
      <selection pane="bottomLeft" activeCell="A11" sqref="A11"/>
      <selection pane="bottomRight" activeCell="D120" sqref="D120"/>
    </sheetView>
  </sheetViews>
  <sheetFormatPr defaultColWidth="11.44140625" defaultRowHeight="12.6"/>
  <cols>
    <col min="1" max="1" width="15.71875" style="7" customWidth="1"/>
    <col min="2" max="2" width="17.27734375" style="7" customWidth="1"/>
    <col min="3" max="3" width="8.83203125" style="7" customWidth="1"/>
    <col min="4" max="4" width="105.5546875" style="7" bestFit="1" customWidth="1"/>
    <col min="5" max="5" width="14.44140625" style="111" bestFit="1" customWidth="1"/>
    <col min="6" max="6" width="11.44140625" style="7" bestFit="1" customWidth="1"/>
    <col min="7" max="7" width="7.1640625" style="7" bestFit="1" customWidth="1"/>
    <col min="8" max="8" width="11.44140625" style="47" bestFit="1" customWidth="1"/>
    <col min="9" max="9" width="14.71875" style="31" customWidth="1"/>
    <col min="10" max="10" width="14.44140625" style="29" customWidth="1"/>
    <col min="11" max="11" width="8.27734375" style="31" customWidth="1"/>
    <col min="12" max="12" width="15.1640625" style="31" customWidth="1"/>
    <col min="13" max="13" width="14.44140625" style="29" customWidth="1"/>
    <col min="14" max="14" width="8.1640625" style="31" customWidth="1"/>
    <col min="15" max="15" width="15.44140625" style="31" customWidth="1"/>
    <col min="16" max="16" width="14.44140625" style="29" customWidth="1"/>
    <col min="17" max="17" width="7.1640625" style="31" customWidth="1"/>
    <col min="18" max="18" width="15.1640625" style="31" customWidth="1"/>
    <col min="19" max="19" width="14.44140625" style="29" customWidth="1"/>
    <col min="20" max="20" width="12.27734375" style="31" customWidth="1"/>
    <col min="21" max="21" width="15.44140625" style="31" customWidth="1"/>
    <col min="22" max="22" width="16.1640625" style="31" customWidth="1"/>
    <col min="23" max="23" width="12.71875" style="31" bestFit="1" customWidth="1"/>
    <col min="24" max="24" width="15.83203125" style="31" bestFit="1" customWidth="1"/>
    <col min="25" max="16384" width="11.44140625" style="5"/>
  </cols>
  <sheetData>
    <row r="1" spans="1:24" ht="13.8">
      <c r="A1" s="5"/>
      <c r="B1" s="5"/>
      <c r="C1" s="5"/>
      <c r="D1" s="593" t="s">
        <v>153</v>
      </c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593"/>
    </row>
    <row r="2" spans="1:24" ht="13.8">
      <c r="A2" s="5"/>
      <c r="B2" s="5"/>
      <c r="C2" s="5"/>
      <c r="D2" s="595" t="s">
        <v>154</v>
      </c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</row>
    <row r="3" spans="1:24" ht="14.1" thickBot="1">
      <c r="A3" s="5"/>
      <c r="B3" s="5"/>
      <c r="C3" s="5"/>
      <c r="D3" s="593" t="s">
        <v>155</v>
      </c>
      <c r="E3" s="593"/>
      <c r="F3" s="593"/>
      <c r="G3" s="593"/>
      <c r="H3" s="593"/>
      <c r="I3" s="593"/>
      <c r="J3" s="593"/>
      <c r="K3" s="593"/>
      <c r="L3" s="593"/>
      <c r="M3" s="593"/>
      <c r="N3" s="593"/>
      <c r="O3" s="593"/>
      <c r="P3" s="593"/>
      <c r="Q3" s="593"/>
      <c r="R3" s="593"/>
      <c r="S3" s="593"/>
      <c r="T3" s="593"/>
      <c r="U3" s="593"/>
      <c r="V3" s="593"/>
      <c r="W3" s="593"/>
      <c r="X3" s="593"/>
    </row>
    <row r="4" spans="1:24" ht="14.1">
      <c r="A4" s="559" t="s">
        <v>156</v>
      </c>
      <c r="B4" s="560" t="s">
        <v>157</v>
      </c>
      <c r="C4" s="5"/>
      <c r="D4" s="593" t="s">
        <v>158</v>
      </c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593"/>
      <c r="P4" s="593"/>
      <c r="Q4" s="593"/>
      <c r="R4" s="593"/>
      <c r="S4" s="593"/>
      <c r="T4" s="593"/>
      <c r="U4" s="593"/>
      <c r="V4" s="593"/>
      <c r="W4" s="593"/>
      <c r="X4" s="593"/>
    </row>
    <row r="5" spans="1:24" ht="14.1">
      <c r="A5" s="561" t="s">
        <v>159</v>
      </c>
      <c r="B5" s="562">
        <v>30100</v>
      </c>
      <c r="C5" s="5"/>
      <c r="D5" s="594" t="s">
        <v>160</v>
      </c>
      <c r="E5" s="594"/>
      <c r="F5" s="1"/>
      <c r="G5" s="1"/>
      <c r="H5" s="1"/>
      <c r="I5" s="1"/>
      <c r="J5" s="1"/>
      <c r="K5" s="550"/>
      <c r="L5" s="55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.4" thickBot="1">
      <c r="A6" s="563" t="s">
        <v>161</v>
      </c>
      <c r="B6" s="564" t="s">
        <v>162</v>
      </c>
      <c r="C6" s="5"/>
      <c r="D6" s="21" t="s">
        <v>163</v>
      </c>
      <c r="E6" s="101">
        <v>1.07</v>
      </c>
    </row>
    <row r="7" spans="1:24">
      <c r="A7" s="5"/>
      <c r="B7" s="5"/>
      <c r="C7" s="5"/>
      <c r="D7" s="21" t="s">
        <v>164</v>
      </c>
      <c r="E7" s="101">
        <v>1.05</v>
      </c>
    </row>
    <row r="8" spans="1:24" hidden="1">
      <c r="A8" s="5"/>
      <c r="B8" s="5"/>
      <c r="C8" s="5"/>
    </row>
    <row r="9" spans="1:24" ht="43" customHeight="1" thickBot="1">
      <c r="A9" s="529" t="s">
        <v>165</v>
      </c>
      <c r="B9" s="529" t="s">
        <v>166</v>
      </c>
      <c r="C9" s="529" t="s">
        <v>167</v>
      </c>
      <c r="D9" s="529" t="s">
        <v>168</v>
      </c>
      <c r="E9" s="530" t="s">
        <v>169</v>
      </c>
      <c r="F9" s="529" t="s">
        <v>170</v>
      </c>
      <c r="G9" s="529" t="s">
        <v>171</v>
      </c>
      <c r="H9" s="531" t="s">
        <v>172</v>
      </c>
      <c r="I9" s="532" t="s">
        <v>173</v>
      </c>
      <c r="J9" s="530" t="s">
        <v>174</v>
      </c>
      <c r="K9" s="529" t="s">
        <v>171</v>
      </c>
      <c r="L9" s="532" t="s">
        <v>175</v>
      </c>
      <c r="M9" s="530" t="s">
        <v>176</v>
      </c>
      <c r="N9" s="529" t="s">
        <v>171</v>
      </c>
      <c r="O9" s="532" t="s">
        <v>177</v>
      </c>
      <c r="P9" s="530" t="s">
        <v>178</v>
      </c>
      <c r="Q9" s="529" t="s">
        <v>171</v>
      </c>
      <c r="R9" s="532" t="s">
        <v>179</v>
      </c>
      <c r="S9" s="530" t="s">
        <v>180</v>
      </c>
      <c r="T9" s="532" t="s">
        <v>171</v>
      </c>
      <c r="U9" s="532" t="s">
        <v>181</v>
      </c>
      <c r="V9" s="532" t="s">
        <v>182</v>
      </c>
      <c r="W9" s="531" t="s">
        <v>183</v>
      </c>
      <c r="X9" s="531" t="s">
        <v>184</v>
      </c>
    </row>
    <row r="10" spans="1:24">
      <c r="A10" s="33"/>
      <c r="B10" s="33"/>
      <c r="C10" s="33"/>
      <c r="D10" s="33" t="s">
        <v>185</v>
      </c>
      <c r="E10" s="102"/>
      <c r="F10" s="34"/>
      <c r="G10" s="34"/>
      <c r="H10" s="35"/>
      <c r="I10" s="36"/>
      <c r="J10" s="102"/>
      <c r="K10" s="36"/>
      <c r="L10" s="36"/>
      <c r="M10" s="102"/>
      <c r="N10" s="36"/>
      <c r="O10" s="36"/>
      <c r="P10" s="102"/>
      <c r="Q10" s="36"/>
      <c r="R10" s="36"/>
      <c r="S10" s="102"/>
      <c r="T10" s="36"/>
      <c r="U10" s="36"/>
      <c r="V10" s="36"/>
      <c r="W10" s="36"/>
      <c r="X10" s="36"/>
    </row>
    <row r="11" spans="1:24" ht="14.5" customHeight="1">
      <c r="A11" s="62"/>
      <c r="B11" s="62"/>
      <c r="C11" s="62"/>
      <c r="D11" s="62" t="s">
        <v>186</v>
      </c>
      <c r="E11" s="103"/>
      <c r="F11" s="63"/>
      <c r="G11" s="64"/>
      <c r="H11" s="65"/>
      <c r="I11" s="66"/>
      <c r="J11" s="103"/>
      <c r="K11" s="66"/>
      <c r="L11" s="66"/>
      <c r="M11" s="103"/>
      <c r="N11" s="66"/>
      <c r="O11" s="66"/>
      <c r="P11" s="103"/>
      <c r="Q11" s="66"/>
      <c r="R11" s="66"/>
      <c r="S11" s="103"/>
      <c r="T11" s="66"/>
      <c r="U11" s="66"/>
      <c r="V11" s="66"/>
      <c r="W11" s="66"/>
      <c r="X11" s="66"/>
    </row>
    <row r="12" spans="1:24">
      <c r="A12" s="7" t="s">
        <v>187</v>
      </c>
      <c r="B12" s="7">
        <v>70000</v>
      </c>
      <c r="C12" s="7" t="s">
        <v>188</v>
      </c>
      <c r="D12" s="7" t="s">
        <v>189</v>
      </c>
      <c r="E12" s="104">
        <f>'LOE Breakdown by Year'!D11</f>
        <v>0.3</v>
      </c>
      <c r="F12" s="46" t="s">
        <v>190</v>
      </c>
      <c r="G12" s="40">
        <v>12</v>
      </c>
      <c r="H12" s="40">
        <f>156000/12</f>
        <v>13000</v>
      </c>
      <c r="I12" s="40">
        <f t="shared" ref="I12:I16" si="0">G12*H12*E12</f>
        <v>46800</v>
      </c>
      <c r="J12" s="104">
        <f>'LOE Breakdown by Year'!D41</f>
        <v>0.1</v>
      </c>
      <c r="K12" s="40">
        <v>12</v>
      </c>
      <c r="L12" s="40">
        <f>K12*H12*$E$7*$J12</f>
        <v>16380</v>
      </c>
      <c r="M12" s="104">
        <f>'LOE Breakdown by Year'!D71</f>
        <v>0.1</v>
      </c>
      <c r="N12" s="40">
        <v>12</v>
      </c>
      <c r="O12" s="40">
        <f t="shared" ref="O12:O16" si="1">N12*H12*$M12*$E$7*$E$7</f>
        <v>17199</v>
      </c>
      <c r="P12" s="104">
        <f>'LOE Breakdown by Year'!D101</f>
        <v>0.1</v>
      </c>
      <c r="Q12" s="40">
        <v>12</v>
      </c>
      <c r="R12" s="40">
        <f>Q12*H12*$P12*$E$7*$E$7*$E$7</f>
        <v>18058.95</v>
      </c>
      <c r="S12" s="104">
        <f>'LOE Breakdown by Year'!D131</f>
        <v>0.1</v>
      </c>
      <c r="T12" s="40">
        <v>12</v>
      </c>
      <c r="U12" s="40">
        <f>T12*H12*$S12*$E$7*$E$7*$E$7*$E$7</f>
        <v>18961.897500000003</v>
      </c>
      <c r="V12" s="40">
        <f>SUM(R12,O12,L12,I12,U12)</f>
        <v>117399.8475</v>
      </c>
      <c r="W12" s="40">
        <v>0</v>
      </c>
      <c r="X12" s="40">
        <f>SUM(V12:W12)</f>
        <v>117399.8475</v>
      </c>
    </row>
    <row r="13" spans="1:24">
      <c r="A13" s="7" t="s">
        <v>187</v>
      </c>
      <c r="B13" s="7">
        <v>70000</v>
      </c>
      <c r="C13" s="7" t="s">
        <v>188</v>
      </c>
      <c r="D13" s="7" t="s">
        <v>191</v>
      </c>
      <c r="E13" s="104">
        <f>'LOE Breakdown by Year'!D12</f>
        <v>0.3</v>
      </c>
      <c r="F13" s="46" t="s">
        <v>190</v>
      </c>
      <c r="G13" s="40">
        <v>9</v>
      </c>
      <c r="H13" s="40">
        <f>47000/12</f>
        <v>3916.6666666666665</v>
      </c>
      <c r="I13" s="40">
        <f>G13*H13*E13</f>
        <v>10575</v>
      </c>
      <c r="J13" s="104">
        <f>'LOE Breakdown by Year'!D42</f>
        <v>0</v>
      </c>
      <c r="K13" s="40">
        <v>12</v>
      </c>
      <c r="L13" s="40">
        <f t="shared" ref="L13:L16" si="2">K13*H13*$E$7*$J13</f>
        <v>0</v>
      </c>
      <c r="M13" s="104">
        <f>'LOE Breakdown by Year'!D72</f>
        <v>0</v>
      </c>
      <c r="N13" s="40">
        <v>12</v>
      </c>
      <c r="O13" s="40">
        <f t="shared" si="1"/>
        <v>0</v>
      </c>
      <c r="P13" s="104">
        <f>'LOE Breakdown by Year'!D102</f>
        <v>0</v>
      </c>
      <c r="Q13" s="40">
        <v>12</v>
      </c>
      <c r="R13" s="40">
        <f>Q13*H13*$P13*$E$7*$E$7*$E$7</f>
        <v>0</v>
      </c>
      <c r="S13" s="104">
        <f>'LOE Breakdown by Year'!D132</f>
        <v>0</v>
      </c>
      <c r="T13" s="40">
        <v>9</v>
      </c>
      <c r="U13" s="40">
        <f t="shared" ref="U13:U24" si="3">T13*H13*$S13*$E$7*$E$7*$E$7*$E$7</f>
        <v>0</v>
      </c>
      <c r="V13" s="40">
        <f t="shared" ref="V13:V16" si="4">SUM(R13,O13,L13,I13,U13)</f>
        <v>10575</v>
      </c>
      <c r="W13" s="40">
        <v>0</v>
      </c>
      <c r="X13" s="40">
        <f>SUM(V13:W13)</f>
        <v>10575</v>
      </c>
    </row>
    <row r="14" spans="1:24">
      <c r="A14" s="7" t="s">
        <v>187</v>
      </c>
      <c r="B14" s="7">
        <v>70000</v>
      </c>
      <c r="C14" s="7" t="s">
        <v>188</v>
      </c>
      <c r="D14" s="7" t="s">
        <v>192</v>
      </c>
      <c r="E14" s="104">
        <f>'LOE Breakdown by Year'!D13</f>
        <v>0.2</v>
      </c>
      <c r="F14" s="46" t="s">
        <v>190</v>
      </c>
      <c r="G14" s="40">
        <v>6</v>
      </c>
      <c r="H14" s="40">
        <f>30000/12</f>
        <v>2500</v>
      </c>
      <c r="I14" s="40">
        <f t="shared" si="0"/>
        <v>3000</v>
      </c>
      <c r="J14" s="104">
        <f>'LOE Breakdown by Year'!D43</f>
        <v>0</v>
      </c>
      <c r="K14" s="40">
        <v>12</v>
      </c>
      <c r="L14" s="40">
        <f t="shared" si="2"/>
        <v>0</v>
      </c>
      <c r="M14" s="104">
        <f>'LOE Breakdown by Year'!D73</f>
        <v>0</v>
      </c>
      <c r="N14" s="40">
        <v>12</v>
      </c>
      <c r="O14" s="40">
        <f t="shared" si="1"/>
        <v>0</v>
      </c>
      <c r="P14" s="104">
        <f>'LOE Breakdown by Year'!D103</f>
        <v>0</v>
      </c>
      <c r="Q14" s="40">
        <v>12</v>
      </c>
      <c r="R14" s="40">
        <f t="shared" ref="R14:R24" si="5">Q14*H14*$P14*$E$7*$E$7*$E$7</f>
        <v>0</v>
      </c>
      <c r="S14" s="104">
        <f>'LOE Breakdown by Year'!D133</f>
        <v>0</v>
      </c>
      <c r="T14" s="40">
        <v>9</v>
      </c>
      <c r="U14" s="40">
        <f t="shared" si="3"/>
        <v>0</v>
      </c>
      <c r="V14" s="40">
        <f t="shared" si="4"/>
        <v>3000</v>
      </c>
      <c r="W14" s="40">
        <v>0</v>
      </c>
      <c r="X14" s="40">
        <f t="shared" ref="X14:X16" si="6">SUM(V14:W14)</f>
        <v>3000</v>
      </c>
    </row>
    <row r="15" spans="1:24">
      <c r="A15" s="7" t="s">
        <v>187</v>
      </c>
      <c r="B15" s="7">
        <v>70000</v>
      </c>
      <c r="C15" s="7" t="s">
        <v>188</v>
      </c>
      <c r="D15" s="7" t="s">
        <v>193</v>
      </c>
      <c r="E15" s="104">
        <f>'LOE Breakdown by Year'!D14</f>
        <v>0.2</v>
      </c>
      <c r="F15" s="46" t="s">
        <v>190</v>
      </c>
      <c r="G15" s="40">
        <v>6</v>
      </c>
      <c r="H15" s="40">
        <f t="shared" ref="H15:H16" si="7">30000/12</f>
        <v>2500</v>
      </c>
      <c r="I15" s="40">
        <f t="shared" si="0"/>
        <v>3000</v>
      </c>
      <c r="J15" s="104">
        <f>'LOE Breakdown by Year'!D44</f>
        <v>0</v>
      </c>
      <c r="K15" s="40">
        <v>12</v>
      </c>
      <c r="L15" s="40">
        <f t="shared" si="2"/>
        <v>0</v>
      </c>
      <c r="M15" s="104">
        <f>'LOE Breakdown by Year'!D74</f>
        <v>0</v>
      </c>
      <c r="N15" s="40">
        <v>12</v>
      </c>
      <c r="O15" s="40">
        <f t="shared" si="1"/>
        <v>0</v>
      </c>
      <c r="P15" s="104">
        <f>'LOE Breakdown by Year'!D104</f>
        <v>0</v>
      </c>
      <c r="Q15" s="40">
        <v>12</v>
      </c>
      <c r="R15" s="40">
        <f t="shared" si="5"/>
        <v>0</v>
      </c>
      <c r="S15" s="104">
        <f>'LOE Breakdown by Year'!D134</f>
        <v>0</v>
      </c>
      <c r="T15" s="40">
        <v>9</v>
      </c>
      <c r="U15" s="40">
        <f t="shared" si="3"/>
        <v>0</v>
      </c>
      <c r="V15" s="40">
        <f t="shared" si="4"/>
        <v>3000</v>
      </c>
      <c r="W15" s="40">
        <v>0</v>
      </c>
      <c r="X15" s="40">
        <f t="shared" si="6"/>
        <v>3000</v>
      </c>
    </row>
    <row r="16" spans="1:24">
      <c r="A16" s="7" t="s">
        <v>187</v>
      </c>
      <c r="B16" s="7">
        <v>70000</v>
      </c>
      <c r="C16" s="7" t="s">
        <v>188</v>
      </c>
      <c r="D16" s="7" t="s">
        <v>194</v>
      </c>
      <c r="E16" s="104">
        <f>'LOE Breakdown by Year'!D15</f>
        <v>0.2</v>
      </c>
      <c r="F16" s="46" t="s">
        <v>190</v>
      </c>
      <c r="G16" s="40">
        <v>6</v>
      </c>
      <c r="H16" s="40">
        <f t="shared" si="7"/>
        <v>2500</v>
      </c>
      <c r="I16" s="40">
        <f t="shared" si="0"/>
        <v>3000</v>
      </c>
      <c r="J16" s="104">
        <f>'LOE Breakdown by Year'!D45</f>
        <v>0</v>
      </c>
      <c r="K16" s="40">
        <v>12</v>
      </c>
      <c r="L16" s="40">
        <f t="shared" si="2"/>
        <v>0</v>
      </c>
      <c r="M16" s="104">
        <f>'LOE Breakdown by Year'!D75</f>
        <v>0</v>
      </c>
      <c r="N16" s="40">
        <v>12</v>
      </c>
      <c r="O16" s="40">
        <f t="shared" si="1"/>
        <v>0</v>
      </c>
      <c r="P16" s="104">
        <f>'LOE Breakdown by Year'!D105</f>
        <v>0</v>
      </c>
      <c r="Q16" s="40">
        <v>12</v>
      </c>
      <c r="R16" s="40">
        <f t="shared" si="5"/>
        <v>0</v>
      </c>
      <c r="S16" s="104">
        <f>'LOE Breakdown by Year'!D135</f>
        <v>0</v>
      </c>
      <c r="T16" s="40">
        <v>9</v>
      </c>
      <c r="U16" s="40">
        <f t="shared" si="3"/>
        <v>0</v>
      </c>
      <c r="V16" s="40">
        <f t="shared" si="4"/>
        <v>3000</v>
      </c>
      <c r="W16" s="40">
        <v>0</v>
      </c>
      <c r="X16" s="40">
        <f t="shared" si="6"/>
        <v>3000</v>
      </c>
    </row>
    <row r="17" spans="1:24">
      <c r="A17" s="7" t="s">
        <v>187</v>
      </c>
      <c r="B17" s="7">
        <v>70000</v>
      </c>
      <c r="C17" s="7" t="s">
        <v>188</v>
      </c>
      <c r="D17" s="7" t="s">
        <v>195</v>
      </c>
      <c r="E17" s="104">
        <f>'LOE Breakdown by Year'!D16</f>
        <v>0.2</v>
      </c>
      <c r="F17" s="46" t="s">
        <v>190</v>
      </c>
      <c r="G17" s="40">
        <v>6</v>
      </c>
      <c r="H17" s="40">
        <f>(22000/12)*1</f>
        <v>1833.3333333333333</v>
      </c>
      <c r="I17" s="40">
        <f t="shared" ref="I17:I19" si="8">G17*H17*E17</f>
        <v>2200</v>
      </c>
      <c r="J17" s="104">
        <f>'LOE Breakdown by Year'!D46</f>
        <v>0</v>
      </c>
      <c r="K17" s="40">
        <v>12</v>
      </c>
      <c r="L17" s="40">
        <f t="shared" ref="L17:L19" si="9">K17*H17*$E$7*$J17</f>
        <v>0</v>
      </c>
      <c r="M17" s="104">
        <f>'LOE Breakdown by Year'!D76</f>
        <v>0</v>
      </c>
      <c r="N17" s="40">
        <v>12</v>
      </c>
      <c r="O17" s="40">
        <f t="shared" ref="O17:O19" si="10">N17*H17*$M17*$E$7*$E$7</f>
        <v>0</v>
      </c>
      <c r="P17" s="104">
        <f>'LOE Breakdown by Year'!D106</f>
        <v>0</v>
      </c>
      <c r="Q17" s="40">
        <v>12</v>
      </c>
      <c r="R17" s="40">
        <f t="shared" ref="R17:R19" si="11">Q17*H17*$P17*$E$7*$E$7*$E$7</f>
        <v>0</v>
      </c>
      <c r="S17" s="104">
        <f>'LOE Breakdown by Year'!D136</f>
        <v>0</v>
      </c>
      <c r="T17" s="40">
        <v>6</v>
      </c>
      <c r="U17" s="40">
        <f t="shared" ref="U17:U19" si="12">T17*H17*$S17*$E$7*$E$7*$E$7*$E$7</f>
        <v>0</v>
      </c>
      <c r="V17" s="40">
        <f t="shared" ref="V17:V19" si="13">SUM(R17,O17,L17,I17,U17)</f>
        <v>2200</v>
      </c>
      <c r="W17" s="40">
        <v>0</v>
      </c>
      <c r="X17" s="40">
        <f t="shared" ref="X17:X19" si="14">SUM(V17:W17)</f>
        <v>2200</v>
      </c>
    </row>
    <row r="18" spans="1:24">
      <c r="A18" s="7" t="s">
        <v>187</v>
      </c>
      <c r="B18" s="7">
        <v>70000</v>
      </c>
      <c r="C18" s="7" t="s">
        <v>188</v>
      </c>
      <c r="D18" s="7" t="s">
        <v>196</v>
      </c>
      <c r="E18" s="104">
        <f>'LOE Breakdown by Year'!D17</f>
        <v>0.2</v>
      </c>
      <c r="F18" s="46" t="s">
        <v>190</v>
      </c>
      <c r="G18" s="40">
        <v>6</v>
      </c>
      <c r="H18" s="40">
        <f t="shared" ref="H18:H21" si="15">22000/12</f>
        <v>1833.3333333333333</v>
      </c>
      <c r="I18" s="40">
        <f t="shared" si="8"/>
        <v>2200</v>
      </c>
      <c r="J18" s="104">
        <f>'LOE Breakdown by Year'!D47</f>
        <v>0</v>
      </c>
      <c r="K18" s="40">
        <v>12</v>
      </c>
      <c r="L18" s="40">
        <f t="shared" si="9"/>
        <v>0</v>
      </c>
      <c r="M18" s="104">
        <f>'LOE Breakdown by Year'!D77</f>
        <v>0</v>
      </c>
      <c r="N18" s="40">
        <v>12</v>
      </c>
      <c r="O18" s="40">
        <f t="shared" si="10"/>
        <v>0</v>
      </c>
      <c r="P18" s="104">
        <f>'LOE Breakdown by Year'!D107</f>
        <v>0</v>
      </c>
      <c r="Q18" s="40">
        <v>12</v>
      </c>
      <c r="R18" s="40">
        <f t="shared" si="11"/>
        <v>0</v>
      </c>
      <c r="S18" s="104">
        <f>'LOE Breakdown by Year'!D137</f>
        <v>0</v>
      </c>
      <c r="T18" s="40">
        <v>6</v>
      </c>
      <c r="U18" s="40">
        <f t="shared" si="12"/>
        <v>0</v>
      </c>
      <c r="V18" s="40">
        <f t="shared" si="13"/>
        <v>2200</v>
      </c>
      <c r="W18" s="40">
        <v>0</v>
      </c>
      <c r="X18" s="40">
        <f t="shared" si="14"/>
        <v>2200</v>
      </c>
    </row>
    <row r="19" spans="1:24">
      <c r="A19" s="7" t="s">
        <v>187</v>
      </c>
      <c r="B19" s="7">
        <v>70000</v>
      </c>
      <c r="C19" s="7" t="s">
        <v>188</v>
      </c>
      <c r="D19" s="7" t="s">
        <v>197</v>
      </c>
      <c r="E19" s="104">
        <f>'LOE Breakdown by Year'!D18</f>
        <v>0.2</v>
      </c>
      <c r="F19" s="46" t="s">
        <v>190</v>
      </c>
      <c r="G19" s="40">
        <v>6</v>
      </c>
      <c r="H19" s="40">
        <f t="shared" si="15"/>
        <v>1833.3333333333333</v>
      </c>
      <c r="I19" s="40">
        <f t="shared" si="8"/>
        <v>2200</v>
      </c>
      <c r="J19" s="104">
        <f>'LOE Breakdown by Year'!D48</f>
        <v>0</v>
      </c>
      <c r="K19" s="40">
        <v>12</v>
      </c>
      <c r="L19" s="40">
        <f t="shared" si="9"/>
        <v>0</v>
      </c>
      <c r="M19" s="104">
        <f>'LOE Breakdown by Year'!D78</f>
        <v>0</v>
      </c>
      <c r="N19" s="40">
        <v>12</v>
      </c>
      <c r="O19" s="40">
        <f t="shared" si="10"/>
        <v>0</v>
      </c>
      <c r="P19" s="104">
        <f>'LOE Breakdown by Year'!D108</f>
        <v>0</v>
      </c>
      <c r="Q19" s="40">
        <v>12</v>
      </c>
      <c r="R19" s="40">
        <f t="shared" si="11"/>
        <v>0</v>
      </c>
      <c r="S19" s="104">
        <f>'LOE Breakdown by Year'!D138</f>
        <v>0</v>
      </c>
      <c r="T19" s="40">
        <v>6</v>
      </c>
      <c r="U19" s="40">
        <f t="shared" si="12"/>
        <v>0</v>
      </c>
      <c r="V19" s="40">
        <f t="shared" si="13"/>
        <v>2200</v>
      </c>
      <c r="W19" s="40">
        <v>0</v>
      </c>
      <c r="X19" s="40">
        <f t="shared" si="14"/>
        <v>2200</v>
      </c>
    </row>
    <row r="20" spans="1:24">
      <c r="A20" s="7" t="s">
        <v>187</v>
      </c>
      <c r="B20" s="7">
        <v>70000</v>
      </c>
      <c r="C20" s="7" t="s">
        <v>188</v>
      </c>
      <c r="D20" s="7" t="s">
        <v>198</v>
      </c>
      <c r="E20" s="104">
        <f>'LOE Breakdown by Year'!D19</f>
        <v>0.2</v>
      </c>
      <c r="F20" s="46" t="s">
        <v>190</v>
      </c>
      <c r="G20" s="40">
        <v>4</v>
      </c>
      <c r="H20" s="40">
        <f>(20000/12)*2</f>
        <v>3333.3333333333335</v>
      </c>
      <c r="I20" s="40">
        <f t="shared" ref="I20" si="16">G20*H20*E20</f>
        <v>2666.666666666667</v>
      </c>
      <c r="J20" s="104">
        <f>'LOE Breakdown by Year'!D49</f>
        <v>0</v>
      </c>
      <c r="K20" s="40">
        <v>12</v>
      </c>
      <c r="L20" s="40">
        <f t="shared" ref="L20" si="17">K20*H20*$E$7*$J20</f>
        <v>0</v>
      </c>
      <c r="M20" s="104">
        <f>'LOE Breakdown by Year'!D79</f>
        <v>0</v>
      </c>
      <c r="N20" s="40">
        <v>12</v>
      </c>
      <c r="O20" s="40">
        <f t="shared" ref="O20" si="18">N20*H20*$M20*$E$7*$E$7</f>
        <v>0</v>
      </c>
      <c r="P20" s="104">
        <f>'LOE Breakdown by Year'!D109</f>
        <v>0</v>
      </c>
      <c r="Q20" s="40">
        <v>12</v>
      </c>
      <c r="R20" s="40">
        <f t="shared" ref="R20" si="19">Q20*H20*$P20*$E$7*$E$7*$E$7</f>
        <v>0</v>
      </c>
      <c r="S20" s="104">
        <f>'LOE Breakdown by Year'!D139</f>
        <v>0</v>
      </c>
      <c r="T20" s="40">
        <v>5</v>
      </c>
      <c r="U20" s="40">
        <f t="shared" ref="U20" si="20">T20*H20*$S20*$E$7*$E$7*$E$7*$E$7</f>
        <v>0</v>
      </c>
      <c r="V20" s="40">
        <f t="shared" ref="V20" si="21">SUM(R20,O20,L20,I20,U20)</f>
        <v>2666.666666666667</v>
      </c>
      <c r="W20" s="40">
        <v>0</v>
      </c>
      <c r="X20" s="40">
        <f t="shared" ref="X20" si="22">SUM(V20:W20)</f>
        <v>2666.666666666667</v>
      </c>
    </row>
    <row r="21" spans="1:24">
      <c r="A21" s="7" t="s">
        <v>187</v>
      </c>
      <c r="B21" s="7">
        <v>70000</v>
      </c>
      <c r="C21" s="7" t="s">
        <v>188</v>
      </c>
      <c r="D21" s="7" t="s">
        <v>199</v>
      </c>
      <c r="E21" s="104">
        <f>'LOE Breakdown by Year'!D20</f>
        <v>0.25</v>
      </c>
      <c r="F21" s="46" t="s">
        <v>190</v>
      </c>
      <c r="G21" s="40">
        <v>7</v>
      </c>
      <c r="H21" s="40">
        <f t="shared" si="15"/>
        <v>1833.3333333333333</v>
      </c>
      <c r="I21" s="40">
        <f t="shared" ref="I21" si="23">G21*H21*E21</f>
        <v>3208.333333333333</v>
      </c>
      <c r="J21" s="104">
        <f>'LOE Breakdown by Year'!D50</f>
        <v>0</v>
      </c>
      <c r="K21" s="40">
        <v>12</v>
      </c>
      <c r="L21" s="40">
        <f>K21*H21*$E$7*$J21</f>
        <v>0</v>
      </c>
      <c r="M21" s="104">
        <f>'LOE Breakdown by Year'!D80</f>
        <v>0</v>
      </c>
      <c r="N21" s="40">
        <v>12</v>
      </c>
      <c r="O21" s="40">
        <f>N21*H21*$M21*$E$7*$E$7</f>
        <v>0</v>
      </c>
      <c r="P21" s="104">
        <f>'LOE Breakdown by Year'!D110</f>
        <v>0</v>
      </c>
      <c r="Q21" s="40">
        <v>12</v>
      </c>
      <c r="R21" s="40">
        <f>Q21*H21*$P21*$E$7*$E$7*$E$7</f>
        <v>0</v>
      </c>
      <c r="S21" s="104">
        <f>'LOE Breakdown by Year'!D140</f>
        <v>0</v>
      </c>
      <c r="T21" s="40">
        <v>9</v>
      </c>
      <c r="U21" s="40">
        <f>T21*H21*$S21*$E$7*$E$7*$E$7*$E$7</f>
        <v>0</v>
      </c>
      <c r="V21" s="40">
        <f t="shared" ref="V21:V22" si="24">SUM(R21,O21,L21,I21,U21)</f>
        <v>3208.333333333333</v>
      </c>
      <c r="W21" s="40">
        <v>0</v>
      </c>
      <c r="X21" s="40">
        <f t="shared" ref="X21:X22" si="25">SUM(V21:W21)</f>
        <v>3208.333333333333</v>
      </c>
    </row>
    <row r="22" spans="1:24">
      <c r="A22" s="7" t="s">
        <v>187</v>
      </c>
      <c r="B22" s="7">
        <v>70000</v>
      </c>
      <c r="C22" s="7" t="s">
        <v>188</v>
      </c>
      <c r="D22" s="7" t="s">
        <v>200</v>
      </c>
      <c r="E22" s="104">
        <f>'LOE Breakdown by Year'!D21</f>
        <v>0.25</v>
      </c>
      <c r="F22" s="46" t="s">
        <v>190</v>
      </c>
      <c r="G22" s="40">
        <v>7</v>
      </c>
      <c r="H22" s="40">
        <f>(15000/12)*3</f>
        <v>3750</v>
      </c>
      <c r="I22" s="40">
        <f>G22*H22*E22</f>
        <v>6562.5</v>
      </c>
      <c r="J22" s="104">
        <f>'LOE Breakdown by Year'!D51</f>
        <v>0</v>
      </c>
      <c r="K22" s="40">
        <v>12</v>
      </c>
      <c r="L22" s="40">
        <f>K22*H22*$E$7*$J22</f>
        <v>0</v>
      </c>
      <c r="M22" s="104">
        <f>'LOE Breakdown by Year'!D81</f>
        <v>0</v>
      </c>
      <c r="N22" s="40">
        <v>12</v>
      </c>
      <c r="O22" s="40">
        <f>N22*H22*$M22*$E$7*$E$7</f>
        <v>0</v>
      </c>
      <c r="P22" s="104">
        <f>'LOE Breakdown by Year'!D111</f>
        <v>0</v>
      </c>
      <c r="Q22" s="40">
        <v>12</v>
      </c>
      <c r="R22" s="40">
        <f>Q22*H22*$P22*$E$7*$E$7*$E$7</f>
        <v>0</v>
      </c>
      <c r="S22" s="104">
        <f>'LOE Breakdown by Year'!D141</f>
        <v>0</v>
      </c>
      <c r="T22" s="40">
        <v>9</v>
      </c>
      <c r="U22" s="40">
        <f>T22*H22*$S22*$E$7*$E$7*$E$7*$E$7</f>
        <v>0</v>
      </c>
      <c r="V22" s="40">
        <f t="shared" si="24"/>
        <v>6562.5</v>
      </c>
      <c r="W22" s="40">
        <v>0</v>
      </c>
      <c r="X22" s="40">
        <f t="shared" si="25"/>
        <v>6562.5</v>
      </c>
    </row>
    <row r="23" spans="1:24">
      <c r="A23" s="7" t="s">
        <v>187</v>
      </c>
      <c r="B23" s="7">
        <v>70000</v>
      </c>
      <c r="C23" s="7" t="s">
        <v>188</v>
      </c>
      <c r="D23" s="7" t="s">
        <v>201</v>
      </c>
      <c r="E23" s="104">
        <f>'LOE Breakdown by Year'!D22</f>
        <v>0.25</v>
      </c>
      <c r="F23" s="46" t="s">
        <v>190</v>
      </c>
      <c r="G23" s="40">
        <v>7</v>
      </c>
      <c r="H23" s="40">
        <f>18000/12</f>
        <v>1500</v>
      </c>
      <c r="I23" s="40">
        <f t="shared" ref="I23" si="26">G23*H23*E23</f>
        <v>2625</v>
      </c>
      <c r="J23" s="104">
        <f>'LOE Breakdown by Year'!D52</f>
        <v>0.1</v>
      </c>
      <c r="K23" s="40">
        <v>12</v>
      </c>
      <c r="L23" s="40">
        <f>K23*H23*$E$7*$J23</f>
        <v>1890</v>
      </c>
      <c r="M23" s="104">
        <f>'LOE Breakdown by Year'!D82</f>
        <v>0.1</v>
      </c>
      <c r="N23" s="40">
        <v>12</v>
      </c>
      <c r="O23" s="40">
        <f>N23*H23*$M23*$E$7*$E$7</f>
        <v>1984.5</v>
      </c>
      <c r="P23" s="104">
        <f>'LOE Breakdown by Year'!D112</f>
        <v>0.1</v>
      </c>
      <c r="Q23" s="40">
        <v>12</v>
      </c>
      <c r="R23" s="40">
        <f>Q23*H23*$P23*$E$7*$E$7*$E$7</f>
        <v>2083.7249999999999</v>
      </c>
      <c r="S23" s="104">
        <f>'LOE Breakdown by Year'!D142</f>
        <v>0.1</v>
      </c>
      <c r="T23" s="40">
        <v>10</v>
      </c>
      <c r="U23" s="40">
        <f>T23*H23*$S23*$E$7*$E$7*$E$7*$E$7</f>
        <v>1823.2593750000001</v>
      </c>
      <c r="V23" s="40">
        <f t="shared" ref="V23" si="27">SUM(R23,O23,L23,I23,U23)</f>
        <v>10406.484375</v>
      </c>
      <c r="W23" s="40">
        <v>0</v>
      </c>
      <c r="X23" s="40">
        <f>SUM(V23:W23)</f>
        <v>10406.484375</v>
      </c>
    </row>
    <row r="24" spans="1:24">
      <c r="A24" s="7" t="s">
        <v>187</v>
      </c>
      <c r="B24" s="7">
        <v>70000</v>
      </c>
      <c r="C24" s="7" t="s">
        <v>188</v>
      </c>
      <c r="D24" s="7" t="s">
        <v>202</v>
      </c>
      <c r="E24" s="104">
        <f>'LOE Breakdown by Year'!D23</f>
        <v>0.25</v>
      </c>
      <c r="F24" s="46" t="s">
        <v>190</v>
      </c>
      <c r="G24" s="40">
        <v>9</v>
      </c>
      <c r="H24" s="40">
        <f>47000/12</f>
        <v>3916.6666666666665</v>
      </c>
      <c r="I24" s="40">
        <f>G24*H24*E24</f>
        <v>8812.5</v>
      </c>
      <c r="J24" s="104">
        <f>'LOE Breakdown by Year'!D53</f>
        <v>0.1</v>
      </c>
      <c r="K24" s="40">
        <v>12</v>
      </c>
      <c r="L24" s="40">
        <f>K24*H24*$E$7*$J24</f>
        <v>4935</v>
      </c>
      <c r="M24" s="104">
        <f>'LOE Breakdown by Year'!D83</f>
        <v>0.1</v>
      </c>
      <c r="N24" s="40">
        <v>12</v>
      </c>
      <c r="O24" s="40">
        <f t="shared" ref="O24:O29" si="28">N24*H24*$M24*$E$7*$E$7</f>
        <v>5181.75</v>
      </c>
      <c r="P24" s="104">
        <f>'LOE Breakdown by Year'!D113</f>
        <v>0.1</v>
      </c>
      <c r="Q24" s="40">
        <v>12</v>
      </c>
      <c r="R24" s="40">
        <f t="shared" si="5"/>
        <v>5440.8375000000005</v>
      </c>
      <c r="S24" s="104">
        <f>'LOE Breakdown by Year'!D143</f>
        <v>0.1</v>
      </c>
      <c r="T24" s="40">
        <v>12</v>
      </c>
      <c r="U24" s="40">
        <f t="shared" si="3"/>
        <v>5712.8793750000004</v>
      </c>
      <c r="V24" s="40">
        <f t="shared" ref="V24:V29" si="29">SUM(R24,O24,L24,I24,U24)</f>
        <v>30082.966875000002</v>
      </c>
      <c r="W24" s="40">
        <v>0</v>
      </c>
      <c r="X24" s="40">
        <f>SUM(V24:W24)</f>
        <v>30082.966875000002</v>
      </c>
    </row>
    <row r="25" spans="1:24">
      <c r="A25" s="7" t="s">
        <v>187</v>
      </c>
      <c r="B25" s="7">
        <v>70000</v>
      </c>
      <c r="C25" s="7" t="s">
        <v>188</v>
      </c>
      <c r="D25" s="7" t="s">
        <v>203</v>
      </c>
      <c r="E25" s="104">
        <f>'LOE Breakdown by Year'!D24</f>
        <v>0.25</v>
      </c>
      <c r="F25" s="46" t="s">
        <v>190</v>
      </c>
      <c r="G25" s="40">
        <v>8</v>
      </c>
      <c r="H25" s="40">
        <f>22000/12</f>
        <v>1833.3333333333333</v>
      </c>
      <c r="I25" s="40">
        <f t="shared" ref="I25:I29" si="30">G25*H25*E25</f>
        <v>3666.6666666666665</v>
      </c>
      <c r="J25" s="104">
        <f>'LOE Breakdown by Year'!D54</f>
        <v>0.1</v>
      </c>
      <c r="K25" s="40">
        <v>12</v>
      </c>
      <c r="L25" s="40">
        <f t="shared" ref="L25:L27" si="31">K25*H25*$E$7*$J25</f>
        <v>2310</v>
      </c>
      <c r="M25" s="104">
        <f>'LOE Breakdown by Year'!D84</f>
        <v>0.1</v>
      </c>
      <c r="N25" s="40">
        <v>12</v>
      </c>
      <c r="O25" s="40">
        <f t="shared" si="28"/>
        <v>2425.5</v>
      </c>
      <c r="P25" s="104">
        <f>'LOE Breakdown by Year'!D114</f>
        <v>0.1</v>
      </c>
      <c r="Q25" s="40">
        <v>12</v>
      </c>
      <c r="R25" s="40">
        <f t="shared" ref="R25:R29" si="32">Q25*H25*$P25*$E$7*$E$7*$E$7</f>
        <v>2546.7750000000001</v>
      </c>
      <c r="S25" s="104">
        <f>'LOE Breakdown by Year'!D144</f>
        <v>0.1</v>
      </c>
      <c r="T25" s="40">
        <v>10</v>
      </c>
      <c r="U25" s="40">
        <f t="shared" ref="U25:U29" si="33">T25*H25*$S25*$E$7*$E$7*$E$7*$E$7</f>
        <v>2228.4281249999999</v>
      </c>
      <c r="V25" s="40">
        <f t="shared" si="29"/>
        <v>13177.369791666666</v>
      </c>
      <c r="W25" s="40">
        <v>0</v>
      </c>
      <c r="X25" s="40">
        <f t="shared" ref="X25" si="34">SUM(V25:W25)</f>
        <v>13177.369791666666</v>
      </c>
    </row>
    <row r="26" spans="1:24">
      <c r="A26" s="7" t="s">
        <v>187</v>
      </c>
      <c r="B26" s="7">
        <v>70000</v>
      </c>
      <c r="C26" s="7" t="s">
        <v>188</v>
      </c>
      <c r="D26" s="7" t="s">
        <v>204</v>
      </c>
      <c r="E26" s="104">
        <f>'LOE Breakdown by Year'!D25</f>
        <v>0.25</v>
      </c>
      <c r="F26" s="46" t="s">
        <v>190</v>
      </c>
      <c r="G26" s="40">
        <v>11</v>
      </c>
      <c r="H26" s="40">
        <f>47000/12</f>
        <v>3916.6666666666665</v>
      </c>
      <c r="I26" s="40">
        <f>G26*H26*E26</f>
        <v>10770.833333333332</v>
      </c>
      <c r="J26" s="104">
        <f>'LOE Breakdown by Year'!D55</f>
        <v>0.25</v>
      </c>
      <c r="K26" s="40">
        <v>12</v>
      </c>
      <c r="L26" s="40">
        <f t="shared" si="31"/>
        <v>12337.5</v>
      </c>
      <c r="M26" s="104">
        <f>'LOE Breakdown by Year'!D85</f>
        <v>0.25</v>
      </c>
      <c r="N26" s="40">
        <v>12</v>
      </c>
      <c r="O26" s="40">
        <f>N26*H26*$M26*$E$7*$E$7</f>
        <v>12954.375</v>
      </c>
      <c r="P26" s="104">
        <f>'LOE Breakdown by Year'!D115</f>
        <v>0.25</v>
      </c>
      <c r="Q26" s="40">
        <v>12</v>
      </c>
      <c r="R26" s="40">
        <f>Q26*H26*$P26*$E$7*$E$7*$E$7</f>
        <v>13602.09375</v>
      </c>
      <c r="S26" s="104">
        <f>'LOE Breakdown by Year'!D145</f>
        <v>0.25</v>
      </c>
      <c r="T26" s="40">
        <v>12</v>
      </c>
      <c r="U26" s="40">
        <f>T26*H26*$S26*$E$7*$E$7*$E$7*$E$7</f>
        <v>14282.198437500001</v>
      </c>
      <c r="V26" s="40">
        <f>SUM(R26,O26,L26,I26,U26)</f>
        <v>63947.000520833331</v>
      </c>
      <c r="W26" s="40">
        <v>0</v>
      </c>
      <c r="X26" s="40">
        <f>SUM(V26:W26)</f>
        <v>63947.000520833331</v>
      </c>
    </row>
    <row r="27" spans="1:24">
      <c r="A27" s="7" t="s">
        <v>187</v>
      </c>
      <c r="B27" s="7">
        <v>70000</v>
      </c>
      <c r="C27" s="7" t="s">
        <v>188</v>
      </c>
      <c r="D27" s="7" t="s">
        <v>205</v>
      </c>
      <c r="E27" s="104">
        <f>'LOE Breakdown by Year'!D26</f>
        <v>0.25</v>
      </c>
      <c r="F27" s="46" t="s">
        <v>190</v>
      </c>
      <c r="G27" s="40">
        <v>9</v>
      </c>
      <c r="H27" s="40">
        <f>22000/12</f>
        <v>1833.3333333333333</v>
      </c>
      <c r="I27" s="40">
        <f t="shared" si="30"/>
        <v>4125</v>
      </c>
      <c r="J27" s="104">
        <f>'LOE Breakdown by Year'!D56</f>
        <v>0.25</v>
      </c>
      <c r="K27" s="40">
        <v>12</v>
      </c>
      <c r="L27" s="40">
        <f t="shared" si="31"/>
        <v>5775</v>
      </c>
      <c r="M27" s="104">
        <f>'LOE Breakdown by Year'!D86</f>
        <v>0.25</v>
      </c>
      <c r="N27" s="40">
        <v>12</v>
      </c>
      <c r="O27" s="40">
        <f t="shared" si="28"/>
        <v>6063.75</v>
      </c>
      <c r="P27" s="104">
        <f>'LOE Breakdown by Year'!D116</f>
        <v>0.25</v>
      </c>
      <c r="Q27" s="40">
        <v>12</v>
      </c>
      <c r="R27" s="40">
        <f t="shared" si="32"/>
        <v>6366.9375</v>
      </c>
      <c r="S27" s="104">
        <f>'LOE Breakdown by Year'!D146</f>
        <v>0.25</v>
      </c>
      <c r="T27" s="40">
        <v>12</v>
      </c>
      <c r="U27" s="40">
        <f t="shared" si="33"/>
        <v>6685.2843750000002</v>
      </c>
      <c r="V27" s="40">
        <f t="shared" si="29"/>
        <v>29015.971874999999</v>
      </c>
      <c r="W27" s="40">
        <v>0</v>
      </c>
      <c r="X27" s="40">
        <f>SUM(V27:W27)</f>
        <v>29015.971874999999</v>
      </c>
    </row>
    <row r="28" spans="1:24">
      <c r="A28" s="7" t="s">
        <v>187</v>
      </c>
      <c r="B28" s="7">
        <v>70000</v>
      </c>
      <c r="C28" s="7" t="s">
        <v>188</v>
      </c>
      <c r="D28" s="7" t="s">
        <v>206</v>
      </c>
      <c r="E28" s="104">
        <f>'LOE Breakdown by Year'!D27</f>
        <v>0.25</v>
      </c>
      <c r="F28" s="46" t="s">
        <v>190</v>
      </c>
      <c r="G28" s="40">
        <v>9</v>
      </c>
      <c r="H28" s="40">
        <f>(15000/12)*2</f>
        <v>2500</v>
      </c>
      <c r="I28" s="40">
        <f>G28*H28*E28</f>
        <v>5625</v>
      </c>
      <c r="J28" s="104">
        <f>'LOE Breakdown by Year'!D57</f>
        <v>0.25</v>
      </c>
      <c r="K28" s="40">
        <v>12</v>
      </c>
      <c r="L28" s="40">
        <f t="shared" ref="L28" si="35">K28*H28*$E$7*$J28</f>
        <v>7875</v>
      </c>
      <c r="M28" s="104">
        <f>'LOE Breakdown by Year'!D87</f>
        <v>0.25</v>
      </c>
      <c r="N28" s="40">
        <v>12</v>
      </c>
      <c r="O28" s="40">
        <f t="shared" ref="O28" si="36">N28*H28*$M28*$E$7*$E$7</f>
        <v>8268.75</v>
      </c>
      <c r="P28" s="104">
        <f>'LOE Breakdown by Year'!D117</f>
        <v>0.25</v>
      </c>
      <c r="Q28" s="40">
        <v>12</v>
      </c>
      <c r="R28" s="40">
        <f t="shared" ref="R28" si="37">Q28*H28*$P28*$E$7*$E$7*$E$7</f>
        <v>8682.1875</v>
      </c>
      <c r="S28" s="104">
        <f>'LOE Breakdown by Year'!D147</f>
        <v>0.25</v>
      </c>
      <c r="T28" s="40">
        <v>12</v>
      </c>
      <c r="U28" s="40">
        <f t="shared" ref="U28" si="38">T28*H28*$S28*$E$7*$E$7*$E$7*$E$7</f>
        <v>9116.296875</v>
      </c>
      <c r="V28" s="40">
        <f t="shared" ref="V28" si="39">SUM(R28,O28,L28,I28,U28)</f>
        <v>39567.234375</v>
      </c>
      <c r="W28" s="40">
        <v>0</v>
      </c>
      <c r="X28" s="40">
        <f t="shared" ref="X28" si="40">SUM(V28:W28)</f>
        <v>39567.234375</v>
      </c>
    </row>
    <row r="29" spans="1:24">
      <c r="A29" s="7" t="s">
        <v>187</v>
      </c>
      <c r="B29" s="7">
        <v>70000</v>
      </c>
      <c r="C29" s="7" t="s">
        <v>188</v>
      </c>
      <c r="D29" s="7" t="s">
        <v>207</v>
      </c>
      <c r="E29" s="104">
        <f>'LOE Breakdown by Year'!D28</f>
        <v>0.25</v>
      </c>
      <c r="F29" s="46" t="s">
        <v>190</v>
      </c>
      <c r="G29" s="40">
        <v>10</v>
      </c>
      <c r="H29" s="40">
        <f>20000/12</f>
        <v>1666.6666666666667</v>
      </c>
      <c r="I29" s="40">
        <f t="shared" si="30"/>
        <v>4166.666666666667</v>
      </c>
      <c r="J29" s="104">
        <f>'LOE Breakdown by Year'!D58</f>
        <v>0.25</v>
      </c>
      <c r="K29" s="40">
        <v>12</v>
      </c>
      <c r="L29" s="40">
        <f t="shared" ref="L29:L32" si="41">K29*H29*$E$7*$J29</f>
        <v>5250</v>
      </c>
      <c r="M29" s="104">
        <f>'LOE Breakdown by Year'!D88</f>
        <v>0.25</v>
      </c>
      <c r="N29" s="40">
        <v>12</v>
      </c>
      <c r="O29" s="40">
        <f t="shared" si="28"/>
        <v>5512.5</v>
      </c>
      <c r="P29" s="104">
        <f>'LOE Breakdown by Year'!D118</f>
        <v>0.25</v>
      </c>
      <c r="Q29" s="40">
        <v>12</v>
      </c>
      <c r="R29" s="40">
        <f t="shared" si="32"/>
        <v>5788.125</v>
      </c>
      <c r="S29" s="104">
        <f>'LOE Breakdown by Year'!D148</f>
        <v>0.25</v>
      </c>
      <c r="T29" s="40">
        <v>11</v>
      </c>
      <c r="U29" s="40">
        <f t="shared" si="33"/>
        <v>5571.0703125000009</v>
      </c>
      <c r="V29" s="40">
        <f t="shared" si="29"/>
        <v>26288.361979166668</v>
      </c>
      <c r="W29" s="40">
        <v>0</v>
      </c>
      <c r="X29" s="40">
        <f>SUM(V29:W29)</f>
        <v>26288.361979166668</v>
      </c>
    </row>
    <row r="30" spans="1:24">
      <c r="A30" s="7" t="s">
        <v>187</v>
      </c>
      <c r="B30" s="7">
        <v>70000</v>
      </c>
      <c r="C30" s="7" t="s">
        <v>188</v>
      </c>
      <c r="D30" s="7" t="s">
        <v>208</v>
      </c>
      <c r="E30" s="104">
        <f>'LOE Breakdown by Year'!D29</f>
        <v>0.25</v>
      </c>
      <c r="F30" s="46" t="s">
        <v>190</v>
      </c>
      <c r="G30" s="40">
        <v>9</v>
      </c>
      <c r="H30" s="40">
        <f>10000/12</f>
        <v>833.33333333333337</v>
      </c>
      <c r="I30" s="40">
        <f>G30*H30*E30</f>
        <v>1875</v>
      </c>
      <c r="J30" s="104">
        <f>'LOE Breakdown by Year'!D59</f>
        <v>0.25</v>
      </c>
      <c r="K30" s="40">
        <v>12</v>
      </c>
      <c r="L30" s="40">
        <f t="shared" si="41"/>
        <v>2625</v>
      </c>
      <c r="M30" s="104">
        <f>'LOE Breakdown by Year'!D89</f>
        <v>0.25</v>
      </c>
      <c r="N30" s="40">
        <v>12</v>
      </c>
      <c r="O30" s="40">
        <f>N30*H30*$M30*$E$7*$E$7</f>
        <v>2756.25</v>
      </c>
      <c r="P30" s="104">
        <f>'LOE Breakdown by Year'!D119</f>
        <v>0.25</v>
      </c>
      <c r="Q30" s="40">
        <v>12</v>
      </c>
      <c r="R30" s="40">
        <f>Q30*H30*$P30*$E$7*$E$7*$E$7</f>
        <v>2894.0625</v>
      </c>
      <c r="S30" s="104">
        <f>'LOE Breakdown by Year'!D149</f>
        <v>0.25</v>
      </c>
      <c r="T30" s="40">
        <v>10</v>
      </c>
      <c r="U30" s="40">
        <f>T30*H30*$S30*$E$7*$E$7*$E$7*$E$7</f>
        <v>2532.3046875000005</v>
      </c>
      <c r="V30" s="40">
        <f>SUM(R30,O30,L30,I30,U30)</f>
        <v>12682.6171875</v>
      </c>
      <c r="W30" s="40">
        <v>0</v>
      </c>
      <c r="X30" s="40">
        <f>SUM(V30:W30)</f>
        <v>12682.6171875</v>
      </c>
    </row>
    <row r="31" spans="1:24">
      <c r="A31" s="7" t="s">
        <v>187</v>
      </c>
      <c r="B31" s="7">
        <v>70000</v>
      </c>
      <c r="C31" s="7" t="s">
        <v>188</v>
      </c>
      <c r="D31" s="7" t="s">
        <v>209</v>
      </c>
      <c r="E31" s="104">
        <f>'LOE Breakdown by Year'!D30</f>
        <v>0.25</v>
      </c>
      <c r="F31" s="46" t="s">
        <v>190</v>
      </c>
      <c r="G31" s="40">
        <v>11</v>
      </c>
      <c r="H31" s="40">
        <f>30000/12</f>
        <v>2500</v>
      </c>
      <c r="I31" s="40">
        <f t="shared" ref="I31" si="42">G31*H31*E31</f>
        <v>6875</v>
      </c>
      <c r="J31" s="104">
        <f>'LOE Breakdown by Year'!D60</f>
        <v>0.25</v>
      </c>
      <c r="K31" s="40">
        <v>12</v>
      </c>
      <c r="L31" s="40">
        <f t="shared" si="41"/>
        <v>7875</v>
      </c>
      <c r="M31" s="104">
        <f>'LOE Breakdown by Year'!D90</f>
        <v>0.25</v>
      </c>
      <c r="N31" s="40">
        <v>12</v>
      </c>
      <c r="O31" s="40">
        <f>N31*H31*$M31*$E$7*$E$7</f>
        <v>8268.75</v>
      </c>
      <c r="P31" s="104">
        <f>'LOE Breakdown by Year'!D120</f>
        <v>0.25</v>
      </c>
      <c r="Q31" s="40">
        <v>12</v>
      </c>
      <c r="R31" s="40">
        <f>Q31*H31*$P31*$E$7*$E$7*$E$7</f>
        <v>8682.1875</v>
      </c>
      <c r="S31" s="104">
        <f>'LOE Breakdown by Year'!D150</f>
        <v>0.25</v>
      </c>
      <c r="T31" s="40">
        <v>12</v>
      </c>
      <c r="U31" s="40">
        <f>T31*H31*$S31*$E$7*$E$7*$E$7*$E$7</f>
        <v>9116.296875</v>
      </c>
      <c r="V31" s="40">
        <f t="shared" ref="V31" si="43">SUM(R31,O31,L31,I31,U31)</f>
        <v>40817.234375</v>
      </c>
      <c r="W31" s="40">
        <v>0</v>
      </c>
      <c r="X31" s="40">
        <f t="shared" ref="X31" si="44">SUM(V31:W31)</f>
        <v>40817.234375</v>
      </c>
    </row>
    <row r="32" spans="1:24">
      <c r="A32" s="7" t="s">
        <v>187</v>
      </c>
      <c r="B32" s="7">
        <v>70000</v>
      </c>
      <c r="C32" s="7" t="s">
        <v>188</v>
      </c>
      <c r="D32" s="7" t="s">
        <v>210</v>
      </c>
      <c r="E32" s="104">
        <f>'LOE Breakdown by Year'!D31</f>
        <v>0.1</v>
      </c>
      <c r="F32" s="46" t="s">
        <v>190</v>
      </c>
      <c r="G32" s="40">
        <v>3</v>
      </c>
      <c r="H32" s="40">
        <f>(9000/12)*3</f>
        <v>2250</v>
      </c>
      <c r="I32" s="40">
        <f t="shared" ref="I32" si="45">G32*H32*E32</f>
        <v>675</v>
      </c>
      <c r="J32" s="104">
        <f>'LOE Breakdown by Year'!D61</f>
        <v>0.25</v>
      </c>
      <c r="K32" s="40">
        <v>12</v>
      </c>
      <c r="L32" s="40">
        <f t="shared" si="41"/>
        <v>7087.5</v>
      </c>
      <c r="M32" s="104">
        <f>'LOE Breakdown by Year'!D91</f>
        <v>0.25</v>
      </c>
      <c r="N32" s="40">
        <v>12</v>
      </c>
      <c r="O32" s="40">
        <f t="shared" ref="O32" si="46">N32*H32*$M32*$E$7*$E$7</f>
        <v>7441.875</v>
      </c>
      <c r="P32" s="104">
        <f>'LOE Breakdown by Year'!D121</f>
        <v>0.25</v>
      </c>
      <c r="Q32" s="40">
        <v>12</v>
      </c>
      <c r="R32" s="40">
        <f t="shared" ref="R32" si="47">Q32*H32*$P32*$E$7*$E$7*$E$7</f>
        <v>7813.96875</v>
      </c>
      <c r="S32" s="104">
        <f>'LOE Breakdown by Year'!D151</f>
        <v>0.25</v>
      </c>
      <c r="T32" s="40">
        <v>9</v>
      </c>
      <c r="U32" s="40">
        <f t="shared" ref="U32" si="48">T32*H32*$S32*$E$7*$E$7*$E$7*$E$7</f>
        <v>6153.5003906250004</v>
      </c>
      <c r="V32" s="40">
        <f t="shared" ref="V32" si="49">SUM(R32,O32,L32,I32,U32)</f>
        <v>29171.844140624999</v>
      </c>
      <c r="W32" s="40">
        <v>0</v>
      </c>
      <c r="X32" s="40">
        <f>SUM(V32:W32)</f>
        <v>29171.844140624999</v>
      </c>
    </row>
    <row r="33" spans="1:24">
      <c r="A33" s="62"/>
      <c r="B33" s="62"/>
      <c r="C33" s="62"/>
      <c r="D33" s="62" t="s">
        <v>211</v>
      </c>
      <c r="E33" s="106"/>
      <c r="F33" s="67"/>
      <c r="G33" s="68"/>
      <c r="H33" s="68"/>
      <c r="I33" s="68"/>
      <c r="J33" s="106"/>
      <c r="K33" s="68"/>
      <c r="L33" s="68"/>
      <c r="M33" s="106"/>
      <c r="N33" s="68"/>
      <c r="O33" s="68"/>
      <c r="P33" s="106"/>
      <c r="Q33" s="68"/>
      <c r="R33" s="68"/>
      <c r="S33" s="106"/>
      <c r="T33" s="68"/>
      <c r="U33" s="68"/>
      <c r="V33" s="68"/>
      <c r="W33" s="68"/>
      <c r="X33" s="68"/>
    </row>
    <row r="34" spans="1:24">
      <c r="A34" s="7" t="s">
        <v>187</v>
      </c>
      <c r="B34" s="7">
        <v>50000</v>
      </c>
      <c r="C34" s="7" t="s">
        <v>188</v>
      </c>
      <c r="D34" s="7" t="s">
        <v>212</v>
      </c>
      <c r="E34" s="105">
        <f>'LOE Breakdown by Year'!D33</f>
        <v>0.2</v>
      </c>
      <c r="F34" s="46" t="s">
        <v>190</v>
      </c>
      <c r="G34" s="40">
        <v>12</v>
      </c>
      <c r="H34" s="40">
        <f>135000/12</f>
        <v>11250</v>
      </c>
      <c r="I34" s="40">
        <f>G34*H34*E34</f>
        <v>27000</v>
      </c>
      <c r="J34" s="105">
        <f>'LOE Breakdown by Year'!D63</f>
        <v>0.2</v>
      </c>
      <c r="K34" s="40">
        <v>12</v>
      </c>
      <c r="L34" s="40">
        <f t="shared" ref="L34" si="50">K34*H34*$E$7*$J34</f>
        <v>28350</v>
      </c>
      <c r="M34" s="105">
        <f>'LOE Breakdown by Year'!D93</f>
        <v>0.2</v>
      </c>
      <c r="N34" s="40">
        <v>12</v>
      </c>
      <c r="O34" s="40">
        <f>N34*H34*$M34*$E$7*$E$7</f>
        <v>29767.5</v>
      </c>
      <c r="P34" s="105">
        <f>'LOE Breakdown by Year'!D123</f>
        <v>0.2</v>
      </c>
      <c r="Q34" s="40">
        <v>12</v>
      </c>
      <c r="R34" s="40">
        <f>Q34*H34*$P34*$E$7*$E$7*$E$7</f>
        <v>31255.875</v>
      </c>
      <c r="S34" s="105">
        <f>'LOE Breakdown by Year'!D153</f>
        <v>0.2</v>
      </c>
      <c r="T34" s="40">
        <v>12</v>
      </c>
      <c r="U34" s="40">
        <f t="shared" ref="U34" si="51">T34*H34*$S34*$E$7*$E$7*$E$7*$E$7</f>
        <v>32818.668750000004</v>
      </c>
      <c r="V34" s="40">
        <f t="shared" ref="V34" si="52">SUM(R34,O34,L34,I34,U34)</f>
        <v>149192.04375000001</v>
      </c>
      <c r="W34" s="40">
        <v>0</v>
      </c>
      <c r="X34" s="40">
        <f>SUM(V34:W34)</f>
        <v>149192.04375000001</v>
      </c>
    </row>
    <row r="35" spans="1:24">
      <c r="A35" s="7" t="s">
        <v>187</v>
      </c>
      <c r="B35" s="7">
        <v>50000</v>
      </c>
      <c r="C35" s="7" t="s">
        <v>188</v>
      </c>
      <c r="D35" s="7" t="s">
        <v>213</v>
      </c>
      <c r="E35" s="105">
        <f>'LOE Breakdown by Year'!D34</f>
        <v>1</v>
      </c>
      <c r="F35" s="46" t="s">
        <v>190</v>
      </c>
      <c r="G35" s="40">
        <v>12</v>
      </c>
      <c r="H35" s="40">
        <f>90000/12</f>
        <v>7500</v>
      </c>
      <c r="I35" s="40">
        <f>G35*H35*E35</f>
        <v>90000</v>
      </c>
      <c r="J35" s="105">
        <f>'LOE Breakdown by Year'!D64</f>
        <v>1</v>
      </c>
      <c r="K35" s="40">
        <v>12</v>
      </c>
      <c r="L35" s="40">
        <f t="shared" ref="L35" si="53">K35*H35*$E$7*$J35</f>
        <v>94500</v>
      </c>
      <c r="M35" s="105">
        <f>'LOE Breakdown by Year'!D94</f>
        <v>1</v>
      </c>
      <c r="N35" s="40">
        <v>12</v>
      </c>
      <c r="O35" s="40">
        <f>N35*H35*$M35*$E$7*$E$7</f>
        <v>99225</v>
      </c>
      <c r="P35" s="105">
        <f>'LOE Breakdown by Year'!D124</f>
        <v>1</v>
      </c>
      <c r="Q35" s="40">
        <v>12</v>
      </c>
      <c r="R35" s="40">
        <f>Q35*H35*$P35*$E$7*$E$7*$E$7</f>
        <v>104186.25</v>
      </c>
      <c r="S35" s="105">
        <f>'LOE Breakdown by Year'!D154</f>
        <v>1</v>
      </c>
      <c r="T35" s="40">
        <v>12</v>
      </c>
      <c r="U35" s="40">
        <f t="shared" ref="U35" si="54">T35*H35*$S35*$E$7*$E$7*$E$7*$E$7</f>
        <v>109395.5625</v>
      </c>
      <c r="V35" s="40">
        <f t="shared" ref="V35" si="55">SUM(R35,O35,L35,I35,U35)</f>
        <v>497306.8125</v>
      </c>
      <c r="W35" s="40">
        <v>0</v>
      </c>
      <c r="X35" s="40">
        <f>SUM(V35:W35)</f>
        <v>497306.8125</v>
      </c>
    </row>
    <row r="36" spans="1:24">
      <c r="E36" s="104"/>
      <c r="F36" s="46"/>
      <c r="G36" s="40"/>
      <c r="H36" s="40"/>
      <c r="I36" s="40"/>
      <c r="J36" s="104"/>
      <c r="K36" s="40"/>
      <c r="L36" s="40"/>
      <c r="M36" s="104"/>
      <c r="N36" s="40"/>
      <c r="O36" s="40"/>
      <c r="P36" s="104"/>
      <c r="Q36" s="40"/>
      <c r="R36" s="40"/>
      <c r="S36" s="104"/>
      <c r="T36" s="40"/>
      <c r="U36" s="40"/>
      <c r="V36" s="40"/>
      <c r="W36" s="40"/>
      <c r="X36" s="40"/>
    </row>
    <row r="37" spans="1:24" ht="12.9" thickBot="1">
      <c r="A37" s="533"/>
      <c r="B37" s="533"/>
      <c r="C37" s="533"/>
      <c r="D37" s="533" t="s">
        <v>214</v>
      </c>
      <c r="E37" s="534"/>
      <c r="F37" s="533"/>
      <c r="G37" s="533"/>
      <c r="H37" s="533"/>
      <c r="I37" s="535">
        <f>SUM(I12:I35)</f>
        <v>251629.16666666669</v>
      </c>
      <c r="J37" s="534"/>
      <c r="K37" s="535"/>
      <c r="L37" s="535">
        <f>SUM(L12:L35)</f>
        <v>197190</v>
      </c>
      <c r="M37" s="534"/>
      <c r="N37" s="535"/>
      <c r="O37" s="535">
        <f>SUM(O12:O35)</f>
        <v>207049.5</v>
      </c>
      <c r="P37" s="534"/>
      <c r="Q37" s="535"/>
      <c r="R37" s="535">
        <f>SUM(R12:R35)</f>
        <v>217401.97500000001</v>
      </c>
      <c r="S37" s="534"/>
      <c r="T37" s="535"/>
      <c r="U37" s="535">
        <f>SUM(U12:U35)</f>
        <v>224397.64757812503</v>
      </c>
      <c r="V37" s="535">
        <f>SUM(V12:V35)</f>
        <v>1097668.2892447917</v>
      </c>
      <c r="W37" s="535">
        <f>SUM(W12:W35)</f>
        <v>0</v>
      </c>
      <c r="X37" s="535">
        <f>SUM(X12:X35)</f>
        <v>1097668.2892447917</v>
      </c>
    </row>
    <row r="38" spans="1:24">
      <c r="A38" s="69"/>
      <c r="B38" s="69"/>
      <c r="C38" s="69"/>
      <c r="D38" s="69"/>
      <c r="E38" s="107"/>
      <c r="F38" s="69"/>
      <c r="G38" s="55"/>
      <c r="H38" s="55"/>
      <c r="I38" s="55"/>
      <c r="J38" s="107"/>
      <c r="K38" s="55"/>
      <c r="L38" s="55"/>
      <c r="M38" s="107"/>
      <c r="N38" s="55"/>
      <c r="O38" s="55"/>
      <c r="P38" s="107"/>
      <c r="Q38" s="55"/>
      <c r="R38" s="55"/>
      <c r="S38" s="107"/>
      <c r="T38" s="55"/>
      <c r="U38" s="55"/>
      <c r="V38" s="55"/>
      <c r="W38" s="55"/>
      <c r="X38" s="55"/>
    </row>
    <row r="39" spans="1:24">
      <c r="A39" s="34"/>
      <c r="B39" s="34"/>
      <c r="C39" s="34"/>
      <c r="D39" s="34" t="s">
        <v>215</v>
      </c>
      <c r="E39" s="108"/>
      <c r="F39" s="34"/>
      <c r="G39" s="34"/>
      <c r="H39" s="35"/>
      <c r="I39" s="36"/>
      <c r="J39" s="108"/>
      <c r="K39" s="36"/>
      <c r="L39" s="36"/>
      <c r="M39" s="108"/>
      <c r="N39" s="36"/>
      <c r="O39" s="36"/>
      <c r="P39" s="108"/>
      <c r="Q39" s="36"/>
      <c r="R39" s="36"/>
      <c r="S39" s="108"/>
      <c r="T39" s="36"/>
      <c r="U39" s="36"/>
      <c r="V39" s="36"/>
      <c r="W39" s="36"/>
      <c r="X39" s="36"/>
    </row>
    <row r="40" spans="1:24">
      <c r="A40" s="7" t="s">
        <v>216</v>
      </c>
      <c r="B40" s="7">
        <v>70015</v>
      </c>
      <c r="C40" s="7" t="s">
        <v>188</v>
      </c>
      <c r="D40" s="7" t="s">
        <v>217</v>
      </c>
      <c r="E40" s="105"/>
      <c r="F40" s="70" t="s">
        <v>147</v>
      </c>
      <c r="G40" s="40"/>
      <c r="H40" s="527">
        <v>0.45500000000000002</v>
      </c>
      <c r="I40" s="40">
        <f>(SUM(I12:I32))*$H$40</f>
        <v>61256.270833333343</v>
      </c>
      <c r="J40" s="105"/>
      <c r="K40" s="40"/>
      <c r="L40" s="40">
        <f>(SUM(L12:L32))*$H$40</f>
        <v>33824.700000000004</v>
      </c>
      <c r="M40" s="105"/>
      <c r="N40" s="40"/>
      <c r="O40" s="40">
        <f>(SUM(O12:O32))*$H$40</f>
        <v>35515.934999999998</v>
      </c>
      <c r="P40" s="105"/>
      <c r="Q40" s="40"/>
      <c r="R40" s="40">
        <f>(SUM(R12:R32))*$H$40</f>
        <v>37291.731750000006</v>
      </c>
      <c r="S40" s="105"/>
      <c r="T40" s="40"/>
      <c r="U40" s="40">
        <f>(SUM(U12:U32))*$H$40</f>
        <v>37393.454429296886</v>
      </c>
      <c r="V40" s="40">
        <f t="shared" ref="V40:V41" si="56">SUM(R40,O40,L40,I40,U40)</f>
        <v>205282.09201263025</v>
      </c>
      <c r="W40" s="55">
        <v>0</v>
      </c>
      <c r="X40" s="40">
        <f t="shared" ref="X40:X41" si="57">SUM(V40:W40)</f>
        <v>205282.09201263025</v>
      </c>
    </row>
    <row r="41" spans="1:24">
      <c r="A41" s="7" t="s">
        <v>216</v>
      </c>
      <c r="B41" s="7">
        <v>50900</v>
      </c>
      <c r="C41" s="7" t="s">
        <v>188</v>
      </c>
      <c r="D41" s="7" t="s">
        <v>218</v>
      </c>
      <c r="E41" s="105"/>
      <c r="F41" s="70" t="s">
        <v>147</v>
      </c>
      <c r="G41" s="458"/>
      <c r="H41" s="56">
        <v>0.23469999999999999</v>
      </c>
      <c r="I41" s="40">
        <f>(I35+I34)*$H$41</f>
        <v>27459.899999999998</v>
      </c>
      <c r="J41" s="105"/>
      <c r="K41" s="40"/>
      <c r="L41" s="40">
        <f>(L35+L34)*$H$41</f>
        <v>28832.895</v>
      </c>
      <c r="M41" s="105"/>
      <c r="N41" s="40"/>
      <c r="O41" s="40">
        <f>(O35+O34)*$H$41</f>
        <v>30274.53975</v>
      </c>
      <c r="P41" s="105"/>
      <c r="Q41" s="40"/>
      <c r="R41" s="40">
        <f>(R35+R34)*$H$41</f>
        <v>31788.266737499998</v>
      </c>
      <c r="S41" s="105"/>
      <c r="T41" s="40"/>
      <c r="U41" s="40">
        <f>(U35+U34)*$H$41</f>
        <v>33377.680074374999</v>
      </c>
      <c r="V41" s="40">
        <f t="shared" si="56"/>
        <v>151733.28156187499</v>
      </c>
      <c r="W41" s="55">
        <v>0</v>
      </c>
      <c r="X41" s="40">
        <f t="shared" si="57"/>
        <v>151733.28156187499</v>
      </c>
    </row>
    <row r="42" spans="1:24">
      <c r="A42" s="41"/>
      <c r="B42" s="41"/>
      <c r="C42" s="41"/>
      <c r="D42" s="41"/>
      <c r="E42" s="109"/>
      <c r="I42" s="40"/>
      <c r="J42" s="109"/>
      <c r="K42" s="40"/>
      <c r="L42" s="40"/>
      <c r="M42" s="109"/>
      <c r="N42" s="40"/>
      <c r="O42" s="40"/>
      <c r="P42" s="109"/>
      <c r="Q42" s="40"/>
      <c r="R42" s="40"/>
      <c r="S42" s="109"/>
      <c r="T42" s="40"/>
      <c r="U42" s="40"/>
      <c r="V42" s="40"/>
      <c r="W42" s="40"/>
      <c r="X42" s="40"/>
    </row>
    <row r="43" spans="1:24" ht="12.9" thickBot="1">
      <c r="A43" s="536"/>
      <c r="B43" s="536"/>
      <c r="C43" s="536"/>
      <c r="D43" s="536" t="s">
        <v>219</v>
      </c>
      <c r="E43" s="537"/>
      <c r="F43" s="533"/>
      <c r="G43" s="536"/>
      <c r="H43" s="538"/>
      <c r="I43" s="535">
        <f>SUM(I40:I42)</f>
        <v>88716.170833333337</v>
      </c>
      <c r="J43" s="537"/>
      <c r="K43" s="535"/>
      <c r="L43" s="535">
        <f>SUM(L40:L42)</f>
        <v>62657.595000000001</v>
      </c>
      <c r="M43" s="537"/>
      <c r="N43" s="535"/>
      <c r="O43" s="535">
        <f>SUM(O40:O42)</f>
        <v>65790.474749999994</v>
      </c>
      <c r="P43" s="537"/>
      <c r="Q43" s="535"/>
      <c r="R43" s="535">
        <f>SUM(R40:R42)</f>
        <v>69079.998487500008</v>
      </c>
      <c r="S43" s="537"/>
      <c r="T43" s="535"/>
      <c r="U43" s="535">
        <f>SUM(U40:U42)</f>
        <v>70771.134503671885</v>
      </c>
      <c r="V43" s="535">
        <f>SUM(V40:V42)</f>
        <v>357015.37357450521</v>
      </c>
      <c r="W43" s="535">
        <f>SUM(W40:W42)</f>
        <v>0</v>
      </c>
      <c r="X43" s="535">
        <f>SUM(X40:X42)</f>
        <v>357015.37357450521</v>
      </c>
    </row>
    <row r="44" spans="1:24">
      <c r="A44" s="69"/>
      <c r="B44" s="69"/>
      <c r="C44" s="69"/>
      <c r="D44" s="69"/>
      <c r="E44" s="107"/>
      <c r="F44" s="69"/>
      <c r="G44" s="55"/>
      <c r="H44" s="55"/>
      <c r="I44" s="55"/>
      <c r="J44" s="107"/>
      <c r="K44" s="55"/>
      <c r="L44" s="55"/>
      <c r="M44" s="107"/>
      <c r="N44" s="55"/>
      <c r="O44" s="55"/>
      <c r="P44" s="107"/>
      <c r="Q44" s="55"/>
      <c r="R44" s="55"/>
      <c r="S44" s="107"/>
      <c r="T44" s="55"/>
      <c r="U44" s="55"/>
      <c r="V44" s="55"/>
      <c r="W44" s="55"/>
      <c r="X44" s="55"/>
    </row>
    <row r="45" spans="1:24">
      <c r="A45" s="34"/>
      <c r="B45" s="34"/>
      <c r="C45" s="34"/>
      <c r="D45" s="34" t="s">
        <v>29</v>
      </c>
      <c r="E45" s="108"/>
      <c r="F45" s="34"/>
      <c r="G45" s="34"/>
      <c r="H45" s="35"/>
      <c r="I45" s="36"/>
      <c r="J45" s="108"/>
      <c r="K45" s="36"/>
      <c r="L45" s="36"/>
      <c r="M45" s="108"/>
      <c r="N45" s="36"/>
      <c r="O45" s="36"/>
      <c r="P45" s="108"/>
      <c r="Q45" s="36"/>
      <c r="R45" s="36"/>
      <c r="S45" s="108"/>
      <c r="T45" s="36"/>
      <c r="U45" s="36"/>
      <c r="V45" s="36"/>
      <c r="W45" s="36"/>
      <c r="X45" s="36"/>
    </row>
    <row r="46" spans="1:24">
      <c r="A46" s="62"/>
      <c r="B46" s="62"/>
      <c r="C46" s="62"/>
      <c r="D46" s="62" t="s">
        <v>220</v>
      </c>
      <c r="E46" s="110"/>
      <c r="F46" s="71"/>
      <c r="G46" s="72"/>
      <c r="H46" s="68"/>
      <c r="I46" s="68"/>
      <c r="J46" s="110"/>
      <c r="K46" s="68"/>
      <c r="L46" s="68"/>
      <c r="M46" s="110"/>
      <c r="N46" s="68"/>
      <c r="O46" s="68"/>
      <c r="P46" s="110"/>
      <c r="Q46" s="68"/>
      <c r="R46" s="68"/>
      <c r="S46" s="110"/>
      <c r="T46" s="68"/>
      <c r="U46" s="68"/>
      <c r="V46" s="68"/>
      <c r="W46" s="68"/>
      <c r="X46" s="68"/>
    </row>
    <row r="47" spans="1:24">
      <c r="A47" s="7" t="s">
        <v>221</v>
      </c>
      <c r="B47" s="7">
        <v>86040</v>
      </c>
      <c r="C47" s="7" t="s">
        <v>188</v>
      </c>
      <c r="D47" s="7" t="s">
        <v>222</v>
      </c>
      <c r="E47" s="109"/>
      <c r="F47" s="7" t="s">
        <v>223</v>
      </c>
      <c r="G47" s="40">
        <v>5</v>
      </c>
      <c r="H47" s="40">
        <v>1400</v>
      </c>
      <c r="I47" s="40">
        <f>G47*H47</f>
        <v>7000</v>
      </c>
      <c r="J47" s="109"/>
      <c r="K47" s="40">
        <v>5</v>
      </c>
      <c r="L47" s="40">
        <f>H47*K47*$E$6</f>
        <v>7490</v>
      </c>
      <c r="M47" s="109"/>
      <c r="N47" s="40">
        <v>5</v>
      </c>
      <c r="O47" s="40">
        <f>H47*N47*$E$6*$E$6</f>
        <v>8014.3</v>
      </c>
      <c r="P47" s="109"/>
      <c r="Q47" s="40">
        <v>5</v>
      </c>
      <c r="R47" s="40">
        <f>H47*Q47*$E$6*$E$6*$E$6</f>
        <v>8575.3010000000013</v>
      </c>
      <c r="S47" s="109"/>
      <c r="T47" s="40">
        <v>5</v>
      </c>
      <c r="U47" s="40">
        <f>T47*H47*$E$6*$E$6*$E$6*$E$6</f>
        <v>9175.572070000002</v>
      </c>
      <c r="V47" s="40">
        <f t="shared" ref="V47:V59" si="58">SUM(R47,O47,L47,I47,U47)</f>
        <v>40255.173070000004</v>
      </c>
      <c r="W47" s="40" t="s">
        <v>224</v>
      </c>
      <c r="X47" s="40">
        <f>SUM(V47:W47)</f>
        <v>40255.173070000004</v>
      </c>
    </row>
    <row r="48" spans="1:24" ht="25.2">
      <c r="A48" s="7" t="s">
        <v>225</v>
      </c>
      <c r="B48" s="565" t="s">
        <v>226</v>
      </c>
      <c r="C48" s="7" t="s">
        <v>188</v>
      </c>
      <c r="D48" s="7" t="s">
        <v>227</v>
      </c>
      <c r="F48" s="7" t="s">
        <v>228</v>
      </c>
      <c r="G48" s="40">
        <f>G47*7</f>
        <v>35</v>
      </c>
      <c r="H48" s="40">
        <f>92+120</f>
        <v>212</v>
      </c>
      <c r="I48" s="40">
        <f>G48*H48</f>
        <v>7420</v>
      </c>
      <c r="J48" s="111"/>
      <c r="K48" s="40">
        <f>K47*7</f>
        <v>35</v>
      </c>
      <c r="L48" s="40">
        <f>H48*K48*$E$6</f>
        <v>7939.4000000000005</v>
      </c>
      <c r="M48" s="111"/>
      <c r="N48" s="40">
        <f>N47*7</f>
        <v>35</v>
      </c>
      <c r="O48" s="40">
        <f t="shared" ref="O48:O50" si="59">H48*N48*$E$6*$E$6</f>
        <v>8495.1580000000013</v>
      </c>
      <c r="P48" s="111"/>
      <c r="Q48" s="40">
        <f>Q47*7</f>
        <v>35</v>
      </c>
      <c r="R48" s="40">
        <f t="shared" ref="R48:R50" si="60">H48*Q48*$E$6*$E$6*$E$6</f>
        <v>9089.8190600000016</v>
      </c>
      <c r="S48" s="111"/>
      <c r="T48" s="40">
        <f>T47*7</f>
        <v>35</v>
      </c>
      <c r="U48" s="40">
        <f t="shared" ref="U48:U50" si="61">T48*H48*$E$6*$E$6*$E$6*$E$6</f>
        <v>9726.1063942000019</v>
      </c>
      <c r="V48" s="40">
        <f t="shared" si="58"/>
        <v>42670.48345420001</v>
      </c>
      <c r="W48" s="40" t="s">
        <v>224</v>
      </c>
      <c r="X48" s="40">
        <f>SUM(V48:W48)</f>
        <v>42670.48345420001</v>
      </c>
    </row>
    <row r="49" spans="1:24">
      <c r="A49" s="7" t="s">
        <v>225</v>
      </c>
      <c r="B49" s="7">
        <v>86000</v>
      </c>
      <c r="C49" s="7" t="s">
        <v>188</v>
      </c>
      <c r="D49" s="7" t="s">
        <v>229</v>
      </c>
      <c r="F49" s="7" t="s">
        <v>223</v>
      </c>
      <c r="G49" s="40">
        <f>G47</f>
        <v>5</v>
      </c>
      <c r="H49" s="40">
        <v>150</v>
      </c>
      <c r="I49" s="40">
        <f>G49*H49</f>
        <v>750</v>
      </c>
      <c r="J49" s="111"/>
      <c r="K49" s="40">
        <f>K47</f>
        <v>5</v>
      </c>
      <c r="L49" s="40">
        <f t="shared" ref="L49:L50" si="62">H49*K49*$E$6</f>
        <v>802.5</v>
      </c>
      <c r="M49" s="111"/>
      <c r="N49" s="40">
        <f>N47</f>
        <v>5</v>
      </c>
      <c r="O49" s="40">
        <f t="shared" si="59"/>
        <v>858.67500000000007</v>
      </c>
      <c r="P49" s="111"/>
      <c r="Q49" s="40">
        <f>Q47</f>
        <v>5</v>
      </c>
      <c r="R49" s="40">
        <f t="shared" si="60"/>
        <v>918.78225000000009</v>
      </c>
      <c r="S49" s="111"/>
      <c r="T49" s="40">
        <f>T47</f>
        <v>5</v>
      </c>
      <c r="U49" s="40">
        <f t="shared" si="61"/>
        <v>983.09700750000013</v>
      </c>
      <c r="V49" s="40">
        <f t="shared" si="58"/>
        <v>4313.0542575000009</v>
      </c>
      <c r="W49" s="40" t="s">
        <v>224</v>
      </c>
      <c r="X49" s="40">
        <f>SUM(V49:W49)</f>
        <v>4313.0542575000009</v>
      </c>
    </row>
    <row r="50" spans="1:24">
      <c r="A50" s="7" t="s">
        <v>225</v>
      </c>
      <c r="B50" s="7">
        <v>86050</v>
      </c>
      <c r="C50" s="7" t="s">
        <v>188</v>
      </c>
      <c r="D50" s="7" t="s">
        <v>230</v>
      </c>
      <c r="F50" s="7" t="s">
        <v>223</v>
      </c>
      <c r="G50" s="40">
        <f>G47</f>
        <v>5</v>
      </c>
      <c r="H50" s="40">
        <v>50</v>
      </c>
      <c r="I50" s="40">
        <f>G50*H50</f>
        <v>250</v>
      </c>
      <c r="J50" s="111"/>
      <c r="K50" s="40">
        <f>K47</f>
        <v>5</v>
      </c>
      <c r="L50" s="40">
        <f t="shared" si="62"/>
        <v>267.5</v>
      </c>
      <c r="M50" s="111"/>
      <c r="N50" s="40">
        <f>N47</f>
        <v>5</v>
      </c>
      <c r="O50" s="40">
        <f t="shared" si="59"/>
        <v>286.22500000000002</v>
      </c>
      <c r="P50" s="111"/>
      <c r="Q50" s="40">
        <f>Q47</f>
        <v>5</v>
      </c>
      <c r="R50" s="40">
        <f t="shared" si="60"/>
        <v>306.26075000000003</v>
      </c>
      <c r="S50" s="111"/>
      <c r="T50" s="40">
        <f>T47</f>
        <v>5</v>
      </c>
      <c r="U50" s="40">
        <f t="shared" si="61"/>
        <v>327.69900250000006</v>
      </c>
      <c r="V50" s="40">
        <f t="shared" si="58"/>
        <v>1437.6847525000001</v>
      </c>
      <c r="W50" s="40" t="s">
        <v>224</v>
      </c>
      <c r="X50" s="40">
        <f>SUM(V50:W50)</f>
        <v>1437.6847525000001</v>
      </c>
    </row>
    <row r="51" spans="1:24">
      <c r="A51" s="62"/>
      <c r="B51" s="62"/>
      <c r="C51" s="62"/>
      <c r="D51" s="62" t="s">
        <v>231</v>
      </c>
      <c r="E51" s="110"/>
      <c r="F51" s="71"/>
      <c r="G51" s="68"/>
      <c r="H51" s="68"/>
      <c r="I51" s="68"/>
      <c r="J51" s="110"/>
      <c r="K51" s="68"/>
      <c r="L51" s="68"/>
      <c r="M51" s="110"/>
      <c r="N51" s="68"/>
      <c r="O51" s="68"/>
      <c r="P51" s="110"/>
      <c r="Q51" s="68"/>
      <c r="R51" s="68"/>
      <c r="S51" s="110"/>
      <c r="T51" s="68"/>
      <c r="U51" s="68"/>
      <c r="V51" s="68"/>
      <c r="W51" s="68"/>
      <c r="X51" s="68"/>
    </row>
    <row r="52" spans="1:24">
      <c r="A52" s="7" t="s">
        <v>232</v>
      </c>
      <c r="B52" s="7">
        <v>86040</v>
      </c>
      <c r="C52" s="7" t="s">
        <v>188</v>
      </c>
      <c r="D52" s="7" t="s">
        <v>233</v>
      </c>
      <c r="E52" s="109"/>
      <c r="F52" s="7" t="s">
        <v>223</v>
      </c>
      <c r="G52" s="40">
        <v>4</v>
      </c>
      <c r="H52" s="40">
        <v>1400</v>
      </c>
      <c r="I52" s="40">
        <f>G52*H52</f>
        <v>5600</v>
      </c>
      <c r="J52" s="109"/>
      <c r="K52" s="40">
        <v>4</v>
      </c>
      <c r="L52" s="40">
        <f>H52*K52*$E$6</f>
        <v>5992</v>
      </c>
      <c r="M52" s="109"/>
      <c r="N52" s="40">
        <v>4</v>
      </c>
      <c r="O52" s="40">
        <f>H52*N52*$E$6*$E$6</f>
        <v>6411.4400000000005</v>
      </c>
      <c r="P52" s="109"/>
      <c r="Q52" s="40">
        <v>4</v>
      </c>
      <c r="R52" s="40">
        <f>H52*Q52*$E$6*$E$6*$E$6</f>
        <v>6860.2408000000005</v>
      </c>
      <c r="S52" s="109"/>
      <c r="T52" s="40">
        <v>4</v>
      </c>
      <c r="U52" s="40">
        <f>T52*H52*$E$6*$E$6*$E$6*$E$6</f>
        <v>7340.4576560000005</v>
      </c>
      <c r="V52" s="40">
        <f t="shared" si="58"/>
        <v>32204.138456000001</v>
      </c>
      <c r="W52" s="40" t="s">
        <v>224</v>
      </c>
      <c r="X52" s="40">
        <f>SUM(V52:W52)</f>
        <v>32204.138456000001</v>
      </c>
    </row>
    <row r="53" spans="1:24" ht="25.2">
      <c r="A53" s="7" t="s">
        <v>232</v>
      </c>
      <c r="B53" s="565" t="s">
        <v>226</v>
      </c>
      <c r="C53" s="7" t="s">
        <v>188</v>
      </c>
      <c r="D53" s="7" t="s">
        <v>234</v>
      </c>
      <c r="F53" s="7" t="s">
        <v>228</v>
      </c>
      <c r="G53" s="40">
        <f>7*G52</f>
        <v>28</v>
      </c>
      <c r="H53" s="40">
        <f>71+180</f>
        <v>251</v>
      </c>
      <c r="I53" s="40">
        <f>G53*H53</f>
        <v>7028</v>
      </c>
      <c r="J53" s="111"/>
      <c r="K53" s="40">
        <f>7*K52</f>
        <v>28</v>
      </c>
      <c r="L53" s="40">
        <f t="shared" ref="L53:L55" si="63">H53*K53*$E$6</f>
        <v>7519.96</v>
      </c>
      <c r="M53" s="111"/>
      <c r="N53" s="40">
        <f>7*N52</f>
        <v>28</v>
      </c>
      <c r="O53" s="40">
        <f t="shared" ref="O53:O59" si="64">H53*N53*$E$6*$E$6</f>
        <v>8046.3572000000004</v>
      </c>
      <c r="P53" s="111"/>
      <c r="Q53" s="40">
        <f>7*Q52</f>
        <v>28</v>
      </c>
      <c r="R53" s="40">
        <f t="shared" ref="R53:R55" si="65">H53*Q53*$E$6*$E$6*$E$6</f>
        <v>8609.6022040000007</v>
      </c>
      <c r="S53" s="111"/>
      <c r="T53" s="40">
        <f>7*T52</f>
        <v>28</v>
      </c>
      <c r="U53" s="40">
        <f t="shared" ref="U53:U59" si="66">T53*H53*$E$6*$E$6*$E$6*$E$6</f>
        <v>9212.2743582800013</v>
      </c>
      <c r="V53" s="40">
        <f t="shared" si="58"/>
        <v>40416.193762280003</v>
      </c>
      <c r="W53" s="40" t="s">
        <v>224</v>
      </c>
      <c r="X53" s="40">
        <f>SUM(V53:W53)</f>
        <v>40416.193762280003</v>
      </c>
    </row>
    <row r="54" spans="1:24">
      <c r="A54" s="7" t="s">
        <v>232</v>
      </c>
      <c r="B54" s="7">
        <v>86000</v>
      </c>
      <c r="C54" s="7" t="s">
        <v>188</v>
      </c>
      <c r="D54" s="7" t="s">
        <v>235</v>
      </c>
      <c r="F54" s="7" t="s">
        <v>223</v>
      </c>
      <c r="G54" s="40">
        <f>G52</f>
        <v>4</v>
      </c>
      <c r="H54" s="40">
        <v>150</v>
      </c>
      <c r="I54" s="40">
        <f>G54*H54</f>
        <v>600</v>
      </c>
      <c r="J54" s="111"/>
      <c r="K54" s="40">
        <f>K52</f>
        <v>4</v>
      </c>
      <c r="L54" s="40">
        <f t="shared" si="63"/>
        <v>642</v>
      </c>
      <c r="M54" s="111"/>
      <c r="N54" s="40">
        <f>N52</f>
        <v>4</v>
      </c>
      <c r="O54" s="40">
        <f t="shared" si="64"/>
        <v>686.94</v>
      </c>
      <c r="P54" s="111"/>
      <c r="Q54" s="40">
        <f>Q52</f>
        <v>4</v>
      </c>
      <c r="R54" s="40">
        <f t="shared" si="65"/>
        <v>735.02580000000012</v>
      </c>
      <c r="S54" s="111"/>
      <c r="T54" s="40">
        <f>T52</f>
        <v>4</v>
      </c>
      <c r="U54" s="40">
        <f t="shared" si="66"/>
        <v>786.47760600000015</v>
      </c>
      <c r="V54" s="40">
        <f t="shared" si="58"/>
        <v>3450.4434060000003</v>
      </c>
      <c r="W54" s="40" t="s">
        <v>224</v>
      </c>
      <c r="X54" s="40">
        <f>SUM(V54:W54)</f>
        <v>3450.4434060000003</v>
      </c>
    </row>
    <row r="55" spans="1:24">
      <c r="A55" s="7" t="s">
        <v>232</v>
      </c>
      <c r="B55" s="7">
        <v>86050</v>
      </c>
      <c r="C55" s="7" t="s">
        <v>188</v>
      </c>
      <c r="D55" s="7" t="s">
        <v>236</v>
      </c>
      <c r="F55" s="7" t="s">
        <v>223</v>
      </c>
      <c r="G55" s="40">
        <f>G52</f>
        <v>4</v>
      </c>
      <c r="H55" s="40">
        <v>50</v>
      </c>
      <c r="I55" s="40">
        <f>G55*H55</f>
        <v>200</v>
      </c>
      <c r="J55" s="111"/>
      <c r="K55" s="40">
        <f>K52</f>
        <v>4</v>
      </c>
      <c r="L55" s="40">
        <f t="shared" si="63"/>
        <v>214</v>
      </c>
      <c r="M55" s="111"/>
      <c r="N55" s="40">
        <f>N52</f>
        <v>4</v>
      </c>
      <c r="O55" s="40">
        <f t="shared" si="64"/>
        <v>228.98000000000002</v>
      </c>
      <c r="P55" s="111"/>
      <c r="Q55" s="40">
        <f>Q52</f>
        <v>4</v>
      </c>
      <c r="R55" s="40">
        <f t="shared" si="65"/>
        <v>245.00860000000003</v>
      </c>
      <c r="S55" s="111"/>
      <c r="T55" s="40">
        <f>T52</f>
        <v>4</v>
      </c>
      <c r="U55" s="40">
        <f t="shared" si="66"/>
        <v>262.15920200000005</v>
      </c>
      <c r="V55" s="40">
        <f t="shared" si="58"/>
        <v>1150.147802</v>
      </c>
      <c r="W55" s="40" t="s">
        <v>224</v>
      </c>
      <c r="X55" s="40">
        <f>SUM(V55:W55)</f>
        <v>1150.147802</v>
      </c>
    </row>
    <row r="56" spans="1:24">
      <c r="A56" s="62"/>
      <c r="B56" s="62"/>
      <c r="C56" s="62"/>
      <c r="D56" s="62" t="s">
        <v>237</v>
      </c>
      <c r="E56" s="110"/>
      <c r="F56" s="71"/>
      <c r="G56" s="68"/>
      <c r="H56" s="68"/>
      <c r="I56" s="68"/>
      <c r="J56" s="110"/>
      <c r="K56" s="68"/>
      <c r="L56" s="68"/>
      <c r="M56" s="110"/>
      <c r="N56" s="68"/>
      <c r="O56" s="68"/>
      <c r="P56" s="110"/>
      <c r="Q56" s="68"/>
      <c r="R56" s="68"/>
      <c r="S56" s="110"/>
      <c r="T56" s="68"/>
      <c r="U56" s="68"/>
      <c r="V56" s="68"/>
      <c r="W56" s="68"/>
      <c r="X56" s="68"/>
    </row>
    <row r="57" spans="1:24">
      <c r="A57" s="7" t="s">
        <v>238</v>
      </c>
      <c r="B57" s="7">
        <v>86000</v>
      </c>
      <c r="C57" s="7" t="s">
        <v>188</v>
      </c>
      <c r="D57" s="7" t="s">
        <v>239</v>
      </c>
      <c r="E57" s="109"/>
      <c r="F57" s="7" t="s">
        <v>190</v>
      </c>
      <c r="G57" s="40">
        <v>3</v>
      </c>
      <c r="H57" s="40">
        <f>3*150</f>
        <v>450</v>
      </c>
      <c r="I57" s="40">
        <f>G57*H57</f>
        <v>1350</v>
      </c>
      <c r="J57" s="109"/>
      <c r="K57" s="40">
        <v>12</v>
      </c>
      <c r="L57" s="40">
        <f>H57*K57*$E$6</f>
        <v>5778</v>
      </c>
      <c r="M57" s="109"/>
      <c r="N57" s="40">
        <v>12</v>
      </c>
      <c r="O57" s="40">
        <f t="shared" si="64"/>
        <v>6182.46</v>
      </c>
      <c r="P57" s="109"/>
      <c r="Q57" s="40">
        <v>12</v>
      </c>
      <c r="R57" s="40">
        <f>H57*Q57*$E$6*$E$6*$E$6</f>
        <v>6615.2322000000004</v>
      </c>
      <c r="S57" s="109"/>
      <c r="T57" s="40">
        <v>9</v>
      </c>
      <c r="U57" s="40">
        <f t="shared" si="66"/>
        <v>5308.7238405000007</v>
      </c>
      <c r="V57" s="40">
        <f t="shared" ref="V57" si="67">SUM(R57,O57,L57,I57,U57)</f>
        <v>25234.4160405</v>
      </c>
      <c r="W57" s="40" t="s">
        <v>224</v>
      </c>
      <c r="X57" s="40">
        <f>SUM(V57:W57)</f>
        <v>25234.4160405</v>
      </c>
    </row>
    <row r="58" spans="1:24">
      <c r="A58" s="7" t="s">
        <v>238</v>
      </c>
      <c r="B58" s="7">
        <v>86000</v>
      </c>
      <c r="C58" s="7" t="s">
        <v>188</v>
      </c>
      <c r="D58" s="7" t="s">
        <v>240</v>
      </c>
      <c r="F58" s="7" t="s">
        <v>223</v>
      </c>
      <c r="G58" s="40">
        <f>12*3</f>
        <v>36</v>
      </c>
      <c r="H58" s="40">
        <v>100</v>
      </c>
      <c r="I58" s="40">
        <f>G58*H58</f>
        <v>3600</v>
      </c>
      <c r="J58" s="111"/>
      <c r="K58" s="40">
        <f>12*3</f>
        <v>36</v>
      </c>
      <c r="L58" s="40">
        <f t="shared" ref="L58:L59" si="68">H58*K58*$E$6</f>
        <v>3852</v>
      </c>
      <c r="M58" s="111"/>
      <c r="N58" s="40">
        <f>12*3</f>
        <v>36</v>
      </c>
      <c r="O58" s="40">
        <f t="shared" si="64"/>
        <v>4121.6400000000003</v>
      </c>
      <c r="P58" s="111"/>
      <c r="Q58" s="40">
        <f>12*3</f>
        <v>36</v>
      </c>
      <c r="R58" s="40">
        <f t="shared" ref="R58:R59" si="69">H58*Q58*$E$6*$E$6*$E$6</f>
        <v>4410.1548000000003</v>
      </c>
      <c r="S58" s="111"/>
      <c r="T58" s="40">
        <f>12*3</f>
        <v>36</v>
      </c>
      <c r="U58" s="40">
        <f t="shared" si="66"/>
        <v>4718.8656360000004</v>
      </c>
      <c r="V58" s="40">
        <f t="shared" si="58"/>
        <v>20702.660435999998</v>
      </c>
      <c r="W58" s="40" t="s">
        <v>224</v>
      </c>
      <c r="X58" s="40">
        <f>SUM(V58:W58)</f>
        <v>20702.660435999998</v>
      </c>
    </row>
    <row r="59" spans="1:24" ht="25.2">
      <c r="A59" s="7" t="s">
        <v>238</v>
      </c>
      <c r="B59" s="565" t="s">
        <v>226</v>
      </c>
      <c r="C59" s="7" t="s">
        <v>188</v>
      </c>
      <c r="D59" s="7" t="s">
        <v>241</v>
      </c>
      <c r="F59" s="7" t="s">
        <v>228</v>
      </c>
      <c r="G59" s="40">
        <f>4*G58</f>
        <v>144</v>
      </c>
      <c r="H59" s="40">
        <f>44+85</f>
        <v>129</v>
      </c>
      <c r="I59" s="40">
        <f>G59*H59</f>
        <v>18576</v>
      </c>
      <c r="J59" s="111"/>
      <c r="K59" s="40">
        <f>4*K58</f>
        <v>144</v>
      </c>
      <c r="L59" s="40">
        <f t="shared" si="68"/>
        <v>19876.32</v>
      </c>
      <c r="M59" s="111"/>
      <c r="N59" s="40">
        <f>4*N58</f>
        <v>144</v>
      </c>
      <c r="O59" s="40">
        <f t="shared" si="64"/>
        <v>21267.662400000001</v>
      </c>
      <c r="P59" s="111"/>
      <c r="Q59" s="40">
        <f>4*Q58</f>
        <v>144</v>
      </c>
      <c r="R59" s="40">
        <f t="shared" si="69"/>
        <v>22756.398768000003</v>
      </c>
      <c r="S59" s="111"/>
      <c r="T59" s="40">
        <f>4*T58</f>
        <v>144</v>
      </c>
      <c r="U59" s="40">
        <f t="shared" si="66"/>
        <v>24349.346681760006</v>
      </c>
      <c r="V59" s="40">
        <f t="shared" si="58"/>
        <v>106825.72784976001</v>
      </c>
      <c r="W59" s="40" t="s">
        <v>224</v>
      </c>
      <c r="X59" s="40">
        <f>SUM(V59:W59)</f>
        <v>106825.72784976001</v>
      </c>
    </row>
    <row r="60" spans="1:24" ht="12.9" thickBot="1">
      <c r="A60" s="533"/>
      <c r="B60" s="533"/>
      <c r="C60" s="533"/>
      <c r="D60" s="533" t="s">
        <v>242</v>
      </c>
      <c r="E60" s="537"/>
      <c r="F60" s="539"/>
      <c r="G60" s="539"/>
      <c r="H60" s="538"/>
      <c r="I60" s="535">
        <f>SUM(I46:I59)</f>
        <v>52374</v>
      </c>
      <c r="J60" s="537"/>
      <c r="K60" s="535"/>
      <c r="L60" s="535">
        <f>SUM(L46:L59)</f>
        <v>60373.68</v>
      </c>
      <c r="M60" s="537"/>
      <c r="N60" s="535"/>
      <c r="O60" s="535">
        <f>SUM(O46:O59)</f>
        <v>64599.837600000006</v>
      </c>
      <c r="P60" s="537"/>
      <c r="Q60" s="535"/>
      <c r="R60" s="535">
        <f>SUM(R46:R59)</f>
        <v>69121.826232000007</v>
      </c>
      <c r="S60" s="537"/>
      <c r="T60" s="535"/>
      <c r="U60" s="535">
        <f>SUM(U46:U59)</f>
        <v>72190.779454740026</v>
      </c>
      <c r="V60" s="535">
        <f>SUM(V46:V59)</f>
        <v>318660.12328674004</v>
      </c>
      <c r="W60" s="535">
        <f>SUM(W46:W59)</f>
        <v>0</v>
      </c>
      <c r="X60" s="535">
        <f>SUM(X46:X59)</f>
        <v>318660.12328674004</v>
      </c>
    </row>
    <row r="61" spans="1:24">
      <c r="A61" s="69"/>
      <c r="B61" s="69"/>
      <c r="C61" s="69"/>
      <c r="D61" s="69"/>
      <c r="E61" s="107"/>
      <c r="F61" s="69"/>
      <c r="G61" s="55"/>
      <c r="H61" s="55"/>
      <c r="I61" s="55"/>
      <c r="J61" s="107"/>
      <c r="K61" s="55"/>
      <c r="L61" s="55"/>
      <c r="M61" s="107"/>
      <c r="N61" s="55"/>
      <c r="O61" s="55"/>
      <c r="P61" s="107"/>
      <c r="Q61" s="55"/>
      <c r="R61" s="55"/>
      <c r="S61" s="107"/>
      <c r="T61" s="55"/>
      <c r="U61" s="55"/>
      <c r="V61" s="55"/>
      <c r="W61" s="55"/>
      <c r="X61" s="55"/>
    </row>
    <row r="62" spans="1:24">
      <c r="A62" s="34"/>
      <c r="B62" s="34"/>
      <c r="C62" s="34"/>
      <c r="D62" s="34" t="s">
        <v>30</v>
      </c>
      <c r="E62" s="108"/>
      <c r="F62" s="34"/>
      <c r="G62" s="34"/>
      <c r="H62" s="35"/>
      <c r="I62" s="36"/>
      <c r="J62" s="108"/>
      <c r="K62" s="36"/>
      <c r="L62" s="36"/>
      <c r="M62" s="108"/>
      <c r="N62" s="36"/>
      <c r="O62" s="36"/>
      <c r="P62" s="108"/>
      <c r="Q62" s="36"/>
      <c r="R62" s="36"/>
      <c r="S62" s="108"/>
      <c r="T62" s="36"/>
      <c r="U62" s="36"/>
      <c r="V62" s="36"/>
      <c r="W62" s="36"/>
      <c r="X62" s="36"/>
    </row>
    <row r="63" spans="1:24">
      <c r="A63" s="5" t="s">
        <v>243</v>
      </c>
      <c r="B63" s="7">
        <v>81010</v>
      </c>
      <c r="C63" s="7" t="s">
        <v>188</v>
      </c>
      <c r="D63" s="7" t="s">
        <v>244</v>
      </c>
      <c r="E63" s="109"/>
      <c r="F63" s="70" t="s">
        <v>147</v>
      </c>
      <c r="G63" s="40">
        <v>1</v>
      </c>
      <c r="H63" s="138">
        <v>1.67E-2</v>
      </c>
      <c r="I63" s="40">
        <f>H63*15157714</f>
        <v>253133.82379999998</v>
      </c>
      <c r="J63" s="109"/>
      <c r="K63" s="40">
        <v>0</v>
      </c>
      <c r="L63" s="40">
        <v>0</v>
      </c>
      <c r="M63" s="109"/>
      <c r="N63" s="40">
        <v>0</v>
      </c>
      <c r="O63" s="40">
        <f t="shared" ref="O63:O64" si="70">N63*H63</f>
        <v>0</v>
      </c>
      <c r="P63" s="109"/>
      <c r="Q63" s="40">
        <v>0</v>
      </c>
      <c r="R63" s="40">
        <f t="shared" ref="R63:R64" si="71">Q63*H63</f>
        <v>0</v>
      </c>
      <c r="S63" s="109"/>
      <c r="T63" s="40">
        <v>0</v>
      </c>
      <c r="U63" s="40">
        <f t="shared" ref="U63:U64" si="72">T63*H63</f>
        <v>0</v>
      </c>
      <c r="V63" s="40">
        <f t="shared" ref="V63:V64" si="73">SUM(R63,O63,L63,I63,U63)</f>
        <v>253133.82379999998</v>
      </c>
      <c r="W63" s="40">
        <v>0</v>
      </c>
      <c r="X63" s="40">
        <f t="shared" ref="X63:X64" si="74">V63+W63</f>
        <v>253133.82379999998</v>
      </c>
    </row>
    <row r="64" spans="1:24">
      <c r="A64" s="5" t="s">
        <v>245</v>
      </c>
      <c r="B64" s="7">
        <v>81010</v>
      </c>
      <c r="C64" s="7" t="s">
        <v>188</v>
      </c>
      <c r="D64" s="7" t="s">
        <v>246</v>
      </c>
      <c r="E64" s="109"/>
      <c r="F64" s="45" t="s">
        <v>247</v>
      </c>
      <c r="G64" s="40">
        <v>0</v>
      </c>
      <c r="H64" s="40">
        <v>60000</v>
      </c>
      <c r="I64" s="40">
        <f t="shared" ref="I64:I69" si="75">G64*H64</f>
        <v>0</v>
      </c>
      <c r="J64" s="109"/>
      <c r="K64" s="40">
        <v>1</v>
      </c>
      <c r="L64" s="40">
        <f t="shared" ref="L64" si="76">K64*H64</f>
        <v>60000</v>
      </c>
      <c r="M64" s="109"/>
      <c r="N64" s="40">
        <v>0</v>
      </c>
      <c r="O64" s="40">
        <f t="shared" si="70"/>
        <v>0</v>
      </c>
      <c r="P64" s="109"/>
      <c r="Q64" s="40">
        <v>0</v>
      </c>
      <c r="R64" s="40">
        <f t="shared" si="71"/>
        <v>0</v>
      </c>
      <c r="S64" s="109"/>
      <c r="T64" s="40">
        <v>0</v>
      </c>
      <c r="U64" s="40">
        <f t="shared" si="72"/>
        <v>0</v>
      </c>
      <c r="V64" s="40">
        <f t="shared" si="73"/>
        <v>60000</v>
      </c>
      <c r="W64" s="40">
        <v>0</v>
      </c>
      <c r="X64" s="40">
        <f t="shared" si="74"/>
        <v>60000</v>
      </c>
    </row>
    <row r="65" spans="1:24">
      <c r="A65" s="5" t="s">
        <v>248</v>
      </c>
      <c r="B65" s="7">
        <v>82100</v>
      </c>
      <c r="C65" s="7" t="s">
        <v>188</v>
      </c>
      <c r="D65" s="7" t="s">
        <v>249</v>
      </c>
      <c r="E65" s="109"/>
      <c r="F65" s="45" t="s">
        <v>250</v>
      </c>
      <c r="G65" s="40">
        <v>1</v>
      </c>
      <c r="H65" s="40">
        <v>1500</v>
      </c>
      <c r="I65" s="40">
        <f t="shared" si="75"/>
        <v>1500</v>
      </c>
      <c r="J65" s="109"/>
      <c r="K65" s="40">
        <v>1</v>
      </c>
      <c r="L65" s="40">
        <f t="shared" ref="L65:L68" si="77">K65*H65</f>
        <v>1500</v>
      </c>
      <c r="M65" s="109"/>
      <c r="N65" s="40">
        <v>1</v>
      </c>
      <c r="O65" s="40">
        <f t="shared" ref="O65:O68" si="78">N65*H65</f>
        <v>1500</v>
      </c>
      <c r="P65" s="109"/>
      <c r="Q65" s="40">
        <v>1</v>
      </c>
      <c r="R65" s="40">
        <f t="shared" ref="R65:R68" si="79">Q65*H65</f>
        <v>1500</v>
      </c>
      <c r="S65" s="109"/>
      <c r="T65" s="40">
        <v>1</v>
      </c>
      <c r="U65" s="40">
        <f>T65*H65</f>
        <v>1500</v>
      </c>
      <c r="V65" s="40">
        <f t="shared" ref="V65:V83" si="80">SUM(R65,O65,L65,I65,U65)</f>
        <v>7500</v>
      </c>
      <c r="W65" s="40">
        <v>0</v>
      </c>
      <c r="X65" s="40">
        <f t="shared" ref="X65" si="81">V65+W65</f>
        <v>7500</v>
      </c>
    </row>
    <row r="66" spans="1:24">
      <c r="A66" s="5" t="s">
        <v>251</v>
      </c>
      <c r="B66" s="7">
        <v>81010</v>
      </c>
      <c r="C66" s="7" t="s">
        <v>188</v>
      </c>
      <c r="D66" s="7" t="s">
        <v>252</v>
      </c>
      <c r="E66" s="109"/>
      <c r="F66" s="45" t="s">
        <v>250</v>
      </c>
      <c r="G66" s="40">
        <v>1</v>
      </c>
      <c r="H66" s="40">
        <v>4500</v>
      </c>
      <c r="I66" s="40">
        <f t="shared" si="75"/>
        <v>4500</v>
      </c>
      <c r="J66" s="109"/>
      <c r="K66" s="40">
        <v>1</v>
      </c>
      <c r="L66" s="40">
        <f t="shared" si="77"/>
        <v>4500</v>
      </c>
      <c r="M66" s="109"/>
      <c r="N66" s="40">
        <v>1</v>
      </c>
      <c r="O66" s="40">
        <f t="shared" si="78"/>
        <v>4500</v>
      </c>
      <c r="P66" s="109"/>
      <c r="Q66" s="40">
        <v>1</v>
      </c>
      <c r="R66" s="40">
        <f t="shared" si="79"/>
        <v>4500</v>
      </c>
      <c r="S66" s="109"/>
      <c r="T66" s="40">
        <v>1</v>
      </c>
      <c r="U66" s="40">
        <f>T66*H66</f>
        <v>4500</v>
      </c>
      <c r="V66" s="40">
        <f t="shared" si="80"/>
        <v>22500</v>
      </c>
      <c r="W66" s="40">
        <v>0</v>
      </c>
      <c r="X66" s="40">
        <f>V66+W66</f>
        <v>22500</v>
      </c>
    </row>
    <row r="67" spans="1:24">
      <c r="A67" s="7" t="s">
        <v>253</v>
      </c>
      <c r="B67" s="7">
        <v>86110</v>
      </c>
      <c r="C67" s="7" t="s">
        <v>188</v>
      </c>
      <c r="D67" s="7" t="s">
        <v>254</v>
      </c>
      <c r="E67" s="109"/>
      <c r="F67" s="45" t="s">
        <v>250</v>
      </c>
      <c r="G67" s="40">
        <v>1</v>
      </c>
      <c r="H67" s="40">
        <v>500</v>
      </c>
      <c r="I67" s="40">
        <f t="shared" si="75"/>
        <v>500</v>
      </c>
      <c r="J67" s="109"/>
      <c r="K67" s="40">
        <v>1</v>
      </c>
      <c r="L67" s="40">
        <f t="shared" ref="L67" si="82">K67*H67</f>
        <v>500</v>
      </c>
      <c r="M67" s="109"/>
      <c r="N67" s="40">
        <v>1</v>
      </c>
      <c r="O67" s="40">
        <f t="shared" ref="O67" si="83">N67*H67</f>
        <v>500</v>
      </c>
      <c r="P67" s="109"/>
      <c r="Q67" s="40">
        <v>1</v>
      </c>
      <c r="R67" s="40">
        <f t="shared" ref="R67" si="84">Q67*H67</f>
        <v>500</v>
      </c>
      <c r="S67" s="109"/>
      <c r="T67" s="40">
        <v>1</v>
      </c>
      <c r="U67" s="40">
        <f>T67*H67</f>
        <v>500</v>
      </c>
      <c r="V67" s="40">
        <f t="shared" ref="V67" si="85">SUM(R67,O67,L67,I67,U67)</f>
        <v>2500</v>
      </c>
      <c r="W67" s="40">
        <v>0</v>
      </c>
      <c r="X67" s="40">
        <f>V67+W67</f>
        <v>2500</v>
      </c>
    </row>
    <row r="68" spans="1:24">
      <c r="A68" s="5" t="s">
        <v>255</v>
      </c>
      <c r="B68" s="7">
        <v>81000</v>
      </c>
      <c r="C68" s="7" t="s">
        <v>188</v>
      </c>
      <c r="D68" s="7" t="s">
        <v>256</v>
      </c>
      <c r="E68" s="109"/>
      <c r="F68" s="45" t="s">
        <v>190</v>
      </c>
      <c r="G68" s="40">
        <v>9</v>
      </c>
      <c r="H68" s="40">
        <f>350*10</f>
        <v>3500</v>
      </c>
      <c r="I68" s="40">
        <f t="shared" si="75"/>
        <v>31500</v>
      </c>
      <c r="J68" s="109"/>
      <c r="K68" s="40">
        <v>12</v>
      </c>
      <c r="L68" s="40">
        <f t="shared" si="77"/>
        <v>42000</v>
      </c>
      <c r="M68" s="109"/>
      <c r="N68" s="40">
        <v>12</v>
      </c>
      <c r="O68" s="40">
        <f t="shared" si="78"/>
        <v>42000</v>
      </c>
      <c r="P68" s="109"/>
      <c r="Q68" s="40">
        <v>12</v>
      </c>
      <c r="R68" s="40">
        <f t="shared" si="79"/>
        <v>42000</v>
      </c>
      <c r="S68" s="109"/>
      <c r="T68" s="40">
        <v>9</v>
      </c>
      <c r="U68" s="40">
        <f t="shared" ref="U68" si="86">T68*H68</f>
        <v>31500</v>
      </c>
      <c r="V68" s="40">
        <f t="shared" si="80"/>
        <v>189000</v>
      </c>
      <c r="W68" s="40">
        <v>0</v>
      </c>
      <c r="X68" s="40">
        <f t="shared" ref="X68" si="87">V68+W68</f>
        <v>189000</v>
      </c>
    </row>
    <row r="69" spans="1:24">
      <c r="A69" s="5" t="s">
        <v>255</v>
      </c>
      <c r="B69" s="7">
        <v>81000</v>
      </c>
      <c r="C69" s="7" t="s">
        <v>188</v>
      </c>
      <c r="D69" s="7" t="s">
        <v>257</v>
      </c>
      <c r="E69" s="109"/>
      <c r="F69" s="45" t="s">
        <v>228</v>
      </c>
      <c r="G69" s="40">
        <v>50</v>
      </c>
      <c r="H69" s="40">
        <f>65*8</f>
        <v>520</v>
      </c>
      <c r="I69" s="40">
        <f t="shared" si="75"/>
        <v>26000</v>
      </c>
      <c r="J69" s="109"/>
      <c r="K69" s="40">
        <v>0</v>
      </c>
      <c r="L69" s="40">
        <f t="shared" ref="L69" si="88">K69*H69</f>
        <v>0</v>
      </c>
      <c r="M69" s="109"/>
      <c r="N69" s="40">
        <v>0</v>
      </c>
      <c r="O69" s="40">
        <f t="shared" ref="O69" si="89">N69*H69</f>
        <v>0</v>
      </c>
      <c r="P69" s="109"/>
      <c r="Q69" s="40">
        <v>0</v>
      </c>
      <c r="R69" s="40">
        <f t="shared" ref="R69" si="90">Q69*H69</f>
        <v>0</v>
      </c>
      <c r="S69" s="109"/>
      <c r="T69" s="40">
        <v>0</v>
      </c>
      <c r="U69" s="40">
        <f t="shared" ref="U69" si="91">T69*H69</f>
        <v>0</v>
      </c>
      <c r="V69" s="40">
        <f t="shared" ref="V69" si="92">SUM(R69,O69,L69,I69,U69)</f>
        <v>26000</v>
      </c>
      <c r="W69" s="40">
        <v>0</v>
      </c>
      <c r="X69" s="40">
        <f>V69+W69</f>
        <v>26000</v>
      </c>
    </row>
    <row r="70" spans="1:24">
      <c r="A70" s="74"/>
      <c r="B70" s="74"/>
      <c r="C70" s="74"/>
      <c r="D70" s="74" t="s">
        <v>258</v>
      </c>
      <c r="E70" s="112"/>
      <c r="F70" s="75"/>
      <c r="G70" s="76"/>
      <c r="H70" s="77"/>
      <c r="I70" s="78"/>
      <c r="J70" s="112"/>
      <c r="K70" s="78"/>
      <c r="L70" s="78"/>
      <c r="M70" s="112"/>
      <c r="N70" s="78"/>
      <c r="O70" s="78"/>
      <c r="P70" s="112"/>
      <c r="Q70" s="78"/>
      <c r="R70" s="78"/>
      <c r="S70" s="112"/>
      <c r="T70" s="78"/>
      <c r="U70" s="78"/>
      <c r="V70" s="78"/>
      <c r="W70" s="78"/>
      <c r="X70" s="78"/>
    </row>
    <row r="71" spans="1:24">
      <c r="A71" s="79"/>
      <c r="B71" s="79"/>
      <c r="C71" s="79"/>
      <c r="D71" s="79" t="s">
        <v>259</v>
      </c>
      <c r="E71" s="110"/>
      <c r="F71" s="71"/>
      <c r="G71" s="71"/>
      <c r="H71" s="72"/>
      <c r="I71" s="80"/>
      <c r="J71" s="110"/>
      <c r="K71" s="80"/>
      <c r="L71" s="80"/>
      <c r="M71" s="110"/>
      <c r="N71" s="80"/>
      <c r="O71" s="80"/>
      <c r="P71" s="110"/>
      <c r="Q71" s="80"/>
      <c r="R71" s="80"/>
      <c r="S71" s="110"/>
      <c r="T71" s="80"/>
      <c r="U71" s="80"/>
      <c r="V71" s="68"/>
      <c r="W71" s="68"/>
      <c r="X71" s="80"/>
    </row>
    <row r="72" spans="1:24">
      <c r="A72" s="5" t="s">
        <v>260</v>
      </c>
      <c r="B72" s="7">
        <v>81010</v>
      </c>
      <c r="C72" s="7" t="s">
        <v>188</v>
      </c>
      <c r="D72" s="7" t="s">
        <v>261</v>
      </c>
      <c r="E72" s="109"/>
      <c r="F72" s="46" t="s">
        <v>247</v>
      </c>
      <c r="G72" s="40">
        <v>1</v>
      </c>
      <c r="H72" s="40">
        <v>150000</v>
      </c>
      <c r="I72" s="40">
        <f>G72*H72</f>
        <v>150000</v>
      </c>
      <c r="J72" s="109"/>
      <c r="K72" s="40">
        <v>0</v>
      </c>
      <c r="L72" s="40">
        <f>K72*H72</f>
        <v>0</v>
      </c>
      <c r="M72" s="109"/>
      <c r="N72" s="40">
        <v>0</v>
      </c>
      <c r="O72" s="40">
        <f>N72*H72</f>
        <v>0</v>
      </c>
      <c r="P72" s="109"/>
      <c r="Q72" s="40">
        <v>0</v>
      </c>
      <c r="R72" s="40">
        <f>Q72*H72</f>
        <v>0</v>
      </c>
      <c r="S72" s="109"/>
      <c r="T72" s="40">
        <v>0</v>
      </c>
      <c r="U72" s="40">
        <f>T72*H72</f>
        <v>0</v>
      </c>
      <c r="V72" s="40">
        <f t="shared" ref="V72:V74" si="93">SUM(R72,O72,L72,I72,U72)</f>
        <v>150000</v>
      </c>
      <c r="W72" s="40">
        <v>0</v>
      </c>
      <c r="X72" s="40">
        <f t="shared" ref="X72" si="94">V72+W72</f>
        <v>150000</v>
      </c>
    </row>
    <row r="73" spans="1:24">
      <c r="A73" s="5" t="s">
        <v>262</v>
      </c>
      <c r="B73" s="7">
        <v>81010</v>
      </c>
      <c r="C73" s="7" t="s">
        <v>188</v>
      </c>
      <c r="D73" s="7" t="s">
        <v>263</v>
      </c>
      <c r="E73" s="109"/>
      <c r="F73" s="46" t="s">
        <v>247</v>
      </c>
      <c r="G73" s="40">
        <v>0</v>
      </c>
      <c r="H73" s="40">
        <v>170000</v>
      </c>
      <c r="I73" s="40">
        <f t="shared" ref="I73:I74" si="95">G73*H73</f>
        <v>0</v>
      </c>
      <c r="J73" s="109"/>
      <c r="K73" s="40">
        <v>0</v>
      </c>
      <c r="L73" s="40">
        <f>K73*H73</f>
        <v>0</v>
      </c>
      <c r="M73" s="109"/>
      <c r="N73" s="40">
        <v>1</v>
      </c>
      <c r="O73" s="40">
        <f>N73*H73</f>
        <v>170000</v>
      </c>
      <c r="P73" s="109"/>
      <c r="Q73" s="40">
        <v>0</v>
      </c>
      <c r="R73" s="40">
        <f>Q73*H73</f>
        <v>0</v>
      </c>
      <c r="S73" s="109"/>
      <c r="T73" s="40">
        <v>0</v>
      </c>
      <c r="U73" s="40">
        <f>T73*H73</f>
        <v>0</v>
      </c>
      <c r="V73" s="40">
        <f t="shared" si="93"/>
        <v>170000</v>
      </c>
      <c r="W73" s="40">
        <v>0</v>
      </c>
      <c r="X73" s="40">
        <f>V73+W73</f>
        <v>170000</v>
      </c>
    </row>
    <row r="74" spans="1:24">
      <c r="A74" s="5" t="s">
        <v>264</v>
      </c>
      <c r="B74" s="7">
        <v>81010</v>
      </c>
      <c r="C74" s="7" t="s">
        <v>188</v>
      </c>
      <c r="D74" s="7" t="s">
        <v>265</v>
      </c>
      <c r="E74" s="109"/>
      <c r="F74" s="46" t="s">
        <v>247</v>
      </c>
      <c r="G74" s="40">
        <v>0</v>
      </c>
      <c r="H74" s="40">
        <v>180000</v>
      </c>
      <c r="I74" s="40">
        <f t="shared" si="95"/>
        <v>0</v>
      </c>
      <c r="J74" s="109"/>
      <c r="K74" s="40">
        <v>0</v>
      </c>
      <c r="L74" s="40">
        <f>K74*H74</f>
        <v>0</v>
      </c>
      <c r="M74" s="109"/>
      <c r="N74" s="40">
        <v>0</v>
      </c>
      <c r="O74" s="40">
        <f>N74*H74</f>
        <v>0</v>
      </c>
      <c r="P74" s="109"/>
      <c r="Q74" s="40">
        <v>0</v>
      </c>
      <c r="R74" s="40">
        <f>Q74*H74</f>
        <v>0</v>
      </c>
      <c r="S74" s="109"/>
      <c r="T74" s="40">
        <v>1</v>
      </c>
      <c r="U74" s="40">
        <f>T74*H74</f>
        <v>180000</v>
      </c>
      <c r="V74" s="40">
        <f t="shared" si="93"/>
        <v>180000</v>
      </c>
      <c r="W74" s="40">
        <v>0</v>
      </c>
      <c r="X74" s="40">
        <f t="shared" ref="X74" si="96">V74+W74</f>
        <v>180000</v>
      </c>
    </row>
    <row r="75" spans="1:24">
      <c r="A75" s="7" t="s">
        <v>266</v>
      </c>
      <c r="B75" s="7">
        <v>81010</v>
      </c>
      <c r="C75" s="7" t="s">
        <v>188</v>
      </c>
      <c r="D75" s="7" t="s">
        <v>267</v>
      </c>
      <c r="E75" s="109"/>
      <c r="F75" s="46" t="s">
        <v>247</v>
      </c>
      <c r="G75" s="40">
        <v>0</v>
      </c>
      <c r="H75" s="40">
        <v>280000</v>
      </c>
      <c r="I75" s="40">
        <f>H75*G75</f>
        <v>0</v>
      </c>
      <c r="J75" s="109"/>
      <c r="K75" s="141">
        <v>0.5</v>
      </c>
      <c r="L75" s="40">
        <f>K75*H75</f>
        <v>140000</v>
      </c>
      <c r="M75" s="109"/>
      <c r="N75" s="141">
        <v>0.5</v>
      </c>
      <c r="O75" s="40">
        <f>N75*H75</f>
        <v>140000</v>
      </c>
      <c r="P75" s="109"/>
      <c r="Q75" s="40">
        <v>0</v>
      </c>
      <c r="R75" s="40">
        <f>Q75*H75</f>
        <v>0</v>
      </c>
      <c r="S75" s="109"/>
      <c r="T75" s="40">
        <v>0</v>
      </c>
      <c r="U75" s="40">
        <f>T75*H75</f>
        <v>0</v>
      </c>
      <c r="V75" s="40">
        <f t="shared" ref="V75" si="97">SUM(R75,O75,L75,I75,U75)</f>
        <v>280000</v>
      </c>
      <c r="W75" s="40">
        <v>0</v>
      </c>
      <c r="X75" s="40">
        <f t="shared" ref="X75" si="98">V75+W75</f>
        <v>280000</v>
      </c>
    </row>
    <row r="76" spans="1:24">
      <c r="A76" s="7" t="s">
        <v>268</v>
      </c>
      <c r="B76" s="7">
        <v>81010</v>
      </c>
      <c r="C76" s="7" t="s">
        <v>188</v>
      </c>
      <c r="D76" s="7" t="s">
        <v>269</v>
      </c>
      <c r="F76" s="7" t="s">
        <v>247</v>
      </c>
      <c r="G76" s="40">
        <v>1</v>
      </c>
      <c r="H76" s="40">
        <v>45000</v>
      </c>
      <c r="I76" s="40">
        <f>G76*H76</f>
        <v>45000</v>
      </c>
      <c r="J76" s="111"/>
      <c r="K76" s="40">
        <v>0</v>
      </c>
      <c r="L76" s="40">
        <f>H76*K76</f>
        <v>0</v>
      </c>
      <c r="M76" s="111"/>
      <c r="N76" s="40">
        <v>0</v>
      </c>
      <c r="O76" s="40">
        <f>H76*N76</f>
        <v>0</v>
      </c>
      <c r="P76" s="111"/>
      <c r="Q76" s="40">
        <v>0</v>
      </c>
      <c r="R76" s="40">
        <f>H76*Q76</f>
        <v>0</v>
      </c>
      <c r="S76" s="111"/>
      <c r="T76" s="40">
        <v>0</v>
      </c>
      <c r="U76" s="40">
        <f>H76*T76</f>
        <v>0</v>
      </c>
      <c r="V76" s="40">
        <f>SUM(R76,O76,L76,I76,U76)</f>
        <v>45000</v>
      </c>
      <c r="W76" s="40" t="s">
        <v>224</v>
      </c>
      <c r="X76" s="40">
        <f>SUM(V76:W76)</f>
        <v>45000</v>
      </c>
    </row>
    <row r="77" spans="1:24">
      <c r="A77" s="79"/>
      <c r="B77" s="79"/>
      <c r="C77" s="79"/>
      <c r="D77" s="79" t="s">
        <v>270</v>
      </c>
      <c r="E77" s="110"/>
      <c r="F77" s="71"/>
      <c r="G77" s="71"/>
      <c r="H77" s="72"/>
      <c r="I77" s="80"/>
      <c r="J77" s="110"/>
      <c r="K77" s="80"/>
      <c r="L77" s="80"/>
      <c r="M77" s="110"/>
      <c r="N77" s="80"/>
      <c r="O77" s="80"/>
      <c r="P77" s="110"/>
      <c r="Q77" s="80"/>
      <c r="R77" s="80"/>
      <c r="S77" s="110"/>
      <c r="T77" s="80"/>
      <c r="U77" s="80"/>
      <c r="V77" s="68"/>
      <c r="W77" s="68"/>
      <c r="X77" s="80"/>
    </row>
    <row r="78" spans="1:24" ht="25.2">
      <c r="A78" s="7" t="s">
        <v>271</v>
      </c>
      <c r="B78" s="565" t="s">
        <v>272</v>
      </c>
      <c r="C78" s="7" t="s">
        <v>188</v>
      </c>
      <c r="D78" s="41" t="s">
        <v>273</v>
      </c>
      <c r="E78" s="109"/>
      <c r="F78" s="7" t="s">
        <v>274</v>
      </c>
      <c r="G78" s="7">
        <v>1</v>
      </c>
      <c r="H78" s="47">
        <v>8000</v>
      </c>
      <c r="I78" s="31">
        <f>G78*H78</f>
        <v>8000</v>
      </c>
      <c r="J78" s="109"/>
      <c r="K78" s="40">
        <v>0</v>
      </c>
      <c r="L78" s="40">
        <f>K78*H78</f>
        <v>0</v>
      </c>
      <c r="M78" s="109"/>
      <c r="N78" s="40">
        <v>0</v>
      </c>
      <c r="O78" s="40">
        <f>N78*H78</f>
        <v>0</v>
      </c>
      <c r="P78" s="109"/>
      <c r="Q78" s="40">
        <v>0</v>
      </c>
      <c r="R78" s="40">
        <f>Q78*H78</f>
        <v>0</v>
      </c>
      <c r="S78" s="109"/>
      <c r="T78" s="40">
        <v>0</v>
      </c>
      <c r="U78" s="40">
        <f>T78*H78</f>
        <v>0</v>
      </c>
      <c r="V78" s="40">
        <f t="shared" si="80"/>
        <v>8000</v>
      </c>
      <c r="W78" s="40" t="s">
        <v>224</v>
      </c>
      <c r="X78" s="40">
        <f>SUM(V78:W78)</f>
        <v>8000</v>
      </c>
    </row>
    <row r="79" spans="1:24" ht="25.2">
      <c r="A79" s="7" t="s">
        <v>271</v>
      </c>
      <c r="B79" s="565" t="s">
        <v>272</v>
      </c>
      <c r="C79" s="7" t="s">
        <v>188</v>
      </c>
      <c r="D79" s="41" t="s">
        <v>275</v>
      </c>
      <c r="E79" s="109"/>
      <c r="F79" s="7" t="s">
        <v>250</v>
      </c>
      <c r="G79" s="7">
        <v>0</v>
      </c>
      <c r="H79" s="47">
        <v>2000</v>
      </c>
      <c r="I79" s="31">
        <f>G79*H79</f>
        <v>0</v>
      </c>
      <c r="J79" s="109"/>
      <c r="K79" s="40">
        <v>1</v>
      </c>
      <c r="L79" s="40">
        <f>K79*H79</f>
        <v>2000</v>
      </c>
      <c r="M79" s="109"/>
      <c r="N79" s="40">
        <v>1</v>
      </c>
      <c r="O79" s="40">
        <f>N79*H79</f>
        <v>2000</v>
      </c>
      <c r="P79" s="109"/>
      <c r="Q79" s="40">
        <v>1</v>
      </c>
      <c r="R79" s="40">
        <f>Q79*H79</f>
        <v>2000</v>
      </c>
      <c r="S79" s="109"/>
      <c r="T79" s="40">
        <v>1</v>
      </c>
      <c r="U79" s="40">
        <f>T79*H79</f>
        <v>2000</v>
      </c>
      <c r="V79" s="40">
        <f t="shared" ref="V79" si="99">SUM(R79,O79,L79,I79,U79)</f>
        <v>8000</v>
      </c>
      <c r="W79" s="40" t="s">
        <v>224</v>
      </c>
      <c r="X79" s="40">
        <f>SUM(V79:W79)</f>
        <v>8000</v>
      </c>
    </row>
    <row r="80" spans="1:24">
      <c r="A80" s="7" t="s">
        <v>271</v>
      </c>
      <c r="B80" s="565">
        <v>87000</v>
      </c>
      <c r="C80" s="7" t="s">
        <v>188</v>
      </c>
      <c r="D80" s="41" t="s">
        <v>276</v>
      </c>
      <c r="E80" s="109"/>
      <c r="F80" s="7" t="s">
        <v>277</v>
      </c>
      <c r="G80" s="7">
        <v>1</v>
      </c>
      <c r="H80" s="47">
        <v>6000</v>
      </c>
      <c r="I80" s="31">
        <f>G80*H80</f>
        <v>6000</v>
      </c>
      <c r="J80" s="109"/>
      <c r="K80" s="40">
        <v>1</v>
      </c>
      <c r="L80" s="40">
        <f>K80*H80</f>
        <v>6000</v>
      </c>
      <c r="M80" s="109"/>
      <c r="N80" s="40">
        <v>1</v>
      </c>
      <c r="O80" s="40">
        <f>N80*H80</f>
        <v>6000</v>
      </c>
      <c r="P80" s="109"/>
      <c r="Q80" s="40">
        <v>1</v>
      </c>
      <c r="R80" s="40">
        <f>Q80*H80</f>
        <v>6000</v>
      </c>
      <c r="S80" s="109"/>
      <c r="T80" s="40">
        <v>1</v>
      </c>
      <c r="U80" s="40">
        <f>T80*H80</f>
        <v>6000</v>
      </c>
      <c r="V80" s="40">
        <f t="shared" si="80"/>
        <v>30000</v>
      </c>
      <c r="W80" s="40" t="s">
        <v>224</v>
      </c>
      <c r="X80" s="40">
        <f>SUM(V80:W80)</f>
        <v>30000</v>
      </c>
    </row>
    <row r="81" spans="1:25">
      <c r="A81" s="79"/>
      <c r="B81" s="79"/>
      <c r="C81" s="79"/>
      <c r="D81" s="79" t="s">
        <v>278</v>
      </c>
      <c r="E81" s="110"/>
      <c r="F81" s="81"/>
      <c r="G81" s="82"/>
      <c r="H81" s="82"/>
      <c r="I81" s="82"/>
      <c r="J81" s="110"/>
      <c r="K81" s="82"/>
      <c r="L81" s="82"/>
      <c r="M81" s="110"/>
      <c r="N81" s="82"/>
      <c r="O81" s="82"/>
      <c r="P81" s="110"/>
      <c r="Q81" s="82"/>
      <c r="R81" s="82"/>
      <c r="S81" s="110"/>
      <c r="T81" s="82"/>
      <c r="U81" s="82"/>
      <c r="V81" s="68"/>
      <c r="W81" s="68"/>
      <c r="X81" s="82"/>
    </row>
    <row r="82" spans="1:25">
      <c r="A82" s="5" t="s">
        <v>279</v>
      </c>
      <c r="B82" s="7">
        <v>87000</v>
      </c>
      <c r="C82" s="7" t="s">
        <v>188</v>
      </c>
      <c r="D82" s="7" t="s">
        <v>280</v>
      </c>
      <c r="F82" s="7" t="s">
        <v>250</v>
      </c>
      <c r="G82" s="40">
        <v>1</v>
      </c>
      <c r="H82" s="40">
        <v>500</v>
      </c>
      <c r="I82" s="40">
        <f>G82*H82</f>
        <v>500</v>
      </c>
      <c r="J82" s="111"/>
      <c r="K82" s="40">
        <v>1</v>
      </c>
      <c r="L82" s="40">
        <f>K82*H82</f>
        <v>500</v>
      </c>
      <c r="M82" s="111"/>
      <c r="N82" s="40">
        <v>1</v>
      </c>
      <c r="O82" s="40">
        <f>N82*H82</f>
        <v>500</v>
      </c>
      <c r="P82" s="111"/>
      <c r="Q82" s="40">
        <v>1</v>
      </c>
      <c r="R82" s="40">
        <f>Q82*H82</f>
        <v>500</v>
      </c>
      <c r="S82" s="111"/>
      <c r="T82" s="40">
        <v>1</v>
      </c>
      <c r="U82" s="40">
        <f>T82*H82</f>
        <v>500</v>
      </c>
      <c r="V82" s="40">
        <f t="shared" ref="V82" si="100">SUM(R82,O82,L82,I82,U82)</f>
        <v>2500</v>
      </c>
      <c r="W82" s="55"/>
      <c r="X82" s="40">
        <f>SUM(V82:W82)</f>
        <v>2500</v>
      </c>
    </row>
    <row r="83" spans="1:25">
      <c r="A83" s="5" t="s">
        <v>279</v>
      </c>
      <c r="B83" s="7">
        <v>89400</v>
      </c>
      <c r="C83" s="7" t="s">
        <v>188</v>
      </c>
      <c r="D83" s="7" t="s">
        <v>281</v>
      </c>
      <c r="F83" s="7" t="s">
        <v>250</v>
      </c>
      <c r="G83" s="40">
        <v>1</v>
      </c>
      <c r="H83" s="40">
        <v>15000</v>
      </c>
      <c r="I83" s="40">
        <f>G83*H83</f>
        <v>15000</v>
      </c>
      <c r="J83" s="111"/>
      <c r="K83" s="40">
        <v>1</v>
      </c>
      <c r="L83" s="40">
        <f>K83*H83</f>
        <v>15000</v>
      </c>
      <c r="M83" s="111"/>
      <c r="N83" s="40">
        <v>1</v>
      </c>
      <c r="O83" s="40">
        <f>N83*H83</f>
        <v>15000</v>
      </c>
      <c r="P83" s="111"/>
      <c r="Q83" s="40">
        <v>1</v>
      </c>
      <c r="R83" s="40">
        <f>Q83*H83</f>
        <v>15000</v>
      </c>
      <c r="S83" s="111"/>
      <c r="T83" s="40">
        <v>1</v>
      </c>
      <c r="U83" s="40">
        <f>T83*H83</f>
        <v>15000</v>
      </c>
      <c r="V83" s="40">
        <f t="shared" si="80"/>
        <v>75000</v>
      </c>
      <c r="W83" s="55"/>
      <c r="X83" s="40">
        <f>SUM(V83:W83)</f>
        <v>75000</v>
      </c>
    </row>
    <row r="84" spans="1:25" s="85" customFormat="1" ht="12.3">
      <c r="A84" s="74"/>
      <c r="B84" s="74"/>
      <c r="C84" s="74"/>
      <c r="D84" s="74" t="s">
        <v>282</v>
      </c>
      <c r="E84" s="112"/>
      <c r="F84" s="83"/>
      <c r="G84" s="84"/>
      <c r="H84" s="84"/>
      <c r="I84" s="84">
        <f>SUM(I71:I83)</f>
        <v>224500</v>
      </c>
      <c r="J84" s="112"/>
      <c r="K84" s="84"/>
      <c r="L84" s="84">
        <f>SUM(L71:L83)</f>
        <v>163500</v>
      </c>
      <c r="M84" s="112"/>
      <c r="N84" s="84"/>
      <c r="O84" s="84">
        <f>SUM(O71:O83)</f>
        <v>333500</v>
      </c>
      <c r="P84" s="112"/>
      <c r="Q84" s="84"/>
      <c r="R84" s="84">
        <f>SUM(R71:R83)</f>
        <v>23500</v>
      </c>
      <c r="S84" s="112"/>
      <c r="T84" s="84"/>
      <c r="U84" s="84">
        <f>SUM(U71:U83)</f>
        <v>203500</v>
      </c>
      <c r="V84" s="84">
        <f>SUM(V71:V83)</f>
        <v>948500</v>
      </c>
      <c r="W84" s="84">
        <f>SUM(W71:W83)</f>
        <v>0</v>
      </c>
      <c r="X84" s="84">
        <f>SUM(X71:X83)</f>
        <v>948500</v>
      </c>
      <c r="Y84" s="459">
        <f>X84/17000000</f>
        <v>5.579411764705882E-2</v>
      </c>
    </row>
    <row r="85" spans="1:25">
      <c r="E85" s="109"/>
      <c r="F85" s="45"/>
      <c r="G85" s="40"/>
      <c r="H85" s="40"/>
      <c r="I85" s="40"/>
      <c r="J85" s="109"/>
      <c r="K85" s="40"/>
      <c r="L85" s="40"/>
      <c r="M85" s="109"/>
      <c r="N85" s="40"/>
      <c r="O85" s="40"/>
      <c r="P85" s="109"/>
      <c r="Q85" s="40"/>
      <c r="R85" s="40"/>
      <c r="S85" s="109"/>
      <c r="T85" s="40"/>
      <c r="U85" s="40"/>
      <c r="V85" s="40"/>
      <c r="W85" s="40"/>
      <c r="X85" s="40"/>
    </row>
    <row r="86" spans="1:25" ht="12.9" thickBot="1">
      <c r="A86" s="533"/>
      <c r="B86" s="533"/>
      <c r="C86" s="533"/>
      <c r="D86" s="533" t="s">
        <v>283</v>
      </c>
      <c r="E86" s="537"/>
      <c r="F86" s="539"/>
      <c r="G86" s="539"/>
      <c r="H86" s="538"/>
      <c r="I86" s="535">
        <f>SUM(I63:I83)</f>
        <v>541633.82380000001</v>
      </c>
      <c r="J86" s="537"/>
      <c r="K86" s="535"/>
      <c r="L86" s="535">
        <f>SUM(L63:L83)</f>
        <v>272000</v>
      </c>
      <c r="M86" s="537"/>
      <c r="N86" s="535"/>
      <c r="O86" s="535">
        <f>SUM(O63:O83)</f>
        <v>382000</v>
      </c>
      <c r="P86" s="537"/>
      <c r="Q86" s="535"/>
      <c r="R86" s="535">
        <f>SUM(R63:R83)</f>
        <v>72000</v>
      </c>
      <c r="S86" s="537"/>
      <c r="T86" s="535"/>
      <c r="U86" s="535">
        <f>SUM(U63:U83)</f>
        <v>241500</v>
      </c>
      <c r="V86" s="535">
        <f>SUM(V63:V83)</f>
        <v>1509133.8237999999</v>
      </c>
      <c r="W86" s="535">
        <f>SUM(W63:W83)</f>
        <v>0</v>
      </c>
      <c r="X86" s="535">
        <f>SUM(X63:X83)</f>
        <v>1509133.8237999999</v>
      </c>
    </row>
    <row r="87" spans="1:25">
      <c r="A87" s="69"/>
      <c r="B87" s="69"/>
      <c r="C87" s="69"/>
      <c r="D87" s="69"/>
      <c r="E87" s="107"/>
      <c r="F87" s="69"/>
      <c r="G87" s="55"/>
      <c r="H87" s="55"/>
      <c r="I87" s="55"/>
      <c r="J87" s="107"/>
      <c r="K87" s="55"/>
      <c r="L87" s="55"/>
      <c r="M87" s="107"/>
      <c r="N87" s="55"/>
      <c r="O87" s="55"/>
      <c r="P87" s="107"/>
      <c r="Q87" s="55"/>
      <c r="R87" s="55"/>
      <c r="S87" s="107"/>
      <c r="T87" s="55"/>
      <c r="U87" s="55"/>
      <c r="V87" s="55"/>
      <c r="W87" s="55"/>
      <c r="X87" s="55"/>
    </row>
    <row r="88" spans="1:25">
      <c r="A88" s="34"/>
      <c r="B88" s="34"/>
      <c r="C88" s="34"/>
      <c r="D88" s="34" t="s">
        <v>31</v>
      </c>
      <c r="E88" s="108"/>
      <c r="F88" s="34"/>
      <c r="G88" s="34"/>
      <c r="H88" s="35"/>
      <c r="I88" s="36"/>
      <c r="J88" s="108"/>
      <c r="K88" s="36"/>
      <c r="L88" s="36"/>
      <c r="M88" s="108"/>
      <c r="N88" s="36"/>
      <c r="O88" s="36"/>
      <c r="P88" s="108"/>
      <c r="Q88" s="36"/>
      <c r="R88" s="36"/>
      <c r="S88" s="108"/>
      <c r="T88" s="36"/>
      <c r="U88" s="36"/>
      <c r="V88" s="36"/>
      <c r="W88" s="36"/>
      <c r="X88" s="36"/>
    </row>
    <row r="89" spans="1:25">
      <c r="A89" s="5" t="s">
        <v>284</v>
      </c>
      <c r="B89" s="7">
        <v>85200</v>
      </c>
      <c r="C89" s="7" t="s">
        <v>188</v>
      </c>
      <c r="D89" s="7" t="s">
        <v>285</v>
      </c>
      <c r="E89" s="109"/>
      <c r="F89" s="46" t="s">
        <v>247</v>
      </c>
      <c r="G89" s="40">
        <v>3</v>
      </c>
      <c r="H89" s="40">
        <v>60000</v>
      </c>
      <c r="I89" s="40">
        <f>G89*H89</f>
        <v>180000</v>
      </c>
      <c r="J89" s="109"/>
      <c r="K89" s="40">
        <v>0</v>
      </c>
      <c r="L89" s="40">
        <f>K89*H89</f>
        <v>0</v>
      </c>
      <c r="M89" s="109"/>
      <c r="N89" s="40">
        <v>0</v>
      </c>
      <c r="O89" s="40">
        <f>N89*H89</f>
        <v>0</v>
      </c>
      <c r="P89" s="109"/>
      <c r="Q89" s="40">
        <v>0</v>
      </c>
      <c r="R89" s="40">
        <f>Q89*H89</f>
        <v>0</v>
      </c>
      <c r="S89" s="109"/>
      <c r="T89" s="40">
        <v>0</v>
      </c>
      <c r="U89" s="40">
        <f>T89*K89</f>
        <v>0</v>
      </c>
      <c r="V89" s="40">
        <f t="shared" ref="V89" si="101">SUM(R89,O89,L89,I89,U89)</f>
        <v>180000</v>
      </c>
      <c r="W89" s="40">
        <v>0</v>
      </c>
      <c r="X89" s="40">
        <f>V89+W89</f>
        <v>180000</v>
      </c>
    </row>
    <row r="90" spans="1:25">
      <c r="E90" s="109"/>
      <c r="F90" s="45"/>
      <c r="G90" s="40"/>
      <c r="H90" s="40"/>
      <c r="I90" s="40"/>
      <c r="J90" s="109"/>
      <c r="K90" s="40"/>
      <c r="L90" s="40"/>
      <c r="M90" s="109"/>
      <c r="N90" s="40"/>
      <c r="O90" s="40"/>
      <c r="P90" s="109"/>
      <c r="Q90" s="40"/>
      <c r="R90" s="40"/>
      <c r="S90" s="109"/>
      <c r="T90" s="40"/>
      <c r="U90" s="40"/>
      <c r="V90" s="40"/>
      <c r="W90" s="40"/>
      <c r="X90" s="40"/>
    </row>
    <row r="91" spans="1:25" ht="12.9" thickBot="1">
      <c r="A91" s="533"/>
      <c r="B91" s="533"/>
      <c r="C91" s="533"/>
      <c r="D91" s="533" t="s">
        <v>286</v>
      </c>
      <c r="E91" s="537"/>
      <c r="F91" s="539"/>
      <c r="G91" s="539"/>
      <c r="H91" s="538"/>
      <c r="I91" s="535">
        <f>SUM(I89:I89)</f>
        <v>180000</v>
      </c>
      <c r="J91" s="537"/>
      <c r="K91" s="535"/>
      <c r="L91" s="535">
        <f>SUM(L89:L89)</f>
        <v>0</v>
      </c>
      <c r="M91" s="537"/>
      <c r="N91" s="535"/>
      <c r="O91" s="535">
        <f>SUM(O89:O89)</f>
        <v>0</v>
      </c>
      <c r="P91" s="537"/>
      <c r="Q91" s="535"/>
      <c r="R91" s="535">
        <f>SUM(R89:R89)</f>
        <v>0</v>
      </c>
      <c r="S91" s="537"/>
      <c r="T91" s="535"/>
      <c r="U91" s="535">
        <f>SUM(U89:U89)</f>
        <v>0</v>
      </c>
      <c r="V91" s="535">
        <f>SUM(V89:V90)</f>
        <v>180000</v>
      </c>
      <c r="W91" s="535">
        <f>SUM(W89:W89)</f>
        <v>0</v>
      </c>
      <c r="X91" s="540">
        <f>SUM(V91:W91)</f>
        <v>180000</v>
      </c>
    </row>
    <row r="92" spans="1:25">
      <c r="A92" s="69"/>
      <c r="B92" s="69"/>
      <c r="C92" s="69"/>
      <c r="D92" s="69"/>
      <c r="E92" s="107"/>
      <c r="F92" s="69"/>
      <c r="G92" s="55"/>
      <c r="H92" s="55"/>
      <c r="I92" s="55"/>
      <c r="J92" s="107"/>
      <c r="K92" s="55"/>
      <c r="L92" s="55"/>
      <c r="M92" s="107"/>
      <c r="N92" s="55"/>
      <c r="O92" s="55"/>
      <c r="P92" s="107"/>
      <c r="Q92" s="55"/>
      <c r="R92" s="55"/>
      <c r="S92" s="107"/>
      <c r="T92" s="55"/>
      <c r="U92" s="55"/>
      <c r="V92" s="55"/>
      <c r="W92" s="55"/>
      <c r="X92" s="55"/>
    </row>
    <row r="93" spans="1:25">
      <c r="A93" s="34"/>
      <c r="B93" s="34"/>
      <c r="C93" s="34"/>
      <c r="D93" s="34" t="s">
        <v>287</v>
      </c>
      <c r="E93" s="108"/>
      <c r="F93" s="34"/>
      <c r="G93" s="34"/>
      <c r="H93" s="35"/>
      <c r="I93" s="36"/>
      <c r="J93" s="108"/>
      <c r="K93" s="36"/>
      <c r="L93" s="36"/>
      <c r="M93" s="108"/>
      <c r="N93" s="36"/>
      <c r="O93" s="36"/>
      <c r="P93" s="108"/>
      <c r="Q93" s="36"/>
      <c r="R93" s="36"/>
      <c r="S93" s="108"/>
      <c r="T93" s="36"/>
      <c r="U93" s="36"/>
      <c r="V93" s="36"/>
      <c r="W93" s="36"/>
      <c r="X93" s="36"/>
    </row>
    <row r="94" spans="1:25">
      <c r="A94" s="79"/>
      <c r="B94" s="79"/>
      <c r="C94" s="79"/>
      <c r="D94" s="79" t="s">
        <v>288</v>
      </c>
      <c r="E94" s="117"/>
      <c r="F94" s="79"/>
      <c r="G94" s="79"/>
      <c r="H94" s="79"/>
      <c r="I94" s="79"/>
      <c r="J94" s="117"/>
      <c r="K94" s="79"/>
      <c r="L94" s="79"/>
      <c r="M94" s="117"/>
      <c r="N94" s="79"/>
      <c r="O94" s="79"/>
      <c r="P94" s="117"/>
      <c r="Q94" s="79"/>
      <c r="R94" s="79"/>
      <c r="S94" s="117"/>
      <c r="T94" s="79"/>
      <c r="U94" s="79"/>
      <c r="V94" s="79"/>
      <c r="W94" s="79"/>
      <c r="X94" s="79"/>
    </row>
    <row r="95" spans="1:25">
      <c r="A95" s="7" t="s">
        <v>289</v>
      </c>
      <c r="B95" s="7">
        <v>82030</v>
      </c>
      <c r="C95" s="7" t="s">
        <v>188</v>
      </c>
      <c r="D95" s="7" t="s">
        <v>290</v>
      </c>
      <c r="F95" s="45" t="s">
        <v>190</v>
      </c>
      <c r="G95" s="40">
        <v>3</v>
      </c>
      <c r="H95" s="40">
        <f>(10*25)+100</f>
        <v>350</v>
      </c>
      <c r="I95" s="40">
        <f t="shared" ref="I95" si="102">G95*H95</f>
        <v>1050</v>
      </c>
      <c r="J95" s="111"/>
      <c r="K95" s="40">
        <v>12</v>
      </c>
      <c r="L95" s="40">
        <f t="shared" ref="L95:L108" si="103">K95*H95*$E$6</f>
        <v>4494</v>
      </c>
      <c r="M95" s="111"/>
      <c r="N95" s="40">
        <v>12</v>
      </c>
      <c r="O95" s="40">
        <f t="shared" ref="O95:O108" si="104">N95*H95*$E$6*$E$6</f>
        <v>4808.58</v>
      </c>
      <c r="P95" s="111"/>
      <c r="Q95" s="40">
        <v>12</v>
      </c>
      <c r="R95" s="40">
        <f t="shared" ref="R95:R108" si="105">Q95*H95*$E$6*$E$6*$E$6</f>
        <v>5145.1806000000006</v>
      </c>
      <c r="S95" s="111"/>
      <c r="T95" s="40">
        <v>6</v>
      </c>
      <c r="U95" s="40">
        <f t="shared" ref="U95:U108" si="106">T95*H95*$E$6*$E$6*$E$6*$E$6</f>
        <v>2752.6716210000004</v>
      </c>
      <c r="V95" s="40">
        <f t="shared" ref="V95:V108" si="107">SUM(R95,O95,L95,I95,U95)</f>
        <v>18250.432221000003</v>
      </c>
      <c r="W95" s="40">
        <v>0</v>
      </c>
      <c r="X95" s="40">
        <f t="shared" ref="X95" si="108">V95+W95</f>
        <v>18250.432221000003</v>
      </c>
    </row>
    <row r="96" spans="1:25">
      <c r="A96" s="5" t="s">
        <v>291</v>
      </c>
      <c r="B96" s="7">
        <v>85180</v>
      </c>
      <c r="C96" s="7" t="s">
        <v>188</v>
      </c>
      <c r="D96" s="7" t="s">
        <v>292</v>
      </c>
      <c r="E96" s="109"/>
      <c r="F96" s="45" t="s">
        <v>190</v>
      </c>
      <c r="G96" s="40">
        <v>3</v>
      </c>
      <c r="H96" s="40">
        <f>350*10</f>
        <v>3500</v>
      </c>
      <c r="I96" s="40">
        <f>G96*H96</f>
        <v>10500</v>
      </c>
      <c r="J96" s="109"/>
      <c r="K96" s="40">
        <v>12</v>
      </c>
      <c r="L96" s="40">
        <f>K96*H96*$E$6</f>
        <v>44940</v>
      </c>
      <c r="M96" s="109"/>
      <c r="N96" s="40">
        <v>12</v>
      </c>
      <c r="O96" s="40">
        <f>N96*H96*$E$6*$E$6</f>
        <v>48085.8</v>
      </c>
      <c r="P96" s="109"/>
      <c r="Q96" s="40">
        <v>12</v>
      </c>
      <c r="R96" s="40">
        <f t="shared" ref="R96" si="109">Q96*H96*$E$6*$E$6*$E$6</f>
        <v>51451.806000000004</v>
      </c>
      <c r="S96" s="109"/>
      <c r="T96" s="40">
        <v>6</v>
      </c>
      <c r="U96" s="40">
        <f t="shared" ref="U96" si="110">T96*H96*$E$6*$E$6*$E$6*$E$6</f>
        <v>27526.716210000002</v>
      </c>
      <c r="V96" s="40">
        <f t="shared" ref="V96" si="111">SUM(R96,O96,L96,I96,U96)</f>
        <v>182504.32221000001</v>
      </c>
      <c r="W96" s="40">
        <v>0</v>
      </c>
      <c r="X96" s="40">
        <f t="shared" ref="X96" si="112">V96+W96</f>
        <v>182504.32221000001</v>
      </c>
    </row>
    <row r="97" spans="1:24">
      <c r="A97" s="79"/>
      <c r="B97" s="79"/>
      <c r="C97" s="79"/>
      <c r="D97" s="79" t="s">
        <v>293</v>
      </c>
      <c r="E97" s="117"/>
      <c r="F97" s="79"/>
      <c r="G97" s="79"/>
      <c r="H97" s="79"/>
      <c r="I97" s="79"/>
      <c r="J97" s="117"/>
      <c r="K97" s="79"/>
      <c r="L97" s="79"/>
      <c r="M97" s="117"/>
      <c r="N97" s="79"/>
      <c r="O97" s="79"/>
      <c r="P97" s="117"/>
      <c r="Q97" s="79"/>
      <c r="R97" s="79"/>
      <c r="S97" s="117"/>
      <c r="T97" s="79"/>
      <c r="U97" s="79"/>
      <c r="V97" s="79"/>
      <c r="W97" s="79"/>
      <c r="X97" s="79"/>
    </row>
    <row r="98" spans="1:24">
      <c r="A98" s="7" t="s">
        <v>289</v>
      </c>
      <c r="B98" s="7">
        <v>82030</v>
      </c>
      <c r="C98" s="7" t="s">
        <v>188</v>
      </c>
      <c r="D98" s="7" t="s">
        <v>294</v>
      </c>
      <c r="F98" s="45" t="s">
        <v>190</v>
      </c>
      <c r="G98" s="40">
        <v>3</v>
      </c>
      <c r="H98" s="40">
        <f>(16*25)+100</f>
        <v>500</v>
      </c>
      <c r="I98" s="40">
        <f t="shared" ref="I98:I100" si="113">G98*H98</f>
        <v>1500</v>
      </c>
      <c r="J98" s="111"/>
      <c r="K98" s="40">
        <v>12</v>
      </c>
      <c r="L98" s="40">
        <f t="shared" ref="L98" si="114">K98*H98*$E$6</f>
        <v>6420</v>
      </c>
      <c r="M98" s="111"/>
      <c r="N98" s="40">
        <v>12</v>
      </c>
      <c r="O98" s="40">
        <f t="shared" ref="O98" si="115">N98*H98*$E$6*$E$6</f>
        <v>6869.4000000000005</v>
      </c>
      <c r="P98" s="111"/>
      <c r="Q98" s="40">
        <v>12</v>
      </c>
      <c r="R98" s="40">
        <f t="shared" ref="R98:R100" si="116">Q98*H98*$E$6*$E$6*$E$6</f>
        <v>7350.2580000000007</v>
      </c>
      <c r="S98" s="111"/>
      <c r="T98" s="40">
        <v>6</v>
      </c>
      <c r="U98" s="40">
        <f t="shared" ref="U98:U100" si="117">T98*H98*$E$6*$E$6*$E$6*$E$6</f>
        <v>3932.3880300000005</v>
      </c>
      <c r="V98" s="40">
        <f t="shared" ref="V98:V100" si="118">SUM(R98,O98,L98,I98,U98)</f>
        <v>26072.046030000005</v>
      </c>
      <c r="W98" s="40">
        <v>0</v>
      </c>
      <c r="X98" s="40">
        <f t="shared" ref="X98:X100" si="119">V98+W98</f>
        <v>26072.046030000005</v>
      </c>
    </row>
    <row r="99" spans="1:24">
      <c r="A99" s="5" t="s">
        <v>291</v>
      </c>
      <c r="B99" s="7">
        <v>85180</v>
      </c>
      <c r="C99" s="7" t="s">
        <v>188</v>
      </c>
      <c r="D99" s="7" t="s">
        <v>295</v>
      </c>
      <c r="E99" s="109"/>
      <c r="F99" s="45" t="s">
        <v>190</v>
      </c>
      <c r="G99" s="40">
        <v>3</v>
      </c>
      <c r="H99" s="40">
        <v>825</v>
      </c>
      <c r="I99" s="40">
        <f t="shared" si="113"/>
        <v>2475</v>
      </c>
      <c r="J99" s="109"/>
      <c r="K99" s="40">
        <v>12</v>
      </c>
      <c r="L99" s="40">
        <f>K99*H99*$E$6</f>
        <v>10593</v>
      </c>
      <c r="M99" s="109"/>
      <c r="N99" s="40">
        <v>12</v>
      </c>
      <c r="O99" s="40">
        <f>N99*H99*$E$6*$E$6</f>
        <v>11334.51</v>
      </c>
      <c r="P99" s="109"/>
      <c r="Q99" s="40">
        <v>12</v>
      </c>
      <c r="R99" s="40">
        <f t="shared" si="116"/>
        <v>12127.925700000002</v>
      </c>
      <c r="S99" s="109"/>
      <c r="T99" s="40">
        <v>6</v>
      </c>
      <c r="U99" s="40">
        <f t="shared" si="117"/>
        <v>6488.4402495000013</v>
      </c>
      <c r="V99" s="40">
        <f t="shared" si="118"/>
        <v>43018.875949500005</v>
      </c>
      <c r="W99" s="40">
        <v>0</v>
      </c>
      <c r="X99" s="40">
        <f t="shared" si="119"/>
        <v>43018.875949500005</v>
      </c>
    </row>
    <row r="100" spans="1:24">
      <c r="A100" s="5" t="s">
        <v>291</v>
      </c>
      <c r="B100" s="7">
        <v>85180</v>
      </c>
      <c r="C100" s="7" t="s">
        <v>188</v>
      </c>
      <c r="D100" s="7" t="s">
        <v>296</v>
      </c>
      <c r="E100" s="109"/>
      <c r="F100" s="45" t="s">
        <v>190</v>
      </c>
      <c r="G100" s="40">
        <v>3</v>
      </c>
      <c r="H100" s="40">
        <v>100</v>
      </c>
      <c r="I100" s="40">
        <f t="shared" si="113"/>
        <v>300</v>
      </c>
      <c r="J100" s="109"/>
      <c r="K100" s="40">
        <v>12</v>
      </c>
      <c r="L100" s="40">
        <f>K100*H100*$E$6</f>
        <v>1284</v>
      </c>
      <c r="M100" s="109"/>
      <c r="N100" s="40">
        <v>12</v>
      </c>
      <c r="O100" s="40">
        <f>N100*H100*$E$6*$E$6</f>
        <v>1373.88</v>
      </c>
      <c r="P100" s="109"/>
      <c r="Q100" s="40">
        <v>12</v>
      </c>
      <c r="R100" s="40">
        <f t="shared" si="116"/>
        <v>1470.0516000000002</v>
      </c>
      <c r="S100" s="109"/>
      <c r="T100" s="40">
        <v>6</v>
      </c>
      <c r="U100" s="40">
        <f t="shared" si="117"/>
        <v>786.47760600000015</v>
      </c>
      <c r="V100" s="40">
        <f t="shared" si="118"/>
        <v>5214.4092060000003</v>
      </c>
      <c r="W100" s="40">
        <v>0</v>
      </c>
      <c r="X100" s="40">
        <f t="shared" si="119"/>
        <v>5214.4092060000003</v>
      </c>
    </row>
    <row r="101" spans="1:24">
      <c r="A101" s="5" t="s">
        <v>291</v>
      </c>
      <c r="B101" s="7">
        <v>85180</v>
      </c>
      <c r="C101" s="7" t="s">
        <v>188</v>
      </c>
      <c r="D101" s="7" t="s">
        <v>297</v>
      </c>
      <c r="E101" s="109"/>
      <c r="F101" s="45" t="s">
        <v>190</v>
      </c>
      <c r="G101" s="40">
        <v>3</v>
      </c>
      <c r="H101" s="40">
        <v>75</v>
      </c>
      <c r="I101" s="40">
        <f t="shared" ref="I101" si="120">G101*H101</f>
        <v>225</v>
      </c>
      <c r="J101" s="109"/>
      <c r="K101" s="40">
        <v>12</v>
      </c>
      <c r="L101" s="40">
        <f>K101*H101*$E$6</f>
        <v>963</v>
      </c>
      <c r="M101" s="109"/>
      <c r="N101" s="40">
        <v>12</v>
      </c>
      <c r="O101" s="40">
        <f>N101*H101*$E$6*$E$6</f>
        <v>1030.4100000000001</v>
      </c>
      <c r="P101" s="109"/>
      <c r="Q101" s="40">
        <v>12</v>
      </c>
      <c r="R101" s="40">
        <f t="shared" ref="R101" si="121">Q101*H101*$E$6*$E$6*$E$6</f>
        <v>1102.5387000000001</v>
      </c>
      <c r="S101" s="109"/>
      <c r="T101" s="40">
        <v>6</v>
      </c>
      <c r="U101" s="40">
        <f t="shared" ref="U101" si="122">T101*H101*$E$6*$E$6*$E$6*$E$6</f>
        <v>589.85820450000006</v>
      </c>
      <c r="V101" s="40">
        <f t="shared" ref="V101" si="123">SUM(R101,O101,L101,I101,U101)</f>
        <v>3910.8069045000002</v>
      </c>
      <c r="W101" s="40">
        <v>0</v>
      </c>
      <c r="X101" s="40">
        <f t="shared" ref="X101" si="124">V101+W101</f>
        <v>3910.8069045000002</v>
      </c>
    </row>
    <row r="102" spans="1:24">
      <c r="A102" s="79"/>
      <c r="B102" s="79"/>
      <c r="C102" s="79"/>
      <c r="D102" s="79" t="s">
        <v>298</v>
      </c>
      <c r="E102" s="117"/>
      <c r="F102" s="79"/>
      <c r="G102" s="79"/>
      <c r="H102" s="79"/>
      <c r="I102" s="79"/>
      <c r="J102" s="117"/>
      <c r="K102" s="79"/>
      <c r="L102" s="79"/>
      <c r="M102" s="117"/>
      <c r="N102" s="79"/>
      <c r="O102" s="79"/>
      <c r="P102" s="117"/>
      <c r="Q102" s="79"/>
      <c r="R102" s="79"/>
      <c r="S102" s="117"/>
      <c r="T102" s="79"/>
      <c r="U102" s="79"/>
      <c r="V102" s="79"/>
      <c r="W102" s="79"/>
      <c r="X102" s="79"/>
    </row>
    <row r="103" spans="1:24">
      <c r="A103" s="7" t="s">
        <v>299</v>
      </c>
      <c r="B103" s="7">
        <v>90900</v>
      </c>
      <c r="C103" s="7" t="s">
        <v>188</v>
      </c>
      <c r="D103" s="7" t="s">
        <v>300</v>
      </c>
      <c r="E103" s="109"/>
      <c r="F103" s="45" t="s">
        <v>190</v>
      </c>
      <c r="G103" s="40">
        <v>9</v>
      </c>
      <c r="H103" s="40">
        <v>150</v>
      </c>
      <c r="I103" s="40">
        <f t="shared" ref="I103:I108" si="125">G103*H103</f>
        <v>1350</v>
      </c>
      <c r="J103" s="109"/>
      <c r="K103" s="40">
        <v>12</v>
      </c>
      <c r="L103" s="40">
        <f t="shared" ref="L103" si="126">K103*H103*$E$6</f>
        <v>1926</v>
      </c>
      <c r="M103" s="109"/>
      <c r="N103" s="40">
        <v>12</v>
      </c>
      <c r="O103" s="40">
        <f t="shared" ref="O103" si="127">N103*H103*$E$6*$E$6</f>
        <v>2060.8200000000002</v>
      </c>
      <c r="P103" s="109"/>
      <c r="Q103" s="40">
        <v>12</v>
      </c>
      <c r="R103" s="40">
        <f t="shared" ref="R103" si="128">Q103*H103*$E$6*$E$6*$E$6</f>
        <v>2205.0774000000001</v>
      </c>
      <c r="S103" s="109"/>
      <c r="T103" s="40">
        <v>6</v>
      </c>
      <c r="U103" s="40">
        <f t="shared" ref="U103" si="129">T103*H103*$E$6*$E$6*$E$6*$E$6</f>
        <v>1179.7164090000001</v>
      </c>
      <c r="V103" s="40">
        <f t="shared" ref="V103" si="130">SUM(R103,O103,L103,I103,U103)</f>
        <v>8721.6138090000004</v>
      </c>
      <c r="W103" s="40">
        <v>0</v>
      </c>
      <c r="X103" s="40">
        <f t="shared" ref="X103:X108" si="131">V103+W103</f>
        <v>8721.6138090000004</v>
      </c>
    </row>
    <row r="104" spans="1:24">
      <c r="A104" s="7" t="s">
        <v>301</v>
      </c>
      <c r="B104" s="7">
        <v>82350</v>
      </c>
      <c r="C104" s="7" t="s">
        <v>188</v>
      </c>
      <c r="D104" s="7" t="s">
        <v>302</v>
      </c>
      <c r="F104" s="45" t="s">
        <v>190</v>
      </c>
      <c r="G104" s="40">
        <v>9</v>
      </c>
      <c r="H104" s="40">
        <v>30</v>
      </c>
      <c r="I104" s="40">
        <f t="shared" si="125"/>
        <v>270</v>
      </c>
      <c r="J104" s="111"/>
      <c r="K104" s="40">
        <v>12</v>
      </c>
      <c r="L104" s="40">
        <f>K104*H104*$E$6</f>
        <v>385.20000000000005</v>
      </c>
      <c r="M104" s="111"/>
      <c r="N104" s="40">
        <v>12</v>
      </c>
      <c r="O104" s="40">
        <f>N104*H104*$E$6*$E$6</f>
        <v>412.1640000000001</v>
      </c>
      <c r="P104" s="111"/>
      <c r="Q104" s="40">
        <v>12</v>
      </c>
      <c r="R104" s="40">
        <f>Q104*H104*$E$6*$E$6*$E$6</f>
        <v>441.01548000000014</v>
      </c>
      <c r="S104" s="111"/>
      <c r="T104" s="40">
        <v>6</v>
      </c>
      <c r="U104" s="40">
        <f>T104*H104*$E$6*$E$6*$E$6*$E$6</f>
        <v>235.94328180000008</v>
      </c>
      <c r="V104" s="40">
        <f t="shared" ref="V104" si="132">SUM(R104,O104,L104,I104,U104)</f>
        <v>1744.3227618000003</v>
      </c>
      <c r="W104" s="40">
        <v>0</v>
      </c>
      <c r="X104" s="40">
        <f t="shared" si="131"/>
        <v>1744.3227618000003</v>
      </c>
    </row>
    <row r="105" spans="1:24">
      <c r="A105" s="5" t="s">
        <v>303</v>
      </c>
      <c r="B105" s="7">
        <v>90450</v>
      </c>
      <c r="C105" s="7" t="s">
        <v>188</v>
      </c>
      <c r="D105" s="7" t="s">
        <v>304</v>
      </c>
      <c r="F105" s="45" t="s">
        <v>250</v>
      </c>
      <c r="G105" s="40">
        <v>1</v>
      </c>
      <c r="H105" s="40">
        <f>600*4</f>
        <v>2400</v>
      </c>
      <c r="I105" s="40">
        <f t="shared" si="125"/>
        <v>2400</v>
      </c>
      <c r="J105" s="111"/>
      <c r="K105" s="40">
        <v>1</v>
      </c>
      <c r="L105" s="40">
        <f>K105*H105*$E$6</f>
        <v>2568</v>
      </c>
      <c r="M105" s="111"/>
      <c r="N105" s="40">
        <v>1</v>
      </c>
      <c r="O105" s="40">
        <f t="shared" si="104"/>
        <v>2747.76</v>
      </c>
      <c r="P105" s="111"/>
      <c r="Q105" s="40">
        <v>1</v>
      </c>
      <c r="R105" s="40">
        <f t="shared" si="105"/>
        <v>2940.1032000000005</v>
      </c>
      <c r="S105" s="111"/>
      <c r="T105" s="40">
        <v>1</v>
      </c>
      <c r="U105" s="40">
        <f t="shared" si="106"/>
        <v>3145.9104240000006</v>
      </c>
      <c r="V105" s="40">
        <f t="shared" si="107"/>
        <v>13801.773624000001</v>
      </c>
      <c r="W105" s="40">
        <v>0</v>
      </c>
      <c r="X105" s="40">
        <f t="shared" si="131"/>
        <v>13801.773624000001</v>
      </c>
    </row>
    <row r="106" spans="1:24">
      <c r="A106" s="7" t="s">
        <v>305</v>
      </c>
      <c r="B106" s="7">
        <v>87010</v>
      </c>
      <c r="C106" s="7" t="s">
        <v>188</v>
      </c>
      <c r="D106" s="7" t="s">
        <v>306</v>
      </c>
      <c r="E106" s="109"/>
      <c r="F106" s="45" t="s">
        <v>307</v>
      </c>
      <c r="G106" s="40">
        <f>(25*9)</f>
        <v>225</v>
      </c>
      <c r="H106" s="40">
        <v>10</v>
      </c>
      <c r="I106" s="40">
        <f t="shared" si="125"/>
        <v>2250</v>
      </c>
      <c r="J106" s="109"/>
      <c r="K106" s="40">
        <f>(25*12)</f>
        <v>300</v>
      </c>
      <c r="L106" s="40">
        <f t="shared" si="103"/>
        <v>3210</v>
      </c>
      <c r="M106" s="109"/>
      <c r="N106" s="40">
        <f>(25*12)</f>
        <v>300</v>
      </c>
      <c r="O106" s="40">
        <f t="shared" si="104"/>
        <v>3434.7000000000003</v>
      </c>
      <c r="P106" s="109"/>
      <c r="Q106" s="40">
        <f>(25*12)</f>
        <v>300</v>
      </c>
      <c r="R106" s="40">
        <f t="shared" si="105"/>
        <v>3675.1290000000004</v>
      </c>
      <c r="S106" s="109"/>
      <c r="T106" s="40">
        <f>(25*6)</f>
        <v>150</v>
      </c>
      <c r="U106" s="40">
        <f t="shared" si="106"/>
        <v>1966.1940150000003</v>
      </c>
      <c r="V106" s="40">
        <f t="shared" si="107"/>
        <v>14536.023015000002</v>
      </c>
      <c r="W106" s="40">
        <v>0</v>
      </c>
      <c r="X106" s="40">
        <f t="shared" si="131"/>
        <v>14536.023015000002</v>
      </c>
    </row>
    <row r="107" spans="1:24">
      <c r="A107" s="7" t="s">
        <v>308</v>
      </c>
      <c r="B107" s="7">
        <v>81030</v>
      </c>
      <c r="C107" s="7" t="s">
        <v>188</v>
      </c>
      <c r="D107" s="7" t="s">
        <v>309</v>
      </c>
      <c r="E107" s="109"/>
      <c r="F107" s="45" t="s">
        <v>250</v>
      </c>
      <c r="G107" s="40">
        <v>1</v>
      </c>
      <c r="H107" s="40">
        <f>(2500+(680*12))</f>
        <v>10660</v>
      </c>
      <c r="I107" s="40">
        <f t="shared" si="125"/>
        <v>10660</v>
      </c>
      <c r="J107" s="109"/>
      <c r="K107" s="40">
        <v>1</v>
      </c>
      <c r="L107" s="40">
        <f t="shared" ref="L107" si="133">K107*H107*$E$6</f>
        <v>11406.2</v>
      </c>
      <c r="M107" s="109"/>
      <c r="N107" s="40">
        <v>1</v>
      </c>
      <c r="O107" s="40">
        <f t="shared" ref="O107" si="134">N107*H107*$E$6*$E$6</f>
        <v>12204.634000000002</v>
      </c>
      <c r="P107" s="109"/>
      <c r="Q107" s="40">
        <v>1</v>
      </c>
      <c r="R107" s="40">
        <f t="shared" ref="R107" si="135">Q107*H107*$E$6*$E$6*$E$6</f>
        <v>13058.958380000002</v>
      </c>
      <c r="S107" s="109"/>
      <c r="T107" s="40">
        <v>1</v>
      </c>
      <c r="U107" s="40">
        <f t="shared" ref="U107" si="136">T107*H107*$E$6*$E$6*$E$6*$E$6</f>
        <v>13973.085466600003</v>
      </c>
      <c r="V107" s="40">
        <f t="shared" ref="V107" si="137">SUM(R107,O107,L107,I107,U107)</f>
        <v>61302.8778466</v>
      </c>
      <c r="W107" s="40">
        <v>0</v>
      </c>
      <c r="X107" s="40">
        <f t="shared" si="131"/>
        <v>61302.8778466</v>
      </c>
    </row>
    <row r="108" spans="1:24">
      <c r="A108" s="5" t="s">
        <v>310</v>
      </c>
      <c r="B108" s="7">
        <v>89400</v>
      </c>
      <c r="C108" s="7" t="s">
        <v>188</v>
      </c>
      <c r="D108" s="7" t="s">
        <v>311</v>
      </c>
      <c r="E108" s="109"/>
      <c r="F108" s="45" t="s">
        <v>190</v>
      </c>
      <c r="G108" s="40">
        <v>9</v>
      </c>
      <c r="H108" s="40">
        <f>(27*12)+(1560/12)+(27*5)+(10*6)+506</f>
        <v>1155</v>
      </c>
      <c r="I108" s="40">
        <f t="shared" si="125"/>
        <v>10395</v>
      </c>
      <c r="J108" s="109"/>
      <c r="K108" s="40">
        <v>12</v>
      </c>
      <c r="L108" s="40">
        <f t="shared" si="103"/>
        <v>14830.2</v>
      </c>
      <c r="M108" s="109"/>
      <c r="N108" s="40">
        <v>12</v>
      </c>
      <c r="O108" s="40">
        <f t="shared" si="104"/>
        <v>15868.314000000002</v>
      </c>
      <c r="P108" s="109"/>
      <c r="Q108" s="40">
        <v>12</v>
      </c>
      <c r="R108" s="40">
        <f t="shared" si="105"/>
        <v>16979.095980000002</v>
      </c>
      <c r="S108" s="109"/>
      <c r="T108" s="40">
        <v>9</v>
      </c>
      <c r="U108" s="40">
        <f t="shared" si="106"/>
        <v>13625.724523950004</v>
      </c>
      <c r="V108" s="40">
        <f t="shared" si="107"/>
        <v>71698.334503950013</v>
      </c>
      <c r="W108" s="40">
        <v>0</v>
      </c>
      <c r="X108" s="40">
        <f t="shared" si="131"/>
        <v>71698.334503950013</v>
      </c>
    </row>
    <row r="109" spans="1:24">
      <c r="E109" s="109"/>
      <c r="F109" s="45"/>
      <c r="J109" s="109"/>
      <c r="M109" s="109"/>
      <c r="P109" s="109"/>
      <c r="S109" s="109"/>
    </row>
    <row r="110" spans="1:24" ht="12.9" thickBot="1">
      <c r="A110" s="533"/>
      <c r="B110" s="533"/>
      <c r="C110" s="533"/>
      <c r="D110" s="533" t="s">
        <v>312</v>
      </c>
      <c r="E110" s="537"/>
      <c r="F110" s="533"/>
      <c r="G110" s="533"/>
      <c r="H110" s="541"/>
      <c r="I110" s="542">
        <f>SUM(I95:I108)</f>
        <v>43375</v>
      </c>
      <c r="J110" s="537"/>
      <c r="K110" s="542"/>
      <c r="L110" s="542">
        <f>SUM(L95:L108)</f>
        <v>103019.59999999999</v>
      </c>
      <c r="M110" s="537"/>
      <c r="N110" s="542"/>
      <c r="O110" s="542">
        <f>SUM(O95:O108)</f>
        <v>110230.97200000002</v>
      </c>
      <c r="P110" s="537"/>
      <c r="Q110" s="542"/>
      <c r="R110" s="542">
        <f>SUM(R95:R108)</f>
        <v>117947.14004000001</v>
      </c>
      <c r="S110" s="537"/>
      <c r="T110" s="542"/>
      <c r="U110" s="542">
        <f>SUM(U95:U108)</f>
        <v>76203.126041350013</v>
      </c>
      <c r="V110" s="542">
        <f>SUM(V95:V108)</f>
        <v>450775.83808135008</v>
      </c>
      <c r="W110" s="542">
        <f>SUM(W95:W108)</f>
        <v>0</v>
      </c>
      <c r="X110" s="542">
        <f>SUM(X95:X108)</f>
        <v>450775.83808135008</v>
      </c>
    </row>
    <row r="111" spans="1:24">
      <c r="A111" s="69"/>
      <c r="B111" s="69"/>
      <c r="C111" s="69"/>
      <c r="D111" s="69"/>
      <c r="E111" s="107"/>
      <c r="F111" s="69"/>
      <c r="G111" s="55"/>
      <c r="H111" s="55"/>
      <c r="I111" s="55"/>
      <c r="J111" s="107"/>
      <c r="K111" s="55"/>
      <c r="L111" s="55"/>
      <c r="M111" s="107"/>
      <c r="N111" s="55"/>
      <c r="O111" s="55"/>
      <c r="P111" s="107"/>
      <c r="Q111" s="55"/>
      <c r="R111" s="55"/>
      <c r="S111" s="107"/>
      <c r="T111" s="55"/>
      <c r="U111" s="55"/>
      <c r="V111" s="55"/>
      <c r="W111" s="55"/>
      <c r="X111" s="55"/>
    </row>
    <row r="112" spans="1:24">
      <c r="A112" s="34"/>
      <c r="B112" s="34"/>
      <c r="C112" s="34"/>
      <c r="D112" s="34" t="s">
        <v>313</v>
      </c>
      <c r="E112" s="108"/>
      <c r="F112" s="34"/>
      <c r="G112" s="34"/>
      <c r="H112" s="35"/>
      <c r="I112" s="36"/>
      <c r="J112" s="108"/>
      <c r="K112" s="36"/>
      <c r="L112" s="36"/>
      <c r="M112" s="108"/>
      <c r="N112" s="36"/>
      <c r="O112" s="36"/>
      <c r="P112" s="108"/>
      <c r="Q112" s="36"/>
      <c r="R112" s="36"/>
      <c r="S112" s="108"/>
      <c r="T112" s="36"/>
      <c r="U112" s="36"/>
      <c r="V112" s="36"/>
      <c r="W112" s="36"/>
      <c r="X112" s="36"/>
    </row>
    <row r="113" spans="1:25">
      <c r="A113" s="7" t="s">
        <v>314</v>
      </c>
      <c r="B113" s="7">
        <v>82401</v>
      </c>
      <c r="C113" s="7" t="s">
        <v>188</v>
      </c>
      <c r="D113" s="7" t="s">
        <v>315</v>
      </c>
      <c r="E113" s="109"/>
      <c r="F113" s="46" t="s">
        <v>247</v>
      </c>
      <c r="G113" s="40">
        <v>26</v>
      </c>
      <c r="H113" s="40">
        <v>1460</v>
      </c>
      <c r="I113" s="40">
        <f t="shared" ref="I113:I123" si="138">G113*H113</f>
        <v>37960</v>
      </c>
      <c r="J113" s="109"/>
      <c r="K113" s="40">
        <v>0</v>
      </c>
      <c r="L113" s="40">
        <f t="shared" ref="L113:L120" si="139">K113*H113</f>
        <v>0</v>
      </c>
      <c r="M113" s="109"/>
      <c r="N113" s="40">
        <v>0</v>
      </c>
      <c r="O113" s="40">
        <f t="shared" ref="O113:O120" si="140">N113*H113</f>
        <v>0</v>
      </c>
      <c r="P113" s="109"/>
      <c r="Q113" s="40">
        <v>0</v>
      </c>
      <c r="R113" s="40">
        <f t="shared" ref="R113:R120" si="141">Q113*H113</f>
        <v>0</v>
      </c>
      <c r="S113" s="109"/>
      <c r="T113" s="40">
        <v>0</v>
      </c>
      <c r="U113" s="40">
        <f t="shared" ref="U113:U120" si="142">T113*K113</f>
        <v>0</v>
      </c>
      <c r="V113" s="40">
        <f t="shared" ref="V113:V123" si="143">SUM(R113,O113,L113,I113,U113)</f>
        <v>37960</v>
      </c>
      <c r="W113" s="40">
        <v>0</v>
      </c>
      <c r="X113" s="40">
        <f t="shared" ref="X113:X123" si="144">V113+W113</f>
        <v>37960</v>
      </c>
    </row>
    <row r="114" spans="1:25">
      <c r="A114" s="7" t="s">
        <v>314</v>
      </c>
      <c r="B114" s="7">
        <v>82401</v>
      </c>
      <c r="C114" s="7" t="s">
        <v>188</v>
      </c>
      <c r="D114" s="7" t="s">
        <v>316</v>
      </c>
      <c r="E114" s="109"/>
      <c r="F114" s="46" t="s">
        <v>247</v>
      </c>
      <c r="G114" s="40">
        <v>26</v>
      </c>
      <c r="H114" s="40">
        <v>300</v>
      </c>
      <c r="I114" s="40">
        <f t="shared" ref="I114" si="145">G114*H114</f>
        <v>7800</v>
      </c>
      <c r="J114" s="109"/>
      <c r="K114" s="40">
        <v>0</v>
      </c>
      <c r="L114" s="40">
        <f t="shared" ref="L114" si="146">K114*H114</f>
        <v>0</v>
      </c>
      <c r="M114" s="109"/>
      <c r="N114" s="40">
        <v>0</v>
      </c>
      <c r="O114" s="40">
        <f t="shared" ref="O114" si="147">N114*H114</f>
        <v>0</v>
      </c>
      <c r="P114" s="109"/>
      <c r="Q114" s="40">
        <v>0</v>
      </c>
      <c r="R114" s="40">
        <f t="shared" ref="R114" si="148">Q114*H114</f>
        <v>0</v>
      </c>
      <c r="S114" s="109"/>
      <c r="T114" s="40">
        <v>0</v>
      </c>
      <c r="U114" s="40">
        <f t="shared" ref="U114" si="149">T114*K114</f>
        <v>0</v>
      </c>
      <c r="V114" s="40">
        <f t="shared" ref="V114" si="150">SUM(R114,O114,L114,I114,U114)</f>
        <v>7800</v>
      </c>
      <c r="W114" s="40">
        <v>0</v>
      </c>
      <c r="X114" s="40">
        <f t="shared" ref="X114" si="151">V114+W114</f>
        <v>7800</v>
      </c>
    </row>
    <row r="115" spans="1:25">
      <c r="A115" s="7" t="s">
        <v>314</v>
      </c>
      <c r="B115" s="7">
        <v>82401</v>
      </c>
      <c r="C115" s="7" t="s">
        <v>188</v>
      </c>
      <c r="D115" s="7" t="s">
        <v>317</v>
      </c>
      <c r="E115" s="109"/>
      <c r="F115" s="46" t="s">
        <v>247</v>
      </c>
      <c r="G115" s="40">
        <v>2</v>
      </c>
      <c r="H115" s="40">
        <v>653.36</v>
      </c>
      <c r="I115" s="40">
        <f>G115*H115</f>
        <v>1306.72</v>
      </c>
      <c r="J115" s="109"/>
      <c r="K115" s="40">
        <v>0</v>
      </c>
      <c r="L115" s="40">
        <f>K115*H115</f>
        <v>0</v>
      </c>
      <c r="M115" s="109"/>
      <c r="N115" s="40">
        <v>0</v>
      </c>
      <c r="O115" s="40">
        <f>N115*H115</f>
        <v>0</v>
      </c>
      <c r="P115" s="109"/>
      <c r="Q115" s="40">
        <v>0</v>
      </c>
      <c r="R115" s="40">
        <f>Q115*H115</f>
        <v>0</v>
      </c>
      <c r="S115" s="109"/>
      <c r="T115" s="40">
        <v>0</v>
      </c>
      <c r="U115" s="40">
        <f>T115*K115</f>
        <v>0</v>
      </c>
      <c r="V115" s="40">
        <f t="shared" si="143"/>
        <v>1306.72</v>
      </c>
      <c r="W115" s="40">
        <v>0</v>
      </c>
      <c r="X115" s="40">
        <f>V115+W115</f>
        <v>1306.72</v>
      </c>
    </row>
    <row r="116" spans="1:25">
      <c r="A116" s="7" t="s">
        <v>314</v>
      </c>
      <c r="B116" s="7">
        <v>82401</v>
      </c>
      <c r="C116" s="7" t="s">
        <v>188</v>
      </c>
      <c r="D116" s="7" t="s">
        <v>318</v>
      </c>
      <c r="E116" s="109"/>
      <c r="F116" s="46" t="s">
        <v>247</v>
      </c>
      <c r="G116" s="40">
        <v>4</v>
      </c>
      <c r="H116" s="40">
        <v>300</v>
      </c>
      <c r="I116" s="40">
        <f>G116*H116</f>
        <v>1200</v>
      </c>
      <c r="J116" s="109"/>
      <c r="K116" s="40">
        <v>0</v>
      </c>
      <c r="L116" s="40">
        <f>K116*H116</f>
        <v>0</v>
      </c>
      <c r="M116" s="109"/>
      <c r="N116" s="40">
        <v>0</v>
      </c>
      <c r="O116" s="40">
        <f>N116*H116</f>
        <v>0</v>
      </c>
      <c r="P116" s="109"/>
      <c r="Q116" s="40">
        <v>0</v>
      </c>
      <c r="R116" s="40">
        <f>Q116*H116</f>
        <v>0</v>
      </c>
      <c r="S116" s="109"/>
      <c r="T116" s="40">
        <v>0</v>
      </c>
      <c r="U116" s="40">
        <f>T116*K116</f>
        <v>0</v>
      </c>
      <c r="V116" s="40">
        <f t="shared" ref="V116" si="152">SUM(R116,O116,L116,I116,U116)</f>
        <v>1200</v>
      </c>
      <c r="W116" s="40">
        <v>0</v>
      </c>
      <c r="X116" s="40">
        <f>V116+W116</f>
        <v>1200</v>
      </c>
    </row>
    <row r="117" spans="1:25">
      <c r="A117" s="7" t="s">
        <v>314</v>
      </c>
      <c r="B117" s="7">
        <v>82401</v>
      </c>
      <c r="C117" s="7" t="s">
        <v>188</v>
      </c>
      <c r="D117" s="7" t="s">
        <v>319</v>
      </c>
      <c r="E117" s="109"/>
      <c r="F117" s="46" t="s">
        <v>247</v>
      </c>
      <c r="G117" s="40">
        <v>2</v>
      </c>
      <c r="H117" s="40">
        <v>1300</v>
      </c>
      <c r="I117" s="40">
        <f t="shared" si="138"/>
        <v>2600</v>
      </c>
      <c r="J117" s="109"/>
      <c r="K117" s="40">
        <v>0</v>
      </c>
      <c r="L117" s="40">
        <f t="shared" si="139"/>
        <v>0</v>
      </c>
      <c r="M117" s="109"/>
      <c r="N117" s="40">
        <v>0</v>
      </c>
      <c r="O117" s="40">
        <f t="shared" si="140"/>
        <v>0</v>
      </c>
      <c r="P117" s="109"/>
      <c r="Q117" s="40">
        <v>0</v>
      </c>
      <c r="R117" s="40">
        <f t="shared" si="141"/>
        <v>0</v>
      </c>
      <c r="S117" s="109"/>
      <c r="T117" s="40">
        <v>0</v>
      </c>
      <c r="U117" s="40">
        <f t="shared" si="142"/>
        <v>0</v>
      </c>
      <c r="V117" s="40">
        <f t="shared" si="143"/>
        <v>2600</v>
      </c>
      <c r="W117" s="40">
        <v>0</v>
      </c>
      <c r="X117" s="40">
        <f t="shared" si="144"/>
        <v>2600</v>
      </c>
      <c r="Y117" s="549"/>
    </row>
    <row r="118" spans="1:25">
      <c r="A118" s="79"/>
      <c r="B118" s="79"/>
      <c r="C118" s="79"/>
      <c r="D118" s="79" t="s">
        <v>320</v>
      </c>
      <c r="E118" s="117"/>
      <c r="F118" s="79"/>
      <c r="G118" s="79"/>
      <c r="H118" s="79"/>
      <c r="I118" s="79"/>
      <c r="J118" s="117"/>
      <c r="K118" s="79"/>
      <c r="L118" s="79"/>
      <c r="M118" s="117"/>
      <c r="N118" s="79"/>
      <c r="O118" s="79"/>
      <c r="P118" s="117"/>
      <c r="Q118" s="79"/>
      <c r="R118" s="79"/>
      <c r="S118" s="117"/>
      <c r="T118" s="79"/>
      <c r="U118" s="79"/>
      <c r="V118" s="79"/>
      <c r="W118" s="79"/>
      <c r="X118" s="79"/>
    </row>
    <row r="119" spans="1:25">
      <c r="A119" s="7" t="s">
        <v>314</v>
      </c>
      <c r="B119" s="7">
        <v>82401</v>
      </c>
      <c r="C119" s="7" t="s">
        <v>188</v>
      </c>
      <c r="D119" s="7" t="s">
        <v>321</v>
      </c>
      <c r="E119" s="109"/>
      <c r="F119" s="46" t="s">
        <v>247</v>
      </c>
      <c r="G119" s="40">
        <v>16</v>
      </c>
      <c r="H119" s="40">
        <v>725</v>
      </c>
      <c r="I119" s="40">
        <f t="shared" si="138"/>
        <v>11600</v>
      </c>
      <c r="J119" s="109"/>
      <c r="K119" s="40">
        <v>0</v>
      </c>
      <c r="L119" s="40">
        <f t="shared" si="139"/>
        <v>0</v>
      </c>
      <c r="M119" s="109"/>
      <c r="N119" s="40">
        <v>0</v>
      </c>
      <c r="O119" s="40">
        <f t="shared" si="140"/>
        <v>0</v>
      </c>
      <c r="P119" s="109"/>
      <c r="Q119" s="40">
        <v>0</v>
      </c>
      <c r="R119" s="40">
        <f t="shared" si="141"/>
        <v>0</v>
      </c>
      <c r="S119" s="109"/>
      <c r="T119" s="40">
        <v>0</v>
      </c>
      <c r="U119" s="40">
        <f t="shared" si="142"/>
        <v>0</v>
      </c>
      <c r="V119" s="40">
        <f t="shared" si="143"/>
        <v>11600</v>
      </c>
      <c r="W119" s="40">
        <v>0</v>
      </c>
      <c r="X119" s="40">
        <f t="shared" si="144"/>
        <v>11600</v>
      </c>
    </row>
    <row r="120" spans="1:25">
      <c r="A120" s="7" t="s">
        <v>314</v>
      </c>
      <c r="B120" s="7">
        <v>82401</v>
      </c>
      <c r="C120" s="7" t="s">
        <v>188</v>
      </c>
      <c r="D120" s="7" t="s">
        <v>322</v>
      </c>
      <c r="E120" s="109"/>
      <c r="F120" s="46" t="s">
        <v>247</v>
      </c>
      <c r="G120" s="40">
        <v>1</v>
      </c>
      <c r="H120" s="40">
        <v>1200</v>
      </c>
      <c r="I120" s="40">
        <f t="shared" si="138"/>
        <v>1200</v>
      </c>
      <c r="J120" s="109"/>
      <c r="K120" s="40">
        <v>0</v>
      </c>
      <c r="L120" s="40">
        <f t="shared" si="139"/>
        <v>0</v>
      </c>
      <c r="M120" s="109"/>
      <c r="N120" s="40">
        <v>0</v>
      </c>
      <c r="O120" s="40">
        <f t="shared" si="140"/>
        <v>0</v>
      </c>
      <c r="P120" s="109"/>
      <c r="Q120" s="40">
        <v>0</v>
      </c>
      <c r="R120" s="40">
        <f t="shared" si="141"/>
        <v>0</v>
      </c>
      <c r="S120" s="109"/>
      <c r="T120" s="40">
        <v>0</v>
      </c>
      <c r="U120" s="40">
        <f t="shared" si="142"/>
        <v>0</v>
      </c>
      <c r="V120" s="40">
        <f t="shared" si="143"/>
        <v>1200</v>
      </c>
      <c r="W120" s="40">
        <v>0</v>
      </c>
      <c r="X120" s="40">
        <f t="shared" si="144"/>
        <v>1200</v>
      </c>
    </row>
    <row r="121" spans="1:25">
      <c r="A121" s="7" t="s">
        <v>314</v>
      </c>
      <c r="B121" s="7">
        <v>82401</v>
      </c>
      <c r="C121" s="7" t="s">
        <v>188</v>
      </c>
      <c r="D121" s="7" t="s">
        <v>323</v>
      </c>
      <c r="E121" s="109"/>
      <c r="F121" s="46" t="s">
        <v>247</v>
      </c>
      <c r="G121" s="40">
        <v>1</v>
      </c>
      <c r="H121" s="40">
        <v>2500</v>
      </c>
      <c r="I121" s="40">
        <f t="shared" ref="I121" si="153">G121*H121</f>
        <v>2500</v>
      </c>
      <c r="J121" s="109"/>
      <c r="K121" s="40">
        <v>0</v>
      </c>
      <c r="L121" s="40">
        <f t="shared" ref="L121" si="154">K121*H121</f>
        <v>0</v>
      </c>
      <c r="M121" s="109"/>
      <c r="N121" s="40">
        <v>0</v>
      </c>
      <c r="O121" s="40">
        <f t="shared" ref="O121" si="155">N121*H121</f>
        <v>0</v>
      </c>
      <c r="P121" s="109"/>
      <c r="Q121" s="40">
        <v>0</v>
      </c>
      <c r="R121" s="40">
        <f t="shared" ref="R121" si="156">Q121*H121</f>
        <v>0</v>
      </c>
      <c r="S121" s="109"/>
      <c r="T121" s="40">
        <v>0</v>
      </c>
      <c r="U121" s="40">
        <f t="shared" ref="U121" si="157">T121*K121</f>
        <v>0</v>
      </c>
      <c r="V121" s="40">
        <f t="shared" ref="V121" si="158">SUM(R121,O121,L121,I121,U121)</f>
        <v>2500</v>
      </c>
      <c r="W121" s="40">
        <v>0</v>
      </c>
      <c r="X121" s="40">
        <f t="shared" ref="X121" si="159">V121+W121</f>
        <v>2500</v>
      </c>
    </row>
    <row r="122" spans="1:25">
      <c r="A122" s="7" t="s">
        <v>314</v>
      </c>
      <c r="B122" s="7">
        <v>82401</v>
      </c>
      <c r="C122" s="7" t="s">
        <v>188</v>
      </c>
      <c r="D122" s="7" t="s">
        <v>324</v>
      </c>
      <c r="E122" s="109"/>
      <c r="F122" s="46" t="s">
        <v>247</v>
      </c>
      <c r="G122" s="40">
        <v>2</v>
      </c>
      <c r="H122" s="40">
        <v>503.065</v>
      </c>
      <c r="I122" s="40">
        <f t="shared" ref="I122" si="160">G122*H122</f>
        <v>1006.13</v>
      </c>
      <c r="J122" s="109"/>
      <c r="K122" s="40">
        <v>0</v>
      </c>
      <c r="L122" s="40">
        <f t="shared" ref="L122" si="161">K122*H122</f>
        <v>0</v>
      </c>
      <c r="M122" s="109"/>
      <c r="N122" s="40">
        <v>0</v>
      </c>
      <c r="O122" s="40">
        <f t="shared" ref="O122" si="162">N122*H122</f>
        <v>0</v>
      </c>
      <c r="P122" s="109"/>
      <c r="Q122" s="40">
        <v>0</v>
      </c>
      <c r="R122" s="40">
        <f t="shared" ref="R122" si="163">Q122*H122</f>
        <v>0</v>
      </c>
      <c r="S122" s="109"/>
      <c r="T122" s="40">
        <v>0</v>
      </c>
      <c r="U122" s="40">
        <f t="shared" ref="U122" si="164">T122*K122</f>
        <v>0</v>
      </c>
      <c r="V122" s="40">
        <f t="shared" ref="V122" si="165">SUM(R122,O122,L122,I122,U122)</f>
        <v>1006.13</v>
      </c>
      <c r="W122" s="40">
        <v>0</v>
      </c>
      <c r="X122" s="40">
        <f t="shared" ref="X122" si="166">V122+W122</f>
        <v>1006.13</v>
      </c>
    </row>
    <row r="123" spans="1:25">
      <c r="A123" s="7" t="s">
        <v>314</v>
      </c>
      <c r="B123" s="7">
        <v>82401</v>
      </c>
      <c r="C123" s="7" t="s">
        <v>188</v>
      </c>
      <c r="D123" s="7" t="s">
        <v>325</v>
      </c>
      <c r="F123" s="45" t="s">
        <v>190</v>
      </c>
      <c r="G123" s="40">
        <v>9</v>
      </c>
      <c r="H123" s="40">
        <v>250</v>
      </c>
      <c r="I123" s="40">
        <f t="shared" si="138"/>
        <v>2250</v>
      </c>
      <c r="J123" s="111"/>
      <c r="K123" s="40">
        <v>12</v>
      </c>
      <c r="L123" s="40">
        <f>K123*H123*$E$6</f>
        <v>3210</v>
      </c>
      <c r="M123" s="111"/>
      <c r="N123" s="40">
        <v>12</v>
      </c>
      <c r="O123" s="40">
        <f t="shared" ref="O123" si="167">N123*H123*$E$6*$E$6</f>
        <v>3434.7000000000003</v>
      </c>
      <c r="P123" s="111"/>
      <c r="Q123" s="40">
        <v>12</v>
      </c>
      <c r="R123" s="40">
        <f t="shared" ref="R123" si="168">Q123*H123*$E$6*$E$6*$E$6</f>
        <v>3675.1290000000004</v>
      </c>
      <c r="S123" s="111"/>
      <c r="T123" s="40">
        <v>9</v>
      </c>
      <c r="U123" s="40">
        <f t="shared" ref="U123" si="169">T123*H123*$E$6*$E$6*$E$6*$E$6</f>
        <v>2949.2910225000005</v>
      </c>
      <c r="V123" s="40">
        <f t="shared" si="143"/>
        <v>15519.120022500003</v>
      </c>
      <c r="W123" s="40">
        <v>0</v>
      </c>
      <c r="X123" s="40">
        <f t="shared" si="144"/>
        <v>15519.120022500003</v>
      </c>
    </row>
    <row r="124" spans="1:25">
      <c r="E124" s="109"/>
      <c r="F124" s="45"/>
      <c r="J124" s="109"/>
      <c r="M124" s="109"/>
      <c r="P124" s="109"/>
      <c r="S124" s="109"/>
    </row>
    <row r="125" spans="1:25" ht="12.9" thickBot="1">
      <c r="A125" s="533"/>
      <c r="B125" s="533"/>
      <c r="C125" s="533"/>
      <c r="D125" s="533" t="s">
        <v>326</v>
      </c>
      <c r="E125" s="537"/>
      <c r="F125" s="533"/>
      <c r="G125" s="533"/>
      <c r="H125" s="541"/>
      <c r="I125" s="542">
        <f>SUM(I113:I124)</f>
        <v>69422.850000000006</v>
      </c>
      <c r="J125" s="537"/>
      <c r="K125" s="542"/>
      <c r="L125" s="542">
        <f>SUM(L113:L124)</f>
        <v>3210</v>
      </c>
      <c r="M125" s="537"/>
      <c r="N125" s="542"/>
      <c r="O125" s="542">
        <f>SUM(O113:O124)</f>
        <v>3434.7000000000003</v>
      </c>
      <c r="P125" s="537"/>
      <c r="Q125" s="542"/>
      <c r="R125" s="542">
        <f>SUM(R113:R124)</f>
        <v>3675.1290000000004</v>
      </c>
      <c r="S125" s="537"/>
      <c r="T125" s="542"/>
      <c r="U125" s="542">
        <f>SUM(U113:U124)</f>
        <v>2949.2910225000005</v>
      </c>
      <c r="V125" s="542">
        <f>SUM(V113:V124)</f>
        <v>82691.970022500012</v>
      </c>
      <c r="W125" s="542">
        <f>SUM(W113:W124)</f>
        <v>0</v>
      </c>
      <c r="X125" s="542">
        <f>SUM(X113:X124)</f>
        <v>82691.970022500012</v>
      </c>
    </row>
    <row r="126" spans="1:25">
      <c r="A126" s="69"/>
      <c r="B126" s="69"/>
      <c r="C126" s="69"/>
      <c r="D126" s="69"/>
      <c r="E126" s="107"/>
      <c r="F126" s="69"/>
      <c r="G126" s="55"/>
      <c r="H126" s="55"/>
      <c r="I126" s="55"/>
      <c r="J126" s="107"/>
      <c r="K126" s="55"/>
      <c r="L126" s="55"/>
      <c r="M126" s="107"/>
      <c r="N126" s="55"/>
      <c r="O126" s="55"/>
      <c r="P126" s="107"/>
      <c r="Q126" s="55"/>
      <c r="R126" s="55"/>
      <c r="S126" s="107"/>
      <c r="T126" s="55"/>
      <c r="U126" s="55"/>
      <c r="V126" s="55"/>
      <c r="W126" s="55"/>
      <c r="X126" s="55"/>
    </row>
    <row r="127" spans="1:25">
      <c r="A127" s="34"/>
      <c r="B127" s="34"/>
      <c r="C127" s="34"/>
      <c r="D127" s="34" t="s">
        <v>34</v>
      </c>
      <c r="E127" s="108"/>
      <c r="F127" s="34"/>
      <c r="G127" s="34"/>
      <c r="H127" s="35"/>
      <c r="I127" s="36"/>
      <c r="J127" s="108"/>
      <c r="K127" s="36"/>
      <c r="L127" s="36"/>
      <c r="M127" s="108"/>
      <c r="N127" s="36"/>
      <c r="O127" s="36"/>
      <c r="P127" s="108"/>
      <c r="Q127" s="36"/>
      <c r="R127" s="36"/>
      <c r="S127" s="108"/>
      <c r="T127" s="36"/>
      <c r="U127" s="36"/>
      <c r="V127" s="36"/>
      <c r="W127" s="36"/>
      <c r="X127" s="36"/>
    </row>
    <row r="128" spans="1:25">
      <c r="A128" s="7" t="s">
        <v>327</v>
      </c>
      <c r="B128" s="7">
        <v>87000</v>
      </c>
      <c r="C128" s="7" t="s">
        <v>188</v>
      </c>
      <c r="D128" s="7" t="s">
        <v>328</v>
      </c>
      <c r="E128" s="109"/>
      <c r="F128" s="45" t="s">
        <v>247</v>
      </c>
      <c r="G128" s="40">
        <v>6</v>
      </c>
      <c r="H128" s="40">
        <v>1500</v>
      </c>
      <c r="I128" s="40">
        <f>G128*H128</f>
        <v>9000</v>
      </c>
      <c r="J128" s="109"/>
      <c r="K128" s="40">
        <v>6</v>
      </c>
      <c r="L128" s="40">
        <f t="shared" ref="L128" si="170">K128*H128</f>
        <v>9000</v>
      </c>
      <c r="M128" s="111"/>
      <c r="N128" s="40">
        <v>6</v>
      </c>
      <c r="O128" s="40">
        <f t="shared" ref="O128" si="171">N128*H128</f>
        <v>9000</v>
      </c>
      <c r="P128" s="111"/>
      <c r="Q128" s="40">
        <v>6</v>
      </c>
      <c r="R128" s="40">
        <f t="shared" ref="R128" si="172">Q128*H128</f>
        <v>9000</v>
      </c>
      <c r="S128" s="111"/>
      <c r="T128" s="40">
        <v>6</v>
      </c>
      <c r="U128" s="40">
        <f>T128*H128</f>
        <v>9000</v>
      </c>
      <c r="V128" s="40">
        <f>SUM(R128,O128,L128,I128,U128)</f>
        <v>45000</v>
      </c>
      <c r="W128" s="40">
        <v>0</v>
      </c>
      <c r="X128" s="40">
        <f>V128+W128</f>
        <v>45000</v>
      </c>
    </row>
    <row r="129" spans="1:25">
      <c r="A129" s="79"/>
      <c r="B129" s="79"/>
      <c r="C129" s="79"/>
      <c r="D129" s="79" t="s">
        <v>140</v>
      </c>
      <c r="E129" s="117"/>
      <c r="F129" s="79"/>
      <c r="G129" s="79"/>
      <c r="H129" s="79"/>
      <c r="I129" s="79"/>
      <c r="J129" s="117"/>
      <c r="K129" s="79"/>
      <c r="L129" s="79"/>
      <c r="M129" s="117"/>
      <c r="N129" s="79"/>
      <c r="O129" s="79"/>
      <c r="P129" s="117"/>
      <c r="Q129" s="79"/>
      <c r="R129" s="79"/>
      <c r="S129" s="117"/>
      <c r="T129" s="79"/>
      <c r="U129" s="79"/>
      <c r="V129" s="79"/>
      <c r="W129" s="79"/>
      <c r="X129" s="79"/>
    </row>
    <row r="130" spans="1:25">
      <c r="A130" s="7" t="s">
        <v>329</v>
      </c>
      <c r="B130" s="7">
        <v>85105</v>
      </c>
      <c r="C130" s="7" t="s">
        <v>188</v>
      </c>
      <c r="D130" s="7" t="s">
        <v>330</v>
      </c>
      <c r="E130" s="109"/>
      <c r="F130" s="45" t="s">
        <v>250</v>
      </c>
      <c r="G130" s="40">
        <v>1</v>
      </c>
      <c r="H130" s="40">
        <v>500</v>
      </c>
      <c r="I130" s="40">
        <f t="shared" ref="I130" si="173">G130*H130</f>
        <v>500</v>
      </c>
      <c r="J130" s="109"/>
      <c r="K130" s="40">
        <v>1</v>
      </c>
      <c r="L130" s="40">
        <f t="shared" ref="L130:L131" si="174">K130*H130*$E$6</f>
        <v>535</v>
      </c>
      <c r="M130" s="109"/>
      <c r="N130" s="40">
        <v>1</v>
      </c>
      <c r="O130" s="40">
        <f t="shared" ref="O130:O131" si="175">N130*H130*$E$6*$E$6</f>
        <v>572.45000000000005</v>
      </c>
      <c r="P130" s="109"/>
      <c r="Q130" s="40">
        <v>1</v>
      </c>
      <c r="R130" s="40">
        <f t="shared" ref="R130:R131" si="176">Q130*H130*$E$6*$E$6*$E$6</f>
        <v>612.52150000000006</v>
      </c>
      <c r="S130" s="109"/>
      <c r="T130" s="40">
        <v>1</v>
      </c>
      <c r="U130" s="40">
        <f t="shared" ref="U130:U131" si="177">T130*H130*$E$6*$E$6*$E$6*$E$6</f>
        <v>655.39800500000013</v>
      </c>
      <c r="V130" s="40">
        <f>SUM(R130,O130,L130,I130,U130)</f>
        <v>2875.3695050000001</v>
      </c>
      <c r="W130" s="40">
        <v>0</v>
      </c>
      <c r="X130" s="40">
        <f>V130+W130</f>
        <v>2875.3695050000001</v>
      </c>
    </row>
    <row r="131" spans="1:25">
      <c r="A131" s="7" t="s">
        <v>329</v>
      </c>
      <c r="B131" s="7">
        <v>85105</v>
      </c>
      <c r="C131" s="7" t="s">
        <v>188</v>
      </c>
      <c r="D131" s="7" t="s">
        <v>331</v>
      </c>
      <c r="E131" s="109"/>
      <c r="F131" s="45" t="s">
        <v>190</v>
      </c>
      <c r="G131" s="40">
        <v>3</v>
      </c>
      <c r="H131" s="40">
        <f>3*50</f>
        <v>150</v>
      </c>
      <c r="I131" s="40">
        <f>G131*H131</f>
        <v>450</v>
      </c>
      <c r="J131" s="109"/>
      <c r="K131" s="40">
        <v>12</v>
      </c>
      <c r="L131" s="40">
        <f t="shared" si="174"/>
        <v>1926</v>
      </c>
      <c r="M131" s="109"/>
      <c r="N131" s="40">
        <v>12</v>
      </c>
      <c r="O131" s="40">
        <f t="shared" si="175"/>
        <v>2060.8200000000002</v>
      </c>
      <c r="P131" s="109"/>
      <c r="Q131" s="40">
        <v>12</v>
      </c>
      <c r="R131" s="40">
        <f t="shared" si="176"/>
        <v>2205.0774000000001</v>
      </c>
      <c r="S131" s="109"/>
      <c r="T131" s="40">
        <v>6</v>
      </c>
      <c r="U131" s="40">
        <f t="shared" si="177"/>
        <v>1179.7164090000001</v>
      </c>
      <c r="V131" s="40">
        <f t="shared" ref="V131" si="178">SUM(R131,O131,L131,I131,U131)</f>
        <v>7821.6138090000004</v>
      </c>
      <c r="W131" s="40">
        <v>0</v>
      </c>
      <c r="X131" s="40">
        <f>V131+W131</f>
        <v>7821.6138090000004</v>
      </c>
    </row>
    <row r="132" spans="1:25">
      <c r="A132" s="79"/>
      <c r="B132" s="79"/>
      <c r="C132" s="79"/>
      <c r="D132" s="79" t="s">
        <v>109</v>
      </c>
      <c r="E132" s="117"/>
      <c r="F132" s="79"/>
      <c r="G132" s="79"/>
      <c r="H132" s="79"/>
      <c r="I132" s="79"/>
      <c r="J132" s="117"/>
      <c r="K132" s="79"/>
      <c r="L132" s="79"/>
      <c r="M132" s="117"/>
      <c r="N132" s="79"/>
      <c r="O132" s="79"/>
      <c r="P132" s="117"/>
      <c r="Q132" s="79"/>
      <c r="R132" s="79"/>
      <c r="S132" s="117"/>
      <c r="T132" s="79"/>
      <c r="U132" s="79"/>
      <c r="V132" s="79"/>
      <c r="W132" s="79"/>
      <c r="X132" s="79"/>
    </row>
    <row r="133" spans="1:25">
      <c r="A133" s="7" t="s">
        <v>332</v>
      </c>
      <c r="B133" s="7">
        <v>89500</v>
      </c>
      <c r="C133" s="7" t="s">
        <v>188</v>
      </c>
      <c r="D133" s="7" t="s">
        <v>333</v>
      </c>
      <c r="E133" s="109"/>
      <c r="F133" s="45" t="s">
        <v>250</v>
      </c>
      <c r="G133" s="40">
        <v>1</v>
      </c>
      <c r="H133" s="40">
        <v>500</v>
      </c>
      <c r="I133" s="40">
        <f t="shared" ref="I133" si="179">G133*H133</f>
        <v>500</v>
      </c>
      <c r="J133" s="109"/>
      <c r="K133" s="40">
        <v>1</v>
      </c>
      <c r="L133" s="40">
        <f t="shared" ref="L133" si="180">K133*H133*$E$6</f>
        <v>535</v>
      </c>
      <c r="M133" s="109"/>
      <c r="N133" s="40">
        <v>1</v>
      </c>
      <c r="O133" s="40">
        <f t="shared" ref="O133" si="181">N133*H133*$E$6*$E$6</f>
        <v>572.45000000000005</v>
      </c>
      <c r="P133" s="109"/>
      <c r="Q133" s="40">
        <v>1</v>
      </c>
      <c r="R133" s="40">
        <f t="shared" ref="R133" si="182">Q133*H133*$E$6*$E$6*$E$6</f>
        <v>612.52150000000006</v>
      </c>
      <c r="S133" s="109"/>
      <c r="T133" s="40">
        <v>1</v>
      </c>
      <c r="U133" s="40">
        <f t="shared" ref="U133" si="183">T133*H133*$E$6*$E$6*$E$6*$E$6</f>
        <v>655.39800500000013</v>
      </c>
      <c r="V133" s="40">
        <f t="shared" ref="V133" si="184">SUM(R133,O133,L133,I133,U133)</f>
        <v>2875.3695050000001</v>
      </c>
      <c r="W133" s="40">
        <v>0</v>
      </c>
      <c r="X133" s="40">
        <f>V133+W133</f>
        <v>2875.3695050000001</v>
      </c>
    </row>
    <row r="134" spans="1:25">
      <c r="A134" s="7" t="s">
        <v>332</v>
      </c>
      <c r="B134" s="7">
        <v>89500</v>
      </c>
      <c r="C134" s="7" t="s">
        <v>188</v>
      </c>
      <c r="D134" s="7" t="s">
        <v>334</v>
      </c>
      <c r="E134" s="109"/>
      <c r="F134" s="45" t="s">
        <v>335</v>
      </c>
      <c r="G134" s="40">
        <f>G89</f>
        <v>3</v>
      </c>
      <c r="H134" s="40">
        <v>125</v>
      </c>
      <c r="I134" s="40">
        <f>G134*H134</f>
        <v>375</v>
      </c>
      <c r="J134" s="109"/>
      <c r="K134" s="40">
        <f>G89</f>
        <v>3</v>
      </c>
      <c r="L134" s="40">
        <f t="shared" ref="L134" si="185">K134*H134*$E$6</f>
        <v>401.25</v>
      </c>
      <c r="M134" s="109"/>
      <c r="N134" s="40">
        <f>G89</f>
        <v>3</v>
      </c>
      <c r="O134" s="40">
        <f t="shared" ref="O134" si="186">N134*H134*$E$6*$E$6</f>
        <v>429.33750000000003</v>
      </c>
      <c r="P134" s="109"/>
      <c r="Q134" s="40">
        <f>G89</f>
        <v>3</v>
      </c>
      <c r="R134" s="40">
        <f t="shared" ref="R134" si="187">Q134*H134*$E$6*$E$6*$E$6</f>
        <v>459.39112500000005</v>
      </c>
      <c r="S134" s="109"/>
      <c r="T134" s="40">
        <f>G89</f>
        <v>3</v>
      </c>
      <c r="U134" s="40">
        <f t="shared" ref="U134" si="188">T134*H134*$E$6*$E$6*$E$6*$E$6</f>
        <v>491.54850375000007</v>
      </c>
      <c r="V134" s="40">
        <f t="shared" ref="V134" si="189">SUM(R134,O134,L134,I134,U134)</f>
        <v>2156.5271287500004</v>
      </c>
      <c r="W134" s="40">
        <v>0</v>
      </c>
      <c r="X134" s="40">
        <f>V134+W134</f>
        <v>2156.5271287500004</v>
      </c>
    </row>
    <row r="135" spans="1:25" ht="12.9" thickBot="1">
      <c r="A135" s="533"/>
      <c r="B135" s="533"/>
      <c r="C135" s="533"/>
      <c r="D135" s="533" t="s">
        <v>336</v>
      </c>
      <c r="E135" s="537"/>
      <c r="F135" s="533"/>
      <c r="G135" s="533"/>
      <c r="H135" s="541"/>
      <c r="I135" s="542">
        <f>SUM(I128:I134)</f>
        <v>10825</v>
      </c>
      <c r="J135" s="537"/>
      <c r="K135" s="542"/>
      <c r="L135" s="542">
        <f>SUM(L128:L134)</f>
        <v>12397.25</v>
      </c>
      <c r="M135" s="537"/>
      <c r="N135" s="542"/>
      <c r="O135" s="542">
        <f>SUM(O128:O134)</f>
        <v>12635.057500000001</v>
      </c>
      <c r="P135" s="537"/>
      <c r="Q135" s="542"/>
      <c r="R135" s="542">
        <f>SUM(R128:R134)</f>
        <v>12889.511525000002</v>
      </c>
      <c r="S135" s="537"/>
      <c r="T135" s="542"/>
      <c r="U135" s="542">
        <f>SUM(U128:U134)</f>
        <v>11982.060922750003</v>
      </c>
      <c r="V135" s="542">
        <f>SUM(V128:V134)</f>
        <v>60728.879947750007</v>
      </c>
      <c r="W135" s="542">
        <f>SUM(W128:W134)</f>
        <v>0</v>
      </c>
      <c r="X135" s="542">
        <f>SUM(X128:X134)</f>
        <v>60728.879947750007</v>
      </c>
      <c r="Y135" s="549"/>
    </row>
    <row r="136" spans="1:25">
      <c r="A136" s="69"/>
      <c r="B136" s="69"/>
      <c r="C136" s="69"/>
      <c r="D136" s="69"/>
      <c r="E136" s="107"/>
      <c r="F136" s="69"/>
      <c r="G136" s="55"/>
      <c r="H136" s="55"/>
      <c r="I136" s="55"/>
      <c r="J136" s="107"/>
      <c r="K136" s="55"/>
      <c r="L136" s="55"/>
      <c r="M136" s="107"/>
      <c r="N136" s="55"/>
      <c r="O136" s="55"/>
      <c r="P136" s="107"/>
      <c r="Q136" s="55"/>
      <c r="R136" s="55"/>
      <c r="S136" s="107"/>
      <c r="T136" s="55"/>
      <c r="U136" s="55"/>
      <c r="V136" s="55"/>
      <c r="W136" s="55"/>
      <c r="X136" s="55"/>
    </row>
    <row r="137" spans="1:25">
      <c r="A137" s="86"/>
      <c r="B137" s="86"/>
      <c r="C137" s="86"/>
      <c r="D137" s="86" t="str">
        <f>'USDA Budget Summary'!A28</f>
        <v xml:space="preserve">Activity 1: Increase Use of Climate Smart Agriculture and Water Management  </v>
      </c>
      <c r="E137" s="113"/>
      <c r="F137" s="34"/>
      <c r="G137" s="34"/>
      <c r="H137" s="35"/>
      <c r="I137" s="87"/>
      <c r="J137" s="113"/>
      <c r="K137" s="87"/>
      <c r="L137" s="87"/>
      <c r="M137" s="113"/>
      <c r="N137" s="87"/>
      <c r="O137" s="87"/>
      <c r="P137" s="113"/>
      <c r="Q137" s="87"/>
      <c r="R137" s="87"/>
      <c r="S137" s="113"/>
      <c r="T137" s="87"/>
      <c r="U137" s="87"/>
      <c r="V137" s="87"/>
      <c r="W137" s="88"/>
      <c r="X137" s="87"/>
    </row>
    <row r="138" spans="1:25">
      <c r="A138" s="89"/>
      <c r="B138" s="89"/>
      <c r="C138" s="89"/>
      <c r="D138" s="89" t="s">
        <v>337</v>
      </c>
      <c r="E138" s="114"/>
      <c r="F138" s="90"/>
      <c r="G138" s="91"/>
      <c r="H138" s="91"/>
      <c r="I138" s="91"/>
      <c r="J138" s="114"/>
      <c r="K138" s="91"/>
      <c r="L138" s="91"/>
      <c r="M138" s="114"/>
      <c r="N138" s="91"/>
      <c r="O138" s="91"/>
      <c r="P138" s="114"/>
      <c r="Q138" s="91"/>
      <c r="R138" s="91"/>
      <c r="S138" s="114"/>
      <c r="T138" s="91"/>
      <c r="U138" s="91"/>
      <c r="V138" s="91"/>
      <c r="W138" s="91"/>
      <c r="X138" s="91"/>
    </row>
    <row r="139" spans="1:25">
      <c r="A139" s="37"/>
      <c r="B139" s="37"/>
      <c r="C139" s="37"/>
      <c r="D139" s="37" t="s">
        <v>338</v>
      </c>
      <c r="E139" s="115"/>
      <c r="F139" s="42"/>
      <c r="G139" s="43"/>
      <c r="H139" s="43"/>
      <c r="I139" s="43"/>
      <c r="J139" s="115"/>
      <c r="K139" s="43"/>
      <c r="L139" s="43"/>
      <c r="M139" s="115"/>
      <c r="N139" s="43"/>
      <c r="O139" s="43"/>
      <c r="P139" s="115"/>
      <c r="Q139" s="43"/>
      <c r="R139" s="43"/>
      <c r="S139" s="115"/>
      <c r="T139" s="43"/>
      <c r="U139" s="43"/>
      <c r="V139" s="43"/>
      <c r="W139" s="43"/>
      <c r="X139" s="43"/>
    </row>
    <row r="140" spans="1:25">
      <c r="A140" s="7" t="s">
        <v>339</v>
      </c>
      <c r="B140" s="7">
        <v>70000</v>
      </c>
      <c r="C140" s="7" t="s">
        <v>188</v>
      </c>
      <c r="D140" s="7" t="str">
        <f t="shared" ref="D140:D160" si="190">D12</f>
        <v>Key Personnel: Chief of Party - Ms. Rym Ayari</v>
      </c>
      <c r="E140" s="104">
        <f>'LOE Breakdown by Year'!E11</f>
        <v>0.25</v>
      </c>
      <c r="F140" s="46" t="s">
        <v>190</v>
      </c>
      <c r="G140" s="40">
        <f t="shared" ref="G140:H160" si="191">G12</f>
        <v>12</v>
      </c>
      <c r="H140" s="40">
        <f t="shared" si="191"/>
        <v>13000</v>
      </c>
      <c r="I140" s="40">
        <f t="shared" ref="I140" si="192">G140*H140*E140</f>
        <v>39000</v>
      </c>
      <c r="J140" s="104">
        <f>'LOE Breakdown by Year'!E41</f>
        <v>0.3</v>
      </c>
      <c r="K140" s="40">
        <f t="shared" ref="K140:K160" si="193">K12</f>
        <v>12</v>
      </c>
      <c r="L140" s="40">
        <f>K140*H140*$E$7*$J140</f>
        <v>49140</v>
      </c>
      <c r="M140" s="104">
        <f>'LOE Breakdown by Year'!E71</f>
        <v>0.3</v>
      </c>
      <c r="N140" s="40">
        <f t="shared" ref="N140:N160" si="194">N12</f>
        <v>12</v>
      </c>
      <c r="O140" s="40">
        <f t="shared" ref="O140" si="195">N140*H140*$M140*$E$7*$E$7</f>
        <v>51597</v>
      </c>
      <c r="P140" s="104">
        <f>'LOE Breakdown by Year'!E101</f>
        <v>0.3</v>
      </c>
      <c r="Q140" s="40">
        <f t="shared" ref="Q140:Q160" si="196">Q12</f>
        <v>12</v>
      </c>
      <c r="R140" s="40">
        <f t="shared" ref="R140" si="197">Q140*H140*$P140*$E$7*$E$7*$E$7</f>
        <v>54176.850000000006</v>
      </c>
      <c r="S140" s="104">
        <f>'LOE Breakdown by Year'!E131</f>
        <v>0.3</v>
      </c>
      <c r="T140" s="40">
        <f t="shared" ref="T140:T160" si="198">T12</f>
        <v>12</v>
      </c>
      <c r="U140" s="40">
        <f t="shared" ref="U140" si="199">T140*H140*$S140*$E$7*$E$7*$E$7*$E$7</f>
        <v>56885.692500000012</v>
      </c>
      <c r="V140" s="40">
        <f t="shared" ref="V140" si="200">SUM(R140,O140,L140,I140,U140)</f>
        <v>250799.54250000001</v>
      </c>
      <c r="W140" s="40">
        <v>0</v>
      </c>
      <c r="X140" s="40">
        <f t="shared" ref="X140" si="201">SUM(V140:W140)</f>
        <v>250799.54250000001</v>
      </c>
    </row>
    <row r="141" spans="1:25">
      <c r="A141" s="7" t="s">
        <v>339</v>
      </c>
      <c r="B141" s="7">
        <v>70000</v>
      </c>
      <c r="C141" s="7" t="s">
        <v>188</v>
      </c>
      <c r="D141" s="7" t="str">
        <f t="shared" si="190"/>
        <v>Key Personnel: Technical Director</v>
      </c>
      <c r="E141" s="104">
        <f>'LOE Breakdown by Year'!E12</f>
        <v>0.25</v>
      </c>
      <c r="F141" s="46" t="s">
        <v>190</v>
      </c>
      <c r="G141" s="40">
        <f t="shared" si="191"/>
        <v>9</v>
      </c>
      <c r="H141" s="40">
        <f t="shared" si="191"/>
        <v>3916.6666666666665</v>
      </c>
      <c r="I141" s="40">
        <f t="shared" ref="I141:I160" si="202">G141*H141*E141</f>
        <v>8812.5</v>
      </c>
      <c r="J141" s="104">
        <f>'LOE Breakdown by Year'!E42</f>
        <v>0.35</v>
      </c>
      <c r="K141" s="40">
        <f t="shared" si="193"/>
        <v>12</v>
      </c>
      <c r="L141" s="40">
        <f t="shared" ref="L141:L160" si="203">K141*H141*$E$7*$J141</f>
        <v>17272.5</v>
      </c>
      <c r="M141" s="104">
        <f>'LOE Breakdown by Year'!E72</f>
        <v>0.35</v>
      </c>
      <c r="N141" s="40">
        <f t="shared" si="194"/>
        <v>12</v>
      </c>
      <c r="O141" s="40">
        <f t="shared" ref="O141:O160" si="204">N141*H141*$M141*$E$7*$E$7</f>
        <v>18136.125</v>
      </c>
      <c r="P141" s="104">
        <f>'LOE Breakdown by Year'!E102</f>
        <v>0.35</v>
      </c>
      <c r="Q141" s="40">
        <f t="shared" si="196"/>
        <v>12</v>
      </c>
      <c r="R141" s="40">
        <f t="shared" ref="R141:R160" si="205">Q141*H141*$P141*$E$7*$E$7*$E$7</f>
        <v>19042.931250000001</v>
      </c>
      <c r="S141" s="104">
        <f>'LOE Breakdown by Year'!E132</f>
        <v>0.35</v>
      </c>
      <c r="T141" s="40">
        <f t="shared" si="198"/>
        <v>9</v>
      </c>
      <c r="U141" s="40">
        <f t="shared" ref="U141:U160" si="206">T141*H141*$S141*$E$7*$E$7*$E$7*$E$7</f>
        <v>14996.308359375002</v>
      </c>
      <c r="V141" s="40">
        <f t="shared" ref="V141:V160" si="207">SUM(R141,O141,L141,I141,U141)</f>
        <v>78260.364609374999</v>
      </c>
      <c r="W141" s="40">
        <v>0</v>
      </c>
      <c r="X141" s="40">
        <f t="shared" ref="X141:X160" si="208">SUM(V141:W141)</f>
        <v>78260.364609374999</v>
      </c>
    </row>
    <row r="142" spans="1:25">
      <c r="A142" s="7" t="s">
        <v>339</v>
      </c>
      <c r="B142" s="7">
        <v>70000</v>
      </c>
      <c r="C142" s="7" t="s">
        <v>188</v>
      </c>
      <c r="D142" s="7" t="str">
        <f t="shared" si="190"/>
        <v>Technical Lead Component 1</v>
      </c>
      <c r="E142" s="104">
        <f>'LOE Breakdown by Year'!E13</f>
        <v>0.8</v>
      </c>
      <c r="F142" s="46" t="s">
        <v>190</v>
      </c>
      <c r="G142" s="40">
        <f t="shared" si="191"/>
        <v>6</v>
      </c>
      <c r="H142" s="40">
        <f t="shared" si="191"/>
        <v>2500</v>
      </c>
      <c r="I142" s="40">
        <f t="shared" si="202"/>
        <v>12000</v>
      </c>
      <c r="J142" s="104">
        <f>'LOE Breakdown by Year'!E43</f>
        <v>1</v>
      </c>
      <c r="K142" s="40">
        <f t="shared" si="193"/>
        <v>12</v>
      </c>
      <c r="L142" s="40">
        <f t="shared" si="203"/>
        <v>31500</v>
      </c>
      <c r="M142" s="104">
        <f>'LOE Breakdown by Year'!E73</f>
        <v>1</v>
      </c>
      <c r="N142" s="40">
        <f t="shared" si="194"/>
        <v>12</v>
      </c>
      <c r="O142" s="40">
        <f t="shared" si="204"/>
        <v>33075</v>
      </c>
      <c r="P142" s="104">
        <f>'LOE Breakdown by Year'!E103</f>
        <v>1</v>
      </c>
      <c r="Q142" s="40">
        <f t="shared" si="196"/>
        <v>12</v>
      </c>
      <c r="R142" s="40">
        <f t="shared" si="205"/>
        <v>34728.75</v>
      </c>
      <c r="S142" s="104">
        <f>'LOE Breakdown by Year'!E133</f>
        <v>1</v>
      </c>
      <c r="T142" s="40">
        <f t="shared" si="198"/>
        <v>9</v>
      </c>
      <c r="U142" s="40">
        <f t="shared" si="206"/>
        <v>27348.890625</v>
      </c>
      <c r="V142" s="40">
        <f t="shared" si="207"/>
        <v>138652.640625</v>
      </c>
      <c r="W142" s="40">
        <v>0</v>
      </c>
      <c r="X142" s="40">
        <f t="shared" si="208"/>
        <v>138652.640625</v>
      </c>
    </row>
    <row r="143" spans="1:25">
      <c r="A143" s="7" t="s">
        <v>339</v>
      </c>
      <c r="B143" s="7">
        <v>70000</v>
      </c>
      <c r="C143" s="7" t="s">
        <v>188</v>
      </c>
      <c r="D143" s="7" t="str">
        <f t="shared" si="190"/>
        <v>Technical Lead Component 2</v>
      </c>
      <c r="E143" s="104">
        <f>'LOE Breakdown by Year'!E14</f>
        <v>0</v>
      </c>
      <c r="F143" s="46" t="s">
        <v>190</v>
      </c>
      <c r="G143" s="40">
        <f t="shared" si="191"/>
        <v>6</v>
      </c>
      <c r="H143" s="40">
        <f t="shared" si="191"/>
        <v>2500</v>
      </c>
      <c r="I143" s="40">
        <f t="shared" si="202"/>
        <v>0</v>
      </c>
      <c r="J143" s="104">
        <f>'LOE Breakdown by Year'!E44</f>
        <v>0</v>
      </c>
      <c r="K143" s="40">
        <f t="shared" si="193"/>
        <v>12</v>
      </c>
      <c r="L143" s="40">
        <f t="shared" si="203"/>
        <v>0</v>
      </c>
      <c r="M143" s="104">
        <f>'LOE Breakdown by Year'!E74</f>
        <v>0</v>
      </c>
      <c r="N143" s="40">
        <f t="shared" si="194"/>
        <v>12</v>
      </c>
      <c r="O143" s="40">
        <f t="shared" si="204"/>
        <v>0</v>
      </c>
      <c r="P143" s="104">
        <f>'LOE Breakdown by Year'!E104</f>
        <v>0</v>
      </c>
      <c r="Q143" s="40">
        <f t="shared" si="196"/>
        <v>12</v>
      </c>
      <c r="R143" s="40">
        <f t="shared" si="205"/>
        <v>0</v>
      </c>
      <c r="S143" s="104">
        <f>'LOE Breakdown by Year'!E134</f>
        <v>0</v>
      </c>
      <c r="T143" s="40">
        <f t="shared" si="198"/>
        <v>9</v>
      </c>
      <c r="U143" s="40">
        <f t="shared" si="206"/>
        <v>0</v>
      </c>
      <c r="V143" s="40">
        <f t="shared" si="207"/>
        <v>0</v>
      </c>
      <c r="W143" s="40">
        <v>0</v>
      </c>
      <c r="X143" s="40">
        <f t="shared" si="208"/>
        <v>0</v>
      </c>
    </row>
    <row r="144" spans="1:25">
      <c r="A144" s="7" t="s">
        <v>339</v>
      </c>
      <c r="B144" s="7">
        <v>70000</v>
      </c>
      <c r="C144" s="7" t="s">
        <v>188</v>
      </c>
      <c r="D144" s="7" t="str">
        <f t="shared" si="190"/>
        <v>Technical Lead Component 3</v>
      </c>
      <c r="E144" s="104">
        <f>'LOE Breakdown by Year'!E15</f>
        <v>0</v>
      </c>
      <c r="F144" s="46" t="s">
        <v>190</v>
      </c>
      <c r="G144" s="40">
        <f t="shared" si="191"/>
        <v>6</v>
      </c>
      <c r="H144" s="40">
        <f t="shared" si="191"/>
        <v>2500</v>
      </c>
      <c r="I144" s="40">
        <f t="shared" si="202"/>
        <v>0</v>
      </c>
      <c r="J144" s="104">
        <f>'LOE Breakdown by Year'!E45</f>
        <v>0</v>
      </c>
      <c r="K144" s="40">
        <f t="shared" si="193"/>
        <v>12</v>
      </c>
      <c r="L144" s="40">
        <f t="shared" si="203"/>
        <v>0</v>
      </c>
      <c r="M144" s="104">
        <f>'LOE Breakdown by Year'!E75</f>
        <v>0</v>
      </c>
      <c r="N144" s="40">
        <f t="shared" si="194"/>
        <v>12</v>
      </c>
      <c r="O144" s="40">
        <f t="shared" si="204"/>
        <v>0</v>
      </c>
      <c r="P144" s="104">
        <f>'LOE Breakdown by Year'!E105</f>
        <v>0</v>
      </c>
      <c r="Q144" s="40">
        <f t="shared" si="196"/>
        <v>12</v>
      </c>
      <c r="R144" s="40">
        <f t="shared" si="205"/>
        <v>0</v>
      </c>
      <c r="S144" s="104">
        <f>'LOE Breakdown by Year'!E135</f>
        <v>0</v>
      </c>
      <c r="T144" s="40">
        <f t="shared" si="198"/>
        <v>9</v>
      </c>
      <c r="U144" s="40">
        <f t="shared" si="206"/>
        <v>0</v>
      </c>
      <c r="V144" s="40">
        <f t="shared" si="207"/>
        <v>0</v>
      </c>
      <c r="W144" s="40">
        <v>0</v>
      </c>
      <c r="X144" s="40">
        <f t="shared" si="208"/>
        <v>0</v>
      </c>
    </row>
    <row r="145" spans="1:24">
      <c r="A145" s="7" t="s">
        <v>339</v>
      </c>
      <c r="B145" s="7">
        <v>70000</v>
      </c>
      <c r="C145" s="7" t="s">
        <v>188</v>
      </c>
      <c r="D145" s="7" t="str">
        <f t="shared" si="190"/>
        <v>Technical Specialist Component 1</v>
      </c>
      <c r="E145" s="104">
        <f>'LOE Breakdown by Year'!E16</f>
        <v>0.8</v>
      </c>
      <c r="F145" s="46" t="s">
        <v>190</v>
      </c>
      <c r="G145" s="40">
        <f t="shared" si="191"/>
        <v>6</v>
      </c>
      <c r="H145" s="40">
        <f t="shared" si="191"/>
        <v>1833.3333333333333</v>
      </c>
      <c r="I145" s="40">
        <f t="shared" si="202"/>
        <v>8800</v>
      </c>
      <c r="J145" s="104">
        <f>'LOE Breakdown by Year'!E46</f>
        <v>1</v>
      </c>
      <c r="K145" s="40">
        <f t="shared" si="193"/>
        <v>12</v>
      </c>
      <c r="L145" s="40">
        <f t="shared" si="203"/>
        <v>23100</v>
      </c>
      <c r="M145" s="104">
        <f>'LOE Breakdown by Year'!E76</f>
        <v>1</v>
      </c>
      <c r="N145" s="40">
        <f t="shared" si="194"/>
        <v>12</v>
      </c>
      <c r="O145" s="40">
        <f t="shared" si="204"/>
        <v>24255</v>
      </c>
      <c r="P145" s="104">
        <f>'LOE Breakdown by Year'!E106</f>
        <v>1</v>
      </c>
      <c r="Q145" s="40">
        <f t="shared" si="196"/>
        <v>12</v>
      </c>
      <c r="R145" s="40">
        <f t="shared" si="205"/>
        <v>25467.75</v>
      </c>
      <c r="S145" s="104">
        <f>'LOE Breakdown by Year'!E136</f>
        <v>1</v>
      </c>
      <c r="T145" s="40">
        <f t="shared" si="198"/>
        <v>6</v>
      </c>
      <c r="U145" s="40">
        <f t="shared" si="206"/>
        <v>13370.56875</v>
      </c>
      <c r="V145" s="40">
        <f t="shared" si="207"/>
        <v>94993.318750000006</v>
      </c>
      <c r="W145" s="40">
        <v>0</v>
      </c>
      <c r="X145" s="40">
        <f t="shared" si="208"/>
        <v>94993.318750000006</v>
      </c>
    </row>
    <row r="146" spans="1:24">
      <c r="A146" s="7" t="s">
        <v>339</v>
      </c>
      <c r="B146" s="7">
        <v>70000</v>
      </c>
      <c r="C146" s="7" t="s">
        <v>188</v>
      </c>
      <c r="D146" s="7" t="str">
        <f t="shared" si="190"/>
        <v>Technical Specialist Component 2</v>
      </c>
      <c r="E146" s="104">
        <f>'LOE Breakdown by Year'!E17</f>
        <v>0</v>
      </c>
      <c r="F146" s="46" t="s">
        <v>190</v>
      </c>
      <c r="G146" s="40">
        <f t="shared" si="191"/>
        <v>6</v>
      </c>
      <c r="H146" s="40">
        <f t="shared" si="191"/>
        <v>1833.3333333333333</v>
      </c>
      <c r="I146" s="40">
        <f t="shared" si="202"/>
        <v>0</v>
      </c>
      <c r="J146" s="104">
        <f>'LOE Breakdown by Year'!E47</f>
        <v>0</v>
      </c>
      <c r="K146" s="40">
        <f t="shared" si="193"/>
        <v>12</v>
      </c>
      <c r="L146" s="40">
        <f t="shared" si="203"/>
        <v>0</v>
      </c>
      <c r="M146" s="104">
        <f>'LOE Breakdown by Year'!E77</f>
        <v>0</v>
      </c>
      <c r="N146" s="40">
        <f t="shared" si="194"/>
        <v>12</v>
      </c>
      <c r="O146" s="40">
        <f t="shared" si="204"/>
        <v>0</v>
      </c>
      <c r="P146" s="104">
        <f>'LOE Breakdown by Year'!E107</f>
        <v>0</v>
      </c>
      <c r="Q146" s="40">
        <f t="shared" si="196"/>
        <v>12</v>
      </c>
      <c r="R146" s="40">
        <f t="shared" si="205"/>
        <v>0</v>
      </c>
      <c r="S146" s="104">
        <f>'LOE Breakdown by Year'!E137</f>
        <v>0</v>
      </c>
      <c r="T146" s="40">
        <f t="shared" si="198"/>
        <v>6</v>
      </c>
      <c r="U146" s="40">
        <f t="shared" si="206"/>
        <v>0</v>
      </c>
      <c r="V146" s="40">
        <f t="shared" si="207"/>
        <v>0</v>
      </c>
      <c r="W146" s="40">
        <v>0</v>
      </c>
      <c r="X146" s="40">
        <f t="shared" si="208"/>
        <v>0</v>
      </c>
    </row>
    <row r="147" spans="1:24">
      <c r="A147" s="7" t="s">
        <v>339</v>
      </c>
      <c r="B147" s="7">
        <v>70000</v>
      </c>
      <c r="C147" s="7" t="s">
        <v>188</v>
      </c>
      <c r="D147" s="7" t="str">
        <f t="shared" si="190"/>
        <v>Technical Specialist Component 3</v>
      </c>
      <c r="E147" s="104">
        <f>'LOE Breakdown by Year'!E18</f>
        <v>0</v>
      </c>
      <c r="F147" s="46" t="s">
        <v>190</v>
      </c>
      <c r="G147" s="40">
        <f t="shared" si="191"/>
        <v>6</v>
      </c>
      <c r="H147" s="40">
        <f t="shared" si="191"/>
        <v>1833.3333333333333</v>
      </c>
      <c r="I147" s="40">
        <f t="shared" si="202"/>
        <v>0</v>
      </c>
      <c r="J147" s="104">
        <f>'LOE Breakdown by Year'!E48</f>
        <v>0</v>
      </c>
      <c r="K147" s="40">
        <f t="shared" si="193"/>
        <v>12</v>
      </c>
      <c r="L147" s="40">
        <f t="shared" si="203"/>
        <v>0</v>
      </c>
      <c r="M147" s="104">
        <f>'LOE Breakdown by Year'!E78</f>
        <v>0</v>
      </c>
      <c r="N147" s="40">
        <f t="shared" si="194"/>
        <v>12</v>
      </c>
      <c r="O147" s="40">
        <f t="shared" si="204"/>
        <v>0</v>
      </c>
      <c r="P147" s="104">
        <f>'LOE Breakdown by Year'!E108</f>
        <v>0</v>
      </c>
      <c r="Q147" s="40">
        <f t="shared" si="196"/>
        <v>12</v>
      </c>
      <c r="R147" s="40">
        <f t="shared" si="205"/>
        <v>0</v>
      </c>
      <c r="S147" s="104">
        <f>'LOE Breakdown by Year'!E138</f>
        <v>0</v>
      </c>
      <c r="T147" s="40">
        <f t="shared" si="198"/>
        <v>6</v>
      </c>
      <c r="U147" s="40">
        <f t="shared" si="206"/>
        <v>0</v>
      </c>
      <c r="V147" s="40">
        <f t="shared" si="207"/>
        <v>0</v>
      </c>
      <c r="W147" s="40">
        <v>0</v>
      </c>
      <c r="X147" s="40">
        <f t="shared" si="208"/>
        <v>0</v>
      </c>
    </row>
    <row r="148" spans="1:24">
      <c r="A148" s="7" t="s">
        <v>339</v>
      </c>
      <c r="B148" s="7">
        <v>70000</v>
      </c>
      <c r="C148" s="7" t="s">
        <v>188</v>
      </c>
      <c r="D148" s="7" t="str">
        <f t="shared" si="190"/>
        <v>Capacity Building Specialist (2)</v>
      </c>
      <c r="E148" s="104">
        <f>'LOE Breakdown by Year'!E19</f>
        <v>0</v>
      </c>
      <c r="F148" s="46" t="s">
        <v>190</v>
      </c>
      <c r="G148" s="40">
        <f t="shared" si="191"/>
        <v>4</v>
      </c>
      <c r="H148" s="40">
        <f t="shared" si="191"/>
        <v>3333.3333333333335</v>
      </c>
      <c r="I148" s="40">
        <f t="shared" ref="I148" si="209">G148*H148*E148</f>
        <v>0</v>
      </c>
      <c r="J148" s="104">
        <f>'LOE Breakdown by Year'!E49</f>
        <v>0</v>
      </c>
      <c r="K148" s="40">
        <f t="shared" si="193"/>
        <v>12</v>
      </c>
      <c r="L148" s="40">
        <f t="shared" ref="L148" si="210">K148*H148*$E$7*$J148</f>
        <v>0</v>
      </c>
      <c r="M148" s="104">
        <f>'LOE Breakdown by Year'!E79</f>
        <v>0</v>
      </c>
      <c r="N148" s="40">
        <f t="shared" si="194"/>
        <v>12</v>
      </c>
      <c r="O148" s="40">
        <f t="shared" ref="O148" si="211">N148*H148*$M148*$E$7*$E$7</f>
        <v>0</v>
      </c>
      <c r="P148" s="104">
        <f>'LOE Breakdown by Year'!E109</f>
        <v>0</v>
      </c>
      <c r="Q148" s="40">
        <f t="shared" si="196"/>
        <v>12</v>
      </c>
      <c r="R148" s="40">
        <f t="shared" ref="R148" si="212">Q148*H148*$P148*$E$7*$E$7*$E$7</f>
        <v>0</v>
      </c>
      <c r="S148" s="104">
        <f>'LOE Breakdown by Year'!E139</f>
        <v>0</v>
      </c>
      <c r="T148" s="40">
        <f t="shared" si="198"/>
        <v>5</v>
      </c>
      <c r="U148" s="40">
        <f t="shared" ref="U148" si="213">T148*H148*$S148*$E$7*$E$7*$E$7*$E$7</f>
        <v>0</v>
      </c>
      <c r="V148" s="40">
        <f t="shared" ref="V148" si="214">SUM(R148,O148,L148,I148,U148)</f>
        <v>0</v>
      </c>
      <c r="W148" s="40">
        <v>0</v>
      </c>
      <c r="X148" s="40">
        <f t="shared" ref="X148" si="215">SUM(V148:W148)</f>
        <v>0</v>
      </c>
    </row>
    <row r="149" spans="1:24">
      <c r="A149" s="7" t="s">
        <v>339</v>
      </c>
      <c r="B149" s="7">
        <v>70000</v>
      </c>
      <c r="C149" s="7" t="s">
        <v>188</v>
      </c>
      <c r="D149" s="7" t="str">
        <f t="shared" si="190"/>
        <v>Sociocultural and Gender Specialist</v>
      </c>
      <c r="E149" s="104">
        <f>'LOE Breakdown by Year'!E20</f>
        <v>0.25</v>
      </c>
      <c r="F149" s="46" t="s">
        <v>190</v>
      </c>
      <c r="G149" s="40">
        <f t="shared" si="191"/>
        <v>7</v>
      </c>
      <c r="H149" s="40">
        <f t="shared" si="191"/>
        <v>1833.3333333333333</v>
      </c>
      <c r="I149" s="40">
        <f t="shared" si="202"/>
        <v>3208.333333333333</v>
      </c>
      <c r="J149" s="104">
        <f>'LOE Breakdown by Year'!E50</f>
        <v>0.35</v>
      </c>
      <c r="K149" s="40">
        <f t="shared" si="193"/>
        <v>12</v>
      </c>
      <c r="L149" s="40">
        <f t="shared" si="203"/>
        <v>8084.9999999999991</v>
      </c>
      <c r="M149" s="104">
        <f>'LOE Breakdown by Year'!E80</f>
        <v>0.3</v>
      </c>
      <c r="N149" s="40">
        <f t="shared" si="194"/>
        <v>12</v>
      </c>
      <c r="O149" s="40">
        <f t="shared" si="204"/>
        <v>7276.5</v>
      </c>
      <c r="P149" s="104">
        <f>'LOE Breakdown by Year'!E110</f>
        <v>0.3</v>
      </c>
      <c r="Q149" s="40">
        <f t="shared" si="196"/>
        <v>12</v>
      </c>
      <c r="R149" s="40">
        <f t="shared" si="205"/>
        <v>7640.3250000000007</v>
      </c>
      <c r="S149" s="104">
        <f>'LOE Breakdown by Year'!E140</f>
        <v>0.3</v>
      </c>
      <c r="T149" s="40">
        <f t="shared" si="198"/>
        <v>9</v>
      </c>
      <c r="U149" s="40">
        <f t="shared" si="206"/>
        <v>6016.755937500001</v>
      </c>
      <c r="V149" s="40">
        <f t="shared" si="207"/>
        <v>32226.914270833335</v>
      </c>
      <c r="W149" s="40">
        <v>0</v>
      </c>
      <c r="X149" s="40">
        <f t="shared" si="208"/>
        <v>32226.914270833335</v>
      </c>
    </row>
    <row r="150" spans="1:24">
      <c r="A150" s="7" t="s">
        <v>339</v>
      </c>
      <c r="B150" s="7">
        <v>70000</v>
      </c>
      <c r="C150" s="7" t="s">
        <v>188</v>
      </c>
      <c r="D150" s="7" t="str">
        <f t="shared" si="190"/>
        <v>Sociocultural and Gender Officers (3)</v>
      </c>
      <c r="E150" s="104">
        <f>'LOE Breakdown by Year'!E21</f>
        <v>0.25</v>
      </c>
      <c r="F150" s="46" t="s">
        <v>190</v>
      </c>
      <c r="G150" s="40">
        <f t="shared" si="191"/>
        <v>7</v>
      </c>
      <c r="H150" s="40">
        <f t="shared" si="191"/>
        <v>3750</v>
      </c>
      <c r="I150" s="40">
        <f t="shared" si="202"/>
        <v>6562.5</v>
      </c>
      <c r="J150" s="104">
        <f>'LOE Breakdown by Year'!E51</f>
        <v>0.35</v>
      </c>
      <c r="K150" s="40">
        <f t="shared" si="193"/>
        <v>12</v>
      </c>
      <c r="L150" s="40">
        <f t="shared" si="203"/>
        <v>16537.5</v>
      </c>
      <c r="M150" s="104">
        <f>'LOE Breakdown by Year'!E81</f>
        <v>0.3</v>
      </c>
      <c r="N150" s="40">
        <f t="shared" si="194"/>
        <v>12</v>
      </c>
      <c r="O150" s="40">
        <f t="shared" si="204"/>
        <v>14883.75</v>
      </c>
      <c r="P150" s="104">
        <f>'LOE Breakdown by Year'!E111</f>
        <v>0.3</v>
      </c>
      <c r="Q150" s="40">
        <f t="shared" si="196"/>
        <v>12</v>
      </c>
      <c r="R150" s="40">
        <f t="shared" si="205"/>
        <v>15627.9375</v>
      </c>
      <c r="S150" s="104">
        <f>'LOE Breakdown by Year'!E141</f>
        <v>0.3</v>
      </c>
      <c r="T150" s="40">
        <f t="shared" si="198"/>
        <v>9</v>
      </c>
      <c r="U150" s="40">
        <f t="shared" si="206"/>
        <v>12307.000781250001</v>
      </c>
      <c r="V150" s="40">
        <f t="shared" si="207"/>
        <v>65918.688281249997</v>
      </c>
      <c r="W150" s="40">
        <v>0</v>
      </c>
      <c r="X150" s="40">
        <f t="shared" si="208"/>
        <v>65918.688281249997</v>
      </c>
    </row>
    <row r="151" spans="1:24">
      <c r="A151" s="7" t="s">
        <v>339</v>
      </c>
      <c r="B151" s="7">
        <v>70000</v>
      </c>
      <c r="C151" s="7" t="s">
        <v>188</v>
      </c>
      <c r="D151" s="7" t="str">
        <f t="shared" si="190"/>
        <v>Communications Specialists</v>
      </c>
      <c r="E151" s="104">
        <f>'LOE Breakdown by Year'!E22</f>
        <v>0.25</v>
      </c>
      <c r="F151" s="46" t="s">
        <v>190</v>
      </c>
      <c r="G151" s="40">
        <f t="shared" si="191"/>
        <v>7</v>
      </c>
      <c r="H151" s="40">
        <f t="shared" si="191"/>
        <v>1500</v>
      </c>
      <c r="I151" s="40">
        <f t="shared" si="202"/>
        <v>2625</v>
      </c>
      <c r="J151" s="104">
        <f>'LOE Breakdown by Year'!E52</f>
        <v>0.3</v>
      </c>
      <c r="K151" s="40">
        <f t="shared" si="193"/>
        <v>12</v>
      </c>
      <c r="L151" s="40">
        <f t="shared" si="203"/>
        <v>5670</v>
      </c>
      <c r="M151" s="104">
        <f>'LOE Breakdown by Year'!E82</f>
        <v>0.3</v>
      </c>
      <c r="N151" s="40">
        <f t="shared" si="194"/>
        <v>12</v>
      </c>
      <c r="O151" s="40">
        <f t="shared" si="204"/>
        <v>5953.5</v>
      </c>
      <c r="P151" s="104">
        <f>'LOE Breakdown by Year'!E112</f>
        <v>0.3</v>
      </c>
      <c r="Q151" s="40">
        <f t="shared" si="196"/>
        <v>12</v>
      </c>
      <c r="R151" s="40">
        <f t="shared" si="205"/>
        <v>6251.1750000000002</v>
      </c>
      <c r="S151" s="104">
        <f>'LOE Breakdown by Year'!E142</f>
        <v>0.3</v>
      </c>
      <c r="T151" s="40">
        <f t="shared" si="198"/>
        <v>10</v>
      </c>
      <c r="U151" s="40">
        <f t="shared" si="206"/>
        <v>5469.7781249999998</v>
      </c>
      <c r="V151" s="40">
        <f t="shared" si="207"/>
        <v>25969.453125</v>
      </c>
      <c r="W151" s="40">
        <v>0</v>
      </c>
      <c r="X151" s="40">
        <f t="shared" si="208"/>
        <v>25969.453125</v>
      </c>
    </row>
    <row r="152" spans="1:24">
      <c r="A152" s="7" t="s">
        <v>339</v>
      </c>
      <c r="B152" s="7">
        <v>70000</v>
      </c>
      <c r="C152" s="7" t="s">
        <v>188</v>
      </c>
      <c r="D152" s="7" t="str">
        <f t="shared" si="190"/>
        <v xml:space="preserve">M&amp;E Director </v>
      </c>
      <c r="E152" s="104">
        <f>'LOE Breakdown by Year'!E23</f>
        <v>0.25</v>
      </c>
      <c r="F152" s="46" t="s">
        <v>190</v>
      </c>
      <c r="G152" s="40">
        <f t="shared" si="191"/>
        <v>9</v>
      </c>
      <c r="H152" s="40">
        <f t="shared" si="191"/>
        <v>3916.6666666666665</v>
      </c>
      <c r="I152" s="40">
        <f t="shared" si="202"/>
        <v>8812.5</v>
      </c>
      <c r="J152" s="104">
        <f>'LOE Breakdown by Year'!E53</f>
        <v>0.3</v>
      </c>
      <c r="K152" s="40">
        <f t="shared" si="193"/>
        <v>12</v>
      </c>
      <c r="L152" s="40">
        <f t="shared" si="203"/>
        <v>14805</v>
      </c>
      <c r="M152" s="104">
        <f>'LOE Breakdown by Year'!E83</f>
        <v>0.3</v>
      </c>
      <c r="N152" s="40">
        <f t="shared" si="194"/>
        <v>12</v>
      </c>
      <c r="O152" s="40">
        <f t="shared" si="204"/>
        <v>15545.25</v>
      </c>
      <c r="P152" s="104">
        <f>'LOE Breakdown by Year'!E113</f>
        <v>0.3</v>
      </c>
      <c r="Q152" s="40">
        <f t="shared" si="196"/>
        <v>12</v>
      </c>
      <c r="R152" s="40">
        <f t="shared" si="205"/>
        <v>16322.512500000001</v>
      </c>
      <c r="S152" s="104">
        <f>'LOE Breakdown by Year'!E143</f>
        <v>0.3</v>
      </c>
      <c r="T152" s="40">
        <f t="shared" si="198"/>
        <v>12</v>
      </c>
      <c r="U152" s="40">
        <f t="shared" si="206"/>
        <v>17138.638125000001</v>
      </c>
      <c r="V152" s="40">
        <f t="shared" si="207"/>
        <v>72623.900624999995</v>
      </c>
      <c r="W152" s="40">
        <v>0</v>
      </c>
      <c r="X152" s="40">
        <f t="shared" si="208"/>
        <v>72623.900624999995</v>
      </c>
    </row>
    <row r="153" spans="1:24">
      <c r="A153" s="7" t="s">
        <v>339</v>
      </c>
      <c r="B153" s="7">
        <v>70000</v>
      </c>
      <c r="C153" s="7" t="s">
        <v>188</v>
      </c>
      <c r="D153" s="7" t="str">
        <f t="shared" si="190"/>
        <v>M&amp;E Specialist</v>
      </c>
      <c r="E153" s="104">
        <f>'LOE Breakdown by Year'!E24</f>
        <v>0.25</v>
      </c>
      <c r="F153" s="46" t="s">
        <v>190</v>
      </c>
      <c r="G153" s="40">
        <f t="shared" si="191"/>
        <v>8</v>
      </c>
      <c r="H153" s="40">
        <f t="shared" si="191"/>
        <v>1833.3333333333333</v>
      </c>
      <c r="I153" s="40">
        <f t="shared" si="202"/>
        <v>3666.6666666666665</v>
      </c>
      <c r="J153" s="104">
        <f>'LOE Breakdown by Year'!E54</f>
        <v>0.3</v>
      </c>
      <c r="K153" s="40">
        <f t="shared" si="193"/>
        <v>12</v>
      </c>
      <c r="L153" s="40">
        <f t="shared" si="203"/>
        <v>6930</v>
      </c>
      <c r="M153" s="104">
        <f>'LOE Breakdown by Year'!E84</f>
        <v>0.3</v>
      </c>
      <c r="N153" s="40">
        <f t="shared" si="194"/>
        <v>12</v>
      </c>
      <c r="O153" s="40">
        <f t="shared" si="204"/>
        <v>7276.5</v>
      </c>
      <c r="P153" s="104">
        <f>'LOE Breakdown by Year'!E114</f>
        <v>0.3</v>
      </c>
      <c r="Q153" s="40">
        <f t="shared" si="196"/>
        <v>12</v>
      </c>
      <c r="R153" s="40">
        <f t="shared" si="205"/>
        <v>7640.3250000000007</v>
      </c>
      <c r="S153" s="104">
        <f>'LOE Breakdown by Year'!E144</f>
        <v>0.3</v>
      </c>
      <c r="T153" s="40">
        <f t="shared" si="198"/>
        <v>10</v>
      </c>
      <c r="U153" s="40">
        <f t="shared" si="206"/>
        <v>6685.2843749999993</v>
      </c>
      <c r="V153" s="40">
        <f t="shared" si="207"/>
        <v>32198.776041666668</v>
      </c>
      <c r="W153" s="40">
        <v>0</v>
      </c>
      <c r="X153" s="40">
        <f t="shared" si="208"/>
        <v>32198.776041666668</v>
      </c>
    </row>
    <row r="154" spans="1:24">
      <c r="A154" s="7" t="s">
        <v>339</v>
      </c>
      <c r="B154" s="7">
        <v>70000</v>
      </c>
      <c r="C154" s="7" t="s">
        <v>188</v>
      </c>
      <c r="D154" s="7" t="str">
        <f t="shared" si="190"/>
        <v xml:space="preserve">Key Personnel: Finance Director </v>
      </c>
      <c r="E154" s="104">
        <f>'LOE Breakdown by Year'!E25</f>
        <v>0.25</v>
      </c>
      <c r="F154" s="46" t="s">
        <v>190</v>
      </c>
      <c r="G154" s="40">
        <f t="shared" si="191"/>
        <v>11</v>
      </c>
      <c r="H154" s="40">
        <f t="shared" si="191"/>
        <v>3916.6666666666665</v>
      </c>
      <c r="I154" s="40">
        <f t="shared" si="202"/>
        <v>10770.833333333332</v>
      </c>
      <c r="J154" s="104">
        <f>'LOE Breakdown by Year'!E55</f>
        <v>0.25</v>
      </c>
      <c r="K154" s="40">
        <f t="shared" si="193"/>
        <v>12</v>
      </c>
      <c r="L154" s="40">
        <f t="shared" si="203"/>
        <v>12337.5</v>
      </c>
      <c r="M154" s="104">
        <f>'LOE Breakdown by Year'!E85</f>
        <v>0.25</v>
      </c>
      <c r="N154" s="40">
        <f t="shared" si="194"/>
        <v>12</v>
      </c>
      <c r="O154" s="40">
        <f t="shared" si="204"/>
        <v>12954.375</v>
      </c>
      <c r="P154" s="104">
        <f>'LOE Breakdown by Year'!E115</f>
        <v>0.25</v>
      </c>
      <c r="Q154" s="40">
        <f t="shared" si="196"/>
        <v>12</v>
      </c>
      <c r="R154" s="40">
        <f t="shared" si="205"/>
        <v>13602.09375</v>
      </c>
      <c r="S154" s="104">
        <f>'LOE Breakdown by Year'!E145</f>
        <v>0.25</v>
      </c>
      <c r="T154" s="40">
        <f t="shared" si="198"/>
        <v>12</v>
      </c>
      <c r="U154" s="40">
        <f t="shared" si="206"/>
        <v>14282.198437500001</v>
      </c>
      <c r="V154" s="40">
        <f t="shared" si="207"/>
        <v>63947.000520833331</v>
      </c>
      <c r="W154" s="40">
        <v>0</v>
      </c>
      <c r="X154" s="40">
        <f t="shared" si="208"/>
        <v>63947.000520833331</v>
      </c>
    </row>
    <row r="155" spans="1:24">
      <c r="A155" s="7" t="s">
        <v>339</v>
      </c>
      <c r="B155" s="7">
        <v>70000</v>
      </c>
      <c r="C155" s="7" t="s">
        <v>188</v>
      </c>
      <c r="D155" s="7" t="str">
        <f t="shared" si="190"/>
        <v>Contracts &amp; Compliance Specialist</v>
      </c>
      <c r="E155" s="104">
        <f>'LOE Breakdown by Year'!E26</f>
        <v>0.25</v>
      </c>
      <c r="F155" s="46" t="s">
        <v>190</v>
      </c>
      <c r="G155" s="40">
        <f t="shared" si="191"/>
        <v>9</v>
      </c>
      <c r="H155" s="40">
        <f t="shared" si="191"/>
        <v>1833.3333333333333</v>
      </c>
      <c r="I155" s="40">
        <f t="shared" si="202"/>
        <v>4125</v>
      </c>
      <c r="J155" s="104">
        <f>'LOE Breakdown by Year'!E56</f>
        <v>0.25</v>
      </c>
      <c r="K155" s="40">
        <f t="shared" si="193"/>
        <v>12</v>
      </c>
      <c r="L155" s="40">
        <f t="shared" si="203"/>
        <v>5775</v>
      </c>
      <c r="M155" s="104">
        <f>'LOE Breakdown by Year'!E86</f>
        <v>0.25</v>
      </c>
      <c r="N155" s="40">
        <f t="shared" si="194"/>
        <v>12</v>
      </c>
      <c r="O155" s="40">
        <f t="shared" si="204"/>
        <v>6063.75</v>
      </c>
      <c r="P155" s="104">
        <f>'LOE Breakdown by Year'!E116</f>
        <v>0.25</v>
      </c>
      <c r="Q155" s="40">
        <f t="shared" si="196"/>
        <v>12</v>
      </c>
      <c r="R155" s="40">
        <f t="shared" si="205"/>
        <v>6366.9375</v>
      </c>
      <c r="S155" s="104">
        <f>'LOE Breakdown by Year'!E146</f>
        <v>0.25</v>
      </c>
      <c r="T155" s="40">
        <f t="shared" si="198"/>
        <v>12</v>
      </c>
      <c r="U155" s="40">
        <f t="shared" si="206"/>
        <v>6685.2843750000002</v>
      </c>
      <c r="V155" s="40">
        <f t="shared" si="207"/>
        <v>29015.971874999999</v>
      </c>
      <c r="W155" s="40">
        <v>0</v>
      </c>
      <c r="X155" s="40">
        <f t="shared" si="208"/>
        <v>29015.971874999999</v>
      </c>
    </row>
    <row r="156" spans="1:24">
      <c r="A156" s="7" t="s">
        <v>339</v>
      </c>
      <c r="B156" s="7">
        <v>70000</v>
      </c>
      <c r="C156" s="7" t="s">
        <v>188</v>
      </c>
      <c r="D156" s="7" t="str">
        <f t="shared" si="190"/>
        <v>Grants &amp; Procurement Officer (2)</v>
      </c>
      <c r="E156" s="104">
        <f>'LOE Breakdown by Year'!E27</f>
        <v>0.25</v>
      </c>
      <c r="F156" s="46" t="s">
        <v>190</v>
      </c>
      <c r="G156" s="40">
        <f t="shared" si="191"/>
        <v>9</v>
      </c>
      <c r="H156" s="40">
        <f t="shared" si="191"/>
        <v>2500</v>
      </c>
      <c r="I156" s="40">
        <f t="shared" si="202"/>
        <v>5625</v>
      </c>
      <c r="J156" s="104">
        <f>'LOE Breakdown by Year'!E57</f>
        <v>0.25</v>
      </c>
      <c r="K156" s="40">
        <f t="shared" si="193"/>
        <v>12</v>
      </c>
      <c r="L156" s="40">
        <f t="shared" si="203"/>
        <v>7875</v>
      </c>
      <c r="M156" s="104">
        <f>'LOE Breakdown by Year'!E87</f>
        <v>0.25</v>
      </c>
      <c r="N156" s="40">
        <f t="shared" si="194"/>
        <v>12</v>
      </c>
      <c r="O156" s="40">
        <f t="shared" si="204"/>
        <v>8268.75</v>
      </c>
      <c r="P156" s="104">
        <f>'LOE Breakdown by Year'!E117</f>
        <v>0.25</v>
      </c>
      <c r="Q156" s="40">
        <f t="shared" si="196"/>
        <v>12</v>
      </c>
      <c r="R156" s="40">
        <f t="shared" si="205"/>
        <v>8682.1875</v>
      </c>
      <c r="S156" s="104">
        <f>'LOE Breakdown by Year'!E147</f>
        <v>0.25</v>
      </c>
      <c r="T156" s="40">
        <f t="shared" si="198"/>
        <v>12</v>
      </c>
      <c r="U156" s="40">
        <f t="shared" si="206"/>
        <v>9116.296875</v>
      </c>
      <c r="V156" s="40">
        <f t="shared" si="207"/>
        <v>39567.234375</v>
      </c>
      <c r="W156" s="40">
        <v>0</v>
      </c>
      <c r="X156" s="40">
        <f t="shared" si="208"/>
        <v>39567.234375</v>
      </c>
    </row>
    <row r="157" spans="1:24">
      <c r="A157" s="7" t="s">
        <v>339</v>
      </c>
      <c r="B157" s="7">
        <v>70000</v>
      </c>
      <c r="C157" s="7" t="s">
        <v>188</v>
      </c>
      <c r="D157" s="7" t="str">
        <f t="shared" si="190"/>
        <v xml:space="preserve">Accountant </v>
      </c>
      <c r="E157" s="104">
        <f>'LOE Breakdown by Year'!E28</f>
        <v>0.25</v>
      </c>
      <c r="F157" s="46" t="s">
        <v>190</v>
      </c>
      <c r="G157" s="40">
        <f t="shared" si="191"/>
        <v>10</v>
      </c>
      <c r="H157" s="40">
        <f t="shared" si="191"/>
        <v>1666.6666666666667</v>
      </c>
      <c r="I157" s="40">
        <f t="shared" si="202"/>
        <v>4166.666666666667</v>
      </c>
      <c r="J157" s="104">
        <f>'LOE Breakdown by Year'!E58</f>
        <v>0.25</v>
      </c>
      <c r="K157" s="40">
        <f t="shared" si="193"/>
        <v>12</v>
      </c>
      <c r="L157" s="40">
        <f t="shared" si="203"/>
        <v>5250</v>
      </c>
      <c r="M157" s="104">
        <f>'LOE Breakdown by Year'!E88</f>
        <v>0.25</v>
      </c>
      <c r="N157" s="40">
        <f t="shared" si="194"/>
        <v>12</v>
      </c>
      <c r="O157" s="40">
        <f t="shared" si="204"/>
        <v>5512.5</v>
      </c>
      <c r="P157" s="104">
        <f>'LOE Breakdown by Year'!E118</f>
        <v>0.25</v>
      </c>
      <c r="Q157" s="40">
        <f t="shared" si="196"/>
        <v>12</v>
      </c>
      <c r="R157" s="40">
        <f t="shared" si="205"/>
        <v>5788.125</v>
      </c>
      <c r="S157" s="104">
        <f>'LOE Breakdown by Year'!E148</f>
        <v>0.25</v>
      </c>
      <c r="T157" s="40">
        <f t="shared" si="198"/>
        <v>11</v>
      </c>
      <c r="U157" s="40">
        <f t="shared" si="206"/>
        <v>5571.0703125000009</v>
      </c>
      <c r="V157" s="40">
        <f t="shared" si="207"/>
        <v>26288.361979166668</v>
      </c>
      <c r="W157" s="40">
        <v>0</v>
      </c>
      <c r="X157" s="40">
        <f t="shared" si="208"/>
        <v>26288.361979166668</v>
      </c>
    </row>
    <row r="158" spans="1:24">
      <c r="A158" s="7" t="s">
        <v>339</v>
      </c>
      <c r="B158" s="7">
        <v>70000</v>
      </c>
      <c r="C158" s="7" t="s">
        <v>188</v>
      </c>
      <c r="D158" s="7" t="str">
        <f t="shared" si="190"/>
        <v>Administrative Officer</v>
      </c>
      <c r="E158" s="104">
        <f>'LOE Breakdown by Year'!E29</f>
        <v>0.25</v>
      </c>
      <c r="F158" s="46" t="s">
        <v>190</v>
      </c>
      <c r="G158" s="40">
        <f t="shared" si="191"/>
        <v>9</v>
      </c>
      <c r="H158" s="40">
        <f t="shared" si="191"/>
        <v>833.33333333333337</v>
      </c>
      <c r="I158" s="40">
        <f t="shared" si="202"/>
        <v>1875</v>
      </c>
      <c r="J158" s="104">
        <f>'LOE Breakdown by Year'!E59</f>
        <v>0.25</v>
      </c>
      <c r="K158" s="40">
        <f t="shared" si="193"/>
        <v>12</v>
      </c>
      <c r="L158" s="40">
        <f t="shared" si="203"/>
        <v>2625</v>
      </c>
      <c r="M158" s="104">
        <f>'LOE Breakdown by Year'!E89</f>
        <v>0.25</v>
      </c>
      <c r="N158" s="40">
        <f t="shared" si="194"/>
        <v>12</v>
      </c>
      <c r="O158" s="40">
        <f t="shared" si="204"/>
        <v>2756.25</v>
      </c>
      <c r="P158" s="104">
        <f>'LOE Breakdown by Year'!E119</f>
        <v>0.25</v>
      </c>
      <c r="Q158" s="40">
        <f t="shared" si="196"/>
        <v>12</v>
      </c>
      <c r="R158" s="40">
        <f t="shared" si="205"/>
        <v>2894.0625</v>
      </c>
      <c r="S158" s="104">
        <f>'LOE Breakdown by Year'!E149</f>
        <v>0.25</v>
      </c>
      <c r="T158" s="40">
        <f t="shared" si="198"/>
        <v>10</v>
      </c>
      <c r="U158" s="40">
        <f t="shared" si="206"/>
        <v>2532.3046875000005</v>
      </c>
      <c r="V158" s="40">
        <f t="shared" si="207"/>
        <v>12682.6171875</v>
      </c>
      <c r="W158" s="40">
        <v>0</v>
      </c>
      <c r="X158" s="40">
        <f t="shared" si="208"/>
        <v>12682.6171875</v>
      </c>
    </row>
    <row r="159" spans="1:24">
      <c r="A159" s="7" t="s">
        <v>339</v>
      </c>
      <c r="B159" s="7">
        <v>70000</v>
      </c>
      <c r="C159" s="7" t="s">
        <v>188</v>
      </c>
      <c r="D159" s="7" t="str">
        <f t="shared" si="190"/>
        <v>Human Resources Manager</v>
      </c>
      <c r="E159" s="104">
        <f>'LOE Breakdown by Year'!E30</f>
        <v>0.25</v>
      </c>
      <c r="F159" s="46" t="s">
        <v>190</v>
      </c>
      <c r="G159" s="40">
        <f t="shared" si="191"/>
        <v>11</v>
      </c>
      <c r="H159" s="40">
        <f t="shared" si="191"/>
        <v>2500</v>
      </c>
      <c r="I159" s="40">
        <f t="shared" si="202"/>
        <v>6875</v>
      </c>
      <c r="J159" s="104">
        <f>'LOE Breakdown by Year'!E60</f>
        <v>0.25</v>
      </c>
      <c r="K159" s="40">
        <f t="shared" si="193"/>
        <v>12</v>
      </c>
      <c r="L159" s="40">
        <f t="shared" si="203"/>
        <v>7875</v>
      </c>
      <c r="M159" s="104">
        <f>'LOE Breakdown by Year'!E90</f>
        <v>0.25</v>
      </c>
      <c r="N159" s="40">
        <f t="shared" si="194"/>
        <v>12</v>
      </c>
      <c r="O159" s="40">
        <f t="shared" si="204"/>
        <v>8268.75</v>
      </c>
      <c r="P159" s="104">
        <f>'LOE Breakdown by Year'!E120</f>
        <v>0.25</v>
      </c>
      <c r="Q159" s="40">
        <f t="shared" si="196"/>
        <v>12</v>
      </c>
      <c r="R159" s="40">
        <f t="shared" si="205"/>
        <v>8682.1875</v>
      </c>
      <c r="S159" s="104">
        <f>'LOE Breakdown by Year'!E150</f>
        <v>0.25</v>
      </c>
      <c r="T159" s="40">
        <f t="shared" si="198"/>
        <v>12</v>
      </c>
      <c r="U159" s="40">
        <f t="shared" si="206"/>
        <v>9116.296875</v>
      </c>
      <c r="V159" s="40">
        <f t="shared" si="207"/>
        <v>40817.234375</v>
      </c>
      <c r="W159" s="40">
        <v>0</v>
      </c>
      <c r="X159" s="40">
        <f t="shared" si="208"/>
        <v>40817.234375</v>
      </c>
    </row>
    <row r="160" spans="1:24">
      <c r="A160" s="7" t="s">
        <v>339</v>
      </c>
      <c r="B160" s="7">
        <v>70000</v>
      </c>
      <c r="C160" s="7" t="s">
        <v>188</v>
      </c>
      <c r="D160" s="7" t="str">
        <f t="shared" si="190"/>
        <v>Driver (3 Individuals)</v>
      </c>
      <c r="E160" s="104">
        <f>'LOE Breakdown by Year'!E31</f>
        <v>0.3</v>
      </c>
      <c r="F160" s="46" t="s">
        <v>190</v>
      </c>
      <c r="G160" s="40">
        <f t="shared" si="191"/>
        <v>3</v>
      </c>
      <c r="H160" s="40">
        <f t="shared" si="191"/>
        <v>2250</v>
      </c>
      <c r="I160" s="40">
        <f t="shared" si="202"/>
        <v>2025</v>
      </c>
      <c r="J160" s="104">
        <f>'LOE Breakdown by Year'!E61</f>
        <v>0.25</v>
      </c>
      <c r="K160" s="40">
        <f t="shared" si="193"/>
        <v>12</v>
      </c>
      <c r="L160" s="40">
        <f t="shared" si="203"/>
        <v>7087.5</v>
      </c>
      <c r="M160" s="104">
        <f>'LOE Breakdown by Year'!E91</f>
        <v>0.25</v>
      </c>
      <c r="N160" s="40">
        <f t="shared" si="194"/>
        <v>12</v>
      </c>
      <c r="O160" s="40">
        <f t="shared" si="204"/>
        <v>7441.875</v>
      </c>
      <c r="P160" s="104">
        <f>'LOE Breakdown by Year'!E121</f>
        <v>0.25</v>
      </c>
      <c r="Q160" s="40">
        <f t="shared" si="196"/>
        <v>12</v>
      </c>
      <c r="R160" s="40">
        <f t="shared" si="205"/>
        <v>7813.96875</v>
      </c>
      <c r="S160" s="104">
        <f>'LOE Breakdown by Year'!E151</f>
        <v>0.25</v>
      </c>
      <c r="T160" s="40">
        <f t="shared" si="198"/>
        <v>9</v>
      </c>
      <c r="U160" s="40">
        <f t="shared" si="206"/>
        <v>6153.5003906250004</v>
      </c>
      <c r="V160" s="40">
        <f t="shared" si="207"/>
        <v>30521.844140624999</v>
      </c>
      <c r="W160" s="40">
        <v>0</v>
      </c>
      <c r="X160" s="40">
        <f t="shared" si="208"/>
        <v>30521.844140624999</v>
      </c>
    </row>
    <row r="161" spans="1:24">
      <c r="A161" s="37"/>
      <c r="B161" s="37"/>
      <c r="C161" s="37"/>
      <c r="D161" s="37" t="s">
        <v>340</v>
      </c>
      <c r="E161" s="115"/>
      <c r="F161" s="42"/>
      <c r="G161" s="43"/>
      <c r="H161" s="43"/>
      <c r="I161" s="44">
        <f>SUM(I140:I160)</f>
        <v>128950</v>
      </c>
      <c r="J161" s="115"/>
      <c r="K161" s="44"/>
      <c r="L161" s="44">
        <f>SUM(L140:L160)</f>
        <v>221865</v>
      </c>
      <c r="M161" s="115"/>
      <c r="N161" s="44"/>
      <c r="O161" s="44">
        <f>SUM(O140:O160)</f>
        <v>229264.875</v>
      </c>
      <c r="P161" s="115"/>
      <c r="Q161" s="44"/>
      <c r="R161" s="44">
        <f>SUM(R140:R160)</f>
        <v>240728.11875000002</v>
      </c>
      <c r="S161" s="115"/>
      <c r="T161" s="44"/>
      <c r="U161" s="44">
        <f>SUM(U140:U160)</f>
        <v>213675.86953124998</v>
      </c>
      <c r="V161" s="44">
        <f>SUM(V140:V160)</f>
        <v>1034483.8632812499</v>
      </c>
      <c r="W161" s="44">
        <f>SUM(W140:W160)</f>
        <v>0</v>
      </c>
      <c r="X161" s="44">
        <f>SUM(X140:X160)</f>
        <v>1034483.8632812499</v>
      </c>
    </row>
    <row r="162" spans="1:24">
      <c r="A162" s="92"/>
      <c r="B162" s="92"/>
      <c r="C162" s="92"/>
      <c r="D162" s="92"/>
      <c r="E162" s="116"/>
      <c r="F162" s="69"/>
      <c r="G162" s="55"/>
      <c r="H162" s="55"/>
      <c r="I162" s="55"/>
      <c r="J162" s="116"/>
      <c r="K162" s="55"/>
      <c r="L162" s="55"/>
      <c r="M162" s="116"/>
      <c r="N162" s="55"/>
      <c r="O162" s="55"/>
      <c r="P162" s="116"/>
      <c r="Q162" s="55"/>
      <c r="R162" s="55"/>
      <c r="S162" s="116"/>
      <c r="T162" s="55"/>
      <c r="U162" s="55"/>
      <c r="V162" s="55"/>
      <c r="W162" s="55"/>
      <c r="X162" s="55"/>
    </row>
    <row r="163" spans="1:24">
      <c r="A163" s="37"/>
      <c r="B163" s="37"/>
      <c r="C163" s="37"/>
      <c r="D163" s="37" t="s">
        <v>341</v>
      </c>
      <c r="E163" s="115"/>
      <c r="F163" s="42"/>
      <c r="G163" s="43"/>
      <c r="H163" s="43"/>
      <c r="I163" s="44"/>
      <c r="J163" s="115"/>
      <c r="K163" s="44"/>
      <c r="L163" s="44"/>
      <c r="M163" s="115"/>
      <c r="N163" s="44"/>
      <c r="O163" s="44"/>
      <c r="P163" s="115"/>
      <c r="Q163" s="44"/>
      <c r="R163" s="44"/>
      <c r="S163" s="115"/>
      <c r="T163" s="44"/>
      <c r="U163" s="44"/>
      <c r="V163" s="44"/>
      <c r="W163" s="44"/>
      <c r="X163" s="44"/>
    </row>
    <row r="164" spans="1:24">
      <c r="A164" s="7" t="s">
        <v>342</v>
      </c>
      <c r="B164" s="7">
        <v>70015</v>
      </c>
      <c r="C164" s="7" t="s">
        <v>188</v>
      </c>
      <c r="D164" s="7" t="str">
        <f>$D$40</f>
        <v>Fringe Benefits CCN - Tunisia</v>
      </c>
      <c r="E164" s="105"/>
      <c r="F164" s="70" t="s">
        <v>147</v>
      </c>
      <c r="G164" s="40"/>
      <c r="H164" s="52">
        <f>H40</f>
        <v>0.45500000000000002</v>
      </c>
      <c r="I164" s="40">
        <f>(SUM(I140:I160))*$H$164</f>
        <v>58672.25</v>
      </c>
      <c r="J164" s="105"/>
      <c r="K164" s="40"/>
      <c r="L164" s="40">
        <f>(SUM(L140:L160))*$H$164</f>
        <v>100948.575</v>
      </c>
      <c r="M164" s="105"/>
      <c r="N164" s="40"/>
      <c r="O164" s="40">
        <f>(SUM(O140:O160))*$H$164</f>
        <v>104315.518125</v>
      </c>
      <c r="P164" s="105"/>
      <c r="Q164" s="40"/>
      <c r="R164" s="40">
        <f>(SUM(R140:R160))*$H$164</f>
        <v>109531.29403125001</v>
      </c>
      <c r="S164" s="105"/>
      <c r="T164" s="40"/>
      <c r="U164" s="40">
        <f>(SUM(U140:U160))*$H$164</f>
        <v>97222.520636718749</v>
      </c>
      <c r="V164" s="40">
        <f t="shared" ref="V164" si="216">SUM(R164,O164,L164,I164,U164)</f>
        <v>470690.15779296879</v>
      </c>
      <c r="W164" s="55">
        <v>0</v>
      </c>
      <c r="X164" s="40">
        <f>SUM(V164:W164)</f>
        <v>470690.15779296879</v>
      </c>
    </row>
    <row r="165" spans="1:24">
      <c r="A165" s="37"/>
      <c r="B165" s="37"/>
      <c r="C165" s="37"/>
      <c r="D165" s="37" t="s">
        <v>343</v>
      </c>
      <c r="E165" s="115"/>
      <c r="F165" s="42"/>
      <c r="G165" s="43"/>
      <c r="H165" s="43"/>
      <c r="I165" s="44">
        <f>SUM(I164:I164)</f>
        <v>58672.25</v>
      </c>
      <c r="J165" s="115"/>
      <c r="K165" s="44"/>
      <c r="L165" s="44">
        <f>SUM(L164:L164)</f>
        <v>100948.575</v>
      </c>
      <c r="M165" s="115"/>
      <c r="N165" s="44"/>
      <c r="O165" s="44">
        <f>SUM(O164:O164)</f>
        <v>104315.518125</v>
      </c>
      <c r="P165" s="115"/>
      <c r="Q165" s="44"/>
      <c r="R165" s="44">
        <f>SUM(R164:R164)</f>
        <v>109531.29403125001</v>
      </c>
      <c r="S165" s="115"/>
      <c r="T165" s="44"/>
      <c r="U165" s="44">
        <f>SUM(U164:U164)</f>
        <v>97222.520636718749</v>
      </c>
      <c r="V165" s="44">
        <f>SUM(V164:V164)</f>
        <v>470690.15779296879</v>
      </c>
      <c r="W165" s="44">
        <f>SUM(W164:W164)</f>
        <v>0</v>
      </c>
      <c r="X165" s="44">
        <f>SUM(X164:X164)</f>
        <v>470690.15779296879</v>
      </c>
    </row>
    <row r="166" spans="1:24">
      <c r="A166" s="92"/>
      <c r="B166" s="92"/>
      <c r="C166" s="92"/>
      <c r="D166" s="92"/>
      <c r="E166" s="116"/>
      <c r="F166" s="69"/>
      <c r="G166" s="55"/>
      <c r="H166" s="55"/>
      <c r="I166" s="93"/>
      <c r="J166" s="116"/>
      <c r="K166" s="93"/>
      <c r="L166" s="93"/>
      <c r="M166" s="116"/>
      <c r="N166" s="93"/>
      <c r="O166" s="93"/>
      <c r="P166" s="116"/>
      <c r="Q166" s="93"/>
      <c r="R166" s="93"/>
      <c r="S166" s="116"/>
      <c r="T166" s="93"/>
      <c r="U166" s="93"/>
      <c r="V166" s="93"/>
      <c r="W166" s="93"/>
      <c r="X166" s="93"/>
    </row>
    <row r="167" spans="1:24">
      <c r="A167" s="37"/>
      <c r="B167" s="37"/>
      <c r="C167" s="37"/>
      <c r="D167" s="37" t="s">
        <v>344</v>
      </c>
      <c r="E167" s="115"/>
      <c r="F167" s="42"/>
      <c r="G167" s="43"/>
      <c r="H167" s="43"/>
      <c r="I167" s="43"/>
      <c r="J167" s="115"/>
      <c r="K167" s="43"/>
      <c r="L167" s="43"/>
      <c r="M167" s="115"/>
      <c r="N167" s="43"/>
      <c r="O167" s="43"/>
      <c r="P167" s="115"/>
      <c r="Q167" s="43"/>
      <c r="R167" s="43"/>
      <c r="S167" s="115"/>
      <c r="T167" s="43"/>
      <c r="U167" s="43"/>
      <c r="V167" s="43"/>
      <c r="W167" s="43"/>
      <c r="X167" s="43"/>
    </row>
    <row r="168" spans="1:24">
      <c r="A168" s="7" t="s">
        <v>345</v>
      </c>
      <c r="B168" s="7">
        <v>81010</v>
      </c>
      <c r="C168" s="7" t="s">
        <v>188</v>
      </c>
      <c r="D168" s="7" t="s">
        <v>346</v>
      </c>
      <c r="F168" s="7" t="s">
        <v>250</v>
      </c>
      <c r="G168" s="141">
        <v>0.5</v>
      </c>
      <c r="H168" s="40">
        <v>100000</v>
      </c>
      <c r="I168" s="40">
        <f>G168*H168</f>
        <v>50000</v>
      </c>
      <c r="J168" s="111"/>
      <c r="K168" s="141">
        <v>0.5</v>
      </c>
      <c r="L168" s="40">
        <f>H168*K168</f>
        <v>50000</v>
      </c>
      <c r="M168" s="111"/>
      <c r="N168" s="40">
        <v>0</v>
      </c>
      <c r="O168" s="40">
        <f>H168*N168</f>
        <v>0</v>
      </c>
      <c r="P168" s="111"/>
      <c r="Q168" s="40">
        <v>0</v>
      </c>
      <c r="R168" s="40">
        <f>H168*Q168</f>
        <v>0</v>
      </c>
      <c r="S168" s="111"/>
      <c r="T168" s="40">
        <v>0</v>
      </c>
      <c r="U168" s="40">
        <f>H168*T168</f>
        <v>0</v>
      </c>
      <c r="V168" s="40">
        <f t="shared" ref="V168:V171" si="217">SUM(R168,O168,L168,I168,U168)</f>
        <v>100000</v>
      </c>
      <c r="W168" s="40" t="s">
        <v>224</v>
      </c>
      <c r="X168" s="40">
        <f>SUM(V168:W168)</f>
        <v>100000</v>
      </c>
    </row>
    <row r="169" spans="1:24">
      <c r="A169" s="7" t="s">
        <v>345</v>
      </c>
      <c r="B169" s="7">
        <v>81010</v>
      </c>
      <c r="C169" s="7" t="s">
        <v>188</v>
      </c>
      <c r="D169" s="7" t="s">
        <v>347</v>
      </c>
      <c r="E169" s="109"/>
      <c r="F169" s="7" t="s">
        <v>250</v>
      </c>
      <c r="G169" s="40">
        <v>0</v>
      </c>
      <c r="H169" s="40">
        <v>25000</v>
      </c>
      <c r="I169" s="40">
        <f>G169*H169</f>
        <v>0</v>
      </c>
      <c r="J169" s="109"/>
      <c r="K169" s="40">
        <v>1</v>
      </c>
      <c r="L169" s="40">
        <f>H169*K169</f>
        <v>25000</v>
      </c>
      <c r="M169" s="109"/>
      <c r="N169" s="40">
        <v>1</v>
      </c>
      <c r="O169" s="40">
        <f>H169*N169</f>
        <v>25000</v>
      </c>
      <c r="P169" s="109"/>
      <c r="Q169" s="40">
        <v>1</v>
      </c>
      <c r="R169" s="40">
        <f>H169*Q169</f>
        <v>25000</v>
      </c>
      <c r="S169" s="109"/>
      <c r="T169" s="40">
        <v>1</v>
      </c>
      <c r="U169" s="40">
        <f>H169*T169</f>
        <v>25000</v>
      </c>
      <c r="V169" s="40">
        <f t="shared" si="217"/>
        <v>100000</v>
      </c>
      <c r="W169" s="40" t="s">
        <v>224</v>
      </c>
      <c r="X169" s="40">
        <f>SUM(V169:W169)</f>
        <v>100000</v>
      </c>
    </row>
    <row r="170" spans="1:24">
      <c r="A170" s="7" t="s">
        <v>348</v>
      </c>
      <c r="B170" s="7">
        <v>81010</v>
      </c>
      <c r="C170" s="7" t="s">
        <v>188</v>
      </c>
      <c r="D170" s="7" t="s">
        <v>349</v>
      </c>
      <c r="E170" s="109"/>
      <c r="F170" s="45" t="s">
        <v>228</v>
      </c>
      <c r="G170" s="40">
        <v>8</v>
      </c>
      <c r="H170" s="40">
        <v>700</v>
      </c>
      <c r="I170" s="40">
        <f>G170*H170</f>
        <v>5600</v>
      </c>
      <c r="J170" s="109"/>
      <c r="K170" s="40">
        <v>16</v>
      </c>
      <c r="L170" s="40">
        <f t="shared" ref="L170:L171" si="218">K170*H170</f>
        <v>11200</v>
      </c>
      <c r="M170" s="109"/>
      <c r="N170" s="40">
        <v>8</v>
      </c>
      <c r="O170" s="40">
        <f t="shared" ref="O170:O171" si="219">N170*H170</f>
        <v>5600</v>
      </c>
      <c r="P170" s="109"/>
      <c r="Q170" s="40">
        <v>0</v>
      </c>
      <c r="R170" s="40">
        <f t="shared" ref="R170:R171" si="220">Q170*H170</f>
        <v>0</v>
      </c>
      <c r="S170" s="109"/>
      <c r="T170" s="40">
        <v>0</v>
      </c>
      <c r="U170" s="40">
        <f>T170*H170</f>
        <v>0</v>
      </c>
      <c r="V170" s="40">
        <f t="shared" si="217"/>
        <v>22400</v>
      </c>
      <c r="W170" s="40">
        <v>0</v>
      </c>
      <c r="X170" s="40">
        <f>V170+W170</f>
        <v>22400</v>
      </c>
    </row>
    <row r="171" spans="1:24">
      <c r="A171" s="5" t="s">
        <v>350</v>
      </c>
      <c r="B171" s="7">
        <v>81000</v>
      </c>
      <c r="C171" s="7" t="s">
        <v>188</v>
      </c>
      <c r="D171" s="7" t="s">
        <v>351</v>
      </c>
      <c r="E171" s="109"/>
      <c r="F171" s="45" t="s">
        <v>190</v>
      </c>
      <c r="G171" s="40">
        <v>0</v>
      </c>
      <c r="H171" s="40">
        <f>450*10</f>
        <v>4500</v>
      </c>
      <c r="I171" s="40">
        <f>G171*H171</f>
        <v>0</v>
      </c>
      <c r="J171" s="109"/>
      <c r="K171" s="40">
        <v>3</v>
      </c>
      <c r="L171" s="40">
        <f t="shared" si="218"/>
        <v>13500</v>
      </c>
      <c r="M171" s="109"/>
      <c r="N171" s="40">
        <v>3</v>
      </c>
      <c r="O171" s="40">
        <f t="shared" si="219"/>
        <v>13500</v>
      </c>
      <c r="P171" s="109"/>
      <c r="Q171" s="40">
        <v>0</v>
      </c>
      <c r="R171" s="40">
        <f t="shared" si="220"/>
        <v>0</v>
      </c>
      <c r="S171" s="109"/>
      <c r="T171" s="40">
        <v>0</v>
      </c>
      <c r="U171" s="40">
        <f t="shared" ref="U171" si="221">T171*H171</f>
        <v>0</v>
      </c>
      <c r="V171" s="40">
        <f t="shared" si="217"/>
        <v>27000</v>
      </c>
      <c r="W171" s="40">
        <v>0</v>
      </c>
      <c r="X171" s="40">
        <f t="shared" ref="X171" si="222">V171+W171</f>
        <v>27000</v>
      </c>
    </row>
    <row r="172" spans="1:24">
      <c r="A172" s="7" t="s">
        <v>352</v>
      </c>
      <c r="B172" s="7">
        <v>90100</v>
      </c>
      <c r="C172" s="7" t="s">
        <v>188</v>
      </c>
      <c r="D172" s="7" t="s">
        <v>353</v>
      </c>
      <c r="E172" s="109"/>
      <c r="F172" s="45" t="s">
        <v>228</v>
      </c>
      <c r="G172" s="40">
        <v>20</v>
      </c>
      <c r="H172" s="40">
        <v>625</v>
      </c>
      <c r="I172" s="40">
        <f t="shared" ref="I172" si="223">G172*H172</f>
        <v>12500</v>
      </c>
      <c r="J172" s="109"/>
      <c r="K172" s="40">
        <v>0</v>
      </c>
      <c r="L172" s="40">
        <f t="shared" ref="L172" si="224">K172*H172</f>
        <v>0</v>
      </c>
      <c r="M172" s="109"/>
      <c r="N172" s="40">
        <v>0</v>
      </c>
      <c r="O172" s="40">
        <f t="shared" ref="O172" si="225">N172*H172</f>
        <v>0</v>
      </c>
      <c r="P172" s="109"/>
      <c r="Q172" s="40">
        <v>0</v>
      </c>
      <c r="R172" s="40">
        <f t="shared" ref="R172" si="226">Q172*H172</f>
        <v>0</v>
      </c>
      <c r="S172" s="109"/>
      <c r="T172" s="40">
        <v>0</v>
      </c>
      <c r="U172" s="40">
        <f t="shared" ref="U172" si="227">T172*H172</f>
        <v>0</v>
      </c>
      <c r="V172" s="40">
        <f t="shared" ref="V172" si="228">SUM(R172,O172,L172,I172,U172)</f>
        <v>12500</v>
      </c>
      <c r="W172" s="40">
        <v>0</v>
      </c>
      <c r="X172" s="40">
        <f t="shared" ref="X172" si="229">V172+W172</f>
        <v>12500</v>
      </c>
    </row>
    <row r="173" spans="1:24">
      <c r="A173" s="7" t="s">
        <v>354</v>
      </c>
      <c r="B173" s="7">
        <v>86110</v>
      </c>
      <c r="C173" s="7" t="s">
        <v>188</v>
      </c>
      <c r="D173" s="7" t="s">
        <v>254</v>
      </c>
      <c r="E173" s="109"/>
      <c r="F173" s="45" t="s">
        <v>250</v>
      </c>
      <c r="G173" s="40">
        <v>1</v>
      </c>
      <c r="H173" s="40">
        <v>5000</v>
      </c>
      <c r="I173" s="40">
        <f>G173*H173</f>
        <v>5000</v>
      </c>
      <c r="J173" s="109"/>
      <c r="K173" s="40">
        <v>1</v>
      </c>
      <c r="L173" s="40">
        <f>K173*H173</f>
        <v>5000</v>
      </c>
      <c r="M173" s="109"/>
      <c r="N173" s="40">
        <v>1</v>
      </c>
      <c r="O173" s="40">
        <f>N173*H173</f>
        <v>5000</v>
      </c>
      <c r="P173" s="109"/>
      <c r="Q173" s="40">
        <v>1</v>
      </c>
      <c r="R173" s="40">
        <f>Q173*H173</f>
        <v>5000</v>
      </c>
      <c r="S173" s="109"/>
      <c r="T173" s="40">
        <v>1</v>
      </c>
      <c r="U173" s="40">
        <f>T173*H173</f>
        <v>5000</v>
      </c>
      <c r="V173" s="40">
        <f>SUM(R173,O173,L173,I173,U173)</f>
        <v>25000</v>
      </c>
      <c r="W173" s="40">
        <v>0</v>
      </c>
      <c r="X173" s="40">
        <f>V173+W173</f>
        <v>25000</v>
      </c>
    </row>
    <row r="174" spans="1:24">
      <c r="A174" s="37"/>
      <c r="B174" s="37"/>
      <c r="C174" s="37"/>
      <c r="D174" s="37" t="s">
        <v>355</v>
      </c>
      <c r="E174" s="115"/>
      <c r="F174" s="42"/>
      <c r="G174" s="43"/>
      <c r="H174" s="44"/>
      <c r="I174" s="44">
        <f>SUM(I168:I173)</f>
        <v>73100</v>
      </c>
      <c r="J174" s="115"/>
      <c r="K174" s="44"/>
      <c r="L174" s="44">
        <f>SUM(L168:L173)</f>
        <v>104700</v>
      </c>
      <c r="M174" s="115"/>
      <c r="N174" s="44"/>
      <c r="O174" s="44">
        <f>SUM(O168:O173)</f>
        <v>49100</v>
      </c>
      <c r="P174" s="115"/>
      <c r="Q174" s="44"/>
      <c r="R174" s="44">
        <f>SUM(R168:R173)</f>
        <v>30000</v>
      </c>
      <c r="S174" s="115"/>
      <c r="T174" s="44"/>
      <c r="U174" s="44">
        <f>SUM(U168:U173)</f>
        <v>30000</v>
      </c>
      <c r="V174" s="44">
        <f>SUM(V168:V173)</f>
        <v>286900</v>
      </c>
      <c r="W174" s="44">
        <f>SUM(W168:W173)</f>
        <v>0</v>
      </c>
      <c r="X174" s="44">
        <f>SUM(X168:X173)</f>
        <v>286900</v>
      </c>
    </row>
    <row r="175" spans="1:24">
      <c r="A175" s="92"/>
      <c r="B175" s="92"/>
      <c r="C175" s="92"/>
      <c r="D175" s="92"/>
      <c r="E175" s="116"/>
      <c r="F175" s="69"/>
      <c r="G175" s="55"/>
      <c r="H175" s="55"/>
      <c r="I175" s="93"/>
      <c r="J175" s="116"/>
      <c r="K175" s="93"/>
      <c r="L175" s="93"/>
      <c r="M175" s="116"/>
      <c r="N175" s="93"/>
      <c r="O175" s="93"/>
      <c r="P175" s="116"/>
      <c r="Q175" s="93"/>
      <c r="R175" s="93"/>
      <c r="S175" s="116"/>
      <c r="T175" s="93"/>
      <c r="U175" s="93"/>
      <c r="V175" s="93"/>
      <c r="W175" s="93"/>
      <c r="X175" s="93"/>
    </row>
    <row r="176" spans="1:24">
      <c r="A176" s="37"/>
      <c r="B176" s="37"/>
      <c r="C176" s="37"/>
      <c r="D176" s="37" t="s">
        <v>356</v>
      </c>
      <c r="E176" s="115"/>
      <c r="F176" s="42"/>
      <c r="G176" s="43"/>
      <c r="H176" s="43"/>
      <c r="I176" s="43"/>
      <c r="J176" s="115"/>
      <c r="K176" s="43"/>
      <c r="L176" s="43"/>
      <c r="M176" s="115"/>
      <c r="N176" s="43"/>
      <c r="O176" s="43"/>
      <c r="P176" s="115"/>
      <c r="Q176" s="43"/>
      <c r="R176" s="43"/>
      <c r="S176" s="115"/>
      <c r="T176" s="43"/>
      <c r="U176" s="43"/>
      <c r="V176" s="43"/>
      <c r="W176" s="43"/>
      <c r="X176" s="43"/>
    </row>
    <row r="177" spans="1:25">
      <c r="A177" s="7" t="s">
        <v>357</v>
      </c>
      <c r="B177" s="7">
        <v>82420</v>
      </c>
      <c r="C177" s="7" t="s">
        <v>188</v>
      </c>
      <c r="D177" s="7" t="s">
        <v>358</v>
      </c>
      <c r="E177" s="109"/>
      <c r="F177" s="7" t="s">
        <v>247</v>
      </c>
      <c r="G177" s="40">
        <v>2</v>
      </c>
      <c r="H177" s="40">
        <v>8000</v>
      </c>
      <c r="I177" s="40">
        <f>G177*H177</f>
        <v>16000</v>
      </c>
      <c r="J177" s="109"/>
      <c r="K177" s="40">
        <v>2</v>
      </c>
      <c r="L177" s="40">
        <f>H177*K177</f>
        <v>16000</v>
      </c>
      <c r="M177" s="109"/>
      <c r="N177" s="40">
        <v>0</v>
      </c>
      <c r="O177" s="40">
        <f>H177*N177</f>
        <v>0</v>
      </c>
      <c r="P177" s="109"/>
      <c r="Q177" s="40">
        <v>0</v>
      </c>
      <c r="R177" s="40">
        <f>H177*Q177</f>
        <v>0</v>
      </c>
      <c r="S177" s="109"/>
      <c r="T177" s="40">
        <v>0</v>
      </c>
      <c r="U177" s="40">
        <f>H177*T177</f>
        <v>0</v>
      </c>
      <c r="V177" s="40">
        <f t="shared" ref="V177:V178" si="230">SUM(R177,O177,L177,I177,U177)</f>
        <v>32000</v>
      </c>
      <c r="W177" s="40">
        <v>0</v>
      </c>
      <c r="X177" s="40">
        <f>SUM(V177:W177)</f>
        <v>32000</v>
      </c>
    </row>
    <row r="178" spans="1:25">
      <c r="A178" s="7" t="s">
        <v>359</v>
      </c>
      <c r="B178" s="7">
        <v>90450</v>
      </c>
      <c r="C178" s="7" t="s">
        <v>188</v>
      </c>
      <c r="D178" s="7" t="s">
        <v>360</v>
      </c>
      <c r="E178" s="109"/>
      <c r="F178" s="46" t="s">
        <v>247</v>
      </c>
      <c r="G178" s="40">
        <v>1</v>
      </c>
      <c r="H178" s="40">
        <v>500</v>
      </c>
      <c r="I178" s="40">
        <f>G178*H178</f>
        <v>500</v>
      </c>
      <c r="J178" s="109"/>
      <c r="K178" s="40">
        <v>1</v>
      </c>
      <c r="L178" s="40">
        <f>K178*H178</f>
        <v>500</v>
      </c>
      <c r="M178" s="109"/>
      <c r="N178" s="40">
        <v>1</v>
      </c>
      <c r="O178" s="40">
        <f>N178*H178</f>
        <v>500</v>
      </c>
      <c r="P178" s="109"/>
      <c r="Q178" s="40">
        <v>1</v>
      </c>
      <c r="R178" s="40">
        <f>Q178*H178</f>
        <v>500</v>
      </c>
      <c r="S178" s="109"/>
      <c r="T178" s="40">
        <v>0</v>
      </c>
      <c r="U178" s="40">
        <f>T178*K178</f>
        <v>0</v>
      </c>
      <c r="V178" s="40">
        <f t="shared" si="230"/>
        <v>2000</v>
      </c>
      <c r="W178" s="40">
        <v>0</v>
      </c>
      <c r="X178" s="40">
        <f>V178+W178</f>
        <v>2000</v>
      </c>
    </row>
    <row r="179" spans="1:25">
      <c r="A179" s="37"/>
      <c r="B179" s="37"/>
      <c r="C179" s="37"/>
      <c r="D179" s="37" t="s">
        <v>361</v>
      </c>
      <c r="E179" s="115"/>
      <c r="F179" s="42"/>
      <c r="G179" s="43"/>
      <c r="H179" s="44"/>
      <c r="I179" s="44">
        <f>SUM(I177:I178)</f>
        <v>16500</v>
      </c>
      <c r="J179" s="118"/>
      <c r="K179" s="44"/>
      <c r="L179" s="44">
        <f>SUM(L177:L178)</f>
        <v>16500</v>
      </c>
      <c r="M179" s="118"/>
      <c r="N179" s="44"/>
      <c r="O179" s="44">
        <f>SUM(O177:O178)</f>
        <v>500</v>
      </c>
      <c r="P179" s="118"/>
      <c r="Q179" s="44"/>
      <c r="R179" s="44">
        <f>SUM(R177:R178)</f>
        <v>500</v>
      </c>
      <c r="S179" s="118"/>
      <c r="T179" s="44"/>
      <c r="U179" s="44">
        <f>SUM(U177:U178)</f>
        <v>0</v>
      </c>
      <c r="V179" s="44">
        <f>SUM(V177:V178)</f>
        <v>34000</v>
      </c>
      <c r="W179" s="44">
        <f>SUM(W177:W178)</f>
        <v>0</v>
      </c>
      <c r="X179" s="44">
        <f>SUM(X177:X178)</f>
        <v>34000</v>
      </c>
    </row>
    <row r="180" spans="1:25">
      <c r="A180" s="92"/>
      <c r="B180" s="92"/>
      <c r="C180" s="92"/>
      <c r="D180" s="92"/>
      <c r="E180" s="116"/>
      <c r="F180" s="69"/>
      <c r="G180" s="55"/>
      <c r="H180" s="55"/>
      <c r="I180" s="55"/>
      <c r="J180" s="116"/>
      <c r="K180" s="55"/>
      <c r="L180" s="55"/>
      <c r="M180" s="116"/>
      <c r="N180" s="55"/>
      <c r="O180" s="55"/>
      <c r="P180" s="116"/>
      <c r="Q180" s="55"/>
      <c r="R180" s="55"/>
      <c r="S180" s="116"/>
      <c r="T180" s="55"/>
      <c r="U180" s="55"/>
      <c r="V180" s="55"/>
      <c r="W180" s="55"/>
      <c r="X180" s="55"/>
    </row>
    <row r="181" spans="1:25">
      <c r="A181" s="37"/>
      <c r="B181" s="37"/>
      <c r="C181" s="37"/>
      <c r="D181" s="37" t="s">
        <v>362</v>
      </c>
      <c r="E181" s="115"/>
      <c r="F181" s="42"/>
      <c r="G181" s="43"/>
      <c r="H181" s="43"/>
      <c r="I181" s="43"/>
      <c r="J181" s="115"/>
      <c r="K181" s="43"/>
      <c r="L181" s="43"/>
      <c r="M181" s="115"/>
      <c r="N181" s="43"/>
      <c r="O181" s="43"/>
      <c r="P181" s="115"/>
      <c r="Q181" s="43"/>
      <c r="R181" s="43"/>
      <c r="S181" s="115"/>
      <c r="T181" s="43"/>
      <c r="U181" s="43"/>
      <c r="V181" s="43"/>
      <c r="W181" s="43"/>
      <c r="X181" s="43"/>
    </row>
    <row r="182" spans="1:25">
      <c r="A182" s="7" t="s">
        <v>363</v>
      </c>
      <c r="B182" s="7">
        <v>86000</v>
      </c>
      <c r="C182" s="7" t="s">
        <v>188</v>
      </c>
      <c r="D182" s="7" t="s">
        <v>239</v>
      </c>
      <c r="E182" s="109"/>
      <c r="F182" s="7" t="s">
        <v>190</v>
      </c>
      <c r="G182" s="40">
        <v>3</v>
      </c>
      <c r="H182" s="40">
        <v>250</v>
      </c>
      <c r="I182" s="40">
        <f t="shared" ref="I182:I190" si="231">G182*H182</f>
        <v>750</v>
      </c>
      <c r="J182" s="40"/>
      <c r="K182" s="40">
        <v>12</v>
      </c>
      <c r="L182" s="40">
        <f t="shared" ref="L182:L190" si="232">H182*K182*$E$6</f>
        <v>3210</v>
      </c>
      <c r="M182" s="109"/>
      <c r="N182" s="40">
        <v>12</v>
      </c>
      <c r="O182" s="40">
        <f t="shared" ref="O182:O190" si="233">H182*N182*$E$6*$E$6</f>
        <v>3434.7000000000003</v>
      </c>
      <c r="P182" s="109"/>
      <c r="Q182" s="40">
        <v>12</v>
      </c>
      <c r="R182" s="40">
        <f t="shared" ref="R182:R190" si="234">H182*Q182*$E$6*$E$6*$E$6</f>
        <v>3675.1290000000004</v>
      </c>
      <c r="S182" s="109"/>
      <c r="T182" s="40">
        <v>9</v>
      </c>
      <c r="U182" s="40">
        <f t="shared" ref="U182:U190" si="235">H182*T182*$E$6*$E$6*$E$6*$E$6</f>
        <v>2949.2910225000005</v>
      </c>
      <c r="V182" s="40">
        <f t="shared" ref="V182:V190" si="236">SUM(R182,O182,L182,I182,U182)</f>
        <v>14019.120022500003</v>
      </c>
      <c r="W182" s="40" t="s">
        <v>224</v>
      </c>
      <c r="X182" s="40">
        <f t="shared" ref="X182:X190" si="237">SUM(V182:W182)</f>
        <v>14019.120022500003</v>
      </c>
    </row>
    <row r="183" spans="1:25">
      <c r="A183" s="7" t="s">
        <v>363</v>
      </c>
      <c r="B183" s="7">
        <v>86000</v>
      </c>
      <c r="C183" s="7" t="s">
        <v>188</v>
      </c>
      <c r="D183" s="7" t="s">
        <v>364</v>
      </c>
      <c r="E183" s="109"/>
      <c r="F183" s="7" t="s">
        <v>190</v>
      </c>
      <c r="G183" s="40">
        <v>3</v>
      </c>
      <c r="H183" s="40">
        <v>50</v>
      </c>
      <c r="I183" s="40">
        <f t="shared" ref="I183" si="238">G183*H183</f>
        <v>150</v>
      </c>
      <c r="J183" s="40"/>
      <c r="K183" s="40">
        <v>12</v>
      </c>
      <c r="L183" s="40">
        <f t="shared" ref="L183" si="239">H183*K183*$E$6</f>
        <v>642</v>
      </c>
      <c r="M183" s="109"/>
      <c r="N183" s="40">
        <v>12</v>
      </c>
      <c r="O183" s="40">
        <f t="shared" ref="O183" si="240">H183*N183*$E$6*$E$6</f>
        <v>686.94</v>
      </c>
      <c r="P183" s="109"/>
      <c r="Q183" s="40">
        <v>12</v>
      </c>
      <c r="R183" s="40">
        <f t="shared" ref="R183" si="241">H183*Q183*$E$6*$E$6*$E$6</f>
        <v>735.02580000000012</v>
      </c>
      <c r="S183" s="109"/>
      <c r="T183" s="40">
        <v>9</v>
      </c>
      <c r="U183" s="40">
        <f t="shared" ref="U183" si="242">H183*T183*$E$6*$E$6*$E$6*$E$6</f>
        <v>589.85820450000006</v>
      </c>
      <c r="V183" s="40">
        <f t="shared" ref="V183" si="243">SUM(R183,O183,L183,I183,U183)</f>
        <v>2803.8240045000002</v>
      </c>
      <c r="W183" s="40" t="s">
        <v>224</v>
      </c>
      <c r="X183" s="40">
        <f t="shared" ref="X183" si="244">SUM(V183:W183)</f>
        <v>2803.8240045000002</v>
      </c>
      <c r="Y183" s="549"/>
    </row>
    <row r="184" spans="1:25">
      <c r="A184" s="7" t="s">
        <v>363</v>
      </c>
      <c r="B184" s="7">
        <v>86000</v>
      </c>
      <c r="C184" s="7" t="s">
        <v>188</v>
      </c>
      <c r="D184" s="7" t="s">
        <v>365</v>
      </c>
      <c r="E184" s="109"/>
      <c r="F184" s="7" t="s">
        <v>223</v>
      </c>
      <c r="G184" s="40">
        <v>3</v>
      </c>
      <c r="H184" s="40">
        <v>300</v>
      </c>
      <c r="I184" s="40">
        <f t="shared" si="231"/>
        <v>900</v>
      </c>
      <c r="J184" s="40"/>
      <c r="K184" s="40">
        <v>3</v>
      </c>
      <c r="L184" s="40">
        <f t="shared" si="232"/>
        <v>963</v>
      </c>
      <c r="M184" s="109"/>
      <c r="N184" s="40">
        <v>0</v>
      </c>
      <c r="O184" s="40">
        <f t="shared" si="233"/>
        <v>0</v>
      </c>
      <c r="P184" s="109"/>
      <c r="Q184" s="40">
        <v>0</v>
      </c>
      <c r="R184" s="40">
        <f t="shared" si="234"/>
        <v>0</v>
      </c>
      <c r="S184" s="109"/>
      <c r="T184" s="40">
        <v>0</v>
      </c>
      <c r="U184" s="40">
        <f t="shared" si="235"/>
        <v>0</v>
      </c>
      <c r="V184" s="40">
        <f t="shared" ref="V184:V185" si="245">SUM(R184,O184,L184,I184,U184)</f>
        <v>1863</v>
      </c>
      <c r="W184" s="40" t="s">
        <v>224</v>
      </c>
      <c r="X184" s="40">
        <f t="shared" si="237"/>
        <v>1863</v>
      </c>
      <c r="Y184" s="549"/>
    </row>
    <row r="185" spans="1:25" ht="25.2">
      <c r="A185" s="7" t="s">
        <v>363</v>
      </c>
      <c r="B185" s="565" t="s">
        <v>366</v>
      </c>
      <c r="C185" s="7" t="s">
        <v>188</v>
      </c>
      <c r="D185" s="7" t="s">
        <v>367</v>
      </c>
      <c r="E185" s="109"/>
      <c r="F185" s="7" t="s">
        <v>228</v>
      </c>
      <c r="G185" s="40">
        <f>G184*3</f>
        <v>9</v>
      </c>
      <c r="H185" s="40">
        <f>44+85</f>
        <v>129</v>
      </c>
      <c r="I185" s="40">
        <f t="shared" si="231"/>
        <v>1161</v>
      </c>
      <c r="J185" s="40"/>
      <c r="K185" s="40">
        <f>K184*3</f>
        <v>9</v>
      </c>
      <c r="L185" s="40">
        <f t="shared" si="232"/>
        <v>1242.27</v>
      </c>
      <c r="M185" s="109"/>
      <c r="N185" s="40">
        <f>N184*3</f>
        <v>0</v>
      </c>
      <c r="O185" s="40">
        <f t="shared" si="233"/>
        <v>0</v>
      </c>
      <c r="P185" s="109"/>
      <c r="Q185" s="40">
        <f>Q184*3</f>
        <v>0</v>
      </c>
      <c r="R185" s="40">
        <f t="shared" si="234"/>
        <v>0</v>
      </c>
      <c r="S185" s="109"/>
      <c r="T185" s="40">
        <f>T184*3</f>
        <v>0</v>
      </c>
      <c r="U185" s="40">
        <f t="shared" si="235"/>
        <v>0</v>
      </c>
      <c r="V185" s="40">
        <f t="shared" si="245"/>
        <v>2403.27</v>
      </c>
      <c r="W185" s="40" t="s">
        <v>224</v>
      </c>
      <c r="X185" s="40">
        <f t="shared" si="237"/>
        <v>2403.27</v>
      </c>
      <c r="Y185" s="57"/>
    </row>
    <row r="186" spans="1:25">
      <c r="A186" s="7" t="s">
        <v>363</v>
      </c>
      <c r="B186" s="7">
        <v>86000</v>
      </c>
      <c r="C186" s="7" t="s">
        <v>188</v>
      </c>
      <c r="D186" s="7" t="s">
        <v>368</v>
      </c>
      <c r="F186" s="7" t="s">
        <v>223</v>
      </c>
      <c r="G186" s="40">
        <f>3*G201</f>
        <v>0</v>
      </c>
      <c r="H186" s="40">
        <v>200</v>
      </c>
      <c r="I186" s="40">
        <f t="shared" si="231"/>
        <v>0</v>
      </c>
      <c r="J186" s="40"/>
      <c r="K186" s="40">
        <f>3*K201</f>
        <v>6</v>
      </c>
      <c r="L186" s="40">
        <f t="shared" si="232"/>
        <v>1284</v>
      </c>
      <c r="M186" s="111"/>
      <c r="N186" s="40">
        <f>3*N201</f>
        <v>6</v>
      </c>
      <c r="O186" s="40">
        <f t="shared" si="233"/>
        <v>1373.88</v>
      </c>
      <c r="P186" s="111"/>
      <c r="Q186" s="40">
        <f>3*Q201</f>
        <v>6</v>
      </c>
      <c r="R186" s="40">
        <f t="shared" si="234"/>
        <v>1470.0516000000002</v>
      </c>
      <c r="S186" s="111"/>
      <c r="T186" s="40">
        <f>3*T201</f>
        <v>6</v>
      </c>
      <c r="U186" s="40">
        <f t="shared" si="235"/>
        <v>1572.9552120000003</v>
      </c>
      <c r="V186" s="40">
        <f t="shared" si="236"/>
        <v>5700.8868120000006</v>
      </c>
      <c r="W186" s="40" t="s">
        <v>224</v>
      </c>
      <c r="X186" s="40">
        <f t="shared" si="237"/>
        <v>5700.8868120000006</v>
      </c>
    </row>
    <row r="187" spans="1:25" ht="25.2">
      <c r="A187" s="7" t="s">
        <v>363</v>
      </c>
      <c r="B187" s="565" t="s">
        <v>366</v>
      </c>
      <c r="C187" s="7" t="s">
        <v>188</v>
      </c>
      <c r="D187" s="7" t="s">
        <v>369</v>
      </c>
      <c r="F187" s="7" t="s">
        <v>228</v>
      </c>
      <c r="G187" s="40">
        <f>G186*3</f>
        <v>0</v>
      </c>
      <c r="H187" s="40">
        <f>44+85</f>
        <v>129</v>
      </c>
      <c r="I187" s="40">
        <f t="shared" si="231"/>
        <v>0</v>
      </c>
      <c r="J187" s="40"/>
      <c r="K187" s="40">
        <f>K186*3</f>
        <v>18</v>
      </c>
      <c r="L187" s="40">
        <f t="shared" si="232"/>
        <v>2484.54</v>
      </c>
      <c r="M187" s="111"/>
      <c r="N187" s="40">
        <f>N186*3</f>
        <v>18</v>
      </c>
      <c r="O187" s="40">
        <f t="shared" si="233"/>
        <v>2658.4578000000001</v>
      </c>
      <c r="P187" s="111"/>
      <c r="Q187" s="40">
        <f>Q186*3</f>
        <v>18</v>
      </c>
      <c r="R187" s="40">
        <f t="shared" si="234"/>
        <v>2844.5498460000003</v>
      </c>
      <c r="S187" s="111"/>
      <c r="T187" s="40">
        <f>T186*3</f>
        <v>18</v>
      </c>
      <c r="U187" s="40">
        <f t="shared" si="235"/>
        <v>3043.6683352200007</v>
      </c>
      <c r="V187" s="40">
        <f t="shared" si="236"/>
        <v>11031.215981220001</v>
      </c>
      <c r="W187" s="40" t="s">
        <v>224</v>
      </c>
      <c r="X187" s="40">
        <f t="shared" si="237"/>
        <v>11031.215981220001</v>
      </c>
    </row>
    <row r="188" spans="1:25">
      <c r="A188" s="7" t="s">
        <v>363</v>
      </c>
      <c r="B188" s="7">
        <v>86000</v>
      </c>
      <c r="C188" s="7" t="s">
        <v>188</v>
      </c>
      <c r="D188" s="7" t="s">
        <v>370</v>
      </c>
      <c r="F188" s="7" t="s">
        <v>223</v>
      </c>
      <c r="G188" s="40">
        <f>G198</f>
        <v>0</v>
      </c>
      <c r="H188" s="40">
        <v>200</v>
      </c>
      <c r="I188" s="40">
        <f t="shared" si="231"/>
        <v>0</v>
      </c>
      <c r="J188" s="40"/>
      <c r="K188" s="40">
        <f>K198</f>
        <v>2</v>
      </c>
      <c r="L188" s="40">
        <f t="shared" si="232"/>
        <v>428</v>
      </c>
      <c r="M188" s="111"/>
      <c r="N188" s="40">
        <f>N198</f>
        <v>2</v>
      </c>
      <c r="O188" s="40">
        <f t="shared" si="233"/>
        <v>457.96000000000004</v>
      </c>
      <c r="P188" s="111"/>
      <c r="Q188" s="40">
        <f>Q198</f>
        <v>0</v>
      </c>
      <c r="R188" s="40">
        <f t="shared" si="234"/>
        <v>0</v>
      </c>
      <c r="S188" s="111"/>
      <c r="T188" s="40">
        <f>T198</f>
        <v>0</v>
      </c>
      <c r="U188" s="40">
        <f t="shared" si="235"/>
        <v>0</v>
      </c>
      <c r="V188" s="40">
        <f t="shared" ref="V188" si="246">SUM(R188,O188,L188,I188,U188)</f>
        <v>885.96</v>
      </c>
      <c r="W188" s="40" t="s">
        <v>224</v>
      </c>
      <c r="X188" s="40">
        <f t="shared" si="237"/>
        <v>885.96</v>
      </c>
    </row>
    <row r="189" spans="1:25" ht="25.2">
      <c r="A189" s="7" t="s">
        <v>363</v>
      </c>
      <c r="B189" s="565" t="s">
        <v>366</v>
      </c>
      <c r="C189" s="7" t="s">
        <v>188</v>
      </c>
      <c r="D189" s="7" t="s">
        <v>371</v>
      </c>
      <c r="F189" s="7" t="s">
        <v>228</v>
      </c>
      <c r="G189" s="40">
        <f>G188*3</f>
        <v>0</v>
      </c>
      <c r="H189" s="40">
        <f>44+85</f>
        <v>129</v>
      </c>
      <c r="I189" s="40">
        <f t="shared" si="231"/>
        <v>0</v>
      </c>
      <c r="J189" s="40"/>
      <c r="K189" s="40">
        <f>K188*3</f>
        <v>6</v>
      </c>
      <c r="L189" s="40">
        <f t="shared" si="232"/>
        <v>828.18000000000006</v>
      </c>
      <c r="M189" s="111"/>
      <c r="N189" s="40">
        <f>N188*3</f>
        <v>6</v>
      </c>
      <c r="O189" s="40">
        <f t="shared" si="233"/>
        <v>886.15260000000012</v>
      </c>
      <c r="P189" s="111"/>
      <c r="Q189" s="40">
        <f>Q188*3</f>
        <v>0</v>
      </c>
      <c r="R189" s="40">
        <f t="shared" si="234"/>
        <v>0</v>
      </c>
      <c r="S189" s="111"/>
      <c r="T189" s="40">
        <f>T188*3</f>
        <v>0</v>
      </c>
      <c r="U189" s="40">
        <f t="shared" si="235"/>
        <v>0</v>
      </c>
      <c r="V189" s="40">
        <f t="shared" ref="V189" si="247">SUM(R189,O189,L189,I189,U189)</f>
        <v>1714.3326000000002</v>
      </c>
      <c r="W189" s="40" t="s">
        <v>224</v>
      </c>
      <c r="X189" s="40">
        <f t="shared" si="237"/>
        <v>1714.3326000000002</v>
      </c>
    </row>
    <row r="190" spans="1:25">
      <c r="A190" s="7" t="s">
        <v>372</v>
      </c>
      <c r="B190" s="7">
        <v>86000</v>
      </c>
      <c r="C190" s="7" t="s">
        <v>188</v>
      </c>
      <c r="D190" s="7" t="s">
        <v>373</v>
      </c>
      <c r="E190" s="109"/>
      <c r="F190" s="7" t="s">
        <v>374</v>
      </c>
      <c r="G190" s="40">
        <v>500</v>
      </c>
      <c r="H190" s="40">
        <v>10</v>
      </c>
      <c r="I190" s="40">
        <f t="shared" si="231"/>
        <v>5000</v>
      </c>
      <c r="J190" s="40"/>
      <c r="K190" s="40">
        <v>1000</v>
      </c>
      <c r="L190" s="40">
        <f t="shared" si="232"/>
        <v>10700</v>
      </c>
      <c r="M190" s="109"/>
      <c r="N190" s="40">
        <v>500</v>
      </c>
      <c r="O190" s="40">
        <f t="shared" si="233"/>
        <v>5724.5</v>
      </c>
      <c r="P190" s="109"/>
      <c r="Q190" s="40">
        <v>0</v>
      </c>
      <c r="R190" s="40">
        <f t="shared" si="234"/>
        <v>0</v>
      </c>
      <c r="S190" s="109"/>
      <c r="T190" s="40">
        <v>0</v>
      </c>
      <c r="U190" s="40">
        <f t="shared" si="235"/>
        <v>0</v>
      </c>
      <c r="V190" s="40">
        <f t="shared" si="236"/>
        <v>21424.5</v>
      </c>
      <c r="W190" s="40" t="s">
        <v>224</v>
      </c>
      <c r="X190" s="40">
        <f t="shared" si="237"/>
        <v>21424.5</v>
      </c>
    </row>
    <row r="191" spans="1:25">
      <c r="A191" s="37"/>
      <c r="B191" s="37"/>
      <c r="C191" s="37"/>
      <c r="D191" s="37" t="s">
        <v>375</v>
      </c>
      <c r="E191" s="115"/>
      <c r="F191" s="42"/>
      <c r="G191" s="43"/>
      <c r="H191" s="43"/>
      <c r="I191" s="44">
        <f>SUM(I182:I190)</f>
        <v>7961</v>
      </c>
      <c r="J191" s="115"/>
      <c r="K191" s="44"/>
      <c r="L191" s="44">
        <f>SUM(L182:L190)</f>
        <v>21781.99</v>
      </c>
      <c r="M191" s="115"/>
      <c r="N191" s="44"/>
      <c r="O191" s="44">
        <f>SUM(O182:O190)</f>
        <v>15222.590399999999</v>
      </c>
      <c r="P191" s="115"/>
      <c r="Q191" s="44"/>
      <c r="R191" s="44">
        <f>SUM(R182:R190)</f>
        <v>8724.7562460000008</v>
      </c>
      <c r="S191" s="115"/>
      <c r="T191" s="44"/>
      <c r="U191" s="44">
        <f>SUM(U182:U190)</f>
        <v>8155.7727742200013</v>
      </c>
      <c r="V191" s="44">
        <f>SUM(V182:V190)</f>
        <v>61846.109420220004</v>
      </c>
      <c r="W191" s="44">
        <f>SUM(W182:W190)</f>
        <v>0</v>
      </c>
      <c r="X191" s="44">
        <f>SUM(X182:X190)</f>
        <v>61846.109420220004</v>
      </c>
    </row>
    <row r="192" spans="1:25">
      <c r="A192" s="92"/>
      <c r="B192" s="92"/>
      <c r="C192" s="92"/>
      <c r="D192" s="92"/>
      <c r="E192" s="116"/>
      <c r="F192" s="69"/>
      <c r="G192" s="55"/>
      <c r="H192" s="55"/>
      <c r="I192" s="93"/>
      <c r="J192" s="116"/>
      <c r="K192" s="93"/>
      <c r="L192" s="93"/>
      <c r="M192" s="116"/>
      <c r="N192" s="93"/>
      <c r="O192" s="93"/>
      <c r="P192" s="116"/>
      <c r="Q192" s="93"/>
      <c r="R192" s="93"/>
      <c r="S192" s="116"/>
      <c r="T192" s="93"/>
      <c r="U192" s="93"/>
      <c r="V192" s="93"/>
      <c r="W192" s="93"/>
      <c r="X192" s="93"/>
    </row>
    <row r="193" spans="1:27">
      <c r="A193" s="37"/>
      <c r="B193" s="37"/>
      <c r="C193" s="37"/>
      <c r="D193" s="37" t="s">
        <v>376</v>
      </c>
      <c r="E193" s="115"/>
      <c r="F193" s="42"/>
      <c r="G193" s="43"/>
      <c r="H193" s="43"/>
      <c r="I193" s="43"/>
      <c r="J193" s="115"/>
      <c r="K193" s="43"/>
      <c r="L193" s="43"/>
      <c r="M193" s="115"/>
      <c r="N193" s="43"/>
      <c r="O193" s="43"/>
      <c r="P193" s="115"/>
      <c r="Q193" s="43"/>
      <c r="R193" s="43"/>
      <c r="S193" s="115"/>
      <c r="T193" s="43"/>
      <c r="U193" s="43"/>
      <c r="V193" s="43"/>
      <c r="W193" s="43"/>
      <c r="X193" s="43"/>
    </row>
    <row r="194" spans="1:27">
      <c r="A194" s="79"/>
      <c r="B194" s="79"/>
      <c r="C194" s="79"/>
      <c r="D194" s="79" t="s">
        <v>377</v>
      </c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</row>
    <row r="195" spans="1:27">
      <c r="A195" s="7" t="s">
        <v>378</v>
      </c>
      <c r="B195" s="7">
        <v>89000</v>
      </c>
      <c r="C195" s="7" t="s">
        <v>188</v>
      </c>
      <c r="D195" s="7" t="s">
        <v>379</v>
      </c>
      <c r="E195" s="109"/>
      <c r="F195" s="46" t="s">
        <v>380</v>
      </c>
      <c r="G195" s="40">
        <v>0</v>
      </c>
      <c r="H195" s="40">
        <v>1425</v>
      </c>
      <c r="I195" s="40">
        <f t="shared" ref="I195" si="248">G195*H195</f>
        <v>0</v>
      </c>
      <c r="J195" s="109"/>
      <c r="K195" s="40">
        <v>400</v>
      </c>
      <c r="L195" s="40">
        <f t="shared" ref="L195" si="249">K195*H195</f>
        <v>570000</v>
      </c>
      <c r="M195" s="109"/>
      <c r="N195" s="40">
        <v>533</v>
      </c>
      <c r="O195" s="40">
        <f t="shared" ref="O195" si="250">N195*H195</f>
        <v>759525</v>
      </c>
      <c r="P195" s="109"/>
      <c r="Q195" s="40">
        <v>400</v>
      </c>
      <c r="R195" s="40">
        <f t="shared" ref="R195" si="251">Q195*H195</f>
        <v>570000</v>
      </c>
      <c r="S195" s="109"/>
      <c r="T195" s="40">
        <v>0</v>
      </c>
      <c r="U195" s="40">
        <f t="shared" ref="U195" si="252">T195*K195</f>
        <v>0</v>
      </c>
      <c r="V195" s="40">
        <f t="shared" ref="V195" si="253">SUM(R195,O195,L195,I195,U195)</f>
        <v>1899525</v>
      </c>
      <c r="W195" s="40">
        <v>0</v>
      </c>
      <c r="X195" s="40">
        <f t="shared" ref="X195" si="254">V195+W195</f>
        <v>1899525</v>
      </c>
    </row>
    <row r="196" spans="1:27">
      <c r="A196" s="79"/>
      <c r="B196" s="79"/>
      <c r="C196" s="79"/>
      <c r="D196" s="79" t="s">
        <v>381</v>
      </c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</row>
    <row r="197" spans="1:27">
      <c r="A197" s="7" t="s">
        <v>382</v>
      </c>
      <c r="B197" s="7">
        <v>87000</v>
      </c>
      <c r="C197" s="7" t="s">
        <v>188</v>
      </c>
      <c r="D197" s="7" t="s">
        <v>383</v>
      </c>
      <c r="F197" s="7" t="s">
        <v>228</v>
      </c>
      <c r="G197" s="40">
        <f>G170</f>
        <v>8</v>
      </c>
      <c r="H197" s="40">
        <f>(65*10)+250</f>
        <v>900</v>
      </c>
      <c r="I197" s="40">
        <f>G197*H197</f>
        <v>7200</v>
      </c>
      <c r="J197" s="111"/>
      <c r="K197" s="40">
        <f>K170</f>
        <v>16</v>
      </c>
      <c r="L197" s="40">
        <f>H197*K197</f>
        <v>14400</v>
      </c>
      <c r="M197" s="111"/>
      <c r="N197" s="40">
        <f>N170</f>
        <v>8</v>
      </c>
      <c r="O197" s="40">
        <f>H197*N197</f>
        <v>7200</v>
      </c>
      <c r="P197" s="111"/>
      <c r="Q197" s="40">
        <f>Q170</f>
        <v>0</v>
      </c>
      <c r="R197" s="40">
        <f>H197*Q197</f>
        <v>0</v>
      </c>
      <c r="S197" s="111"/>
      <c r="T197" s="40">
        <f>T170</f>
        <v>0</v>
      </c>
      <c r="U197" s="40">
        <f>H197*T197</f>
        <v>0</v>
      </c>
      <c r="V197" s="40">
        <f t="shared" ref="V197:V198" si="255">SUM(R197,O197,L197,I197,U197)</f>
        <v>28800</v>
      </c>
      <c r="W197" s="40" t="s">
        <v>224</v>
      </c>
      <c r="X197" s="40">
        <f>SUM(V197:W197)</f>
        <v>28800</v>
      </c>
    </row>
    <row r="198" spans="1:27">
      <c r="A198" s="7" t="s">
        <v>384</v>
      </c>
      <c r="B198" s="7">
        <v>87000</v>
      </c>
      <c r="C198" s="7" t="s">
        <v>188</v>
      </c>
      <c r="D198" s="7" t="s">
        <v>385</v>
      </c>
      <c r="F198" s="7" t="s">
        <v>139</v>
      </c>
      <c r="G198" s="40">
        <v>0</v>
      </c>
      <c r="H198" s="40">
        <f>3*((33*10)+300)</f>
        <v>1890</v>
      </c>
      <c r="I198" s="40">
        <f>G198*H198</f>
        <v>0</v>
      </c>
      <c r="J198" s="111"/>
      <c r="K198" s="40">
        <v>2</v>
      </c>
      <c r="L198" s="40">
        <f>H198*K198</f>
        <v>3780</v>
      </c>
      <c r="M198" s="111"/>
      <c r="N198" s="40">
        <v>2</v>
      </c>
      <c r="O198" s="40">
        <f>H198*N198</f>
        <v>3780</v>
      </c>
      <c r="P198" s="111"/>
      <c r="Q198" s="40">
        <v>0</v>
      </c>
      <c r="R198" s="40">
        <f>H198*Q198</f>
        <v>0</v>
      </c>
      <c r="S198" s="111"/>
      <c r="T198" s="40">
        <v>0</v>
      </c>
      <c r="U198" s="40">
        <f>H198*T198</f>
        <v>0</v>
      </c>
      <c r="V198" s="40">
        <f t="shared" si="255"/>
        <v>7560</v>
      </c>
      <c r="W198" s="40" t="s">
        <v>224</v>
      </c>
      <c r="X198" s="40">
        <f>SUM(V198:W198)</f>
        <v>7560</v>
      </c>
    </row>
    <row r="199" spans="1:27">
      <c r="A199" s="7" t="s">
        <v>386</v>
      </c>
      <c r="B199" s="7">
        <v>87000</v>
      </c>
      <c r="C199" s="7" t="s">
        <v>188</v>
      </c>
      <c r="D199" s="7" t="s">
        <v>387</v>
      </c>
      <c r="F199" s="7" t="s">
        <v>388</v>
      </c>
      <c r="G199" s="40">
        <v>2</v>
      </c>
      <c r="H199" s="40">
        <f>2*((23*10)+300)</f>
        <v>1060</v>
      </c>
      <c r="I199" s="40">
        <f>G199*H199</f>
        <v>2120</v>
      </c>
      <c r="J199" s="111"/>
      <c r="K199" s="40">
        <v>0</v>
      </c>
      <c r="L199" s="40">
        <f>H199*K199</f>
        <v>0</v>
      </c>
      <c r="M199" s="111"/>
      <c r="N199" s="40">
        <v>0</v>
      </c>
      <c r="O199" s="40">
        <f>H199*N199</f>
        <v>0</v>
      </c>
      <c r="P199" s="111"/>
      <c r="Q199" s="40">
        <v>0</v>
      </c>
      <c r="R199" s="40">
        <f>H199*Q199</f>
        <v>0</v>
      </c>
      <c r="S199" s="111"/>
      <c r="T199" s="40">
        <v>0</v>
      </c>
      <c r="U199" s="40">
        <f>H199*T199</f>
        <v>0</v>
      </c>
      <c r="V199" s="40">
        <f t="shared" ref="V199" si="256">SUM(R199,O199,L199,I199,U199)</f>
        <v>2120</v>
      </c>
      <c r="W199" s="40" t="s">
        <v>224</v>
      </c>
      <c r="X199" s="40">
        <f>SUM(V199:W199)</f>
        <v>2120</v>
      </c>
    </row>
    <row r="200" spans="1:27">
      <c r="A200" s="79"/>
      <c r="B200" s="79"/>
      <c r="C200" s="79"/>
      <c r="D200" s="79" t="s">
        <v>389</v>
      </c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</row>
    <row r="201" spans="1:27">
      <c r="A201" s="7" t="s">
        <v>390</v>
      </c>
      <c r="B201" s="7">
        <v>87000</v>
      </c>
      <c r="C201" s="7" t="s">
        <v>188</v>
      </c>
      <c r="D201" s="7" t="s">
        <v>391</v>
      </c>
      <c r="F201" s="7" t="s">
        <v>392</v>
      </c>
      <c r="G201" s="40">
        <v>0</v>
      </c>
      <c r="H201" s="40">
        <v>2500</v>
      </c>
      <c r="I201" s="40">
        <f>G201*H201</f>
        <v>0</v>
      </c>
      <c r="J201" s="111"/>
      <c r="K201" s="40">
        <v>2</v>
      </c>
      <c r="L201" s="40">
        <f>H201*K201</f>
        <v>5000</v>
      </c>
      <c r="M201" s="111"/>
      <c r="N201" s="40">
        <v>2</v>
      </c>
      <c r="O201" s="40">
        <f>H201*N201</f>
        <v>5000</v>
      </c>
      <c r="P201" s="111"/>
      <c r="Q201" s="40">
        <v>2</v>
      </c>
      <c r="R201" s="40">
        <f>H201*Q201</f>
        <v>5000</v>
      </c>
      <c r="S201" s="111"/>
      <c r="T201" s="40">
        <v>2</v>
      </c>
      <c r="U201" s="40">
        <f>H201*T201</f>
        <v>5000</v>
      </c>
      <c r="V201" s="40">
        <f t="shared" ref="V201" si="257">SUM(R201,O201,L201,I201,U201)</f>
        <v>20000</v>
      </c>
      <c r="W201" s="40" t="s">
        <v>224</v>
      </c>
      <c r="X201" s="40">
        <f>SUM(V201:W201)</f>
        <v>20000</v>
      </c>
    </row>
    <row r="202" spans="1:27" ht="25.2">
      <c r="A202" s="7" t="s">
        <v>393</v>
      </c>
      <c r="B202" s="565" t="s">
        <v>272</v>
      </c>
      <c r="C202" s="7" t="s">
        <v>188</v>
      </c>
      <c r="D202" s="7" t="s">
        <v>394</v>
      </c>
      <c r="F202" s="7" t="s">
        <v>247</v>
      </c>
      <c r="G202" s="40">
        <v>0</v>
      </c>
      <c r="H202" s="40">
        <v>15000</v>
      </c>
      <c r="I202" s="40">
        <f>G202*H202</f>
        <v>0</v>
      </c>
      <c r="J202" s="111"/>
      <c r="K202" s="40">
        <v>1</v>
      </c>
      <c r="L202" s="40">
        <f>H202*K202</f>
        <v>15000</v>
      </c>
      <c r="M202" s="111"/>
      <c r="N202" s="40">
        <v>0</v>
      </c>
      <c r="O202" s="40">
        <f>H202*N202</f>
        <v>0</v>
      </c>
      <c r="P202" s="111"/>
      <c r="Q202" s="40">
        <v>0</v>
      </c>
      <c r="R202" s="40">
        <f>H202*Q202</f>
        <v>0</v>
      </c>
      <c r="S202" s="111"/>
      <c r="T202" s="40">
        <v>0</v>
      </c>
      <c r="U202" s="40">
        <f>H202*T202</f>
        <v>0</v>
      </c>
      <c r="V202" s="40">
        <f t="shared" ref="V202" si="258">SUM(R202,O202,L202,I202,U202)</f>
        <v>15000</v>
      </c>
      <c r="W202" s="40" t="s">
        <v>224</v>
      </c>
      <c r="X202" s="40">
        <f>SUM(V202:W202)</f>
        <v>15000</v>
      </c>
    </row>
    <row r="203" spans="1:27">
      <c r="A203" s="37"/>
      <c r="B203" s="37"/>
      <c r="C203" s="37"/>
      <c r="D203" s="37" t="s">
        <v>395</v>
      </c>
      <c r="E203" s="115"/>
      <c r="F203" s="42"/>
      <c r="G203" s="43"/>
      <c r="H203" s="43"/>
      <c r="I203" s="44">
        <f>SUM(I194:I202)</f>
        <v>9320</v>
      </c>
      <c r="J203" s="115"/>
      <c r="K203" s="44"/>
      <c r="L203" s="44">
        <f>SUM(L194:L202)</f>
        <v>608180</v>
      </c>
      <c r="M203" s="115"/>
      <c r="N203" s="44"/>
      <c r="O203" s="44">
        <f>SUM(O194:O202)</f>
        <v>775505</v>
      </c>
      <c r="P203" s="115"/>
      <c r="Q203" s="44"/>
      <c r="R203" s="44">
        <f>SUM(R194:R202)</f>
        <v>575000</v>
      </c>
      <c r="S203" s="115"/>
      <c r="T203" s="44"/>
      <c r="U203" s="44">
        <f>SUM(U194:U202)</f>
        <v>5000</v>
      </c>
      <c r="V203" s="44">
        <f>SUM(V194:V202)</f>
        <v>1973005</v>
      </c>
      <c r="W203" s="44">
        <f>SUM(W194:W202)</f>
        <v>0</v>
      </c>
      <c r="X203" s="44">
        <f>SUM(X194:X202)</f>
        <v>1973005</v>
      </c>
    </row>
    <row r="204" spans="1:27">
      <c r="A204" s="92"/>
      <c r="B204" s="92"/>
      <c r="C204" s="92"/>
      <c r="D204" s="92"/>
      <c r="E204" s="116"/>
      <c r="F204" s="69"/>
      <c r="G204" s="55"/>
      <c r="H204" s="55"/>
      <c r="I204" s="93"/>
      <c r="J204" s="116"/>
      <c r="K204" s="93"/>
      <c r="L204" s="93"/>
      <c r="M204" s="116"/>
      <c r="N204" s="93"/>
      <c r="O204" s="93"/>
      <c r="P204" s="116"/>
      <c r="Q204" s="93"/>
      <c r="R204" s="93"/>
      <c r="S204" s="116"/>
      <c r="T204" s="93"/>
      <c r="U204" s="93"/>
      <c r="V204" s="93"/>
      <c r="W204" s="93"/>
      <c r="X204" s="93"/>
    </row>
    <row r="205" spans="1:27">
      <c r="A205" s="37"/>
      <c r="B205" s="37"/>
      <c r="C205" s="37"/>
      <c r="D205" s="37" t="s">
        <v>396</v>
      </c>
      <c r="E205" s="115"/>
      <c r="F205" s="42"/>
      <c r="G205" s="43"/>
      <c r="H205" s="43"/>
      <c r="I205" s="43"/>
      <c r="J205" s="115"/>
      <c r="K205" s="43"/>
      <c r="L205" s="43"/>
      <c r="M205" s="115"/>
      <c r="N205" s="43"/>
      <c r="O205" s="43"/>
      <c r="P205" s="115"/>
      <c r="Q205" s="43"/>
      <c r="R205" s="43"/>
      <c r="S205" s="115"/>
      <c r="T205" s="43"/>
      <c r="U205" s="43"/>
      <c r="V205" s="43"/>
      <c r="W205" s="43"/>
      <c r="X205" s="43"/>
    </row>
    <row r="206" spans="1:27">
      <c r="A206" s="41" t="s">
        <v>397</v>
      </c>
      <c r="B206" s="565">
        <v>96000</v>
      </c>
      <c r="C206" s="7" t="s">
        <v>188</v>
      </c>
      <c r="D206" s="7" t="s">
        <v>398</v>
      </c>
      <c r="E206" s="109"/>
      <c r="F206" s="45" t="s">
        <v>247</v>
      </c>
      <c r="G206" s="40">
        <f>G195</f>
        <v>0</v>
      </c>
      <c r="H206" s="40">
        <f>H195*5%</f>
        <v>71.25</v>
      </c>
      <c r="I206" s="40">
        <v>0</v>
      </c>
      <c r="J206" s="109"/>
      <c r="K206" s="40">
        <f>K195</f>
        <v>400</v>
      </c>
      <c r="L206" s="40">
        <v>0</v>
      </c>
      <c r="M206" s="109"/>
      <c r="N206" s="40">
        <f>N195</f>
        <v>533</v>
      </c>
      <c r="O206" s="40">
        <v>0</v>
      </c>
      <c r="P206" s="109"/>
      <c r="Q206" s="40">
        <f>Q195</f>
        <v>400</v>
      </c>
      <c r="R206" s="40">
        <v>0</v>
      </c>
      <c r="S206" s="109"/>
      <c r="T206" s="40">
        <f>T195</f>
        <v>0</v>
      </c>
      <c r="U206" s="40">
        <v>0</v>
      </c>
      <c r="V206" s="40">
        <f t="shared" ref="V206" si="259">SUM(R206,O206,L206,I206,U206)</f>
        <v>0</v>
      </c>
      <c r="W206" s="40">
        <f>(G206*H206)+(K206*H206)+(N206*H206)+(H206*Q206)+(T206*H206)</f>
        <v>94976.25</v>
      </c>
      <c r="X206" s="40">
        <f>V206+W206</f>
        <v>94976.25</v>
      </c>
      <c r="Z206" s="525"/>
      <c r="AA206" s="525"/>
    </row>
    <row r="207" spans="1:27">
      <c r="A207" s="41" t="s">
        <v>397</v>
      </c>
      <c r="B207" s="565">
        <v>96000</v>
      </c>
      <c r="C207" s="7" t="s">
        <v>188</v>
      </c>
      <c r="D207" s="7" t="s">
        <v>399</v>
      </c>
      <c r="E207" s="109"/>
      <c r="F207" s="45" t="s">
        <v>392</v>
      </c>
      <c r="G207" s="40">
        <v>1</v>
      </c>
      <c r="H207" s="40">
        <v>249.95</v>
      </c>
      <c r="I207" s="40">
        <v>0</v>
      </c>
      <c r="J207" s="111"/>
      <c r="K207" s="40">
        <v>1</v>
      </c>
      <c r="L207" s="40">
        <v>0</v>
      </c>
      <c r="M207" s="111"/>
      <c r="N207" s="40">
        <v>1</v>
      </c>
      <c r="O207" s="40">
        <v>0</v>
      </c>
      <c r="P207" s="111"/>
      <c r="Q207" s="40">
        <v>1</v>
      </c>
      <c r="R207" s="40">
        <v>0</v>
      </c>
      <c r="S207" s="111"/>
      <c r="T207" s="40">
        <v>1</v>
      </c>
      <c r="U207" s="40">
        <v>0</v>
      </c>
      <c r="V207" s="40">
        <f>SUM(R207,O207,L207,I207,U207)</f>
        <v>0</v>
      </c>
      <c r="W207" s="40">
        <f>(G207*H207)+(K207*H207)+(N207*H207)+(H207*Q207)+(T207*H207)</f>
        <v>1249.75</v>
      </c>
      <c r="X207" s="40">
        <f>SUM(V207:W207)</f>
        <v>1249.75</v>
      </c>
      <c r="Z207" s="525"/>
      <c r="AA207" s="525"/>
    </row>
    <row r="208" spans="1:27">
      <c r="A208" s="41" t="s">
        <v>397</v>
      </c>
      <c r="B208" s="565">
        <v>96000</v>
      </c>
      <c r="C208" s="7" t="s">
        <v>188</v>
      </c>
      <c r="D208" s="7" t="s">
        <v>400</v>
      </c>
      <c r="E208" s="109"/>
      <c r="F208" s="45" t="s">
        <v>228</v>
      </c>
      <c r="G208" s="40">
        <v>2</v>
      </c>
      <c r="H208" s="40">
        <v>125</v>
      </c>
      <c r="I208" s="40">
        <v>0</v>
      </c>
      <c r="J208" s="111"/>
      <c r="K208" s="40">
        <v>0</v>
      </c>
      <c r="L208" s="40">
        <v>0</v>
      </c>
      <c r="M208" s="111"/>
      <c r="N208" s="40">
        <v>0</v>
      </c>
      <c r="O208" s="40">
        <v>0</v>
      </c>
      <c r="P208" s="111"/>
      <c r="Q208" s="40">
        <v>0</v>
      </c>
      <c r="R208" s="40">
        <v>0</v>
      </c>
      <c r="S208" s="111"/>
      <c r="T208" s="40">
        <v>0</v>
      </c>
      <c r="U208" s="40">
        <v>0</v>
      </c>
      <c r="V208" s="40">
        <f>SUM(R208,O208,L208,I208,U208)</f>
        <v>0</v>
      </c>
      <c r="W208" s="40">
        <f>(G208*H208)+(K208*H208)+(N208*H208)+(H208*Q208)+(T208*H208)</f>
        <v>250</v>
      </c>
      <c r="X208" s="40">
        <f>SUM(V208:W208)</f>
        <v>250</v>
      </c>
      <c r="Z208" s="525"/>
      <c r="AA208" s="525"/>
    </row>
    <row r="209" spans="1:25">
      <c r="A209" s="37"/>
      <c r="B209" s="37"/>
      <c r="C209" s="37"/>
      <c r="D209" s="37" t="s">
        <v>401</v>
      </c>
      <c r="E209" s="115"/>
      <c r="F209" s="42"/>
      <c r="G209" s="43"/>
      <c r="H209" s="43"/>
      <c r="I209" s="44">
        <f>SUM(I206:I208)</f>
        <v>0</v>
      </c>
      <c r="J209" s="115"/>
      <c r="K209" s="44"/>
      <c r="L209" s="44">
        <f>SUM(L206:L208)</f>
        <v>0</v>
      </c>
      <c r="M209" s="115"/>
      <c r="N209" s="44"/>
      <c r="O209" s="44">
        <f>SUM(O206:O208)</f>
        <v>0</v>
      </c>
      <c r="P209" s="115"/>
      <c r="Q209" s="44"/>
      <c r="R209" s="44">
        <f>SUM(R206:R208)</f>
        <v>0</v>
      </c>
      <c r="S209" s="115"/>
      <c r="T209" s="44"/>
      <c r="U209" s="44">
        <f>SUM(U206:U208)</f>
        <v>0</v>
      </c>
      <c r="V209" s="44">
        <f>SUM(V206:V208)</f>
        <v>0</v>
      </c>
      <c r="W209" s="44">
        <f>SUM(W206:W208)</f>
        <v>96476</v>
      </c>
      <c r="X209" s="44">
        <f>SUM(X206:X208)</f>
        <v>96476</v>
      </c>
    </row>
    <row r="210" spans="1:25">
      <c r="A210" s="92"/>
      <c r="B210" s="92"/>
      <c r="C210" s="92"/>
      <c r="D210" s="92"/>
      <c r="E210" s="116"/>
      <c r="F210" s="69"/>
      <c r="G210" s="55"/>
      <c r="H210" s="55"/>
      <c r="I210" s="93"/>
      <c r="J210" s="116"/>
      <c r="K210" s="93"/>
      <c r="L210" s="93"/>
      <c r="M210" s="116"/>
      <c r="N210" s="93"/>
      <c r="O210" s="93"/>
      <c r="P210" s="116"/>
      <c r="Q210" s="93"/>
      <c r="R210" s="93"/>
      <c r="S210" s="116"/>
      <c r="T210" s="93"/>
      <c r="U210" s="93"/>
      <c r="V210" s="93"/>
      <c r="W210" s="93"/>
      <c r="X210" s="93"/>
    </row>
    <row r="211" spans="1:25" ht="12.9" thickBot="1">
      <c r="A211" s="533"/>
      <c r="B211" s="533"/>
      <c r="C211" s="533"/>
      <c r="D211" s="533" t="s">
        <v>402</v>
      </c>
      <c r="E211" s="537"/>
      <c r="F211" s="533"/>
      <c r="G211" s="543"/>
      <c r="H211" s="543"/>
      <c r="I211" s="540">
        <f>SUM(I179+I174+I191+I165+I161+I203+I209)</f>
        <v>294503.25</v>
      </c>
      <c r="J211" s="537"/>
      <c r="K211" s="540"/>
      <c r="L211" s="540">
        <f>SUM(L179+L174+L191+L165+L161+L203+L209)</f>
        <v>1073975.5649999999</v>
      </c>
      <c r="M211" s="537"/>
      <c r="N211" s="540"/>
      <c r="O211" s="540">
        <f>SUM(O179+O174+O191+O165+O161+O203+O209)</f>
        <v>1173907.983525</v>
      </c>
      <c r="P211" s="537"/>
      <c r="Q211" s="540"/>
      <c r="R211" s="540">
        <f>SUM(R179+R174+R191+R165+R161+R203+R209)</f>
        <v>964484.16902725003</v>
      </c>
      <c r="S211" s="537"/>
      <c r="T211" s="540"/>
      <c r="U211" s="540">
        <f>SUM(U179+U174+U191+U165+U161+U203+U209)</f>
        <v>354054.16294218873</v>
      </c>
      <c r="V211" s="540">
        <f>SUM(V179+V174+V191+V165+V161+V203+V209)</f>
        <v>3860925.1304944386</v>
      </c>
      <c r="W211" s="540">
        <f>SUM(W179+W174+W191+W165+W161+W203+W209)</f>
        <v>96476</v>
      </c>
      <c r="X211" s="540">
        <f>SUM(X179+X174+X191+X165+X161+X203+X209)</f>
        <v>3957401.1304944386</v>
      </c>
      <c r="Y211" s="549"/>
    </row>
    <row r="212" spans="1:25">
      <c r="A212" s="69"/>
      <c r="B212" s="69"/>
      <c r="C212" s="69"/>
      <c r="D212" s="69"/>
      <c r="E212" s="107"/>
      <c r="F212" s="69"/>
      <c r="G212" s="55"/>
      <c r="H212" s="55"/>
      <c r="I212" s="55"/>
      <c r="J212" s="107"/>
      <c r="K212" s="55"/>
      <c r="L212" s="55"/>
      <c r="M212" s="107"/>
      <c r="N212" s="55"/>
      <c r="O212" s="55"/>
      <c r="P212" s="107"/>
      <c r="Q212" s="55"/>
      <c r="R212" s="55"/>
      <c r="S212" s="107"/>
      <c r="T212" s="55"/>
      <c r="U212" s="55"/>
      <c r="V212" s="55"/>
      <c r="W212" s="55"/>
      <c r="X212" s="55"/>
    </row>
    <row r="213" spans="1:25">
      <c r="A213" s="86"/>
      <c r="B213" s="86"/>
      <c r="C213" s="86"/>
      <c r="D213" s="86" t="str">
        <f>'USDA Budget Summary'!A29</f>
        <v>Activity 2: Increase Productivity of the Oasis Agricultural System</v>
      </c>
      <c r="E213" s="113"/>
      <c r="F213" s="34"/>
      <c r="G213" s="34"/>
      <c r="H213" s="35"/>
      <c r="I213" s="87"/>
      <c r="J213" s="113"/>
      <c r="K213" s="87"/>
      <c r="L213" s="87"/>
      <c r="M213" s="113"/>
      <c r="N213" s="87"/>
      <c r="O213" s="87"/>
      <c r="P213" s="113"/>
      <c r="Q213" s="87"/>
      <c r="R213" s="87"/>
      <c r="S213" s="113"/>
      <c r="T213" s="87"/>
      <c r="U213" s="87"/>
      <c r="V213" s="87"/>
      <c r="W213" s="88"/>
      <c r="X213" s="87"/>
    </row>
    <row r="214" spans="1:25">
      <c r="A214" s="89"/>
      <c r="B214" s="89"/>
      <c r="C214" s="89"/>
      <c r="D214" s="89" t="s">
        <v>337</v>
      </c>
      <c r="E214" s="114"/>
      <c r="F214" s="90"/>
      <c r="G214" s="91"/>
      <c r="H214" s="91"/>
      <c r="I214" s="91"/>
      <c r="J214" s="114"/>
      <c r="K214" s="91"/>
      <c r="L214" s="91"/>
      <c r="M214" s="114"/>
      <c r="N214" s="91"/>
      <c r="O214" s="91"/>
      <c r="P214" s="114"/>
      <c r="Q214" s="91"/>
      <c r="R214" s="91"/>
      <c r="S214" s="114"/>
      <c r="T214" s="91"/>
      <c r="U214" s="91"/>
      <c r="V214" s="91"/>
      <c r="W214" s="91"/>
      <c r="X214" s="91"/>
    </row>
    <row r="215" spans="1:25">
      <c r="A215" s="37"/>
      <c r="B215" s="37"/>
      <c r="C215" s="37"/>
      <c r="D215" s="37" t="s">
        <v>403</v>
      </c>
      <c r="E215" s="115"/>
      <c r="F215" s="42"/>
      <c r="G215" s="43"/>
      <c r="H215" s="43"/>
      <c r="I215" s="43"/>
      <c r="J215" s="115"/>
      <c r="K215" s="43"/>
      <c r="L215" s="43"/>
      <c r="M215" s="115"/>
      <c r="N215" s="43"/>
      <c r="O215" s="43"/>
      <c r="P215" s="115"/>
      <c r="Q215" s="43"/>
      <c r="R215" s="43"/>
      <c r="S215" s="115"/>
      <c r="T215" s="43"/>
      <c r="U215" s="43"/>
      <c r="V215" s="43"/>
      <c r="W215" s="43"/>
      <c r="X215" s="43"/>
    </row>
    <row r="216" spans="1:25">
      <c r="A216" s="7" t="s">
        <v>404</v>
      </c>
      <c r="B216" s="7">
        <v>70000</v>
      </c>
      <c r="C216" s="7" t="s">
        <v>188</v>
      </c>
      <c r="D216" s="7" t="str">
        <f t="shared" ref="D216:D236" si="260">D12</f>
        <v>Key Personnel: Chief of Party - Ms. Rym Ayari</v>
      </c>
      <c r="E216" s="104">
        <f>'LOE Breakdown by Year'!F11</f>
        <v>0.25</v>
      </c>
      <c r="F216" s="46" t="s">
        <v>190</v>
      </c>
      <c r="G216" s="40">
        <f t="shared" ref="G216:H236" si="261">G12</f>
        <v>12</v>
      </c>
      <c r="H216" s="40">
        <f t="shared" si="261"/>
        <v>13000</v>
      </c>
      <c r="I216" s="40">
        <f>G216*H216*E216</f>
        <v>39000</v>
      </c>
      <c r="J216" s="104">
        <f>'LOE Breakdown by Year'!F41</f>
        <v>0.3</v>
      </c>
      <c r="K216" s="40">
        <f t="shared" ref="K216:K236" si="262">K12</f>
        <v>12</v>
      </c>
      <c r="L216" s="40">
        <f>K216*H216*$E$7*$J216</f>
        <v>49140</v>
      </c>
      <c r="M216" s="104">
        <f>'LOE Breakdown by Year'!F71</f>
        <v>0.3</v>
      </c>
      <c r="N216" s="40">
        <f t="shared" ref="N216:N236" si="263">N12</f>
        <v>12</v>
      </c>
      <c r="O216" s="40">
        <f t="shared" ref="O216" si="264">N216*H216*$M216*$E$7*$E$7</f>
        <v>51597</v>
      </c>
      <c r="P216" s="104">
        <f>'LOE Breakdown by Year'!F101</f>
        <v>0.3</v>
      </c>
      <c r="Q216" s="40">
        <f t="shared" ref="Q216:Q236" si="265">Q12</f>
        <v>12</v>
      </c>
      <c r="R216" s="40">
        <f t="shared" ref="R216" si="266">Q216*H216*$P216*$E$7*$E$7*$E$7</f>
        <v>54176.850000000006</v>
      </c>
      <c r="S216" s="104">
        <f>'LOE Breakdown by Year'!F131</f>
        <v>0.3</v>
      </c>
      <c r="T216" s="40">
        <f t="shared" ref="T216:T236" si="267">T12</f>
        <v>12</v>
      </c>
      <c r="U216" s="40">
        <f t="shared" ref="U216" si="268">T216*H216*$S216*$E$7*$E$7*$E$7*$E$7</f>
        <v>56885.692500000012</v>
      </c>
      <c r="V216" s="40">
        <f t="shared" ref="V216" si="269">SUM(R216,O216,L216,I216,U216)</f>
        <v>250799.54250000001</v>
      </c>
      <c r="W216" s="40">
        <v>0</v>
      </c>
      <c r="X216" s="40">
        <f t="shared" ref="X216" si="270">SUM(V216:W216)</f>
        <v>250799.54250000001</v>
      </c>
    </row>
    <row r="217" spans="1:25">
      <c r="A217" s="7" t="s">
        <v>404</v>
      </c>
      <c r="B217" s="7">
        <v>70000</v>
      </c>
      <c r="C217" s="7" t="s">
        <v>188</v>
      </c>
      <c r="D217" s="7" t="str">
        <f t="shared" si="260"/>
        <v>Key Personnel: Technical Director</v>
      </c>
      <c r="E217" s="104">
        <f>'LOE Breakdown by Year'!F12</f>
        <v>0.25</v>
      </c>
      <c r="F217" s="46" t="s">
        <v>190</v>
      </c>
      <c r="G217" s="40">
        <f t="shared" si="261"/>
        <v>9</v>
      </c>
      <c r="H217" s="40">
        <f t="shared" si="261"/>
        <v>3916.6666666666665</v>
      </c>
      <c r="I217" s="40">
        <f t="shared" ref="I217:I236" si="271">G217*H217*E217</f>
        <v>8812.5</v>
      </c>
      <c r="J217" s="104">
        <f>'LOE Breakdown by Year'!F42</f>
        <v>0.35</v>
      </c>
      <c r="K217" s="40">
        <f t="shared" si="262"/>
        <v>12</v>
      </c>
      <c r="L217" s="40">
        <f t="shared" ref="L217:L236" si="272">K217*H217*$E$7*$J217</f>
        <v>17272.5</v>
      </c>
      <c r="M217" s="104">
        <f>'LOE Breakdown by Year'!F72</f>
        <v>0.32</v>
      </c>
      <c r="N217" s="40">
        <f t="shared" si="263"/>
        <v>12</v>
      </c>
      <c r="O217" s="40">
        <f t="shared" ref="O217:O236" si="273">N217*H217*$M217*$E$7*$E$7</f>
        <v>16581.600000000002</v>
      </c>
      <c r="P217" s="104">
        <f>'LOE Breakdown by Year'!F102</f>
        <v>0.32</v>
      </c>
      <c r="Q217" s="40">
        <f t="shared" si="265"/>
        <v>12</v>
      </c>
      <c r="R217" s="40">
        <f t="shared" ref="R217:R236" si="274">Q217*H217*$P217*$E$7*$E$7*$E$7</f>
        <v>17410.680000000004</v>
      </c>
      <c r="S217" s="104">
        <f>'LOE Breakdown by Year'!F132</f>
        <v>0.32</v>
      </c>
      <c r="T217" s="40">
        <f t="shared" si="267"/>
        <v>9</v>
      </c>
      <c r="U217" s="40">
        <f t="shared" ref="U217:U236" si="275">T217*H217*$S217*$E$7*$E$7*$E$7*$E$7</f>
        <v>13710.910500000004</v>
      </c>
      <c r="V217" s="40">
        <f t="shared" ref="V217:V236" si="276">SUM(R217,O217,L217,I217,U217)</f>
        <v>73788.190500000012</v>
      </c>
      <c r="W217" s="40">
        <v>0</v>
      </c>
      <c r="X217" s="40">
        <f t="shared" ref="X217:X236" si="277">SUM(V217:W217)</f>
        <v>73788.190500000012</v>
      </c>
    </row>
    <row r="218" spans="1:25">
      <c r="A218" s="7" t="s">
        <v>404</v>
      </c>
      <c r="B218" s="7">
        <v>70000</v>
      </c>
      <c r="C218" s="7" t="s">
        <v>188</v>
      </c>
      <c r="D218" s="7" t="str">
        <f t="shared" si="260"/>
        <v>Technical Lead Component 1</v>
      </c>
      <c r="E218" s="104">
        <f>'LOE Breakdown by Year'!F13</f>
        <v>0</v>
      </c>
      <c r="F218" s="46" t="s">
        <v>190</v>
      </c>
      <c r="G218" s="40">
        <f t="shared" si="261"/>
        <v>6</v>
      </c>
      <c r="H218" s="40">
        <f t="shared" si="261"/>
        <v>2500</v>
      </c>
      <c r="I218" s="40">
        <f t="shared" si="271"/>
        <v>0</v>
      </c>
      <c r="J218" s="104">
        <f>'LOE Breakdown by Year'!F43</f>
        <v>0</v>
      </c>
      <c r="K218" s="40">
        <f t="shared" si="262"/>
        <v>12</v>
      </c>
      <c r="L218" s="40">
        <f t="shared" si="272"/>
        <v>0</v>
      </c>
      <c r="M218" s="104">
        <f>'LOE Breakdown by Year'!F73</f>
        <v>0</v>
      </c>
      <c r="N218" s="40">
        <f t="shared" si="263"/>
        <v>12</v>
      </c>
      <c r="O218" s="40">
        <f t="shared" si="273"/>
        <v>0</v>
      </c>
      <c r="P218" s="104">
        <f>'LOE Breakdown by Year'!F103</f>
        <v>0</v>
      </c>
      <c r="Q218" s="40">
        <f t="shared" si="265"/>
        <v>12</v>
      </c>
      <c r="R218" s="40">
        <f t="shared" si="274"/>
        <v>0</v>
      </c>
      <c r="S218" s="104">
        <f>'LOE Breakdown by Year'!F133</f>
        <v>0</v>
      </c>
      <c r="T218" s="40">
        <f t="shared" si="267"/>
        <v>9</v>
      </c>
      <c r="U218" s="40">
        <f t="shared" si="275"/>
        <v>0</v>
      </c>
      <c r="V218" s="40">
        <f t="shared" si="276"/>
        <v>0</v>
      </c>
      <c r="W218" s="40">
        <v>0</v>
      </c>
      <c r="X218" s="40">
        <f t="shared" si="277"/>
        <v>0</v>
      </c>
    </row>
    <row r="219" spans="1:25">
      <c r="A219" s="7" t="s">
        <v>404</v>
      </c>
      <c r="B219" s="7">
        <v>70000</v>
      </c>
      <c r="C219" s="7" t="s">
        <v>188</v>
      </c>
      <c r="D219" s="7" t="str">
        <f t="shared" si="260"/>
        <v>Technical Lead Component 2</v>
      </c>
      <c r="E219" s="104">
        <f>'LOE Breakdown by Year'!F14</f>
        <v>0.8</v>
      </c>
      <c r="F219" s="46" t="s">
        <v>190</v>
      </c>
      <c r="G219" s="40">
        <f t="shared" si="261"/>
        <v>6</v>
      </c>
      <c r="H219" s="40">
        <f t="shared" si="261"/>
        <v>2500</v>
      </c>
      <c r="I219" s="40">
        <f t="shared" si="271"/>
        <v>12000</v>
      </c>
      <c r="J219" s="104">
        <f>'LOE Breakdown by Year'!F44</f>
        <v>1</v>
      </c>
      <c r="K219" s="40">
        <f t="shared" si="262"/>
        <v>12</v>
      </c>
      <c r="L219" s="40">
        <f t="shared" si="272"/>
        <v>31500</v>
      </c>
      <c r="M219" s="104">
        <f>'LOE Breakdown by Year'!F74</f>
        <v>1</v>
      </c>
      <c r="N219" s="40">
        <f t="shared" si="263"/>
        <v>12</v>
      </c>
      <c r="O219" s="40">
        <f t="shared" si="273"/>
        <v>33075</v>
      </c>
      <c r="P219" s="104">
        <f>'LOE Breakdown by Year'!F104</f>
        <v>1</v>
      </c>
      <c r="Q219" s="40">
        <f t="shared" si="265"/>
        <v>12</v>
      </c>
      <c r="R219" s="40">
        <f t="shared" si="274"/>
        <v>34728.75</v>
      </c>
      <c r="S219" s="104">
        <f>'LOE Breakdown by Year'!F134</f>
        <v>1</v>
      </c>
      <c r="T219" s="40">
        <f t="shared" si="267"/>
        <v>9</v>
      </c>
      <c r="U219" s="40">
        <f t="shared" si="275"/>
        <v>27348.890625</v>
      </c>
      <c r="V219" s="40">
        <f t="shared" si="276"/>
        <v>138652.640625</v>
      </c>
      <c r="W219" s="40">
        <v>0</v>
      </c>
      <c r="X219" s="40">
        <f t="shared" si="277"/>
        <v>138652.640625</v>
      </c>
    </row>
    <row r="220" spans="1:25">
      <c r="A220" s="7" t="s">
        <v>404</v>
      </c>
      <c r="B220" s="7">
        <v>70000</v>
      </c>
      <c r="C220" s="7" t="s">
        <v>188</v>
      </c>
      <c r="D220" s="7" t="str">
        <f t="shared" si="260"/>
        <v>Technical Lead Component 3</v>
      </c>
      <c r="E220" s="104">
        <f>'LOE Breakdown by Year'!F15</f>
        <v>0</v>
      </c>
      <c r="F220" s="46" t="s">
        <v>190</v>
      </c>
      <c r="G220" s="40">
        <f t="shared" si="261"/>
        <v>6</v>
      </c>
      <c r="H220" s="40">
        <f t="shared" si="261"/>
        <v>2500</v>
      </c>
      <c r="I220" s="40">
        <f t="shared" si="271"/>
        <v>0</v>
      </c>
      <c r="J220" s="104">
        <f>'LOE Breakdown by Year'!F45</f>
        <v>0</v>
      </c>
      <c r="K220" s="40">
        <f t="shared" si="262"/>
        <v>12</v>
      </c>
      <c r="L220" s="40">
        <f t="shared" si="272"/>
        <v>0</v>
      </c>
      <c r="M220" s="104">
        <f>'LOE Breakdown by Year'!F75</f>
        <v>0</v>
      </c>
      <c r="N220" s="40">
        <f t="shared" si="263"/>
        <v>12</v>
      </c>
      <c r="O220" s="40">
        <f t="shared" si="273"/>
        <v>0</v>
      </c>
      <c r="P220" s="104">
        <f>'LOE Breakdown by Year'!F105</f>
        <v>0</v>
      </c>
      <c r="Q220" s="40">
        <f t="shared" si="265"/>
        <v>12</v>
      </c>
      <c r="R220" s="40">
        <f t="shared" si="274"/>
        <v>0</v>
      </c>
      <c r="S220" s="104">
        <f>'LOE Breakdown by Year'!F135</f>
        <v>0</v>
      </c>
      <c r="T220" s="40">
        <f t="shared" si="267"/>
        <v>9</v>
      </c>
      <c r="U220" s="40">
        <f t="shared" si="275"/>
        <v>0</v>
      </c>
      <c r="V220" s="40">
        <f t="shared" si="276"/>
        <v>0</v>
      </c>
      <c r="W220" s="40">
        <v>0</v>
      </c>
      <c r="X220" s="40">
        <f t="shared" si="277"/>
        <v>0</v>
      </c>
    </row>
    <row r="221" spans="1:25">
      <c r="A221" s="7" t="s">
        <v>404</v>
      </c>
      <c r="B221" s="7">
        <v>70000</v>
      </c>
      <c r="C221" s="7" t="s">
        <v>188</v>
      </c>
      <c r="D221" s="7" t="str">
        <f t="shared" si="260"/>
        <v>Technical Specialist Component 1</v>
      </c>
      <c r="E221" s="104">
        <f>'LOE Breakdown by Year'!F16</f>
        <v>0</v>
      </c>
      <c r="F221" s="46" t="s">
        <v>190</v>
      </c>
      <c r="G221" s="40">
        <f t="shared" si="261"/>
        <v>6</v>
      </c>
      <c r="H221" s="40">
        <f t="shared" si="261"/>
        <v>1833.3333333333333</v>
      </c>
      <c r="I221" s="40">
        <f t="shared" si="271"/>
        <v>0</v>
      </c>
      <c r="J221" s="104">
        <f>'LOE Breakdown by Year'!F46</f>
        <v>0</v>
      </c>
      <c r="K221" s="40">
        <f t="shared" si="262"/>
        <v>12</v>
      </c>
      <c r="L221" s="40">
        <f t="shared" si="272"/>
        <v>0</v>
      </c>
      <c r="M221" s="104">
        <f>'LOE Breakdown by Year'!F76</f>
        <v>0</v>
      </c>
      <c r="N221" s="40">
        <f t="shared" si="263"/>
        <v>12</v>
      </c>
      <c r="O221" s="40">
        <f t="shared" si="273"/>
        <v>0</v>
      </c>
      <c r="P221" s="104">
        <f>'LOE Breakdown by Year'!F106</f>
        <v>0</v>
      </c>
      <c r="Q221" s="40">
        <f t="shared" si="265"/>
        <v>12</v>
      </c>
      <c r="R221" s="40">
        <f t="shared" si="274"/>
        <v>0</v>
      </c>
      <c r="S221" s="104">
        <f>'LOE Breakdown by Year'!F136</f>
        <v>0</v>
      </c>
      <c r="T221" s="40">
        <f t="shared" si="267"/>
        <v>6</v>
      </c>
      <c r="U221" s="40">
        <f t="shared" si="275"/>
        <v>0</v>
      </c>
      <c r="V221" s="40">
        <f t="shared" si="276"/>
        <v>0</v>
      </c>
      <c r="W221" s="40">
        <v>0</v>
      </c>
      <c r="X221" s="40">
        <f t="shared" si="277"/>
        <v>0</v>
      </c>
    </row>
    <row r="222" spans="1:25">
      <c r="A222" s="7" t="s">
        <v>404</v>
      </c>
      <c r="B222" s="7">
        <v>70000</v>
      </c>
      <c r="C222" s="7" t="s">
        <v>188</v>
      </c>
      <c r="D222" s="7" t="str">
        <f t="shared" si="260"/>
        <v>Technical Specialist Component 2</v>
      </c>
      <c r="E222" s="104">
        <f>'LOE Breakdown by Year'!F17</f>
        <v>0.8</v>
      </c>
      <c r="F222" s="46" t="s">
        <v>190</v>
      </c>
      <c r="G222" s="40">
        <f t="shared" si="261"/>
        <v>6</v>
      </c>
      <c r="H222" s="40">
        <f t="shared" si="261"/>
        <v>1833.3333333333333</v>
      </c>
      <c r="I222" s="40">
        <f t="shared" si="271"/>
        <v>8800</v>
      </c>
      <c r="J222" s="104">
        <f>'LOE Breakdown by Year'!F47</f>
        <v>1</v>
      </c>
      <c r="K222" s="40">
        <f t="shared" si="262"/>
        <v>12</v>
      </c>
      <c r="L222" s="40">
        <f t="shared" si="272"/>
        <v>23100</v>
      </c>
      <c r="M222" s="104">
        <f>'LOE Breakdown by Year'!F77</f>
        <v>1</v>
      </c>
      <c r="N222" s="40">
        <f t="shared" si="263"/>
        <v>12</v>
      </c>
      <c r="O222" s="40">
        <f t="shared" si="273"/>
        <v>24255</v>
      </c>
      <c r="P222" s="104">
        <f>'LOE Breakdown by Year'!F107</f>
        <v>1</v>
      </c>
      <c r="Q222" s="40">
        <f t="shared" si="265"/>
        <v>12</v>
      </c>
      <c r="R222" s="40">
        <f t="shared" si="274"/>
        <v>25467.75</v>
      </c>
      <c r="S222" s="104">
        <f>'LOE Breakdown by Year'!F137</f>
        <v>1</v>
      </c>
      <c r="T222" s="40">
        <f t="shared" si="267"/>
        <v>6</v>
      </c>
      <c r="U222" s="40">
        <f t="shared" si="275"/>
        <v>13370.56875</v>
      </c>
      <c r="V222" s="40">
        <f t="shared" si="276"/>
        <v>94993.318750000006</v>
      </c>
      <c r="W222" s="40">
        <v>0</v>
      </c>
      <c r="X222" s="40">
        <f t="shared" si="277"/>
        <v>94993.318750000006</v>
      </c>
    </row>
    <row r="223" spans="1:25">
      <c r="A223" s="7" t="s">
        <v>404</v>
      </c>
      <c r="B223" s="7">
        <v>70000</v>
      </c>
      <c r="C223" s="7" t="s">
        <v>188</v>
      </c>
      <c r="D223" s="7" t="str">
        <f t="shared" si="260"/>
        <v>Technical Specialist Component 3</v>
      </c>
      <c r="E223" s="104">
        <f>'LOE Breakdown by Year'!F18</f>
        <v>0</v>
      </c>
      <c r="F223" s="46" t="s">
        <v>190</v>
      </c>
      <c r="G223" s="40">
        <f t="shared" si="261"/>
        <v>6</v>
      </c>
      <c r="H223" s="40">
        <f t="shared" si="261"/>
        <v>1833.3333333333333</v>
      </c>
      <c r="I223" s="40">
        <f t="shared" si="271"/>
        <v>0</v>
      </c>
      <c r="J223" s="104">
        <f>'LOE Breakdown by Year'!F48</f>
        <v>0</v>
      </c>
      <c r="K223" s="40">
        <f t="shared" si="262"/>
        <v>12</v>
      </c>
      <c r="L223" s="40">
        <f t="shared" si="272"/>
        <v>0</v>
      </c>
      <c r="M223" s="104">
        <f>'LOE Breakdown by Year'!F78</f>
        <v>0</v>
      </c>
      <c r="N223" s="40">
        <f t="shared" si="263"/>
        <v>12</v>
      </c>
      <c r="O223" s="40">
        <f t="shared" si="273"/>
        <v>0</v>
      </c>
      <c r="P223" s="104">
        <f>'LOE Breakdown by Year'!F108</f>
        <v>0</v>
      </c>
      <c r="Q223" s="40">
        <f t="shared" si="265"/>
        <v>12</v>
      </c>
      <c r="R223" s="40">
        <f t="shared" si="274"/>
        <v>0</v>
      </c>
      <c r="S223" s="104">
        <f>'LOE Breakdown by Year'!F138</f>
        <v>0</v>
      </c>
      <c r="T223" s="40">
        <f t="shared" si="267"/>
        <v>6</v>
      </c>
      <c r="U223" s="40">
        <f t="shared" si="275"/>
        <v>0</v>
      </c>
      <c r="V223" s="40">
        <f t="shared" si="276"/>
        <v>0</v>
      </c>
      <c r="W223" s="40">
        <v>0</v>
      </c>
      <c r="X223" s="40">
        <f t="shared" si="277"/>
        <v>0</v>
      </c>
    </row>
    <row r="224" spans="1:25">
      <c r="A224" s="7" t="s">
        <v>404</v>
      </c>
      <c r="B224" s="7">
        <v>70000</v>
      </c>
      <c r="C224" s="7" t="s">
        <v>188</v>
      </c>
      <c r="D224" s="7" t="str">
        <f t="shared" si="260"/>
        <v>Capacity Building Specialist (2)</v>
      </c>
      <c r="E224" s="104">
        <f>'LOE Breakdown by Year'!F19</f>
        <v>0</v>
      </c>
      <c r="F224" s="46" t="s">
        <v>190</v>
      </c>
      <c r="G224" s="40">
        <f t="shared" si="261"/>
        <v>4</v>
      </c>
      <c r="H224" s="40">
        <f t="shared" si="261"/>
        <v>3333.3333333333335</v>
      </c>
      <c r="I224" s="40">
        <f t="shared" ref="I224" si="278">G224*H224*E224</f>
        <v>0</v>
      </c>
      <c r="J224" s="104">
        <f>'LOE Breakdown by Year'!F49</f>
        <v>0</v>
      </c>
      <c r="K224" s="40">
        <f t="shared" si="262"/>
        <v>12</v>
      </c>
      <c r="L224" s="40">
        <f t="shared" ref="L224" si="279">K224*H224*$E$7*$J224</f>
        <v>0</v>
      </c>
      <c r="M224" s="104">
        <f>'LOE Breakdown by Year'!F79</f>
        <v>0</v>
      </c>
      <c r="N224" s="40">
        <f t="shared" si="263"/>
        <v>12</v>
      </c>
      <c r="O224" s="40">
        <f t="shared" ref="O224" si="280">N224*H224*$M224*$E$7*$E$7</f>
        <v>0</v>
      </c>
      <c r="P224" s="104">
        <f>'LOE Breakdown by Year'!F109</f>
        <v>0</v>
      </c>
      <c r="Q224" s="40">
        <f t="shared" si="265"/>
        <v>12</v>
      </c>
      <c r="R224" s="40">
        <f t="shared" ref="R224" si="281">Q224*H224*$P224*$E$7*$E$7*$E$7</f>
        <v>0</v>
      </c>
      <c r="S224" s="104">
        <f>'LOE Breakdown by Year'!F139</f>
        <v>0</v>
      </c>
      <c r="T224" s="40">
        <f t="shared" si="267"/>
        <v>5</v>
      </c>
      <c r="U224" s="40">
        <f t="shared" ref="U224" si="282">T224*H224*$S224*$E$7*$E$7*$E$7*$E$7</f>
        <v>0</v>
      </c>
      <c r="V224" s="40">
        <f t="shared" ref="V224" si="283">SUM(R224,O224,L224,I224,U224)</f>
        <v>0</v>
      </c>
      <c r="W224" s="40">
        <v>0</v>
      </c>
      <c r="X224" s="40">
        <f t="shared" ref="X224" si="284">SUM(V224:W224)</f>
        <v>0</v>
      </c>
    </row>
    <row r="225" spans="1:24">
      <c r="A225" s="7" t="s">
        <v>404</v>
      </c>
      <c r="B225" s="7">
        <v>70000</v>
      </c>
      <c r="C225" s="7" t="s">
        <v>188</v>
      </c>
      <c r="D225" s="7" t="str">
        <f t="shared" si="260"/>
        <v>Sociocultural and Gender Specialist</v>
      </c>
      <c r="E225" s="104">
        <f>'LOE Breakdown by Year'!F20</f>
        <v>0.25</v>
      </c>
      <c r="F225" s="46" t="s">
        <v>190</v>
      </c>
      <c r="G225" s="40">
        <f t="shared" si="261"/>
        <v>7</v>
      </c>
      <c r="H225" s="40">
        <f t="shared" si="261"/>
        <v>1833.3333333333333</v>
      </c>
      <c r="I225" s="40">
        <f t="shared" si="271"/>
        <v>3208.333333333333</v>
      </c>
      <c r="J225" s="104">
        <f>'LOE Breakdown by Year'!F50</f>
        <v>0.35</v>
      </c>
      <c r="K225" s="40">
        <f t="shared" si="262"/>
        <v>12</v>
      </c>
      <c r="L225" s="40">
        <f t="shared" si="272"/>
        <v>8084.9999999999991</v>
      </c>
      <c r="M225" s="104">
        <f>'LOE Breakdown by Year'!F80</f>
        <v>0.35</v>
      </c>
      <c r="N225" s="40">
        <f t="shared" si="263"/>
        <v>12</v>
      </c>
      <c r="O225" s="40">
        <f t="shared" si="273"/>
        <v>8489.25</v>
      </c>
      <c r="P225" s="104">
        <f>'LOE Breakdown by Year'!F110</f>
        <v>0.35</v>
      </c>
      <c r="Q225" s="40">
        <f t="shared" si="265"/>
        <v>12</v>
      </c>
      <c r="R225" s="40">
        <f t="shared" si="274"/>
        <v>8913.7124999999996</v>
      </c>
      <c r="S225" s="104">
        <f>'LOE Breakdown by Year'!F140</f>
        <v>0.35</v>
      </c>
      <c r="T225" s="40">
        <f t="shared" si="267"/>
        <v>9</v>
      </c>
      <c r="U225" s="40">
        <f t="shared" si="275"/>
        <v>7019.5485937500007</v>
      </c>
      <c r="V225" s="40">
        <f t="shared" si="276"/>
        <v>35715.844427083335</v>
      </c>
      <c r="W225" s="40">
        <v>0</v>
      </c>
      <c r="X225" s="40">
        <f t="shared" si="277"/>
        <v>35715.844427083335</v>
      </c>
    </row>
    <row r="226" spans="1:24">
      <c r="A226" s="7" t="s">
        <v>404</v>
      </c>
      <c r="B226" s="7">
        <v>70000</v>
      </c>
      <c r="C226" s="7" t="s">
        <v>188</v>
      </c>
      <c r="D226" s="7" t="str">
        <f t="shared" si="260"/>
        <v>Sociocultural and Gender Officers (3)</v>
      </c>
      <c r="E226" s="104">
        <f>'LOE Breakdown by Year'!F21</f>
        <v>0.25</v>
      </c>
      <c r="F226" s="46" t="s">
        <v>190</v>
      </c>
      <c r="G226" s="40">
        <f t="shared" si="261"/>
        <v>7</v>
      </c>
      <c r="H226" s="40">
        <f t="shared" si="261"/>
        <v>3750</v>
      </c>
      <c r="I226" s="40">
        <f t="shared" si="271"/>
        <v>6562.5</v>
      </c>
      <c r="J226" s="104">
        <f>'LOE Breakdown by Year'!F51</f>
        <v>0.35</v>
      </c>
      <c r="K226" s="40">
        <f t="shared" si="262"/>
        <v>12</v>
      </c>
      <c r="L226" s="40">
        <f t="shared" si="272"/>
        <v>16537.5</v>
      </c>
      <c r="M226" s="104">
        <f>'LOE Breakdown by Year'!F81</f>
        <v>0.35</v>
      </c>
      <c r="N226" s="40">
        <f t="shared" si="263"/>
        <v>12</v>
      </c>
      <c r="O226" s="40">
        <f t="shared" si="273"/>
        <v>17364.375</v>
      </c>
      <c r="P226" s="104">
        <f>'LOE Breakdown by Year'!F111</f>
        <v>0.35</v>
      </c>
      <c r="Q226" s="40">
        <f t="shared" si="265"/>
        <v>12</v>
      </c>
      <c r="R226" s="40">
        <f t="shared" si="274"/>
        <v>18232.59375</v>
      </c>
      <c r="S226" s="104">
        <f>'LOE Breakdown by Year'!F141</f>
        <v>0.35</v>
      </c>
      <c r="T226" s="40">
        <f t="shared" si="267"/>
        <v>9</v>
      </c>
      <c r="U226" s="40">
        <f t="shared" si="275"/>
        <v>14358.167578125001</v>
      </c>
      <c r="V226" s="40">
        <f t="shared" si="276"/>
        <v>73055.136328124994</v>
      </c>
      <c r="W226" s="40">
        <v>0</v>
      </c>
      <c r="X226" s="40">
        <f t="shared" si="277"/>
        <v>73055.136328124994</v>
      </c>
    </row>
    <row r="227" spans="1:24">
      <c r="A227" s="7" t="s">
        <v>404</v>
      </c>
      <c r="B227" s="7">
        <v>70000</v>
      </c>
      <c r="C227" s="7" t="s">
        <v>188</v>
      </c>
      <c r="D227" s="7" t="str">
        <f t="shared" si="260"/>
        <v>Communications Specialists</v>
      </c>
      <c r="E227" s="104">
        <f>'LOE Breakdown by Year'!F22</f>
        <v>0.25</v>
      </c>
      <c r="F227" s="46" t="s">
        <v>190</v>
      </c>
      <c r="G227" s="40">
        <f t="shared" si="261"/>
        <v>7</v>
      </c>
      <c r="H227" s="40">
        <f t="shared" si="261"/>
        <v>1500</v>
      </c>
      <c r="I227" s="40">
        <f t="shared" si="271"/>
        <v>2625</v>
      </c>
      <c r="J227" s="104">
        <f>'LOE Breakdown by Year'!F52</f>
        <v>0.3</v>
      </c>
      <c r="K227" s="40">
        <f t="shared" si="262"/>
        <v>12</v>
      </c>
      <c r="L227" s="40">
        <f t="shared" si="272"/>
        <v>5670</v>
      </c>
      <c r="M227" s="104">
        <f>'LOE Breakdown by Year'!F82</f>
        <v>0.3</v>
      </c>
      <c r="N227" s="40">
        <f t="shared" si="263"/>
        <v>12</v>
      </c>
      <c r="O227" s="40">
        <f t="shared" si="273"/>
        <v>5953.5</v>
      </c>
      <c r="P227" s="104">
        <f>'LOE Breakdown by Year'!F112</f>
        <v>0.3</v>
      </c>
      <c r="Q227" s="40">
        <f t="shared" si="265"/>
        <v>12</v>
      </c>
      <c r="R227" s="40">
        <f t="shared" si="274"/>
        <v>6251.1750000000002</v>
      </c>
      <c r="S227" s="104">
        <f>'LOE Breakdown by Year'!F142</f>
        <v>0.3</v>
      </c>
      <c r="T227" s="40">
        <f t="shared" si="267"/>
        <v>10</v>
      </c>
      <c r="U227" s="40">
        <f t="shared" si="275"/>
        <v>5469.7781249999998</v>
      </c>
      <c r="V227" s="40">
        <f t="shared" si="276"/>
        <v>25969.453125</v>
      </c>
      <c r="W227" s="40">
        <v>0</v>
      </c>
      <c r="X227" s="40">
        <f t="shared" si="277"/>
        <v>25969.453125</v>
      </c>
    </row>
    <row r="228" spans="1:24">
      <c r="A228" s="7" t="s">
        <v>404</v>
      </c>
      <c r="B228" s="7">
        <v>70000</v>
      </c>
      <c r="C228" s="7" t="s">
        <v>188</v>
      </c>
      <c r="D228" s="7" t="str">
        <f t="shared" si="260"/>
        <v xml:space="preserve">M&amp;E Director </v>
      </c>
      <c r="E228" s="104">
        <f>'LOE Breakdown by Year'!F23</f>
        <v>0.25</v>
      </c>
      <c r="F228" s="46" t="s">
        <v>190</v>
      </c>
      <c r="G228" s="40">
        <f t="shared" si="261"/>
        <v>9</v>
      </c>
      <c r="H228" s="40">
        <f t="shared" si="261"/>
        <v>3916.6666666666665</v>
      </c>
      <c r="I228" s="40">
        <f t="shared" si="271"/>
        <v>8812.5</v>
      </c>
      <c r="J228" s="104">
        <f>'LOE Breakdown by Year'!F53</f>
        <v>0.3</v>
      </c>
      <c r="K228" s="40">
        <f t="shared" si="262"/>
        <v>12</v>
      </c>
      <c r="L228" s="40">
        <f t="shared" si="272"/>
        <v>14805</v>
      </c>
      <c r="M228" s="104">
        <f>'LOE Breakdown by Year'!F83</f>
        <v>0.3</v>
      </c>
      <c r="N228" s="40">
        <f t="shared" si="263"/>
        <v>12</v>
      </c>
      <c r="O228" s="40">
        <f t="shared" si="273"/>
        <v>15545.25</v>
      </c>
      <c r="P228" s="104">
        <f>'LOE Breakdown by Year'!F113</f>
        <v>0.3</v>
      </c>
      <c r="Q228" s="40">
        <f t="shared" si="265"/>
        <v>12</v>
      </c>
      <c r="R228" s="40">
        <f t="shared" si="274"/>
        <v>16322.512500000001</v>
      </c>
      <c r="S228" s="104">
        <f>'LOE Breakdown by Year'!F143</f>
        <v>0.3</v>
      </c>
      <c r="T228" s="40">
        <f t="shared" si="267"/>
        <v>12</v>
      </c>
      <c r="U228" s="40">
        <f t="shared" si="275"/>
        <v>17138.638125000001</v>
      </c>
      <c r="V228" s="40">
        <f t="shared" si="276"/>
        <v>72623.900624999995</v>
      </c>
      <c r="W228" s="40">
        <v>0</v>
      </c>
      <c r="X228" s="40">
        <f t="shared" si="277"/>
        <v>72623.900624999995</v>
      </c>
    </row>
    <row r="229" spans="1:24">
      <c r="A229" s="7" t="s">
        <v>404</v>
      </c>
      <c r="B229" s="7">
        <v>70000</v>
      </c>
      <c r="C229" s="7" t="s">
        <v>188</v>
      </c>
      <c r="D229" s="7" t="str">
        <f t="shared" si="260"/>
        <v>M&amp;E Specialist</v>
      </c>
      <c r="E229" s="104">
        <f>'LOE Breakdown by Year'!F24</f>
        <v>0.25</v>
      </c>
      <c r="F229" s="46" t="s">
        <v>190</v>
      </c>
      <c r="G229" s="40">
        <f t="shared" si="261"/>
        <v>8</v>
      </c>
      <c r="H229" s="40">
        <f t="shared" si="261"/>
        <v>1833.3333333333333</v>
      </c>
      <c r="I229" s="40">
        <f t="shared" si="271"/>
        <v>3666.6666666666665</v>
      </c>
      <c r="J229" s="104">
        <f>'LOE Breakdown by Year'!F54</f>
        <v>0.3</v>
      </c>
      <c r="K229" s="40">
        <f t="shared" si="262"/>
        <v>12</v>
      </c>
      <c r="L229" s="40">
        <f t="shared" si="272"/>
        <v>6930</v>
      </c>
      <c r="M229" s="104">
        <f>'LOE Breakdown by Year'!F84</f>
        <v>0.3</v>
      </c>
      <c r="N229" s="40">
        <f t="shared" si="263"/>
        <v>12</v>
      </c>
      <c r="O229" s="40">
        <f t="shared" si="273"/>
        <v>7276.5</v>
      </c>
      <c r="P229" s="104">
        <f>'LOE Breakdown by Year'!F114</f>
        <v>0.3</v>
      </c>
      <c r="Q229" s="40">
        <f t="shared" si="265"/>
        <v>12</v>
      </c>
      <c r="R229" s="40">
        <f t="shared" si="274"/>
        <v>7640.3250000000007</v>
      </c>
      <c r="S229" s="104">
        <f>'LOE Breakdown by Year'!F144</f>
        <v>0.3</v>
      </c>
      <c r="T229" s="40">
        <f t="shared" si="267"/>
        <v>10</v>
      </c>
      <c r="U229" s="40">
        <f t="shared" si="275"/>
        <v>6685.2843749999993</v>
      </c>
      <c r="V229" s="40">
        <f t="shared" si="276"/>
        <v>32198.776041666668</v>
      </c>
      <c r="W229" s="40">
        <v>0</v>
      </c>
      <c r="X229" s="40">
        <f t="shared" si="277"/>
        <v>32198.776041666668</v>
      </c>
    </row>
    <row r="230" spans="1:24">
      <c r="A230" s="7" t="s">
        <v>404</v>
      </c>
      <c r="B230" s="7">
        <v>70000</v>
      </c>
      <c r="C230" s="7" t="s">
        <v>188</v>
      </c>
      <c r="D230" s="7" t="str">
        <f t="shared" si="260"/>
        <v xml:space="preserve">Key Personnel: Finance Director </v>
      </c>
      <c r="E230" s="104">
        <f>'LOE Breakdown by Year'!F25</f>
        <v>0.25</v>
      </c>
      <c r="F230" s="46" t="s">
        <v>190</v>
      </c>
      <c r="G230" s="40">
        <f t="shared" si="261"/>
        <v>11</v>
      </c>
      <c r="H230" s="40">
        <f t="shared" si="261"/>
        <v>3916.6666666666665</v>
      </c>
      <c r="I230" s="40">
        <f t="shared" si="271"/>
        <v>10770.833333333332</v>
      </c>
      <c r="J230" s="104">
        <f>'LOE Breakdown by Year'!F55</f>
        <v>0.25</v>
      </c>
      <c r="K230" s="40">
        <f t="shared" si="262"/>
        <v>12</v>
      </c>
      <c r="L230" s="40">
        <f t="shared" si="272"/>
        <v>12337.5</v>
      </c>
      <c r="M230" s="104">
        <f>'LOE Breakdown by Year'!F85</f>
        <v>0.25</v>
      </c>
      <c r="N230" s="40">
        <f t="shared" si="263"/>
        <v>12</v>
      </c>
      <c r="O230" s="40">
        <f t="shared" si="273"/>
        <v>12954.375</v>
      </c>
      <c r="P230" s="104">
        <f>'LOE Breakdown by Year'!F115</f>
        <v>0.25</v>
      </c>
      <c r="Q230" s="40">
        <f t="shared" si="265"/>
        <v>12</v>
      </c>
      <c r="R230" s="40">
        <f t="shared" si="274"/>
        <v>13602.09375</v>
      </c>
      <c r="S230" s="104">
        <f>'LOE Breakdown by Year'!F145</f>
        <v>0.25</v>
      </c>
      <c r="T230" s="40">
        <f t="shared" si="267"/>
        <v>12</v>
      </c>
      <c r="U230" s="40">
        <f t="shared" si="275"/>
        <v>14282.198437500001</v>
      </c>
      <c r="V230" s="40">
        <f t="shared" si="276"/>
        <v>63947.000520833331</v>
      </c>
      <c r="W230" s="40">
        <v>0</v>
      </c>
      <c r="X230" s="40">
        <f t="shared" si="277"/>
        <v>63947.000520833331</v>
      </c>
    </row>
    <row r="231" spans="1:24">
      <c r="A231" s="7" t="s">
        <v>404</v>
      </c>
      <c r="B231" s="7">
        <v>70000</v>
      </c>
      <c r="C231" s="7" t="s">
        <v>188</v>
      </c>
      <c r="D231" s="7" t="str">
        <f t="shared" si="260"/>
        <v>Contracts &amp; Compliance Specialist</v>
      </c>
      <c r="E231" s="104">
        <f>'LOE Breakdown by Year'!F26</f>
        <v>0.25</v>
      </c>
      <c r="F231" s="46" t="s">
        <v>190</v>
      </c>
      <c r="G231" s="40">
        <f t="shared" si="261"/>
        <v>9</v>
      </c>
      <c r="H231" s="40">
        <f t="shared" si="261"/>
        <v>1833.3333333333333</v>
      </c>
      <c r="I231" s="40">
        <f t="shared" si="271"/>
        <v>4125</v>
      </c>
      <c r="J231" s="104">
        <f>'LOE Breakdown by Year'!F56</f>
        <v>0.25</v>
      </c>
      <c r="K231" s="40">
        <f t="shared" si="262"/>
        <v>12</v>
      </c>
      <c r="L231" s="40">
        <f t="shared" si="272"/>
        <v>5775</v>
      </c>
      <c r="M231" s="104">
        <f>'LOE Breakdown by Year'!F86</f>
        <v>0.25</v>
      </c>
      <c r="N231" s="40">
        <f t="shared" si="263"/>
        <v>12</v>
      </c>
      <c r="O231" s="40">
        <f t="shared" si="273"/>
        <v>6063.75</v>
      </c>
      <c r="P231" s="104">
        <f>'LOE Breakdown by Year'!F116</f>
        <v>0.25</v>
      </c>
      <c r="Q231" s="40">
        <f t="shared" si="265"/>
        <v>12</v>
      </c>
      <c r="R231" s="40">
        <f t="shared" si="274"/>
        <v>6366.9375</v>
      </c>
      <c r="S231" s="104">
        <f>'LOE Breakdown by Year'!F146</f>
        <v>0.25</v>
      </c>
      <c r="T231" s="40">
        <f t="shared" si="267"/>
        <v>12</v>
      </c>
      <c r="U231" s="40">
        <f t="shared" si="275"/>
        <v>6685.2843750000002</v>
      </c>
      <c r="V231" s="40">
        <f t="shared" si="276"/>
        <v>29015.971874999999</v>
      </c>
      <c r="W231" s="40">
        <v>0</v>
      </c>
      <c r="X231" s="40">
        <f t="shared" si="277"/>
        <v>29015.971874999999</v>
      </c>
    </row>
    <row r="232" spans="1:24">
      <c r="A232" s="7" t="s">
        <v>404</v>
      </c>
      <c r="B232" s="7">
        <v>70000</v>
      </c>
      <c r="C232" s="7" t="s">
        <v>188</v>
      </c>
      <c r="D232" s="7" t="str">
        <f t="shared" si="260"/>
        <v>Grants &amp; Procurement Officer (2)</v>
      </c>
      <c r="E232" s="104">
        <f>'LOE Breakdown by Year'!F27</f>
        <v>0.25</v>
      </c>
      <c r="F232" s="46" t="s">
        <v>190</v>
      </c>
      <c r="G232" s="40">
        <f t="shared" si="261"/>
        <v>9</v>
      </c>
      <c r="H232" s="40">
        <f t="shared" si="261"/>
        <v>2500</v>
      </c>
      <c r="I232" s="40">
        <f t="shared" si="271"/>
        <v>5625</v>
      </c>
      <c r="J232" s="104">
        <f>'LOE Breakdown by Year'!F57</f>
        <v>0.25</v>
      </c>
      <c r="K232" s="40">
        <f t="shared" si="262"/>
        <v>12</v>
      </c>
      <c r="L232" s="40">
        <f t="shared" si="272"/>
        <v>7875</v>
      </c>
      <c r="M232" s="104">
        <f>'LOE Breakdown by Year'!F87</f>
        <v>0.25</v>
      </c>
      <c r="N232" s="40">
        <f t="shared" si="263"/>
        <v>12</v>
      </c>
      <c r="O232" s="40">
        <f t="shared" si="273"/>
        <v>8268.75</v>
      </c>
      <c r="P232" s="104">
        <f>'LOE Breakdown by Year'!F117</f>
        <v>0.25</v>
      </c>
      <c r="Q232" s="40">
        <f t="shared" si="265"/>
        <v>12</v>
      </c>
      <c r="R232" s="40">
        <f t="shared" si="274"/>
        <v>8682.1875</v>
      </c>
      <c r="S232" s="104">
        <f>'LOE Breakdown by Year'!F147</f>
        <v>0.25</v>
      </c>
      <c r="T232" s="40">
        <f t="shared" si="267"/>
        <v>12</v>
      </c>
      <c r="U232" s="40">
        <f t="shared" si="275"/>
        <v>9116.296875</v>
      </c>
      <c r="V232" s="40">
        <f t="shared" si="276"/>
        <v>39567.234375</v>
      </c>
      <c r="W232" s="40">
        <v>0</v>
      </c>
      <c r="X232" s="40">
        <f t="shared" si="277"/>
        <v>39567.234375</v>
      </c>
    </row>
    <row r="233" spans="1:24">
      <c r="A233" s="7" t="s">
        <v>404</v>
      </c>
      <c r="B233" s="7">
        <v>70000</v>
      </c>
      <c r="C233" s="7" t="s">
        <v>188</v>
      </c>
      <c r="D233" s="7" t="str">
        <f t="shared" si="260"/>
        <v xml:space="preserve">Accountant </v>
      </c>
      <c r="E233" s="104">
        <f>'LOE Breakdown by Year'!F28</f>
        <v>0.25</v>
      </c>
      <c r="F233" s="46" t="s">
        <v>190</v>
      </c>
      <c r="G233" s="40">
        <f t="shared" si="261"/>
        <v>10</v>
      </c>
      <c r="H233" s="40">
        <f t="shared" si="261"/>
        <v>1666.6666666666667</v>
      </c>
      <c r="I233" s="40">
        <f t="shared" si="271"/>
        <v>4166.666666666667</v>
      </c>
      <c r="J233" s="104">
        <f>'LOE Breakdown by Year'!F58</f>
        <v>0.25</v>
      </c>
      <c r="K233" s="40">
        <f t="shared" si="262"/>
        <v>12</v>
      </c>
      <c r="L233" s="40">
        <f t="shared" si="272"/>
        <v>5250</v>
      </c>
      <c r="M233" s="104">
        <f>'LOE Breakdown by Year'!F88</f>
        <v>0.25</v>
      </c>
      <c r="N233" s="40">
        <f t="shared" si="263"/>
        <v>12</v>
      </c>
      <c r="O233" s="40">
        <f t="shared" si="273"/>
        <v>5512.5</v>
      </c>
      <c r="P233" s="104">
        <f>'LOE Breakdown by Year'!F118</f>
        <v>0.25</v>
      </c>
      <c r="Q233" s="40">
        <f t="shared" si="265"/>
        <v>12</v>
      </c>
      <c r="R233" s="40">
        <f t="shared" si="274"/>
        <v>5788.125</v>
      </c>
      <c r="S233" s="104">
        <f>'LOE Breakdown by Year'!F148</f>
        <v>0.25</v>
      </c>
      <c r="T233" s="40">
        <f t="shared" si="267"/>
        <v>11</v>
      </c>
      <c r="U233" s="40">
        <f t="shared" si="275"/>
        <v>5571.0703125000009</v>
      </c>
      <c r="V233" s="40">
        <f t="shared" si="276"/>
        <v>26288.361979166668</v>
      </c>
      <c r="W233" s="40">
        <v>0</v>
      </c>
      <c r="X233" s="40">
        <f t="shared" si="277"/>
        <v>26288.361979166668</v>
      </c>
    </row>
    <row r="234" spans="1:24">
      <c r="A234" s="7" t="s">
        <v>404</v>
      </c>
      <c r="B234" s="7">
        <v>70000</v>
      </c>
      <c r="C234" s="7" t="s">
        <v>188</v>
      </c>
      <c r="D234" s="7" t="str">
        <f t="shared" si="260"/>
        <v>Administrative Officer</v>
      </c>
      <c r="E234" s="104">
        <f>'LOE Breakdown by Year'!F29</f>
        <v>0.25</v>
      </c>
      <c r="F234" s="46" t="s">
        <v>190</v>
      </c>
      <c r="G234" s="40">
        <f t="shared" si="261"/>
        <v>9</v>
      </c>
      <c r="H234" s="40">
        <f t="shared" si="261"/>
        <v>833.33333333333337</v>
      </c>
      <c r="I234" s="40">
        <f t="shared" si="271"/>
        <v>1875</v>
      </c>
      <c r="J234" s="104">
        <f>'LOE Breakdown by Year'!F59</f>
        <v>0.25</v>
      </c>
      <c r="K234" s="40">
        <f t="shared" si="262"/>
        <v>12</v>
      </c>
      <c r="L234" s="40">
        <f t="shared" si="272"/>
        <v>2625</v>
      </c>
      <c r="M234" s="104">
        <f>'LOE Breakdown by Year'!F89</f>
        <v>0.25</v>
      </c>
      <c r="N234" s="40">
        <f t="shared" si="263"/>
        <v>12</v>
      </c>
      <c r="O234" s="40">
        <f t="shared" si="273"/>
        <v>2756.25</v>
      </c>
      <c r="P234" s="104">
        <f>'LOE Breakdown by Year'!F119</f>
        <v>0.25</v>
      </c>
      <c r="Q234" s="40">
        <f t="shared" si="265"/>
        <v>12</v>
      </c>
      <c r="R234" s="40">
        <f t="shared" si="274"/>
        <v>2894.0625</v>
      </c>
      <c r="S234" s="104">
        <f>'LOE Breakdown by Year'!F149</f>
        <v>0.25</v>
      </c>
      <c r="T234" s="40">
        <f t="shared" si="267"/>
        <v>10</v>
      </c>
      <c r="U234" s="40">
        <f t="shared" si="275"/>
        <v>2532.3046875000005</v>
      </c>
      <c r="V234" s="40">
        <f t="shared" si="276"/>
        <v>12682.6171875</v>
      </c>
      <c r="W234" s="40">
        <v>0</v>
      </c>
      <c r="X234" s="40">
        <f t="shared" si="277"/>
        <v>12682.6171875</v>
      </c>
    </row>
    <row r="235" spans="1:24">
      <c r="A235" s="7" t="s">
        <v>404</v>
      </c>
      <c r="B235" s="7">
        <v>70000</v>
      </c>
      <c r="C235" s="7" t="s">
        <v>188</v>
      </c>
      <c r="D235" s="7" t="str">
        <f t="shared" si="260"/>
        <v>Human Resources Manager</v>
      </c>
      <c r="E235" s="104">
        <f>'LOE Breakdown by Year'!F30</f>
        <v>0.25</v>
      </c>
      <c r="F235" s="46" t="s">
        <v>190</v>
      </c>
      <c r="G235" s="40">
        <f t="shared" si="261"/>
        <v>11</v>
      </c>
      <c r="H235" s="40">
        <f t="shared" si="261"/>
        <v>2500</v>
      </c>
      <c r="I235" s="40">
        <f t="shared" si="271"/>
        <v>6875</v>
      </c>
      <c r="J235" s="104">
        <f>'LOE Breakdown by Year'!F60</f>
        <v>0.25</v>
      </c>
      <c r="K235" s="40">
        <f t="shared" si="262"/>
        <v>12</v>
      </c>
      <c r="L235" s="40">
        <f t="shared" si="272"/>
        <v>7875</v>
      </c>
      <c r="M235" s="104">
        <f>'LOE Breakdown by Year'!F90</f>
        <v>0.25</v>
      </c>
      <c r="N235" s="40">
        <f t="shared" si="263"/>
        <v>12</v>
      </c>
      <c r="O235" s="40">
        <f t="shared" si="273"/>
        <v>8268.75</v>
      </c>
      <c r="P235" s="104">
        <f>'LOE Breakdown by Year'!F120</f>
        <v>0.25</v>
      </c>
      <c r="Q235" s="40">
        <f t="shared" si="265"/>
        <v>12</v>
      </c>
      <c r="R235" s="40">
        <f t="shared" si="274"/>
        <v>8682.1875</v>
      </c>
      <c r="S235" s="104">
        <f>'LOE Breakdown by Year'!F150</f>
        <v>0.25</v>
      </c>
      <c r="T235" s="40">
        <f t="shared" si="267"/>
        <v>12</v>
      </c>
      <c r="U235" s="40">
        <f t="shared" si="275"/>
        <v>9116.296875</v>
      </c>
      <c r="V235" s="40">
        <f t="shared" si="276"/>
        <v>40817.234375</v>
      </c>
      <c r="W235" s="40">
        <v>0</v>
      </c>
      <c r="X235" s="40">
        <f t="shared" si="277"/>
        <v>40817.234375</v>
      </c>
    </row>
    <row r="236" spans="1:24">
      <c r="A236" s="7" t="s">
        <v>404</v>
      </c>
      <c r="B236" s="7">
        <v>70000</v>
      </c>
      <c r="C236" s="7" t="s">
        <v>188</v>
      </c>
      <c r="D236" s="7" t="str">
        <f t="shared" si="260"/>
        <v>Driver (3 Individuals)</v>
      </c>
      <c r="E236" s="104">
        <f>'LOE Breakdown by Year'!F31</f>
        <v>0.3</v>
      </c>
      <c r="F236" s="46" t="s">
        <v>190</v>
      </c>
      <c r="G236" s="40">
        <f t="shared" si="261"/>
        <v>3</v>
      </c>
      <c r="H236" s="40">
        <f t="shared" si="261"/>
        <v>2250</v>
      </c>
      <c r="I236" s="40">
        <f t="shared" si="271"/>
        <v>2025</v>
      </c>
      <c r="J236" s="104">
        <f>'LOE Breakdown by Year'!F61</f>
        <v>0.25</v>
      </c>
      <c r="K236" s="40">
        <f t="shared" si="262"/>
        <v>12</v>
      </c>
      <c r="L236" s="40">
        <f t="shared" si="272"/>
        <v>7087.5</v>
      </c>
      <c r="M236" s="104">
        <f>'LOE Breakdown by Year'!F91</f>
        <v>0.25</v>
      </c>
      <c r="N236" s="40">
        <f t="shared" si="263"/>
        <v>12</v>
      </c>
      <c r="O236" s="40">
        <f t="shared" si="273"/>
        <v>7441.875</v>
      </c>
      <c r="P236" s="104">
        <f>'LOE Breakdown by Year'!F121</f>
        <v>0.25</v>
      </c>
      <c r="Q236" s="40">
        <f t="shared" si="265"/>
        <v>12</v>
      </c>
      <c r="R236" s="40">
        <f t="shared" si="274"/>
        <v>7813.96875</v>
      </c>
      <c r="S236" s="104">
        <f>'LOE Breakdown by Year'!F151</f>
        <v>0.25</v>
      </c>
      <c r="T236" s="40">
        <f t="shared" si="267"/>
        <v>9</v>
      </c>
      <c r="U236" s="40">
        <f t="shared" si="275"/>
        <v>6153.5003906250004</v>
      </c>
      <c r="V236" s="40">
        <f t="shared" si="276"/>
        <v>30521.844140624999</v>
      </c>
      <c r="W236" s="40">
        <v>0</v>
      </c>
      <c r="X236" s="40">
        <f t="shared" si="277"/>
        <v>30521.844140624999</v>
      </c>
    </row>
    <row r="237" spans="1:24">
      <c r="A237" s="37"/>
      <c r="B237" s="37"/>
      <c r="C237" s="37"/>
      <c r="D237" s="37" t="s">
        <v>405</v>
      </c>
      <c r="E237" s="115"/>
      <c r="F237" s="42"/>
      <c r="G237" s="43"/>
      <c r="H237" s="43"/>
      <c r="I237" s="44">
        <f>SUM(I216:I236)</f>
        <v>128950</v>
      </c>
      <c r="J237" s="115"/>
      <c r="K237" s="44"/>
      <c r="L237" s="44">
        <f>SUM(L216:L236)</f>
        <v>221865</v>
      </c>
      <c r="M237" s="115"/>
      <c r="N237" s="44"/>
      <c r="O237" s="44">
        <f>SUM(O216:O236)</f>
        <v>231403.72500000001</v>
      </c>
      <c r="P237" s="115"/>
      <c r="Q237" s="44"/>
      <c r="R237" s="44">
        <f>SUM(R216:R236)</f>
        <v>242973.91125000003</v>
      </c>
      <c r="S237" s="115"/>
      <c r="T237" s="44"/>
      <c r="U237" s="44">
        <f>SUM(U216:U236)</f>
        <v>215444.431125</v>
      </c>
      <c r="V237" s="44">
        <f>SUM(V216:V236)</f>
        <v>1040637.067375</v>
      </c>
      <c r="W237" s="44">
        <f>SUM(W216:W236)</f>
        <v>0</v>
      </c>
      <c r="X237" s="44">
        <f>SUM(X216:X236)</f>
        <v>1040637.067375</v>
      </c>
    </row>
    <row r="238" spans="1:24">
      <c r="A238" s="92"/>
      <c r="B238" s="92"/>
      <c r="C238" s="92"/>
      <c r="D238" s="92"/>
      <c r="E238" s="116"/>
      <c r="F238" s="69"/>
      <c r="G238" s="55"/>
      <c r="H238" s="55"/>
      <c r="I238" s="55"/>
      <c r="J238" s="116"/>
      <c r="K238" s="55"/>
      <c r="L238" s="55"/>
      <c r="M238" s="116"/>
      <c r="N238" s="55"/>
      <c r="O238" s="55"/>
      <c r="P238" s="116"/>
      <c r="Q238" s="55"/>
      <c r="R238" s="55"/>
      <c r="S238" s="116"/>
      <c r="T238" s="55"/>
      <c r="U238" s="55"/>
      <c r="V238" s="55"/>
      <c r="W238" s="55"/>
      <c r="X238" s="55"/>
    </row>
    <row r="239" spans="1:24">
      <c r="A239" s="37"/>
      <c r="B239" s="37"/>
      <c r="C239" s="37"/>
      <c r="D239" s="37" t="s">
        <v>406</v>
      </c>
      <c r="E239" s="115"/>
      <c r="F239" s="42"/>
      <c r="G239" s="43"/>
      <c r="H239" s="43"/>
      <c r="I239" s="44"/>
      <c r="J239" s="115"/>
      <c r="K239" s="44"/>
      <c r="L239" s="44"/>
      <c r="M239" s="115"/>
      <c r="N239" s="44"/>
      <c r="O239" s="44"/>
      <c r="P239" s="115"/>
      <c r="Q239" s="44"/>
      <c r="R239" s="44"/>
      <c r="S239" s="115"/>
      <c r="T239" s="44"/>
      <c r="U239" s="44"/>
      <c r="V239" s="44"/>
      <c r="W239" s="44"/>
      <c r="X239" s="44"/>
    </row>
    <row r="240" spans="1:24">
      <c r="A240" s="7" t="s">
        <v>407</v>
      </c>
      <c r="B240" s="565">
        <v>70015</v>
      </c>
      <c r="C240" s="7" t="s">
        <v>188</v>
      </c>
      <c r="D240" s="7" t="str">
        <f>$D$40</f>
        <v>Fringe Benefits CCN - Tunisia</v>
      </c>
      <c r="E240" s="105"/>
      <c r="F240" s="70" t="s">
        <v>147</v>
      </c>
      <c r="G240" s="40"/>
      <c r="H240" s="52">
        <f>H40</f>
        <v>0.45500000000000002</v>
      </c>
      <c r="I240" s="40">
        <f>(SUM(I216:I236))*$H$240</f>
        <v>58672.25</v>
      </c>
      <c r="J240" s="105"/>
      <c r="K240" s="40"/>
      <c r="L240" s="40">
        <f>(SUM(L216:L236))*$H$240</f>
        <v>100948.575</v>
      </c>
      <c r="M240" s="105"/>
      <c r="N240" s="40"/>
      <c r="O240" s="40">
        <f>(SUM(O216:O236))*$H$240</f>
        <v>105288.694875</v>
      </c>
      <c r="P240" s="105"/>
      <c r="Q240" s="40"/>
      <c r="R240" s="40">
        <f>(SUM(R216:R236))*$H$240</f>
        <v>110553.12961875001</v>
      </c>
      <c r="S240" s="105"/>
      <c r="T240" s="40"/>
      <c r="U240" s="40">
        <f>(SUM(U216:U236))*$H$240</f>
        <v>98027.216161875011</v>
      </c>
      <c r="V240" s="40">
        <f t="shared" ref="V240" si="285">SUM(R240,O240,L240,I240,U240)</f>
        <v>473489.86565562501</v>
      </c>
      <c r="W240" s="55">
        <v>0</v>
      </c>
      <c r="X240" s="40">
        <f>SUM(V240:W240)</f>
        <v>473489.86565562501</v>
      </c>
    </row>
    <row r="241" spans="1:24">
      <c r="A241" s="37"/>
      <c r="B241" s="37"/>
      <c r="C241" s="37"/>
      <c r="D241" s="37" t="s">
        <v>408</v>
      </c>
      <c r="E241" s="115"/>
      <c r="F241" s="42"/>
      <c r="G241" s="43"/>
      <c r="H241" s="43"/>
      <c r="I241" s="44">
        <f>SUM(I240:I240)</f>
        <v>58672.25</v>
      </c>
      <c r="J241" s="115"/>
      <c r="K241" s="44"/>
      <c r="L241" s="44">
        <f>SUM(L240:L240)</f>
        <v>100948.575</v>
      </c>
      <c r="M241" s="115"/>
      <c r="N241" s="44"/>
      <c r="O241" s="44">
        <f>SUM(O240:O240)</f>
        <v>105288.694875</v>
      </c>
      <c r="P241" s="115"/>
      <c r="Q241" s="44"/>
      <c r="R241" s="44">
        <f>SUM(R240:R240)</f>
        <v>110553.12961875001</v>
      </c>
      <c r="S241" s="115"/>
      <c r="T241" s="44"/>
      <c r="U241" s="44">
        <f>SUM(U240:U240)</f>
        <v>98027.216161875011</v>
      </c>
      <c r="V241" s="44">
        <f>SUM(V240:V240)</f>
        <v>473489.86565562501</v>
      </c>
      <c r="W241" s="44">
        <f>SUM(W240:W240)</f>
        <v>0</v>
      </c>
      <c r="X241" s="44">
        <f>SUM(X240:X240)</f>
        <v>473489.86565562501</v>
      </c>
    </row>
    <row r="242" spans="1:24">
      <c r="A242" s="92"/>
      <c r="B242" s="92"/>
      <c r="C242" s="92"/>
      <c r="D242" s="92"/>
      <c r="E242" s="116"/>
      <c r="F242" s="69"/>
      <c r="G242" s="55"/>
      <c r="H242" s="55"/>
      <c r="I242" s="55"/>
      <c r="J242" s="116"/>
      <c r="K242" s="55"/>
      <c r="L242" s="55"/>
      <c r="M242" s="116"/>
      <c r="N242" s="55"/>
      <c r="O242" s="55"/>
      <c r="P242" s="116"/>
      <c r="Q242" s="55"/>
      <c r="R242" s="55"/>
      <c r="S242" s="116"/>
      <c r="T242" s="55"/>
      <c r="U242" s="55"/>
      <c r="V242" s="55"/>
      <c r="W242" s="55"/>
      <c r="X242" s="55"/>
    </row>
    <row r="243" spans="1:24">
      <c r="A243" s="37"/>
      <c r="B243" s="37"/>
      <c r="C243" s="37"/>
      <c r="D243" s="37" t="s">
        <v>409</v>
      </c>
      <c r="E243" s="115"/>
      <c r="F243" s="42"/>
      <c r="G243" s="43"/>
      <c r="H243" s="43"/>
      <c r="I243" s="43"/>
      <c r="J243" s="115"/>
      <c r="K243" s="43"/>
      <c r="L243" s="43"/>
      <c r="M243" s="115"/>
      <c r="N243" s="43"/>
      <c r="O243" s="43"/>
      <c r="P243" s="115"/>
      <c r="Q243" s="43"/>
      <c r="R243" s="43"/>
      <c r="S243" s="115"/>
      <c r="T243" s="43"/>
      <c r="U243" s="43"/>
      <c r="V243" s="43"/>
      <c r="W243" s="43"/>
      <c r="X243" s="43"/>
    </row>
    <row r="244" spans="1:24">
      <c r="A244" s="7" t="s">
        <v>410</v>
      </c>
      <c r="B244" s="7">
        <v>81010</v>
      </c>
      <c r="C244" s="7" t="s">
        <v>188</v>
      </c>
      <c r="D244" s="7" t="s">
        <v>411</v>
      </c>
      <c r="E244" s="109"/>
      <c r="F244" s="45" t="s">
        <v>412</v>
      </c>
      <c r="G244" s="40">
        <v>4</v>
      </c>
      <c r="H244" s="40">
        <v>25000</v>
      </c>
      <c r="I244" s="40">
        <f>G244*H244</f>
        <v>100000</v>
      </c>
      <c r="J244" s="109"/>
      <c r="K244" s="40">
        <v>4</v>
      </c>
      <c r="L244" s="40">
        <f>K244*(H244/2)</f>
        <v>50000</v>
      </c>
      <c r="M244" s="109"/>
      <c r="N244" s="40">
        <v>4</v>
      </c>
      <c r="O244" s="40">
        <f>N244*(H244/2)</f>
        <v>50000</v>
      </c>
      <c r="P244" s="109"/>
      <c r="Q244" s="40">
        <v>4</v>
      </c>
      <c r="R244" s="40">
        <f>Q244*(H244/2)</f>
        <v>50000</v>
      </c>
      <c r="S244" s="109"/>
      <c r="T244" s="40">
        <v>0</v>
      </c>
      <c r="U244" s="40">
        <f>T244*(H244/2)</f>
        <v>0</v>
      </c>
      <c r="V244" s="40">
        <f t="shared" ref="V244" si="286">SUM(R244,O244,L244,I244,U244)</f>
        <v>250000</v>
      </c>
      <c r="W244" s="40">
        <v>0</v>
      </c>
      <c r="X244" s="40">
        <f>V244+W244</f>
        <v>250000</v>
      </c>
    </row>
    <row r="245" spans="1:24">
      <c r="A245" s="7" t="s">
        <v>410</v>
      </c>
      <c r="B245" s="7">
        <v>81010</v>
      </c>
      <c r="C245" s="7" t="s">
        <v>188</v>
      </c>
      <c r="D245" s="7" t="s">
        <v>413</v>
      </c>
      <c r="E245" s="109"/>
      <c r="F245" s="45" t="s">
        <v>228</v>
      </c>
      <c r="G245" s="40">
        <v>0</v>
      </c>
      <c r="H245" s="40">
        <v>350</v>
      </c>
      <c r="I245" s="40">
        <f>G245*H245</f>
        <v>0</v>
      </c>
      <c r="J245" s="109"/>
      <c r="K245" s="40">
        <v>4</v>
      </c>
      <c r="L245" s="40">
        <f t="shared" ref="L245" si="287">K245*H245</f>
        <v>1400</v>
      </c>
      <c r="M245" s="109"/>
      <c r="N245" s="40">
        <v>4</v>
      </c>
      <c r="O245" s="40">
        <f t="shared" ref="O245" si="288">N245*H245</f>
        <v>1400</v>
      </c>
      <c r="P245" s="109"/>
      <c r="Q245" s="40">
        <v>4</v>
      </c>
      <c r="R245" s="40">
        <f t="shared" ref="R245" si="289">Q245*H245</f>
        <v>1400</v>
      </c>
      <c r="S245" s="109"/>
      <c r="T245" s="40">
        <v>0</v>
      </c>
      <c r="U245" s="40">
        <f>T245*H245</f>
        <v>0</v>
      </c>
      <c r="V245" s="40">
        <f t="shared" ref="V245" si="290">SUM(R245,O245,L245,I245,U245)</f>
        <v>4200</v>
      </c>
      <c r="W245" s="40">
        <v>0</v>
      </c>
      <c r="X245" s="40">
        <f>V245+W245</f>
        <v>4200</v>
      </c>
    </row>
    <row r="246" spans="1:24">
      <c r="A246" s="7" t="s">
        <v>414</v>
      </c>
      <c r="B246" s="7">
        <v>81010</v>
      </c>
      <c r="C246" s="7" t="s">
        <v>188</v>
      </c>
      <c r="D246" s="7" t="s">
        <v>415</v>
      </c>
      <c r="F246" s="7" t="s">
        <v>247</v>
      </c>
      <c r="G246" s="40">
        <f>G275</f>
        <v>0</v>
      </c>
      <c r="H246" s="40">
        <v>5000</v>
      </c>
      <c r="I246" s="40">
        <f t="shared" ref="I246" si="291">G246*H246</f>
        <v>0</v>
      </c>
      <c r="J246" s="111"/>
      <c r="K246" s="40">
        <f>K275</f>
        <v>12</v>
      </c>
      <c r="L246" s="40">
        <f>H246*K246</f>
        <v>60000</v>
      </c>
      <c r="M246" s="111"/>
      <c r="N246" s="40">
        <f>N275</f>
        <v>13</v>
      </c>
      <c r="O246" s="40">
        <f>H246*N246</f>
        <v>65000</v>
      </c>
      <c r="P246" s="111"/>
      <c r="Q246" s="40">
        <f>Q275</f>
        <v>0</v>
      </c>
      <c r="R246" s="40">
        <f>H246*Q246</f>
        <v>0</v>
      </c>
      <c r="S246" s="111"/>
      <c r="T246" s="40">
        <f>T275</f>
        <v>0</v>
      </c>
      <c r="U246" s="40">
        <f>H246*T246</f>
        <v>0</v>
      </c>
      <c r="V246" s="40">
        <f t="shared" ref="V246" si="292">SUM(R246,O246,L246,I246,U246)</f>
        <v>125000</v>
      </c>
      <c r="W246" s="40" t="s">
        <v>224</v>
      </c>
      <c r="X246" s="40">
        <f>SUM(V246:W246)</f>
        <v>125000</v>
      </c>
    </row>
    <row r="247" spans="1:24">
      <c r="A247" s="7" t="s">
        <v>416</v>
      </c>
      <c r="B247" s="7">
        <v>86110</v>
      </c>
      <c r="C247" s="7" t="s">
        <v>188</v>
      </c>
      <c r="D247" s="7" t="s">
        <v>254</v>
      </c>
      <c r="E247" s="109"/>
      <c r="F247" s="45" t="s">
        <v>250</v>
      </c>
      <c r="G247" s="40">
        <v>1</v>
      </c>
      <c r="H247" s="40">
        <v>5000</v>
      </c>
      <c r="I247" s="40">
        <f>G247*H247</f>
        <v>5000</v>
      </c>
      <c r="J247" s="109"/>
      <c r="K247" s="40">
        <v>1</v>
      </c>
      <c r="L247" s="40">
        <f>K247*H247</f>
        <v>5000</v>
      </c>
      <c r="M247" s="109"/>
      <c r="N247" s="40">
        <v>1</v>
      </c>
      <c r="O247" s="40">
        <f>N247*H247</f>
        <v>5000</v>
      </c>
      <c r="P247" s="109"/>
      <c r="Q247" s="40">
        <v>1</v>
      </c>
      <c r="R247" s="40">
        <f>Q247*H247</f>
        <v>5000</v>
      </c>
      <c r="S247" s="109"/>
      <c r="T247" s="40">
        <v>1</v>
      </c>
      <c r="U247" s="40">
        <f>T247*H247</f>
        <v>5000</v>
      </c>
      <c r="V247" s="40">
        <f>SUM(R247,O247,L247,I247,U247)</f>
        <v>25000</v>
      </c>
      <c r="W247" s="40">
        <v>0</v>
      </c>
      <c r="X247" s="40">
        <f>V247+W247</f>
        <v>25000</v>
      </c>
    </row>
    <row r="248" spans="1:24">
      <c r="A248" s="37"/>
      <c r="B248" s="37"/>
      <c r="C248" s="37"/>
      <c r="D248" s="37" t="s">
        <v>417</v>
      </c>
      <c r="E248" s="115"/>
      <c r="F248" s="42"/>
      <c r="G248" s="44"/>
      <c r="H248" s="44"/>
      <c r="I248" s="44">
        <f>SUM(I244:I247)</f>
        <v>105000</v>
      </c>
      <c r="J248" s="118"/>
      <c r="K248" s="44"/>
      <c r="L248" s="44">
        <f>SUM(L244:L247)</f>
        <v>116400</v>
      </c>
      <c r="M248" s="118"/>
      <c r="N248" s="44"/>
      <c r="O248" s="44">
        <f>SUM(O244:O247)</f>
        <v>121400</v>
      </c>
      <c r="P248" s="118"/>
      <c r="Q248" s="44"/>
      <c r="R248" s="44">
        <f>SUM(R244:R247)</f>
        <v>56400</v>
      </c>
      <c r="S248" s="118"/>
      <c r="T248" s="44"/>
      <c r="U248" s="44">
        <f>SUM(U244:U247)</f>
        <v>5000</v>
      </c>
      <c r="V248" s="44">
        <f>SUM(V244:V247)</f>
        <v>404200</v>
      </c>
      <c r="W248" s="44">
        <f>SUM(W244:W247)</f>
        <v>0</v>
      </c>
      <c r="X248" s="44">
        <f>SUM(X244:X247)</f>
        <v>404200</v>
      </c>
    </row>
    <row r="249" spans="1:24">
      <c r="A249" s="92"/>
      <c r="B249" s="92"/>
      <c r="C249" s="92"/>
      <c r="D249" s="92"/>
      <c r="E249" s="116"/>
      <c r="F249" s="69"/>
      <c r="G249" s="55"/>
      <c r="H249" s="55"/>
      <c r="I249" s="55"/>
      <c r="J249" s="116"/>
      <c r="K249" s="55"/>
      <c r="L249" s="55"/>
      <c r="M249" s="116"/>
      <c r="N249" s="55"/>
      <c r="O249" s="55"/>
      <c r="P249" s="116"/>
      <c r="Q249" s="55"/>
      <c r="R249" s="55"/>
      <c r="S249" s="116"/>
      <c r="T249" s="55"/>
      <c r="U249" s="55"/>
      <c r="V249" s="55"/>
      <c r="W249" s="55"/>
      <c r="X249" s="55"/>
    </row>
    <row r="250" spans="1:24">
      <c r="A250" s="37"/>
      <c r="B250" s="37"/>
      <c r="C250" s="37"/>
      <c r="D250" s="37" t="s">
        <v>418</v>
      </c>
      <c r="E250" s="115"/>
      <c r="F250" s="42"/>
      <c r="G250" s="43"/>
      <c r="H250" s="43"/>
      <c r="I250" s="43"/>
      <c r="J250" s="115"/>
      <c r="K250" s="43"/>
      <c r="L250" s="43"/>
      <c r="M250" s="115"/>
      <c r="N250" s="43"/>
      <c r="O250" s="43"/>
      <c r="P250" s="115"/>
      <c r="Q250" s="43"/>
      <c r="R250" s="43"/>
      <c r="S250" s="115"/>
      <c r="T250" s="43"/>
      <c r="U250" s="43"/>
      <c r="V250" s="43"/>
      <c r="W250" s="43"/>
      <c r="X250" s="43"/>
    </row>
    <row r="251" spans="1:24">
      <c r="A251" s="7" t="s">
        <v>419</v>
      </c>
      <c r="B251" s="7">
        <v>90450</v>
      </c>
      <c r="C251" s="7" t="s">
        <v>188</v>
      </c>
      <c r="D251" s="7" t="s">
        <v>360</v>
      </c>
      <c r="E251" s="109"/>
      <c r="F251" s="46" t="s">
        <v>247</v>
      </c>
      <c r="G251" s="40">
        <v>1</v>
      </c>
      <c r="H251" s="40">
        <v>500</v>
      </c>
      <c r="I251" s="40">
        <f>G251*H251</f>
        <v>500</v>
      </c>
      <c r="J251" s="109"/>
      <c r="K251" s="40">
        <v>3</v>
      </c>
      <c r="L251" s="40">
        <f>K251*H251</f>
        <v>1500</v>
      </c>
      <c r="M251" s="109"/>
      <c r="N251" s="40">
        <v>1</v>
      </c>
      <c r="O251" s="40">
        <f>N251*H251</f>
        <v>500</v>
      </c>
      <c r="P251" s="109"/>
      <c r="Q251" s="40">
        <v>0</v>
      </c>
      <c r="R251" s="40">
        <f>Q251*H251</f>
        <v>0</v>
      </c>
      <c r="S251" s="109"/>
      <c r="T251" s="40">
        <v>0</v>
      </c>
      <c r="U251" s="40">
        <f>T251*K251</f>
        <v>0</v>
      </c>
      <c r="V251" s="40">
        <f t="shared" ref="V251" si="293">SUM(R251,O251,L251,I251,U251)</f>
        <v>2500</v>
      </c>
      <c r="W251" s="40">
        <v>0</v>
      </c>
      <c r="X251" s="40">
        <f>V251+W251</f>
        <v>2500</v>
      </c>
    </row>
    <row r="252" spans="1:24">
      <c r="A252" s="37"/>
      <c r="B252" s="37"/>
      <c r="C252" s="37"/>
      <c r="D252" s="37" t="s">
        <v>420</v>
      </c>
      <c r="E252" s="115"/>
      <c r="F252" s="42"/>
      <c r="G252" s="43"/>
      <c r="H252" s="44"/>
      <c r="I252" s="44">
        <f>SUM(I251:I251)</f>
        <v>500</v>
      </c>
      <c r="J252" s="118"/>
      <c r="K252" s="44"/>
      <c r="L252" s="44">
        <f>SUM(L251:L251)</f>
        <v>1500</v>
      </c>
      <c r="M252" s="118"/>
      <c r="N252" s="44"/>
      <c r="O252" s="44">
        <f>SUM(O251:O251)</f>
        <v>500</v>
      </c>
      <c r="P252" s="118"/>
      <c r="Q252" s="44"/>
      <c r="R252" s="44">
        <f>SUM(R251:R251)</f>
        <v>0</v>
      </c>
      <c r="S252" s="118"/>
      <c r="T252" s="44"/>
      <c r="U252" s="44">
        <f>SUM(U251:U251)</f>
        <v>0</v>
      </c>
      <c r="V252" s="44">
        <f>SUM(V251:V251)</f>
        <v>2500</v>
      </c>
      <c r="W252" s="44">
        <f>SUM(W251:W251)</f>
        <v>0</v>
      </c>
      <c r="X252" s="44">
        <f>SUM(X251:X251)</f>
        <v>2500</v>
      </c>
    </row>
    <row r="253" spans="1:24">
      <c r="A253" s="92"/>
      <c r="B253" s="92"/>
      <c r="C253" s="92"/>
      <c r="D253" s="92"/>
      <c r="E253" s="116"/>
      <c r="F253" s="69"/>
      <c r="G253" s="55"/>
      <c r="H253" s="55"/>
      <c r="I253" s="55"/>
      <c r="J253" s="116"/>
      <c r="K253" s="55"/>
      <c r="L253" s="55"/>
      <c r="M253" s="116"/>
      <c r="N253" s="55"/>
      <c r="O253" s="55"/>
      <c r="P253" s="116"/>
      <c r="Q253" s="55"/>
      <c r="R253" s="55"/>
      <c r="S253" s="116"/>
      <c r="T253" s="55"/>
      <c r="U253" s="55"/>
      <c r="V253" s="55"/>
      <c r="W253" s="55"/>
      <c r="X253" s="55"/>
    </row>
    <row r="254" spans="1:24">
      <c r="A254" s="37"/>
      <c r="B254" s="37"/>
      <c r="C254" s="37"/>
      <c r="D254" s="37" t="s">
        <v>421</v>
      </c>
      <c r="E254" s="115"/>
      <c r="F254" s="42"/>
      <c r="G254" s="43"/>
      <c r="H254" s="43"/>
      <c r="I254" s="43"/>
      <c r="J254" s="115"/>
      <c r="K254" s="43"/>
      <c r="L254" s="43"/>
      <c r="M254" s="115"/>
      <c r="N254" s="43"/>
      <c r="O254" s="43"/>
      <c r="P254" s="115"/>
      <c r="Q254" s="43"/>
      <c r="R254" s="43"/>
      <c r="S254" s="115"/>
      <c r="T254" s="43"/>
      <c r="U254" s="43"/>
      <c r="V254" s="43"/>
      <c r="W254" s="43"/>
      <c r="X254" s="43"/>
    </row>
    <row r="255" spans="1:24">
      <c r="A255" s="7" t="s">
        <v>422</v>
      </c>
      <c r="B255" s="7">
        <v>86000</v>
      </c>
      <c r="C255" s="7" t="s">
        <v>188</v>
      </c>
      <c r="D255" s="7" t="s">
        <v>239</v>
      </c>
      <c r="F255" s="7" t="s">
        <v>190</v>
      </c>
      <c r="G255" s="40">
        <v>3</v>
      </c>
      <c r="H255" s="40">
        <v>100</v>
      </c>
      <c r="I255" s="40">
        <f t="shared" ref="I255:I261" si="294">G255*H255</f>
        <v>300</v>
      </c>
      <c r="J255" s="40"/>
      <c r="K255" s="40">
        <v>12</v>
      </c>
      <c r="L255" s="40">
        <f t="shared" ref="L255:L261" si="295">H255*K255*$E$6</f>
        <v>1284</v>
      </c>
      <c r="M255" s="111"/>
      <c r="N255" s="40">
        <v>12</v>
      </c>
      <c r="O255" s="40">
        <f t="shared" ref="O255:O261" si="296">H255*N255*$E$6*$E$6</f>
        <v>1373.88</v>
      </c>
      <c r="P255" s="111"/>
      <c r="Q255" s="40">
        <v>12</v>
      </c>
      <c r="R255" s="40">
        <f t="shared" ref="R255:R261" si="297">H255*Q255*$E$6*$E$6*$E$6</f>
        <v>1470.0516000000002</v>
      </c>
      <c r="S255" s="111"/>
      <c r="T255" s="40">
        <v>9</v>
      </c>
      <c r="U255" s="40">
        <f t="shared" ref="U255:U261" si="298">H255*T255*$E$6*$E$6*$E$6*$E$6</f>
        <v>1179.7164090000001</v>
      </c>
      <c r="V255" s="40">
        <f t="shared" ref="V255" si="299">SUM(R255,O255,L255,I255,U255)</f>
        <v>5607.6480090000005</v>
      </c>
      <c r="W255" s="40" t="s">
        <v>224</v>
      </c>
      <c r="X255" s="40">
        <f t="shared" ref="X255:X261" si="300">SUM(V255:W255)</f>
        <v>5607.6480090000005</v>
      </c>
    </row>
    <row r="256" spans="1:24">
      <c r="A256" s="7" t="s">
        <v>422</v>
      </c>
      <c r="B256" s="7">
        <v>86000</v>
      </c>
      <c r="C256" s="7" t="s">
        <v>188</v>
      </c>
      <c r="D256" s="7" t="s">
        <v>364</v>
      </c>
      <c r="F256" s="7" t="s">
        <v>190</v>
      </c>
      <c r="G256" s="40">
        <v>3</v>
      </c>
      <c r="H256" s="40">
        <v>50</v>
      </c>
      <c r="I256" s="40">
        <f t="shared" ref="I256" si="301">G256*H256</f>
        <v>150</v>
      </c>
      <c r="J256" s="40"/>
      <c r="K256" s="40">
        <v>12</v>
      </c>
      <c r="L256" s="40">
        <f t="shared" ref="L256" si="302">H256*K256*$E$6</f>
        <v>642</v>
      </c>
      <c r="M256" s="111"/>
      <c r="N256" s="40">
        <v>12</v>
      </c>
      <c r="O256" s="40">
        <f t="shared" ref="O256" si="303">H256*N256*$E$6*$E$6</f>
        <v>686.94</v>
      </c>
      <c r="P256" s="111"/>
      <c r="Q256" s="40">
        <v>12</v>
      </c>
      <c r="R256" s="40">
        <f t="shared" ref="R256" si="304">H256*Q256*$E$6*$E$6*$E$6</f>
        <v>735.02580000000012</v>
      </c>
      <c r="S256" s="111"/>
      <c r="T256" s="40">
        <v>9</v>
      </c>
      <c r="U256" s="40">
        <f t="shared" ref="U256" si="305">H256*T256*$E$6*$E$6*$E$6*$E$6</f>
        <v>589.85820450000006</v>
      </c>
      <c r="V256" s="40">
        <f t="shared" ref="V256" si="306">SUM(R256,O256,L256,I256,U256)</f>
        <v>2803.8240045000002</v>
      </c>
      <c r="W256" s="40" t="s">
        <v>224</v>
      </c>
      <c r="X256" s="40">
        <f t="shared" ref="X256" si="307">SUM(V256:W256)</f>
        <v>2803.8240045000002</v>
      </c>
    </row>
    <row r="257" spans="1:24">
      <c r="A257" s="7" t="s">
        <v>422</v>
      </c>
      <c r="B257" s="7">
        <v>86000</v>
      </c>
      <c r="C257" s="7" t="s">
        <v>188</v>
      </c>
      <c r="D257" s="7" t="s">
        <v>423</v>
      </c>
      <c r="F257" s="7" t="s">
        <v>223</v>
      </c>
      <c r="G257" s="40">
        <v>3</v>
      </c>
      <c r="H257" s="40">
        <v>100</v>
      </c>
      <c r="I257" s="40">
        <f t="shared" si="294"/>
        <v>300</v>
      </c>
      <c r="J257" s="40"/>
      <c r="K257" s="40">
        <v>0</v>
      </c>
      <c r="L257" s="40">
        <f t="shared" si="295"/>
        <v>0</v>
      </c>
      <c r="M257" s="111"/>
      <c r="N257" s="40">
        <v>0</v>
      </c>
      <c r="O257" s="40">
        <f t="shared" si="296"/>
        <v>0</v>
      </c>
      <c r="P257" s="111"/>
      <c r="Q257" s="40">
        <v>0</v>
      </c>
      <c r="R257" s="40">
        <f t="shared" si="297"/>
        <v>0</v>
      </c>
      <c r="S257" s="111"/>
      <c r="T257" s="40">
        <v>0</v>
      </c>
      <c r="U257" s="40">
        <f t="shared" si="298"/>
        <v>0</v>
      </c>
      <c r="V257" s="40">
        <f t="shared" ref="V257:V258" si="308">SUM(R257,O257,L257,I257,U257)</f>
        <v>300</v>
      </c>
      <c r="W257" s="40" t="s">
        <v>224</v>
      </c>
      <c r="X257" s="40">
        <f t="shared" si="300"/>
        <v>300</v>
      </c>
    </row>
    <row r="258" spans="1:24" ht="25.2">
      <c r="A258" s="7" t="s">
        <v>422</v>
      </c>
      <c r="B258" s="565" t="s">
        <v>366</v>
      </c>
      <c r="C258" s="7" t="s">
        <v>188</v>
      </c>
      <c r="D258" s="7" t="s">
        <v>424</v>
      </c>
      <c r="F258" s="7" t="s">
        <v>228</v>
      </c>
      <c r="G258" s="40">
        <f>G257*2</f>
        <v>6</v>
      </c>
      <c r="H258" s="40">
        <f>44+85</f>
        <v>129</v>
      </c>
      <c r="I258" s="40">
        <f t="shared" si="294"/>
        <v>774</v>
      </c>
      <c r="J258" s="40"/>
      <c r="K258" s="40">
        <f>K257*3</f>
        <v>0</v>
      </c>
      <c r="L258" s="40">
        <f t="shared" si="295"/>
        <v>0</v>
      </c>
      <c r="M258" s="111"/>
      <c r="N258" s="40">
        <f>N257*3</f>
        <v>0</v>
      </c>
      <c r="O258" s="40">
        <f t="shared" si="296"/>
        <v>0</v>
      </c>
      <c r="P258" s="111"/>
      <c r="Q258" s="40">
        <f>Q257*3</f>
        <v>0</v>
      </c>
      <c r="R258" s="40">
        <f t="shared" si="297"/>
        <v>0</v>
      </c>
      <c r="S258" s="111"/>
      <c r="T258" s="40">
        <f>T257*3</f>
        <v>0</v>
      </c>
      <c r="U258" s="40">
        <f t="shared" si="298"/>
        <v>0</v>
      </c>
      <c r="V258" s="40">
        <f t="shared" si="308"/>
        <v>774</v>
      </c>
      <c r="W258" s="40" t="s">
        <v>224</v>
      </c>
      <c r="X258" s="40">
        <f t="shared" si="300"/>
        <v>774</v>
      </c>
    </row>
    <row r="259" spans="1:24">
      <c r="A259" s="7" t="s">
        <v>422</v>
      </c>
      <c r="B259" s="7">
        <v>86000</v>
      </c>
      <c r="C259" s="7" t="s">
        <v>188</v>
      </c>
      <c r="D259" s="7" t="s">
        <v>425</v>
      </c>
      <c r="F259" s="7" t="s">
        <v>223</v>
      </c>
      <c r="G259" s="40">
        <f>2*4</f>
        <v>8</v>
      </c>
      <c r="H259" s="40">
        <v>100</v>
      </c>
      <c r="I259" s="40">
        <f t="shared" si="294"/>
        <v>800</v>
      </c>
      <c r="J259" s="40"/>
      <c r="K259" s="40">
        <v>0</v>
      </c>
      <c r="L259" s="40">
        <f t="shared" si="295"/>
        <v>0</v>
      </c>
      <c r="M259" s="111"/>
      <c r="N259" s="40">
        <v>0</v>
      </c>
      <c r="O259" s="40">
        <f t="shared" si="296"/>
        <v>0</v>
      </c>
      <c r="P259" s="111"/>
      <c r="Q259" s="40">
        <v>0</v>
      </c>
      <c r="R259" s="40">
        <f t="shared" si="297"/>
        <v>0</v>
      </c>
      <c r="S259" s="111"/>
      <c r="T259" s="40">
        <v>0</v>
      </c>
      <c r="U259" s="40">
        <f t="shared" si="298"/>
        <v>0</v>
      </c>
      <c r="V259" s="40">
        <f t="shared" ref="V259:V260" si="309">SUM(R259,O259,L259,I259,U259)</f>
        <v>800</v>
      </c>
      <c r="W259" s="40" t="s">
        <v>224</v>
      </c>
      <c r="X259" s="40">
        <f t="shared" si="300"/>
        <v>800</v>
      </c>
    </row>
    <row r="260" spans="1:24" ht="25.2">
      <c r="A260" s="7" t="s">
        <v>422</v>
      </c>
      <c r="B260" s="565" t="s">
        <v>366</v>
      </c>
      <c r="C260" s="7" t="s">
        <v>188</v>
      </c>
      <c r="D260" s="7" t="s">
        <v>426</v>
      </c>
      <c r="F260" s="7" t="s">
        <v>228</v>
      </c>
      <c r="G260" s="40">
        <f>G259*2</f>
        <v>16</v>
      </c>
      <c r="H260" s="40">
        <f>44+85</f>
        <v>129</v>
      </c>
      <c r="I260" s="40">
        <f t="shared" si="294"/>
        <v>2064</v>
      </c>
      <c r="J260" s="40"/>
      <c r="K260" s="40">
        <f>K259*3</f>
        <v>0</v>
      </c>
      <c r="L260" s="40">
        <f t="shared" si="295"/>
        <v>0</v>
      </c>
      <c r="M260" s="111"/>
      <c r="N260" s="40">
        <f>N259*3</f>
        <v>0</v>
      </c>
      <c r="O260" s="40">
        <f t="shared" si="296"/>
        <v>0</v>
      </c>
      <c r="P260" s="111"/>
      <c r="Q260" s="40">
        <f>Q259*3</f>
        <v>0</v>
      </c>
      <c r="R260" s="40">
        <f t="shared" si="297"/>
        <v>0</v>
      </c>
      <c r="S260" s="111"/>
      <c r="T260" s="40">
        <f>T259*3</f>
        <v>0</v>
      </c>
      <c r="U260" s="40">
        <f t="shared" si="298"/>
        <v>0</v>
      </c>
      <c r="V260" s="40">
        <f t="shared" si="309"/>
        <v>2064</v>
      </c>
      <c r="W260" s="40" t="s">
        <v>224</v>
      </c>
      <c r="X260" s="40">
        <f t="shared" si="300"/>
        <v>2064</v>
      </c>
    </row>
    <row r="261" spans="1:24">
      <c r="A261" s="7" t="s">
        <v>427</v>
      </c>
      <c r="B261" s="7">
        <v>86000</v>
      </c>
      <c r="C261" s="7" t="s">
        <v>188</v>
      </c>
      <c r="D261" s="7" t="s">
        <v>428</v>
      </c>
      <c r="F261" s="7" t="s">
        <v>374</v>
      </c>
      <c r="G261" s="40">
        <v>0</v>
      </c>
      <c r="H261" s="40">
        <v>7</v>
      </c>
      <c r="I261" s="40">
        <f t="shared" si="294"/>
        <v>0</v>
      </c>
      <c r="J261" s="111"/>
      <c r="K261" s="40">
        <f>18*2</f>
        <v>36</v>
      </c>
      <c r="L261" s="40">
        <f t="shared" si="295"/>
        <v>269.64000000000004</v>
      </c>
      <c r="M261" s="111"/>
      <c r="N261" s="40">
        <f>19*2</f>
        <v>38</v>
      </c>
      <c r="O261" s="40">
        <f t="shared" si="296"/>
        <v>304.54340000000002</v>
      </c>
      <c r="P261" s="111"/>
      <c r="Q261" s="40">
        <f>18*2</f>
        <v>36</v>
      </c>
      <c r="R261" s="40">
        <f t="shared" si="297"/>
        <v>308.71083600000003</v>
      </c>
      <c r="S261" s="111"/>
      <c r="T261" s="40">
        <v>0</v>
      </c>
      <c r="U261" s="40">
        <f t="shared" si="298"/>
        <v>0</v>
      </c>
      <c r="V261" s="40">
        <f t="shared" ref="V261" si="310">SUM(R261,O261,L261,I261,U261)</f>
        <v>882.89423600000009</v>
      </c>
      <c r="W261" s="40" t="s">
        <v>224</v>
      </c>
      <c r="X261" s="40">
        <f t="shared" si="300"/>
        <v>882.89423600000009</v>
      </c>
    </row>
    <row r="262" spans="1:24">
      <c r="A262" s="37"/>
      <c r="B262" s="37"/>
      <c r="C262" s="37"/>
      <c r="D262" s="37" t="s">
        <v>429</v>
      </c>
      <c r="E262" s="115"/>
      <c r="F262" s="42"/>
      <c r="G262" s="43"/>
      <c r="H262" s="44"/>
      <c r="I262" s="44">
        <f>SUM(I255:I261)</f>
        <v>4388</v>
      </c>
      <c r="J262" s="115"/>
      <c r="K262" s="44"/>
      <c r="L262" s="44">
        <f>SUM(L255:L261)</f>
        <v>2195.64</v>
      </c>
      <c r="M262" s="115"/>
      <c r="N262" s="44"/>
      <c r="O262" s="44">
        <f>SUM(O255:O261)</f>
        <v>2365.3634000000002</v>
      </c>
      <c r="P262" s="115"/>
      <c r="Q262" s="44"/>
      <c r="R262" s="44">
        <f>SUM(R255:R261)</f>
        <v>2513.7882360000003</v>
      </c>
      <c r="S262" s="115"/>
      <c r="T262" s="44"/>
      <c r="U262" s="44">
        <f>SUM(U255:U261)</f>
        <v>1769.5746135000002</v>
      </c>
      <c r="V262" s="44">
        <f>SUM(V255:V261)</f>
        <v>13232.366249500001</v>
      </c>
      <c r="W262" s="44">
        <f>SUM(W255:W261)</f>
        <v>0</v>
      </c>
      <c r="X262" s="44">
        <f>SUM(X255:X261)</f>
        <v>13232.366249500001</v>
      </c>
    </row>
    <row r="263" spans="1:24">
      <c r="A263" s="92"/>
      <c r="B263" s="92"/>
      <c r="C263" s="92"/>
      <c r="D263" s="92"/>
      <c r="E263" s="116"/>
      <c r="F263" s="69"/>
      <c r="G263" s="55"/>
      <c r="H263" s="55"/>
      <c r="I263" s="55"/>
      <c r="J263" s="116"/>
      <c r="K263" s="55"/>
      <c r="L263" s="55"/>
      <c r="M263" s="116"/>
      <c r="N263" s="55"/>
      <c r="O263" s="55"/>
      <c r="P263" s="116"/>
      <c r="Q263" s="55"/>
      <c r="R263" s="55"/>
      <c r="S263" s="116"/>
      <c r="T263" s="55"/>
      <c r="U263" s="55"/>
      <c r="V263" s="55"/>
      <c r="W263" s="55"/>
      <c r="X263" s="55"/>
    </row>
    <row r="264" spans="1:24">
      <c r="A264" s="37"/>
      <c r="B264" s="37"/>
      <c r="C264" s="37"/>
      <c r="D264" s="37" t="s">
        <v>430</v>
      </c>
      <c r="E264" s="115"/>
      <c r="F264" s="42"/>
      <c r="G264" s="43"/>
      <c r="H264" s="43"/>
      <c r="I264" s="43"/>
      <c r="J264" s="115"/>
      <c r="K264" s="43"/>
      <c r="L264" s="43"/>
      <c r="M264" s="115"/>
      <c r="N264" s="43"/>
      <c r="O264" s="43"/>
      <c r="P264" s="115"/>
      <c r="Q264" s="43"/>
      <c r="R264" s="43"/>
      <c r="S264" s="115"/>
      <c r="T264" s="43"/>
      <c r="U264" s="43"/>
      <c r="V264" s="43"/>
      <c r="W264" s="43"/>
      <c r="X264" s="43"/>
    </row>
    <row r="265" spans="1:24">
      <c r="A265" s="79"/>
      <c r="B265" s="79"/>
      <c r="C265" s="79"/>
      <c r="D265" s="79" t="s">
        <v>152</v>
      </c>
      <c r="E265" s="110"/>
      <c r="F265" s="81"/>
      <c r="G265" s="82"/>
      <c r="H265" s="82"/>
      <c r="I265" s="82"/>
      <c r="J265" s="110"/>
      <c r="K265" s="82"/>
      <c r="L265" s="82"/>
      <c r="M265" s="110"/>
      <c r="N265" s="82"/>
      <c r="O265" s="82"/>
      <c r="P265" s="110"/>
      <c r="Q265" s="82"/>
      <c r="R265" s="82"/>
      <c r="S265" s="110"/>
      <c r="T265" s="82"/>
      <c r="U265" s="82"/>
      <c r="V265" s="68"/>
      <c r="W265" s="68"/>
      <c r="X265" s="82"/>
    </row>
    <row r="266" spans="1:24">
      <c r="A266" s="7" t="s">
        <v>431</v>
      </c>
      <c r="B266" s="7">
        <v>87000</v>
      </c>
      <c r="C266" s="7" t="s">
        <v>188</v>
      </c>
      <c r="D266" s="7" t="s">
        <v>432</v>
      </c>
      <c r="F266" s="7" t="s">
        <v>388</v>
      </c>
      <c r="G266" s="40">
        <v>1</v>
      </c>
      <c r="H266" s="40">
        <f>(35*10)+500</f>
        <v>850</v>
      </c>
      <c r="I266" s="40">
        <f t="shared" ref="I266:I271" si="311">G266*H266</f>
        <v>850</v>
      </c>
      <c r="J266" s="111"/>
      <c r="K266" s="40">
        <v>0</v>
      </c>
      <c r="L266" s="40">
        <f t="shared" ref="L266:L271" si="312">H266*K266</f>
        <v>0</v>
      </c>
      <c r="M266" s="111"/>
      <c r="N266" s="40">
        <v>0</v>
      </c>
      <c r="O266" s="40">
        <f t="shared" ref="O266:O271" si="313">H266*N266</f>
        <v>0</v>
      </c>
      <c r="P266" s="111"/>
      <c r="Q266" s="40">
        <v>0</v>
      </c>
      <c r="R266" s="40">
        <f t="shared" ref="R266:R271" si="314">H266*Q266</f>
        <v>0</v>
      </c>
      <c r="S266" s="111"/>
      <c r="T266" s="40">
        <v>0</v>
      </c>
      <c r="U266" s="40">
        <f t="shared" ref="U266:U271" si="315">H266*T266</f>
        <v>0</v>
      </c>
      <c r="V266" s="40">
        <f>SUM(R266,O266,L266,I266,U266)</f>
        <v>850</v>
      </c>
      <c r="W266" s="40" t="s">
        <v>224</v>
      </c>
      <c r="X266" s="40">
        <f t="shared" ref="X266:X271" si="316">SUM(V266:W266)</f>
        <v>850</v>
      </c>
    </row>
    <row r="267" spans="1:24" ht="25.2">
      <c r="A267" s="7" t="s">
        <v>433</v>
      </c>
      <c r="B267" s="565" t="s">
        <v>272</v>
      </c>
      <c r="C267" s="7" t="s">
        <v>188</v>
      </c>
      <c r="D267" s="7" t="s">
        <v>434</v>
      </c>
      <c r="F267" s="7" t="s">
        <v>435</v>
      </c>
      <c r="G267" s="40">
        <v>4</v>
      </c>
      <c r="H267" s="40">
        <v>5000</v>
      </c>
      <c r="I267" s="40">
        <f t="shared" si="311"/>
        <v>20000</v>
      </c>
      <c r="J267" s="111"/>
      <c r="K267" s="40">
        <v>0</v>
      </c>
      <c r="L267" s="40">
        <f t="shared" si="312"/>
        <v>0</v>
      </c>
      <c r="M267" s="111"/>
      <c r="N267" s="40">
        <v>0</v>
      </c>
      <c r="O267" s="40">
        <f t="shared" si="313"/>
        <v>0</v>
      </c>
      <c r="P267" s="111"/>
      <c r="Q267" s="40">
        <v>0</v>
      </c>
      <c r="R267" s="40">
        <f t="shared" si="314"/>
        <v>0</v>
      </c>
      <c r="S267" s="111"/>
      <c r="T267" s="40">
        <v>0</v>
      </c>
      <c r="U267" s="40">
        <f t="shared" si="315"/>
        <v>0</v>
      </c>
      <c r="V267" s="40">
        <f t="shared" ref="V267:V269" si="317">SUM(R267,O267,L267,I267,U267)</f>
        <v>20000</v>
      </c>
      <c r="W267" s="40" t="s">
        <v>224</v>
      </c>
      <c r="X267" s="40">
        <f t="shared" si="316"/>
        <v>20000</v>
      </c>
    </row>
    <row r="268" spans="1:24">
      <c r="A268" s="7" t="s">
        <v>436</v>
      </c>
      <c r="B268" s="7">
        <v>87000</v>
      </c>
      <c r="C268" s="7" t="s">
        <v>188</v>
      </c>
      <c r="D268" s="7" t="s">
        <v>437</v>
      </c>
      <c r="F268" s="7" t="s">
        <v>139</v>
      </c>
      <c r="G268" s="40">
        <v>2</v>
      </c>
      <c r="H268" s="40">
        <f>(28*10)+450</f>
        <v>730</v>
      </c>
      <c r="I268" s="40">
        <f t="shared" si="311"/>
        <v>1460</v>
      </c>
      <c r="J268" s="111"/>
      <c r="K268" s="40">
        <v>0</v>
      </c>
      <c r="L268" s="40">
        <f t="shared" si="312"/>
        <v>0</v>
      </c>
      <c r="M268" s="111"/>
      <c r="N268" s="40">
        <v>0</v>
      </c>
      <c r="O268" s="40">
        <f t="shared" si="313"/>
        <v>0</v>
      </c>
      <c r="P268" s="111"/>
      <c r="Q268" s="40">
        <v>0</v>
      </c>
      <c r="R268" s="40">
        <f t="shared" si="314"/>
        <v>0</v>
      </c>
      <c r="S268" s="111"/>
      <c r="T268" s="40">
        <v>0</v>
      </c>
      <c r="U268" s="40">
        <f t="shared" si="315"/>
        <v>0</v>
      </c>
      <c r="V268" s="40">
        <f t="shared" si="317"/>
        <v>1460</v>
      </c>
      <c r="W268" s="40" t="s">
        <v>224</v>
      </c>
      <c r="X268" s="40">
        <f t="shared" si="316"/>
        <v>1460</v>
      </c>
    </row>
    <row r="269" spans="1:24">
      <c r="A269" s="7" t="s">
        <v>436</v>
      </c>
      <c r="B269" s="7">
        <v>87000</v>
      </c>
      <c r="C269" s="7" t="s">
        <v>188</v>
      </c>
      <c r="D269" s="7" t="s">
        <v>438</v>
      </c>
      <c r="F269" s="7" t="s">
        <v>228</v>
      </c>
      <c r="G269" s="40">
        <f>G245</f>
        <v>0</v>
      </c>
      <c r="H269" s="40">
        <f>(18*10)+150</f>
        <v>330</v>
      </c>
      <c r="I269" s="40">
        <f t="shared" si="311"/>
        <v>0</v>
      </c>
      <c r="J269" s="111"/>
      <c r="K269" s="40">
        <f>K245</f>
        <v>4</v>
      </c>
      <c r="L269" s="40">
        <f t="shared" si="312"/>
        <v>1320</v>
      </c>
      <c r="M269" s="111"/>
      <c r="N269" s="40">
        <f>N245</f>
        <v>4</v>
      </c>
      <c r="O269" s="40">
        <f t="shared" si="313"/>
        <v>1320</v>
      </c>
      <c r="P269" s="111"/>
      <c r="Q269" s="40">
        <f>Q245</f>
        <v>4</v>
      </c>
      <c r="R269" s="40">
        <f t="shared" si="314"/>
        <v>1320</v>
      </c>
      <c r="S269" s="111"/>
      <c r="T269" s="40">
        <f>T245</f>
        <v>0</v>
      </c>
      <c r="U269" s="40">
        <f t="shared" si="315"/>
        <v>0</v>
      </c>
      <c r="V269" s="40">
        <f t="shared" si="317"/>
        <v>3960</v>
      </c>
      <c r="W269" s="40" t="s">
        <v>224</v>
      </c>
      <c r="X269" s="40">
        <f t="shared" si="316"/>
        <v>3960</v>
      </c>
    </row>
    <row r="270" spans="1:24">
      <c r="A270" s="7" t="s">
        <v>431</v>
      </c>
      <c r="B270" s="7">
        <v>87000</v>
      </c>
      <c r="C270" s="7" t="s">
        <v>188</v>
      </c>
      <c r="D270" s="7" t="s">
        <v>439</v>
      </c>
      <c r="F270" s="7" t="s">
        <v>139</v>
      </c>
      <c r="G270" s="40">
        <v>0</v>
      </c>
      <c r="H270" s="40">
        <f>(13*10)+250</f>
        <v>380</v>
      </c>
      <c r="I270" s="40">
        <f t="shared" si="311"/>
        <v>0</v>
      </c>
      <c r="J270" s="111"/>
      <c r="K270" s="40">
        <v>2</v>
      </c>
      <c r="L270" s="40">
        <f t="shared" si="312"/>
        <v>760</v>
      </c>
      <c r="M270" s="111"/>
      <c r="N270" s="40">
        <v>0</v>
      </c>
      <c r="O270" s="40">
        <f t="shared" si="313"/>
        <v>0</v>
      </c>
      <c r="P270" s="111"/>
      <c r="Q270" s="40">
        <v>0</v>
      </c>
      <c r="R270" s="40">
        <f t="shared" si="314"/>
        <v>0</v>
      </c>
      <c r="S270" s="111"/>
      <c r="T270" s="40">
        <v>0</v>
      </c>
      <c r="U270" s="40">
        <f t="shared" si="315"/>
        <v>0</v>
      </c>
      <c r="V270" s="40">
        <f t="shared" ref="V270" si="318">SUM(R270,O270,L270,I270,U270)</f>
        <v>760</v>
      </c>
      <c r="W270" s="40" t="s">
        <v>224</v>
      </c>
      <c r="X270" s="40">
        <f t="shared" si="316"/>
        <v>760</v>
      </c>
    </row>
    <row r="271" spans="1:24">
      <c r="A271" s="7" t="s">
        <v>440</v>
      </c>
      <c r="B271" s="7">
        <v>87010</v>
      </c>
      <c r="C271" s="7" t="s">
        <v>188</v>
      </c>
      <c r="D271" s="7" t="s">
        <v>441</v>
      </c>
      <c r="F271" s="7" t="s">
        <v>442</v>
      </c>
      <c r="G271" s="40">
        <v>4</v>
      </c>
      <c r="H271" s="40">
        <v>75</v>
      </c>
      <c r="I271" s="40">
        <f t="shared" si="311"/>
        <v>300</v>
      </c>
      <c r="J271" s="111"/>
      <c r="K271" s="40">
        <v>8</v>
      </c>
      <c r="L271" s="40">
        <f t="shared" si="312"/>
        <v>600</v>
      </c>
      <c r="M271" s="111"/>
      <c r="N271" s="40">
        <v>8</v>
      </c>
      <c r="O271" s="40">
        <f t="shared" si="313"/>
        <v>600</v>
      </c>
      <c r="P271" s="111"/>
      <c r="Q271" s="40">
        <v>4</v>
      </c>
      <c r="R271" s="40">
        <f t="shared" si="314"/>
        <v>300</v>
      </c>
      <c r="S271" s="111"/>
      <c r="T271" s="40">
        <v>4</v>
      </c>
      <c r="U271" s="40">
        <f t="shared" si="315"/>
        <v>300</v>
      </c>
      <c r="V271" s="40">
        <f t="shared" ref="V271" si="319">SUM(R271,O271,L271,I271,U271)</f>
        <v>2100</v>
      </c>
      <c r="W271" s="40" t="s">
        <v>224</v>
      </c>
      <c r="X271" s="40">
        <f t="shared" si="316"/>
        <v>2100</v>
      </c>
    </row>
    <row r="272" spans="1:24">
      <c r="A272" s="79"/>
      <c r="B272" s="79"/>
      <c r="C272" s="79"/>
      <c r="D272" s="79" t="s">
        <v>107</v>
      </c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</row>
    <row r="273" spans="1:27">
      <c r="A273" s="7" t="s">
        <v>443</v>
      </c>
      <c r="B273" s="7">
        <v>89000</v>
      </c>
      <c r="C273" s="7" t="s">
        <v>188</v>
      </c>
      <c r="D273" s="7" t="s">
        <v>444</v>
      </c>
      <c r="F273" s="7" t="s">
        <v>380</v>
      </c>
      <c r="G273" s="40">
        <v>0</v>
      </c>
      <c r="H273" s="40">
        <v>3750</v>
      </c>
      <c r="I273" s="40">
        <f>G273*H273</f>
        <v>0</v>
      </c>
      <c r="J273" s="111"/>
      <c r="K273" s="40">
        <v>60</v>
      </c>
      <c r="L273" s="40">
        <f>H273*K273</f>
        <v>225000</v>
      </c>
      <c r="M273" s="111"/>
      <c r="N273" s="40">
        <v>0</v>
      </c>
      <c r="O273" s="40">
        <f>H273*N273</f>
        <v>0</v>
      </c>
      <c r="P273" s="111"/>
      <c r="Q273" s="40">
        <v>0</v>
      </c>
      <c r="R273" s="40">
        <f>H273*Q273</f>
        <v>0</v>
      </c>
      <c r="S273" s="111"/>
      <c r="T273" s="40">
        <v>0</v>
      </c>
      <c r="U273" s="40">
        <f>H273*T273</f>
        <v>0</v>
      </c>
      <c r="V273" s="40">
        <f t="shared" ref="V273:V274" si="320">SUM(R273,O273,L273,I273,U273)</f>
        <v>225000</v>
      </c>
      <c r="W273" s="40" t="s">
        <v>224</v>
      </c>
      <c r="X273" s="40">
        <f>SUM(V273:W273)</f>
        <v>225000</v>
      </c>
    </row>
    <row r="274" spans="1:27">
      <c r="A274" s="7" t="s">
        <v>445</v>
      </c>
      <c r="B274" s="7">
        <v>89000</v>
      </c>
      <c r="C274" s="7" t="s">
        <v>188</v>
      </c>
      <c r="D274" s="7" t="s">
        <v>446</v>
      </c>
      <c r="F274" s="7" t="s">
        <v>380</v>
      </c>
      <c r="G274" s="40">
        <v>0</v>
      </c>
      <c r="H274" s="40">
        <v>5000</v>
      </c>
      <c r="I274" s="40">
        <f>G274*H274</f>
        <v>0</v>
      </c>
      <c r="J274" s="111"/>
      <c r="K274" s="40">
        <v>4</v>
      </c>
      <c r="L274" s="40">
        <f>H274*K274</f>
        <v>20000</v>
      </c>
      <c r="M274" s="111"/>
      <c r="N274" s="40">
        <v>0</v>
      </c>
      <c r="O274" s="40">
        <f>H274*N274</f>
        <v>0</v>
      </c>
      <c r="P274" s="111"/>
      <c r="Q274" s="40">
        <v>0</v>
      </c>
      <c r="R274" s="40">
        <f>H274*Q274</f>
        <v>0</v>
      </c>
      <c r="S274" s="111"/>
      <c r="T274" s="40">
        <v>0</v>
      </c>
      <c r="U274" s="40">
        <f>H274*T274</f>
        <v>0</v>
      </c>
      <c r="V274" s="40">
        <f t="shared" si="320"/>
        <v>20000</v>
      </c>
      <c r="W274" s="40" t="s">
        <v>224</v>
      </c>
      <c r="X274" s="40">
        <f>SUM(V274:W274)</f>
        <v>20000</v>
      </c>
    </row>
    <row r="275" spans="1:27">
      <c r="A275" s="7" t="s">
        <v>447</v>
      </c>
      <c r="B275" s="7">
        <v>89000</v>
      </c>
      <c r="C275" s="7" t="s">
        <v>188</v>
      </c>
      <c r="D275" s="7" t="s">
        <v>448</v>
      </c>
      <c r="F275" s="7" t="s">
        <v>380</v>
      </c>
      <c r="G275" s="40">
        <v>0</v>
      </c>
      <c r="H275" s="40">
        <v>7500</v>
      </c>
      <c r="I275" s="40">
        <f>G275*H275</f>
        <v>0</v>
      </c>
      <c r="J275" s="111"/>
      <c r="K275" s="40">
        <v>12</v>
      </c>
      <c r="L275" s="40">
        <f>H275*K275</f>
        <v>90000</v>
      </c>
      <c r="M275" s="111"/>
      <c r="N275" s="40">
        <v>13</v>
      </c>
      <c r="O275" s="40">
        <f>H275*N275</f>
        <v>97500</v>
      </c>
      <c r="P275" s="111"/>
      <c r="Q275" s="40">
        <v>0</v>
      </c>
      <c r="R275" s="40">
        <f>H275*Q275</f>
        <v>0</v>
      </c>
      <c r="S275" s="111"/>
      <c r="T275" s="40">
        <v>0</v>
      </c>
      <c r="U275" s="40">
        <f>H275*T275</f>
        <v>0</v>
      </c>
      <c r="V275" s="40">
        <f t="shared" ref="V275" si="321">SUM(R275,O275,L275,I275,U275)</f>
        <v>187500</v>
      </c>
      <c r="W275" s="40" t="s">
        <v>224</v>
      </c>
      <c r="X275" s="40">
        <f>SUM(V275:W275)</f>
        <v>187500</v>
      </c>
    </row>
    <row r="276" spans="1:27">
      <c r="A276" s="37"/>
      <c r="B276" s="37"/>
      <c r="C276" s="37"/>
      <c r="D276" s="37" t="s">
        <v>449</v>
      </c>
      <c r="E276" s="115"/>
      <c r="F276" s="42"/>
      <c r="G276" s="43"/>
      <c r="H276" s="44"/>
      <c r="I276" s="44">
        <f>SUM(I266:I275)</f>
        <v>22610</v>
      </c>
      <c r="J276" s="118"/>
      <c r="K276" s="44"/>
      <c r="L276" s="44">
        <f>SUM(L266:L275)</f>
        <v>337680</v>
      </c>
      <c r="M276" s="118"/>
      <c r="N276" s="44"/>
      <c r="O276" s="44">
        <f>SUM(O266:O275)</f>
        <v>99420</v>
      </c>
      <c r="P276" s="118"/>
      <c r="Q276" s="44"/>
      <c r="R276" s="44">
        <f>SUM(R266:R275)</f>
        <v>1620</v>
      </c>
      <c r="S276" s="118"/>
      <c r="T276" s="44"/>
      <c r="U276" s="44">
        <f>SUM(U266:U275)</f>
        <v>300</v>
      </c>
      <c r="V276" s="44">
        <f>SUM(V266:V275)</f>
        <v>461630</v>
      </c>
      <c r="W276" s="44">
        <f>SUM(W266:W275)</f>
        <v>0</v>
      </c>
      <c r="X276" s="44">
        <f>SUM(X266:X275)</f>
        <v>461630</v>
      </c>
    </row>
    <row r="277" spans="1:27">
      <c r="A277" s="92"/>
      <c r="B277" s="92"/>
      <c r="C277" s="92"/>
      <c r="D277" s="92"/>
      <c r="E277" s="116"/>
      <c r="F277" s="69"/>
      <c r="G277" s="55"/>
      <c r="H277" s="55"/>
      <c r="I277" s="55"/>
      <c r="J277" s="116"/>
      <c r="K277" s="55"/>
      <c r="L277" s="55"/>
      <c r="M277" s="116"/>
      <c r="N277" s="55"/>
      <c r="O277" s="55"/>
      <c r="P277" s="116"/>
      <c r="Q277" s="55"/>
      <c r="R277" s="55"/>
      <c r="S277" s="116"/>
      <c r="T277" s="55"/>
      <c r="U277" s="55"/>
      <c r="V277" s="55"/>
      <c r="W277" s="55"/>
      <c r="X277" s="55"/>
    </row>
    <row r="278" spans="1:27">
      <c r="A278" s="37"/>
      <c r="B278" s="37"/>
      <c r="C278" s="37"/>
      <c r="D278" s="37" t="s">
        <v>450</v>
      </c>
      <c r="E278" s="115"/>
      <c r="F278" s="42"/>
      <c r="G278" s="43"/>
      <c r="H278" s="43"/>
      <c r="I278" s="43"/>
      <c r="J278" s="115"/>
      <c r="K278" s="43"/>
      <c r="L278" s="43"/>
      <c r="M278" s="115"/>
      <c r="N278" s="43"/>
      <c r="O278" s="43"/>
      <c r="P278" s="115"/>
      <c r="Q278" s="43"/>
      <c r="R278" s="43"/>
      <c r="S278" s="115"/>
      <c r="T278" s="43"/>
      <c r="U278" s="43"/>
      <c r="V278" s="43"/>
      <c r="W278" s="43"/>
      <c r="X278" s="43"/>
    </row>
    <row r="279" spans="1:27">
      <c r="A279" s="41" t="s">
        <v>451</v>
      </c>
      <c r="B279" s="565">
        <v>96000</v>
      </c>
      <c r="C279" s="7" t="s">
        <v>188</v>
      </c>
      <c r="D279" s="7" t="s">
        <v>452</v>
      </c>
      <c r="E279" s="109"/>
      <c r="F279" s="45" t="s">
        <v>380</v>
      </c>
      <c r="G279" s="40">
        <f>G273</f>
        <v>0</v>
      </c>
      <c r="H279" s="40">
        <v>2750</v>
      </c>
      <c r="I279" s="40">
        <v>0</v>
      </c>
      <c r="J279" s="109"/>
      <c r="K279" s="40">
        <f>K273</f>
        <v>60</v>
      </c>
      <c r="L279" s="40">
        <v>0</v>
      </c>
      <c r="M279" s="109"/>
      <c r="N279" s="40">
        <f>N273</f>
        <v>0</v>
      </c>
      <c r="O279" s="40">
        <v>0</v>
      </c>
      <c r="P279" s="109"/>
      <c r="Q279" s="40">
        <f>Q273</f>
        <v>0</v>
      </c>
      <c r="R279" s="40">
        <v>0</v>
      </c>
      <c r="S279" s="109"/>
      <c r="T279" s="40">
        <f>T273</f>
        <v>0</v>
      </c>
      <c r="U279" s="40">
        <v>0</v>
      </c>
      <c r="V279" s="40">
        <f t="shared" ref="V279" si="322">SUM(R279,O279,L279,I279,U279)</f>
        <v>0</v>
      </c>
      <c r="W279" s="40">
        <f>(G279*H279)+(K279*H279)+(N279*H279)+(H279*Q279)+(T279*H279)</f>
        <v>165000</v>
      </c>
      <c r="X279" s="40">
        <f>V279+W279</f>
        <v>165000</v>
      </c>
      <c r="Z279" s="525"/>
      <c r="AA279" s="525"/>
    </row>
    <row r="280" spans="1:27">
      <c r="A280" s="37"/>
      <c r="B280" s="37"/>
      <c r="C280" s="37"/>
      <c r="D280" s="37" t="s">
        <v>453</v>
      </c>
      <c r="E280" s="115"/>
      <c r="F280" s="42"/>
      <c r="G280" s="43"/>
      <c r="H280" s="43"/>
      <c r="I280" s="44">
        <f>SUM(I279:I279)</f>
        <v>0</v>
      </c>
      <c r="J280" s="115"/>
      <c r="K280" s="44"/>
      <c r="L280" s="44">
        <f>SUM(L279:L279)</f>
        <v>0</v>
      </c>
      <c r="M280" s="115"/>
      <c r="N280" s="44"/>
      <c r="O280" s="44">
        <f>SUM(O279:O279)</f>
        <v>0</v>
      </c>
      <c r="P280" s="115"/>
      <c r="Q280" s="44"/>
      <c r="R280" s="44">
        <f>SUM(R279:R279)</f>
        <v>0</v>
      </c>
      <c r="S280" s="115"/>
      <c r="T280" s="44"/>
      <c r="U280" s="44">
        <f>SUM(U279:U279)</f>
        <v>0</v>
      </c>
      <c r="V280" s="44">
        <f>SUM(V279:V279)</f>
        <v>0</v>
      </c>
      <c r="W280" s="44">
        <f>SUM(W279:W279)</f>
        <v>165000</v>
      </c>
      <c r="X280" s="44">
        <f>SUM(X279:X279)</f>
        <v>165000</v>
      </c>
    </row>
    <row r="281" spans="1:27">
      <c r="A281" s="92"/>
      <c r="B281" s="92"/>
      <c r="C281" s="92"/>
      <c r="D281" s="92"/>
      <c r="E281" s="116"/>
      <c r="F281" s="69"/>
      <c r="G281" s="55"/>
      <c r="H281" s="55"/>
      <c r="I281" s="93"/>
      <c r="J281" s="116"/>
      <c r="K281" s="93"/>
      <c r="L281" s="93"/>
      <c r="M281" s="116"/>
      <c r="N281" s="93"/>
      <c r="O281" s="93"/>
      <c r="P281" s="116"/>
      <c r="Q281" s="93"/>
      <c r="R281" s="93"/>
      <c r="S281" s="116"/>
      <c r="T281" s="93"/>
      <c r="U281" s="93"/>
      <c r="V281" s="93"/>
      <c r="W281" s="93"/>
      <c r="X281" s="93"/>
    </row>
    <row r="282" spans="1:27" ht="12.9" thickBot="1">
      <c r="A282" s="533"/>
      <c r="B282" s="533"/>
      <c r="C282" s="533"/>
      <c r="D282" s="533" t="s">
        <v>454</v>
      </c>
      <c r="E282" s="537"/>
      <c r="F282" s="533"/>
      <c r="G282" s="543"/>
      <c r="H282" s="543"/>
      <c r="I282" s="540">
        <f>SUM(I276+I248+I262+I241+I237++I280+I252)</f>
        <v>320120.25</v>
      </c>
      <c r="J282" s="537"/>
      <c r="K282" s="540"/>
      <c r="L282" s="540">
        <f>SUM(L276+L248+L262+L241+L237++L280+L252)</f>
        <v>780589.21499999997</v>
      </c>
      <c r="M282" s="537"/>
      <c r="N282" s="540"/>
      <c r="O282" s="540">
        <f>SUM(O276+O248+O262+O241+O237++O280+O252)</f>
        <v>560377.78327500005</v>
      </c>
      <c r="P282" s="537"/>
      <c r="Q282" s="540"/>
      <c r="R282" s="540">
        <f>SUM(R276+R248+R262+R241+R237++R280+R252)</f>
        <v>414060.82910475007</v>
      </c>
      <c r="S282" s="537"/>
      <c r="T282" s="540"/>
      <c r="U282" s="540">
        <f>SUM(U276+U248+U262+U241+U237++U280+U252)</f>
        <v>320541.22190037498</v>
      </c>
      <c r="V282" s="540">
        <f>SUM(V276+V248+V262+V241+V237++V280+V252)</f>
        <v>2395689.2992801252</v>
      </c>
      <c r="W282" s="540">
        <f>SUM(W276+W248+W262+W241+W237++W280+W252)</f>
        <v>165000</v>
      </c>
      <c r="X282" s="540">
        <f>SUM(X276+X248+X262+X241+X237++X280+X252)</f>
        <v>2560689.2992801252</v>
      </c>
    </row>
    <row r="283" spans="1:27">
      <c r="A283" s="69"/>
      <c r="B283" s="69"/>
      <c r="C283" s="69"/>
      <c r="D283" s="69"/>
      <c r="E283" s="107"/>
      <c r="F283" s="69"/>
      <c r="G283" s="55"/>
      <c r="H283" s="55"/>
      <c r="I283" s="55"/>
      <c r="J283" s="107"/>
      <c r="K283" s="55"/>
      <c r="L283" s="55"/>
      <c r="M283" s="107"/>
      <c r="N283" s="55"/>
      <c r="O283" s="55"/>
      <c r="P283" s="107"/>
      <c r="Q283" s="55"/>
      <c r="R283" s="55"/>
      <c r="S283" s="107"/>
      <c r="T283" s="55"/>
      <c r="U283" s="55"/>
      <c r="V283" s="55"/>
      <c r="W283" s="55"/>
      <c r="X283" s="55"/>
    </row>
    <row r="284" spans="1:27">
      <c r="A284" s="86"/>
      <c r="B284" s="86"/>
      <c r="C284" s="86"/>
      <c r="D284" s="86" t="str">
        <f>'USDA Budget Summary'!A30</f>
        <v xml:space="preserve">Activity 3: Increase Use of Sustainable Oasis Agricultural System Business Models </v>
      </c>
      <c r="E284" s="113"/>
      <c r="F284" s="34"/>
      <c r="G284" s="34"/>
      <c r="H284" s="35"/>
      <c r="I284" s="87"/>
      <c r="J284" s="113"/>
      <c r="K284" s="87"/>
      <c r="L284" s="87"/>
      <c r="M284" s="113"/>
      <c r="N284" s="87"/>
      <c r="O284" s="87"/>
      <c r="P284" s="113"/>
      <c r="Q284" s="87"/>
      <c r="R284" s="87"/>
      <c r="S284" s="113"/>
      <c r="T284" s="87"/>
      <c r="U284" s="87"/>
      <c r="V284" s="87"/>
      <c r="W284" s="88"/>
      <c r="X284" s="87"/>
    </row>
    <row r="285" spans="1:27">
      <c r="A285" s="89"/>
      <c r="B285" s="89"/>
      <c r="C285" s="89"/>
      <c r="D285" s="89" t="s">
        <v>337</v>
      </c>
      <c r="E285" s="114"/>
      <c r="F285" s="90"/>
      <c r="G285" s="91"/>
      <c r="H285" s="91"/>
      <c r="I285" s="91"/>
      <c r="J285" s="114"/>
      <c r="K285" s="91"/>
      <c r="L285" s="91"/>
      <c r="M285" s="114"/>
      <c r="N285" s="91"/>
      <c r="O285" s="91"/>
      <c r="P285" s="114"/>
      <c r="Q285" s="91"/>
      <c r="R285" s="91"/>
      <c r="S285" s="114"/>
      <c r="T285" s="91"/>
      <c r="U285" s="91"/>
      <c r="V285" s="91"/>
      <c r="W285" s="91"/>
      <c r="X285" s="91"/>
    </row>
    <row r="286" spans="1:27">
      <c r="A286" s="37"/>
      <c r="B286" s="37"/>
      <c r="C286" s="37"/>
      <c r="D286" s="37" t="s">
        <v>455</v>
      </c>
      <c r="E286" s="115"/>
      <c r="F286" s="42"/>
      <c r="G286" s="43"/>
      <c r="H286" s="43"/>
      <c r="I286" s="43"/>
      <c r="J286" s="115"/>
      <c r="K286" s="43"/>
      <c r="L286" s="43"/>
      <c r="M286" s="115"/>
      <c r="N286" s="43"/>
      <c r="O286" s="43"/>
      <c r="P286" s="115"/>
      <c r="Q286" s="43"/>
      <c r="R286" s="43"/>
      <c r="S286" s="115"/>
      <c r="T286" s="43"/>
      <c r="U286" s="43"/>
      <c r="V286" s="43"/>
      <c r="W286" s="43"/>
      <c r="X286" s="43"/>
    </row>
    <row r="287" spans="1:27">
      <c r="A287" s="7" t="s">
        <v>456</v>
      </c>
      <c r="B287" s="7">
        <v>70000</v>
      </c>
      <c r="C287" s="7" t="s">
        <v>188</v>
      </c>
      <c r="D287" s="7" t="str">
        <f t="shared" ref="D287:D307" si="323">D12</f>
        <v>Key Personnel: Chief of Party - Ms. Rym Ayari</v>
      </c>
      <c r="E287" s="111">
        <f>'LOE Breakdown by Year'!G11</f>
        <v>0.2</v>
      </c>
      <c r="F287" s="46" t="s">
        <v>190</v>
      </c>
      <c r="G287" s="40">
        <f t="shared" ref="G287:H307" si="324">G12</f>
        <v>12</v>
      </c>
      <c r="H287" s="40">
        <f t="shared" si="324"/>
        <v>13000</v>
      </c>
      <c r="I287" s="40">
        <f>G287*H287*E287</f>
        <v>31200</v>
      </c>
      <c r="J287" s="104">
        <f>'LOE Breakdown by Year'!G41</f>
        <v>0.3</v>
      </c>
      <c r="K287" s="40">
        <f t="shared" ref="K287:K307" si="325">K12</f>
        <v>12</v>
      </c>
      <c r="L287" s="40">
        <f>K287*H287*$E$7*$J287</f>
        <v>49140</v>
      </c>
      <c r="M287" s="104">
        <f>'LOE Breakdown by Year'!G71</f>
        <v>0.3</v>
      </c>
      <c r="N287" s="40">
        <f t="shared" ref="N287:N307" si="326">N12</f>
        <v>12</v>
      </c>
      <c r="O287" s="40">
        <f t="shared" ref="O287" si="327">N287*H287*$M287*$E$7*$E$7</f>
        <v>51597</v>
      </c>
      <c r="P287" s="104">
        <f>'LOE Breakdown by Year'!G101</f>
        <v>0.3</v>
      </c>
      <c r="Q287" s="40">
        <f t="shared" ref="Q287:Q307" si="328">Q12</f>
        <v>12</v>
      </c>
      <c r="R287" s="40">
        <f t="shared" ref="R287" si="329">Q287*H287*$P287*$E$7*$E$7*$E$7</f>
        <v>54176.850000000006</v>
      </c>
      <c r="S287" s="104">
        <f>'LOE Breakdown by Year'!G131</f>
        <v>0.3</v>
      </c>
      <c r="T287" s="40">
        <f t="shared" ref="T287:T307" si="330">T12</f>
        <v>12</v>
      </c>
      <c r="U287" s="40">
        <f t="shared" ref="U287" si="331">T287*H287*$S287*$E$7*$E$7*$E$7*$E$7</f>
        <v>56885.692500000012</v>
      </c>
      <c r="V287" s="40">
        <f t="shared" ref="V287:V307" si="332">SUM(R287,O287,L287,I287,U287)</f>
        <v>242999.54250000001</v>
      </c>
      <c r="W287" s="40">
        <v>0</v>
      </c>
      <c r="X287" s="40">
        <f t="shared" ref="X287" si="333">SUM(V287:W287)</f>
        <v>242999.54250000001</v>
      </c>
    </row>
    <row r="288" spans="1:27">
      <c r="A288" s="7" t="s">
        <v>456</v>
      </c>
      <c r="B288" s="7">
        <v>70000</v>
      </c>
      <c r="C288" s="7" t="s">
        <v>188</v>
      </c>
      <c r="D288" s="7" t="str">
        <f t="shared" si="323"/>
        <v>Key Personnel: Technical Director</v>
      </c>
      <c r="E288" s="111">
        <f>'LOE Breakdown by Year'!G12</f>
        <v>0.2</v>
      </c>
      <c r="F288" s="46" t="s">
        <v>190</v>
      </c>
      <c r="G288" s="40">
        <f t="shared" si="324"/>
        <v>9</v>
      </c>
      <c r="H288" s="40">
        <f t="shared" si="324"/>
        <v>3916.6666666666665</v>
      </c>
      <c r="I288" s="40">
        <f t="shared" ref="I288:I307" si="334">G288*H288*E288</f>
        <v>7050</v>
      </c>
      <c r="J288" s="104">
        <f>'LOE Breakdown by Year'!G42</f>
        <v>0.3</v>
      </c>
      <c r="K288" s="40">
        <f t="shared" si="325"/>
        <v>12</v>
      </c>
      <c r="L288" s="40">
        <f t="shared" ref="L288:L307" si="335">K288*H288*$E$7*$J288</f>
        <v>14805</v>
      </c>
      <c r="M288" s="104">
        <f>'LOE Breakdown by Year'!G72</f>
        <v>0.33</v>
      </c>
      <c r="N288" s="40">
        <f t="shared" si="326"/>
        <v>12</v>
      </c>
      <c r="O288" s="40">
        <f t="shared" ref="O288:O307" si="336">N288*H288*$M288*$E$7*$E$7</f>
        <v>17099.775000000001</v>
      </c>
      <c r="P288" s="104">
        <f>'LOE Breakdown by Year'!G102</f>
        <v>0.33</v>
      </c>
      <c r="Q288" s="40">
        <f t="shared" si="328"/>
        <v>12</v>
      </c>
      <c r="R288" s="40">
        <f t="shared" ref="R288:R307" si="337">Q288*H288*$P288*$E$7*$E$7*$E$7</f>
        <v>17954.763750000002</v>
      </c>
      <c r="S288" s="104">
        <f>'LOE Breakdown by Year'!G132</f>
        <v>0.33</v>
      </c>
      <c r="T288" s="40">
        <f t="shared" si="330"/>
        <v>9</v>
      </c>
      <c r="U288" s="40">
        <f t="shared" ref="U288:U307" si="338">T288*H288*$S288*$E$7*$E$7*$E$7*$E$7</f>
        <v>14139.376453125004</v>
      </c>
      <c r="V288" s="40">
        <f t="shared" si="332"/>
        <v>71048.915203125012</v>
      </c>
      <c r="W288" s="40">
        <v>0</v>
      </c>
      <c r="X288" s="40">
        <f t="shared" ref="X288:X307" si="339">SUM(V288:W288)</f>
        <v>71048.915203125012</v>
      </c>
    </row>
    <row r="289" spans="1:24">
      <c r="A289" s="7" t="s">
        <v>456</v>
      </c>
      <c r="B289" s="7">
        <v>70000</v>
      </c>
      <c r="C289" s="7" t="s">
        <v>188</v>
      </c>
      <c r="D289" s="7" t="str">
        <f t="shared" si="323"/>
        <v>Technical Lead Component 1</v>
      </c>
      <c r="E289" s="111">
        <f>'LOE Breakdown by Year'!G13</f>
        <v>0</v>
      </c>
      <c r="F289" s="46" t="s">
        <v>190</v>
      </c>
      <c r="G289" s="40">
        <f t="shared" si="324"/>
        <v>6</v>
      </c>
      <c r="H289" s="40">
        <f t="shared" si="324"/>
        <v>2500</v>
      </c>
      <c r="I289" s="40">
        <f t="shared" si="334"/>
        <v>0</v>
      </c>
      <c r="J289" s="104">
        <f>'LOE Breakdown by Year'!G43</f>
        <v>0</v>
      </c>
      <c r="K289" s="40">
        <f t="shared" si="325"/>
        <v>12</v>
      </c>
      <c r="L289" s="40">
        <f t="shared" si="335"/>
        <v>0</v>
      </c>
      <c r="M289" s="104">
        <f>'LOE Breakdown by Year'!G73</f>
        <v>0</v>
      </c>
      <c r="N289" s="40">
        <f t="shared" si="326"/>
        <v>12</v>
      </c>
      <c r="O289" s="40">
        <f t="shared" si="336"/>
        <v>0</v>
      </c>
      <c r="P289" s="104">
        <f>'LOE Breakdown by Year'!G103</f>
        <v>0</v>
      </c>
      <c r="Q289" s="40">
        <f t="shared" si="328"/>
        <v>12</v>
      </c>
      <c r="R289" s="40">
        <f t="shared" si="337"/>
        <v>0</v>
      </c>
      <c r="S289" s="104">
        <f>'LOE Breakdown by Year'!G133</f>
        <v>0</v>
      </c>
      <c r="T289" s="40">
        <f t="shared" si="330"/>
        <v>9</v>
      </c>
      <c r="U289" s="40">
        <f t="shared" si="338"/>
        <v>0</v>
      </c>
      <c r="V289" s="40">
        <f t="shared" si="332"/>
        <v>0</v>
      </c>
      <c r="W289" s="40">
        <v>0</v>
      </c>
      <c r="X289" s="40">
        <f t="shared" si="339"/>
        <v>0</v>
      </c>
    </row>
    <row r="290" spans="1:24">
      <c r="A290" s="7" t="s">
        <v>456</v>
      </c>
      <c r="B290" s="7">
        <v>70000</v>
      </c>
      <c r="C290" s="7" t="s">
        <v>188</v>
      </c>
      <c r="D290" s="7" t="str">
        <f t="shared" si="323"/>
        <v>Technical Lead Component 2</v>
      </c>
      <c r="E290" s="111">
        <f>'LOE Breakdown by Year'!G14</f>
        <v>0</v>
      </c>
      <c r="F290" s="46" t="s">
        <v>190</v>
      </c>
      <c r="G290" s="40">
        <f t="shared" si="324"/>
        <v>6</v>
      </c>
      <c r="H290" s="40">
        <f t="shared" si="324"/>
        <v>2500</v>
      </c>
      <c r="I290" s="40">
        <f t="shared" si="334"/>
        <v>0</v>
      </c>
      <c r="J290" s="104">
        <f>'LOE Breakdown by Year'!G44</f>
        <v>0</v>
      </c>
      <c r="K290" s="40">
        <f t="shared" si="325"/>
        <v>12</v>
      </c>
      <c r="L290" s="40">
        <f t="shared" si="335"/>
        <v>0</v>
      </c>
      <c r="M290" s="104">
        <f>'LOE Breakdown by Year'!G74</f>
        <v>0</v>
      </c>
      <c r="N290" s="40">
        <f t="shared" si="326"/>
        <v>12</v>
      </c>
      <c r="O290" s="40">
        <f t="shared" si="336"/>
        <v>0</v>
      </c>
      <c r="P290" s="104">
        <f>'LOE Breakdown by Year'!G104</f>
        <v>0</v>
      </c>
      <c r="Q290" s="40">
        <f t="shared" si="328"/>
        <v>12</v>
      </c>
      <c r="R290" s="40">
        <f t="shared" si="337"/>
        <v>0</v>
      </c>
      <c r="S290" s="104">
        <f>'LOE Breakdown by Year'!G134</f>
        <v>0</v>
      </c>
      <c r="T290" s="40">
        <f t="shared" si="330"/>
        <v>9</v>
      </c>
      <c r="U290" s="40">
        <f t="shared" si="338"/>
        <v>0</v>
      </c>
      <c r="V290" s="40">
        <f t="shared" si="332"/>
        <v>0</v>
      </c>
      <c r="W290" s="40">
        <v>0</v>
      </c>
      <c r="X290" s="40">
        <f t="shared" si="339"/>
        <v>0</v>
      </c>
    </row>
    <row r="291" spans="1:24">
      <c r="A291" s="7" t="s">
        <v>456</v>
      </c>
      <c r="B291" s="7">
        <v>70000</v>
      </c>
      <c r="C291" s="7" t="s">
        <v>188</v>
      </c>
      <c r="D291" s="7" t="str">
        <f t="shared" si="323"/>
        <v>Technical Lead Component 3</v>
      </c>
      <c r="E291" s="111">
        <f>'LOE Breakdown by Year'!G15</f>
        <v>0.8</v>
      </c>
      <c r="F291" s="46" t="s">
        <v>190</v>
      </c>
      <c r="G291" s="40">
        <f t="shared" si="324"/>
        <v>6</v>
      </c>
      <c r="H291" s="40">
        <f t="shared" si="324"/>
        <v>2500</v>
      </c>
      <c r="I291" s="40">
        <f t="shared" si="334"/>
        <v>12000</v>
      </c>
      <c r="J291" s="104">
        <f>'LOE Breakdown by Year'!G45</f>
        <v>1</v>
      </c>
      <c r="K291" s="40">
        <f t="shared" si="325"/>
        <v>12</v>
      </c>
      <c r="L291" s="40">
        <f t="shared" si="335"/>
        <v>31500</v>
      </c>
      <c r="M291" s="104">
        <f>'LOE Breakdown by Year'!G75</f>
        <v>1</v>
      </c>
      <c r="N291" s="40">
        <f t="shared" si="326"/>
        <v>12</v>
      </c>
      <c r="O291" s="40">
        <f t="shared" si="336"/>
        <v>33075</v>
      </c>
      <c r="P291" s="104">
        <f>'LOE Breakdown by Year'!G105</f>
        <v>1</v>
      </c>
      <c r="Q291" s="40">
        <f t="shared" si="328"/>
        <v>12</v>
      </c>
      <c r="R291" s="40">
        <f t="shared" si="337"/>
        <v>34728.75</v>
      </c>
      <c r="S291" s="104">
        <f>'LOE Breakdown by Year'!G135</f>
        <v>1</v>
      </c>
      <c r="T291" s="40">
        <f t="shared" si="330"/>
        <v>9</v>
      </c>
      <c r="U291" s="40">
        <f t="shared" si="338"/>
        <v>27348.890625</v>
      </c>
      <c r="V291" s="40">
        <f t="shared" si="332"/>
        <v>138652.640625</v>
      </c>
      <c r="W291" s="40">
        <v>0</v>
      </c>
      <c r="X291" s="40">
        <f t="shared" si="339"/>
        <v>138652.640625</v>
      </c>
    </row>
    <row r="292" spans="1:24">
      <c r="A292" s="7" t="s">
        <v>456</v>
      </c>
      <c r="B292" s="7">
        <v>70000</v>
      </c>
      <c r="C292" s="7" t="s">
        <v>188</v>
      </c>
      <c r="D292" s="7" t="str">
        <f t="shared" si="323"/>
        <v>Technical Specialist Component 1</v>
      </c>
      <c r="E292" s="111">
        <f>'LOE Breakdown by Year'!G16</f>
        <v>0</v>
      </c>
      <c r="F292" s="46" t="s">
        <v>190</v>
      </c>
      <c r="G292" s="40">
        <f t="shared" si="324"/>
        <v>6</v>
      </c>
      <c r="H292" s="40">
        <f t="shared" si="324"/>
        <v>1833.3333333333333</v>
      </c>
      <c r="I292" s="40">
        <f t="shared" si="334"/>
        <v>0</v>
      </c>
      <c r="J292" s="104">
        <f>'LOE Breakdown by Year'!G46</f>
        <v>0</v>
      </c>
      <c r="K292" s="40">
        <f t="shared" si="325"/>
        <v>12</v>
      </c>
      <c r="L292" s="40">
        <f t="shared" si="335"/>
        <v>0</v>
      </c>
      <c r="M292" s="104">
        <f>'LOE Breakdown by Year'!G76</f>
        <v>0</v>
      </c>
      <c r="N292" s="40">
        <f t="shared" si="326"/>
        <v>12</v>
      </c>
      <c r="O292" s="40">
        <f t="shared" si="336"/>
        <v>0</v>
      </c>
      <c r="P292" s="104">
        <f>'LOE Breakdown by Year'!G106</f>
        <v>0</v>
      </c>
      <c r="Q292" s="40">
        <f t="shared" si="328"/>
        <v>12</v>
      </c>
      <c r="R292" s="40">
        <f t="shared" si="337"/>
        <v>0</v>
      </c>
      <c r="S292" s="104">
        <f>'LOE Breakdown by Year'!G136</f>
        <v>0</v>
      </c>
      <c r="T292" s="40">
        <f t="shared" si="330"/>
        <v>6</v>
      </c>
      <c r="U292" s="40">
        <f t="shared" si="338"/>
        <v>0</v>
      </c>
      <c r="V292" s="40">
        <f t="shared" si="332"/>
        <v>0</v>
      </c>
      <c r="W292" s="40">
        <v>0</v>
      </c>
      <c r="X292" s="40">
        <f t="shared" si="339"/>
        <v>0</v>
      </c>
    </row>
    <row r="293" spans="1:24">
      <c r="A293" s="7" t="s">
        <v>456</v>
      </c>
      <c r="B293" s="7">
        <v>70000</v>
      </c>
      <c r="C293" s="7" t="s">
        <v>188</v>
      </c>
      <c r="D293" s="7" t="str">
        <f t="shared" si="323"/>
        <v>Technical Specialist Component 2</v>
      </c>
      <c r="E293" s="111">
        <f>'LOE Breakdown by Year'!G17</f>
        <v>0</v>
      </c>
      <c r="F293" s="46" t="s">
        <v>190</v>
      </c>
      <c r="G293" s="40">
        <f t="shared" si="324"/>
        <v>6</v>
      </c>
      <c r="H293" s="40">
        <f t="shared" si="324"/>
        <v>1833.3333333333333</v>
      </c>
      <c r="I293" s="40">
        <f t="shared" si="334"/>
        <v>0</v>
      </c>
      <c r="J293" s="104">
        <f>'LOE Breakdown by Year'!G47</f>
        <v>0</v>
      </c>
      <c r="K293" s="40">
        <f t="shared" si="325"/>
        <v>12</v>
      </c>
      <c r="L293" s="40">
        <f t="shared" si="335"/>
        <v>0</v>
      </c>
      <c r="M293" s="104">
        <f>'LOE Breakdown by Year'!G77</f>
        <v>0</v>
      </c>
      <c r="N293" s="40">
        <f t="shared" si="326"/>
        <v>12</v>
      </c>
      <c r="O293" s="40">
        <f t="shared" si="336"/>
        <v>0</v>
      </c>
      <c r="P293" s="104">
        <f>'LOE Breakdown by Year'!G107</f>
        <v>0</v>
      </c>
      <c r="Q293" s="40">
        <f t="shared" si="328"/>
        <v>12</v>
      </c>
      <c r="R293" s="40">
        <f t="shared" si="337"/>
        <v>0</v>
      </c>
      <c r="S293" s="104">
        <f>'LOE Breakdown by Year'!G137</f>
        <v>0</v>
      </c>
      <c r="T293" s="40">
        <f t="shared" si="330"/>
        <v>6</v>
      </c>
      <c r="U293" s="40">
        <f t="shared" si="338"/>
        <v>0</v>
      </c>
      <c r="V293" s="40">
        <f t="shared" si="332"/>
        <v>0</v>
      </c>
      <c r="W293" s="40">
        <v>0</v>
      </c>
      <c r="X293" s="40">
        <f t="shared" si="339"/>
        <v>0</v>
      </c>
    </row>
    <row r="294" spans="1:24">
      <c r="A294" s="7" t="s">
        <v>456</v>
      </c>
      <c r="B294" s="7">
        <v>70000</v>
      </c>
      <c r="C294" s="7" t="s">
        <v>188</v>
      </c>
      <c r="D294" s="7" t="str">
        <f t="shared" si="323"/>
        <v>Technical Specialist Component 3</v>
      </c>
      <c r="E294" s="111">
        <f>'LOE Breakdown by Year'!G18</f>
        <v>0.8</v>
      </c>
      <c r="F294" s="46" t="s">
        <v>190</v>
      </c>
      <c r="G294" s="40">
        <f t="shared" si="324"/>
        <v>6</v>
      </c>
      <c r="H294" s="40">
        <f t="shared" si="324"/>
        <v>1833.3333333333333</v>
      </c>
      <c r="I294" s="40">
        <f t="shared" si="334"/>
        <v>8800</v>
      </c>
      <c r="J294" s="104">
        <f>'LOE Breakdown by Year'!G48</f>
        <v>1</v>
      </c>
      <c r="K294" s="40">
        <f t="shared" si="325"/>
        <v>12</v>
      </c>
      <c r="L294" s="40">
        <f t="shared" si="335"/>
        <v>23100</v>
      </c>
      <c r="M294" s="104">
        <f>'LOE Breakdown by Year'!G78</f>
        <v>1</v>
      </c>
      <c r="N294" s="40">
        <f t="shared" si="326"/>
        <v>12</v>
      </c>
      <c r="O294" s="40">
        <f t="shared" si="336"/>
        <v>24255</v>
      </c>
      <c r="P294" s="104">
        <f>'LOE Breakdown by Year'!G108</f>
        <v>1</v>
      </c>
      <c r="Q294" s="40">
        <f t="shared" si="328"/>
        <v>12</v>
      </c>
      <c r="R294" s="40">
        <f t="shared" si="337"/>
        <v>25467.75</v>
      </c>
      <c r="S294" s="104">
        <f>'LOE Breakdown by Year'!G138</f>
        <v>1</v>
      </c>
      <c r="T294" s="40">
        <f t="shared" si="330"/>
        <v>6</v>
      </c>
      <c r="U294" s="40">
        <f t="shared" si="338"/>
        <v>13370.56875</v>
      </c>
      <c r="V294" s="40">
        <f t="shared" si="332"/>
        <v>94993.318750000006</v>
      </c>
      <c r="W294" s="40">
        <v>0</v>
      </c>
      <c r="X294" s="40">
        <f t="shared" si="339"/>
        <v>94993.318750000006</v>
      </c>
    </row>
    <row r="295" spans="1:24">
      <c r="A295" s="7" t="s">
        <v>456</v>
      </c>
      <c r="B295" s="7">
        <v>70000</v>
      </c>
      <c r="C295" s="7" t="s">
        <v>188</v>
      </c>
      <c r="D295" s="7" t="str">
        <f t="shared" si="323"/>
        <v>Capacity Building Specialist (2)</v>
      </c>
      <c r="E295" s="111">
        <f>'LOE Breakdown by Year'!G19</f>
        <v>0.8</v>
      </c>
      <c r="F295" s="46" t="s">
        <v>190</v>
      </c>
      <c r="G295" s="40">
        <f t="shared" si="324"/>
        <v>4</v>
      </c>
      <c r="H295" s="40">
        <f t="shared" si="324"/>
        <v>3333.3333333333335</v>
      </c>
      <c r="I295" s="40">
        <f t="shared" ref="I295" si="340">G295*H295*E295</f>
        <v>10666.666666666668</v>
      </c>
      <c r="J295" s="104">
        <f>'LOE Breakdown by Year'!G49</f>
        <v>1</v>
      </c>
      <c r="K295" s="40">
        <f t="shared" si="325"/>
        <v>12</v>
      </c>
      <c r="L295" s="40">
        <f t="shared" ref="L295" si="341">K295*H295*$E$7*$J295</f>
        <v>42000</v>
      </c>
      <c r="M295" s="104">
        <f>'LOE Breakdown by Year'!G79</f>
        <v>1</v>
      </c>
      <c r="N295" s="40">
        <f t="shared" si="326"/>
        <v>12</v>
      </c>
      <c r="O295" s="40">
        <f t="shared" ref="O295" si="342">N295*H295*$M295*$E$7*$E$7</f>
        <v>44100</v>
      </c>
      <c r="P295" s="104">
        <f>'LOE Breakdown by Year'!G109</f>
        <v>1</v>
      </c>
      <c r="Q295" s="40">
        <f t="shared" si="328"/>
        <v>12</v>
      </c>
      <c r="R295" s="40">
        <f t="shared" ref="R295" si="343">Q295*H295*$P295*$E$7*$E$7*$E$7</f>
        <v>46305</v>
      </c>
      <c r="S295" s="104">
        <f>'LOE Breakdown by Year'!G139</f>
        <v>1</v>
      </c>
      <c r="T295" s="40">
        <f t="shared" si="330"/>
        <v>5</v>
      </c>
      <c r="U295" s="40">
        <f t="shared" ref="U295" si="344">T295*H295*$S295*$E$7*$E$7*$E$7*$E$7</f>
        <v>20258.437500000004</v>
      </c>
      <c r="V295" s="40">
        <f t="shared" ref="V295" si="345">SUM(R295,O295,L295,I295,U295)</f>
        <v>163330.10416666666</v>
      </c>
      <c r="W295" s="40">
        <v>0</v>
      </c>
      <c r="X295" s="40">
        <f t="shared" ref="X295" si="346">SUM(V295:W295)</f>
        <v>163330.10416666666</v>
      </c>
    </row>
    <row r="296" spans="1:24">
      <c r="A296" s="7" t="s">
        <v>456</v>
      </c>
      <c r="B296" s="7">
        <v>70000</v>
      </c>
      <c r="C296" s="7" t="s">
        <v>188</v>
      </c>
      <c r="D296" s="7" t="str">
        <f t="shared" si="323"/>
        <v>Sociocultural and Gender Specialist</v>
      </c>
      <c r="E296" s="111">
        <f>'LOE Breakdown by Year'!G20</f>
        <v>0.25</v>
      </c>
      <c r="F296" s="46" t="s">
        <v>190</v>
      </c>
      <c r="G296" s="40">
        <f t="shared" si="324"/>
        <v>7</v>
      </c>
      <c r="H296" s="40">
        <f t="shared" si="324"/>
        <v>1833.3333333333333</v>
      </c>
      <c r="I296" s="40">
        <f t="shared" si="334"/>
        <v>3208.333333333333</v>
      </c>
      <c r="J296" s="104">
        <f>'LOE Breakdown by Year'!G50</f>
        <v>0.3</v>
      </c>
      <c r="K296" s="40">
        <f t="shared" si="325"/>
        <v>12</v>
      </c>
      <c r="L296" s="40">
        <f t="shared" si="335"/>
        <v>6930</v>
      </c>
      <c r="M296" s="104">
        <f>'LOE Breakdown by Year'!G80</f>
        <v>0.35</v>
      </c>
      <c r="N296" s="40">
        <f t="shared" si="326"/>
        <v>12</v>
      </c>
      <c r="O296" s="40">
        <f t="shared" si="336"/>
        <v>8489.25</v>
      </c>
      <c r="P296" s="104">
        <f>'LOE Breakdown by Year'!G110</f>
        <v>0.35</v>
      </c>
      <c r="Q296" s="40">
        <f t="shared" si="328"/>
        <v>12</v>
      </c>
      <c r="R296" s="40">
        <f t="shared" si="337"/>
        <v>8913.7124999999996</v>
      </c>
      <c r="S296" s="104">
        <f>'LOE Breakdown by Year'!G140</f>
        <v>0.35</v>
      </c>
      <c r="T296" s="40">
        <f t="shared" si="330"/>
        <v>9</v>
      </c>
      <c r="U296" s="40">
        <f t="shared" si="338"/>
        <v>7019.5485937500007</v>
      </c>
      <c r="V296" s="40">
        <f t="shared" si="332"/>
        <v>34560.844427083335</v>
      </c>
      <c r="W296" s="40">
        <v>0</v>
      </c>
      <c r="X296" s="40">
        <f t="shared" si="339"/>
        <v>34560.844427083335</v>
      </c>
    </row>
    <row r="297" spans="1:24">
      <c r="A297" s="7" t="s">
        <v>456</v>
      </c>
      <c r="B297" s="7">
        <v>70000</v>
      </c>
      <c r="C297" s="7" t="s">
        <v>188</v>
      </c>
      <c r="D297" s="7" t="str">
        <f t="shared" si="323"/>
        <v>Sociocultural and Gender Officers (3)</v>
      </c>
      <c r="E297" s="111">
        <f>'LOE Breakdown by Year'!G21</f>
        <v>0.25</v>
      </c>
      <c r="F297" s="46" t="s">
        <v>190</v>
      </c>
      <c r="G297" s="40">
        <f t="shared" si="324"/>
        <v>7</v>
      </c>
      <c r="H297" s="40">
        <f t="shared" si="324"/>
        <v>3750</v>
      </c>
      <c r="I297" s="40">
        <f t="shared" si="334"/>
        <v>6562.5</v>
      </c>
      <c r="J297" s="104">
        <f>'LOE Breakdown by Year'!G51</f>
        <v>0.3</v>
      </c>
      <c r="K297" s="40">
        <f t="shared" si="325"/>
        <v>12</v>
      </c>
      <c r="L297" s="40">
        <f t="shared" si="335"/>
        <v>14175</v>
      </c>
      <c r="M297" s="104">
        <f>'LOE Breakdown by Year'!G81</f>
        <v>0.35</v>
      </c>
      <c r="N297" s="40">
        <f t="shared" si="326"/>
        <v>12</v>
      </c>
      <c r="O297" s="40">
        <f t="shared" si="336"/>
        <v>17364.375</v>
      </c>
      <c r="P297" s="104">
        <f>'LOE Breakdown by Year'!G111</f>
        <v>0.35</v>
      </c>
      <c r="Q297" s="40">
        <f t="shared" si="328"/>
        <v>12</v>
      </c>
      <c r="R297" s="40">
        <f t="shared" si="337"/>
        <v>18232.59375</v>
      </c>
      <c r="S297" s="104">
        <f>'LOE Breakdown by Year'!G141</f>
        <v>0.35</v>
      </c>
      <c r="T297" s="40">
        <f t="shared" si="330"/>
        <v>9</v>
      </c>
      <c r="U297" s="40">
        <f t="shared" si="338"/>
        <v>14358.167578125001</v>
      </c>
      <c r="V297" s="40">
        <f t="shared" si="332"/>
        <v>70692.636328124994</v>
      </c>
      <c r="W297" s="40">
        <v>0</v>
      </c>
      <c r="X297" s="40">
        <f t="shared" si="339"/>
        <v>70692.636328124994</v>
      </c>
    </row>
    <row r="298" spans="1:24">
      <c r="A298" s="7" t="s">
        <v>456</v>
      </c>
      <c r="B298" s="7">
        <v>70000</v>
      </c>
      <c r="C298" s="7" t="s">
        <v>188</v>
      </c>
      <c r="D298" s="7" t="str">
        <f t="shared" si="323"/>
        <v>Communications Specialists</v>
      </c>
      <c r="E298" s="111">
        <f>'LOE Breakdown by Year'!G22</f>
        <v>0.25</v>
      </c>
      <c r="F298" s="46" t="s">
        <v>190</v>
      </c>
      <c r="G298" s="40">
        <f t="shared" si="324"/>
        <v>7</v>
      </c>
      <c r="H298" s="40">
        <f t="shared" si="324"/>
        <v>1500</v>
      </c>
      <c r="I298" s="40">
        <f t="shared" si="334"/>
        <v>2625</v>
      </c>
      <c r="J298" s="104">
        <f>'LOE Breakdown by Year'!G52</f>
        <v>0.3</v>
      </c>
      <c r="K298" s="40">
        <f t="shared" si="325"/>
        <v>12</v>
      </c>
      <c r="L298" s="40">
        <f t="shared" si="335"/>
        <v>5670</v>
      </c>
      <c r="M298" s="104">
        <f>'LOE Breakdown by Year'!G82</f>
        <v>0.3</v>
      </c>
      <c r="N298" s="40">
        <f t="shared" si="326"/>
        <v>12</v>
      </c>
      <c r="O298" s="40">
        <f t="shared" si="336"/>
        <v>5953.5</v>
      </c>
      <c r="P298" s="104">
        <f>'LOE Breakdown by Year'!G112</f>
        <v>0.3</v>
      </c>
      <c r="Q298" s="40">
        <f t="shared" si="328"/>
        <v>12</v>
      </c>
      <c r="R298" s="40">
        <f t="shared" si="337"/>
        <v>6251.1750000000002</v>
      </c>
      <c r="S298" s="104">
        <f>'LOE Breakdown by Year'!G142</f>
        <v>0.3</v>
      </c>
      <c r="T298" s="40">
        <f t="shared" si="330"/>
        <v>10</v>
      </c>
      <c r="U298" s="40">
        <f t="shared" si="338"/>
        <v>5469.7781249999998</v>
      </c>
      <c r="V298" s="40">
        <f t="shared" si="332"/>
        <v>25969.453125</v>
      </c>
      <c r="W298" s="40">
        <v>0</v>
      </c>
      <c r="X298" s="40">
        <f t="shared" si="339"/>
        <v>25969.453125</v>
      </c>
    </row>
    <row r="299" spans="1:24">
      <c r="A299" s="7" t="s">
        <v>456</v>
      </c>
      <c r="B299" s="7">
        <v>70000</v>
      </c>
      <c r="C299" s="7" t="s">
        <v>188</v>
      </c>
      <c r="D299" s="7" t="str">
        <f t="shared" si="323"/>
        <v xml:space="preserve">M&amp;E Director </v>
      </c>
      <c r="E299" s="111">
        <f>'LOE Breakdown by Year'!G23</f>
        <v>0.25</v>
      </c>
      <c r="F299" s="46" t="s">
        <v>190</v>
      </c>
      <c r="G299" s="40">
        <f t="shared" si="324"/>
        <v>9</v>
      </c>
      <c r="H299" s="40">
        <f t="shared" si="324"/>
        <v>3916.6666666666665</v>
      </c>
      <c r="I299" s="40">
        <f t="shared" si="334"/>
        <v>8812.5</v>
      </c>
      <c r="J299" s="104">
        <f>'LOE Breakdown by Year'!G53</f>
        <v>0.3</v>
      </c>
      <c r="K299" s="40">
        <f t="shared" si="325"/>
        <v>12</v>
      </c>
      <c r="L299" s="40">
        <f t="shared" si="335"/>
        <v>14805</v>
      </c>
      <c r="M299" s="104">
        <f>'LOE Breakdown by Year'!G83</f>
        <v>0.3</v>
      </c>
      <c r="N299" s="40">
        <f t="shared" si="326"/>
        <v>12</v>
      </c>
      <c r="O299" s="40">
        <f t="shared" si="336"/>
        <v>15545.25</v>
      </c>
      <c r="P299" s="104">
        <f>'LOE Breakdown by Year'!G113</f>
        <v>0.3</v>
      </c>
      <c r="Q299" s="40">
        <f t="shared" si="328"/>
        <v>12</v>
      </c>
      <c r="R299" s="40">
        <f t="shared" si="337"/>
        <v>16322.512500000001</v>
      </c>
      <c r="S299" s="104">
        <f>'LOE Breakdown by Year'!G143</f>
        <v>0.3</v>
      </c>
      <c r="T299" s="40">
        <f t="shared" si="330"/>
        <v>12</v>
      </c>
      <c r="U299" s="40">
        <f t="shared" si="338"/>
        <v>17138.638125000001</v>
      </c>
      <c r="V299" s="40">
        <f t="shared" si="332"/>
        <v>72623.900624999995</v>
      </c>
      <c r="W299" s="40">
        <v>0</v>
      </c>
      <c r="X299" s="40">
        <f t="shared" si="339"/>
        <v>72623.900624999995</v>
      </c>
    </row>
    <row r="300" spans="1:24">
      <c r="A300" s="7" t="s">
        <v>456</v>
      </c>
      <c r="B300" s="7">
        <v>70000</v>
      </c>
      <c r="C300" s="7" t="s">
        <v>188</v>
      </c>
      <c r="D300" s="7" t="str">
        <f t="shared" si="323"/>
        <v>M&amp;E Specialist</v>
      </c>
      <c r="E300" s="111">
        <f>'LOE Breakdown by Year'!G24</f>
        <v>0.25</v>
      </c>
      <c r="F300" s="46" t="s">
        <v>190</v>
      </c>
      <c r="G300" s="40">
        <f t="shared" si="324"/>
        <v>8</v>
      </c>
      <c r="H300" s="40">
        <f t="shared" si="324"/>
        <v>1833.3333333333333</v>
      </c>
      <c r="I300" s="40">
        <f t="shared" si="334"/>
        <v>3666.6666666666665</v>
      </c>
      <c r="J300" s="104">
        <f>'LOE Breakdown by Year'!G54</f>
        <v>0.3</v>
      </c>
      <c r="K300" s="40">
        <f t="shared" si="325"/>
        <v>12</v>
      </c>
      <c r="L300" s="40">
        <f t="shared" si="335"/>
        <v>6930</v>
      </c>
      <c r="M300" s="104">
        <f>'LOE Breakdown by Year'!G84</f>
        <v>0.3</v>
      </c>
      <c r="N300" s="40">
        <f t="shared" si="326"/>
        <v>12</v>
      </c>
      <c r="O300" s="40">
        <f t="shared" si="336"/>
        <v>7276.5</v>
      </c>
      <c r="P300" s="104">
        <f>'LOE Breakdown by Year'!G114</f>
        <v>0.3</v>
      </c>
      <c r="Q300" s="40">
        <f t="shared" si="328"/>
        <v>12</v>
      </c>
      <c r="R300" s="40">
        <f t="shared" si="337"/>
        <v>7640.3250000000007</v>
      </c>
      <c r="S300" s="104">
        <f>'LOE Breakdown by Year'!G144</f>
        <v>0.3</v>
      </c>
      <c r="T300" s="40">
        <f t="shared" si="330"/>
        <v>10</v>
      </c>
      <c r="U300" s="40">
        <f t="shared" si="338"/>
        <v>6685.2843749999993</v>
      </c>
      <c r="V300" s="40">
        <f t="shared" si="332"/>
        <v>32198.776041666668</v>
      </c>
      <c r="W300" s="40">
        <v>0</v>
      </c>
      <c r="X300" s="40">
        <f t="shared" si="339"/>
        <v>32198.776041666668</v>
      </c>
    </row>
    <row r="301" spans="1:24">
      <c r="A301" s="7" t="s">
        <v>456</v>
      </c>
      <c r="B301" s="7">
        <v>70000</v>
      </c>
      <c r="C301" s="7" t="s">
        <v>188</v>
      </c>
      <c r="D301" s="7" t="str">
        <f t="shared" si="323"/>
        <v xml:space="preserve">Key Personnel: Finance Director </v>
      </c>
      <c r="E301" s="111">
        <f>'LOE Breakdown by Year'!G25</f>
        <v>0.25</v>
      </c>
      <c r="F301" s="46" t="s">
        <v>190</v>
      </c>
      <c r="G301" s="40">
        <f t="shared" si="324"/>
        <v>11</v>
      </c>
      <c r="H301" s="40">
        <f t="shared" si="324"/>
        <v>3916.6666666666665</v>
      </c>
      <c r="I301" s="40">
        <f t="shared" si="334"/>
        <v>10770.833333333332</v>
      </c>
      <c r="J301" s="104">
        <f>'LOE Breakdown by Year'!G55</f>
        <v>0.25</v>
      </c>
      <c r="K301" s="40">
        <f t="shared" si="325"/>
        <v>12</v>
      </c>
      <c r="L301" s="40">
        <f t="shared" si="335"/>
        <v>12337.5</v>
      </c>
      <c r="M301" s="104">
        <f>'LOE Breakdown by Year'!G85</f>
        <v>0.25</v>
      </c>
      <c r="N301" s="40">
        <f t="shared" si="326"/>
        <v>12</v>
      </c>
      <c r="O301" s="40">
        <f t="shared" si="336"/>
        <v>12954.375</v>
      </c>
      <c r="P301" s="104">
        <f>'LOE Breakdown by Year'!G115</f>
        <v>0.25</v>
      </c>
      <c r="Q301" s="40">
        <f t="shared" si="328"/>
        <v>12</v>
      </c>
      <c r="R301" s="40">
        <f t="shared" si="337"/>
        <v>13602.09375</v>
      </c>
      <c r="S301" s="104">
        <f>'LOE Breakdown by Year'!G145</f>
        <v>0.25</v>
      </c>
      <c r="T301" s="40">
        <f t="shared" si="330"/>
        <v>12</v>
      </c>
      <c r="U301" s="40">
        <f t="shared" si="338"/>
        <v>14282.198437500001</v>
      </c>
      <c r="V301" s="40">
        <f t="shared" si="332"/>
        <v>63947.000520833331</v>
      </c>
      <c r="W301" s="40">
        <v>0</v>
      </c>
      <c r="X301" s="40">
        <f t="shared" si="339"/>
        <v>63947.000520833331</v>
      </c>
    </row>
    <row r="302" spans="1:24">
      <c r="A302" s="7" t="s">
        <v>456</v>
      </c>
      <c r="B302" s="7">
        <v>70000</v>
      </c>
      <c r="C302" s="7" t="s">
        <v>188</v>
      </c>
      <c r="D302" s="7" t="str">
        <f t="shared" si="323"/>
        <v>Contracts &amp; Compliance Specialist</v>
      </c>
      <c r="E302" s="111">
        <f>'LOE Breakdown by Year'!G26</f>
        <v>0.25</v>
      </c>
      <c r="F302" s="46" t="s">
        <v>190</v>
      </c>
      <c r="G302" s="40">
        <f t="shared" si="324"/>
        <v>9</v>
      </c>
      <c r="H302" s="40">
        <f t="shared" si="324"/>
        <v>1833.3333333333333</v>
      </c>
      <c r="I302" s="40">
        <f t="shared" si="334"/>
        <v>4125</v>
      </c>
      <c r="J302" s="104">
        <f>'LOE Breakdown by Year'!G56</f>
        <v>0.25</v>
      </c>
      <c r="K302" s="40">
        <f t="shared" si="325"/>
        <v>12</v>
      </c>
      <c r="L302" s="40">
        <f t="shared" si="335"/>
        <v>5775</v>
      </c>
      <c r="M302" s="104">
        <f>'LOE Breakdown by Year'!G86</f>
        <v>0.25</v>
      </c>
      <c r="N302" s="40">
        <f t="shared" si="326"/>
        <v>12</v>
      </c>
      <c r="O302" s="40">
        <f t="shared" si="336"/>
        <v>6063.75</v>
      </c>
      <c r="P302" s="104">
        <f>'LOE Breakdown by Year'!G116</f>
        <v>0.25</v>
      </c>
      <c r="Q302" s="40">
        <f t="shared" si="328"/>
        <v>12</v>
      </c>
      <c r="R302" s="40">
        <f t="shared" si="337"/>
        <v>6366.9375</v>
      </c>
      <c r="S302" s="104">
        <f>'LOE Breakdown by Year'!G146</f>
        <v>0.25</v>
      </c>
      <c r="T302" s="40">
        <f t="shared" si="330"/>
        <v>12</v>
      </c>
      <c r="U302" s="40">
        <f t="shared" si="338"/>
        <v>6685.2843750000002</v>
      </c>
      <c r="V302" s="40">
        <f t="shared" si="332"/>
        <v>29015.971874999999</v>
      </c>
      <c r="W302" s="40">
        <v>0</v>
      </c>
      <c r="X302" s="40">
        <f t="shared" si="339"/>
        <v>29015.971874999999</v>
      </c>
    </row>
    <row r="303" spans="1:24">
      <c r="A303" s="7" t="s">
        <v>456</v>
      </c>
      <c r="B303" s="7">
        <v>70000</v>
      </c>
      <c r="C303" s="7" t="s">
        <v>188</v>
      </c>
      <c r="D303" s="7" t="str">
        <f t="shared" si="323"/>
        <v>Grants &amp; Procurement Officer (2)</v>
      </c>
      <c r="E303" s="111">
        <f>'LOE Breakdown by Year'!G27</f>
        <v>0.25</v>
      </c>
      <c r="F303" s="46" t="s">
        <v>190</v>
      </c>
      <c r="G303" s="40">
        <f t="shared" si="324"/>
        <v>9</v>
      </c>
      <c r="H303" s="40">
        <f t="shared" si="324"/>
        <v>2500</v>
      </c>
      <c r="I303" s="40">
        <f t="shared" si="334"/>
        <v>5625</v>
      </c>
      <c r="J303" s="104">
        <f>'LOE Breakdown by Year'!G57</f>
        <v>0.25</v>
      </c>
      <c r="K303" s="40">
        <f t="shared" si="325"/>
        <v>12</v>
      </c>
      <c r="L303" s="40">
        <f t="shared" si="335"/>
        <v>7875</v>
      </c>
      <c r="M303" s="104">
        <f>'LOE Breakdown by Year'!G87</f>
        <v>0.25</v>
      </c>
      <c r="N303" s="40">
        <f t="shared" si="326"/>
        <v>12</v>
      </c>
      <c r="O303" s="40">
        <f t="shared" si="336"/>
        <v>8268.75</v>
      </c>
      <c r="P303" s="104">
        <f>'LOE Breakdown by Year'!G117</f>
        <v>0.25</v>
      </c>
      <c r="Q303" s="40">
        <f t="shared" si="328"/>
        <v>12</v>
      </c>
      <c r="R303" s="40">
        <f t="shared" si="337"/>
        <v>8682.1875</v>
      </c>
      <c r="S303" s="104">
        <f>'LOE Breakdown by Year'!G147</f>
        <v>0.25</v>
      </c>
      <c r="T303" s="40">
        <f t="shared" si="330"/>
        <v>12</v>
      </c>
      <c r="U303" s="40">
        <f t="shared" si="338"/>
        <v>9116.296875</v>
      </c>
      <c r="V303" s="40">
        <f t="shared" si="332"/>
        <v>39567.234375</v>
      </c>
      <c r="W303" s="40">
        <v>0</v>
      </c>
      <c r="X303" s="40">
        <f t="shared" si="339"/>
        <v>39567.234375</v>
      </c>
    </row>
    <row r="304" spans="1:24">
      <c r="A304" s="7" t="s">
        <v>456</v>
      </c>
      <c r="B304" s="7">
        <v>70000</v>
      </c>
      <c r="C304" s="7" t="s">
        <v>188</v>
      </c>
      <c r="D304" s="7" t="str">
        <f t="shared" si="323"/>
        <v xml:space="preserve">Accountant </v>
      </c>
      <c r="E304" s="111">
        <f>'LOE Breakdown by Year'!G28</f>
        <v>0.25</v>
      </c>
      <c r="F304" s="46" t="s">
        <v>190</v>
      </c>
      <c r="G304" s="40">
        <f t="shared" si="324"/>
        <v>10</v>
      </c>
      <c r="H304" s="40">
        <f t="shared" si="324"/>
        <v>1666.6666666666667</v>
      </c>
      <c r="I304" s="40">
        <f t="shared" si="334"/>
        <v>4166.666666666667</v>
      </c>
      <c r="J304" s="104">
        <f>'LOE Breakdown by Year'!G58</f>
        <v>0.25</v>
      </c>
      <c r="K304" s="40">
        <f t="shared" si="325"/>
        <v>12</v>
      </c>
      <c r="L304" s="40">
        <f t="shared" si="335"/>
        <v>5250</v>
      </c>
      <c r="M304" s="104">
        <f>'LOE Breakdown by Year'!G88</f>
        <v>0.25</v>
      </c>
      <c r="N304" s="40">
        <f t="shared" si="326"/>
        <v>12</v>
      </c>
      <c r="O304" s="40">
        <f t="shared" si="336"/>
        <v>5512.5</v>
      </c>
      <c r="P304" s="104">
        <f>'LOE Breakdown by Year'!G118</f>
        <v>0.25</v>
      </c>
      <c r="Q304" s="40">
        <f t="shared" si="328"/>
        <v>12</v>
      </c>
      <c r="R304" s="40">
        <f t="shared" si="337"/>
        <v>5788.125</v>
      </c>
      <c r="S304" s="104">
        <f>'LOE Breakdown by Year'!G148</f>
        <v>0.25</v>
      </c>
      <c r="T304" s="40">
        <f t="shared" si="330"/>
        <v>11</v>
      </c>
      <c r="U304" s="40">
        <f t="shared" si="338"/>
        <v>5571.0703125000009</v>
      </c>
      <c r="V304" s="40">
        <f t="shared" si="332"/>
        <v>26288.361979166668</v>
      </c>
      <c r="W304" s="40">
        <v>0</v>
      </c>
      <c r="X304" s="40">
        <f t="shared" si="339"/>
        <v>26288.361979166668</v>
      </c>
    </row>
    <row r="305" spans="1:24">
      <c r="A305" s="7" t="s">
        <v>456</v>
      </c>
      <c r="B305" s="7">
        <v>70000</v>
      </c>
      <c r="C305" s="7" t="s">
        <v>188</v>
      </c>
      <c r="D305" s="7" t="str">
        <f t="shared" si="323"/>
        <v>Administrative Officer</v>
      </c>
      <c r="E305" s="111">
        <f>'LOE Breakdown by Year'!G29</f>
        <v>0.25</v>
      </c>
      <c r="F305" s="46" t="s">
        <v>190</v>
      </c>
      <c r="G305" s="40">
        <f t="shared" si="324"/>
        <v>9</v>
      </c>
      <c r="H305" s="40">
        <f t="shared" si="324"/>
        <v>833.33333333333337</v>
      </c>
      <c r="I305" s="40">
        <f t="shared" si="334"/>
        <v>1875</v>
      </c>
      <c r="J305" s="104">
        <f>'LOE Breakdown by Year'!G59</f>
        <v>0.25</v>
      </c>
      <c r="K305" s="40">
        <f t="shared" si="325"/>
        <v>12</v>
      </c>
      <c r="L305" s="40">
        <f t="shared" si="335"/>
        <v>2625</v>
      </c>
      <c r="M305" s="104">
        <f>'LOE Breakdown by Year'!G89</f>
        <v>0.25</v>
      </c>
      <c r="N305" s="40">
        <f t="shared" si="326"/>
        <v>12</v>
      </c>
      <c r="O305" s="40">
        <f t="shared" si="336"/>
        <v>2756.25</v>
      </c>
      <c r="P305" s="104">
        <f>'LOE Breakdown by Year'!G119</f>
        <v>0.25</v>
      </c>
      <c r="Q305" s="40">
        <f t="shared" si="328"/>
        <v>12</v>
      </c>
      <c r="R305" s="40">
        <f t="shared" si="337"/>
        <v>2894.0625</v>
      </c>
      <c r="S305" s="104">
        <f>'LOE Breakdown by Year'!G149</f>
        <v>0.25</v>
      </c>
      <c r="T305" s="40">
        <f t="shared" si="330"/>
        <v>10</v>
      </c>
      <c r="U305" s="40">
        <f t="shared" si="338"/>
        <v>2532.3046875000005</v>
      </c>
      <c r="V305" s="40">
        <f t="shared" si="332"/>
        <v>12682.6171875</v>
      </c>
      <c r="W305" s="40">
        <v>0</v>
      </c>
      <c r="X305" s="40">
        <f t="shared" si="339"/>
        <v>12682.6171875</v>
      </c>
    </row>
    <row r="306" spans="1:24">
      <c r="A306" s="7" t="s">
        <v>456</v>
      </c>
      <c r="B306" s="7">
        <v>70000</v>
      </c>
      <c r="C306" s="7" t="s">
        <v>188</v>
      </c>
      <c r="D306" s="7" t="str">
        <f t="shared" si="323"/>
        <v>Human Resources Manager</v>
      </c>
      <c r="E306" s="111">
        <f>'LOE Breakdown by Year'!G30</f>
        <v>0.25</v>
      </c>
      <c r="F306" s="46" t="s">
        <v>190</v>
      </c>
      <c r="G306" s="40">
        <f t="shared" si="324"/>
        <v>11</v>
      </c>
      <c r="H306" s="40">
        <f t="shared" si="324"/>
        <v>2500</v>
      </c>
      <c r="I306" s="40">
        <f t="shared" si="334"/>
        <v>6875</v>
      </c>
      <c r="J306" s="104">
        <f>'LOE Breakdown by Year'!G60</f>
        <v>0.25</v>
      </c>
      <c r="K306" s="40">
        <f t="shared" si="325"/>
        <v>12</v>
      </c>
      <c r="L306" s="40">
        <f t="shared" si="335"/>
        <v>7875</v>
      </c>
      <c r="M306" s="104">
        <f>'LOE Breakdown by Year'!G90</f>
        <v>0.25</v>
      </c>
      <c r="N306" s="40">
        <f t="shared" si="326"/>
        <v>12</v>
      </c>
      <c r="O306" s="40">
        <f t="shared" si="336"/>
        <v>8268.75</v>
      </c>
      <c r="P306" s="104">
        <f>'LOE Breakdown by Year'!G120</f>
        <v>0.25</v>
      </c>
      <c r="Q306" s="40">
        <f t="shared" si="328"/>
        <v>12</v>
      </c>
      <c r="R306" s="40">
        <f t="shared" si="337"/>
        <v>8682.1875</v>
      </c>
      <c r="S306" s="104">
        <f>'LOE Breakdown by Year'!G150</f>
        <v>0.25</v>
      </c>
      <c r="T306" s="40">
        <f t="shared" si="330"/>
        <v>12</v>
      </c>
      <c r="U306" s="40">
        <f t="shared" si="338"/>
        <v>9116.296875</v>
      </c>
      <c r="V306" s="40">
        <f t="shared" si="332"/>
        <v>40817.234375</v>
      </c>
      <c r="W306" s="40">
        <v>0</v>
      </c>
      <c r="X306" s="40">
        <f t="shared" si="339"/>
        <v>40817.234375</v>
      </c>
    </row>
    <row r="307" spans="1:24">
      <c r="A307" s="7" t="s">
        <v>456</v>
      </c>
      <c r="B307" s="7">
        <v>70000</v>
      </c>
      <c r="C307" s="7" t="s">
        <v>188</v>
      </c>
      <c r="D307" s="7" t="str">
        <f t="shared" si="323"/>
        <v>Driver (3 Individuals)</v>
      </c>
      <c r="E307" s="111">
        <f>'LOE Breakdown by Year'!G31</f>
        <v>0.3</v>
      </c>
      <c r="F307" s="46" t="s">
        <v>190</v>
      </c>
      <c r="G307" s="40">
        <f t="shared" si="324"/>
        <v>3</v>
      </c>
      <c r="H307" s="40">
        <f t="shared" si="324"/>
        <v>2250</v>
      </c>
      <c r="I307" s="40">
        <f t="shared" si="334"/>
        <v>2025</v>
      </c>
      <c r="J307" s="104">
        <f>'LOE Breakdown by Year'!G61</f>
        <v>0.25</v>
      </c>
      <c r="K307" s="40">
        <f t="shared" si="325"/>
        <v>12</v>
      </c>
      <c r="L307" s="40">
        <f t="shared" si="335"/>
        <v>7087.5</v>
      </c>
      <c r="M307" s="104">
        <f>'LOE Breakdown by Year'!G91</f>
        <v>0.25</v>
      </c>
      <c r="N307" s="40">
        <f t="shared" si="326"/>
        <v>12</v>
      </c>
      <c r="O307" s="40">
        <f t="shared" si="336"/>
        <v>7441.875</v>
      </c>
      <c r="P307" s="104">
        <f>'LOE Breakdown by Year'!G121</f>
        <v>0.25</v>
      </c>
      <c r="Q307" s="40">
        <f t="shared" si="328"/>
        <v>12</v>
      </c>
      <c r="R307" s="40">
        <f t="shared" si="337"/>
        <v>7813.96875</v>
      </c>
      <c r="S307" s="104">
        <f>'LOE Breakdown by Year'!G151</f>
        <v>0.25</v>
      </c>
      <c r="T307" s="40">
        <f t="shared" si="330"/>
        <v>9</v>
      </c>
      <c r="U307" s="40">
        <f t="shared" si="338"/>
        <v>6153.5003906250004</v>
      </c>
      <c r="V307" s="40">
        <f t="shared" si="332"/>
        <v>30521.844140624999</v>
      </c>
      <c r="W307" s="40">
        <v>0</v>
      </c>
      <c r="X307" s="40">
        <f t="shared" si="339"/>
        <v>30521.844140624999</v>
      </c>
    </row>
    <row r="308" spans="1:24">
      <c r="A308" s="37"/>
      <c r="B308" s="37"/>
      <c r="C308" s="37"/>
      <c r="D308" s="37" t="s">
        <v>457</v>
      </c>
      <c r="E308" s="115"/>
      <c r="F308" s="42"/>
      <c r="G308" s="43"/>
      <c r="H308" s="43"/>
      <c r="I308" s="44">
        <f>SUM(I287:I307)</f>
        <v>130054.16666666667</v>
      </c>
      <c r="J308" s="115"/>
      <c r="K308" s="44"/>
      <c r="L308" s="44">
        <f>SUM(L287:L307)</f>
        <v>257880</v>
      </c>
      <c r="M308" s="115"/>
      <c r="N308" s="44"/>
      <c r="O308" s="44">
        <f>SUM(O287:O307)</f>
        <v>276021.90000000002</v>
      </c>
      <c r="P308" s="115"/>
      <c r="Q308" s="44"/>
      <c r="R308" s="44">
        <f>SUM(R287:R307)</f>
        <v>289822.995</v>
      </c>
      <c r="S308" s="115"/>
      <c r="T308" s="44"/>
      <c r="U308" s="44">
        <f>SUM(U287:U307)</f>
        <v>236131.33457812498</v>
      </c>
      <c r="V308" s="44">
        <f>SUM(V287:V307)</f>
        <v>1189910.396244792</v>
      </c>
      <c r="W308" s="44">
        <f>SUM(W287:W307)</f>
        <v>0</v>
      </c>
      <c r="X308" s="44">
        <f>SUM(X287:X307)</f>
        <v>1189910.396244792</v>
      </c>
    </row>
    <row r="309" spans="1:24">
      <c r="A309" s="92"/>
      <c r="B309" s="92"/>
      <c r="C309" s="92"/>
      <c r="D309" s="92"/>
      <c r="E309" s="116"/>
      <c r="F309" s="69"/>
      <c r="G309" s="55"/>
      <c r="H309" s="55"/>
      <c r="I309" s="55"/>
      <c r="J309" s="116"/>
      <c r="K309" s="55"/>
      <c r="L309" s="55"/>
      <c r="M309" s="116"/>
      <c r="N309" s="55"/>
      <c r="O309" s="55"/>
      <c r="P309" s="116"/>
      <c r="Q309" s="55"/>
      <c r="R309" s="55"/>
      <c r="S309" s="116"/>
      <c r="T309" s="55"/>
      <c r="U309" s="55"/>
      <c r="V309" s="55"/>
      <c r="W309" s="55"/>
      <c r="X309" s="55"/>
    </row>
    <row r="310" spans="1:24">
      <c r="A310" s="37"/>
      <c r="B310" s="37"/>
      <c r="C310" s="37"/>
      <c r="D310" s="37" t="s">
        <v>458</v>
      </c>
      <c r="E310" s="115"/>
      <c r="F310" s="42"/>
      <c r="G310" s="43"/>
      <c r="H310" s="43"/>
      <c r="I310" s="44"/>
      <c r="J310" s="115"/>
      <c r="K310" s="44"/>
      <c r="L310" s="44"/>
      <c r="M310" s="115"/>
      <c r="N310" s="44"/>
      <c r="O310" s="44"/>
      <c r="P310" s="115"/>
      <c r="Q310" s="44"/>
      <c r="R310" s="44"/>
      <c r="S310" s="115"/>
      <c r="T310" s="44"/>
      <c r="U310" s="44"/>
      <c r="V310" s="44"/>
      <c r="W310" s="44"/>
      <c r="X310" s="44"/>
    </row>
    <row r="311" spans="1:24">
      <c r="A311" s="7" t="s">
        <v>459</v>
      </c>
      <c r="B311" s="41">
        <v>70015</v>
      </c>
      <c r="C311" s="7" t="s">
        <v>188</v>
      </c>
      <c r="D311" s="7" t="str">
        <f>$D$40</f>
        <v>Fringe Benefits CCN - Tunisia</v>
      </c>
      <c r="E311" s="105"/>
      <c r="F311" s="70" t="s">
        <v>147</v>
      </c>
      <c r="G311" s="40"/>
      <c r="H311" s="52">
        <f>H40</f>
        <v>0.45500000000000002</v>
      </c>
      <c r="I311" s="40">
        <f>(SUM(I287:I307))*$H$311</f>
        <v>59174.645833333336</v>
      </c>
      <c r="J311" s="105"/>
      <c r="K311" s="40"/>
      <c r="L311" s="40">
        <f>(SUM(L287:L307))*$H$311</f>
        <v>117335.40000000001</v>
      </c>
      <c r="M311" s="105"/>
      <c r="N311" s="40"/>
      <c r="O311" s="40">
        <f>(SUM(O287:O307))*$H$311</f>
        <v>125589.96450000002</v>
      </c>
      <c r="P311" s="105"/>
      <c r="Q311" s="40"/>
      <c r="R311" s="40">
        <f>(SUM(R287:R307))*$H$311</f>
        <v>131869.46272499999</v>
      </c>
      <c r="S311" s="105"/>
      <c r="T311" s="40"/>
      <c r="U311" s="40">
        <f>(SUM(U287:U307))*$H$311</f>
        <v>107439.75723304687</v>
      </c>
      <c r="V311" s="40">
        <f>SUM(R311,O311,L311,I311,U311)</f>
        <v>541409.2302913802</v>
      </c>
      <c r="W311" s="55">
        <v>0</v>
      </c>
      <c r="X311" s="40">
        <f>SUM(V311:W311)</f>
        <v>541409.2302913802</v>
      </c>
    </row>
    <row r="312" spans="1:24">
      <c r="A312" s="37"/>
      <c r="B312" s="37"/>
      <c r="C312" s="37"/>
      <c r="D312" s="37" t="s">
        <v>460</v>
      </c>
      <c r="E312" s="115"/>
      <c r="F312" s="42"/>
      <c r="G312" s="43"/>
      <c r="H312" s="43"/>
      <c r="I312" s="44">
        <f>SUM(I311:I311)</f>
        <v>59174.645833333336</v>
      </c>
      <c r="J312" s="115"/>
      <c r="K312" s="44"/>
      <c r="L312" s="44">
        <f>SUM(L311:L311)</f>
        <v>117335.40000000001</v>
      </c>
      <c r="M312" s="115"/>
      <c r="N312" s="44"/>
      <c r="O312" s="44">
        <f>SUM(O311:O311)</f>
        <v>125589.96450000002</v>
      </c>
      <c r="P312" s="115"/>
      <c r="Q312" s="44"/>
      <c r="R312" s="44">
        <f>SUM(R311:R311)</f>
        <v>131869.46272499999</v>
      </c>
      <c r="S312" s="115"/>
      <c r="T312" s="44"/>
      <c r="U312" s="44">
        <f>SUM(U311:U311)</f>
        <v>107439.75723304687</v>
      </c>
      <c r="V312" s="44">
        <f>SUM(V311:V311)</f>
        <v>541409.2302913802</v>
      </c>
      <c r="W312" s="44">
        <f>SUM(W311:W311)</f>
        <v>0</v>
      </c>
      <c r="X312" s="44">
        <f>SUM(X311:X311)</f>
        <v>541409.2302913802</v>
      </c>
    </row>
    <row r="313" spans="1:24">
      <c r="A313" s="92"/>
      <c r="B313" s="92"/>
      <c r="C313" s="92"/>
      <c r="D313" s="92"/>
      <c r="E313" s="116"/>
      <c r="F313" s="69"/>
      <c r="G313" s="55"/>
      <c r="H313" s="55"/>
      <c r="I313" s="55"/>
      <c r="J313" s="116"/>
      <c r="K313" s="55"/>
      <c r="L313" s="55"/>
      <c r="M313" s="116"/>
      <c r="N313" s="55"/>
      <c r="O313" s="55"/>
      <c r="P313" s="116"/>
      <c r="Q313" s="55"/>
      <c r="R313" s="55"/>
      <c r="S313" s="116"/>
      <c r="T313" s="55"/>
      <c r="U313" s="55"/>
      <c r="V313" s="55"/>
      <c r="W313" s="55"/>
      <c r="X313" s="55"/>
    </row>
    <row r="314" spans="1:24">
      <c r="A314" s="37"/>
      <c r="B314" s="37"/>
      <c r="C314" s="37"/>
      <c r="D314" s="37" t="s">
        <v>461</v>
      </c>
      <c r="E314" s="115"/>
      <c r="F314" s="42"/>
      <c r="G314" s="43"/>
      <c r="H314" s="43"/>
      <c r="I314" s="43"/>
      <c r="J314" s="115"/>
      <c r="K314" s="43"/>
      <c r="L314" s="43"/>
      <c r="M314" s="115"/>
      <c r="N314" s="43"/>
      <c r="O314" s="43"/>
      <c r="P314" s="115"/>
      <c r="Q314" s="43"/>
      <c r="R314" s="43"/>
      <c r="S314" s="115"/>
      <c r="T314" s="43"/>
      <c r="U314" s="43"/>
      <c r="V314" s="43"/>
      <c r="W314" s="43"/>
      <c r="X314" s="43"/>
    </row>
    <row r="315" spans="1:24">
      <c r="A315" s="7" t="s">
        <v>462</v>
      </c>
      <c r="B315" s="7">
        <v>89050</v>
      </c>
      <c r="C315" s="7" t="s">
        <v>188</v>
      </c>
      <c r="D315" s="7" t="s">
        <v>463</v>
      </c>
      <c r="E315" s="109"/>
      <c r="F315" s="7" t="s">
        <v>464</v>
      </c>
      <c r="G315" s="40">
        <v>1</v>
      </c>
      <c r="H315" s="40"/>
      <c r="I315" s="40">
        <f>'Activity 3 Sub Budget 6th Grain'!F62</f>
        <v>189531.67200000002</v>
      </c>
      <c r="J315" s="109"/>
      <c r="K315" s="40">
        <v>1</v>
      </c>
      <c r="L315" s="40">
        <f>'Activity 3 Sub Budget 6th Grain'!J62</f>
        <v>176568.93408000001</v>
      </c>
      <c r="M315" s="109"/>
      <c r="N315" s="40">
        <v>1</v>
      </c>
      <c r="O315" s="40">
        <f>'Activity 3 Sub Budget 6th Grain'!N62</f>
        <v>135632.77544960001</v>
      </c>
      <c r="P315" s="109"/>
      <c r="Q315" s="40">
        <v>0</v>
      </c>
      <c r="R315" s="40">
        <f>'Activity 3 Sub Budget 6th Grain'!R62</f>
        <v>0</v>
      </c>
      <c r="S315" s="109"/>
      <c r="T315" s="40">
        <v>0</v>
      </c>
      <c r="U315" s="40">
        <f>'Activity 3 Sub Budget 6th Grain'!V64</f>
        <v>0</v>
      </c>
      <c r="V315" s="40">
        <f t="shared" ref="V315:V321" si="347">SUM(R315,O315,L315,I315,U315)</f>
        <v>501733.38152960001</v>
      </c>
      <c r="W315" s="40" t="s">
        <v>224</v>
      </c>
      <c r="X315" s="40">
        <f>SUM(V315:W315)</f>
        <v>501733.38152960001</v>
      </c>
    </row>
    <row r="316" spans="1:24">
      <c r="A316" s="7" t="s">
        <v>465</v>
      </c>
      <c r="B316" s="7">
        <v>81010</v>
      </c>
      <c r="C316" s="7" t="s">
        <v>188</v>
      </c>
      <c r="D316" s="7" t="s">
        <v>466</v>
      </c>
      <c r="E316" s="109"/>
      <c r="F316" s="45" t="s">
        <v>228</v>
      </c>
      <c r="G316" s="40">
        <v>0</v>
      </c>
      <c r="H316" s="40">
        <v>350</v>
      </c>
      <c r="I316" s="40">
        <f t="shared" ref="I316:I321" si="348">G316*H316</f>
        <v>0</v>
      </c>
      <c r="J316" s="109"/>
      <c r="K316" s="40">
        <v>4</v>
      </c>
      <c r="L316" s="40">
        <f t="shared" ref="L316:L317" si="349">K316*H316</f>
        <v>1400</v>
      </c>
      <c r="M316" s="109"/>
      <c r="N316" s="40">
        <v>4</v>
      </c>
      <c r="O316" s="40">
        <f t="shared" ref="O316:O317" si="350">N316*H316</f>
        <v>1400</v>
      </c>
      <c r="P316" s="109"/>
      <c r="Q316" s="40">
        <v>4</v>
      </c>
      <c r="R316" s="40">
        <f t="shared" ref="R316:R317" si="351">Q316*H316</f>
        <v>1400</v>
      </c>
      <c r="S316" s="109"/>
      <c r="T316" s="40">
        <v>0</v>
      </c>
      <c r="U316" s="40">
        <f>T316*H316</f>
        <v>0</v>
      </c>
      <c r="V316" s="40">
        <f t="shared" si="347"/>
        <v>4200</v>
      </c>
      <c r="W316" s="40">
        <v>0</v>
      </c>
      <c r="X316" s="40">
        <f>V316+W316</f>
        <v>4200</v>
      </c>
    </row>
    <row r="317" spans="1:24">
      <c r="A317" s="7" t="s">
        <v>467</v>
      </c>
      <c r="B317" s="7">
        <v>81010</v>
      </c>
      <c r="C317" s="7" t="s">
        <v>188</v>
      </c>
      <c r="D317" s="7" t="s">
        <v>468</v>
      </c>
      <c r="E317" s="109"/>
      <c r="F317" s="45" t="s">
        <v>469</v>
      </c>
      <c r="G317" s="40">
        <v>0</v>
      </c>
      <c r="H317" s="40">
        <v>100</v>
      </c>
      <c r="I317" s="40">
        <f t="shared" si="348"/>
        <v>0</v>
      </c>
      <c r="J317" s="109"/>
      <c r="K317" s="40"/>
      <c r="L317" s="40">
        <f t="shared" si="349"/>
        <v>0</v>
      </c>
      <c r="M317" s="109"/>
      <c r="N317" s="40">
        <v>1000</v>
      </c>
      <c r="O317" s="40">
        <f t="shared" si="350"/>
        <v>100000</v>
      </c>
      <c r="P317" s="109"/>
      <c r="Q317" s="40"/>
      <c r="R317" s="40">
        <f t="shared" si="351"/>
        <v>0</v>
      </c>
      <c r="S317" s="109"/>
      <c r="T317" s="40"/>
      <c r="U317" s="40">
        <f t="shared" ref="U317" si="352">T317*H317</f>
        <v>0</v>
      </c>
      <c r="V317" s="40">
        <f t="shared" si="347"/>
        <v>100000</v>
      </c>
      <c r="W317" s="40">
        <v>0</v>
      </c>
      <c r="X317" s="40">
        <f t="shared" ref="X317" si="353">V317+W317</f>
        <v>100000</v>
      </c>
    </row>
    <row r="318" spans="1:24">
      <c r="A318" s="5" t="s">
        <v>470</v>
      </c>
      <c r="B318" s="7">
        <v>81000</v>
      </c>
      <c r="C318" s="7" t="s">
        <v>188</v>
      </c>
      <c r="D318" s="7" t="s">
        <v>471</v>
      </c>
      <c r="E318" s="109"/>
      <c r="F318" s="45" t="s">
        <v>228</v>
      </c>
      <c r="G318" s="40">
        <v>0</v>
      </c>
      <c r="H318" s="40">
        <f>90*8</f>
        <v>720</v>
      </c>
      <c r="I318" s="40">
        <f t="shared" si="348"/>
        <v>0</v>
      </c>
      <c r="J318" s="109"/>
      <c r="K318" s="40">
        <v>0</v>
      </c>
      <c r="L318" s="40">
        <f t="shared" ref="L318" si="354">K318*H318</f>
        <v>0</v>
      </c>
      <c r="M318" s="109"/>
      <c r="N318" s="40">
        <v>15</v>
      </c>
      <c r="O318" s="40">
        <f t="shared" ref="O318" si="355">N318*H318</f>
        <v>10800</v>
      </c>
      <c r="P318" s="109"/>
      <c r="Q318" s="40">
        <v>0</v>
      </c>
      <c r="R318" s="40">
        <f t="shared" ref="R318" si="356">Q318*H318</f>
        <v>0</v>
      </c>
      <c r="S318" s="109"/>
      <c r="T318" s="40">
        <v>0</v>
      </c>
      <c r="U318" s="40">
        <f>T318*H318</f>
        <v>0</v>
      </c>
      <c r="V318" s="40">
        <f t="shared" si="347"/>
        <v>10800</v>
      </c>
      <c r="W318" s="40">
        <v>0</v>
      </c>
      <c r="X318" s="40">
        <f>V318+W318</f>
        <v>10800</v>
      </c>
    </row>
    <row r="319" spans="1:24">
      <c r="A319" s="7" t="s">
        <v>472</v>
      </c>
      <c r="B319" s="7">
        <v>90100</v>
      </c>
      <c r="C319" s="7" t="s">
        <v>188</v>
      </c>
      <c r="D319" s="7" t="s">
        <v>473</v>
      </c>
      <c r="E319" s="109"/>
      <c r="F319" s="45" t="s">
        <v>228</v>
      </c>
      <c r="G319" s="40">
        <v>0</v>
      </c>
      <c r="H319" s="40">
        <v>325</v>
      </c>
      <c r="I319" s="40">
        <f t="shared" si="348"/>
        <v>0</v>
      </c>
      <c r="J319" s="109"/>
      <c r="K319" s="40">
        <v>10</v>
      </c>
      <c r="L319" s="40">
        <f t="shared" ref="L319:L320" si="357">K319*H319</f>
        <v>3250</v>
      </c>
      <c r="M319" s="109"/>
      <c r="N319" s="40">
        <v>0</v>
      </c>
      <c r="O319" s="40">
        <f t="shared" ref="O319:O320" si="358">N319*H319</f>
        <v>0</v>
      </c>
      <c r="P319" s="109"/>
      <c r="Q319" s="40">
        <v>0</v>
      </c>
      <c r="R319" s="40">
        <f t="shared" ref="R319:R320" si="359">Q319*H319</f>
        <v>0</v>
      </c>
      <c r="S319" s="109"/>
      <c r="T319" s="40">
        <v>0</v>
      </c>
      <c r="U319" s="40">
        <f>T319*H319</f>
        <v>0</v>
      </c>
      <c r="V319" s="40">
        <f t="shared" si="347"/>
        <v>3250</v>
      </c>
      <c r="W319" s="40">
        <v>0</v>
      </c>
      <c r="X319" s="40">
        <f>V319+W319</f>
        <v>3250</v>
      </c>
    </row>
    <row r="320" spans="1:24">
      <c r="A320" s="5" t="s">
        <v>470</v>
      </c>
      <c r="B320" s="7">
        <v>81000</v>
      </c>
      <c r="C320" s="7" t="s">
        <v>188</v>
      </c>
      <c r="D320" s="7" t="s">
        <v>474</v>
      </c>
      <c r="E320" s="109"/>
      <c r="F320" s="45" t="s">
        <v>190</v>
      </c>
      <c r="G320" s="40">
        <v>0</v>
      </c>
      <c r="H320" s="40">
        <f>350*15</f>
        <v>5250</v>
      </c>
      <c r="I320" s="40">
        <f t="shared" si="348"/>
        <v>0</v>
      </c>
      <c r="J320" s="109"/>
      <c r="K320" s="40">
        <v>2</v>
      </c>
      <c r="L320" s="40">
        <f t="shared" si="357"/>
        <v>10500</v>
      </c>
      <c r="M320" s="109"/>
      <c r="N320" s="40">
        <v>0</v>
      </c>
      <c r="O320" s="40">
        <f t="shared" si="358"/>
        <v>0</v>
      </c>
      <c r="P320" s="109"/>
      <c r="Q320" s="40">
        <v>0</v>
      </c>
      <c r="R320" s="40">
        <f t="shared" si="359"/>
        <v>0</v>
      </c>
      <c r="S320" s="109"/>
      <c r="T320" s="40">
        <v>0</v>
      </c>
      <c r="U320" s="40">
        <f t="shared" ref="U320" si="360">T320*H320</f>
        <v>0</v>
      </c>
      <c r="V320" s="40">
        <f t="shared" si="347"/>
        <v>10500</v>
      </c>
      <c r="W320" s="40">
        <v>0</v>
      </c>
      <c r="X320" s="40">
        <f t="shared" ref="X320" si="361">V320+W320</f>
        <v>10500</v>
      </c>
    </row>
    <row r="321" spans="1:24">
      <c r="A321" s="7" t="s">
        <v>475</v>
      </c>
      <c r="B321" s="7">
        <v>86110</v>
      </c>
      <c r="C321" s="7" t="s">
        <v>188</v>
      </c>
      <c r="D321" s="7" t="s">
        <v>254</v>
      </c>
      <c r="E321" s="109"/>
      <c r="F321" s="45" t="s">
        <v>250</v>
      </c>
      <c r="G321" s="40">
        <v>1</v>
      </c>
      <c r="H321" s="40">
        <v>5000</v>
      </c>
      <c r="I321" s="40">
        <f t="shared" si="348"/>
        <v>5000</v>
      </c>
      <c r="J321" s="109"/>
      <c r="K321" s="40">
        <v>1</v>
      </c>
      <c r="L321" s="40">
        <f>K321*H321</f>
        <v>5000</v>
      </c>
      <c r="M321" s="109"/>
      <c r="N321" s="40">
        <v>1</v>
      </c>
      <c r="O321" s="40">
        <f>N321*H321</f>
        <v>5000</v>
      </c>
      <c r="P321" s="109"/>
      <c r="Q321" s="40">
        <v>1</v>
      </c>
      <c r="R321" s="40">
        <f>Q321*H321</f>
        <v>5000</v>
      </c>
      <c r="S321" s="109"/>
      <c r="T321" s="40">
        <v>1</v>
      </c>
      <c r="U321" s="40">
        <f>T321*H321</f>
        <v>5000</v>
      </c>
      <c r="V321" s="40">
        <f t="shared" si="347"/>
        <v>25000</v>
      </c>
      <c r="W321" s="40">
        <v>0</v>
      </c>
      <c r="X321" s="40">
        <f>V321+W321</f>
        <v>25000</v>
      </c>
    </row>
    <row r="322" spans="1:24">
      <c r="A322" s="37"/>
      <c r="B322" s="37"/>
      <c r="C322" s="37"/>
      <c r="D322" s="37" t="s">
        <v>476</v>
      </c>
      <c r="E322" s="115"/>
      <c r="F322" s="42"/>
      <c r="G322" s="43"/>
      <c r="H322" s="44"/>
      <c r="I322" s="44">
        <f>SUM(I315:I321)</f>
        <v>194531.67200000002</v>
      </c>
      <c r="J322" s="118"/>
      <c r="K322" s="44"/>
      <c r="L322" s="44">
        <f>SUM(L315:L321)</f>
        <v>196718.93408000001</v>
      </c>
      <c r="M322" s="118"/>
      <c r="N322" s="44"/>
      <c r="O322" s="44">
        <f>SUM(O315:O321)</f>
        <v>252832.77544960001</v>
      </c>
      <c r="P322" s="118"/>
      <c r="Q322" s="44"/>
      <c r="R322" s="44">
        <f>SUM(R315:R321)</f>
        <v>6400</v>
      </c>
      <c r="S322" s="118"/>
      <c r="T322" s="44"/>
      <c r="U322" s="44">
        <f>SUM(U315:U321)</f>
        <v>5000</v>
      </c>
      <c r="V322" s="44">
        <f>SUM(V315:V321)</f>
        <v>655483.38152960001</v>
      </c>
      <c r="W322" s="44">
        <f>SUM(W315:W321)</f>
        <v>0</v>
      </c>
      <c r="X322" s="44">
        <f>SUM(X315:X321)</f>
        <v>655483.38152960001</v>
      </c>
    </row>
    <row r="323" spans="1:24">
      <c r="A323" s="92"/>
      <c r="B323" s="92"/>
      <c r="C323" s="92"/>
      <c r="D323" s="92"/>
      <c r="E323" s="116"/>
      <c r="F323" s="69"/>
      <c r="G323" s="55"/>
      <c r="H323" s="55"/>
      <c r="I323" s="55"/>
      <c r="J323" s="116"/>
      <c r="K323" s="55"/>
      <c r="L323" s="55"/>
      <c r="M323" s="116"/>
      <c r="N323" s="55"/>
      <c r="O323" s="55"/>
      <c r="P323" s="116"/>
      <c r="Q323" s="55"/>
      <c r="R323" s="55"/>
      <c r="S323" s="116"/>
      <c r="T323" s="55"/>
      <c r="U323" s="55"/>
      <c r="V323" s="55"/>
      <c r="W323" s="55"/>
      <c r="X323" s="55"/>
    </row>
    <row r="324" spans="1:24">
      <c r="A324" s="37"/>
      <c r="B324" s="37"/>
      <c r="C324" s="37"/>
      <c r="D324" s="37" t="s">
        <v>477</v>
      </c>
      <c r="E324" s="115"/>
      <c r="F324" s="42"/>
      <c r="G324" s="43"/>
      <c r="H324" s="43"/>
      <c r="I324" s="43"/>
      <c r="J324" s="115"/>
      <c r="K324" s="43"/>
      <c r="L324" s="43"/>
      <c r="M324" s="115"/>
      <c r="N324" s="43"/>
      <c r="O324" s="43"/>
      <c r="P324" s="115"/>
      <c r="Q324" s="43"/>
      <c r="R324" s="43"/>
      <c r="S324" s="115"/>
      <c r="T324" s="43"/>
      <c r="U324" s="43"/>
      <c r="V324" s="43"/>
      <c r="W324" s="43"/>
      <c r="X324" s="43"/>
    </row>
    <row r="325" spans="1:24">
      <c r="A325" s="7" t="s">
        <v>478</v>
      </c>
      <c r="B325" s="7">
        <v>82420</v>
      </c>
      <c r="C325" s="7" t="s">
        <v>188</v>
      </c>
      <c r="D325" s="7" t="s">
        <v>479</v>
      </c>
      <c r="E325" s="109"/>
      <c r="F325" s="46" t="s">
        <v>247</v>
      </c>
      <c r="G325" s="40">
        <v>0</v>
      </c>
      <c r="H325" s="40">
        <v>4000</v>
      </c>
      <c r="I325" s="40">
        <f>G325*H325</f>
        <v>0</v>
      </c>
      <c r="J325" s="109"/>
      <c r="K325" s="40">
        <v>0</v>
      </c>
      <c r="L325" s="40">
        <f>K325*H325</f>
        <v>0</v>
      </c>
      <c r="M325" s="109"/>
      <c r="N325" s="40">
        <v>4</v>
      </c>
      <c r="O325" s="40">
        <f>N325*H325</f>
        <v>16000</v>
      </c>
      <c r="P325" s="109"/>
      <c r="Q325" s="40">
        <v>0</v>
      </c>
      <c r="R325" s="40">
        <f>Q325*H325</f>
        <v>0</v>
      </c>
      <c r="S325" s="109"/>
      <c r="T325" s="40">
        <v>0</v>
      </c>
      <c r="U325" s="40">
        <f>T325*K325</f>
        <v>0</v>
      </c>
      <c r="V325" s="40">
        <f>SUM(R325,O325,L325,I325,U325)</f>
        <v>16000</v>
      </c>
      <c r="W325" s="40">
        <v>0</v>
      </c>
      <c r="X325" s="40">
        <f>V325+W325</f>
        <v>16000</v>
      </c>
    </row>
    <row r="326" spans="1:24">
      <c r="A326" s="7" t="s">
        <v>478</v>
      </c>
      <c r="B326" s="7">
        <v>82420</v>
      </c>
      <c r="C326" s="7" t="s">
        <v>188</v>
      </c>
      <c r="D326" s="7" t="s">
        <v>480</v>
      </c>
      <c r="E326" s="109"/>
      <c r="F326" s="46" t="s">
        <v>247</v>
      </c>
      <c r="G326" s="40">
        <v>0</v>
      </c>
      <c r="H326" s="40">
        <v>1000</v>
      </c>
      <c r="I326" s="40">
        <f>G326*H326</f>
        <v>0</v>
      </c>
      <c r="J326" s="109"/>
      <c r="K326" s="40">
        <v>0</v>
      </c>
      <c r="L326" s="40">
        <f>K326*H326</f>
        <v>0</v>
      </c>
      <c r="M326" s="109"/>
      <c r="N326" s="40">
        <v>10</v>
      </c>
      <c r="O326" s="40">
        <f>N326*H326</f>
        <v>10000</v>
      </c>
      <c r="P326" s="109"/>
      <c r="Q326" s="40">
        <v>0</v>
      </c>
      <c r="R326" s="40">
        <f>Q326*H326</f>
        <v>0</v>
      </c>
      <c r="S326" s="109"/>
      <c r="T326" s="40">
        <v>0</v>
      </c>
      <c r="U326" s="40">
        <f>T326*K326</f>
        <v>0</v>
      </c>
      <c r="V326" s="40">
        <f>SUM(R326,O326,L326,I326,U326)</f>
        <v>10000</v>
      </c>
      <c r="W326" s="40">
        <v>0</v>
      </c>
      <c r="X326" s="40">
        <f>V326+W326</f>
        <v>10000</v>
      </c>
    </row>
    <row r="327" spans="1:24">
      <c r="A327" s="7" t="s">
        <v>481</v>
      </c>
      <c r="B327" s="7">
        <v>90450</v>
      </c>
      <c r="C327" s="7" t="s">
        <v>188</v>
      </c>
      <c r="D327" s="7" t="s">
        <v>360</v>
      </c>
      <c r="E327" s="109"/>
      <c r="F327" s="46" t="s">
        <v>247</v>
      </c>
      <c r="G327" s="40">
        <v>0</v>
      </c>
      <c r="H327" s="40">
        <v>500</v>
      </c>
      <c r="I327" s="40">
        <f>G327*H327</f>
        <v>0</v>
      </c>
      <c r="J327" s="109"/>
      <c r="K327" s="40">
        <v>3</v>
      </c>
      <c r="L327" s="40">
        <f>K327*H327</f>
        <v>1500</v>
      </c>
      <c r="M327" s="109"/>
      <c r="N327" s="40">
        <v>3</v>
      </c>
      <c r="O327" s="40">
        <f>N327*H327</f>
        <v>1500</v>
      </c>
      <c r="P327" s="109"/>
      <c r="Q327" s="40">
        <v>1</v>
      </c>
      <c r="R327" s="40">
        <f>Q327*H327</f>
        <v>500</v>
      </c>
      <c r="S327" s="109"/>
      <c r="T327" s="40">
        <v>0</v>
      </c>
      <c r="U327" s="40">
        <f>T327*K327</f>
        <v>0</v>
      </c>
      <c r="V327" s="40">
        <f>SUM(R327,O327,L327,I327,U327)</f>
        <v>3500</v>
      </c>
      <c r="W327" s="40">
        <v>0</v>
      </c>
      <c r="X327" s="40">
        <f>V327+W327</f>
        <v>3500</v>
      </c>
    </row>
    <row r="328" spans="1:24">
      <c r="A328" s="37"/>
      <c r="B328" s="37"/>
      <c r="C328" s="37"/>
      <c r="D328" s="37" t="s">
        <v>482</v>
      </c>
      <c r="E328" s="115"/>
      <c r="F328" s="42"/>
      <c r="G328" s="43"/>
      <c r="H328" s="44"/>
      <c r="I328" s="44">
        <f>SUM(I325:I327)</f>
        <v>0</v>
      </c>
      <c r="J328" s="118"/>
      <c r="K328" s="44"/>
      <c r="L328" s="44">
        <f>SUM(L325:L327)</f>
        <v>1500</v>
      </c>
      <c r="M328" s="118"/>
      <c r="N328" s="44"/>
      <c r="O328" s="44">
        <f>SUM(O325:O327)</f>
        <v>27500</v>
      </c>
      <c r="P328" s="118"/>
      <c r="Q328" s="44"/>
      <c r="R328" s="44">
        <f>SUM(R325:R327)</f>
        <v>500</v>
      </c>
      <c r="S328" s="118"/>
      <c r="T328" s="44"/>
      <c r="U328" s="44">
        <f>SUM(U325:U327)</f>
        <v>0</v>
      </c>
      <c r="V328" s="44">
        <f>SUM(V325:V327)</f>
        <v>29500</v>
      </c>
      <c r="W328" s="44">
        <f>SUM(W325:W327)</f>
        <v>0</v>
      </c>
      <c r="X328" s="44">
        <f>SUM(X325:X327)</f>
        <v>29500</v>
      </c>
    </row>
    <row r="329" spans="1:24">
      <c r="A329" s="92"/>
      <c r="B329" s="92"/>
      <c r="C329" s="92"/>
      <c r="D329" s="92"/>
      <c r="E329" s="116"/>
      <c r="F329" s="69"/>
      <c r="G329" s="55"/>
      <c r="H329" s="55"/>
      <c r="I329" s="55"/>
      <c r="J329" s="116"/>
      <c r="K329" s="55"/>
      <c r="L329" s="55"/>
      <c r="M329" s="116"/>
      <c r="N329" s="55"/>
      <c r="O329" s="55"/>
      <c r="P329" s="116"/>
      <c r="Q329" s="55"/>
      <c r="R329" s="55"/>
      <c r="S329" s="116"/>
      <c r="T329" s="55"/>
      <c r="U329" s="55"/>
      <c r="V329" s="55"/>
      <c r="W329" s="55"/>
      <c r="X329" s="55"/>
    </row>
    <row r="330" spans="1:24">
      <c r="A330" s="37"/>
      <c r="B330" s="37"/>
      <c r="C330" s="37"/>
      <c r="D330" s="37" t="s">
        <v>483</v>
      </c>
      <c r="E330" s="115"/>
      <c r="F330" s="42"/>
      <c r="G330" s="43"/>
      <c r="H330" s="43"/>
      <c r="I330" s="43"/>
      <c r="J330" s="115"/>
      <c r="K330" s="43"/>
      <c r="L330" s="43"/>
      <c r="M330" s="115"/>
      <c r="N330" s="43"/>
      <c r="O330" s="43"/>
      <c r="P330" s="115"/>
      <c r="Q330" s="43"/>
      <c r="R330" s="43"/>
      <c r="S330" s="115"/>
      <c r="T330" s="43"/>
      <c r="U330" s="43"/>
      <c r="V330" s="43"/>
      <c r="W330" s="43"/>
      <c r="X330" s="43"/>
    </row>
    <row r="331" spans="1:24">
      <c r="A331" s="7" t="s">
        <v>484</v>
      </c>
      <c r="B331" s="7">
        <v>86000</v>
      </c>
      <c r="C331" s="7" t="s">
        <v>188</v>
      </c>
      <c r="D331" s="7" t="s">
        <v>239</v>
      </c>
      <c r="F331" s="7" t="s">
        <v>190</v>
      </c>
      <c r="G331" s="40">
        <v>3</v>
      </c>
      <c r="H331" s="40">
        <v>325</v>
      </c>
      <c r="I331" s="40">
        <f t="shared" ref="I331" si="362">G331*H331</f>
        <v>975</v>
      </c>
      <c r="J331" s="40"/>
      <c r="K331" s="40">
        <v>12</v>
      </c>
      <c r="L331" s="40">
        <f t="shared" ref="L331" si="363">H331*K331*$E$6</f>
        <v>4173</v>
      </c>
      <c r="M331" s="111"/>
      <c r="N331" s="40">
        <v>12</v>
      </c>
      <c r="O331" s="40">
        <f t="shared" ref="O331" si="364">H331*N331*$E$6*$E$6</f>
        <v>4465.1100000000006</v>
      </c>
      <c r="P331" s="111"/>
      <c r="Q331" s="40">
        <v>12</v>
      </c>
      <c r="R331" s="40">
        <f t="shared" ref="R331" si="365">H331*Q331*$E$6*$E$6*$E$6</f>
        <v>4777.6677000000009</v>
      </c>
      <c r="S331" s="111"/>
      <c r="T331" s="40">
        <v>7</v>
      </c>
      <c r="U331" s="40">
        <f t="shared" ref="U331" si="366">H331*T331*$E$6*$E$6*$E$6*$E$6</f>
        <v>2982.0609227500004</v>
      </c>
      <c r="V331" s="40">
        <f t="shared" ref="V331:V337" si="367">SUM(R331,O331,L331,I331,U331)</f>
        <v>17372.838622750001</v>
      </c>
      <c r="W331" s="40" t="s">
        <v>224</v>
      </c>
      <c r="X331" s="40">
        <f t="shared" ref="X331" si="368">SUM(V331:W331)</f>
        <v>17372.838622750001</v>
      </c>
    </row>
    <row r="332" spans="1:24">
      <c r="A332" s="7" t="s">
        <v>484</v>
      </c>
      <c r="B332" s="7">
        <v>86000</v>
      </c>
      <c r="C332" s="7" t="s">
        <v>188</v>
      </c>
      <c r="D332" s="7" t="s">
        <v>364</v>
      </c>
      <c r="F332" s="7" t="s">
        <v>190</v>
      </c>
      <c r="G332" s="40">
        <v>3</v>
      </c>
      <c r="H332" s="40">
        <v>75</v>
      </c>
      <c r="I332" s="40">
        <f t="shared" ref="I332" si="369">G332*H332</f>
        <v>225</v>
      </c>
      <c r="J332" s="40"/>
      <c r="K332" s="40">
        <v>12</v>
      </c>
      <c r="L332" s="40">
        <f t="shared" ref="L332" si="370">H332*K332*$E$6</f>
        <v>963</v>
      </c>
      <c r="M332" s="111"/>
      <c r="N332" s="40">
        <v>12</v>
      </c>
      <c r="O332" s="40">
        <f t="shared" ref="O332" si="371">H332*N332*$E$6*$E$6</f>
        <v>1030.4100000000001</v>
      </c>
      <c r="P332" s="111"/>
      <c r="Q332" s="40">
        <v>12</v>
      </c>
      <c r="R332" s="40">
        <f t="shared" ref="R332" si="372">H332*Q332*$E$6*$E$6*$E$6</f>
        <v>1102.5387000000001</v>
      </c>
      <c r="S332" s="111"/>
      <c r="T332" s="40">
        <v>7</v>
      </c>
      <c r="U332" s="40">
        <f t="shared" ref="U332" si="373">H332*T332*$E$6*$E$6*$E$6*$E$6</f>
        <v>688.1679052500001</v>
      </c>
      <c r="V332" s="40">
        <f t="shared" ref="V332" si="374">SUM(R332,O332,L332,I332,U332)</f>
        <v>4009.1166052500002</v>
      </c>
      <c r="W332" s="40" t="s">
        <v>224</v>
      </c>
      <c r="X332" s="40">
        <f t="shared" ref="X332" si="375">SUM(V332:W332)</f>
        <v>4009.1166052500002</v>
      </c>
    </row>
    <row r="333" spans="1:24">
      <c r="A333" s="7" t="s">
        <v>485</v>
      </c>
      <c r="B333" s="7">
        <v>86000</v>
      </c>
      <c r="C333" s="7" t="s">
        <v>188</v>
      </c>
      <c r="D333" s="7" t="s">
        <v>428</v>
      </c>
      <c r="F333" s="7" t="s">
        <v>374</v>
      </c>
      <c r="G333" s="40">
        <v>0</v>
      </c>
      <c r="H333" s="40">
        <v>7</v>
      </c>
      <c r="I333" s="40">
        <f>G333*H333</f>
        <v>0</v>
      </c>
      <c r="J333" s="111"/>
      <c r="K333" s="40">
        <f>18*2</f>
        <v>36</v>
      </c>
      <c r="L333" s="40">
        <f>H333*K333*$E$6</f>
        <v>269.64000000000004</v>
      </c>
      <c r="M333" s="111"/>
      <c r="N333" s="40">
        <f>19*2</f>
        <v>38</v>
      </c>
      <c r="O333" s="40">
        <f>H333*N333*$E$6*$E$6</f>
        <v>304.54340000000002</v>
      </c>
      <c r="P333" s="111"/>
      <c r="Q333" s="40">
        <f>18*2</f>
        <v>36</v>
      </c>
      <c r="R333" s="40">
        <f>H333*Q333*$E$6*$E$6*$E$6</f>
        <v>308.71083600000003</v>
      </c>
      <c r="S333" s="111"/>
      <c r="T333" s="40">
        <v>0</v>
      </c>
      <c r="U333" s="40">
        <f>H333*T333*$E$6*$E$6*$E$6*$E$6</f>
        <v>0</v>
      </c>
      <c r="V333" s="40">
        <f t="shared" si="367"/>
        <v>882.89423600000009</v>
      </c>
      <c r="W333" s="40" t="s">
        <v>224</v>
      </c>
      <c r="X333" s="40">
        <f>SUM(V333:W333)</f>
        <v>882.89423600000009</v>
      </c>
    </row>
    <row r="334" spans="1:24">
      <c r="A334" s="7" t="s">
        <v>485</v>
      </c>
      <c r="B334" s="7">
        <v>86000</v>
      </c>
      <c r="C334" s="7" t="s">
        <v>188</v>
      </c>
      <c r="D334" s="7" t="s">
        <v>486</v>
      </c>
      <c r="F334" s="7" t="s">
        <v>374</v>
      </c>
      <c r="G334" s="40">
        <v>0</v>
      </c>
      <c r="H334" s="40">
        <v>10</v>
      </c>
      <c r="I334" s="40">
        <f>G334*H334</f>
        <v>0</v>
      </c>
      <c r="J334" s="111"/>
      <c r="K334" s="40">
        <v>200</v>
      </c>
      <c r="L334" s="40">
        <f>H334*K334*$E$6</f>
        <v>2140</v>
      </c>
      <c r="M334" s="111"/>
      <c r="N334" s="40">
        <v>0</v>
      </c>
      <c r="O334" s="40">
        <f>H334*N334*$E$6*$E$6</f>
        <v>0</v>
      </c>
      <c r="P334" s="111"/>
      <c r="Q334" s="40">
        <v>0</v>
      </c>
      <c r="R334" s="40">
        <f>H334*Q334*$E$6*$E$6*$E$6</f>
        <v>0</v>
      </c>
      <c r="S334" s="111"/>
      <c r="T334" s="40">
        <v>0</v>
      </c>
      <c r="U334" s="40">
        <f>H334*T334*$E$6*$E$6*$E$6*$E$6</f>
        <v>0</v>
      </c>
      <c r="V334" s="40">
        <f t="shared" si="367"/>
        <v>2140</v>
      </c>
      <c r="W334" s="40" t="s">
        <v>224</v>
      </c>
      <c r="X334" s="40">
        <f>SUM(V334:W334)</f>
        <v>2140</v>
      </c>
    </row>
    <row r="335" spans="1:24" ht="25.2">
      <c r="A335" s="7" t="s">
        <v>484</v>
      </c>
      <c r="B335" s="565" t="s">
        <v>487</v>
      </c>
      <c r="C335" s="7" t="s">
        <v>188</v>
      </c>
      <c r="D335" s="7" t="s">
        <v>488</v>
      </c>
      <c r="E335" s="109"/>
      <c r="F335" s="7" t="s">
        <v>223</v>
      </c>
      <c r="G335" s="40">
        <v>0</v>
      </c>
      <c r="H335" s="40">
        <f>1400+150</f>
        <v>1550</v>
      </c>
      <c r="I335" s="40">
        <f t="shared" ref="I335:I337" si="376">G335*H335</f>
        <v>0</v>
      </c>
      <c r="J335" s="40"/>
      <c r="K335" s="40"/>
      <c r="L335" s="40">
        <f t="shared" ref="L335:L337" si="377">H335*K335*$E$6</f>
        <v>0</v>
      </c>
      <c r="M335" s="109"/>
      <c r="N335" s="40">
        <v>1</v>
      </c>
      <c r="O335" s="40">
        <f t="shared" ref="O335:O337" si="378">H335*N335*$E$6*$E$6</f>
        <v>1774.595</v>
      </c>
      <c r="P335" s="109"/>
      <c r="Q335" s="40">
        <v>0</v>
      </c>
      <c r="R335" s="40">
        <f t="shared" ref="R335:R337" si="379">H335*Q335*$E$6*$E$6*$E$6</f>
        <v>0</v>
      </c>
      <c r="S335" s="109"/>
      <c r="T335" s="40">
        <v>0</v>
      </c>
      <c r="U335" s="40">
        <f t="shared" ref="U335" si="380">H335*T335*$E$6*$E$6*$E$6*$E$6</f>
        <v>0</v>
      </c>
      <c r="V335" s="40">
        <f t="shared" si="367"/>
        <v>1774.595</v>
      </c>
      <c r="W335" s="40" t="s">
        <v>224</v>
      </c>
      <c r="X335" s="40">
        <f t="shared" ref="X335:X337" si="381">SUM(V335:W335)</f>
        <v>1774.595</v>
      </c>
    </row>
    <row r="336" spans="1:24" ht="25.2">
      <c r="A336" s="7" t="s">
        <v>484</v>
      </c>
      <c r="B336" s="565" t="s">
        <v>489</v>
      </c>
      <c r="C336" s="7" t="s">
        <v>188</v>
      </c>
      <c r="D336" s="7" t="s">
        <v>490</v>
      </c>
      <c r="E336" s="109"/>
      <c r="F336" s="7" t="s">
        <v>228</v>
      </c>
      <c r="G336" s="40">
        <f>G318</f>
        <v>0</v>
      </c>
      <c r="H336" s="40">
        <f>92+120</f>
        <v>212</v>
      </c>
      <c r="I336" s="40">
        <f t="shared" si="376"/>
        <v>0</v>
      </c>
      <c r="J336" s="109"/>
      <c r="K336" s="40"/>
      <c r="L336" s="40">
        <f t="shared" si="377"/>
        <v>0</v>
      </c>
      <c r="M336" s="109"/>
      <c r="N336" s="40">
        <f>N335*15</f>
        <v>15</v>
      </c>
      <c r="O336" s="40">
        <f t="shared" si="378"/>
        <v>3640.7820000000006</v>
      </c>
      <c r="P336" s="109"/>
      <c r="Q336" s="40">
        <f>7*Q335</f>
        <v>0</v>
      </c>
      <c r="R336" s="40">
        <f t="shared" si="379"/>
        <v>0</v>
      </c>
      <c r="S336" s="109"/>
      <c r="T336" s="40">
        <f>7*T335</f>
        <v>0</v>
      </c>
      <c r="U336" s="40">
        <f t="shared" ref="U336" si="382">T336*H336*$E$6*$E$6*$E$6*$E$6</f>
        <v>0</v>
      </c>
      <c r="V336" s="40">
        <f t="shared" si="367"/>
        <v>3640.7820000000006</v>
      </c>
      <c r="W336" s="40" t="s">
        <v>224</v>
      </c>
      <c r="X336" s="40">
        <f t="shared" si="381"/>
        <v>3640.7820000000006</v>
      </c>
    </row>
    <row r="337" spans="1:24">
      <c r="A337" s="7" t="s">
        <v>485</v>
      </c>
      <c r="B337" s="7">
        <v>86000</v>
      </c>
      <c r="C337" s="7" t="s">
        <v>188</v>
      </c>
      <c r="D337" s="7" t="s">
        <v>491</v>
      </c>
      <c r="E337" s="109"/>
      <c r="F337" s="7" t="s">
        <v>223</v>
      </c>
      <c r="G337" s="40">
        <f>40*G360</f>
        <v>0</v>
      </c>
      <c r="H337" s="40">
        <v>10</v>
      </c>
      <c r="I337" s="40">
        <f t="shared" si="376"/>
        <v>0</v>
      </c>
      <c r="J337" s="40"/>
      <c r="K337" s="40">
        <f>40*K360</f>
        <v>160</v>
      </c>
      <c r="L337" s="40">
        <f t="shared" si="377"/>
        <v>1712</v>
      </c>
      <c r="M337" s="109"/>
      <c r="N337" s="40">
        <f>40*N360</f>
        <v>160</v>
      </c>
      <c r="O337" s="40">
        <f t="shared" si="378"/>
        <v>1831.8400000000001</v>
      </c>
      <c r="P337" s="109"/>
      <c r="Q337" s="40">
        <f>40*Q360</f>
        <v>0</v>
      </c>
      <c r="R337" s="40">
        <f t="shared" si="379"/>
        <v>0</v>
      </c>
      <c r="S337" s="109"/>
      <c r="T337" s="40">
        <f>40*T360</f>
        <v>0</v>
      </c>
      <c r="U337" s="40">
        <f t="shared" ref="U337" si="383">H337*T337*$E$6*$E$6*$E$6*$E$6</f>
        <v>0</v>
      </c>
      <c r="V337" s="40">
        <f t="shared" si="367"/>
        <v>3543.84</v>
      </c>
      <c r="W337" s="40" t="s">
        <v>224</v>
      </c>
      <c r="X337" s="40">
        <f t="shared" si="381"/>
        <v>3543.84</v>
      </c>
    </row>
    <row r="338" spans="1:24">
      <c r="A338" s="526"/>
      <c r="B338" s="526"/>
      <c r="C338" s="526"/>
      <c r="D338" s="526" t="s">
        <v>492</v>
      </c>
      <c r="E338" s="110"/>
      <c r="F338" s="81"/>
      <c r="G338" s="82"/>
      <c r="H338" s="82"/>
      <c r="I338" s="82"/>
      <c r="J338" s="110"/>
      <c r="K338" s="82"/>
      <c r="L338" s="82"/>
      <c r="M338" s="110"/>
      <c r="N338" s="82"/>
      <c r="O338" s="82"/>
      <c r="P338" s="110"/>
      <c r="Q338" s="82"/>
      <c r="R338" s="82"/>
      <c r="S338" s="110"/>
      <c r="T338" s="82"/>
      <c r="U338" s="82"/>
      <c r="V338" s="68"/>
      <c r="W338" s="68"/>
      <c r="X338" s="82"/>
    </row>
    <row r="339" spans="1:24" ht="25.2">
      <c r="A339" s="7" t="s">
        <v>493</v>
      </c>
      <c r="B339" s="565" t="s">
        <v>487</v>
      </c>
      <c r="C339" s="7" t="s">
        <v>188</v>
      </c>
      <c r="D339" s="7" t="s">
        <v>494</v>
      </c>
      <c r="E339" s="109"/>
      <c r="F339" s="7" t="s">
        <v>223</v>
      </c>
      <c r="G339" s="40">
        <v>0</v>
      </c>
      <c r="H339" s="40">
        <f>(1400+150)/2</f>
        <v>775</v>
      </c>
      <c r="I339" s="40">
        <f t="shared" ref="I339:I345" si="384">G339*H339</f>
        <v>0</v>
      </c>
      <c r="J339" s="40"/>
      <c r="K339" s="40"/>
      <c r="L339" s="40">
        <f t="shared" ref="L339:L342" si="385">H339*K339*$E$6</f>
        <v>0</v>
      </c>
      <c r="M339" s="109"/>
      <c r="N339" s="40">
        <v>10</v>
      </c>
      <c r="O339" s="40">
        <f t="shared" ref="O339:O342" si="386">H339*N339*$E$6*$E$6</f>
        <v>8872.9750000000004</v>
      </c>
      <c r="P339" s="109"/>
      <c r="Q339" s="40">
        <v>0</v>
      </c>
      <c r="R339" s="40">
        <f t="shared" ref="R339:R342" si="387">H339*Q339*$E$6*$E$6*$E$6</f>
        <v>0</v>
      </c>
      <c r="S339" s="109"/>
      <c r="T339" s="40">
        <v>0</v>
      </c>
      <c r="U339" s="40">
        <f t="shared" ref="U339:U340" si="388">H339*T339*$E$6*$E$6*$E$6*$E$6</f>
        <v>0</v>
      </c>
      <c r="V339" s="40">
        <f>SUM(R339,O339,L339,I339,U339)</f>
        <v>8872.9750000000004</v>
      </c>
      <c r="W339" s="40" t="s">
        <v>224</v>
      </c>
      <c r="X339" s="40">
        <f t="shared" ref="X339:X347" si="389">SUM(V339:W339)</f>
        <v>8872.9750000000004</v>
      </c>
    </row>
    <row r="340" spans="1:24" ht="25.2">
      <c r="A340" s="7" t="s">
        <v>493</v>
      </c>
      <c r="B340" s="565" t="s">
        <v>487</v>
      </c>
      <c r="C340" s="7" t="s">
        <v>188</v>
      </c>
      <c r="D340" s="7" t="s">
        <v>495</v>
      </c>
      <c r="E340" s="109"/>
      <c r="F340" s="7" t="s">
        <v>223</v>
      </c>
      <c r="G340" s="40">
        <v>0</v>
      </c>
      <c r="H340" s="40">
        <f>(1400+150)</f>
        <v>1550</v>
      </c>
      <c r="I340" s="40">
        <f t="shared" si="384"/>
        <v>0</v>
      </c>
      <c r="J340" s="40"/>
      <c r="K340" s="40"/>
      <c r="L340" s="40">
        <f t="shared" si="385"/>
        <v>0</v>
      </c>
      <c r="M340" s="109"/>
      <c r="N340" s="40">
        <v>10</v>
      </c>
      <c r="O340" s="40">
        <f t="shared" si="386"/>
        <v>17745.95</v>
      </c>
      <c r="P340" s="109"/>
      <c r="Q340" s="40">
        <v>0</v>
      </c>
      <c r="R340" s="40">
        <f t="shared" si="387"/>
        <v>0</v>
      </c>
      <c r="S340" s="109"/>
      <c r="T340" s="40">
        <v>0</v>
      </c>
      <c r="U340" s="40">
        <f t="shared" si="388"/>
        <v>0</v>
      </c>
      <c r="V340" s="40">
        <f>SUM(R340,O340,L340,I340,U340)</f>
        <v>17745.95</v>
      </c>
      <c r="W340" s="40" t="s">
        <v>224</v>
      </c>
      <c r="X340" s="40">
        <f t="shared" si="389"/>
        <v>17745.95</v>
      </c>
    </row>
    <row r="341" spans="1:24" ht="25.2">
      <c r="A341" s="7" t="s">
        <v>493</v>
      </c>
      <c r="B341" s="565" t="s">
        <v>226</v>
      </c>
      <c r="C341" s="7" t="s">
        <v>188</v>
      </c>
      <c r="D341" s="7" t="s">
        <v>496</v>
      </c>
      <c r="E341" s="109"/>
      <c r="F341" s="7" t="s">
        <v>228</v>
      </c>
      <c r="G341" s="40">
        <f>G340*7</f>
        <v>0</v>
      </c>
      <c r="H341" s="40">
        <f>150+69</f>
        <v>219</v>
      </c>
      <c r="I341" s="40">
        <f t="shared" si="384"/>
        <v>0</v>
      </c>
      <c r="J341" s="109"/>
      <c r="K341" s="40">
        <f>K340*7</f>
        <v>0</v>
      </c>
      <c r="L341" s="40">
        <f t="shared" si="385"/>
        <v>0</v>
      </c>
      <c r="M341" s="109"/>
      <c r="N341" s="40">
        <f>N340*7</f>
        <v>70</v>
      </c>
      <c r="O341" s="40">
        <f t="shared" si="386"/>
        <v>17551.317000000003</v>
      </c>
      <c r="P341" s="109"/>
      <c r="Q341" s="40">
        <f>Q340*7</f>
        <v>0</v>
      </c>
      <c r="R341" s="40">
        <f t="shared" si="387"/>
        <v>0</v>
      </c>
      <c r="S341" s="109"/>
      <c r="T341" s="40">
        <f>T340*7</f>
        <v>0</v>
      </c>
      <c r="U341" s="40">
        <f t="shared" ref="U341:U342" si="390">T341*H341*$E$6*$E$6*$E$6*$E$6</f>
        <v>0</v>
      </c>
      <c r="V341" s="40">
        <f>SUM(R341,O341,L341,I341,U341)</f>
        <v>17551.317000000003</v>
      </c>
      <c r="W341" s="40" t="s">
        <v>224</v>
      </c>
      <c r="X341" s="40">
        <f t="shared" si="389"/>
        <v>17551.317000000003</v>
      </c>
    </row>
    <row r="342" spans="1:24" ht="25.2">
      <c r="A342" s="7" t="s">
        <v>493</v>
      </c>
      <c r="B342" s="565" t="s">
        <v>226</v>
      </c>
      <c r="C342" s="7" t="s">
        <v>188</v>
      </c>
      <c r="D342" s="7" t="s">
        <v>497</v>
      </c>
      <c r="E342" s="109"/>
      <c r="F342" s="7" t="s">
        <v>228</v>
      </c>
      <c r="G342" s="40">
        <f>G339*7</f>
        <v>0</v>
      </c>
      <c r="H342" s="40">
        <f>92+120</f>
        <v>212</v>
      </c>
      <c r="I342" s="40">
        <f t="shared" si="384"/>
        <v>0</v>
      </c>
      <c r="J342" s="109"/>
      <c r="K342" s="40">
        <f>K339*7</f>
        <v>0</v>
      </c>
      <c r="L342" s="40">
        <f t="shared" si="385"/>
        <v>0</v>
      </c>
      <c r="M342" s="109"/>
      <c r="N342" s="40">
        <f>N339*7</f>
        <v>70</v>
      </c>
      <c r="O342" s="40">
        <f t="shared" si="386"/>
        <v>16990.316000000003</v>
      </c>
      <c r="P342" s="109"/>
      <c r="Q342" s="40">
        <f>Q339*7</f>
        <v>0</v>
      </c>
      <c r="R342" s="40">
        <f t="shared" si="387"/>
        <v>0</v>
      </c>
      <c r="S342" s="109"/>
      <c r="T342" s="40">
        <f>T339*7</f>
        <v>0</v>
      </c>
      <c r="U342" s="40">
        <f t="shared" si="390"/>
        <v>0</v>
      </c>
      <c r="V342" s="40">
        <f>SUM(R342,O342,L342,I342,U342)</f>
        <v>16990.316000000003</v>
      </c>
      <c r="W342" s="40" t="s">
        <v>224</v>
      </c>
      <c r="X342" s="40">
        <f t="shared" si="389"/>
        <v>16990.316000000003</v>
      </c>
    </row>
    <row r="343" spans="1:24">
      <c r="A343" s="526"/>
      <c r="B343" s="526"/>
      <c r="C343" s="526"/>
      <c r="D343" s="526" t="s">
        <v>498</v>
      </c>
      <c r="E343" s="110"/>
      <c r="F343" s="81"/>
      <c r="G343" s="82"/>
      <c r="H343" s="82"/>
      <c r="I343" s="82"/>
      <c r="J343" s="110"/>
      <c r="K343" s="82"/>
      <c r="L343" s="82"/>
      <c r="M343" s="110"/>
      <c r="N343" s="82"/>
      <c r="O343" s="82"/>
      <c r="P343" s="110"/>
      <c r="Q343" s="82"/>
      <c r="R343" s="82"/>
      <c r="S343" s="110"/>
      <c r="T343" s="82"/>
      <c r="U343" s="82"/>
      <c r="V343" s="68"/>
      <c r="W343" s="68"/>
      <c r="X343" s="82"/>
    </row>
    <row r="344" spans="1:24" ht="25.2">
      <c r="A344" s="7" t="s">
        <v>499</v>
      </c>
      <c r="B344" s="565" t="s">
        <v>487</v>
      </c>
      <c r="C344" s="7" t="s">
        <v>188</v>
      </c>
      <c r="D344" s="7" t="s">
        <v>500</v>
      </c>
      <c r="E344" s="109"/>
      <c r="F344" s="7" t="s">
        <v>223</v>
      </c>
      <c r="G344" s="40">
        <v>0</v>
      </c>
      <c r="H344" s="40">
        <f>(600+150)</f>
        <v>750</v>
      </c>
      <c r="I344" s="40">
        <f t="shared" si="384"/>
        <v>0</v>
      </c>
      <c r="J344" s="40"/>
      <c r="K344" s="40">
        <v>5</v>
      </c>
      <c r="L344" s="40">
        <f>H344*K344*$E$6</f>
        <v>4012.5000000000005</v>
      </c>
      <c r="M344" s="109"/>
      <c r="N344" s="40">
        <v>5</v>
      </c>
      <c r="O344" s="40">
        <f>H344*N344*$E$6*$E$6</f>
        <v>4293.3750000000009</v>
      </c>
      <c r="P344" s="109"/>
      <c r="Q344" s="40">
        <v>0</v>
      </c>
      <c r="R344" s="40">
        <f>H344*Q344*$E$6*$E$6*$E$6</f>
        <v>0</v>
      </c>
      <c r="S344" s="109"/>
      <c r="T344" s="40">
        <v>0</v>
      </c>
      <c r="U344" s="40">
        <f>H344*T344*$E$6*$E$6*$E$6*$E$6</f>
        <v>0</v>
      </c>
      <c r="V344" s="40">
        <f>SUM(R344,O344,L344,I344,U344)</f>
        <v>8305.8750000000018</v>
      </c>
      <c r="W344" s="40" t="s">
        <v>224</v>
      </c>
      <c r="X344" s="40">
        <f t="shared" si="389"/>
        <v>8305.8750000000018</v>
      </c>
    </row>
    <row r="345" spans="1:24" ht="25.2">
      <c r="A345" s="7" t="s">
        <v>499</v>
      </c>
      <c r="B345" s="565" t="s">
        <v>487</v>
      </c>
      <c r="C345" s="7" t="s">
        <v>188</v>
      </c>
      <c r="D345" s="7" t="s">
        <v>501</v>
      </c>
      <c r="E345" s="109"/>
      <c r="F345" s="7" t="s">
        <v>223</v>
      </c>
      <c r="G345" s="40">
        <v>0</v>
      </c>
      <c r="H345" s="40">
        <f>(1400+150)</f>
        <v>1550</v>
      </c>
      <c r="I345" s="40">
        <f t="shared" si="384"/>
        <v>0</v>
      </c>
      <c r="J345" s="40"/>
      <c r="K345" s="40">
        <v>0</v>
      </c>
      <c r="L345" s="40">
        <f>H345*K345*$E$6</f>
        <v>0</v>
      </c>
      <c r="M345" s="109"/>
      <c r="N345" s="40">
        <v>5</v>
      </c>
      <c r="O345" s="40">
        <f>H345*N345*$E$6*$E$6</f>
        <v>8872.9750000000004</v>
      </c>
      <c r="P345" s="109"/>
      <c r="Q345" s="40">
        <v>5</v>
      </c>
      <c r="R345" s="40">
        <f>H345*Q345*$E$6*$E$6*$E$6</f>
        <v>9494.0832500000015</v>
      </c>
      <c r="S345" s="109"/>
      <c r="T345" s="40">
        <v>0</v>
      </c>
      <c r="U345" s="40">
        <f>H345*T345*$E$6*$E$6*$E$6*$E$6</f>
        <v>0</v>
      </c>
      <c r="V345" s="40">
        <f>SUM(R345,O345,L345,I345,U345)</f>
        <v>18367.058250000002</v>
      </c>
      <c r="W345" s="40" t="s">
        <v>224</v>
      </c>
      <c r="X345" s="40">
        <f t="shared" si="389"/>
        <v>18367.058250000002</v>
      </c>
    </row>
    <row r="346" spans="1:24" ht="25.2">
      <c r="A346" s="7" t="s">
        <v>499</v>
      </c>
      <c r="B346" s="565" t="s">
        <v>226</v>
      </c>
      <c r="C346" s="7" t="s">
        <v>188</v>
      </c>
      <c r="D346" s="7" t="s">
        <v>502</v>
      </c>
      <c r="E346" s="109"/>
      <c r="F346" s="7" t="s">
        <v>228</v>
      </c>
      <c r="G346" s="40">
        <f>G344*7</f>
        <v>0</v>
      </c>
      <c r="H346" s="40">
        <f>80+156</f>
        <v>236</v>
      </c>
      <c r="I346" s="40">
        <f t="shared" ref="I346:I347" si="391">G346*H346</f>
        <v>0</v>
      </c>
      <c r="J346" s="109"/>
      <c r="K346" s="40">
        <f>K344*7</f>
        <v>35</v>
      </c>
      <c r="L346" s="40">
        <f t="shared" ref="L346:L347" si="392">H346*K346*$E$6</f>
        <v>8838.2000000000007</v>
      </c>
      <c r="M346" s="109"/>
      <c r="N346" s="40">
        <f>N344*7</f>
        <v>35</v>
      </c>
      <c r="O346" s="40">
        <f t="shared" ref="O346:O347" si="393">H346*N346*$E$6*$E$6</f>
        <v>9456.8740000000016</v>
      </c>
      <c r="P346" s="109"/>
      <c r="Q346" s="40">
        <f>Q344*7</f>
        <v>0</v>
      </c>
      <c r="R346" s="40">
        <f t="shared" ref="R346:R347" si="394">H346*Q346*$E$6*$E$6*$E$6</f>
        <v>0</v>
      </c>
      <c r="S346" s="109"/>
      <c r="T346" s="40">
        <f>T344*7</f>
        <v>0</v>
      </c>
      <c r="U346" s="40">
        <f t="shared" ref="U346:U347" si="395">T346*H346*$E$6*$E$6*$E$6*$E$6</f>
        <v>0</v>
      </c>
      <c r="V346" s="40">
        <f>SUM(R346,O346,L346,I346,U346)</f>
        <v>18295.074000000001</v>
      </c>
      <c r="W346" s="40" t="s">
        <v>224</v>
      </c>
      <c r="X346" s="40">
        <f t="shared" si="389"/>
        <v>18295.074000000001</v>
      </c>
    </row>
    <row r="347" spans="1:24" ht="25.2">
      <c r="A347" s="7" t="s">
        <v>499</v>
      </c>
      <c r="B347" s="565" t="s">
        <v>226</v>
      </c>
      <c r="C347" s="7" t="s">
        <v>188</v>
      </c>
      <c r="D347" s="7" t="s">
        <v>503</v>
      </c>
      <c r="E347" s="109"/>
      <c r="F347" s="7" t="s">
        <v>228</v>
      </c>
      <c r="G347" s="40">
        <f>G345*7</f>
        <v>0</v>
      </c>
      <c r="H347" s="40">
        <f>250+71</f>
        <v>321</v>
      </c>
      <c r="I347" s="40">
        <f t="shared" si="391"/>
        <v>0</v>
      </c>
      <c r="J347" s="109"/>
      <c r="K347" s="40">
        <f>K345*7</f>
        <v>0</v>
      </c>
      <c r="L347" s="40">
        <f t="shared" si="392"/>
        <v>0</v>
      </c>
      <c r="M347" s="109"/>
      <c r="N347" s="40">
        <f>N345*7</f>
        <v>35</v>
      </c>
      <c r="O347" s="40">
        <f t="shared" si="393"/>
        <v>12862.951500000001</v>
      </c>
      <c r="P347" s="109"/>
      <c r="Q347" s="40">
        <f>Q345*7</f>
        <v>35</v>
      </c>
      <c r="R347" s="40">
        <f t="shared" si="394"/>
        <v>13763.358105000001</v>
      </c>
      <c r="S347" s="109"/>
      <c r="T347" s="40">
        <f>T345*7</f>
        <v>0</v>
      </c>
      <c r="U347" s="40">
        <f t="shared" si="395"/>
        <v>0</v>
      </c>
      <c r="V347" s="40">
        <f>SUM(R347,O347,L347,I347,U347)</f>
        <v>26626.309605000002</v>
      </c>
      <c r="W347" s="40" t="s">
        <v>224</v>
      </c>
      <c r="X347" s="40">
        <f t="shared" si="389"/>
        <v>26626.309605000002</v>
      </c>
    </row>
    <row r="348" spans="1:24">
      <c r="A348" s="37"/>
      <c r="B348" s="37"/>
      <c r="C348" s="37"/>
      <c r="D348" s="37" t="s">
        <v>504</v>
      </c>
      <c r="E348" s="115"/>
      <c r="F348" s="42"/>
      <c r="G348" s="43"/>
      <c r="H348" s="44"/>
      <c r="I348" s="44">
        <f>SUM(I330:I347)</f>
        <v>1200</v>
      </c>
      <c r="J348" s="115"/>
      <c r="K348" s="44"/>
      <c r="L348" s="44">
        <f>SUM(L330:L347)</f>
        <v>22108.34</v>
      </c>
      <c r="M348" s="115"/>
      <c r="N348" s="44"/>
      <c r="O348" s="44">
        <f>SUM(O330:O347)</f>
        <v>109694.01390000001</v>
      </c>
      <c r="P348" s="115"/>
      <c r="Q348" s="44"/>
      <c r="R348" s="44">
        <f>SUM(R330:R347)</f>
        <v>29446.358591000004</v>
      </c>
      <c r="S348" s="115"/>
      <c r="T348" s="44"/>
      <c r="U348" s="44">
        <f>SUM(U330:U347)</f>
        <v>3670.2288280000002</v>
      </c>
      <c r="V348" s="44">
        <f>SUM(V330:V347)</f>
        <v>166118.94131900003</v>
      </c>
      <c r="W348" s="44">
        <f>SUM(W330:W347)</f>
        <v>0</v>
      </c>
      <c r="X348" s="44">
        <f>SUM(X330:X347)</f>
        <v>166118.94131900003</v>
      </c>
    </row>
    <row r="349" spans="1:24">
      <c r="A349" s="92"/>
      <c r="B349" s="92"/>
      <c r="C349" s="92"/>
      <c r="D349" s="92"/>
      <c r="E349" s="116"/>
      <c r="F349" s="69"/>
      <c r="G349" s="55"/>
      <c r="H349" s="55"/>
      <c r="I349" s="55"/>
      <c r="J349" s="116"/>
      <c r="K349" s="55"/>
      <c r="L349" s="55"/>
      <c r="M349" s="116"/>
      <c r="N349" s="55"/>
      <c r="O349" s="55"/>
      <c r="P349" s="116"/>
      <c r="Q349" s="55"/>
      <c r="R349" s="55"/>
      <c r="S349" s="116"/>
      <c r="T349" s="55"/>
      <c r="U349" s="55"/>
      <c r="V349" s="55"/>
      <c r="W349" s="55"/>
      <c r="X349" s="55"/>
    </row>
    <row r="350" spans="1:24">
      <c r="A350" s="37"/>
      <c r="B350" s="37"/>
      <c r="C350" s="37"/>
      <c r="D350" s="37" t="s">
        <v>505</v>
      </c>
      <c r="E350" s="116"/>
      <c r="F350" s="69"/>
      <c r="G350" s="55"/>
      <c r="H350" s="55"/>
      <c r="I350" s="55"/>
      <c r="J350" s="116"/>
      <c r="K350" s="55"/>
      <c r="L350" s="55"/>
      <c r="M350" s="116"/>
      <c r="N350" s="55"/>
      <c r="O350" s="55"/>
      <c r="P350" s="116"/>
      <c r="Q350" s="55"/>
      <c r="R350" s="55"/>
      <c r="S350" s="116"/>
      <c r="T350" s="55"/>
      <c r="U350" s="55"/>
      <c r="V350" s="55"/>
      <c r="W350" s="55"/>
      <c r="X350" s="55"/>
    </row>
    <row r="351" spans="1:24">
      <c r="A351" s="526"/>
      <c r="B351" s="526"/>
      <c r="C351" s="526"/>
      <c r="D351" s="526" t="s">
        <v>107</v>
      </c>
      <c r="E351" s="110"/>
      <c r="F351" s="81"/>
      <c r="G351" s="82"/>
      <c r="H351" s="82"/>
      <c r="I351" s="82"/>
      <c r="J351" s="110"/>
      <c r="K351" s="82"/>
      <c r="L351" s="82"/>
      <c r="M351" s="110"/>
      <c r="N351" s="82"/>
      <c r="O351" s="82"/>
      <c r="P351" s="110"/>
      <c r="Q351" s="82"/>
      <c r="R351" s="82"/>
      <c r="S351" s="110"/>
      <c r="T351" s="82"/>
      <c r="U351" s="82"/>
      <c r="V351" s="68"/>
      <c r="W351" s="68"/>
      <c r="X351" s="82"/>
    </row>
    <row r="352" spans="1:24">
      <c r="A352" s="7" t="s">
        <v>506</v>
      </c>
      <c r="B352" s="7">
        <v>89000</v>
      </c>
      <c r="C352" s="7" t="s">
        <v>188</v>
      </c>
      <c r="D352" s="7" t="s">
        <v>507</v>
      </c>
      <c r="E352" s="109"/>
      <c r="F352" s="7" t="s">
        <v>380</v>
      </c>
      <c r="G352" s="40">
        <v>0</v>
      </c>
      <c r="H352" s="40">
        <v>1000</v>
      </c>
      <c r="I352" s="40">
        <f t="shared" ref="I352" si="396">G352*H352</f>
        <v>0</v>
      </c>
      <c r="J352" s="111"/>
      <c r="K352" s="40">
        <v>25</v>
      </c>
      <c r="L352" s="40">
        <f t="shared" ref="L352" si="397">H352*K352</f>
        <v>25000</v>
      </c>
      <c r="M352" s="111"/>
      <c r="N352" s="40">
        <v>25</v>
      </c>
      <c r="O352" s="40">
        <f t="shared" ref="O352" si="398">H352*N352</f>
        <v>25000</v>
      </c>
      <c r="P352" s="111"/>
      <c r="Q352" s="40">
        <v>0</v>
      </c>
      <c r="R352" s="40">
        <f t="shared" ref="R352" si="399">H352*Q352</f>
        <v>0</v>
      </c>
      <c r="S352" s="111"/>
      <c r="T352" s="40">
        <v>0</v>
      </c>
      <c r="U352" s="40">
        <f t="shared" ref="U352" si="400">H352*T352</f>
        <v>0</v>
      </c>
      <c r="V352" s="40">
        <f>SUM(R352,O352,L352,I352,U352)</f>
        <v>50000</v>
      </c>
      <c r="W352" s="40" t="s">
        <v>224</v>
      </c>
      <c r="X352" s="40">
        <f t="shared" ref="X352" si="401">SUM(V352:W352)</f>
        <v>50000</v>
      </c>
    </row>
    <row r="353" spans="1:24">
      <c r="A353" s="7" t="s">
        <v>508</v>
      </c>
      <c r="B353" s="7">
        <v>89000</v>
      </c>
      <c r="C353" s="7" t="s">
        <v>188</v>
      </c>
      <c r="D353" s="7" t="s">
        <v>509</v>
      </c>
      <c r="E353" s="109"/>
      <c r="F353" s="7" t="s">
        <v>380</v>
      </c>
      <c r="G353" s="40">
        <v>0</v>
      </c>
      <c r="H353" s="40">
        <v>5000</v>
      </c>
      <c r="I353" s="40">
        <f t="shared" ref="I353" si="402">G353*H353</f>
        <v>0</v>
      </c>
      <c r="J353" s="111"/>
      <c r="K353" s="40">
        <v>2</v>
      </c>
      <c r="L353" s="40">
        <f t="shared" ref="L353" si="403">H353*K353</f>
        <v>10000</v>
      </c>
      <c r="M353" s="111"/>
      <c r="N353" s="40">
        <v>3</v>
      </c>
      <c r="O353" s="40">
        <f t="shared" ref="O353" si="404">H353*N353</f>
        <v>15000</v>
      </c>
      <c r="P353" s="111"/>
      <c r="Q353" s="40">
        <v>0</v>
      </c>
      <c r="R353" s="40">
        <f t="shared" ref="R353" si="405">H353*Q353</f>
        <v>0</v>
      </c>
      <c r="S353" s="111"/>
      <c r="T353" s="40">
        <v>0</v>
      </c>
      <c r="U353" s="40">
        <f t="shared" ref="U353" si="406">H353*T353</f>
        <v>0</v>
      </c>
      <c r="V353" s="40">
        <f>SUM(R353,O353,L353,I353,U353)</f>
        <v>25000</v>
      </c>
      <c r="W353" s="40" t="s">
        <v>224</v>
      </c>
      <c r="X353" s="40">
        <f t="shared" ref="X353" si="407">SUM(V353:W353)</f>
        <v>25000</v>
      </c>
    </row>
    <row r="354" spans="1:24">
      <c r="A354" s="7" t="s">
        <v>510</v>
      </c>
      <c r="B354" s="7">
        <v>89000</v>
      </c>
      <c r="C354" s="7" t="s">
        <v>188</v>
      </c>
      <c r="D354" s="7" t="s">
        <v>511</v>
      </c>
      <c r="E354" s="109"/>
      <c r="F354" s="7" t="s">
        <v>380</v>
      </c>
      <c r="G354" s="40">
        <v>0</v>
      </c>
      <c r="H354" s="40">
        <v>5000</v>
      </c>
      <c r="I354" s="40">
        <f t="shared" ref="I354" si="408">G354*H354</f>
        <v>0</v>
      </c>
      <c r="J354" s="111"/>
      <c r="K354" s="40">
        <v>0</v>
      </c>
      <c r="L354" s="40">
        <f t="shared" ref="L354" si="409">H354*K354</f>
        <v>0</v>
      </c>
      <c r="M354" s="111"/>
      <c r="N354" s="40">
        <v>2</v>
      </c>
      <c r="O354" s="40">
        <f t="shared" ref="O354" si="410">H354*N354</f>
        <v>10000</v>
      </c>
      <c r="P354" s="111"/>
      <c r="Q354" s="40">
        <v>3</v>
      </c>
      <c r="R354" s="40">
        <f t="shared" ref="R354" si="411">H354*Q354</f>
        <v>15000</v>
      </c>
      <c r="S354" s="111"/>
      <c r="T354" s="40">
        <v>0</v>
      </c>
      <c r="U354" s="40">
        <f t="shared" ref="U354" si="412">H354*T354</f>
        <v>0</v>
      </c>
      <c r="V354" s="40">
        <f>SUM(R354,O354,L354,I354,U354)</f>
        <v>25000</v>
      </c>
      <c r="W354" s="40" t="s">
        <v>224</v>
      </c>
      <c r="X354" s="40">
        <f t="shared" ref="X354" si="413">SUM(V354:W354)</f>
        <v>25000</v>
      </c>
    </row>
    <row r="355" spans="1:24">
      <c r="A355" s="7" t="s">
        <v>512</v>
      </c>
      <c r="B355" s="7">
        <v>89000</v>
      </c>
      <c r="C355" s="7" t="s">
        <v>188</v>
      </c>
      <c r="D355" s="7" t="s">
        <v>513</v>
      </c>
      <c r="E355" s="109"/>
      <c r="F355" s="7" t="s">
        <v>380</v>
      </c>
      <c r="G355" s="40">
        <v>0</v>
      </c>
      <c r="H355" s="40">
        <v>7500</v>
      </c>
      <c r="I355" s="40">
        <f t="shared" ref="I355" si="414">G355*H355</f>
        <v>0</v>
      </c>
      <c r="J355" s="111"/>
      <c r="K355" s="40">
        <v>25</v>
      </c>
      <c r="L355" s="40">
        <f t="shared" ref="L355" si="415">H355*K355</f>
        <v>187500</v>
      </c>
      <c r="M355" s="111"/>
      <c r="N355" s="40">
        <v>0</v>
      </c>
      <c r="O355" s="40">
        <f t="shared" ref="O355" si="416">H355*N355</f>
        <v>0</v>
      </c>
      <c r="P355" s="111"/>
      <c r="Q355" s="40">
        <v>0</v>
      </c>
      <c r="R355" s="40">
        <f t="shared" ref="R355" si="417">H355*Q355</f>
        <v>0</v>
      </c>
      <c r="S355" s="111"/>
      <c r="T355" s="40">
        <v>0</v>
      </c>
      <c r="U355" s="40">
        <f t="shared" ref="U355" si="418">H355*T355</f>
        <v>0</v>
      </c>
      <c r="V355" s="40">
        <f>SUM(R355,O355,L355,I355,U355)</f>
        <v>187500</v>
      </c>
      <c r="W355" s="40" t="s">
        <v>224</v>
      </c>
      <c r="X355" s="40">
        <f t="shared" ref="X355" si="419">SUM(V355:W355)</f>
        <v>187500</v>
      </c>
    </row>
    <row r="356" spans="1:24">
      <c r="A356" s="526"/>
      <c r="B356" s="526"/>
      <c r="C356" s="526"/>
      <c r="D356" s="526" t="s">
        <v>514</v>
      </c>
      <c r="E356" s="110"/>
      <c r="F356" s="81"/>
      <c r="G356" s="82"/>
      <c r="H356" s="82"/>
      <c r="I356" s="82"/>
      <c r="J356" s="110"/>
      <c r="K356" s="82"/>
      <c r="L356" s="82"/>
      <c r="M356" s="110"/>
      <c r="N356" s="82"/>
      <c r="O356" s="82"/>
      <c r="P356" s="110"/>
      <c r="Q356" s="82"/>
      <c r="R356" s="82"/>
      <c r="S356" s="110"/>
      <c r="T356" s="82"/>
      <c r="U356" s="82"/>
      <c r="V356" s="68"/>
      <c r="W356" s="68"/>
      <c r="X356" s="82"/>
    </row>
    <row r="357" spans="1:24">
      <c r="A357" s="7" t="s">
        <v>515</v>
      </c>
      <c r="B357" s="7">
        <v>87000</v>
      </c>
      <c r="C357" s="7" t="s">
        <v>188</v>
      </c>
      <c r="D357" s="7" t="s">
        <v>438</v>
      </c>
      <c r="F357" s="7" t="s">
        <v>228</v>
      </c>
      <c r="G357" s="40">
        <f>G327</f>
        <v>0</v>
      </c>
      <c r="H357" s="40">
        <f>(18*10)+150</f>
        <v>330</v>
      </c>
      <c r="I357" s="40">
        <f>G357*H357</f>
        <v>0</v>
      </c>
      <c r="J357" s="111"/>
      <c r="K357" s="40">
        <v>4</v>
      </c>
      <c r="L357" s="40">
        <f>H357*K357</f>
        <v>1320</v>
      </c>
      <c r="M357" s="111"/>
      <c r="N357" s="40">
        <v>4</v>
      </c>
      <c r="O357" s="40">
        <f>H357*N357</f>
        <v>1320</v>
      </c>
      <c r="P357" s="111"/>
      <c r="Q357" s="40">
        <v>4</v>
      </c>
      <c r="R357" s="40">
        <f>H357*Q357</f>
        <v>1320</v>
      </c>
      <c r="S357" s="111"/>
      <c r="T357" s="40">
        <f>T327</f>
        <v>0</v>
      </c>
      <c r="U357" s="40">
        <f>H357*T357</f>
        <v>0</v>
      </c>
      <c r="V357" s="40">
        <f>SUM(R357,O357,L357,I357,U357)</f>
        <v>3960</v>
      </c>
      <c r="W357" s="40" t="s">
        <v>224</v>
      </c>
      <c r="X357" s="40">
        <f>SUM(V357:W357)</f>
        <v>3960</v>
      </c>
    </row>
    <row r="358" spans="1:24">
      <c r="A358" s="7" t="s">
        <v>516</v>
      </c>
      <c r="B358" s="7">
        <v>87000</v>
      </c>
      <c r="C358" s="7" t="s">
        <v>188</v>
      </c>
      <c r="D358" s="7" t="s">
        <v>517</v>
      </c>
      <c r="F358" s="7" t="s">
        <v>139</v>
      </c>
      <c r="G358" s="40">
        <f>G328</f>
        <v>0</v>
      </c>
      <c r="H358" s="40">
        <f>((55*10)+350)*2</f>
        <v>1800</v>
      </c>
      <c r="I358" s="40">
        <f>G358*H358</f>
        <v>0</v>
      </c>
      <c r="J358" s="111"/>
      <c r="K358" s="40">
        <v>4</v>
      </c>
      <c r="L358" s="40">
        <f>H358*K358</f>
        <v>7200</v>
      </c>
      <c r="M358" s="111"/>
      <c r="N358" s="40">
        <f>N328</f>
        <v>0</v>
      </c>
      <c r="O358" s="40">
        <f>H358*N358</f>
        <v>0</v>
      </c>
      <c r="P358" s="111"/>
      <c r="Q358" s="40">
        <f>Q328</f>
        <v>0</v>
      </c>
      <c r="R358" s="40">
        <f>H358*Q358</f>
        <v>0</v>
      </c>
      <c r="S358" s="111"/>
      <c r="T358" s="40">
        <f>T328</f>
        <v>0</v>
      </c>
      <c r="U358" s="40">
        <f>H358*T358</f>
        <v>0</v>
      </c>
      <c r="V358" s="40">
        <f>SUM(R358,O358,L358,I358,U358)</f>
        <v>7200</v>
      </c>
      <c r="W358" s="40" t="s">
        <v>224</v>
      </c>
      <c r="X358" s="40">
        <f>SUM(V358:W358)</f>
        <v>7200</v>
      </c>
    </row>
    <row r="359" spans="1:24">
      <c r="A359" s="7" t="s">
        <v>518</v>
      </c>
      <c r="B359" s="7">
        <v>87010</v>
      </c>
      <c r="C359" s="7" t="s">
        <v>188</v>
      </c>
      <c r="D359" s="7" t="s">
        <v>519</v>
      </c>
      <c r="F359" s="7" t="s">
        <v>442</v>
      </c>
      <c r="G359" s="40">
        <v>6</v>
      </c>
      <c r="H359" s="40">
        <v>150</v>
      </c>
      <c r="I359" s="40">
        <f t="shared" ref="I359:I360" si="420">G359*H359</f>
        <v>900</v>
      </c>
      <c r="J359" s="111"/>
      <c r="K359" s="40">
        <v>12</v>
      </c>
      <c r="L359" s="40">
        <f t="shared" ref="L359:L360" si="421">H359*K359</f>
        <v>1800</v>
      </c>
      <c r="M359" s="111"/>
      <c r="N359" s="40">
        <v>12</v>
      </c>
      <c r="O359" s="40">
        <f t="shared" ref="O359:O360" si="422">H359*N359</f>
        <v>1800</v>
      </c>
      <c r="P359" s="111"/>
      <c r="Q359" s="40">
        <v>12</v>
      </c>
      <c r="R359" s="40">
        <f t="shared" ref="R359:R360" si="423">H359*Q359</f>
        <v>1800</v>
      </c>
      <c r="S359" s="111"/>
      <c r="T359" s="40">
        <v>9</v>
      </c>
      <c r="U359" s="40">
        <f t="shared" ref="U359:U360" si="424">H359*T359</f>
        <v>1350</v>
      </c>
      <c r="V359" s="40">
        <f>SUM(R359,O359,L359,I359,U359)</f>
        <v>7650</v>
      </c>
      <c r="W359" s="40" t="s">
        <v>224</v>
      </c>
      <c r="X359" s="40">
        <f t="shared" ref="X359:X360" si="425">SUM(V359:W359)</f>
        <v>7650</v>
      </c>
    </row>
    <row r="360" spans="1:24">
      <c r="A360" s="7" t="s">
        <v>520</v>
      </c>
      <c r="B360" s="7">
        <v>87000</v>
      </c>
      <c r="C360" s="7" t="s">
        <v>188</v>
      </c>
      <c r="D360" s="7" t="s">
        <v>521</v>
      </c>
      <c r="F360" s="7" t="s">
        <v>139</v>
      </c>
      <c r="G360" s="40">
        <v>0</v>
      </c>
      <c r="H360" s="40">
        <f>((43*10)+250)</f>
        <v>680</v>
      </c>
      <c r="I360" s="40">
        <f t="shared" si="420"/>
        <v>0</v>
      </c>
      <c r="J360" s="111"/>
      <c r="K360" s="40">
        <v>4</v>
      </c>
      <c r="L360" s="40">
        <f t="shared" si="421"/>
        <v>2720</v>
      </c>
      <c r="M360" s="111"/>
      <c r="N360" s="40">
        <v>4</v>
      </c>
      <c r="O360" s="40">
        <f t="shared" si="422"/>
        <v>2720</v>
      </c>
      <c r="P360" s="111"/>
      <c r="Q360" s="40">
        <v>0</v>
      </c>
      <c r="R360" s="40">
        <f t="shared" si="423"/>
        <v>0</v>
      </c>
      <c r="S360" s="111"/>
      <c r="T360" s="40">
        <v>0</v>
      </c>
      <c r="U360" s="40">
        <f t="shared" si="424"/>
        <v>0</v>
      </c>
      <c r="V360" s="40">
        <f>SUM(R360,O360,L360,I360,U360)</f>
        <v>5440</v>
      </c>
      <c r="W360" s="40" t="s">
        <v>224</v>
      </c>
      <c r="X360" s="40">
        <f t="shared" si="425"/>
        <v>5440</v>
      </c>
    </row>
    <row r="361" spans="1:24">
      <c r="A361" s="7" t="s">
        <v>522</v>
      </c>
      <c r="B361" s="7">
        <v>87010</v>
      </c>
      <c r="C361" s="7" t="s">
        <v>188</v>
      </c>
      <c r="D361" s="7" t="s">
        <v>523</v>
      </c>
      <c r="F361" s="7" t="s">
        <v>442</v>
      </c>
      <c r="G361" s="40">
        <v>0</v>
      </c>
      <c r="H361" s="40">
        <v>150</v>
      </c>
      <c r="I361" s="40">
        <f t="shared" ref="I361" si="426">G361*H361</f>
        <v>0</v>
      </c>
      <c r="J361" s="111"/>
      <c r="K361" s="40">
        <v>6</v>
      </c>
      <c r="L361" s="40">
        <f t="shared" ref="L361" si="427">H361*K361</f>
        <v>900</v>
      </c>
      <c r="M361" s="111"/>
      <c r="N361" s="40">
        <v>6</v>
      </c>
      <c r="O361" s="40">
        <f t="shared" ref="O361" si="428">H361*N361</f>
        <v>900</v>
      </c>
      <c r="P361" s="111"/>
      <c r="Q361" s="40">
        <v>0</v>
      </c>
      <c r="R361" s="40">
        <f t="shared" ref="R361" si="429">H361*Q361</f>
        <v>0</v>
      </c>
      <c r="S361" s="111"/>
      <c r="T361" s="40">
        <v>0</v>
      </c>
      <c r="U361" s="40">
        <f t="shared" ref="U361" si="430">H361*T361</f>
        <v>0</v>
      </c>
      <c r="V361" s="40">
        <f>SUM(R361,O361,L361,I361,U361)</f>
        <v>1800</v>
      </c>
      <c r="W361" s="40" t="s">
        <v>224</v>
      </c>
      <c r="X361" s="40">
        <f t="shared" ref="X361" si="431">SUM(V361:W361)</f>
        <v>1800</v>
      </c>
    </row>
    <row r="362" spans="1:24">
      <c r="A362" s="526"/>
      <c r="B362" s="526"/>
      <c r="C362" s="526"/>
      <c r="D362" s="526" t="s">
        <v>105</v>
      </c>
      <c r="E362" s="110"/>
      <c r="F362" s="81"/>
      <c r="G362" s="82"/>
      <c r="H362" s="82"/>
      <c r="I362" s="82"/>
      <c r="J362" s="110"/>
      <c r="K362" s="82"/>
      <c r="L362" s="82"/>
      <c r="M362" s="110"/>
      <c r="N362" s="82"/>
      <c r="O362" s="82"/>
      <c r="P362" s="110"/>
      <c r="Q362" s="82"/>
      <c r="R362" s="82"/>
      <c r="S362" s="110"/>
      <c r="T362" s="82"/>
      <c r="U362" s="82"/>
      <c r="V362" s="68"/>
      <c r="W362" s="68"/>
      <c r="X362" s="82"/>
    </row>
    <row r="363" spans="1:24" ht="25.2">
      <c r="A363" s="7" t="s">
        <v>524</v>
      </c>
      <c r="B363" s="565" t="s">
        <v>272</v>
      </c>
      <c r="C363" s="7" t="s">
        <v>188</v>
      </c>
      <c r="D363" s="7" t="s">
        <v>525</v>
      </c>
      <c r="F363" s="7" t="s">
        <v>247</v>
      </c>
      <c r="G363" s="40">
        <v>0</v>
      </c>
      <c r="H363" s="40">
        <v>2000</v>
      </c>
      <c r="I363" s="40">
        <f>G363*H363</f>
        <v>0</v>
      </c>
      <c r="J363" s="111"/>
      <c r="K363" s="40">
        <v>10</v>
      </c>
      <c r="L363" s="40">
        <f>H363*K363</f>
        <v>20000</v>
      </c>
      <c r="M363" s="111"/>
      <c r="N363" s="40">
        <v>0</v>
      </c>
      <c r="O363" s="40">
        <f>H363*N363</f>
        <v>0</v>
      </c>
      <c r="P363" s="111"/>
      <c r="Q363" s="40">
        <v>0</v>
      </c>
      <c r="R363" s="40">
        <f>H363*Q363</f>
        <v>0</v>
      </c>
      <c r="S363" s="111"/>
      <c r="T363" s="40">
        <v>0</v>
      </c>
      <c r="U363" s="40">
        <f>H363*T363</f>
        <v>0</v>
      </c>
      <c r="V363" s="40">
        <f>SUM(R363,O363,L363,I363,U363)</f>
        <v>20000</v>
      </c>
      <c r="W363" s="40" t="s">
        <v>224</v>
      </c>
      <c r="X363" s="40">
        <f>SUM(V363:W363)</f>
        <v>20000</v>
      </c>
    </row>
    <row r="364" spans="1:24" ht="25.2">
      <c r="A364" s="7" t="s">
        <v>524</v>
      </c>
      <c r="B364" s="565" t="s">
        <v>272</v>
      </c>
      <c r="C364" s="7" t="s">
        <v>188</v>
      </c>
      <c r="D364" s="7" t="s">
        <v>526</v>
      </c>
      <c r="F364" s="7" t="s">
        <v>247</v>
      </c>
      <c r="G364" s="40">
        <v>0</v>
      </c>
      <c r="H364" s="40">
        <v>3000</v>
      </c>
      <c r="I364" s="40">
        <f>G364*H364</f>
        <v>0</v>
      </c>
      <c r="J364" s="111"/>
      <c r="K364" s="40">
        <v>1</v>
      </c>
      <c r="L364" s="40">
        <f>H364*K364</f>
        <v>3000</v>
      </c>
      <c r="M364" s="111"/>
      <c r="N364" s="40">
        <v>0</v>
      </c>
      <c r="O364" s="40">
        <f>H364*N364</f>
        <v>0</v>
      </c>
      <c r="P364" s="111"/>
      <c r="Q364" s="40">
        <v>0</v>
      </c>
      <c r="R364" s="40">
        <f>H364*Q364</f>
        <v>0</v>
      </c>
      <c r="S364" s="111"/>
      <c r="T364" s="40">
        <v>0</v>
      </c>
      <c r="U364" s="40">
        <f>H364*T364</f>
        <v>0</v>
      </c>
      <c r="V364" s="40">
        <f>SUM(R364,O364,L364,I364,U364)</f>
        <v>3000</v>
      </c>
      <c r="W364" s="40" t="s">
        <v>224</v>
      </c>
      <c r="X364" s="40">
        <f>SUM(V364:W364)</f>
        <v>3000</v>
      </c>
    </row>
    <row r="365" spans="1:24">
      <c r="A365" s="79"/>
      <c r="B365" s="79"/>
      <c r="C365" s="79"/>
      <c r="D365" s="79" t="s">
        <v>389</v>
      </c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</row>
    <row r="366" spans="1:24">
      <c r="A366" s="7" t="s">
        <v>527</v>
      </c>
      <c r="B366" s="7">
        <v>87000</v>
      </c>
      <c r="C366" s="7" t="s">
        <v>188</v>
      </c>
      <c r="D366" s="7" t="s">
        <v>528</v>
      </c>
      <c r="E366" s="109"/>
      <c r="F366" s="7" t="s">
        <v>392</v>
      </c>
      <c r="G366" s="40">
        <v>0</v>
      </c>
      <c r="H366" s="40">
        <v>5000</v>
      </c>
      <c r="I366" s="40">
        <f>G366*H366</f>
        <v>0</v>
      </c>
      <c r="J366" s="109"/>
      <c r="K366" s="40">
        <v>1</v>
      </c>
      <c r="L366" s="40">
        <f>H366*K366</f>
        <v>5000</v>
      </c>
      <c r="M366" s="109"/>
      <c r="N366" s="40">
        <v>2</v>
      </c>
      <c r="O366" s="40">
        <f>H366*N366</f>
        <v>10000</v>
      </c>
      <c r="P366" s="109"/>
      <c r="Q366" s="40">
        <v>1</v>
      </c>
      <c r="R366" s="40">
        <f>H366*Q366</f>
        <v>5000</v>
      </c>
      <c r="S366" s="109"/>
      <c r="T366" s="40">
        <v>0</v>
      </c>
      <c r="U366" s="40">
        <f>H366*T366</f>
        <v>0</v>
      </c>
      <c r="V366" s="40">
        <f>SUM(R366,O366,L366,I366,U366)</f>
        <v>20000</v>
      </c>
      <c r="W366" s="40" t="s">
        <v>224</v>
      </c>
      <c r="X366" s="40">
        <f>SUM(V366:W366)</f>
        <v>20000</v>
      </c>
    </row>
    <row r="367" spans="1:24">
      <c r="A367" s="37"/>
      <c r="B367" s="37"/>
      <c r="C367" s="37"/>
      <c r="D367" s="37" t="s">
        <v>529</v>
      </c>
      <c r="E367" s="115"/>
      <c r="F367" s="42"/>
      <c r="G367" s="43"/>
      <c r="H367" s="44"/>
      <c r="I367" s="44">
        <f>SUM(I351:I366)</f>
        <v>900</v>
      </c>
      <c r="J367" s="118"/>
      <c r="K367" s="44"/>
      <c r="L367" s="44">
        <f>SUM(L351:L366)</f>
        <v>264440</v>
      </c>
      <c r="M367" s="118"/>
      <c r="N367" s="44"/>
      <c r="O367" s="44">
        <f>SUM(O351:O366)</f>
        <v>66740</v>
      </c>
      <c r="P367" s="118"/>
      <c r="Q367" s="44"/>
      <c r="R367" s="44">
        <f>SUM(R351:R366)</f>
        <v>23120</v>
      </c>
      <c r="S367" s="118"/>
      <c r="T367" s="44"/>
      <c r="U367" s="44">
        <f>SUM(U351:U366)</f>
        <v>1350</v>
      </c>
      <c r="V367" s="44">
        <f>SUM(V351:V366)</f>
        <v>356550</v>
      </c>
      <c r="W367" s="44">
        <f>SUM(W351:W366)</f>
        <v>0</v>
      </c>
      <c r="X367" s="44">
        <f>SUM(X351:X366)</f>
        <v>356550</v>
      </c>
    </row>
    <row r="368" spans="1:24">
      <c r="A368" s="41"/>
      <c r="B368" s="41"/>
      <c r="C368" s="41"/>
      <c r="D368" s="41"/>
      <c r="E368" s="109"/>
      <c r="F368" s="45"/>
      <c r="G368" s="40"/>
      <c r="H368" s="40"/>
      <c r="I368" s="40"/>
      <c r="J368" s="109"/>
      <c r="K368" s="40"/>
      <c r="L368" s="40"/>
      <c r="M368" s="109"/>
      <c r="N368" s="40"/>
      <c r="O368" s="40"/>
      <c r="P368" s="109"/>
      <c r="Q368" s="40"/>
      <c r="R368" s="40"/>
      <c r="S368" s="109"/>
      <c r="T368" s="40"/>
      <c r="U368" s="40"/>
      <c r="V368" s="40"/>
      <c r="W368" s="40"/>
      <c r="X368" s="49"/>
    </row>
    <row r="369" spans="1:27">
      <c r="A369" s="37"/>
      <c r="B369" s="37"/>
      <c r="C369" s="37"/>
      <c r="D369" s="37" t="s">
        <v>530</v>
      </c>
      <c r="E369" s="115"/>
      <c r="F369" s="42"/>
      <c r="G369" s="43"/>
      <c r="H369" s="43"/>
      <c r="I369" s="43"/>
      <c r="J369" s="115"/>
      <c r="K369" s="43"/>
      <c r="L369" s="43"/>
      <c r="M369" s="115"/>
      <c r="N369" s="43"/>
      <c r="O369" s="43"/>
      <c r="P369" s="115"/>
      <c r="Q369" s="43"/>
      <c r="R369" s="43"/>
      <c r="S369" s="115"/>
      <c r="T369" s="43"/>
      <c r="U369" s="43"/>
      <c r="V369" s="43"/>
      <c r="W369" s="43"/>
      <c r="X369" s="43"/>
    </row>
    <row r="370" spans="1:27">
      <c r="A370" s="41" t="s">
        <v>531</v>
      </c>
      <c r="B370" s="41">
        <v>96000</v>
      </c>
      <c r="C370" s="7" t="s">
        <v>188</v>
      </c>
      <c r="D370" s="7" t="s">
        <v>532</v>
      </c>
      <c r="E370" s="109"/>
      <c r="F370" s="45" t="s">
        <v>247</v>
      </c>
      <c r="G370" s="40">
        <v>1</v>
      </c>
      <c r="H370" s="40">
        <f>'Activity 3 Sub Budget 6th Grain'!F63</f>
        <v>3000</v>
      </c>
      <c r="I370" s="40">
        <v>0</v>
      </c>
      <c r="J370" s="109"/>
      <c r="K370" s="40">
        <v>1</v>
      </c>
      <c r="L370" s="40">
        <v>0</v>
      </c>
      <c r="M370" s="109"/>
      <c r="N370" s="40">
        <v>1</v>
      </c>
      <c r="O370" s="40">
        <v>0</v>
      </c>
      <c r="P370" s="109"/>
      <c r="Q370" s="40">
        <v>0</v>
      </c>
      <c r="R370" s="40">
        <v>0</v>
      </c>
      <c r="S370" s="109"/>
      <c r="T370" s="40">
        <v>0</v>
      </c>
      <c r="U370" s="40">
        <v>0</v>
      </c>
      <c r="V370" s="40">
        <v>0</v>
      </c>
      <c r="W370" s="40">
        <f>(G370*H370)+(K370*H370)+(N370*H370)+(H370*Q370)+(T370*H370)</f>
        <v>9000</v>
      </c>
      <c r="X370" s="40">
        <f t="shared" ref="X370:X376" si="432">SUM(V370:W370)</f>
        <v>9000</v>
      </c>
      <c r="Z370" s="525"/>
      <c r="AA370" s="525"/>
    </row>
    <row r="371" spans="1:27">
      <c r="A371" s="41" t="s">
        <v>531</v>
      </c>
      <c r="B371" s="41">
        <v>96000</v>
      </c>
      <c r="C371" s="7" t="s">
        <v>188</v>
      </c>
      <c r="D371" s="7" t="s">
        <v>533</v>
      </c>
      <c r="E371" s="109"/>
      <c r="F371" s="45" t="s">
        <v>139</v>
      </c>
      <c r="G371" s="40">
        <f>G358</f>
        <v>0</v>
      </c>
      <c r="H371" s="40">
        <v>250</v>
      </c>
      <c r="I371" s="40">
        <v>0</v>
      </c>
      <c r="J371" s="111"/>
      <c r="K371" s="40">
        <f>K358</f>
        <v>4</v>
      </c>
      <c r="L371" s="40">
        <v>0</v>
      </c>
      <c r="M371" s="111"/>
      <c r="N371" s="40">
        <f>N358</f>
        <v>0</v>
      </c>
      <c r="O371" s="40">
        <v>0</v>
      </c>
      <c r="P371" s="111"/>
      <c r="Q371" s="40">
        <f>Q358</f>
        <v>0</v>
      </c>
      <c r="R371" s="40">
        <v>0</v>
      </c>
      <c r="S371" s="111"/>
      <c r="T371" s="40">
        <f>T358</f>
        <v>0</v>
      </c>
      <c r="U371" s="40">
        <v>0</v>
      </c>
      <c r="V371" s="40">
        <v>0</v>
      </c>
      <c r="W371" s="40">
        <f t="shared" ref="W371:W376" si="433">(G371*H371)+(K371*H371)+(N371*H371)+(H371*Q371)+(T371*H371)</f>
        <v>1000</v>
      </c>
      <c r="X371" s="40">
        <f t="shared" si="432"/>
        <v>1000</v>
      </c>
      <c r="Z371" s="525"/>
      <c r="AA371" s="525"/>
    </row>
    <row r="372" spans="1:27">
      <c r="A372" s="41" t="s">
        <v>531</v>
      </c>
      <c r="B372" s="41">
        <v>96000</v>
      </c>
      <c r="C372" s="7" t="s">
        <v>188</v>
      </c>
      <c r="D372" s="7" t="s">
        <v>534</v>
      </c>
      <c r="E372" s="109"/>
      <c r="F372" s="45" t="s">
        <v>247</v>
      </c>
      <c r="G372" s="40">
        <v>0</v>
      </c>
      <c r="H372" s="40">
        <v>5000</v>
      </c>
      <c r="I372" s="40">
        <v>0</v>
      </c>
      <c r="J372" s="111"/>
      <c r="K372" s="40">
        <v>1</v>
      </c>
      <c r="L372" s="40">
        <v>0</v>
      </c>
      <c r="M372" s="111"/>
      <c r="N372" s="40">
        <v>0</v>
      </c>
      <c r="O372" s="40">
        <v>0</v>
      </c>
      <c r="P372" s="111"/>
      <c r="Q372" s="40">
        <v>0</v>
      </c>
      <c r="R372" s="40">
        <v>0</v>
      </c>
      <c r="S372" s="111"/>
      <c r="T372" s="40">
        <v>0</v>
      </c>
      <c r="U372" s="40">
        <v>0</v>
      </c>
      <c r="V372" s="40">
        <v>0</v>
      </c>
      <c r="W372" s="40">
        <f t="shared" si="433"/>
        <v>5000</v>
      </c>
      <c r="X372" s="40">
        <f t="shared" si="432"/>
        <v>5000</v>
      </c>
      <c r="Z372" s="525"/>
      <c r="AA372" s="525"/>
    </row>
    <row r="373" spans="1:27">
      <c r="A373" s="41" t="s">
        <v>531</v>
      </c>
      <c r="B373" s="41">
        <v>96000</v>
      </c>
      <c r="C373" s="7" t="s">
        <v>188</v>
      </c>
      <c r="D373" s="7" t="s">
        <v>535</v>
      </c>
      <c r="E373" s="109"/>
      <c r="F373" s="45" t="s">
        <v>139</v>
      </c>
      <c r="G373" s="40">
        <f>G360</f>
        <v>0</v>
      </c>
      <c r="H373" s="40">
        <v>250</v>
      </c>
      <c r="I373" s="40">
        <v>0</v>
      </c>
      <c r="J373" s="111"/>
      <c r="K373" s="40">
        <f>K360</f>
        <v>4</v>
      </c>
      <c r="L373" s="40">
        <v>0</v>
      </c>
      <c r="M373" s="111"/>
      <c r="N373" s="40">
        <f>N360</f>
        <v>4</v>
      </c>
      <c r="O373" s="40">
        <v>0</v>
      </c>
      <c r="P373" s="111"/>
      <c r="Q373" s="40">
        <f>Q360</f>
        <v>0</v>
      </c>
      <c r="R373" s="40">
        <v>0</v>
      </c>
      <c r="S373" s="111"/>
      <c r="T373" s="40">
        <f>T360</f>
        <v>0</v>
      </c>
      <c r="U373" s="40">
        <v>0</v>
      </c>
      <c r="V373" s="40">
        <v>0</v>
      </c>
      <c r="W373" s="40">
        <f t="shared" si="433"/>
        <v>2000</v>
      </c>
      <c r="X373" s="40">
        <f t="shared" si="432"/>
        <v>2000</v>
      </c>
      <c r="Z373" s="525"/>
      <c r="AA373" s="525"/>
    </row>
    <row r="374" spans="1:27">
      <c r="A374" s="41" t="s">
        <v>531</v>
      </c>
      <c r="B374" s="41">
        <v>96000</v>
      </c>
      <c r="C374" s="7" t="s">
        <v>188</v>
      </c>
      <c r="D374" s="7" t="s">
        <v>536</v>
      </c>
      <c r="E374" s="109"/>
      <c r="F374" s="45" t="s">
        <v>247</v>
      </c>
      <c r="G374" s="40">
        <f>G317</f>
        <v>0</v>
      </c>
      <c r="H374" s="40">
        <v>15</v>
      </c>
      <c r="I374" s="40">
        <f>I317</f>
        <v>0</v>
      </c>
      <c r="J374" s="111"/>
      <c r="K374" s="40">
        <f>K317</f>
        <v>0</v>
      </c>
      <c r="L374" s="40">
        <v>0</v>
      </c>
      <c r="M374" s="111"/>
      <c r="N374" s="40">
        <f>N317</f>
        <v>1000</v>
      </c>
      <c r="O374" s="40">
        <v>0</v>
      </c>
      <c r="P374" s="111"/>
      <c r="Q374" s="40">
        <f>Q317</f>
        <v>0</v>
      </c>
      <c r="R374" s="40">
        <v>0</v>
      </c>
      <c r="S374" s="111"/>
      <c r="T374" s="40">
        <f>T317</f>
        <v>0</v>
      </c>
      <c r="U374" s="40">
        <v>0</v>
      </c>
      <c r="V374" s="40">
        <v>0</v>
      </c>
      <c r="W374" s="40">
        <f t="shared" si="433"/>
        <v>15000</v>
      </c>
      <c r="X374" s="40">
        <f t="shared" si="432"/>
        <v>15000</v>
      </c>
      <c r="Z374" s="525"/>
      <c r="AA374" s="525"/>
    </row>
    <row r="375" spans="1:27">
      <c r="A375" s="41" t="s">
        <v>531</v>
      </c>
      <c r="B375" s="41">
        <v>96000</v>
      </c>
      <c r="C375" s="7" t="s">
        <v>188</v>
      </c>
      <c r="D375" s="7" t="s">
        <v>494</v>
      </c>
      <c r="E375" s="109"/>
      <c r="F375" s="45" t="s">
        <v>247</v>
      </c>
      <c r="G375" s="40">
        <f>G339</f>
        <v>0</v>
      </c>
      <c r="H375" s="40">
        <f>(1400+150)/2</f>
        <v>775</v>
      </c>
      <c r="I375" s="40">
        <v>0</v>
      </c>
      <c r="J375" s="111"/>
      <c r="K375" s="40">
        <f>K339</f>
        <v>0</v>
      </c>
      <c r="L375" s="40">
        <v>0</v>
      </c>
      <c r="M375" s="111"/>
      <c r="N375" s="40">
        <f>N339</f>
        <v>10</v>
      </c>
      <c r="O375" s="40">
        <v>0</v>
      </c>
      <c r="P375" s="111"/>
      <c r="Q375" s="40">
        <f>Q339</f>
        <v>0</v>
      </c>
      <c r="R375" s="40">
        <v>0</v>
      </c>
      <c r="S375" s="111"/>
      <c r="T375" s="40">
        <f>T339</f>
        <v>0</v>
      </c>
      <c r="U375" s="40">
        <v>0</v>
      </c>
      <c r="V375" s="40">
        <v>0</v>
      </c>
      <c r="W375" s="40">
        <f>(G375*H375)+(K375*H375)+(N375*H375)+(H375*Q375)+(T375*H375)</f>
        <v>7750</v>
      </c>
      <c r="X375" s="40">
        <f t="shared" si="432"/>
        <v>7750</v>
      </c>
      <c r="Z375" s="525"/>
      <c r="AA375" s="525"/>
    </row>
    <row r="376" spans="1:27">
      <c r="A376" s="41" t="s">
        <v>531</v>
      </c>
      <c r="B376" s="41">
        <v>96000</v>
      </c>
      <c r="C376" s="7" t="s">
        <v>188</v>
      </c>
      <c r="D376" s="7" t="s">
        <v>537</v>
      </c>
      <c r="E376" s="109"/>
      <c r="F376" s="45" t="s">
        <v>392</v>
      </c>
      <c r="G376" s="40">
        <f>G366</f>
        <v>0</v>
      </c>
      <c r="H376" s="40">
        <v>1000</v>
      </c>
      <c r="I376" s="40">
        <v>0</v>
      </c>
      <c r="J376" s="111"/>
      <c r="K376" s="40">
        <f>K366</f>
        <v>1</v>
      </c>
      <c r="L376" s="40">
        <v>0</v>
      </c>
      <c r="M376" s="111"/>
      <c r="N376" s="40">
        <f>N366</f>
        <v>2</v>
      </c>
      <c r="O376" s="40">
        <v>0</v>
      </c>
      <c r="P376" s="111"/>
      <c r="Q376" s="40">
        <f>Q366</f>
        <v>1</v>
      </c>
      <c r="R376" s="40">
        <v>0</v>
      </c>
      <c r="S376" s="111"/>
      <c r="T376" s="40">
        <f>T366</f>
        <v>0</v>
      </c>
      <c r="U376" s="40">
        <v>0</v>
      </c>
      <c r="V376" s="40">
        <v>0</v>
      </c>
      <c r="W376" s="40">
        <f t="shared" si="433"/>
        <v>4000</v>
      </c>
      <c r="X376" s="40">
        <f t="shared" si="432"/>
        <v>4000</v>
      </c>
      <c r="Z376" s="525"/>
      <c r="AA376" s="525"/>
    </row>
    <row r="377" spans="1:27">
      <c r="A377" s="37"/>
      <c r="B377" s="37"/>
      <c r="C377" s="37"/>
      <c r="D377" s="37" t="s">
        <v>538</v>
      </c>
      <c r="E377" s="115"/>
      <c r="F377" s="42"/>
      <c r="G377" s="43"/>
      <c r="H377" s="43"/>
      <c r="I377" s="44">
        <f>SUM(I370:I376)</f>
        <v>0</v>
      </c>
      <c r="J377" s="115"/>
      <c r="K377" s="44"/>
      <c r="L377" s="44">
        <f>SUM(L370:L376)</f>
        <v>0</v>
      </c>
      <c r="M377" s="115"/>
      <c r="N377" s="44"/>
      <c r="O377" s="44">
        <f>SUM(O370:O376)</f>
        <v>0</v>
      </c>
      <c r="P377" s="115"/>
      <c r="Q377" s="44"/>
      <c r="R377" s="44">
        <f>SUM(R370:R376)</f>
        <v>0</v>
      </c>
      <c r="S377" s="115"/>
      <c r="T377" s="44"/>
      <c r="U377" s="44">
        <f>SUM(U370:U376)</f>
        <v>0</v>
      </c>
      <c r="V377" s="44">
        <f>SUM(V370:V376)</f>
        <v>0</v>
      </c>
      <c r="W377" s="44">
        <f>SUM(W370:W376)</f>
        <v>43750</v>
      </c>
      <c r="X377" s="44">
        <f>SUM(X370:X376)</f>
        <v>43750</v>
      </c>
    </row>
    <row r="378" spans="1:27">
      <c r="A378" s="92"/>
      <c r="B378" s="92"/>
      <c r="C378" s="92"/>
      <c r="D378" s="92"/>
      <c r="E378" s="116"/>
      <c r="F378" s="69"/>
      <c r="G378" s="55"/>
      <c r="H378" s="55"/>
      <c r="I378" s="93"/>
      <c r="J378" s="116"/>
      <c r="K378" s="93"/>
      <c r="L378" s="93"/>
      <c r="M378" s="116"/>
      <c r="N378" s="93"/>
      <c r="O378" s="93"/>
      <c r="P378" s="116"/>
      <c r="Q378" s="93"/>
      <c r="R378" s="93"/>
      <c r="S378" s="116"/>
      <c r="T378" s="93"/>
      <c r="U378" s="93"/>
      <c r="V378" s="93"/>
      <c r="W378" s="93"/>
      <c r="X378" s="93"/>
    </row>
    <row r="379" spans="1:27" ht="12.9" thickBot="1">
      <c r="A379" s="533"/>
      <c r="B379" s="533"/>
      <c r="C379" s="533"/>
      <c r="D379" s="533" t="s">
        <v>539</v>
      </c>
      <c r="E379" s="537"/>
      <c r="F379" s="533"/>
      <c r="G379" s="543"/>
      <c r="H379" s="543"/>
      <c r="I379" s="540">
        <f>SUM(I367+I322+I312+I308+I328+I348+I377)</f>
        <v>385860.48450000002</v>
      </c>
      <c r="J379" s="537"/>
      <c r="K379" s="540"/>
      <c r="L379" s="540">
        <f>SUM(L367+L322+L312+L308+L328+L348+L377)</f>
        <v>859982.67408000003</v>
      </c>
      <c r="M379" s="537"/>
      <c r="N379" s="540"/>
      <c r="O379" s="540">
        <f>SUM(O367+O322+O312+O308+O328+O348+O377)</f>
        <v>858378.6538496</v>
      </c>
      <c r="P379" s="537"/>
      <c r="Q379" s="540"/>
      <c r="R379" s="540">
        <f>SUM(R367+R322+R312+R308+R328+R348+R377)</f>
        <v>481158.81631600001</v>
      </c>
      <c r="S379" s="537"/>
      <c r="T379" s="540"/>
      <c r="U379" s="540">
        <f>SUM(U367+U322+U312+U308+U328+U348+U377)</f>
        <v>353591.32063917187</v>
      </c>
      <c r="V379" s="540">
        <f>SUM(V367+V322+V312+V308+V328+V348+V377)</f>
        <v>2938971.9493847722</v>
      </c>
      <c r="W379" s="540">
        <f>SUM(W367+W322+W312+W308+W328+W348+W377)</f>
        <v>43750</v>
      </c>
      <c r="X379" s="540">
        <f>SUM(X367+X322+X312+X308+X328+X348+X377)</f>
        <v>2982721.9493847722</v>
      </c>
      <c r="Y379" s="548"/>
    </row>
    <row r="380" spans="1:27">
      <c r="A380" s="69"/>
      <c r="B380" s="69"/>
      <c r="C380" s="69"/>
      <c r="D380" s="69"/>
      <c r="E380" s="107"/>
      <c r="F380" s="69"/>
      <c r="G380" s="55"/>
      <c r="H380" s="55"/>
      <c r="I380" s="55"/>
      <c r="J380" s="107"/>
      <c r="K380" s="55"/>
      <c r="L380" s="55"/>
      <c r="M380" s="107"/>
      <c r="N380" s="55"/>
      <c r="O380" s="55"/>
      <c r="P380" s="107"/>
      <c r="Q380" s="55"/>
      <c r="R380" s="55"/>
      <c r="S380" s="107"/>
      <c r="T380" s="55"/>
      <c r="U380" s="55"/>
      <c r="V380" s="55"/>
      <c r="W380" s="55"/>
      <c r="X380" s="55"/>
    </row>
    <row r="381" spans="1:27">
      <c r="A381" s="86"/>
      <c r="B381" s="86"/>
      <c r="C381" s="86"/>
      <c r="D381" s="86" t="s">
        <v>540</v>
      </c>
      <c r="E381" s="113"/>
      <c r="F381" s="34"/>
      <c r="G381" s="34"/>
      <c r="H381" s="35"/>
      <c r="I381" s="87"/>
      <c r="J381" s="113"/>
      <c r="K381" s="87"/>
      <c r="L381" s="87"/>
      <c r="M381" s="113"/>
      <c r="N381" s="87"/>
      <c r="O381" s="87"/>
      <c r="P381" s="113"/>
      <c r="Q381" s="87"/>
      <c r="R381" s="87"/>
      <c r="S381" s="113"/>
      <c r="T381" s="87"/>
      <c r="U381" s="87"/>
      <c r="V381" s="87"/>
      <c r="W381" s="88"/>
      <c r="X381" s="87"/>
    </row>
    <row r="382" spans="1:27">
      <c r="A382" s="89"/>
      <c r="B382" s="89"/>
      <c r="C382" s="89"/>
      <c r="D382" s="89" t="s">
        <v>337</v>
      </c>
      <c r="E382" s="114"/>
      <c r="F382" s="90"/>
      <c r="G382" s="91"/>
      <c r="H382" s="91"/>
      <c r="I382" s="91"/>
      <c r="J382" s="114"/>
      <c r="K382" s="91"/>
      <c r="L382" s="91"/>
      <c r="M382" s="114"/>
      <c r="N382" s="91"/>
      <c r="O382" s="91"/>
      <c r="P382" s="114"/>
      <c r="Q382" s="91"/>
      <c r="R382" s="91"/>
      <c r="S382" s="114"/>
      <c r="T382" s="91"/>
      <c r="U382" s="91"/>
      <c r="V382" s="91"/>
      <c r="W382" s="91"/>
      <c r="X382" s="91"/>
    </row>
    <row r="383" spans="1:27">
      <c r="A383" s="41"/>
      <c r="B383" s="41"/>
      <c r="C383" s="41"/>
      <c r="D383" s="41" t="s">
        <v>75</v>
      </c>
      <c r="E383" s="109"/>
      <c r="F383" s="45"/>
      <c r="G383" s="40">
        <v>0</v>
      </c>
      <c r="H383" s="40">
        <v>0</v>
      </c>
      <c r="I383" s="40">
        <f>H383*G383</f>
        <v>0</v>
      </c>
      <c r="J383" s="109"/>
      <c r="K383" s="40"/>
      <c r="L383" s="40">
        <v>0</v>
      </c>
      <c r="M383" s="109"/>
      <c r="N383" s="40"/>
      <c r="O383" s="40">
        <v>0</v>
      </c>
      <c r="P383" s="109"/>
      <c r="Q383" s="40"/>
      <c r="R383" s="40">
        <v>0</v>
      </c>
      <c r="S383" s="109"/>
      <c r="T383" s="40"/>
      <c r="U383" s="40">
        <v>0</v>
      </c>
      <c r="V383" s="40">
        <f>U383+I383+L383+O383+R383</f>
        <v>0</v>
      </c>
      <c r="W383" s="40">
        <v>0</v>
      </c>
      <c r="X383" s="49">
        <f>SUM(V383:W383)</f>
        <v>0</v>
      </c>
    </row>
    <row r="384" spans="1:27">
      <c r="E384" s="109"/>
      <c r="F384" s="46"/>
      <c r="G384" s="40"/>
      <c r="H384" s="40"/>
      <c r="I384" s="40"/>
      <c r="J384" s="109"/>
      <c r="K384" s="40"/>
      <c r="L384" s="40"/>
      <c r="M384" s="109"/>
      <c r="N384" s="40"/>
      <c r="O384" s="40"/>
      <c r="P384" s="109"/>
      <c r="Q384" s="40"/>
      <c r="R384" s="40"/>
      <c r="S384" s="109"/>
      <c r="T384" s="40"/>
      <c r="U384" s="40"/>
      <c r="V384" s="40"/>
      <c r="W384" s="40"/>
      <c r="X384" s="40"/>
    </row>
    <row r="385" spans="1:24" ht="12.9" thickBot="1">
      <c r="A385" s="533"/>
      <c r="B385" s="533"/>
      <c r="C385" s="533"/>
      <c r="D385" s="533" t="s">
        <v>541</v>
      </c>
      <c r="E385" s="537"/>
      <c r="F385" s="533"/>
      <c r="G385" s="543"/>
      <c r="H385" s="543"/>
      <c r="I385" s="540">
        <f>SUM(I383:I383)</f>
        <v>0</v>
      </c>
      <c r="J385" s="537"/>
      <c r="K385" s="540"/>
      <c r="L385" s="540">
        <f>SUM(L383:L383)</f>
        <v>0</v>
      </c>
      <c r="M385" s="537"/>
      <c r="N385" s="540"/>
      <c r="O385" s="540">
        <f>SUM(O383:O383)</f>
        <v>0</v>
      </c>
      <c r="P385" s="537"/>
      <c r="Q385" s="540"/>
      <c r="R385" s="540">
        <f>SUM(R383:R383)</f>
        <v>0</v>
      </c>
      <c r="S385" s="537"/>
      <c r="T385" s="540"/>
      <c r="U385" s="540">
        <f>SUM(U383:U383)</f>
        <v>0</v>
      </c>
      <c r="V385" s="535">
        <f>U385+I385+L385+O385+R385</f>
        <v>0</v>
      </c>
      <c r="W385" s="540">
        <f>SUM(W383:W383)</f>
        <v>0</v>
      </c>
      <c r="X385" s="540">
        <f>SUM(V385:W385)</f>
        <v>0</v>
      </c>
    </row>
    <row r="386" spans="1:24">
      <c r="A386" s="51"/>
      <c r="B386" s="51"/>
      <c r="C386" s="51"/>
      <c r="D386" s="51"/>
      <c r="E386" s="119"/>
      <c r="H386" s="39"/>
      <c r="I386" s="39"/>
      <c r="J386" s="119"/>
      <c r="K386" s="39"/>
      <c r="L386" s="39"/>
      <c r="M386" s="119"/>
      <c r="N386" s="39"/>
      <c r="O386" s="39"/>
      <c r="P386" s="119"/>
      <c r="Q386" s="39"/>
      <c r="R386" s="39"/>
      <c r="S386" s="119"/>
      <c r="T386" s="39"/>
      <c r="U386" s="39"/>
      <c r="V386" s="39"/>
      <c r="W386" s="40"/>
      <c r="X386" s="39"/>
    </row>
    <row r="387" spans="1:24" ht="12.9" thickBot="1">
      <c r="A387" s="544"/>
      <c r="B387" s="544"/>
      <c r="C387" s="544"/>
      <c r="D387" s="544" t="s">
        <v>52</v>
      </c>
      <c r="E387" s="545"/>
      <c r="F387" s="544"/>
      <c r="G387" s="544"/>
      <c r="H387" s="546"/>
      <c r="I387" s="547">
        <f>I385+I379+I282+I211+I135+I125+I110+I91+I86+I60+I43+I37</f>
        <v>2238459.9958000001</v>
      </c>
      <c r="J387" s="545"/>
      <c r="K387" s="547"/>
      <c r="L387" s="547">
        <f>L385+L379+L282+L211+L135+L125+L110+L91+L86+L60+L43+L37</f>
        <v>3425395.5790800005</v>
      </c>
      <c r="M387" s="545"/>
      <c r="N387" s="547"/>
      <c r="O387" s="547">
        <f>O385+O379+O282+O211+O135+O125+O110+O91+O86+O60+O43+O37</f>
        <v>3438404.9624996008</v>
      </c>
      <c r="P387" s="545"/>
      <c r="Q387" s="547"/>
      <c r="R387" s="547">
        <f>R385+R379+R282+R211+R135+R125+R110+R91+R86+R60+R43+R37</f>
        <v>2421819.3947325</v>
      </c>
      <c r="S387" s="545"/>
      <c r="T387" s="547"/>
      <c r="U387" s="547">
        <f>U385+U379+U282+U211+U135+U125+U110+U91+U86+U60+U43+U37</f>
        <v>1728180.7450048726</v>
      </c>
      <c r="V387" s="547">
        <f>V385+V379+V282+V211+V135+V125+V110+V91+V86+V60+V43+V37</f>
        <v>13252260.677116971</v>
      </c>
      <c r="W387" s="547">
        <f>W385+W379+W282+W211+W135+W125+W110+W91+W86+W60+W43+W37</f>
        <v>305226</v>
      </c>
      <c r="X387" s="547">
        <f>W387+V387</f>
        <v>13557486.677116971</v>
      </c>
    </row>
    <row r="388" spans="1:24">
      <c r="A388" s="50"/>
      <c r="B388" s="50"/>
      <c r="C388" s="50"/>
      <c r="D388" s="50"/>
      <c r="E388" s="120"/>
      <c r="H388" s="39"/>
      <c r="I388" s="53"/>
      <c r="J388" s="120"/>
      <c r="K388" s="53"/>
      <c r="L388" s="53"/>
      <c r="M388" s="120"/>
      <c r="N388" s="53"/>
      <c r="O388" s="53"/>
      <c r="P388" s="120"/>
      <c r="Q388" s="53"/>
      <c r="R388" s="53"/>
      <c r="S388" s="120"/>
      <c r="T388" s="53"/>
      <c r="U388" s="53"/>
      <c r="V388" s="53"/>
      <c r="W388" s="53"/>
      <c r="X388" s="53"/>
    </row>
    <row r="389" spans="1:24">
      <c r="A389" s="7" t="s">
        <v>542</v>
      </c>
      <c r="B389" s="7">
        <v>94050</v>
      </c>
      <c r="C389" s="50" t="s">
        <v>188</v>
      </c>
      <c r="D389" s="50" t="s">
        <v>543</v>
      </c>
      <c r="E389" s="120"/>
      <c r="F389" s="51"/>
      <c r="G389" s="51"/>
      <c r="H389" s="56">
        <v>0.2828</v>
      </c>
      <c r="I389" s="53">
        <f>I387*$H$389</f>
        <v>633036.48681223998</v>
      </c>
      <c r="J389" s="120"/>
      <c r="K389" s="53"/>
      <c r="L389" s="53">
        <f>L387*$H$389</f>
        <v>968701.86976382416</v>
      </c>
      <c r="M389" s="120"/>
      <c r="N389" s="53"/>
      <c r="O389" s="53">
        <f>O387*$H$389</f>
        <v>972380.92339488713</v>
      </c>
      <c r="P389" s="120"/>
      <c r="Q389" s="53"/>
      <c r="R389" s="53">
        <f>R387*$H$389</f>
        <v>684890.524830351</v>
      </c>
      <c r="S389" s="120"/>
      <c r="T389" s="53"/>
      <c r="U389" s="53">
        <f>(U387)*$H$389</f>
        <v>488729.51468737796</v>
      </c>
      <c r="V389" s="53">
        <f>SUM(U389+R389,O389,L389,I389)</f>
        <v>3747739.3194886805</v>
      </c>
      <c r="W389" s="53">
        <v>0</v>
      </c>
      <c r="X389" s="53">
        <f>SUM(V389:W389)</f>
        <v>3747739.3194886805</v>
      </c>
    </row>
    <row r="390" spans="1:24">
      <c r="A390" s="94"/>
      <c r="B390" s="94"/>
      <c r="C390" s="94"/>
      <c r="D390" s="94"/>
      <c r="E390" s="121"/>
      <c r="F390" s="95"/>
      <c r="G390" s="30"/>
      <c r="H390" s="38"/>
      <c r="I390" s="96"/>
      <c r="J390" s="121"/>
      <c r="K390" s="96"/>
      <c r="L390" s="96"/>
      <c r="M390" s="121"/>
      <c r="N390" s="96"/>
      <c r="O390" s="96"/>
      <c r="P390" s="121"/>
      <c r="Q390" s="96"/>
      <c r="R390" s="96"/>
      <c r="S390" s="121"/>
      <c r="T390" s="96"/>
      <c r="U390" s="96"/>
      <c r="V390" s="96"/>
      <c r="W390" s="96"/>
      <c r="X390" s="96"/>
    </row>
    <row r="391" spans="1:24" ht="12.9" thickBot="1">
      <c r="A391" s="97"/>
      <c r="B391" s="97"/>
      <c r="C391" s="97"/>
      <c r="D391" s="97" t="s">
        <v>544</v>
      </c>
      <c r="E391" s="122"/>
      <c r="F391" s="97"/>
      <c r="G391" s="97"/>
      <c r="H391" s="98"/>
      <c r="I391" s="99">
        <f>I387+I389</f>
        <v>2871496.4826122401</v>
      </c>
      <c r="J391" s="122"/>
      <c r="K391" s="99"/>
      <c r="L391" s="99">
        <f>L387+L389</f>
        <v>4394097.4488438247</v>
      </c>
      <c r="M391" s="122"/>
      <c r="N391" s="99"/>
      <c r="O391" s="99">
        <f>O387+O389</f>
        <v>4410785.8858944876</v>
      </c>
      <c r="P391" s="122"/>
      <c r="Q391" s="99"/>
      <c r="R391" s="99">
        <f>R387+R389</f>
        <v>3106709.9195628511</v>
      </c>
      <c r="S391" s="122"/>
      <c r="T391" s="99"/>
      <c r="U391" s="99">
        <f>U387+U389</f>
        <v>2216910.2596922508</v>
      </c>
      <c r="V391" s="99">
        <f>U391+I391+L391+O391+R391</f>
        <v>16999999.996605653</v>
      </c>
      <c r="W391" s="99">
        <f>W387+W389</f>
        <v>305226</v>
      </c>
      <c r="X391" s="99">
        <f>SUM(V391:W391)</f>
        <v>17305225.996605653</v>
      </c>
    </row>
    <row r="392" spans="1:24" ht="12.9" thickTop="1">
      <c r="J392" s="111"/>
      <c r="M392" s="111"/>
      <c r="P392" s="111"/>
      <c r="S392" s="111"/>
    </row>
    <row r="393" spans="1:24">
      <c r="J393" s="111"/>
      <c r="M393" s="111"/>
      <c r="P393" s="111"/>
      <c r="S393" s="111"/>
    </row>
    <row r="394" spans="1:24">
      <c r="J394" s="111"/>
      <c r="M394" s="111"/>
      <c r="P394" s="111"/>
      <c r="S394" s="111"/>
    </row>
    <row r="395" spans="1:24">
      <c r="J395" s="111"/>
      <c r="M395" s="111"/>
      <c r="P395" s="111"/>
      <c r="S395" s="111"/>
      <c r="W395" s="528"/>
    </row>
    <row r="396" spans="1:24">
      <c r="A396" s="24"/>
      <c r="B396" s="24"/>
      <c r="C396" s="24"/>
      <c r="D396" s="24"/>
      <c r="E396" s="123"/>
      <c r="J396" s="123"/>
      <c r="M396" s="123"/>
      <c r="P396" s="123"/>
      <c r="S396" s="123"/>
    </row>
    <row r="397" spans="1:24">
      <c r="A397" s="24"/>
      <c r="B397" s="24"/>
      <c r="C397" s="24"/>
      <c r="D397" s="24"/>
      <c r="E397" s="124"/>
      <c r="J397" s="124"/>
      <c r="M397" s="124"/>
      <c r="P397" s="124"/>
      <c r="S397" s="124"/>
    </row>
    <row r="398" spans="1:24">
      <c r="A398" s="100"/>
      <c r="B398" s="100"/>
      <c r="C398" s="100"/>
      <c r="D398" s="100"/>
      <c r="J398" s="111"/>
      <c r="M398" s="111"/>
      <c r="P398" s="111"/>
      <c r="S398" s="111"/>
    </row>
    <row r="399" spans="1:24">
      <c r="A399" s="100"/>
      <c r="B399" s="100"/>
      <c r="C399" s="100"/>
      <c r="D399" s="100"/>
    </row>
  </sheetData>
  <mergeCells count="5">
    <mergeCell ref="D1:X1"/>
    <mergeCell ref="D3:X3"/>
    <mergeCell ref="D4:X4"/>
    <mergeCell ref="D5:E5"/>
    <mergeCell ref="D2:X2"/>
  </mergeCells>
  <phoneticPr fontId="8" type="noConversion"/>
  <pageMargins left="0.7" right="0.7" top="0.75" bottom="0.75" header="0.3" footer="0.3"/>
  <pageSetup scale="10" orientation="landscape" r:id="rId1"/>
  <headerFooter alignWithMargins="0"/>
  <rowBreaks count="1" manualBreakCount="1">
    <brk id="136" min="3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3903-1AC1-44AF-A667-F7BEE653CD8C}">
  <sheetPr>
    <tabColor theme="5" tint="0.59999389629810485"/>
    <pageSetUpPr fitToPage="1"/>
  </sheetPr>
  <dimension ref="A2:AJ66"/>
  <sheetViews>
    <sheetView showOutlineSymbols="0" showWhiteSpace="0" zoomScale="70" zoomScaleNormal="70" workbookViewId="0">
      <pane xSplit="2" ySplit="4" topLeftCell="C5" activePane="bottomRight" state="frozen"/>
      <selection pane="topRight"/>
      <selection pane="bottomLeft"/>
      <selection pane="bottomRight" activeCell="H40" sqref="H40"/>
    </sheetView>
  </sheetViews>
  <sheetFormatPr defaultRowHeight="14.4" outlineLevelRow="1" outlineLevelCol="1"/>
  <cols>
    <col min="1" max="1" width="58.71875" style="142" customWidth="1"/>
    <col min="2" max="2" width="9.1640625" style="142" customWidth="1"/>
    <col min="3" max="3" width="15" style="460" bestFit="1" customWidth="1" outlineLevel="1"/>
    <col min="4" max="4" width="9.1640625" style="144" customWidth="1" outlineLevel="1"/>
    <col min="5" max="5" width="9.1640625" style="145" customWidth="1" outlineLevel="1"/>
    <col min="6" max="6" width="12.1640625" style="142" bestFit="1" customWidth="1"/>
    <col min="7" max="7" width="15.27734375" style="460" customWidth="1" outlineLevel="1"/>
    <col min="8" max="8" width="15.27734375" style="144" customWidth="1" outlineLevel="1"/>
    <col min="9" max="9" width="15.27734375" style="461" customWidth="1" outlineLevel="1"/>
    <col min="10" max="10" width="15.27734375" style="460" customWidth="1"/>
    <col min="11" max="11" width="15.27734375" style="460" customWidth="1" outlineLevel="1"/>
    <col min="12" max="12" width="15.27734375" style="144" customWidth="1" outlineLevel="1"/>
    <col min="13" max="13" width="15.27734375" style="145" customWidth="1" outlineLevel="1"/>
    <col min="14" max="14" width="15.27734375" style="460" customWidth="1"/>
    <col min="15" max="15" width="15.27734375" style="460" customWidth="1" outlineLevel="1"/>
    <col min="16" max="16" width="15.27734375" style="144" customWidth="1" outlineLevel="1"/>
    <col min="17" max="17" width="15.27734375" style="461" customWidth="1" outlineLevel="1"/>
    <col min="18" max="18" width="15.71875" style="460" customWidth="1"/>
    <col min="19" max="19" width="15.27734375" style="460" customWidth="1" outlineLevel="1"/>
    <col min="20" max="20" width="15.27734375" style="144" customWidth="1" outlineLevel="1"/>
    <col min="21" max="21" width="15.27734375" style="461" customWidth="1" outlineLevel="1"/>
    <col min="22" max="22" width="16.1640625" style="460" customWidth="1"/>
    <col min="23" max="23" width="17.44140625" style="460" customWidth="1"/>
    <col min="24" max="24" width="9.1640625" style="142" customWidth="1"/>
    <col min="25" max="25" width="8.71875" style="142" customWidth="1"/>
    <col min="26" max="26" width="10.83203125" style="142" customWidth="1"/>
    <col min="27" max="27" width="8.71875" style="142" customWidth="1"/>
    <col min="28" max="28" width="10.83203125" style="142" customWidth="1"/>
    <col min="29" max="29" width="4.83203125" style="142" customWidth="1"/>
    <col min="30" max="30" width="4.83203125" style="142" hidden="1" customWidth="1"/>
    <col min="31" max="31" width="6.83203125" style="462" hidden="1" customWidth="1"/>
    <col min="32" max="32" width="19.27734375" style="142" hidden="1" customWidth="1"/>
    <col min="33" max="33" width="33.83203125" style="142" hidden="1" customWidth="1"/>
    <col min="34" max="34" width="9.71875" style="142" hidden="1" customWidth="1"/>
    <col min="35" max="35" width="9.71875" style="142" customWidth="1"/>
    <col min="36" max="36" width="14.27734375" style="142" customWidth="1"/>
    <col min="37" max="264" width="8.83203125" style="142"/>
    <col min="265" max="265" width="38.27734375" style="142" customWidth="1"/>
    <col min="266" max="266" width="23.44140625" style="142" bestFit="1" customWidth="1"/>
    <col min="267" max="268" width="9.1640625" style="142" customWidth="1"/>
    <col min="269" max="269" width="11.27734375" style="142" bestFit="1" customWidth="1"/>
    <col min="270" max="270" width="14.44140625" style="142" bestFit="1" customWidth="1"/>
    <col min="271" max="271" width="8.1640625" style="142" customWidth="1"/>
    <col min="272" max="272" width="10.83203125" style="142" bestFit="1" customWidth="1"/>
    <col min="273" max="273" width="12.27734375" style="142" bestFit="1" customWidth="1"/>
    <col min="274" max="274" width="9.1640625" style="142" customWidth="1"/>
    <col min="275" max="275" width="10.83203125" style="142" bestFit="1" customWidth="1"/>
    <col min="276" max="276" width="12.27734375" style="142" bestFit="1" customWidth="1"/>
    <col min="277" max="277" width="8" style="142" customWidth="1"/>
    <col min="278" max="278" width="10.83203125" style="142" bestFit="1" customWidth="1"/>
    <col min="279" max="279" width="12.27734375" style="142" bestFit="1" customWidth="1"/>
    <col min="280" max="280" width="8.1640625" style="142" bestFit="1" customWidth="1"/>
    <col min="281" max="281" width="10.83203125" style="142" bestFit="1" customWidth="1"/>
    <col min="282" max="282" width="12.27734375" style="142" bestFit="1" customWidth="1"/>
    <col min="283" max="283" width="18.27734375" style="142" bestFit="1" customWidth="1"/>
    <col min="284" max="284" width="10.83203125" style="142" bestFit="1" customWidth="1"/>
    <col min="285" max="520" width="8.83203125" style="142"/>
    <col min="521" max="521" width="38.27734375" style="142" customWidth="1"/>
    <col min="522" max="522" width="23.44140625" style="142" bestFit="1" customWidth="1"/>
    <col min="523" max="524" width="9.1640625" style="142" customWidth="1"/>
    <col min="525" max="525" width="11.27734375" style="142" bestFit="1" customWidth="1"/>
    <col min="526" max="526" width="14.44140625" style="142" bestFit="1" customWidth="1"/>
    <col min="527" max="527" width="8.1640625" style="142" customWidth="1"/>
    <col min="528" max="528" width="10.83203125" style="142" bestFit="1" customWidth="1"/>
    <col min="529" max="529" width="12.27734375" style="142" bestFit="1" customWidth="1"/>
    <col min="530" max="530" width="9.1640625" style="142" customWidth="1"/>
    <col min="531" max="531" width="10.83203125" style="142" bestFit="1" customWidth="1"/>
    <col min="532" max="532" width="12.27734375" style="142" bestFit="1" customWidth="1"/>
    <col min="533" max="533" width="8" style="142" customWidth="1"/>
    <col min="534" max="534" width="10.83203125" style="142" bestFit="1" customWidth="1"/>
    <col min="535" max="535" width="12.27734375" style="142" bestFit="1" customWidth="1"/>
    <col min="536" max="536" width="8.1640625" style="142" bestFit="1" customWidth="1"/>
    <col min="537" max="537" width="10.83203125" style="142" bestFit="1" customWidth="1"/>
    <col min="538" max="538" width="12.27734375" style="142" bestFit="1" customWidth="1"/>
    <col min="539" max="539" width="18.27734375" style="142" bestFit="1" customWidth="1"/>
    <col min="540" max="540" width="10.83203125" style="142" bestFit="1" customWidth="1"/>
    <col min="541" max="776" width="8.83203125" style="142"/>
    <col min="777" max="777" width="38.27734375" style="142" customWidth="1"/>
    <col min="778" max="778" width="23.44140625" style="142" bestFit="1" customWidth="1"/>
    <col min="779" max="780" width="9.1640625" style="142" customWidth="1"/>
    <col min="781" max="781" width="11.27734375" style="142" bestFit="1" customWidth="1"/>
    <col min="782" max="782" width="14.44140625" style="142" bestFit="1" customWidth="1"/>
    <col min="783" max="783" width="8.1640625" style="142" customWidth="1"/>
    <col min="784" max="784" width="10.83203125" style="142" bestFit="1" customWidth="1"/>
    <col min="785" max="785" width="12.27734375" style="142" bestFit="1" customWidth="1"/>
    <col min="786" max="786" width="9.1640625" style="142" customWidth="1"/>
    <col min="787" max="787" width="10.83203125" style="142" bestFit="1" customWidth="1"/>
    <col min="788" max="788" width="12.27734375" style="142" bestFit="1" customWidth="1"/>
    <col min="789" max="789" width="8" style="142" customWidth="1"/>
    <col min="790" max="790" width="10.83203125" style="142" bestFit="1" customWidth="1"/>
    <col min="791" max="791" width="12.27734375" style="142" bestFit="1" customWidth="1"/>
    <col min="792" max="792" width="8.1640625" style="142" bestFit="1" customWidth="1"/>
    <col min="793" max="793" width="10.83203125" style="142" bestFit="1" customWidth="1"/>
    <col min="794" max="794" width="12.27734375" style="142" bestFit="1" customWidth="1"/>
    <col min="795" max="795" width="18.27734375" style="142" bestFit="1" customWidth="1"/>
    <col min="796" max="796" width="10.83203125" style="142" bestFit="1" customWidth="1"/>
    <col min="797" max="1032" width="8.83203125" style="142"/>
    <col min="1033" max="1033" width="38.27734375" style="142" customWidth="1"/>
    <col min="1034" max="1034" width="23.44140625" style="142" bestFit="1" customWidth="1"/>
    <col min="1035" max="1036" width="9.1640625" style="142" customWidth="1"/>
    <col min="1037" max="1037" width="11.27734375" style="142" bestFit="1" customWidth="1"/>
    <col min="1038" max="1038" width="14.44140625" style="142" bestFit="1" customWidth="1"/>
    <col min="1039" max="1039" width="8.1640625" style="142" customWidth="1"/>
    <col min="1040" max="1040" width="10.83203125" style="142" bestFit="1" customWidth="1"/>
    <col min="1041" max="1041" width="12.27734375" style="142" bestFit="1" customWidth="1"/>
    <col min="1042" max="1042" width="9.1640625" style="142" customWidth="1"/>
    <col min="1043" max="1043" width="10.83203125" style="142" bestFit="1" customWidth="1"/>
    <col min="1044" max="1044" width="12.27734375" style="142" bestFit="1" customWidth="1"/>
    <col min="1045" max="1045" width="8" style="142" customWidth="1"/>
    <col min="1046" max="1046" width="10.83203125" style="142" bestFit="1" customWidth="1"/>
    <col min="1047" max="1047" width="12.27734375" style="142" bestFit="1" customWidth="1"/>
    <col min="1048" max="1048" width="8.1640625" style="142" bestFit="1" customWidth="1"/>
    <col min="1049" max="1049" width="10.83203125" style="142" bestFit="1" customWidth="1"/>
    <col min="1050" max="1050" width="12.27734375" style="142" bestFit="1" customWidth="1"/>
    <col min="1051" max="1051" width="18.27734375" style="142" bestFit="1" customWidth="1"/>
    <col min="1052" max="1052" width="10.83203125" style="142" bestFit="1" customWidth="1"/>
    <col min="1053" max="1288" width="8.83203125" style="142"/>
    <col min="1289" max="1289" width="38.27734375" style="142" customWidth="1"/>
    <col min="1290" max="1290" width="23.44140625" style="142" bestFit="1" customWidth="1"/>
    <col min="1291" max="1292" width="9.1640625" style="142" customWidth="1"/>
    <col min="1293" max="1293" width="11.27734375" style="142" bestFit="1" customWidth="1"/>
    <col min="1294" max="1294" width="14.44140625" style="142" bestFit="1" customWidth="1"/>
    <col min="1295" max="1295" width="8.1640625" style="142" customWidth="1"/>
    <col min="1296" max="1296" width="10.83203125" style="142" bestFit="1" customWidth="1"/>
    <col min="1297" max="1297" width="12.27734375" style="142" bestFit="1" customWidth="1"/>
    <col min="1298" max="1298" width="9.1640625" style="142" customWidth="1"/>
    <col min="1299" max="1299" width="10.83203125" style="142" bestFit="1" customWidth="1"/>
    <col min="1300" max="1300" width="12.27734375" style="142" bestFit="1" customWidth="1"/>
    <col min="1301" max="1301" width="8" style="142" customWidth="1"/>
    <col min="1302" max="1302" width="10.83203125" style="142" bestFit="1" customWidth="1"/>
    <col min="1303" max="1303" width="12.27734375" style="142" bestFit="1" customWidth="1"/>
    <col min="1304" max="1304" width="8.1640625" style="142" bestFit="1" customWidth="1"/>
    <col min="1305" max="1305" width="10.83203125" style="142" bestFit="1" customWidth="1"/>
    <col min="1306" max="1306" width="12.27734375" style="142" bestFit="1" customWidth="1"/>
    <col min="1307" max="1307" width="18.27734375" style="142" bestFit="1" customWidth="1"/>
    <col min="1308" max="1308" width="10.83203125" style="142" bestFit="1" customWidth="1"/>
    <col min="1309" max="1544" width="8.83203125" style="142"/>
    <col min="1545" max="1545" width="38.27734375" style="142" customWidth="1"/>
    <col min="1546" max="1546" width="23.44140625" style="142" bestFit="1" customWidth="1"/>
    <col min="1547" max="1548" width="9.1640625" style="142" customWidth="1"/>
    <col min="1549" max="1549" width="11.27734375" style="142" bestFit="1" customWidth="1"/>
    <col min="1550" max="1550" width="14.44140625" style="142" bestFit="1" customWidth="1"/>
    <col min="1551" max="1551" width="8.1640625" style="142" customWidth="1"/>
    <col min="1552" max="1552" width="10.83203125" style="142" bestFit="1" customWidth="1"/>
    <col min="1553" max="1553" width="12.27734375" style="142" bestFit="1" customWidth="1"/>
    <col min="1554" max="1554" width="9.1640625" style="142" customWidth="1"/>
    <col min="1555" max="1555" width="10.83203125" style="142" bestFit="1" customWidth="1"/>
    <col min="1556" max="1556" width="12.27734375" style="142" bestFit="1" customWidth="1"/>
    <col min="1557" max="1557" width="8" style="142" customWidth="1"/>
    <col min="1558" max="1558" width="10.83203125" style="142" bestFit="1" customWidth="1"/>
    <col min="1559" max="1559" width="12.27734375" style="142" bestFit="1" customWidth="1"/>
    <col min="1560" max="1560" width="8.1640625" style="142" bestFit="1" customWidth="1"/>
    <col min="1561" max="1561" width="10.83203125" style="142" bestFit="1" customWidth="1"/>
    <col min="1562" max="1562" width="12.27734375" style="142" bestFit="1" customWidth="1"/>
    <col min="1563" max="1563" width="18.27734375" style="142" bestFit="1" customWidth="1"/>
    <col min="1564" max="1564" width="10.83203125" style="142" bestFit="1" customWidth="1"/>
    <col min="1565" max="1800" width="8.83203125" style="142"/>
    <col min="1801" max="1801" width="38.27734375" style="142" customWidth="1"/>
    <col min="1802" max="1802" width="23.44140625" style="142" bestFit="1" customWidth="1"/>
    <col min="1803" max="1804" width="9.1640625" style="142" customWidth="1"/>
    <col min="1805" max="1805" width="11.27734375" style="142" bestFit="1" customWidth="1"/>
    <col min="1806" max="1806" width="14.44140625" style="142" bestFit="1" customWidth="1"/>
    <col min="1807" max="1807" width="8.1640625" style="142" customWidth="1"/>
    <col min="1808" max="1808" width="10.83203125" style="142" bestFit="1" customWidth="1"/>
    <col min="1809" max="1809" width="12.27734375" style="142" bestFit="1" customWidth="1"/>
    <col min="1810" max="1810" width="9.1640625" style="142" customWidth="1"/>
    <col min="1811" max="1811" width="10.83203125" style="142" bestFit="1" customWidth="1"/>
    <col min="1812" max="1812" width="12.27734375" style="142" bestFit="1" customWidth="1"/>
    <col min="1813" max="1813" width="8" style="142" customWidth="1"/>
    <col min="1814" max="1814" width="10.83203125" style="142" bestFit="1" customWidth="1"/>
    <col min="1815" max="1815" width="12.27734375" style="142" bestFit="1" customWidth="1"/>
    <col min="1816" max="1816" width="8.1640625" style="142" bestFit="1" customWidth="1"/>
    <col min="1817" max="1817" width="10.83203125" style="142" bestFit="1" customWidth="1"/>
    <col min="1818" max="1818" width="12.27734375" style="142" bestFit="1" customWidth="1"/>
    <col min="1819" max="1819" width="18.27734375" style="142" bestFit="1" customWidth="1"/>
    <col min="1820" max="1820" width="10.83203125" style="142" bestFit="1" customWidth="1"/>
    <col min="1821" max="2056" width="8.83203125" style="142"/>
    <col min="2057" max="2057" width="38.27734375" style="142" customWidth="1"/>
    <col min="2058" max="2058" width="23.44140625" style="142" bestFit="1" customWidth="1"/>
    <col min="2059" max="2060" width="9.1640625" style="142" customWidth="1"/>
    <col min="2061" max="2061" width="11.27734375" style="142" bestFit="1" customWidth="1"/>
    <col min="2062" max="2062" width="14.44140625" style="142" bestFit="1" customWidth="1"/>
    <col min="2063" max="2063" width="8.1640625" style="142" customWidth="1"/>
    <col min="2064" max="2064" width="10.83203125" style="142" bestFit="1" customWidth="1"/>
    <col min="2065" max="2065" width="12.27734375" style="142" bestFit="1" customWidth="1"/>
    <col min="2066" max="2066" width="9.1640625" style="142" customWidth="1"/>
    <col min="2067" max="2067" width="10.83203125" style="142" bestFit="1" customWidth="1"/>
    <col min="2068" max="2068" width="12.27734375" style="142" bestFit="1" customWidth="1"/>
    <col min="2069" max="2069" width="8" style="142" customWidth="1"/>
    <col min="2070" max="2070" width="10.83203125" style="142" bestFit="1" customWidth="1"/>
    <col min="2071" max="2071" width="12.27734375" style="142" bestFit="1" customWidth="1"/>
    <col min="2072" max="2072" width="8.1640625" style="142" bestFit="1" customWidth="1"/>
    <col min="2073" max="2073" width="10.83203125" style="142" bestFit="1" customWidth="1"/>
    <col min="2074" max="2074" width="12.27734375" style="142" bestFit="1" customWidth="1"/>
    <col min="2075" max="2075" width="18.27734375" style="142" bestFit="1" customWidth="1"/>
    <col min="2076" max="2076" width="10.83203125" style="142" bestFit="1" customWidth="1"/>
    <col min="2077" max="2312" width="8.83203125" style="142"/>
    <col min="2313" max="2313" width="38.27734375" style="142" customWidth="1"/>
    <col min="2314" max="2314" width="23.44140625" style="142" bestFit="1" customWidth="1"/>
    <col min="2315" max="2316" width="9.1640625" style="142" customWidth="1"/>
    <col min="2317" max="2317" width="11.27734375" style="142" bestFit="1" customWidth="1"/>
    <col min="2318" max="2318" width="14.44140625" style="142" bestFit="1" customWidth="1"/>
    <col min="2319" max="2319" width="8.1640625" style="142" customWidth="1"/>
    <col min="2320" max="2320" width="10.83203125" style="142" bestFit="1" customWidth="1"/>
    <col min="2321" max="2321" width="12.27734375" style="142" bestFit="1" customWidth="1"/>
    <col min="2322" max="2322" width="9.1640625" style="142" customWidth="1"/>
    <col min="2323" max="2323" width="10.83203125" style="142" bestFit="1" customWidth="1"/>
    <col min="2324" max="2324" width="12.27734375" style="142" bestFit="1" customWidth="1"/>
    <col min="2325" max="2325" width="8" style="142" customWidth="1"/>
    <col min="2326" max="2326" width="10.83203125" style="142" bestFit="1" customWidth="1"/>
    <col min="2327" max="2327" width="12.27734375" style="142" bestFit="1" customWidth="1"/>
    <col min="2328" max="2328" width="8.1640625" style="142" bestFit="1" customWidth="1"/>
    <col min="2329" max="2329" width="10.83203125" style="142" bestFit="1" customWidth="1"/>
    <col min="2330" max="2330" width="12.27734375" style="142" bestFit="1" customWidth="1"/>
    <col min="2331" max="2331" width="18.27734375" style="142" bestFit="1" customWidth="1"/>
    <col min="2332" max="2332" width="10.83203125" style="142" bestFit="1" customWidth="1"/>
    <col min="2333" max="2568" width="8.83203125" style="142"/>
    <col min="2569" max="2569" width="38.27734375" style="142" customWidth="1"/>
    <col min="2570" max="2570" width="23.44140625" style="142" bestFit="1" customWidth="1"/>
    <col min="2571" max="2572" width="9.1640625" style="142" customWidth="1"/>
    <col min="2573" max="2573" width="11.27734375" style="142" bestFit="1" customWidth="1"/>
    <col min="2574" max="2574" width="14.44140625" style="142" bestFit="1" customWidth="1"/>
    <col min="2575" max="2575" width="8.1640625" style="142" customWidth="1"/>
    <col min="2576" max="2576" width="10.83203125" style="142" bestFit="1" customWidth="1"/>
    <col min="2577" max="2577" width="12.27734375" style="142" bestFit="1" customWidth="1"/>
    <col min="2578" max="2578" width="9.1640625" style="142" customWidth="1"/>
    <col min="2579" max="2579" width="10.83203125" style="142" bestFit="1" customWidth="1"/>
    <col min="2580" max="2580" width="12.27734375" style="142" bestFit="1" customWidth="1"/>
    <col min="2581" max="2581" width="8" style="142" customWidth="1"/>
    <col min="2582" max="2582" width="10.83203125" style="142" bestFit="1" customWidth="1"/>
    <col min="2583" max="2583" width="12.27734375" style="142" bestFit="1" customWidth="1"/>
    <col min="2584" max="2584" width="8.1640625" style="142" bestFit="1" customWidth="1"/>
    <col min="2585" max="2585" width="10.83203125" style="142" bestFit="1" customWidth="1"/>
    <col min="2586" max="2586" width="12.27734375" style="142" bestFit="1" customWidth="1"/>
    <col min="2587" max="2587" width="18.27734375" style="142" bestFit="1" customWidth="1"/>
    <col min="2588" max="2588" width="10.83203125" style="142" bestFit="1" customWidth="1"/>
    <col min="2589" max="2824" width="8.83203125" style="142"/>
    <col min="2825" max="2825" width="38.27734375" style="142" customWidth="1"/>
    <col min="2826" max="2826" width="23.44140625" style="142" bestFit="1" customWidth="1"/>
    <col min="2827" max="2828" width="9.1640625" style="142" customWidth="1"/>
    <col min="2829" max="2829" width="11.27734375" style="142" bestFit="1" customWidth="1"/>
    <col min="2830" max="2830" width="14.44140625" style="142" bestFit="1" customWidth="1"/>
    <col min="2831" max="2831" width="8.1640625" style="142" customWidth="1"/>
    <col min="2832" max="2832" width="10.83203125" style="142" bestFit="1" customWidth="1"/>
    <col min="2833" max="2833" width="12.27734375" style="142" bestFit="1" customWidth="1"/>
    <col min="2834" max="2834" width="9.1640625" style="142" customWidth="1"/>
    <col min="2835" max="2835" width="10.83203125" style="142" bestFit="1" customWidth="1"/>
    <col min="2836" max="2836" width="12.27734375" style="142" bestFit="1" customWidth="1"/>
    <col min="2837" max="2837" width="8" style="142" customWidth="1"/>
    <col min="2838" max="2838" width="10.83203125" style="142" bestFit="1" customWidth="1"/>
    <col min="2839" max="2839" width="12.27734375" style="142" bestFit="1" customWidth="1"/>
    <col min="2840" max="2840" width="8.1640625" style="142" bestFit="1" customWidth="1"/>
    <col min="2841" max="2841" width="10.83203125" style="142" bestFit="1" customWidth="1"/>
    <col min="2842" max="2842" width="12.27734375" style="142" bestFit="1" customWidth="1"/>
    <col min="2843" max="2843" width="18.27734375" style="142" bestFit="1" customWidth="1"/>
    <col min="2844" max="2844" width="10.83203125" style="142" bestFit="1" customWidth="1"/>
    <col min="2845" max="3080" width="8.83203125" style="142"/>
    <col min="3081" max="3081" width="38.27734375" style="142" customWidth="1"/>
    <col min="3082" max="3082" width="23.44140625" style="142" bestFit="1" customWidth="1"/>
    <col min="3083" max="3084" width="9.1640625" style="142" customWidth="1"/>
    <col min="3085" max="3085" width="11.27734375" style="142" bestFit="1" customWidth="1"/>
    <col min="3086" max="3086" width="14.44140625" style="142" bestFit="1" customWidth="1"/>
    <col min="3087" max="3087" width="8.1640625" style="142" customWidth="1"/>
    <col min="3088" max="3088" width="10.83203125" style="142" bestFit="1" customWidth="1"/>
    <col min="3089" max="3089" width="12.27734375" style="142" bestFit="1" customWidth="1"/>
    <col min="3090" max="3090" width="9.1640625" style="142" customWidth="1"/>
    <col min="3091" max="3091" width="10.83203125" style="142" bestFit="1" customWidth="1"/>
    <col min="3092" max="3092" width="12.27734375" style="142" bestFit="1" customWidth="1"/>
    <col min="3093" max="3093" width="8" style="142" customWidth="1"/>
    <col min="3094" max="3094" width="10.83203125" style="142" bestFit="1" customWidth="1"/>
    <col min="3095" max="3095" width="12.27734375" style="142" bestFit="1" customWidth="1"/>
    <col min="3096" max="3096" width="8.1640625" style="142" bestFit="1" customWidth="1"/>
    <col min="3097" max="3097" width="10.83203125" style="142" bestFit="1" customWidth="1"/>
    <col min="3098" max="3098" width="12.27734375" style="142" bestFit="1" customWidth="1"/>
    <col min="3099" max="3099" width="18.27734375" style="142" bestFit="1" customWidth="1"/>
    <col min="3100" max="3100" width="10.83203125" style="142" bestFit="1" customWidth="1"/>
    <col min="3101" max="3336" width="8.83203125" style="142"/>
    <col min="3337" max="3337" width="38.27734375" style="142" customWidth="1"/>
    <col min="3338" max="3338" width="23.44140625" style="142" bestFit="1" customWidth="1"/>
    <col min="3339" max="3340" width="9.1640625" style="142" customWidth="1"/>
    <col min="3341" max="3341" width="11.27734375" style="142" bestFit="1" customWidth="1"/>
    <col min="3342" max="3342" width="14.44140625" style="142" bestFit="1" customWidth="1"/>
    <col min="3343" max="3343" width="8.1640625" style="142" customWidth="1"/>
    <col min="3344" max="3344" width="10.83203125" style="142" bestFit="1" customWidth="1"/>
    <col min="3345" max="3345" width="12.27734375" style="142" bestFit="1" customWidth="1"/>
    <col min="3346" max="3346" width="9.1640625" style="142" customWidth="1"/>
    <col min="3347" max="3347" width="10.83203125" style="142" bestFit="1" customWidth="1"/>
    <col min="3348" max="3348" width="12.27734375" style="142" bestFit="1" customWidth="1"/>
    <col min="3349" max="3349" width="8" style="142" customWidth="1"/>
    <col min="3350" max="3350" width="10.83203125" style="142" bestFit="1" customWidth="1"/>
    <col min="3351" max="3351" width="12.27734375" style="142" bestFit="1" customWidth="1"/>
    <col min="3352" max="3352" width="8.1640625" style="142" bestFit="1" customWidth="1"/>
    <col min="3353" max="3353" width="10.83203125" style="142" bestFit="1" customWidth="1"/>
    <col min="3354" max="3354" width="12.27734375" style="142" bestFit="1" customWidth="1"/>
    <col min="3355" max="3355" width="18.27734375" style="142" bestFit="1" customWidth="1"/>
    <col min="3356" max="3356" width="10.83203125" style="142" bestFit="1" customWidth="1"/>
    <col min="3357" max="3592" width="8.83203125" style="142"/>
    <col min="3593" max="3593" width="38.27734375" style="142" customWidth="1"/>
    <col min="3594" max="3594" width="23.44140625" style="142" bestFit="1" customWidth="1"/>
    <col min="3595" max="3596" width="9.1640625" style="142" customWidth="1"/>
    <col min="3597" max="3597" width="11.27734375" style="142" bestFit="1" customWidth="1"/>
    <col min="3598" max="3598" width="14.44140625" style="142" bestFit="1" customWidth="1"/>
    <col min="3599" max="3599" width="8.1640625" style="142" customWidth="1"/>
    <col min="3600" max="3600" width="10.83203125" style="142" bestFit="1" customWidth="1"/>
    <col min="3601" max="3601" width="12.27734375" style="142" bestFit="1" customWidth="1"/>
    <col min="3602" max="3602" width="9.1640625" style="142" customWidth="1"/>
    <col min="3603" max="3603" width="10.83203125" style="142" bestFit="1" customWidth="1"/>
    <col min="3604" max="3604" width="12.27734375" style="142" bestFit="1" customWidth="1"/>
    <col min="3605" max="3605" width="8" style="142" customWidth="1"/>
    <col min="3606" max="3606" width="10.83203125" style="142" bestFit="1" customWidth="1"/>
    <col min="3607" max="3607" width="12.27734375" style="142" bestFit="1" customWidth="1"/>
    <col min="3608" max="3608" width="8.1640625" style="142" bestFit="1" customWidth="1"/>
    <col min="3609" max="3609" width="10.83203125" style="142" bestFit="1" customWidth="1"/>
    <col min="3610" max="3610" width="12.27734375" style="142" bestFit="1" customWidth="1"/>
    <col min="3611" max="3611" width="18.27734375" style="142" bestFit="1" customWidth="1"/>
    <col min="3612" max="3612" width="10.83203125" style="142" bestFit="1" customWidth="1"/>
    <col min="3613" max="3848" width="8.83203125" style="142"/>
    <col min="3849" max="3849" width="38.27734375" style="142" customWidth="1"/>
    <col min="3850" max="3850" width="23.44140625" style="142" bestFit="1" customWidth="1"/>
    <col min="3851" max="3852" width="9.1640625" style="142" customWidth="1"/>
    <col min="3853" max="3853" width="11.27734375" style="142" bestFit="1" customWidth="1"/>
    <col min="3854" max="3854" width="14.44140625" style="142" bestFit="1" customWidth="1"/>
    <col min="3855" max="3855" width="8.1640625" style="142" customWidth="1"/>
    <col min="3856" max="3856" width="10.83203125" style="142" bestFit="1" customWidth="1"/>
    <col min="3857" max="3857" width="12.27734375" style="142" bestFit="1" customWidth="1"/>
    <col min="3858" max="3858" width="9.1640625" style="142" customWidth="1"/>
    <col min="3859" max="3859" width="10.83203125" style="142" bestFit="1" customWidth="1"/>
    <col min="3860" max="3860" width="12.27734375" style="142" bestFit="1" customWidth="1"/>
    <col min="3861" max="3861" width="8" style="142" customWidth="1"/>
    <col min="3862" max="3862" width="10.83203125" style="142" bestFit="1" customWidth="1"/>
    <col min="3863" max="3863" width="12.27734375" style="142" bestFit="1" customWidth="1"/>
    <col min="3864" max="3864" width="8.1640625" style="142" bestFit="1" customWidth="1"/>
    <col min="3865" max="3865" width="10.83203125" style="142" bestFit="1" customWidth="1"/>
    <col min="3866" max="3866" width="12.27734375" style="142" bestFit="1" customWidth="1"/>
    <col min="3867" max="3867" width="18.27734375" style="142" bestFit="1" customWidth="1"/>
    <col min="3868" max="3868" width="10.83203125" style="142" bestFit="1" customWidth="1"/>
    <col min="3869" max="4104" width="8.83203125" style="142"/>
    <col min="4105" max="4105" width="38.27734375" style="142" customWidth="1"/>
    <col min="4106" max="4106" width="23.44140625" style="142" bestFit="1" customWidth="1"/>
    <col min="4107" max="4108" width="9.1640625" style="142" customWidth="1"/>
    <col min="4109" max="4109" width="11.27734375" style="142" bestFit="1" customWidth="1"/>
    <col min="4110" max="4110" width="14.44140625" style="142" bestFit="1" customWidth="1"/>
    <col min="4111" max="4111" width="8.1640625" style="142" customWidth="1"/>
    <col min="4112" max="4112" width="10.83203125" style="142" bestFit="1" customWidth="1"/>
    <col min="4113" max="4113" width="12.27734375" style="142" bestFit="1" customWidth="1"/>
    <col min="4114" max="4114" width="9.1640625" style="142" customWidth="1"/>
    <col min="4115" max="4115" width="10.83203125" style="142" bestFit="1" customWidth="1"/>
    <col min="4116" max="4116" width="12.27734375" style="142" bestFit="1" customWidth="1"/>
    <col min="4117" max="4117" width="8" style="142" customWidth="1"/>
    <col min="4118" max="4118" width="10.83203125" style="142" bestFit="1" customWidth="1"/>
    <col min="4119" max="4119" width="12.27734375" style="142" bestFit="1" customWidth="1"/>
    <col min="4120" max="4120" width="8.1640625" style="142" bestFit="1" customWidth="1"/>
    <col min="4121" max="4121" width="10.83203125" style="142" bestFit="1" customWidth="1"/>
    <col min="4122" max="4122" width="12.27734375" style="142" bestFit="1" customWidth="1"/>
    <col min="4123" max="4123" width="18.27734375" style="142" bestFit="1" customWidth="1"/>
    <col min="4124" max="4124" width="10.83203125" style="142" bestFit="1" customWidth="1"/>
    <col min="4125" max="4360" width="8.83203125" style="142"/>
    <col min="4361" max="4361" width="38.27734375" style="142" customWidth="1"/>
    <col min="4362" max="4362" width="23.44140625" style="142" bestFit="1" customWidth="1"/>
    <col min="4363" max="4364" width="9.1640625" style="142" customWidth="1"/>
    <col min="4365" max="4365" width="11.27734375" style="142" bestFit="1" customWidth="1"/>
    <col min="4366" max="4366" width="14.44140625" style="142" bestFit="1" customWidth="1"/>
    <col min="4367" max="4367" width="8.1640625" style="142" customWidth="1"/>
    <col min="4368" max="4368" width="10.83203125" style="142" bestFit="1" customWidth="1"/>
    <col min="4369" max="4369" width="12.27734375" style="142" bestFit="1" customWidth="1"/>
    <col min="4370" max="4370" width="9.1640625" style="142" customWidth="1"/>
    <col min="4371" max="4371" width="10.83203125" style="142" bestFit="1" customWidth="1"/>
    <col min="4372" max="4372" width="12.27734375" style="142" bestFit="1" customWidth="1"/>
    <col min="4373" max="4373" width="8" style="142" customWidth="1"/>
    <col min="4374" max="4374" width="10.83203125" style="142" bestFit="1" customWidth="1"/>
    <col min="4375" max="4375" width="12.27734375" style="142" bestFit="1" customWidth="1"/>
    <col min="4376" max="4376" width="8.1640625" style="142" bestFit="1" customWidth="1"/>
    <col min="4377" max="4377" width="10.83203125" style="142" bestFit="1" customWidth="1"/>
    <col min="4378" max="4378" width="12.27734375" style="142" bestFit="1" customWidth="1"/>
    <col min="4379" max="4379" width="18.27734375" style="142" bestFit="1" customWidth="1"/>
    <col min="4380" max="4380" width="10.83203125" style="142" bestFit="1" customWidth="1"/>
    <col min="4381" max="4616" width="8.83203125" style="142"/>
    <col min="4617" max="4617" width="38.27734375" style="142" customWidth="1"/>
    <col min="4618" max="4618" width="23.44140625" style="142" bestFit="1" customWidth="1"/>
    <col min="4619" max="4620" width="9.1640625" style="142" customWidth="1"/>
    <col min="4621" max="4621" width="11.27734375" style="142" bestFit="1" customWidth="1"/>
    <col min="4622" max="4622" width="14.44140625" style="142" bestFit="1" customWidth="1"/>
    <col min="4623" max="4623" width="8.1640625" style="142" customWidth="1"/>
    <col min="4624" max="4624" width="10.83203125" style="142" bestFit="1" customWidth="1"/>
    <col min="4625" max="4625" width="12.27734375" style="142" bestFit="1" customWidth="1"/>
    <col min="4626" max="4626" width="9.1640625" style="142" customWidth="1"/>
    <col min="4627" max="4627" width="10.83203125" style="142" bestFit="1" customWidth="1"/>
    <col min="4628" max="4628" width="12.27734375" style="142" bestFit="1" customWidth="1"/>
    <col min="4629" max="4629" width="8" style="142" customWidth="1"/>
    <col min="4630" max="4630" width="10.83203125" style="142" bestFit="1" customWidth="1"/>
    <col min="4631" max="4631" width="12.27734375" style="142" bestFit="1" customWidth="1"/>
    <col min="4632" max="4632" width="8.1640625" style="142" bestFit="1" customWidth="1"/>
    <col min="4633" max="4633" width="10.83203125" style="142" bestFit="1" customWidth="1"/>
    <col min="4634" max="4634" width="12.27734375" style="142" bestFit="1" customWidth="1"/>
    <col min="4635" max="4635" width="18.27734375" style="142" bestFit="1" customWidth="1"/>
    <col min="4636" max="4636" width="10.83203125" style="142" bestFit="1" customWidth="1"/>
    <col min="4637" max="4872" width="8.83203125" style="142"/>
    <col min="4873" max="4873" width="38.27734375" style="142" customWidth="1"/>
    <col min="4874" max="4874" width="23.44140625" style="142" bestFit="1" customWidth="1"/>
    <col min="4875" max="4876" width="9.1640625" style="142" customWidth="1"/>
    <col min="4877" max="4877" width="11.27734375" style="142" bestFit="1" customWidth="1"/>
    <col min="4878" max="4878" width="14.44140625" style="142" bestFit="1" customWidth="1"/>
    <col min="4879" max="4879" width="8.1640625" style="142" customWidth="1"/>
    <col min="4880" max="4880" width="10.83203125" style="142" bestFit="1" customWidth="1"/>
    <col min="4881" max="4881" width="12.27734375" style="142" bestFit="1" customWidth="1"/>
    <col min="4882" max="4882" width="9.1640625" style="142" customWidth="1"/>
    <col min="4883" max="4883" width="10.83203125" style="142" bestFit="1" customWidth="1"/>
    <col min="4884" max="4884" width="12.27734375" style="142" bestFit="1" customWidth="1"/>
    <col min="4885" max="4885" width="8" style="142" customWidth="1"/>
    <col min="4886" max="4886" width="10.83203125" style="142" bestFit="1" customWidth="1"/>
    <col min="4887" max="4887" width="12.27734375" style="142" bestFit="1" customWidth="1"/>
    <col min="4888" max="4888" width="8.1640625" style="142" bestFit="1" customWidth="1"/>
    <col min="4889" max="4889" width="10.83203125" style="142" bestFit="1" customWidth="1"/>
    <col min="4890" max="4890" width="12.27734375" style="142" bestFit="1" customWidth="1"/>
    <col min="4891" max="4891" width="18.27734375" style="142" bestFit="1" customWidth="1"/>
    <col min="4892" max="4892" width="10.83203125" style="142" bestFit="1" customWidth="1"/>
    <col min="4893" max="5128" width="8.83203125" style="142"/>
    <col min="5129" max="5129" width="38.27734375" style="142" customWidth="1"/>
    <col min="5130" max="5130" width="23.44140625" style="142" bestFit="1" customWidth="1"/>
    <col min="5131" max="5132" width="9.1640625" style="142" customWidth="1"/>
    <col min="5133" max="5133" width="11.27734375" style="142" bestFit="1" customWidth="1"/>
    <col min="5134" max="5134" width="14.44140625" style="142" bestFit="1" customWidth="1"/>
    <col min="5135" max="5135" width="8.1640625" style="142" customWidth="1"/>
    <col min="5136" max="5136" width="10.83203125" style="142" bestFit="1" customWidth="1"/>
    <col min="5137" max="5137" width="12.27734375" style="142" bestFit="1" customWidth="1"/>
    <col min="5138" max="5138" width="9.1640625" style="142" customWidth="1"/>
    <col min="5139" max="5139" width="10.83203125" style="142" bestFit="1" customWidth="1"/>
    <col min="5140" max="5140" width="12.27734375" style="142" bestFit="1" customWidth="1"/>
    <col min="5141" max="5141" width="8" style="142" customWidth="1"/>
    <col min="5142" max="5142" width="10.83203125" style="142" bestFit="1" customWidth="1"/>
    <col min="5143" max="5143" width="12.27734375" style="142" bestFit="1" customWidth="1"/>
    <col min="5144" max="5144" width="8.1640625" style="142" bestFit="1" customWidth="1"/>
    <col min="5145" max="5145" width="10.83203125" style="142" bestFit="1" customWidth="1"/>
    <col min="5146" max="5146" width="12.27734375" style="142" bestFit="1" customWidth="1"/>
    <col min="5147" max="5147" width="18.27734375" style="142" bestFit="1" customWidth="1"/>
    <col min="5148" max="5148" width="10.83203125" style="142" bestFit="1" customWidth="1"/>
    <col min="5149" max="5384" width="8.83203125" style="142"/>
    <col min="5385" max="5385" width="38.27734375" style="142" customWidth="1"/>
    <col min="5386" max="5386" width="23.44140625" style="142" bestFit="1" customWidth="1"/>
    <col min="5387" max="5388" width="9.1640625" style="142" customWidth="1"/>
    <col min="5389" max="5389" width="11.27734375" style="142" bestFit="1" customWidth="1"/>
    <col min="5390" max="5390" width="14.44140625" style="142" bestFit="1" customWidth="1"/>
    <col min="5391" max="5391" width="8.1640625" style="142" customWidth="1"/>
    <col min="5392" max="5392" width="10.83203125" style="142" bestFit="1" customWidth="1"/>
    <col min="5393" max="5393" width="12.27734375" style="142" bestFit="1" customWidth="1"/>
    <col min="5394" max="5394" width="9.1640625" style="142" customWidth="1"/>
    <col min="5395" max="5395" width="10.83203125" style="142" bestFit="1" customWidth="1"/>
    <col min="5396" max="5396" width="12.27734375" style="142" bestFit="1" customWidth="1"/>
    <col min="5397" max="5397" width="8" style="142" customWidth="1"/>
    <col min="5398" max="5398" width="10.83203125" style="142" bestFit="1" customWidth="1"/>
    <col min="5399" max="5399" width="12.27734375" style="142" bestFit="1" customWidth="1"/>
    <col min="5400" max="5400" width="8.1640625" style="142" bestFit="1" customWidth="1"/>
    <col min="5401" max="5401" width="10.83203125" style="142" bestFit="1" customWidth="1"/>
    <col min="5402" max="5402" width="12.27734375" style="142" bestFit="1" customWidth="1"/>
    <col min="5403" max="5403" width="18.27734375" style="142" bestFit="1" customWidth="1"/>
    <col min="5404" max="5404" width="10.83203125" style="142" bestFit="1" customWidth="1"/>
    <col min="5405" max="5640" width="8.83203125" style="142"/>
    <col min="5641" max="5641" width="38.27734375" style="142" customWidth="1"/>
    <col min="5642" max="5642" width="23.44140625" style="142" bestFit="1" customWidth="1"/>
    <col min="5643" max="5644" width="9.1640625" style="142" customWidth="1"/>
    <col min="5645" max="5645" width="11.27734375" style="142" bestFit="1" customWidth="1"/>
    <col min="5646" max="5646" width="14.44140625" style="142" bestFit="1" customWidth="1"/>
    <col min="5647" max="5647" width="8.1640625" style="142" customWidth="1"/>
    <col min="5648" max="5648" width="10.83203125" style="142" bestFit="1" customWidth="1"/>
    <col min="5649" max="5649" width="12.27734375" style="142" bestFit="1" customWidth="1"/>
    <col min="5650" max="5650" width="9.1640625" style="142" customWidth="1"/>
    <col min="5651" max="5651" width="10.83203125" style="142" bestFit="1" customWidth="1"/>
    <col min="5652" max="5652" width="12.27734375" style="142" bestFit="1" customWidth="1"/>
    <col min="5653" max="5653" width="8" style="142" customWidth="1"/>
    <col min="5654" max="5654" width="10.83203125" style="142" bestFit="1" customWidth="1"/>
    <col min="5655" max="5655" width="12.27734375" style="142" bestFit="1" customWidth="1"/>
    <col min="5656" max="5656" width="8.1640625" style="142" bestFit="1" customWidth="1"/>
    <col min="5657" max="5657" width="10.83203125" style="142" bestFit="1" customWidth="1"/>
    <col min="5658" max="5658" width="12.27734375" style="142" bestFit="1" customWidth="1"/>
    <col min="5659" max="5659" width="18.27734375" style="142" bestFit="1" customWidth="1"/>
    <col min="5660" max="5660" width="10.83203125" style="142" bestFit="1" customWidth="1"/>
    <col min="5661" max="5896" width="8.83203125" style="142"/>
    <col min="5897" max="5897" width="38.27734375" style="142" customWidth="1"/>
    <col min="5898" max="5898" width="23.44140625" style="142" bestFit="1" customWidth="1"/>
    <col min="5899" max="5900" width="9.1640625" style="142" customWidth="1"/>
    <col min="5901" max="5901" width="11.27734375" style="142" bestFit="1" customWidth="1"/>
    <col min="5902" max="5902" width="14.44140625" style="142" bestFit="1" customWidth="1"/>
    <col min="5903" max="5903" width="8.1640625" style="142" customWidth="1"/>
    <col min="5904" max="5904" width="10.83203125" style="142" bestFit="1" customWidth="1"/>
    <col min="5905" max="5905" width="12.27734375" style="142" bestFit="1" customWidth="1"/>
    <col min="5906" max="5906" width="9.1640625" style="142" customWidth="1"/>
    <col min="5907" max="5907" width="10.83203125" style="142" bestFit="1" customWidth="1"/>
    <col min="5908" max="5908" width="12.27734375" style="142" bestFit="1" customWidth="1"/>
    <col min="5909" max="5909" width="8" style="142" customWidth="1"/>
    <col min="5910" max="5910" width="10.83203125" style="142" bestFit="1" customWidth="1"/>
    <col min="5911" max="5911" width="12.27734375" style="142" bestFit="1" customWidth="1"/>
    <col min="5912" max="5912" width="8.1640625" style="142" bestFit="1" customWidth="1"/>
    <col min="5913" max="5913" width="10.83203125" style="142" bestFit="1" customWidth="1"/>
    <col min="5914" max="5914" width="12.27734375" style="142" bestFit="1" customWidth="1"/>
    <col min="5915" max="5915" width="18.27734375" style="142" bestFit="1" customWidth="1"/>
    <col min="5916" max="5916" width="10.83203125" style="142" bestFit="1" customWidth="1"/>
    <col min="5917" max="6152" width="8.83203125" style="142"/>
    <col min="6153" max="6153" width="38.27734375" style="142" customWidth="1"/>
    <col min="6154" max="6154" width="23.44140625" style="142" bestFit="1" customWidth="1"/>
    <col min="6155" max="6156" width="9.1640625" style="142" customWidth="1"/>
    <col min="6157" max="6157" width="11.27734375" style="142" bestFit="1" customWidth="1"/>
    <col min="6158" max="6158" width="14.44140625" style="142" bestFit="1" customWidth="1"/>
    <col min="6159" max="6159" width="8.1640625" style="142" customWidth="1"/>
    <col min="6160" max="6160" width="10.83203125" style="142" bestFit="1" customWidth="1"/>
    <col min="6161" max="6161" width="12.27734375" style="142" bestFit="1" customWidth="1"/>
    <col min="6162" max="6162" width="9.1640625" style="142" customWidth="1"/>
    <col min="6163" max="6163" width="10.83203125" style="142" bestFit="1" customWidth="1"/>
    <col min="6164" max="6164" width="12.27734375" style="142" bestFit="1" customWidth="1"/>
    <col min="6165" max="6165" width="8" style="142" customWidth="1"/>
    <col min="6166" max="6166" width="10.83203125" style="142" bestFit="1" customWidth="1"/>
    <col min="6167" max="6167" width="12.27734375" style="142" bestFit="1" customWidth="1"/>
    <col min="6168" max="6168" width="8.1640625" style="142" bestFit="1" customWidth="1"/>
    <col min="6169" max="6169" width="10.83203125" style="142" bestFit="1" customWidth="1"/>
    <col min="6170" max="6170" width="12.27734375" style="142" bestFit="1" customWidth="1"/>
    <col min="6171" max="6171" width="18.27734375" style="142" bestFit="1" customWidth="1"/>
    <col min="6172" max="6172" width="10.83203125" style="142" bestFit="1" customWidth="1"/>
    <col min="6173" max="6408" width="8.83203125" style="142"/>
    <col min="6409" max="6409" width="38.27734375" style="142" customWidth="1"/>
    <col min="6410" max="6410" width="23.44140625" style="142" bestFit="1" customWidth="1"/>
    <col min="6411" max="6412" width="9.1640625" style="142" customWidth="1"/>
    <col min="6413" max="6413" width="11.27734375" style="142" bestFit="1" customWidth="1"/>
    <col min="6414" max="6414" width="14.44140625" style="142" bestFit="1" customWidth="1"/>
    <col min="6415" max="6415" width="8.1640625" style="142" customWidth="1"/>
    <col min="6416" max="6416" width="10.83203125" style="142" bestFit="1" customWidth="1"/>
    <col min="6417" max="6417" width="12.27734375" style="142" bestFit="1" customWidth="1"/>
    <col min="6418" max="6418" width="9.1640625" style="142" customWidth="1"/>
    <col min="6419" max="6419" width="10.83203125" style="142" bestFit="1" customWidth="1"/>
    <col min="6420" max="6420" width="12.27734375" style="142" bestFit="1" customWidth="1"/>
    <col min="6421" max="6421" width="8" style="142" customWidth="1"/>
    <col min="6422" max="6422" width="10.83203125" style="142" bestFit="1" customWidth="1"/>
    <col min="6423" max="6423" width="12.27734375" style="142" bestFit="1" customWidth="1"/>
    <col min="6424" max="6424" width="8.1640625" style="142" bestFit="1" customWidth="1"/>
    <col min="6425" max="6425" width="10.83203125" style="142" bestFit="1" customWidth="1"/>
    <col min="6426" max="6426" width="12.27734375" style="142" bestFit="1" customWidth="1"/>
    <col min="6427" max="6427" width="18.27734375" style="142" bestFit="1" customWidth="1"/>
    <col min="6428" max="6428" width="10.83203125" style="142" bestFit="1" customWidth="1"/>
    <col min="6429" max="6664" width="8.83203125" style="142"/>
    <col min="6665" max="6665" width="38.27734375" style="142" customWidth="1"/>
    <col min="6666" max="6666" width="23.44140625" style="142" bestFit="1" customWidth="1"/>
    <col min="6667" max="6668" width="9.1640625" style="142" customWidth="1"/>
    <col min="6669" max="6669" width="11.27734375" style="142" bestFit="1" customWidth="1"/>
    <col min="6670" max="6670" width="14.44140625" style="142" bestFit="1" customWidth="1"/>
    <col min="6671" max="6671" width="8.1640625" style="142" customWidth="1"/>
    <col min="6672" max="6672" width="10.83203125" style="142" bestFit="1" customWidth="1"/>
    <col min="6673" max="6673" width="12.27734375" style="142" bestFit="1" customWidth="1"/>
    <col min="6674" max="6674" width="9.1640625" style="142" customWidth="1"/>
    <col min="6675" max="6675" width="10.83203125" style="142" bestFit="1" customWidth="1"/>
    <col min="6676" max="6676" width="12.27734375" style="142" bestFit="1" customWidth="1"/>
    <col min="6677" max="6677" width="8" style="142" customWidth="1"/>
    <col min="6678" max="6678" width="10.83203125" style="142" bestFit="1" customWidth="1"/>
    <col min="6679" max="6679" width="12.27734375" style="142" bestFit="1" customWidth="1"/>
    <col min="6680" max="6680" width="8.1640625" style="142" bestFit="1" customWidth="1"/>
    <col min="6681" max="6681" width="10.83203125" style="142" bestFit="1" customWidth="1"/>
    <col min="6682" max="6682" width="12.27734375" style="142" bestFit="1" customWidth="1"/>
    <col min="6683" max="6683" width="18.27734375" style="142" bestFit="1" customWidth="1"/>
    <col min="6684" max="6684" width="10.83203125" style="142" bestFit="1" customWidth="1"/>
    <col min="6685" max="6920" width="8.83203125" style="142"/>
    <col min="6921" max="6921" width="38.27734375" style="142" customWidth="1"/>
    <col min="6922" max="6922" width="23.44140625" style="142" bestFit="1" customWidth="1"/>
    <col min="6923" max="6924" width="9.1640625" style="142" customWidth="1"/>
    <col min="6925" max="6925" width="11.27734375" style="142" bestFit="1" customWidth="1"/>
    <col min="6926" max="6926" width="14.44140625" style="142" bestFit="1" customWidth="1"/>
    <col min="6927" max="6927" width="8.1640625" style="142" customWidth="1"/>
    <col min="6928" max="6928" width="10.83203125" style="142" bestFit="1" customWidth="1"/>
    <col min="6929" max="6929" width="12.27734375" style="142" bestFit="1" customWidth="1"/>
    <col min="6930" max="6930" width="9.1640625" style="142" customWidth="1"/>
    <col min="6931" max="6931" width="10.83203125" style="142" bestFit="1" customWidth="1"/>
    <col min="6932" max="6932" width="12.27734375" style="142" bestFit="1" customWidth="1"/>
    <col min="6933" max="6933" width="8" style="142" customWidth="1"/>
    <col min="6934" max="6934" width="10.83203125" style="142" bestFit="1" customWidth="1"/>
    <col min="6935" max="6935" width="12.27734375" style="142" bestFit="1" customWidth="1"/>
    <col min="6936" max="6936" width="8.1640625" style="142" bestFit="1" customWidth="1"/>
    <col min="6937" max="6937" width="10.83203125" style="142" bestFit="1" customWidth="1"/>
    <col min="6938" max="6938" width="12.27734375" style="142" bestFit="1" customWidth="1"/>
    <col min="6939" max="6939" width="18.27734375" style="142" bestFit="1" customWidth="1"/>
    <col min="6940" max="6940" width="10.83203125" style="142" bestFit="1" customWidth="1"/>
    <col min="6941" max="7176" width="8.83203125" style="142"/>
    <col min="7177" max="7177" width="38.27734375" style="142" customWidth="1"/>
    <col min="7178" max="7178" width="23.44140625" style="142" bestFit="1" customWidth="1"/>
    <col min="7179" max="7180" width="9.1640625" style="142" customWidth="1"/>
    <col min="7181" max="7181" width="11.27734375" style="142" bestFit="1" customWidth="1"/>
    <col min="7182" max="7182" width="14.44140625" style="142" bestFit="1" customWidth="1"/>
    <col min="7183" max="7183" width="8.1640625" style="142" customWidth="1"/>
    <col min="7184" max="7184" width="10.83203125" style="142" bestFit="1" customWidth="1"/>
    <col min="7185" max="7185" width="12.27734375" style="142" bestFit="1" customWidth="1"/>
    <col min="7186" max="7186" width="9.1640625" style="142" customWidth="1"/>
    <col min="7187" max="7187" width="10.83203125" style="142" bestFit="1" customWidth="1"/>
    <col min="7188" max="7188" width="12.27734375" style="142" bestFit="1" customWidth="1"/>
    <col min="7189" max="7189" width="8" style="142" customWidth="1"/>
    <col min="7190" max="7190" width="10.83203125" style="142" bestFit="1" customWidth="1"/>
    <col min="7191" max="7191" width="12.27734375" style="142" bestFit="1" customWidth="1"/>
    <col min="7192" max="7192" width="8.1640625" style="142" bestFit="1" customWidth="1"/>
    <col min="7193" max="7193" width="10.83203125" style="142" bestFit="1" customWidth="1"/>
    <col min="7194" max="7194" width="12.27734375" style="142" bestFit="1" customWidth="1"/>
    <col min="7195" max="7195" width="18.27734375" style="142" bestFit="1" customWidth="1"/>
    <col min="7196" max="7196" width="10.83203125" style="142" bestFit="1" customWidth="1"/>
    <col min="7197" max="7432" width="8.83203125" style="142"/>
    <col min="7433" max="7433" width="38.27734375" style="142" customWidth="1"/>
    <col min="7434" max="7434" width="23.44140625" style="142" bestFit="1" customWidth="1"/>
    <col min="7435" max="7436" width="9.1640625" style="142" customWidth="1"/>
    <col min="7437" max="7437" width="11.27734375" style="142" bestFit="1" customWidth="1"/>
    <col min="7438" max="7438" width="14.44140625" style="142" bestFit="1" customWidth="1"/>
    <col min="7439" max="7439" width="8.1640625" style="142" customWidth="1"/>
    <col min="7440" max="7440" width="10.83203125" style="142" bestFit="1" customWidth="1"/>
    <col min="7441" max="7441" width="12.27734375" style="142" bestFit="1" customWidth="1"/>
    <col min="7442" max="7442" width="9.1640625" style="142" customWidth="1"/>
    <col min="7443" max="7443" width="10.83203125" style="142" bestFit="1" customWidth="1"/>
    <col min="7444" max="7444" width="12.27734375" style="142" bestFit="1" customWidth="1"/>
    <col min="7445" max="7445" width="8" style="142" customWidth="1"/>
    <col min="7446" max="7446" width="10.83203125" style="142" bestFit="1" customWidth="1"/>
    <col min="7447" max="7447" width="12.27734375" style="142" bestFit="1" customWidth="1"/>
    <col min="7448" max="7448" width="8.1640625" style="142" bestFit="1" customWidth="1"/>
    <col min="7449" max="7449" width="10.83203125" style="142" bestFit="1" customWidth="1"/>
    <col min="7450" max="7450" width="12.27734375" style="142" bestFit="1" customWidth="1"/>
    <col min="7451" max="7451" width="18.27734375" style="142" bestFit="1" customWidth="1"/>
    <col min="7452" max="7452" width="10.83203125" style="142" bestFit="1" customWidth="1"/>
    <col min="7453" max="7688" width="8.83203125" style="142"/>
    <col min="7689" max="7689" width="38.27734375" style="142" customWidth="1"/>
    <col min="7690" max="7690" width="23.44140625" style="142" bestFit="1" customWidth="1"/>
    <col min="7691" max="7692" width="9.1640625" style="142" customWidth="1"/>
    <col min="7693" max="7693" width="11.27734375" style="142" bestFit="1" customWidth="1"/>
    <col min="7694" max="7694" width="14.44140625" style="142" bestFit="1" customWidth="1"/>
    <col min="7695" max="7695" width="8.1640625" style="142" customWidth="1"/>
    <col min="7696" max="7696" width="10.83203125" style="142" bestFit="1" customWidth="1"/>
    <col min="7697" max="7697" width="12.27734375" style="142" bestFit="1" customWidth="1"/>
    <col min="7698" max="7698" width="9.1640625" style="142" customWidth="1"/>
    <col min="7699" max="7699" width="10.83203125" style="142" bestFit="1" customWidth="1"/>
    <col min="7700" max="7700" width="12.27734375" style="142" bestFit="1" customWidth="1"/>
    <col min="7701" max="7701" width="8" style="142" customWidth="1"/>
    <col min="7702" max="7702" width="10.83203125" style="142" bestFit="1" customWidth="1"/>
    <col min="7703" max="7703" width="12.27734375" style="142" bestFit="1" customWidth="1"/>
    <col min="7704" max="7704" width="8.1640625" style="142" bestFit="1" customWidth="1"/>
    <col min="7705" max="7705" width="10.83203125" style="142" bestFit="1" customWidth="1"/>
    <col min="7706" max="7706" width="12.27734375" style="142" bestFit="1" customWidth="1"/>
    <col min="7707" max="7707" width="18.27734375" style="142" bestFit="1" customWidth="1"/>
    <col min="7708" max="7708" width="10.83203125" style="142" bestFit="1" customWidth="1"/>
    <col min="7709" max="7944" width="8.83203125" style="142"/>
    <col min="7945" max="7945" width="38.27734375" style="142" customWidth="1"/>
    <col min="7946" max="7946" width="23.44140625" style="142" bestFit="1" customWidth="1"/>
    <col min="7947" max="7948" width="9.1640625" style="142" customWidth="1"/>
    <col min="7949" max="7949" width="11.27734375" style="142" bestFit="1" customWidth="1"/>
    <col min="7950" max="7950" width="14.44140625" style="142" bestFit="1" customWidth="1"/>
    <col min="7951" max="7951" width="8.1640625" style="142" customWidth="1"/>
    <col min="7952" max="7952" width="10.83203125" style="142" bestFit="1" customWidth="1"/>
    <col min="7953" max="7953" width="12.27734375" style="142" bestFit="1" customWidth="1"/>
    <col min="7954" max="7954" width="9.1640625" style="142" customWidth="1"/>
    <col min="7955" max="7955" width="10.83203125" style="142" bestFit="1" customWidth="1"/>
    <col min="7956" max="7956" width="12.27734375" style="142" bestFit="1" customWidth="1"/>
    <col min="7957" max="7957" width="8" style="142" customWidth="1"/>
    <col min="7958" max="7958" width="10.83203125" style="142" bestFit="1" customWidth="1"/>
    <col min="7959" max="7959" width="12.27734375" style="142" bestFit="1" customWidth="1"/>
    <col min="7960" max="7960" width="8.1640625" style="142" bestFit="1" customWidth="1"/>
    <col min="7961" max="7961" width="10.83203125" style="142" bestFit="1" customWidth="1"/>
    <col min="7962" max="7962" width="12.27734375" style="142" bestFit="1" customWidth="1"/>
    <col min="7963" max="7963" width="18.27734375" style="142" bestFit="1" customWidth="1"/>
    <col min="7964" max="7964" width="10.83203125" style="142" bestFit="1" customWidth="1"/>
    <col min="7965" max="8200" width="8.83203125" style="142"/>
    <col min="8201" max="8201" width="38.27734375" style="142" customWidth="1"/>
    <col min="8202" max="8202" width="23.44140625" style="142" bestFit="1" customWidth="1"/>
    <col min="8203" max="8204" width="9.1640625" style="142" customWidth="1"/>
    <col min="8205" max="8205" width="11.27734375" style="142" bestFit="1" customWidth="1"/>
    <col min="8206" max="8206" width="14.44140625" style="142" bestFit="1" customWidth="1"/>
    <col min="8207" max="8207" width="8.1640625" style="142" customWidth="1"/>
    <col min="8208" max="8208" width="10.83203125" style="142" bestFit="1" customWidth="1"/>
    <col min="8209" max="8209" width="12.27734375" style="142" bestFit="1" customWidth="1"/>
    <col min="8210" max="8210" width="9.1640625" style="142" customWidth="1"/>
    <col min="8211" max="8211" width="10.83203125" style="142" bestFit="1" customWidth="1"/>
    <col min="8212" max="8212" width="12.27734375" style="142" bestFit="1" customWidth="1"/>
    <col min="8213" max="8213" width="8" style="142" customWidth="1"/>
    <col min="8214" max="8214" width="10.83203125" style="142" bestFit="1" customWidth="1"/>
    <col min="8215" max="8215" width="12.27734375" style="142" bestFit="1" customWidth="1"/>
    <col min="8216" max="8216" width="8.1640625" style="142" bestFit="1" customWidth="1"/>
    <col min="8217" max="8217" width="10.83203125" style="142" bestFit="1" customWidth="1"/>
    <col min="8218" max="8218" width="12.27734375" style="142" bestFit="1" customWidth="1"/>
    <col min="8219" max="8219" width="18.27734375" style="142" bestFit="1" customWidth="1"/>
    <col min="8220" max="8220" width="10.83203125" style="142" bestFit="1" customWidth="1"/>
    <col min="8221" max="8456" width="8.83203125" style="142"/>
    <col min="8457" max="8457" width="38.27734375" style="142" customWidth="1"/>
    <col min="8458" max="8458" width="23.44140625" style="142" bestFit="1" customWidth="1"/>
    <col min="8459" max="8460" width="9.1640625" style="142" customWidth="1"/>
    <col min="8461" max="8461" width="11.27734375" style="142" bestFit="1" customWidth="1"/>
    <col min="8462" max="8462" width="14.44140625" style="142" bestFit="1" customWidth="1"/>
    <col min="8463" max="8463" width="8.1640625" style="142" customWidth="1"/>
    <col min="8464" max="8464" width="10.83203125" style="142" bestFit="1" customWidth="1"/>
    <col min="8465" max="8465" width="12.27734375" style="142" bestFit="1" customWidth="1"/>
    <col min="8466" max="8466" width="9.1640625" style="142" customWidth="1"/>
    <col min="8467" max="8467" width="10.83203125" style="142" bestFit="1" customWidth="1"/>
    <col min="8468" max="8468" width="12.27734375" style="142" bestFit="1" customWidth="1"/>
    <col min="8469" max="8469" width="8" style="142" customWidth="1"/>
    <col min="8470" max="8470" width="10.83203125" style="142" bestFit="1" customWidth="1"/>
    <col min="8471" max="8471" width="12.27734375" style="142" bestFit="1" customWidth="1"/>
    <col min="8472" max="8472" width="8.1640625" style="142" bestFit="1" customWidth="1"/>
    <col min="8473" max="8473" width="10.83203125" style="142" bestFit="1" customWidth="1"/>
    <col min="8474" max="8474" width="12.27734375" style="142" bestFit="1" customWidth="1"/>
    <col min="8475" max="8475" width="18.27734375" style="142" bestFit="1" customWidth="1"/>
    <col min="8476" max="8476" width="10.83203125" style="142" bestFit="1" customWidth="1"/>
    <col min="8477" max="8712" width="8.83203125" style="142"/>
    <col min="8713" max="8713" width="38.27734375" style="142" customWidth="1"/>
    <col min="8714" max="8714" width="23.44140625" style="142" bestFit="1" customWidth="1"/>
    <col min="8715" max="8716" width="9.1640625" style="142" customWidth="1"/>
    <col min="8717" max="8717" width="11.27734375" style="142" bestFit="1" customWidth="1"/>
    <col min="8718" max="8718" width="14.44140625" style="142" bestFit="1" customWidth="1"/>
    <col min="8719" max="8719" width="8.1640625" style="142" customWidth="1"/>
    <col min="8720" max="8720" width="10.83203125" style="142" bestFit="1" customWidth="1"/>
    <col min="8721" max="8721" width="12.27734375" style="142" bestFit="1" customWidth="1"/>
    <col min="8722" max="8722" width="9.1640625" style="142" customWidth="1"/>
    <col min="8723" max="8723" width="10.83203125" style="142" bestFit="1" customWidth="1"/>
    <col min="8724" max="8724" width="12.27734375" style="142" bestFit="1" customWidth="1"/>
    <col min="8725" max="8725" width="8" style="142" customWidth="1"/>
    <col min="8726" max="8726" width="10.83203125" style="142" bestFit="1" customWidth="1"/>
    <col min="8727" max="8727" width="12.27734375" style="142" bestFit="1" customWidth="1"/>
    <col min="8728" max="8728" width="8.1640625" style="142" bestFit="1" customWidth="1"/>
    <col min="8729" max="8729" width="10.83203125" style="142" bestFit="1" customWidth="1"/>
    <col min="8730" max="8730" width="12.27734375" style="142" bestFit="1" customWidth="1"/>
    <col min="8731" max="8731" width="18.27734375" style="142" bestFit="1" customWidth="1"/>
    <col min="8732" max="8732" width="10.83203125" style="142" bestFit="1" customWidth="1"/>
    <col min="8733" max="8968" width="8.83203125" style="142"/>
    <col min="8969" max="8969" width="38.27734375" style="142" customWidth="1"/>
    <col min="8970" max="8970" width="23.44140625" style="142" bestFit="1" customWidth="1"/>
    <col min="8971" max="8972" width="9.1640625" style="142" customWidth="1"/>
    <col min="8973" max="8973" width="11.27734375" style="142" bestFit="1" customWidth="1"/>
    <col min="8974" max="8974" width="14.44140625" style="142" bestFit="1" customWidth="1"/>
    <col min="8975" max="8975" width="8.1640625" style="142" customWidth="1"/>
    <col min="8976" max="8976" width="10.83203125" style="142" bestFit="1" customWidth="1"/>
    <col min="8977" max="8977" width="12.27734375" style="142" bestFit="1" customWidth="1"/>
    <col min="8978" max="8978" width="9.1640625" style="142" customWidth="1"/>
    <col min="8979" max="8979" width="10.83203125" style="142" bestFit="1" customWidth="1"/>
    <col min="8980" max="8980" width="12.27734375" style="142" bestFit="1" customWidth="1"/>
    <col min="8981" max="8981" width="8" style="142" customWidth="1"/>
    <col min="8982" max="8982" width="10.83203125" style="142" bestFit="1" customWidth="1"/>
    <col min="8983" max="8983" width="12.27734375" style="142" bestFit="1" customWidth="1"/>
    <col min="8984" max="8984" width="8.1640625" style="142" bestFit="1" customWidth="1"/>
    <col min="8985" max="8985" width="10.83203125" style="142" bestFit="1" customWidth="1"/>
    <col min="8986" max="8986" width="12.27734375" style="142" bestFit="1" customWidth="1"/>
    <col min="8987" max="8987" width="18.27734375" style="142" bestFit="1" customWidth="1"/>
    <col min="8988" max="8988" width="10.83203125" style="142" bestFit="1" customWidth="1"/>
    <col min="8989" max="9224" width="8.83203125" style="142"/>
    <col min="9225" max="9225" width="38.27734375" style="142" customWidth="1"/>
    <col min="9226" max="9226" width="23.44140625" style="142" bestFit="1" customWidth="1"/>
    <col min="9227" max="9228" width="9.1640625" style="142" customWidth="1"/>
    <col min="9229" max="9229" width="11.27734375" style="142" bestFit="1" customWidth="1"/>
    <col min="9230" max="9230" width="14.44140625" style="142" bestFit="1" customWidth="1"/>
    <col min="9231" max="9231" width="8.1640625" style="142" customWidth="1"/>
    <col min="9232" max="9232" width="10.83203125" style="142" bestFit="1" customWidth="1"/>
    <col min="9233" max="9233" width="12.27734375" style="142" bestFit="1" customWidth="1"/>
    <col min="9234" max="9234" width="9.1640625" style="142" customWidth="1"/>
    <col min="9235" max="9235" width="10.83203125" style="142" bestFit="1" customWidth="1"/>
    <col min="9236" max="9236" width="12.27734375" style="142" bestFit="1" customWidth="1"/>
    <col min="9237" max="9237" width="8" style="142" customWidth="1"/>
    <col min="9238" max="9238" width="10.83203125" style="142" bestFit="1" customWidth="1"/>
    <col min="9239" max="9239" width="12.27734375" style="142" bestFit="1" customWidth="1"/>
    <col min="9240" max="9240" width="8.1640625" style="142" bestFit="1" customWidth="1"/>
    <col min="9241" max="9241" width="10.83203125" style="142" bestFit="1" customWidth="1"/>
    <col min="9242" max="9242" width="12.27734375" style="142" bestFit="1" customWidth="1"/>
    <col min="9243" max="9243" width="18.27734375" style="142" bestFit="1" customWidth="1"/>
    <col min="9244" max="9244" width="10.83203125" style="142" bestFit="1" customWidth="1"/>
    <col min="9245" max="9480" width="8.83203125" style="142"/>
    <col min="9481" max="9481" width="38.27734375" style="142" customWidth="1"/>
    <col min="9482" max="9482" width="23.44140625" style="142" bestFit="1" customWidth="1"/>
    <col min="9483" max="9484" width="9.1640625" style="142" customWidth="1"/>
    <col min="9485" max="9485" width="11.27734375" style="142" bestFit="1" customWidth="1"/>
    <col min="9486" max="9486" width="14.44140625" style="142" bestFit="1" customWidth="1"/>
    <col min="9487" max="9487" width="8.1640625" style="142" customWidth="1"/>
    <col min="9488" max="9488" width="10.83203125" style="142" bestFit="1" customWidth="1"/>
    <col min="9489" max="9489" width="12.27734375" style="142" bestFit="1" customWidth="1"/>
    <col min="9490" max="9490" width="9.1640625" style="142" customWidth="1"/>
    <col min="9491" max="9491" width="10.83203125" style="142" bestFit="1" customWidth="1"/>
    <col min="9492" max="9492" width="12.27734375" style="142" bestFit="1" customWidth="1"/>
    <col min="9493" max="9493" width="8" style="142" customWidth="1"/>
    <col min="9494" max="9494" width="10.83203125" style="142" bestFit="1" customWidth="1"/>
    <col min="9495" max="9495" width="12.27734375" style="142" bestFit="1" customWidth="1"/>
    <col min="9496" max="9496" width="8.1640625" style="142" bestFit="1" customWidth="1"/>
    <col min="9497" max="9497" width="10.83203125" style="142" bestFit="1" customWidth="1"/>
    <col min="9498" max="9498" width="12.27734375" style="142" bestFit="1" customWidth="1"/>
    <col min="9499" max="9499" width="18.27734375" style="142" bestFit="1" customWidth="1"/>
    <col min="9500" max="9500" width="10.83203125" style="142" bestFit="1" customWidth="1"/>
    <col min="9501" max="9736" width="8.83203125" style="142"/>
    <col min="9737" max="9737" width="38.27734375" style="142" customWidth="1"/>
    <col min="9738" max="9738" width="23.44140625" style="142" bestFit="1" customWidth="1"/>
    <col min="9739" max="9740" width="9.1640625" style="142" customWidth="1"/>
    <col min="9741" max="9741" width="11.27734375" style="142" bestFit="1" customWidth="1"/>
    <col min="9742" max="9742" width="14.44140625" style="142" bestFit="1" customWidth="1"/>
    <col min="9743" max="9743" width="8.1640625" style="142" customWidth="1"/>
    <col min="9744" max="9744" width="10.83203125" style="142" bestFit="1" customWidth="1"/>
    <col min="9745" max="9745" width="12.27734375" style="142" bestFit="1" customWidth="1"/>
    <col min="9746" max="9746" width="9.1640625" style="142" customWidth="1"/>
    <col min="9747" max="9747" width="10.83203125" style="142" bestFit="1" customWidth="1"/>
    <col min="9748" max="9748" width="12.27734375" style="142" bestFit="1" customWidth="1"/>
    <col min="9749" max="9749" width="8" style="142" customWidth="1"/>
    <col min="9750" max="9750" width="10.83203125" style="142" bestFit="1" customWidth="1"/>
    <col min="9751" max="9751" width="12.27734375" style="142" bestFit="1" customWidth="1"/>
    <col min="9752" max="9752" width="8.1640625" style="142" bestFit="1" customWidth="1"/>
    <col min="9753" max="9753" width="10.83203125" style="142" bestFit="1" customWidth="1"/>
    <col min="9754" max="9754" width="12.27734375" style="142" bestFit="1" customWidth="1"/>
    <col min="9755" max="9755" width="18.27734375" style="142" bestFit="1" customWidth="1"/>
    <col min="9756" max="9756" width="10.83203125" style="142" bestFit="1" customWidth="1"/>
    <col min="9757" max="9992" width="8.83203125" style="142"/>
    <col min="9993" max="9993" width="38.27734375" style="142" customWidth="1"/>
    <col min="9994" max="9994" width="23.44140625" style="142" bestFit="1" customWidth="1"/>
    <col min="9995" max="9996" width="9.1640625" style="142" customWidth="1"/>
    <col min="9997" max="9997" width="11.27734375" style="142" bestFit="1" customWidth="1"/>
    <col min="9998" max="9998" width="14.44140625" style="142" bestFit="1" customWidth="1"/>
    <col min="9999" max="9999" width="8.1640625" style="142" customWidth="1"/>
    <col min="10000" max="10000" width="10.83203125" style="142" bestFit="1" customWidth="1"/>
    <col min="10001" max="10001" width="12.27734375" style="142" bestFit="1" customWidth="1"/>
    <col min="10002" max="10002" width="9.1640625" style="142" customWidth="1"/>
    <col min="10003" max="10003" width="10.83203125" style="142" bestFit="1" customWidth="1"/>
    <col min="10004" max="10004" width="12.27734375" style="142" bestFit="1" customWidth="1"/>
    <col min="10005" max="10005" width="8" style="142" customWidth="1"/>
    <col min="10006" max="10006" width="10.83203125" style="142" bestFit="1" customWidth="1"/>
    <col min="10007" max="10007" width="12.27734375" style="142" bestFit="1" customWidth="1"/>
    <col min="10008" max="10008" width="8.1640625" style="142" bestFit="1" customWidth="1"/>
    <col min="10009" max="10009" width="10.83203125" style="142" bestFit="1" customWidth="1"/>
    <col min="10010" max="10010" width="12.27734375" style="142" bestFit="1" customWidth="1"/>
    <col min="10011" max="10011" width="18.27734375" style="142" bestFit="1" customWidth="1"/>
    <col min="10012" max="10012" width="10.83203125" style="142" bestFit="1" customWidth="1"/>
    <col min="10013" max="10248" width="8.83203125" style="142"/>
    <col min="10249" max="10249" width="38.27734375" style="142" customWidth="1"/>
    <col min="10250" max="10250" width="23.44140625" style="142" bestFit="1" customWidth="1"/>
    <col min="10251" max="10252" width="9.1640625" style="142" customWidth="1"/>
    <col min="10253" max="10253" width="11.27734375" style="142" bestFit="1" customWidth="1"/>
    <col min="10254" max="10254" width="14.44140625" style="142" bestFit="1" customWidth="1"/>
    <col min="10255" max="10255" width="8.1640625" style="142" customWidth="1"/>
    <col min="10256" max="10256" width="10.83203125" style="142" bestFit="1" customWidth="1"/>
    <col min="10257" max="10257" width="12.27734375" style="142" bestFit="1" customWidth="1"/>
    <col min="10258" max="10258" width="9.1640625" style="142" customWidth="1"/>
    <col min="10259" max="10259" width="10.83203125" style="142" bestFit="1" customWidth="1"/>
    <col min="10260" max="10260" width="12.27734375" style="142" bestFit="1" customWidth="1"/>
    <col min="10261" max="10261" width="8" style="142" customWidth="1"/>
    <col min="10262" max="10262" width="10.83203125" style="142" bestFit="1" customWidth="1"/>
    <col min="10263" max="10263" width="12.27734375" style="142" bestFit="1" customWidth="1"/>
    <col min="10264" max="10264" width="8.1640625" style="142" bestFit="1" customWidth="1"/>
    <col min="10265" max="10265" width="10.83203125" style="142" bestFit="1" customWidth="1"/>
    <col min="10266" max="10266" width="12.27734375" style="142" bestFit="1" customWidth="1"/>
    <col min="10267" max="10267" width="18.27734375" style="142" bestFit="1" customWidth="1"/>
    <col min="10268" max="10268" width="10.83203125" style="142" bestFit="1" customWidth="1"/>
    <col min="10269" max="10504" width="8.83203125" style="142"/>
    <col min="10505" max="10505" width="38.27734375" style="142" customWidth="1"/>
    <col min="10506" max="10506" width="23.44140625" style="142" bestFit="1" customWidth="1"/>
    <col min="10507" max="10508" width="9.1640625" style="142" customWidth="1"/>
    <col min="10509" max="10509" width="11.27734375" style="142" bestFit="1" customWidth="1"/>
    <col min="10510" max="10510" width="14.44140625" style="142" bestFit="1" customWidth="1"/>
    <col min="10511" max="10511" width="8.1640625" style="142" customWidth="1"/>
    <col min="10512" max="10512" width="10.83203125" style="142" bestFit="1" customWidth="1"/>
    <col min="10513" max="10513" width="12.27734375" style="142" bestFit="1" customWidth="1"/>
    <col min="10514" max="10514" width="9.1640625" style="142" customWidth="1"/>
    <col min="10515" max="10515" width="10.83203125" style="142" bestFit="1" customWidth="1"/>
    <col min="10516" max="10516" width="12.27734375" style="142" bestFit="1" customWidth="1"/>
    <col min="10517" max="10517" width="8" style="142" customWidth="1"/>
    <col min="10518" max="10518" width="10.83203125" style="142" bestFit="1" customWidth="1"/>
    <col min="10519" max="10519" width="12.27734375" style="142" bestFit="1" customWidth="1"/>
    <col min="10520" max="10520" width="8.1640625" style="142" bestFit="1" customWidth="1"/>
    <col min="10521" max="10521" width="10.83203125" style="142" bestFit="1" customWidth="1"/>
    <col min="10522" max="10522" width="12.27734375" style="142" bestFit="1" customWidth="1"/>
    <col min="10523" max="10523" width="18.27734375" style="142" bestFit="1" customWidth="1"/>
    <col min="10524" max="10524" width="10.83203125" style="142" bestFit="1" customWidth="1"/>
    <col min="10525" max="10760" width="8.83203125" style="142"/>
    <col min="10761" max="10761" width="38.27734375" style="142" customWidth="1"/>
    <col min="10762" max="10762" width="23.44140625" style="142" bestFit="1" customWidth="1"/>
    <col min="10763" max="10764" width="9.1640625" style="142" customWidth="1"/>
    <col min="10765" max="10765" width="11.27734375" style="142" bestFit="1" customWidth="1"/>
    <col min="10766" max="10766" width="14.44140625" style="142" bestFit="1" customWidth="1"/>
    <col min="10767" max="10767" width="8.1640625" style="142" customWidth="1"/>
    <col min="10768" max="10768" width="10.83203125" style="142" bestFit="1" customWidth="1"/>
    <col min="10769" max="10769" width="12.27734375" style="142" bestFit="1" customWidth="1"/>
    <col min="10770" max="10770" width="9.1640625" style="142" customWidth="1"/>
    <col min="10771" max="10771" width="10.83203125" style="142" bestFit="1" customWidth="1"/>
    <col min="10772" max="10772" width="12.27734375" style="142" bestFit="1" customWidth="1"/>
    <col min="10773" max="10773" width="8" style="142" customWidth="1"/>
    <col min="10774" max="10774" width="10.83203125" style="142" bestFit="1" customWidth="1"/>
    <col min="10775" max="10775" width="12.27734375" style="142" bestFit="1" customWidth="1"/>
    <col min="10776" max="10776" width="8.1640625" style="142" bestFit="1" customWidth="1"/>
    <col min="10777" max="10777" width="10.83203125" style="142" bestFit="1" customWidth="1"/>
    <col min="10778" max="10778" width="12.27734375" style="142" bestFit="1" customWidth="1"/>
    <col min="10779" max="10779" width="18.27734375" style="142" bestFit="1" customWidth="1"/>
    <col min="10780" max="10780" width="10.83203125" style="142" bestFit="1" customWidth="1"/>
    <col min="10781" max="11016" width="8.83203125" style="142"/>
    <col min="11017" max="11017" width="38.27734375" style="142" customWidth="1"/>
    <col min="11018" max="11018" width="23.44140625" style="142" bestFit="1" customWidth="1"/>
    <col min="11019" max="11020" width="9.1640625" style="142" customWidth="1"/>
    <col min="11021" max="11021" width="11.27734375" style="142" bestFit="1" customWidth="1"/>
    <col min="11022" max="11022" width="14.44140625" style="142" bestFit="1" customWidth="1"/>
    <col min="11023" max="11023" width="8.1640625" style="142" customWidth="1"/>
    <col min="11024" max="11024" width="10.83203125" style="142" bestFit="1" customWidth="1"/>
    <col min="11025" max="11025" width="12.27734375" style="142" bestFit="1" customWidth="1"/>
    <col min="11026" max="11026" width="9.1640625" style="142" customWidth="1"/>
    <col min="11027" max="11027" width="10.83203125" style="142" bestFit="1" customWidth="1"/>
    <col min="11028" max="11028" width="12.27734375" style="142" bestFit="1" customWidth="1"/>
    <col min="11029" max="11029" width="8" style="142" customWidth="1"/>
    <col min="11030" max="11030" width="10.83203125" style="142" bestFit="1" customWidth="1"/>
    <col min="11031" max="11031" width="12.27734375" style="142" bestFit="1" customWidth="1"/>
    <col min="11032" max="11032" width="8.1640625" style="142" bestFit="1" customWidth="1"/>
    <col min="11033" max="11033" width="10.83203125" style="142" bestFit="1" customWidth="1"/>
    <col min="11034" max="11034" width="12.27734375" style="142" bestFit="1" customWidth="1"/>
    <col min="11035" max="11035" width="18.27734375" style="142" bestFit="1" customWidth="1"/>
    <col min="11036" max="11036" width="10.83203125" style="142" bestFit="1" customWidth="1"/>
    <col min="11037" max="11272" width="8.83203125" style="142"/>
    <col min="11273" max="11273" width="38.27734375" style="142" customWidth="1"/>
    <col min="11274" max="11274" width="23.44140625" style="142" bestFit="1" customWidth="1"/>
    <col min="11275" max="11276" width="9.1640625" style="142" customWidth="1"/>
    <col min="11277" max="11277" width="11.27734375" style="142" bestFit="1" customWidth="1"/>
    <col min="11278" max="11278" width="14.44140625" style="142" bestFit="1" customWidth="1"/>
    <col min="11279" max="11279" width="8.1640625" style="142" customWidth="1"/>
    <col min="11280" max="11280" width="10.83203125" style="142" bestFit="1" customWidth="1"/>
    <col min="11281" max="11281" width="12.27734375" style="142" bestFit="1" customWidth="1"/>
    <col min="11282" max="11282" width="9.1640625" style="142" customWidth="1"/>
    <col min="11283" max="11283" width="10.83203125" style="142" bestFit="1" customWidth="1"/>
    <col min="11284" max="11284" width="12.27734375" style="142" bestFit="1" customWidth="1"/>
    <col min="11285" max="11285" width="8" style="142" customWidth="1"/>
    <col min="11286" max="11286" width="10.83203125" style="142" bestFit="1" customWidth="1"/>
    <col min="11287" max="11287" width="12.27734375" style="142" bestFit="1" customWidth="1"/>
    <col min="11288" max="11288" width="8.1640625" style="142" bestFit="1" customWidth="1"/>
    <col min="11289" max="11289" width="10.83203125" style="142" bestFit="1" customWidth="1"/>
    <col min="11290" max="11290" width="12.27734375" style="142" bestFit="1" customWidth="1"/>
    <col min="11291" max="11291" width="18.27734375" style="142" bestFit="1" customWidth="1"/>
    <col min="11292" max="11292" width="10.83203125" style="142" bestFit="1" customWidth="1"/>
    <col min="11293" max="11528" width="8.83203125" style="142"/>
    <col min="11529" max="11529" width="38.27734375" style="142" customWidth="1"/>
    <col min="11530" max="11530" width="23.44140625" style="142" bestFit="1" customWidth="1"/>
    <col min="11531" max="11532" width="9.1640625" style="142" customWidth="1"/>
    <col min="11533" max="11533" width="11.27734375" style="142" bestFit="1" customWidth="1"/>
    <col min="11534" max="11534" width="14.44140625" style="142" bestFit="1" customWidth="1"/>
    <col min="11535" max="11535" width="8.1640625" style="142" customWidth="1"/>
    <col min="11536" max="11536" width="10.83203125" style="142" bestFit="1" customWidth="1"/>
    <col min="11537" max="11537" width="12.27734375" style="142" bestFit="1" customWidth="1"/>
    <col min="11538" max="11538" width="9.1640625" style="142" customWidth="1"/>
    <col min="11539" max="11539" width="10.83203125" style="142" bestFit="1" customWidth="1"/>
    <col min="11540" max="11540" width="12.27734375" style="142" bestFit="1" customWidth="1"/>
    <col min="11541" max="11541" width="8" style="142" customWidth="1"/>
    <col min="11542" max="11542" width="10.83203125" style="142" bestFit="1" customWidth="1"/>
    <col min="11543" max="11543" width="12.27734375" style="142" bestFit="1" customWidth="1"/>
    <col min="11544" max="11544" width="8.1640625" style="142" bestFit="1" customWidth="1"/>
    <col min="11545" max="11545" width="10.83203125" style="142" bestFit="1" customWidth="1"/>
    <col min="11546" max="11546" width="12.27734375" style="142" bestFit="1" customWidth="1"/>
    <col min="11547" max="11547" width="18.27734375" style="142" bestFit="1" customWidth="1"/>
    <col min="11548" max="11548" width="10.83203125" style="142" bestFit="1" customWidth="1"/>
    <col min="11549" max="11784" width="8.83203125" style="142"/>
    <col min="11785" max="11785" width="38.27734375" style="142" customWidth="1"/>
    <col min="11786" max="11786" width="23.44140625" style="142" bestFit="1" customWidth="1"/>
    <col min="11787" max="11788" width="9.1640625" style="142" customWidth="1"/>
    <col min="11789" max="11789" width="11.27734375" style="142" bestFit="1" customWidth="1"/>
    <col min="11790" max="11790" width="14.44140625" style="142" bestFit="1" customWidth="1"/>
    <col min="11791" max="11791" width="8.1640625" style="142" customWidth="1"/>
    <col min="11792" max="11792" width="10.83203125" style="142" bestFit="1" customWidth="1"/>
    <col min="11793" max="11793" width="12.27734375" style="142" bestFit="1" customWidth="1"/>
    <col min="11794" max="11794" width="9.1640625" style="142" customWidth="1"/>
    <col min="11795" max="11795" width="10.83203125" style="142" bestFit="1" customWidth="1"/>
    <col min="11796" max="11796" width="12.27734375" style="142" bestFit="1" customWidth="1"/>
    <col min="11797" max="11797" width="8" style="142" customWidth="1"/>
    <col min="11798" max="11798" width="10.83203125" style="142" bestFit="1" customWidth="1"/>
    <col min="11799" max="11799" width="12.27734375" style="142" bestFit="1" customWidth="1"/>
    <col min="11800" max="11800" width="8.1640625" style="142" bestFit="1" customWidth="1"/>
    <col min="11801" max="11801" width="10.83203125" style="142" bestFit="1" customWidth="1"/>
    <col min="11802" max="11802" width="12.27734375" style="142" bestFit="1" customWidth="1"/>
    <col min="11803" max="11803" width="18.27734375" style="142" bestFit="1" customWidth="1"/>
    <col min="11804" max="11804" width="10.83203125" style="142" bestFit="1" customWidth="1"/>
    <col min="11805" max="12040" width="8.83203125" style="142"/>
    <col min="12041" max="12041" width="38.27734375" style="142" customWidth="1"/>
    <col min="12042" max="12042" width="23.44140625" style="142" bestFit="1" customWidth="1"/>
    <col min="12043" max="12044" width="9.1640625" style="142" customWidth="1"/>
    <col min="12045" max="12045" width="11.27734375" style="142" bestFit="1" customWidth="1"/>
    <col min="12046" max="12046" width="14.44140625" style="142" bestFit="1" customWidth="1"/>
    <col min="12047" max="12047" width="8.1640625" style="142" customWidth="1"/>
    <col min="12048" max="12048" width="10.83203125" style="142" bestFit="1" customWidth="1"/>
    <col min="12049" max="12049" width="12.27734375" style="142" bestFit="1" customWidth="1"/>
    <col min="12050" max="12050" width="9.1640625" style="142" customWidth="1"/>
    <col min="12051" max="12051" width="10.83203125" style="142" bestFit="1" customWidth="1"/>
    <col min="12052" max="12052" width="12.27734375" style="142" bestFit="1" customWidth="1"/>
    <col min="12053" max="12053" width="8" style="142" customWidth="1"/>
    <col min="12054" max="12054" width="10.83203125" style="142" bestFit="1" customWidth="1"/>
    <col min="12055" max="12055" width="12.27734375" style="142" bestFit="1" customWidth="1"/>
    <col min="12056" max="12056" width="8.1640625" style="142" bestFit="1" customWidth="1"/>
    <col min="12057" max="12057" width="10.83203125" style="142" bestFit="1" customWidth="1"/>
    <col min="12058" max="12058" width="12.27734375" style="142" bestFit="1" customWidth="1"/>
    <col min="12059" max="12059" width="18.27734375" style="142" bestFit="1" customWidth="1"/>
    <col min="12060" max="12060" width="10.83203125" style="142" bestFit="1" customWidth="1"/>
    <col min="12061" max="12296" width="8.83203125" style="142"/>
    <col min="12297" max="12297" width="38.27734375" style="142" customWidth="1"/>
    <col min="12298" max="12298" width="23.44140625" style="142" bestFit="1" customWidth="1"/>
    <col min="12299" max="12300" width="9.1640625" style="142" customWidth="1"/>
    <col min="12301" max="12301" width="11.27734375" style="142" bestFit="1" customWidth="1"/>
    <col min="12302" max="12302" width="14.44140625" style="142" bestFit="1" customWidth="1"/>
    <col min="12303" max="12303" width="8.1640625" style="142" customWidth="1"/>
    <col min="12304" max="12304" width="10.83203125" style="142" bestFit="1" customWidth="1"/>
    <col min="12305" max="12305" width="12.27734375" style="142" bestFit="1" customWidth="1"/>
    <col min="12306" max="12306" width="9.1640625" style="142" customWidth="1"/>
    <col min="12307" max="12307" width="10.83203125" style="142" bestFit="1" customWidth="1"/>
    <col min="12308" max="12308" width="12.27734375" style="142" bestFit="1" customWidth="1"/>
    <col min="12309" max="12309" width="8" style="142" customWidth="1"/>
    <col min="12310" max="12310" width="10.83203125" style="142" bestFit="1" customWidth="1"/>
    <col min="12311" max="12311" width="12.27734375" style="142" bestFit="1" customWidth="1"/>
    <col min="12312" max="12312" width="8.1640625" style="142" bestFit="1" customWidth="1"/>
    <col min="12313" max="12313" width="10.83203125" style="142" bestFit="1" customWidth="1"/>
    <col min="12314" max="12314" width="12.27734375" style="142" bestFit="1" customWidth="1"/>
    <col min="12315" max="12315" width="18.27734375" style="142" bestFit="1" customWidth="1"/>
    <col min="12316" max="12316" width="10.83203125" style="142" bestFit="1" customWidth="1"/>
    <col min="12317" max="12552" width="8.83203125" style="142"/>
    <col min="12553" max="12553" width="38.27734375" style="142" customWidth="1"/>
    <col min="12554" max="12554" width="23.44140625" style="142" bestFit="1" customWidth="1"/>
    <col min="12555" max="12556" width="9.1640625" style="142" customWidth="1"/>
    <col min="12557" max="12557" width="11.27734375" style="142" bestFit="1" customWidth="1"/>
    <col min="12558" max="12558" width="14.44140625" style="142" bestFit="1" customWidth="1"/>
    <col min="12559" max="12559" width="8.1640625" style="142" customWidth="1"/>
    <col min="12560" max="12560" width="10.83203125" style="142" bestFit="1" customWidth="1"/>
    <col min="12561" max="12561" width="12.27734375" style="142" bestFit="1" customWidth="1"/>
    <col min="12562" max="12562" width="9.1640625" style="142" customWidth="1"/>
    <col min="12563" max="12563" width="10.83203125" style="142" bestFit="1" customWidth="1"/>
    <col min="12564" max="12564" width="12.27734375" style="142" bestFit="1" customWidth="1"/>
    <col min="12565" max="12565" width="8" style="142" customWidth="1"/>
    <col min="12566" max="12566" width="10.83203125" style="142" bestFit="1" customWidth="1"/>
    <col min="12567" max="12567" width="12.27734375" style="142" bestFit="1" customWidth="1"/>
    <col min="12568" max="12568" width="8.1640625" style="142" bestFit="1" customWidth="1"/>
    <col min="12569" max="12569" width="10.83203125" style="142" bestFit="1" customWidth="1"/>
    <col min="12570" max="12570" width="12.27734375" style="142" bestFit="1" customWidth="1"/>
    <col min="12571" max="12571" width="18.27734375" style="142" bestFit="1" customWidth="1"/>
    <col min="12572" max="12572" width="10.83203125" style="142" bestFit="1" customWidth="1"/>
    <col min="12573" max="12808" width="8.83203125" style="142"/>
    <col min="12809" max="12809" width="38.27734375" style="142" customWidth="1"/>
    <col min="12810" max="12810" width="23.44140625" style="142" bestFit="1" customWidth="1"/>
    <col min="12811" max="12812" width="9.1640625" style="142" customWidth="1"/>
    <col min="12813" max="12813" width="11.27734375" style="142" bestFit="1" customWidth="1"/>
    <col min="12814" max="12814" width="14.44140625" style="142" bestFit="1" customWidth="1"/>
    <col min="12815" max="12815" width="8.1640625" style="142" customWidth="1"/>
    <col min="12816" max="12816" width="10.83203125" style="142" bestFit="1" customWidth="1"/>
    <col min="12817" max="12817" width="12.27734375" style="142" bestFit="1" customWidth="1"/>
    <col min="12818" max="12818" width="9.1640625" style="142" customWidth="1"/>
    <col min="12819" max="12819" width="10.83203125" style="142" bestFit="1" customWidth="1"/>
    <col min="12820" max="12820" width="12.27734375" style="142" bestFit="1" customWidth="1"/>
    <col min="12821" max="12821" width="8" style="142" customWidth="1"/>
    <col min="12822" max="12822" width="10.83203125" style="142" bestFit="1" customWidth="1"/>
    <col min="12823" max="12823" width="12.27734375" style="142" bestFit="1" customWidth="1"/>
    <col min="12824" max="12824" width="8.1640625" style="142" bestFit="1" customWidth="1"/>
    <col min="12825" max="12825" width="10.83203125" style="142" bestFit="1" customWidth="1"/>
    <col min="12826" max="12826" width="12.27734375" style="142" bestFit="1" customWidth="1"/>
    <col min="12827" max="12827" width="18.27734375" style="142" bestFit="1" customWidth="1"/>
    <col min="12828" max="12828" width="10.83203125" style="142" bestFit="1" customWidth="1"/>
    <col min="12829" max="13064" width="8.83203125" style="142"/>
    <col min="13065" max="13065" width="38.27734375" style="142" customWidth="1"/>
    <col min="13066" max="13066" width="23.44140625" style="142" bestFit="1" customWidth="1"/>
    <col min="13067" max="13068" width="9.1640625" style="142" customWidth="1"/>
    <col min="13069" max="13069" width="11.27734375" style="142" bestFit="1" customWidth="1"/>
    <col min="13070" max="13070" width="14.44140625" style="142" bestFit="1" customWidth="1"/>
    <col min="13071" max="13071" width="8.1640625" style="142" customWidth="1"/>
    <col min="13072" max="13072" width="10.83203125" style="142" bestFit="1" customWidth="1"/>
    <col min="13073" max="13073" width="12.27734375" style="142" bestFit="1" customWidth="1"/>
    <col min="13074" max="13074" width="9.1640625" style="142" customWidth="1"/>
    <col min="13075" max="13075" width="10.83203125" style="142" bestFit="1" customWidth="1"/>
    <col min="13076" max="13076" width="12.27734375" style="142" bestFit="1" customWidth="1"/>
    <col min="13077" max="13077" width="8" style="142" customWidth="1"/>
    <col min="13078" max="13078" width="10.83203125" style="142" bestFit="1" customWidth="1"/>
    <col min="13079" max="13079" width="12.27734375" style="142" bestFit="1" customWidth="1"/>
    <col min="13080" max="13080" width="8.1640625" style="142" bestFit="1" customWidth="1"/>
    <col min="13081" max="13081" width="10.83203125" style="142" bestFit="1" customWidth="1"/>
    <col min="13082" max="13082" width="12.27734375" style="142" bestFit="1" customWidth="1"/>
    <col min="13083" max="13083" width="18.27734375" style="142" bestFit="1" customWidth="1"/>
    <col min="13084" max="13084" width="10.83203125" style="142" bestFit="1" customWidth="1"/>
    <col min="13085" max="13320" width="8.83203125" style="142"/>
    <col min="13321" max="13321" width="38.27734375" style="142" customWidth="1"/>
    <col min="13322" max="13322" width="23.44140625" style="142" bestFit="1" customWidth="1"/>
    <col min="13323" max="13324" width="9.1640625" style="142" customWidth="1"/>
    <col min="13325" max="13325" width="11.27734375" style="142" bestFit="1" customWidth="1"/>
    <col min="13326" max="13326" width="14.44140625" style="142" bestFit="1" customWidth="1"/>
    <col min="13327" max="13327" width="8.1640625" style="142" customWidth="1"/>
    <col min="13328" max="13328" width="10.83203125" style="142" bestFit="1" customWidth="1"/>
    <col min="13329" max="13329" width="12.27734375" style="142" bestFit="1" customWidth="1"/>
    <col min="13330" max="13330" width="9.1640625" style="142" customWidth="1"/>
    <col min="13331" max="13331" width="10.83203125" style="142" bestFit="1" customWidth="1"/>
    <col min="13332" max="13332" width="12.27734375" style="142" bestFit="1" customWidth="1"/>
    <col min="13333" max="13333" width="8" style="142" customWidth="1"/>
    <col min="13334" max="13334" width="10.83203125" style="142" bestFit="1" customWidth="1"/>
    <col min="13335" max="13335" width="12.27734375" style="142" bestFit="1" customWidth="1"/>
    <col min="13336" max="13336" width="8.1640625" style="142" bestFit="1" customWidth="1"/>
    <col min="13337" max="13337" width="10.83203125" style="142" bestFit="1" customWidth="1"/>
    <col min="13338" max="13338" width="12.27734375" style="142" bestFit="1" customWidth="1"/>
    <col min="13339" max="13339" width="18.27734375" style="142" bestFit="1" customWidth="1"/>
    <col min="13340" max="13340" width="10.83203125" style="142" bestFit="1" customWidth="1"/>
    <col min="13341" max="13576" width="8.83203125" style="142"/>
    <col min="13577" max="13577" width="38.27734375" style="142" customWidth="1"/>
    <col min="13578" max="13578" width="23.44140625" style="142" bestFit="1" customWidth="1"/>
    <col min="13579" max="13580" width="9.1640625" style="142" customWidth="1"/>
    <col min="13581" max="13581" width="11.27734375" style="142" bestFit="1" customWidth="1"/>
    <col min="13582" max="13582" width="14.44140625" style="142" bestFit="1" customWidth="1"/>
    <col min="13583" max="13583" width="8.1640625" style="142" customWidth="1"/>
    <col min="13584" max="13584" width="10.83203125" style="142" bestFit="1" customWidth="1"/>
    <col min="13585" max="13585" width="12.27734375" style="142" bestFit="1" customWidth="1"/>
    <col min="13586" max="13586" width="9.1640625" style="142" customWidth="1"/>
    <col min="13587" max="13587" width="10.83203125" style="142" bestFit="1" customWidth="1"/>
    <col min="13588" max="13588" width="12.27734375" style="142" bestFit="1" customWidth="1"/>
    <col min="13589" max="13589" width="8" style="142" customWidth="1"/>
    <col min="13590" max="13590" width="10.83203125" style="142" bestFit="1" customWidth="1"/>
    <col min="13591" max="13591" width="12.27734375" style="142" bestFit="1" customWidth="1"/>
    <col min="13592" max="13592" width="8.1640625" style="142" bestFit="1" customWidth="1"/>
    <col min="13593" max="13593" width="10.83203125" style="142" bestFit="1" customWidth="1"/>
    <col min="13594" max="13594" width="12.27734375" style="142" bestFit="1" customWidth="1"/>
    <col min="13595" max="13595" width="18.27734375" style="142" bestFit="1" customWidth="1"/>
    <col min="13596" max="13596" width="10.83203125" style="142" bestFit="1" customWidth="1"/>
    <col min="13597" max="13832" width="8.83203125" style="142"/>
    <col min="13833" max="13833" width="38.27734375" style="142" customWidth="1"/>
    <col min="13834" max="13834" width="23.44140625" style="142" bestFit="1" customWidth="1"/>
    <col min="13835" max="13836" width="9.1640625" style="142" customWidth="1"/>
    <col min="13837" max="13837" width="11.27734375" style="142" bestFit="1" customWidth="1"/>
    <col min="13838" max="13838" width="14.44140625" style="142" bestFit="1" customWidth="1"/>
    <col min="13839" max="13839" width="8.1640625" style="142" customWidth="1"/>
    <col min="13840" max="13840" width="10.83203125" style="142" bestFit="1" customWidth="1"/>
    <col min="13841" max="13841" width="12.27734375" style="142" bestFit="1" customWidth="1"/>
    <col min="13842" max="13842" width="9.1640625" style="142" customWidth="1"/>
    <col min="13843" max="13843" width="10.83203125" style="142" bestFit="1" customWidth="1"/>
    <col min="13844" max="13844" width="12.27734375" style="142" bestFit="1" customWidth="1"/>
    <col min="13845" max="13845" width="8" style="142" customWidth="1"/>
    <col min="13846" max="13846" width="10.83203125" style="142" bestFit="1" customWidth="1"/>
    <col min="13847" max="13847" width="12.27734375" style="142" bestFit="1" customWidth="1"/>
    <col min="13848" max="13848" width="8.1640625" style="142" bestFit="1" customWidth="1"/>
    <col min="13849" max="13849" width="10.83203125" style="142" bestFit="1" customWidth="1"/>
    <col min="13850" max="13850" width="12.27734375" style="142" bestFit="1" customWidth="1"/>
    <col min="13851" max="13851" width="18.27734375" style="142" bestFit="1" customWidth="1"/>
    <col min="13852" max="13852" width="10.83203125" style="142" bestFit="1" customWidth="1"/>
    <col min="13853" max="14088" width="8.83203125" style="142"/>
    <col min="14089" max="14089" width="38.27734375" style="142" customWidth="1"/>
    <col min="14090" max="14090" width="23.44140625" style="142" bestFit="1" customWidth="1"/>
    <col min="14091" max="14092" width="9.1640625" style="142" customWidth="1"/>
    <col min="14093" max="14093" width="11.27734375" style="142" bestFit="1" customWidth="1"/>
    <col min="14094" max="14094" width="14.44140625" style="142" bestFit="1" customWidth="1"/>
    <col min="14095" max="14095" width="8.1640625" style="142" customWidth="1"/>
    <col min="14096" max="14096" width="10.83203125" style="142" bestFit="1" customWidth="1"/>
    <col min="14097" max="14097" width="12.27734375" style="142" bestFit="1" customWidth="1"/>
    <col min="14098" max="14098" width="9.1640625" style="142" customWidth="1"/>
    <col min="14099" max="14099" width="10.83203125" style="142" bestFit="1" customWidth="1"/>
    <col min="14100" max="14100" width="12.27734375" style="142" bestFit="1" customWidth="1"/>
    <col min="14101" max="14101" width="8" style="142" customWidth="1"/>
    <col min="14102" max="14102" width="10.83203125" style="142" bestFit="1" customWidth="1"/>
    <col min="14103" max="14103" width="12.27734375" style="142" bestFit="1" customWidth="1"/>
    <col min="14104" max="14104" width="8.1640625" style="142" bestFit="1" customWidth="1"/>
    <col min="14105" max="14105" width="10.83203125" style="142" bestFit="1" customWidth="1"/>
    <col min="14106" max="14106" width="12.27734375" style="142" bestFit="1" customWidth="1"/>
    <col min="14107" max="14107" width="18.27734375" style="142" bestFit="1" customWidth="1"/>
    <col min="14108" max="14108" width="10.83203125" style="142" bestFit="1" customWidth="1"/>
    <col min="14109" max="14344" width="8.83203125" style="142"/>
    <col min="14345" max="14345" width="38.27734375" style="142" customWidth="1"/>
    <col min="14346" max="14346" width="23.44140625" style="142" bestFit="1" customWidth="1"/>
    <col min="14347" max="14348" width="9.1640625" style="142" customWidth="1"/>
    <col min="14349" max="14349" width="11.27734375" style="142" bestFit="1" customWidth="1"/>
    <col min="14350" max="14350" width="14.44140625" style="142" bestFit="1" customWidth="1"/>
    <col min="14351" max="14351" width="8.1640625" style="142" customWidth="1"/>
    <col min="14352" max="14352" width="10.83203125" style="142" bestFit="1" customWidth="1"/>
    <col min="14353" max="14353" width="12.27734375" style="142" bestFit="1" customWidth="1"/>
    <col min="14354" max="14354" width="9.1640625" style="142" customWidth="1"/>
    <col min="14355" max="14355" width="10.83203125" style="142" bestFit="1" customWidth="1"/>
    <col min="14356" max="14356" width="12.27734375" style="142" bestFit="1" customWidth="1"/>
    <col min="14357" max="14357" width="8" style="142" customWidth="1"/>
    <col min="14358" max="14358" width="10.83203125" style="142" bestFit="1" customWidth="1"/>
    <col min="14359" max="14359" width="12.27734375" style="142" bestFit="1" customWidth="1"/>
    <col min="14360" max="14360" width="8.1640625" style="142" bestFit="1" customWidth="1"/>
    <col min="14361" max="14361" width="10.83203125" style="142" bestFit="1" customWidth="1"/>
    <col min="14362" max="14362" width="12.27734375" style="142" bestFit="1" customWidth="1"/>
    <col min="14363" max="14363" width="18.27734375" style="142" bestFit="1" customWidth="1"/>
    <col min="14364" max="14364" width="10.83203125" style="142" bestFit="1" customWidth="1"/>
    <col min="14365" max="14600" width="8.83203125" style="142"/>
    <col min="14601" max="14601" width="38.27734375" style="142" customWidth="1"/>
    <col min="14602" max="14602" width="23.44140625" style="142" bestFit="1" customWidth="1"/>
    <col min="14603" max="14604" width="9.1640625" style="142" customWidth="1"/>
    <col min="14605" max="14605" width="11.27734375" style="142" bestFit="1" customWidth="1"/>
    <col min="14606" max="14606" width="14.44140625" style="142" bestFit="1" customWidth="1"/>
    <col min="14607" max="14607" width="8.1640625" style="142" customWidth="1"/>
    <col min="14608" max="14608" width="10.83203125" style="142" bestFit="1" customWidth="1"/>
    <col min="14609" max="14609" width="12.27734375" style="142" bestFit="1" customWidth="1"/>
    <col min="14610" max="14610" width="9.1640625" style="142" customWidth="1"/>
    <col min="14611" max="14611" width="10.83203125" style="142" bestFit="1" customWidth="1"/>
    <col min="14612" max="14612" width="12.27734375" style="142" bestFit="1" customWidth="1"/>
    <col min="14613" max="14613" width="8" style="142" customWidth="1"/>
    <col min="14614" max="14614" width="10.83203125" style="142" bestFit="1" customWidth="1"/>
    <col min="14615" max="14615" width="12.27734375" style="142" bestFit="1" customWidth="1"/>
    <col min="14616" max="14616" width="8.1640625" style="142" bestFit="1" customWidth="1"/>
    <col min="14617" max="14617" width="10.83203125" style="142" bestFit="1" customWidth="1"/>
    <col min="14618" max="14618" width="12.27734375" style="142" bestFit="1" customWidth="1"/>
    <col min="14619" max="14619" width="18.27734375" style="142" bestFit="1" customWidth="1"/>
    <col min="14620" max="14620" width="10.83203125" style="142" bestFit="1" customWidth="1"/>
    <col min="14621" max="14856" width="8.83203125" style="142"/>
    <col min="14857" max="14857" width="38.27734375" style="142" customWidth="1"/>
    <col min="14858" max="14858" width="23.44140625" style="142" bestFit="1" customWidth="1"/>
    <col min="14859" max="14860" width="9.1640625" style="142" customWidth="1"/>
    <col min="14861" max="14861" width="11.27734375" style="142" bestFit="1" customWidth="1"/>
    <col min="14862" max="14862" width="14.44140625" style="142" bestFit="1" customWidth="1"/>
    <col min="14863" max="14863" width="8.1640625" style="142" customWidth="1"/>
    <col min="14864" max="14864" width="10.83203125" style="142" bestFit="1" customWidth="1"/>
    <col min="14865" max="14865" width="12.27734375" style="142" bestFit="1" customWidth="1"/>
    <col min="14866" max="14866" width="9.1640625" style="142" customWidth="1"/>
    <col min="14867" max="14867" width="10.83203125" style="142" bestFit="1" customWidth="1"/>
    <col min="14868" max="14868" width="12.27734375" style="142" bestFit="1" customWidth="1"/>
    <col min="14869" max="14869" width="8" style="142" customWidth="1"/>
    <col min="14870" max="14870" width="10.83203125" style="142" bestFit="1" customWidth="1"/>
    <col min="14871" max="14871" width="12.27734375" style="142" bestFit="1" customWidth="1"/>
    <col min="14872" max="14872" width="8.1640625" style="142" bestFit="1" customWidth="1"/>
    <col min="14873" max="14873" width="10.83203125" style="142" bestFit="1" customWidth="1"/>
    <col min="14874" max="14874" width="12.27734375" style="142" bestFit="1" customWidth="1"/>
    <col min="14875" max="14875" width="18.27734375" style="142" bestFit="1" customWidth="1"/>
    <col min="14876" max="14876" width="10.83203125" style="142" bestFit="1" customWidth="1"/>
    <col min="14877" max="15112" width="8.83203125" style="142"/>
    <col min="15113" max="15113" width="38.27734375" style="142" customWidth="1"/>
    <col min="15114" max="15114" width="23.44140625" style="142" bestFit="1" customWidth="1"/>
    <col min="15115" max="15116" width="9.1640625" style="142" customWidth="1"/>
    <col min="15117" max="15117" width="11.27734375" style="142" bestFit="1" customWidth="1"/>
    <col min="15118" max="15118" width="14.44140625" style="142" bestFit="1" customWidth="1"/>
    <col min="15119" max="15119" width="8.1640625" style="142" customWidth="1"/>
    <col min="15120" max="15120" width="10.83203125" style="142" bestFit="1" customWidth="1"/>
    <col min="15121" max="15121" width="12.27734375" style="142" bestFit="1" customWidth="1"/>
    <col min="15122" max="15122" width="9.1640625" style="142" customWidth="1"/>
    <col min="15123" max="15123" width="10.83203125" style="142" bestFit="1" customWidth="1"/>
    <col min="15124" max="15124" width="12.27734375" style="142" bestFit="1" customWidth="1"/>
    <col min="15125" max="15125" width="8" style="142" customWidth="1"/>
    <col min="15126" max="15126" width="10.83203125" style="142" bestFit="1" customWidth="1"/>
    <col min="15127" max="15127" width="12.27734375" style="142" bestFit="1" customWidth="1"/>
    <col min="15128" max="15128" width="8.1640625" style="142" bestFit="1" customWidth="1"/>
    <col min="15129" max="15129" width="10.83203125" style="142" bestFit="1" customWidth="1"/>
    <col min="15130" max="15130" width="12.27734375" style="142" bestFit="1" customWidth="1"/>
    <col min="15131" max="15131" width="18.27734375" style="142" bestFit="1" customWidth="1"/>
    <col min="15132" max="15132" width="10.83203125" style="142" bestFit="1" customWidth="1"/>
    <col min="15133" max="15368" width="8.83203125" style="142"/>
    <col min="15369" max="15369" width="38.27734375" style="142" customWidth="1"/>
    <col min="15370" max="15370" width="23.44140625" style="142" bestFit="1" customWidth="1"/>
    <col min="15371" max="15372" width="9.1640625" style="142" customWidth="1"/>
    <col min="15373" max="15373" width="11.27734375" style="142" bestFit="1" customWidth="1"/>
    <col min="15374" max="15374" width="14.44140625" style="142" bestFit="1" customWidth="1"/>
    <col min="15375" max="15375" width="8.1640625" style="142" customWidth="1"/>
    <col min="15376" max="15376" width="10.83203125" style="142" bestFit="1" customWidth="1"/>
    <col min="15377" max="15377" width="12.27734375" style="142" bestFit="1" customWidth="1"/>
    <col min="15378" max="15378" width="9.1640625" style="142" customWidth="1"/>
    <col min="15379" max="15379" width="10.83203125" style="142" bestFit="1" customWidth="1"/>
    <col min="15380" max="15380" width="12.27734375" style="142" bestFit="1" customWidth="1"/>
    <col min="15381" max="15381" width="8" style="142" customWidth="1"/>
    <col min="15382" max="15382" width="10.83203125" style="142" bestFit="1" customWidth="1"/>
    <col min="15383" max="15383" width="12.27734375" style="142" bestFit="1" customWidth="1"/>
    <col min="15384" max="15384" width="8.1640625" style="142" bestFit="1" customWidth="1"/>
    <col min="15385" max="15385" width="10.83203125" style="142" bestFit="1" customWidth="1"/>
    <col min="15386" max="15386" width="12.27734375" style="142" bestFit="1" customWidth="1"/>
    <col min="15387" max="15387" width="18.27734375" style="142" bestFit="1" customWidth="1"/>
    <col min="15388" max="15388" width="10.83203125" style="142" bestFit="1" customWidth="1"/>
    <col min="15389" max="15624" width="8.83203125" style="142"/>
    <col min="15625" max="15625" width="38.27734375" style="142" customWidth="1"/>
    <col min="15626" max="15626" width="23.44140625" style="142" bestFit="1" customWidth="1"/>
    <col min="15627" max="15628" width="9.1640625" style="142" customWidth="1"/>
    <col min="15629" max="15629" width="11.27734375" style="142" bestFit="1" customWidth="1"/>
    <col min="15630" max="15630" width="14.44140625" style="142" bestFit="1" customWidth="1"/>
    <col min="15631" max="15631" width="8.1640625" style="142" customWidth="1"/>
    <col min="15632" max="15632" width="10.83203125" style="142" bestFit="1" customWidth="1"/>
    <col min="15633" max="15633" width="12.27734375" style="142" bestFit="1" customWidth="1"/>
    <col min="15634" max="15634" width="9.1640625" style="142" customWidth="1"/>
    <col min="15635" max="15635" width="10.83203125" style="142" bestFit="1" customWidth="1"/>
    <col min="15636" max="15636" width="12.27734375" style="142" bestFit="1" customWidth="1"/>
    <col min="15637" max="15637" width="8" style="142" customWidth="1"/>
    <col min="15638" max="15638" width="10.83203125" style="142" bestFit="1" customWidth="1"/>
    <col min="15639" max="15639" width="12.27734375" style="142" bestFit="1" customWidth="1"/>
    <col min="15640" max="15640" width="8.1640625" style="142" bestFit="1" customWidth="1"/>
    <col min="15641" max="15641" width="10.83203125" style="142" bestFit="1" customWidth="1"/>
    <col min="15642" max="15642" width="12.27734375" style="142" bestFit="1" customWidth="1"/>
    <col min="15643" max="15643" width="18.27734375" style="142" bestFit="1" customWidth="1"/>
    <col min="15644" max="15644" width="10.83203125" style="142" bestFit="1" customWidth="1"/>
    <col min="15645" max="15880" width="8.83203125" style="142"/>
    <col min="15881" max="15881" width="38.27734375" style="142" customWidth="1"/>
    <col min="15882" max="15882" width="23.44140625" style="142" bestFit="1" customWidth="1"/>
    <col min="15883" max="15884" width="9.1640625" style="142" customWidth="1"/>
    <col min="15885" max="15885" width="11.27734375" style="142" bestFit="1" customWidth="1"/>
    <col min="15886" max="15886" width="14.44140625" style="142" bestFit="1" customWidth="1"/>
    <col min="15887" max="15887" width="8.1640625" style="142" customWidth="1"/>
    <col min="15888" max="15888" width="10.83203125" style="142" bestFit="1" customWidth="1"/>
    <col min="15889" max="15889" width="12.27734375" style="142" bestFit="1" customWidth="1"/>
    <col min="15890" max="15890" width="9.1640625" style="142" customWidth="1"/>
    <col min="15891" max="15891" width="10.83203125" style="142" bestFit="1" customWidth="1"/>
    <col min="15892" max="15892" width="12.27734375" style="142" bestFit="1" customWidth="1"/>
    <col min="15893" max="15893" width="8" style="142" customWidth="1"/>
    <col min="15894" max="15894" width="10.83203125" style="142" bestFit="1" customWidth="1"/>
    <col min="15895" max="15895" width="12.27734375" style="142" bestFit="1" customWidth="1"/>
    <col min="15896" max="15896" width="8.1640625" style="142" bestFit="1" customWidth="1"/>
    <col min="15897" max="15897" width="10.83203125" style="142" bestFit="1" customWidth="1"/>
    <col min="15898" max="15898" width="12.27734375" style="142" bestFit="1" customWidth="1"/>
    <col min="15899" max="15899" width="18.27734375" style="142" bestFit="1" customWidth="1"/>
    <col min="15900" max="15900" width="10.83203125" style="142" bestFit="1" customWidth="1"/>
    <col min="15901" max="16136" width="8.83203125" style="142"/>
    <col min="16137" max="16137" width="38.27734375" style="142" customWidth="1"/>
    <col min="16138" max="16138" width="23.44140625" style="142" bestFit="1" customWidth="1"/>
    <col min="16139" max="16140" width="9.1640625" style="142" customWidth="1"/>
    <col min="16141" max="16141" width="11.27734375" style="142" bestFit="1" customWidth="1"/>
    <col min="16142" max="16142" width="14.44140625" style="142" bestFit="1" customWidth="1"/>
    <col min="16143" max="16143" width="8.1640625" style="142" customWidth="1"/>
    <col min="16144" max="16144" width="10.83203125" style="142" bestFit="1" customWidth="1"/>
    <col min="16145" max="16145" width="12.27734375" style="142" bestFit="1" customWidth="1"/>
    <col min="16146" max="16146" width="9.1640625" style="142" customWidth="1"/>
    <col min="16147" max="16147" width="10.83203125" style="142" bestFit="1" customWidth="1"/>
    <col min="16148" max="16148" width="12.27734375" style="142" bestFit="1" customWidth="1"/>
    <col min="16149" max="16149" width="8" style="142" customWidth="1"/>
    <col min="16150" max="16150" width="10.83203125" style="142" bestFit="1" customWidth="1"/>
    <col min="16151" max="16151" width="12.27734375" style="142" bestFit="1" customWidth="1"/>
    <col min="16152" max="16152" width="8.1640625" style="142" bestFit="1" customWidth="1"/>
    <col min="16153" max="16153" width="10.83203125" style="142" bestFit="1" customWidth="1"/>
    <col min="16154" max="16154" width="12.27734375" style="142" bestFit="1" customWidth="1"/>
    <col min="16155" max="16155" width="18.27734375" style="142" bestFit="1" customWidth="1"/>
    <col min="16156" max="16156" width="10.83203125" style="142" bestFit="1" customWidth="1"/>
    <col min="16157" max="16384" width="8.83203125" style="142"/>
  </cols>
  <sheetData>
    <row r="2" spans="1:36" ht="23.4" thickBot="1">
      <c r="A2" s="598" t="s">
        <v>545</v>
      </c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  <c r="R2" s="598"/>
      <c r="S2" s="598"/>
      <c r="T2" s="598"/>
      <c r="U2" s="598"/>
      <c r="V2" s="598"/>
      <c r="W2" s="598"/>
    </row>
    <row r="3" spans="1:36" ht="23.5" customHeight="1">
      <c r="A3" s="591" t="s">
        <v>62</v>
      </c>
      <c r="B3" s="587" t="s">
        <v>63</v>
      </c>
      <c r="C3" s="580" t="s">
        <v>64</v>
      </c>
      <c r="D3" s="581"/>
      <c r="E3" s="581"/>
      <c r="F3" s="582"/>
      <c r="G3" s="580" t="s">
        <v>65</v>
      </c>
      <c r="H3" s="581"/>
      <c r="I3" s="581"/>
      <c r="J3" s="582"/>
      <c r="K3" s="580" t="s">
        <v>66</v>
      </c>
      <c r="L3" s="581"/>
      <c r="M3" s="581"/>
      <c r="N3" s="582"/>
      <c r="O3" s="580" t="s">
        <v>67</v>
      </c>
      <c r="P3" s="581"/>
      <c r="Q3" s="581"/>
      <c r="R3" s="582"/>
      <c r="S3" s="580" t="s">
        <v>68</v>
      </c>
      <c r="T3" s="581"/>
      <c r="U3" s="581"/>
      <c r="V3" s="582"/>
      <c r="W3" s="596" t="s">
        <v>69</v>
      </c>
      <c r="AE3" s="463"/>
    </row>
    <row r="4" spans="1:36" ht="47.65" customHeight="1">
      <c r="A4" s="592"/>
      <c r="B4" s="588"/>
      <c r="C4" s="464" t="s">
        <v>70</v>
      </c>
      <c r="D4" s="150" t="s">
        <v>71</v>
      </c>
      <c r="E4" s="151" t="s">
        <v>72</v>
      </c>
      <c r="F4" s="152" t="s">
        <v>69</v>
      </c>
      <c r="G4" s="464" t="s">
        <v>70</v>
      </c>
      <c r="H4" s="150" t="s">
        <v>71</v>
      </c>
      <c r="I4" s="465" t="s">
        <v>72</v>
      </c>
      <c r="J4" s="466" t="s">
        <v>69</v>
      </c>
      <c r="K4" s="464" t="s">
        <v>70</v>
      </c>
      <c r="L4" s="150" t="s">
        <v>71</v>
      </c>
      <c r="M4" s="151" t="s">
        <v>72</v>
      </c>
      <c r="N4" s="466" t="s">
        <v>69</v>
      </c>
      <c r="O4" s="464" t="s">
        <v>70</v>
      </c>
      <c r="P4" s="150" t="s">
        <v>71</v>
      </c>
      <c r="Q4" s="465" t="s">
        <v>72</v>
      </c>
      <c r="R4" s="466" t="s">
        <v>69</v>
      </c>
      <c r="S4" s="464" t="s">
        <v>70</v>
      </c>
      <c r="T4" s="150" t="s">
        <v>71</v>
      </c>
      <c r="U4" s="465" t="s">
        <v>72</v>
      </c>
      <c r="V4" s="466" t="s">
        <v>69</v>
      </c>
      <c r="W4" s="597"/>
      <c r="AE4" s="463"/>
    </row>
    <row r="5" spans="1:36" ht="20.399999999999999">
      <c r="A5" s="311" t="s">
        <v>73</v>
      </c>
      <c r="B5" s="155"/>
      <c r="C5" s="467"/>
      <c r="D5" s="157"/>
      <c r="E5" s="158"/>
      <c r="F5" s="159"/>
      <c r="G5" s="467"/>
      <c r="H5" s="157"/>
      <c r="I5" s="468"/>
      <c r="J5" s="469"/>
      <c r="K5" s="467"/>
      <c r="L5" s="157"/>
      <c r="M5" s="158"/>
      <c r="N5" s="469"/>
      <c r="O5" s="470"/>
      <c r="P5" s="157"/>
      <c r="Q5" s="468"/>
      <c r="R5" s="469"/>
      <c r="S5" s="470"/>
      <c r="T5" s="157"/>
      <c r="U5" s="468"/>
      <c r="V5" s="471"/>
      <c r="W5" s="469"/>
      <c r="AE5" s="164"/>
      <c r="AF5" s="164"/>
      <c r="AG5" s="164"/>
    </row>
    <row r="6" spans="1:36" s="175" customFormat="1" ht="15" customHeight="1" outlineLevel="1">
      <c r="A6" s="165" t="s">
        <v>47</v>
      </c>
      <c r="B6" s="166"/>
      <c r="C6" s="472"/>
      <c r="D6" s="168"/>
      <c r="E6" s="169"/>
      <c r="F6" s="170"/>
      <c r="G6" s="472"/>
      <c r="H6" s="168"/>
      <c r="I6" s="473"/>
      <c r="J6" s="474"/>
      <c r="K6" s="472"/>
      <c r="L6" s="168"/>
      <c r="M6" s="169"/>
      <c r="N6" s="474"/>
      <c r="O6" s="472"/>
      <c r="P6" s="168"/>
      <c r="Q6" s="473"/>
      <c r="R6" s="474"/>
      <c r="S6" s="472"/>
      <c r="T6" s="168"/>
      <c r="U6" s="473"/>
      <c r="V6" s="474"/>
      <c r="W6" s="475"/>
      <c r="X6" s="174"/>
      <c r="Y6" s="142"/>
      <c r="Z6" s="142"/>
      <c r="AA6" s="142"/>
      <c r="AB6" s="142"/>
      <c r="AC6" s="142"/>
      <c r="AD6" s="142"/>
      <c r="AE6" s="463"/>
    </row>
    <row r="7" spans="1:36" s="175" customFormat="1" ht="15.6" outlineLevel="1">
      <c r="A7" s="176" t="s">
        <v>74</v>
      </c>
      <c r="B7" s="177"/>
      <c r="C7" s="472"/>
      <c r="D7" s="168"/>
      <c r="E7" s="169"/>
      <c r="F7" s="170"/>
      <c r="G7" s="472"/>
      <c r="H7" s="168"/>
      <c r="I7" s="473"/>
      <c r="J7" s="474"/>
      <c r="K7" s="472"/>
      <c r="L7" s="168"/>
      <c r="M7" s="169"/>
      <c r="N7" s="474"/>
      <c r="O7" s="472"/>
      <c r="P7" s="168"/>
      <c r="Q7" s="473"/>
      <c r="R7" s="474"/>
      <c r="S7" s="472"/>
      <c r="T7" s="168"/>
      <c r="U7" s="473"/>
      <c r="V7" s="474"/>
      <c r="W7" s="476"/>
      <c r="X7" s="178"/>
      <c r="Y7" s="142"/>
      <c r="Z7" s="142"/>
      <c r="AA7" s="142"/>
      <c r="AB7" s="142"/>
      <c r="AC7" s="142"/>
      <c r="AD7" s="142"/>
      <c r="AE7" s="463"/>
    </row>
    <row r="8" spans="1:36" ht="14.5" customHeight="1" outlineLevel="1">
      <c r="A8" s="477" t="s">
        <v>546</v>
      </c>
      <c r="B8" s="180" t="s">
        <v>190</v>
      </c>
      <c r="C8" s="478">
        <v>14000</v>
      </c>
      <c r="D8" s="479">
        <v>7</v>
      </c>
      <c r="E8" s="183">
        <v>0.1</v>
      </c>
      <c r="F8" s="184">
        <f>C8*D8*E8</f>
        <v>9800</v>
      </c>
      <c r="G8" s="480">
        <f>C8*1.04</f>
        <v>14560</v>
      </c>
      <c r="H8" s="479">
        <v>12</v>
      </c>
      <c r="I8" s="183">
        <v>0.1</v>
      </c>
      <c r="J8" s="184">
        <f>G8*H8*I8</f>
        <v>17472</v>
      </c>
      <c r="K8" s="480">
        <f>G8*1.04</f>
        <v>15142.4</v>
      </c>
      <c r="L8" s="479">
        <v>11</v>
      </c>
      <c r="M8" s="183">
        <v>0.1</v>
      </c>
      <c r="N8" s="184">
        <f>K8*L8*M8</f>
        <v>16656.64</v>
      </c>
      <c r="O8" s="480">
        <f>K8*1.04</f>
        <v>15748.096</v>
      </c>
      <c r="P8" s="479">
        <v>0</v>
      </c>
      <c r="Q8" s="183">
        <v>0</v>
      </c>
      <c r="R8" s="184">
        <f>O8*P8*Q8</f>
        <v>0</v>
      </c>
      <c r="S8" s="480">
        <f>O8*1.04</f>
        <v>16378.019840000001</v>
      </c>
      <c r="T8" s="479">
        <v>0</v>
      </c>
      <c r="U8" s="183">
        <v>0</v>
      </c>
      <c r="V8" s="184">
        <f>S8*T8*U8</f>
        <v>0</v>
      </c>
      <c r="W8" s="481">
        <f>F8+J8+N8+R8+V8</f>
        <v>43928.639999999999</v>
      </c>
      <c r="X8" s="187"/>
      <c r="Y8" s="174"/>
      <c r="Z8" s="188"/>
      <c r="AA8" s="188"/>
      <c r="AE8" s="463"/>
      <c r="AF8" s="189"/>
      <c r="AG8" s="189"/>
      <c r="AH8" s="190"/>
      <c r="AJ8" s="191"/>
    </row>
    <row r="9" spans="1:36" ht="14.5" customHeight="1" outlineLevel="1">
      <c r="A9" s="477" t="s">
        <v>547</v>
      </c>
      <c r="B9" s="180" t="s">
        <v>190</v>
      </c>
      <c r="C9" s="478">
        <v>12000</v>
      </c>
      <c r="D9" s="479">
        <v>7</v>
      </c>
      <c r="E9" s="183">
        <v>0.05</v>
      </c>
      <c r="F9" s="184">
        <f t="shared" ref="F9:F10" si="0">C9*D9*E9</f>
        <v>4200</v>
      </c>
      <c r="G9" s="480">
        <f>C9*1.04</f>
        <v>12480</v>
      </c>
      <c r="H9" s="479">
        <v>12</v>
      </c>
      <c r="I9" s="183">
        <v>0.05</v>
      </c>
      <c r="J9" s="184">
        <f>G9*H9*I9</f>
        <v>7488</v>
      </c>
      <c r="K9" s="480">
        <f>G9*1.04</f>
        <v>12979.2</v>
      </c>
      <c r="L9" s="479">
        <v>11</v>
      </c>
      <c r="M9" s="183">
        <v>0.05</v>
      </c>
      <c r="N9" s="184">
        <f>K9*L9*M9</f>
        <v>7138.5600000000013</v>
      </c>
      <c r="O9" s="480">
        <f>K9*1.04</f>
        <v>13498.368</v>
      </c>
      <c r="P9" s="479">
        <v>0</v>
      </c>
      <c r="Q9" s="183">
        <v>0</v>
      </c>
      <c r="R9" s="184">
        <f>O9*P9*Q9</f>
        <v>0</v>
      </c>
      <c r="S9" s="480">
        <f>O9*1.04</f>
        <v>14038.302720000002</v>
      </c>
      <c r="T9" s="479">
        <v>0</v>
      </c>
      <c r="U9" s="183">
        <v>0</v>
      </c>
      <c r="V9" s="184">
        <f>S9*T9*U9</f>
        <v>0</v>
      </c>
      <c r="W9" s="481">
        <f>F9+J9+N9+R9+V9</f>
        <v>18826.560000000001</v>
      </c>
      <c r="X9" s="187"/>
      <c r="Y9" s="174"/>
      <c r="Z9" s="188"/>
      <c r="AA9" s="188"/>
      <c r="AE9" s="463"/>
      <c r="AF9" s="189"/>
      <c r="AG9" s="189"/>
      <c r="AH9" s="190"/>
      <c r="AJ9" s="191"/>
    </row>
    <row r="10" spans="1:36" ht="14.5" customHeight="1" outlineLevel="1">
      <c r="A10" s="477" t="s">
        <v>548</v>
      </c>
      <c r="B10" s="180" t="s">
        <v>190</v>
      </c>
      <c r="C10" s="480">
        <v>10000</v>
      </c>
      <c r="D10" s="479">
        <v>7</v>
      </c>
      <c r="E10" s="183">
        <v>0.15</v>
      </c>
      <c r="F10" s="184">
        <f t="shared" si="0"/>
        <v>10500</v>
      </c>
      <c r="G10" s="480">
        <f>C10*1.04</f>
        <v>10400</v>
      </c>
      <c r="H10" s="479">
        <v>12</v>
      </c>
      <c r="I10" s="183">
        <v>0.15</v>
      </c>
      <c r="J10" s="184">
        <f>G10*H10*I10</f>
        <v>18720</v>
      </c>
      <c r="K10" s="480">
        <f>G10*1.04</f>
        <v>10816</v>
      </c>
      <c r="L10" s="479">
        <v>11</v>
      </c>
      <c r="M10" s="183">
        <v>0.1</v>
      </c>
      <c r="N10" s="184">
        <f>K10*L10*M10</f>
        <v>11897.6</v>
      </c>
      <c r="O10" s="480">
        <f>K10*1.04</f>
        <v>11248.640000000001</v>
      </c>
      <c r="P10" s="479">
        <v>0</v>
      </c>
      <c r="Q10" s="183">
        <v>0</v>
      </c>
      <c r="R10" s="184">
        <f>O10*P10*Q10</f>
        <v>0</v>
      </c>
      <c r="S10" s="480">
        <f>O10*1.04</f>
        <v>11698.585600000002</v>
      </c>
      <c r="T10" s="479">
        <v>0</v>
      </c>
      <c r="U10" s="183">
        <v>0</v>
      </c>
      <c r="V10" s="184">
        <f>S10*T10*U10</f>
        <v>0</v>
      </c>
      <c r="W10" s="481">
        <f>F10+J10+N10+R10+V10</f>
        <v>41117.599999999999</v>
      </c>
      <c r="X10" s="187"/>
      <c r="Y10" s="174"/>
      <c r="Z10" s="188"/>
      <c r="AA10" s="188"/>
      <c r="AE10" s="463"/>
      <c r="AF10" s="189"/>
      <c r="AG10" s="189"/>
      <c r="AH10" s="190"/>
      <c r="AJ10" s="191"/>
    </row>
    <row r="11" spans="1:36" ht="14.5" customHeight="1" outlineLevel="1">
      <c r="A11" s="477"/>
      <c r="B11" s="180"/>
      <c r="C11" s="480"/>
      <c r="D11" s="479"/>
      <c r="E11" s="183"/>
      <c r="F11" s="184"/>
      <c r="G11" s="480"/>
      <c r="H11" s="479"/>
      <c r="I11" s="183"/>
      <c r="J11" s="184"/>
      <c r="K11" s="480"/>
      <c r="L11" s="479"/>
      <c r="M11" s="183"/>
      <c r="N11" s="184"/>
      <c r="O11" s="480"/>
      <c r="P11" s="479"/>
      <c r="Q11" s="183"/>
      <c r="R11" s="184"/>
      <c r="S11" s="480"/>
      <c r="T11" s="479"/>
      <c r="U11" s="183"/>
      <c r="V11" s="184">
        <f>S11*T11*U11</f>
        <v>0</v>
      </c>
      <c r="W11" s="481">
        <f>F11+J11+N11+R11+V11</f>
        <v>0</v>
      </c>
      <c r="X11" s="187"/>
      <c r="Y11" s="174"/>
      <c r="Z11" s="188"/>
      <c r="AA11" s="188"/>
      <c r="AE11" s="463"/>
      <c r="AF11" s="189"/>
      <c r="AG11" s="189"/>
      <c r="AH11" s="190"/>
      <c r="AJ11" s="191"/>
    </row>
    <row r="12" spans="1:36" ht="15" customHeight="1" outlineLevel="1">
      <c r="A12" s="194" t="s">
        <v>76</v>
      </c>
      <c r="B12" s="195"/>
      <c r="C12" s="482"/>
      <c r="D12" s="197"/>
      <c r="E12" s="198"/>
      <c r="F12" s="199">
        <f>SUM(F8:F11)</f>
        <v>24500</v>
      </c>
      <c r="G12" s="482"/>
      <c r="H12" s="197"/>
      <c r="I12" s="198"/>
      <c r="J12" s="199">
        <f>SUM(J8:J11)</f>
        <v>43680</v>
      </c>
      <c r="K12" s="482"/>
      <c r="L12" s="197"/>
      <c r="M12" s="198"/>
      <c r="N12" s="199">
        <f>SUM(N8:N11)</f>
        <v>35692.800000000003</v>
      </c>
      <c r="O12" s="482"/>
      <c r="P12" s="197"/>
      <c r="Q12" s="198"/>
      <c r="R12" s="199">
        <f>SUM(R8:R11)</f>
        <v>0</v>
      </c>
      <c r="S12" s="482"/>
      <c r="T12" s="197"/>
      <c r="U12" s="198"/>
      <c r="V12" s="199">
        <f>SUM(V8:V11)</f>
        <v>0</v>
      </c>
      <c r="W12" s="483">
        <f>+F12+J12+N12+R12+V12</f>
        <v>103872.8</v>
      </c>
      <c r="AE12" s="463"/>
      <c r="AF12" s="189"/>
      <c r="AG12" s="189"/>
    </row>
    <row r="13" spans="1:36" ht="15" customHeight="1" outlineLevel="1">
      <c r="A13" s="176" t="s">
        <v>83</v>
      </c>
      <c r="B13" s="202"/>
      <c r="C13" s="484"/>
      <c r="D13" s="204"/>
      <c r="E13" s="205"/>
      <c r="F13" s="184"/>
      <c r="G13" s="484"/>
      <c r="H13" s="204"/>
      <c r="I13" s="205"/>
      <c r="J13" s="485"/>
      <c r="K13" s="484"/>
      <c r="L13" s="204"/>
      <c r="M13" s="205"/>
      <c r="N13" s="485"/>
      <c r="O13" s="484"/>
      <c r="P13" s="204"/>
      <c r="Q13" s="205"/>
      <c r="R13" s="485"/>
      <c r="S13" s="484"/>
      <c r="T13" s="204"/>
      <c r="U13" s="205"/>
      <c r="V13" s="485"/>
      <c r="W13" s="486"/>
      <c r="X13" s="178"/>
      <c r="AE13" s="463"/>
      <c r="AF13" s="189"/>
      <c r="AG13" s="189"/>
      <c r="AJ13" s="191"/>
    </row>
    <row r="14" spans="1:36" ht="15" customHeight="1" outlineLevel="1">
      <c r="A14" s="477" t="s">
        <v>549</v>
      </c>
      <c r="B14" s="180" t="s">
        <v>190</v>
      </c>
      <c r="C14" s="480">
        <v>1200</v>
      </c>
      <c r="D14" s="479">
        <v>7</v>
      </c>
      <c r="E14" s="183">
        <v>0.25</v>
      </c>
      <c r="F14" s="184">
        <f t="shared" ref="F14:F16" si="1">C14*D14*E14</f>
        <v>2100</v>
      </c>
      <c r="G14" s="480">
        <f t="shared" ref="G14:G16" si="2">C14*1.04</f>
        <v>1248</v>
      </c>
      <c r="H14" s="479">
        <v>12</v>
      </c>
      <c r="I14" s="183">
        <v>0.25</v>
      </c>
      <c r="J14" s="184">
        <f t="shared" ref="J14:J16" si="3">G14*H14*I14</f>
        <v>3744</v>
      </c>
      <c r="K14" s="480">
        <f t="shared" ref="K14:K16" si="4">G14*1.04</f>
        <v>1297.92</v>
      </c>
      <c r="L14" s="479">
        <v>11</v>
      </c>
      <c r="M14" s="183">
        <v>0.25</v>
      </c>
      <c r="N14" s="184">
        <f t="shared" ref="N14:N16" si="5">K14*L14*M14</f>
        <v>3569.28</v>
      </c>
      <c r="O14" s="480">
        <f t="shared" ref="O14:O16" si="6">K14*1.04</f>
        <v>1349.8368</v>
      </c>
      <c r="P14" s="479">
        <v>0</v>
      </c>
      <c r="Q14" s="183">
        <v>0</v>
      </c>
      <c r="R14" s="184">
        <f t="shared" ref="R14:R16" si="7">O14*P14*Q14</f>
        <v>0</v>
      </c>
      <c r="S14" s="480">
        <f t="shared" ref="S14:S16" si="8">O14*1.04</f>
        <v>1403.8302720000002</v>
      </c>
      <c r="T14" s="479">
        <v>0</v>
      </c>
      <c r="U14" s="183">
        <v>0</v>
      </c>
      <c r="V14" s="184">
        <f t="shared" ref="V14:V16" si="9">S14*T14*U14</f>
        <v>0</v>
      </c>
      <c r="W14" s="481">
        <f t="shared" ref="W14:W16" si="10">F14+J14+N14+R14+V14</f>
        <v>9413.2800000000007</v>
      </c>
      <c r="X14" s="187"/>
      <c r="Y14" s="174"/>
      <c r="Z14" s="188"/>
      <c r="AA14" s="188"/>
      <c r="AE14" s="463"/>
      <c r="AF14" s="189"/>
      <c r="AG14" s="189"/>
      <c r="AH14" s="190"/>
      <c r="AJ14" s="191"/>
    </row>
    <row r="15" spans="1:36" ht="15" customHeight="1" outlineLevel="1">
      <c r="A15" s="477" t="s">
        <v>550</v>
      </c>
      <c r="B15" s="180" t="s">
        <v>190</v>
      </c>
      <c r="C15" s="480">
        <v>1200</v>
      </c>
      <c r="D15" s="479">
        <v>7</v>
      </c>
      <c r="E15" s="183">
        <v>0.1</v>
      </c>
      <c r="F15" s="184">
        <f t="shared" si="1"/>
        <v>840</v>
      </c>
      <c r="G15" s="480">
        <f t="shared" si="2"/>
        <v>1248</v>
      </c>
      <c r="H15" s="479">
        <v>12</v>
      </c>
      <c r="I15" s="183">
        <v>0.1</v>
      </c>
      <c r="J15" s="184">
        <f t="shared" si="3"/>
        <v>1497.6000000000001</v>
      </c>
      <c r="K15" s="480">
        <f t="shared" si="4"/>
        <v>1297.92</v>
      </c>
      <c r="L15" s="479">
        <v>11</v>
      </c>
      <c r="M15" s="183">
        <v>0.1</v>
      </c>
      <c r="N15" s="184">
        <f t="shared" si="5"/>
        <v>1427.7120000000002</v>
      </c>
      <c r="O15" s="480">
        <f t="shared" si="6"/>
        <v>1349.8368</v>
      </c>
      <c r="P15" s="479">
        <v>0</v>
      </c>
      <c r="Q15" s="183">
        <v>0</v>
      </c>
      <c r="R15" s="184">
        <f t="shared" si="7"/>
        <v>0</v>
      </c>
      <c r="S15" s="480">
        <f t="shared" si="8"/>
        <v>1403.8302720000002</v>
      </c>
      <c r="T15" s="479">
        <v>0</v>
      </c>
      <c r="U15" s="183">
        <v>0</v>
      </c>
      <c r="V15" s="184">
        <f t="shared" si="9"/>
        <v>0</v>
      </c>
      <c r="W15" s="481">
        <f t="shared" si="10"/>
        <v>3765.3120000000008</v>
      </c>
      <c r="X15" s="187"/>
      <c r="Y15" s="174"/>
      <c r="Z15" s="188"/>
      <c r="AA15" s="188"/>
      <c r="AE15" s="463"/>
      <c r="AF15" s="189"/>
      <c r="AG15" s="189"/>
      <c r="AH15" s="190"/>
      <c r="AJ15" s="191"/>
    </row>
    <row r="16" spans="1:36" ht="15" customHeight="1" outlineLevel="1">
      <c r="A16" s="477" t="s">
        <v>551</v>
      </c>
      <c r="B16" s="180" t="s">
        <v>190</v>
      </c>
      <c r="C16" s="480">
        <v>1200</v>
      </c>
      <c r="D16" s="479">
        <v>7</v>
      </c>
      <c r="E16" s="183">
        <v>0.1</v>
      </c>
      <c r="F16" s="184">
        <f t="shared" si="1"/>
        <v>840</v>
      </c>
      <c r="G16" s="480">
        <f t="shared" si="2"/>
        <v>1248</v>
      </c>
      <c r="H16" s="479">
        <v>12</v>
      </c>
      <c r="I16" s="183">
        <v>0.1</v>
      </c>
      <c r="J16" s="184">
        <f t="shared" si="3"/>
        <v>1497.6000000000001</v>
      </c>
      <c r="K16" s="480">
        <f t="shared" si="4"/>
        <v>1297.92</v>
      </c>
      <c r="L16" s="479">
        <v>11</v>
      </c>
      <c r="M16" s="183">
        <v>0.1</v>
      </c>
      <c r="N16" s="184">
        <f t="shared" si="5"/>
        <v>1427.7120000000002</v>
      </c>
      <c r="O16" s="480">
        <f t="shared" si="6"/>
        <v>1349.8368</v>
      </c>
      <c r="P16" s="479">
        <v>0</v>
      </c>
      <c r="Q16" s="183">
        <v>0</v>
      </c>
      <c r="R16" s="184">
        <f t="shared" si="7"/>
        <v>0</v>
      </c>
      <c r="S16" s="480">
        <f t="shared" si="8"/>
        <v>1403.8302720000002</v>
      </c>
      <c r="T16" s="479">
        <v>0</v>
      </c>
      <c r="U16" s="183">
        <v>0</v>
      </c>
      <c r="V16" s="184">
        <f t="shared" si="9"/>
        <v>0</v>
      </c>
      <c r="W16" s="481">
        <f t="shared" si="10"/>
        <v>3765.3120000000008</v>
      </c>
      <c r="X16" s="187"/>
      <c r="Y16" s="174"/>
      <c r="Z16" s="188"/>
      <c r="AA16" s="188"/>
      <c r="AE16" s="463"/>
      <c r="AF16" s="189"/>
      <c r="AG16" s="189"/>
      <c r="AH16" s="190"/>
      <c r="AJ16" s="191"/>
    </row>
    <row r="17" spans="1:36" ht="15" customHeight="1" outlineLevel="1">
      <c r="A17" s="194" t="s">
        <v>78</v>
      </c>
      <c r="B17" s="195"/>
      <c r="C17" s="482"/>
      <c r="D17" s="197"/>
      <c r="E17" s="198"/>
      <c r="F17" s="199">
        <f>SUM(F14:F16)</f>
        <v>3780</v>
      </c>
      <c r="G17" s="482"/>
      <c r="H17" s="197"/>
      <c r="I17" s="487"/>
      <c r="J17" s="199">
        <f>SUM(J14:J16)</f>
        <v>6739.2000000000007</v>
      </c>
      <c r="K17" s="482"/>
      <c r="L17" s="197"/>
      <c r="M17" s="198"/>
      <c r="N17" s="199">
        <f>SUM(N14:N16)</f>
        <v>6424.7040000000006</v>
      </c>
      <c r="O17" s="482"/>
      <c r="P17" s="197"/>
      <c r="Q17" s="487"/>
      <c r="R17" s="199">
        <f>SUM(R14:R16)</f>
        <v>0</v>
      </c>
      <c r="S17" s="482"/>
      <c r="T17" s="197"/>
      <c r="U17" s="487"/>
      <c r="V17" s="199">
        <f>SUM(V14:V16)</f>
        <v>0</v>
      </c>
      <c r="W17" s="483">
        <f>F17+J17+N17+R17+V17</f>
        <v>16943.904000000002</v>
      </c>
      <c r="AE17" s="463"/>
      <c r="AF17" s="189"/>
      <c r="AG17" s="189"/>
    </row>
    <row r="18" spans="1:36" s="175" customFormat="1" ht="15" customHeight="1" outlineLevel="1">
      <c r="A18" s="211"/>
      <c r="B18" s="202"/>
      <c r="C18" s="484"/>
      <c r="D18" s="204"/>
      <c r="E18" s="145"/>
      <c r="F18" s="184"/>
      <c r="G18" s="484"/>
      <c r="H18" s="204"/>
      <c r="I18" s="145"/>
      <c r="J18" s="184"/>
      <c r="K18" s="484"/>
      <c r="L18" s="204"/>
      <c r="M18" s="145"/>
      <c r="N18" s="184"/>
      <c r="O18" s="484"/>
      <c r="P18" s="204"/>
      <c r="Q18" s="145"/>
      <c r="R18" s="184"/>
      <c r="S18" s="484"/>
      <c r="T18" s="204"/>
      <c r="U18" s="145"/>
      <c r="V18" s="184"/>
      <c r="W18" s="488"/>
      <c r="X18" s="142"/>
      <c r="Y18" s="142"/>
      <c r="Z18" s="142"/>
      <c r="AA18" s="142"/>
      <c r="AB18" s="142"/>
      <c r="AC18" s="142"/>
      <c r="AD18" s="142"/>
      <c r="AE18" s="463"/>
      <c r="AF18" s="189"/>
      <c r="AG18" s="189"/>
      <c r="AH18" s="209"/>
      <c r="AI18" s="210"/>
      <c r="AJ18" s="142"/>
    </row>
    <row r="19" spans="1:36" s="222" customFormat="1" ht="15" customHeight="1">
      <c r="A19" s="212" t="s">
        <v>81</v>
      </c>
      <c r="B19" s="213"/>
      <c r="C19" s="489"/>
      <c r="D19" s="215"/>
      <c r="E19" s="216"/>
      <c r="F19" s="217">
        <f>F17+F12</f>
        <v>28280</v>
      </c>
      <c r="G19" s="489"/>
      <c r="H19" s="215"/>
      <c r="I19" s="490"/>
      <c r="J19" s="217">
        <f>J17+J12</f>
        <v>50419.199999999997</v>
      </c>
      <c r="K19" s="489"/>
      <c r="L19" s="215"/>
      <c r="M19" s="216"/>
      <c r="N19" s="217">
        <f>N17+N12</f>
        <v>42117.504000000001</v>
      </c>
      <c r="O19" s="489"/>
      <c r="P19" s="215"/>
      <c r="Q19" s="490"/>
      <c r="R19" s="217">
        <f>R17+R12</f>
        <v>0</v>
      </c>
      <c r="S19" s="489"/>
      <c r="T19" s="215"/>
      <c r="U19" s="490"/>
      <c r="V19" s="217">
        <f>V17+V12</f>
        <v>0</v>
      </c>
      <c r="W19" s="491">
        <f>+F19+J19+N19+R19+V19</f>
        <v>120816.704</v>
      </c>
      <c r="X19" s="492"/>
      <c r="Y19" s="492"/>
      <c r="Z19" s="492"/>
      <c r="AA19" s="492"/>
      <c r="AB19" s="492"/>
      <c r="AC19" s="221"/>
      <c r="AD19" s="221"/>
      <c r="AE19" s="492"/>
      <c r="AJ19" s="221"/>
    </row>
    <row r="20" spans="1:36" s="175" customFormat="1" ht="15" customHeight="1" outlineLevel="1">
      <c r="A20" s="176" t="s">
        <v>82</v>
      </c>
      <c r="B20" s="177"/>
      <c r="C20" s="472"/>
      <c r="D20" s="168"/>
      <c r="E20" s="169"/>
      <c r="F20" s="170"/>
      <c r="G20" s="472"/>
      <c r="H20" s="168"/>
      <c r="I20" s="473"/>
      <c r="J20" s="474"/>
      <c r="K20" s="472"/>
      <c r="L20" s="168"/>
      <c r="M20" s="169"/>
      <c r="N20" s="474"/>
      <c r="O20" s="472"/>
      <c r="P20" s="168"/>
      <c r="Q20" s="473"/>
      <c r="R20" s="474"/>
      <c r="S20" s="472"/>
      <c r="T20" s="168"/>
      <c r="U20" s="473"/>
      <c r="V20" s="474"/>
      <c r="W20" s="475"/>
      <c r="X20" s="142"/>
      <c r="Y20" s="142"/>
      <c r="Z20" s="142"/>
      <c r="AA20" s="142"/>
      <c r="AB20" s="142"/>
      <c r="AC20" s="142"/>
      <c r="AD20" s="142"/>
      <c r="AE20" s="463"/>
      <c r="AJ20" s="142"/>
    </row>
    <row r="21" spans="1:36" s="175" customFormat="1" ht="15" customHeight="1" outlineLevel="1">
      <c r="A21" s="223" t="s">
        <v>74</v>
      </c>
      <c r="B21" s="202" t="s">
        <v>147</v>
      </c>
      <c r="C21" s="493">
        <f>F12</f>
        <v>24500</v>
      </c>
      <c r="D21" s="204">
        <v>1</v>
      </c>
      <c r="E21" s="145">
        <v>0.1</v>
      </c>
      <c r="F21" s="184">
        <f t="shared" ref="F21:F22" si="11">C21*D21*E21</f>
        <v>2450</v>
      </c>
      <c r="G21" s="493">
        <f>J12</f>
        <v>43680</v>
      </c>
      <c r="H21" s="204">
        <v>1</v>
      </c>
      <c r="I21" s="145">
        <f>E21</f>
        <v>0.1</v>
      </c>
      <c r="J21" s="184">
        <f t="shared" ref="J21:J22" si="12">G21*H21*I21</f>
        <v>4368</v>
      </c>
      <c r="K21" s="493">
        <f>N12</f>
        <v>35692.800000000003</v>
      </c>
      <c r="L21" s="204">
        <v>1</v>
      </c>
      <c r="M21" s="145">
        <f>I21</f>
        <v>0.1</v>
      </c>
      <c r="N21" s="184">
        <f t="shared" ref="N21:N22" si="13">K21*L21*M21</f>
        <v>3569.2800000000007</v>
      </c>
      <c r="O21" s="493">
        <f>R12</f>
        <v>0</v>
      </c>
      <c r="P21" s="204">
        <v>1</v>
      </c>
      <c r="Q21" s="145">
        <f>M21</f>
        <v>0.1</v>
      </c>
      <c r="R21" s="184">
        <f t="shared" ref="R21:R22" si="14">O21*P21*Q21</f>
        <v>0</v>
      </c>
      <c r="S21" s="493">
        <f>V12</f>
        <v>0</v>
      </c>
      <c r="T21" s="204">
        <v>1</v>
      </c>
      <c r="U21" s="145">
        <f>Q21</f>
        <v>0.1</v>
      </c>
      <c r="V21" s="184">
        <f t="shared" ref="V21:V22" si="15">S21*T21*U21</f>
        <v>0</v>
      </c>
      <c r="W21" s="481">
        <f t="shared" ref="W21:W22" si="16">F21+J21+N21+R21+V21</f>
        <v>10387.280000000001</v>
      </c>
      <c r="X21" s="142"/>
      <c r="Y21" s="142"/>
      <c r="Z21" s="142"/>
      <c r="AA21" s="142"/>
      <c r="AB21" s="142"/>
      <c r="AC21" s="142"/>
      <c r="AD21" s="142"/>
      <c r="AE21" s="463"/>
      <c r="AF21" s="189"/>
      <c r="AG21" s="189"/>
      <c r="AJ21" s="142"/>
    </row>
    <row r="22" spans="1:36" s="175" customFormat="1" ht="15" customHeight="1" outlineLevel="1">
      <c r="A22" s="223" t="s">
        <v>83</v>
      </c>
      <c r="B22" s="202" t="s">
        <v>147</v>
      </c>
      <c r="C22" s="493">
        <f>F17</f>
        <v>3780</v>
      </c>
      <c r="D22" s="204">
        <v>1</v>
      </c>
      <c r="E22" s="145">
        <v>0.28399999999999997</v>
      </c>
      <c r="F22" s="184">
        <f t="shared" si="11"/>
        <v>1073.52</v>
      </c>
      <c r="G22" s="493">
        <f>J17</f>
        <v>6739.2000000000007</v>
      </c>
      <c r="H22" s="204">
        <v>1</v>
      </c>
      <c r="I22" s="145">
        <f t="shared" ref="I22" si="17">E22</f>
        <v>0.28399999999999997</v>
      </c>
      <c r="J22" s="184">
        <f t="shared" si="12"/>
        <v>1913.9328</v>
      </c>
      <c r="K22" s="493">
        <f>N17</f>
        <v>6424.7040000000006</v>
      </c>
      <c r="L22" s="204">
        <v>1</v>
      </c>
      <c r="M22" s="145">
        <f t="shared" ref="M22" si="18">I22</f>
        <v>0.28399999999999997</v>
      </c>
      <c r="N22" s="184">
        <f t="shared" si="13"/>
        <v>1824.6159359999999</v>
      </c>
      <c r="O22" s="493">
        <f>R17</f>
        <v>0</v>
      </c>
      <c r="P22" s="204">
        <v>1</v>
      </c>
      <c r="Q22" s="145">
        <f t="shared" ref="Q22" si="19">M22</f>
        <v>0.28399999999999997</v>
      </c>
      <c r="R22" s="184">
        <f t="shared" si="14"/>
        <v>0</v>
      </c>
      <c r="S22" s="493">
        <f>V17</f>
        <v>0</v>
      </c>
      <c r="T22" s="204">
        <v>1</v>
      </c>
      <c r="U22" s="145">
        <f t="shared" ref="U22" si="20">Q22</f>
        <v>0.28399999999999997</v>
      </c>
      <c r="V22" s="184">
        <f t="shared" si="15"/>
        <v>0</v>
      </c>
      <c r="W22" s="494">
        <f t="shared" si="16"/>
        <v>4812.0687360000002</v>
      </c>
      <c r="X22" s="142"/>
      <c r="Y22" s="142"/>
      <c r="Z22" s="142"/>
      <c r="AA22" s="142"/>
      <c r="AB22" s="142"/>
      <c r="AC22" s="142"/>
      <c r="AD22" s="142"/>
      <c r="AE22" s="495"/>
      <c r="AF22" s="225"/>
      <c r="AG22" s="225"/>
      <c r="AJ22" s="142"/>
    </row>
    <row r="23" spans="1:36" ht="15" customHeight="1" outlineLevel="1">
      <c r="A23" s="194" t="s">
        <v>85</v>
      </c>
      <c r="B23" s="195"/>
      <c r="C23" s="482"/>
      <c r="D23" s="197"/>
      <c r="E23" s="198"/>
      <c r="F23" s="199">
        <f>+SUM(F21:F22)</f>
        <v>3523.52</v>
      </c>
      <c r="G23" s="482"/>
      <c r="H23" s="197"/>
      <c r="I23" s="487"/>
      <c r="J23" s="199">
        <f>+SUM(J21:J22)</f>
        <v>6281.9328000000005</v>
      </c>
      <c r="K23" s="482"/>
      <c r="L23" s="197"/>
      <c r="M23" s="198"/>
      <c r="N23" s="199">
        <f>+SUM(N21:N22)</f>
        <v>5393.8959360000008</v>
      </c>
      <c r="O23" s="482"/>
      <c r="P23" s="197"/>
      <c r="Q23" s="487"/>
      <c r="R23" s="199">
        <f>+SUM(R21:R22)</f>
        <v>0</v>
      </c>
      <c r="S23" s="482"/>
      <c r="T23" s="197"/>
      <c r="U23" s="487"/>
      <c r="V23" s="199">
        <f>+SUM(V21:V22)</f>
        <v>0</v>
      </c>
      <c r="W23" s="483">
        <f>+F23+J23+N23+R23+V23</f>
        <v>15199.348736000002</v>
      </c>
      <c r="AE23" s="463"/>
      <c r="AF23" s="189"/>
      <c r="AG23" s="189"/>
    </row>
    <row r="24" spans="1:36" ht="15" customHeight="1" outlineLevel="1">
      <c r="A24" s="194"/>
      <c r="B24" s="195"/>
      <c r="C24" s="482"/>
      <c r="D24" s="197"/>
      <c r="E24" s="198"/>
      <c r="F24" s="199"/>
      <c r="G24" s="482"/>
      <c r="H24" s="197"/>
      <c r="I24" s="487"/>
      <c r="J24" s="199"/>
      <c r="K24" s="482"/>
      <c r="L24" s="197"/>
      <c r="M24" s="198"/>
      <c r="N24" s="199"/>
      <c r="O24" s="482"/>
      <c r="P24" s="197"/>
      <c r="Q24" s="487"/>
      <c r="R24" s="199"/>
      <c r="S24" s="482"/>
      <c r="T24" s="197"/>
      <c r="U24" s="487"/>
      <c r="V24" s="199"/>
      <c r="W24" s="496"/>
      <c r="AE24" s="463"/>
      <c r="AF24" s="189"/>
      <c r="AG24" s="189"/>
    </row>
    <row r="25" spans="1:36" s="244" customFormat="1" ht="18.3" outlineLevel="1">
      <c r="A25" s="235" t="s">
        <v>88</v>
      </c>
      <c r="B25" s="236"/>
      <c r="C25" s="497"/>
      <c r="D25" s="238"/>
      <c r="E25" s="239"/>
      <c r="F25" s="240">
        <f>F23</f>
        <v>3523.52</v>
      </c>
      <c r="G25" s="497"/>
      <c r="H25" s="238"/>
      <c r="I25" s="498"/>
      <c r="J25" s="240">
        <f>J23</f>
        <v>6281.9328000000005</v>
      </c>
      <c r="K25" s="497"/>
      <c r="L25" s="238"/>
      <c r="M25" s="239"/>
      <c r="N25" s="240">
        <f>N23</f>
        <v>5393.8959360000008</v>
      </c>
      <c r="O25" s="497"/>
      <c r="P25" s="238"/>
      <c r="Q25" s="498"/>
      <c r="R25" s="240">
        <f>R23</f>
        <v>0</v>
      </c>
      <c r="S25" s="497"/>
      <c r="T25" s="238"/>
      <c r="U25" s="498"/>
      <c r="V25" s="240">
        <f>V23</f>
        <v>0</v>
      </c>
      <c r="W25" s="491">
        <f>+F25+J25+N25+R25+V25</f>
        <v>15199.348736000002</v>
      </c>
      <c r="X25" s="221"/>
      <c r="Y25" s="221"/>
      <c r="Z25" s="221"/>
      <c r="AA25" s="221"/>
      <c r="AB25" s="221"/>
      <c r="AC25" s="221"/>
      <c r="AD25" s="221"/>
      <c r="AE25" s="492"/>
      <c r="AF25" s="242"/>
      <c r="AG25" s="242"/>
      <c r="AH25" s="499"/>
      <c r="AJ25" s="221"/>
    </row>
    <row r="26" spans="1:36" s="246" customFormat="1" ht="15.6" outlineLevel="1">
      <c r="A26" s="176" t="s">
        <v>89</v>
      </c>
      <c r="B26" s="177"/>
      <c r="C26" s="460"/>
      <c r="D26" s="144"/>
      <c r="E26" s="169"/>
      <c r="F26" s="184"/>
      <c r="G26" s="460"/>
      <c r="H26" s="144"/>
      <c r="I26" s="473"/>
      <c r="J26" s="184"/>
      <c r="K26" s="460"/>
      <c r="L26" s="144"/>
      <c r="M26" s="169"/>
      <c r="N26" s="184"/>
      <c r="O26" s="460"/>
      <c r="P26" s="144"/>
      <c r="Q26" s="473"/>
      <c r="R26" s="184"/>
      <c r="S26" s="460"/>
      <c r="T26" s="144"/>
      <c r="U26" s="473"/>
      <c r="V26" s="184"/>
      <c r="W26" s="481"/>
      <c r="X26" s="142"/>
      <c r="Y26" s="142"/>
      <c r="Z26" s="142"/>
      <c r="AA26" s="142"/>
      <c r="AB26" s="142"/>
      <c r="AC26" s="142"/>
      <c r="AD26" s="142"/>
      <c r="AE26" s="463"/>
      <c r="AF26" s="189"/>
      <c r="AG26" s="189"/>
      <c r="AH26" s="500"/>
      <c r="AJ26" s="142"/>
    </row>
    <row r="27" spans="1:36" s="246" customFormat="1" outlineLevel="1">
      <c r="A27" s="477" t="s">
        <v>552</v>
      </c>
      <c r="B27" s="180" t="s">
        <v>223</v>
      </c>
      <c r="C27" s="460">
        <v>1400</v>
      </c>
      <c r="D27" s="479">
        <v>2</v>
      </c>
      <c r="E27" s="183">
        <v>1</v>
      </c>
      <c r="F27" s="184">
        <f t="shared" ref="F27" si="21">C27*D27*E27</f>
        <v>2800</v>
      </c>
      <c r="G27" s="480">
        <f t="shared" ref="G27:G29" si="22">C27*1.04</f>
        <v>1456</v>
      </c>
      <c r="H27" s="479">
        <v>2</v>
      </c>
      <c r="I27" s="183">
        <v>1</v>
      </c>
      <c r="J27" s="184">
        <f t="shared" ref="J27" si="23">G27*H27*I27</f>
        <v>2912</v>
      </c>
      <c r="K27" s="480">
        <f t="shared" ref="K27:K29" si="24">G27*1.04</f>
        <v>1514.24</v>
      </c>
      <c r="L27" s="479">
        <v>2</v>
      </c>
      <c r="M27" s="183">
        <v>1</v>
      </c>
      <c r="N27" s="184">
        <f t="shared" ref="N27" si="25">K27*L27*M27</f>
        <v>3028.48</v>
      </c>
      <c r="O27" s="480">
        <f t="shared" ref="O27:O29" si="26">K27*1.04</f>
        <v>1574.8096</v>
      </c>
      <c r="P27" s="479">
        <v>1</v>
      </c>
      <c r="Q27" s="183">
        <v>0</v>
      </c>
      <c r="R27" s="184">
        <f t="shared" ref="R27" si="27">O27*P27*Q27</f>
        <v>0</v>
      </c>
      <c r="S27" s="480">
        <f t="shared" ref="S27:S29" si="28">O27*1.04</f>
        <v>1637.8019840000002</v>
      </c>
      <c r="T27" s="479">
        <v>1</v>
      </c>
      <c r="U27" s="183">
        <v>0</v>
      </c>
      <c r="V27" s="184">
        <f t="shared" ref="V27" si="29">S27*T27*U27</f>
        <v>0</v>
      </c>
      <c r="W27" s="481">
        <f>F27+J27+N27+R27+V27</f>
        <v>8740.48</v>
      </c>
      <c r="X27" s="142"/>
      <c r="Y27" s="142"/>
      <c r="Z27" s="142"/>
      <c r="AA27" s="142"/>
      <c r="AB27" s="142"/>
      <c r="AC27" s="142"/>
      <c r="AD27" s="142"/>
      <c r="AE27" s="463"/>
      <c r="AF27" s="189"/>
      <c r="AG27" s="189"/>
      <c r="AH27" s="500"/>
      <c r="AJ27" s="142"/>
    </row>
    <row r="28" spans="1:36" s="246" customFormat="1" ht="15.6" outlineLevel="1">
      <c r="A28" s="176" t="s">
        <v>90</v>
      </c>
      <c r="B28" s="177"/>
      <c r="C28" s="460"/>
      <c r="D28" s="479"/>
      <c r="E28" s="183"/>
      <c r="F28" s="184"/>
      <c r="G28" s="460"/>
      <c r="H28" s="144"/>
      <c r="I28" s="473"/>
      <c r="J28" s="184"/>
      <c r="K28" s="460"/>
      <c r="L28" s="144"/>
      <c r="M28" s="169"/>
      <c r="N28" s="184"/>
      <c r="O28" s="460"/>
      <c r="P28" s="144"/>
      <c r="Q28" s="473"/>
      <c r="R28" s="184"/>
      <c r="S28" s="460"/>
      <c r="T28" s="144"/>
      <c r="U28" s="473"/>
      <c r="V28" s="184"/>
      <c r="W28" s="481"/>
      <c r="X28" s="142"/>
      <c r="Y28" s="142"/>
      <c r="Z28" s="142"/>
      <c r="AA28" s="142"/>
      <c r="AB28" s="142"/>
      <c r="AC28" s="142"/>
      <c r="AD28" s="142"/>
      <c r="AE28" s="463"/>
      <c r="AF28" s="189"/>
      <c r="AG28" s="189"/>
      <c r="AH28" s="500"/>
      <c r="AJ28" s="142"/>
    </row>
    <row r="29" spans="1:36" ht="15" customHeight="1" outlineLevel="1">
      <c r="A29" s="477" t="s">
        <v>553</v>
      </c>
      <c r="B29" s="180" t="s">
        <v>223</v>
      </c>
      <c r="C29" s="480">
        <v>300</v>
      </c>
      <c r="D29" s="479">
        <v>3</v>
      </c>
      <c r="E29" s="183">
        <v>1</v>
      </c>
      <c r="F29" s="184">
        <f>C29*D29*E29</f>
        <v>900</v>
      </c>
      <c r="G29" s="480">
        <f t="shared" si="22"/>
        <v>312</v>
      </c>
      <c r="H29" s="479">
        <v>5</v>
      </c>
      <c r="I29" s="183">
        <v>0</v>
      </c>
      <c r="J29" s="184">
        <f>G29*H29*I29</f>
        <v>0</v>
      </c>
      <c r="K29" s="480">
        <f t="shared" si="24"/>
        <v>324.48</v>
      </c>
      <c r="L29" s="479">
        <v>5</v>
      </c>
      <c r="M29" s="183">
        <v>1</v>
      </c>
      <c r="N29" s="184">
        <f>K29*L29*M29</f>
        <v>1622.4</v>
      </c>
      <c r="O29" s="480">
        <f t="shared" si="26"/>
        <v>337.45920000000001</v>
      </c>
      <c r="P29" s="479">
        <v>2</v>
      </c>
      <c r="Q29" s="183">
        <v>0</v>
      </c>
      <c r="R29" s="184">
        <f>O29*P29*Q29</f>
        <v>0</v>
      </c>
      <c r="S29" s="480">
        <f t="shared" si="28"/>
        <v>350.95756800000004</v>
      </c>
      <c r="T29" s="479">
        <v>2</v>
      </c>
      <c r="U29" s="183">
        <v>0</v>
      </c>
      <c r="V29" s="184">
        <f>S29*T29*U29</f>
        <v>0</v>
      </c>
      <c r="W29" s="481">
        <f>F29+J29+N29+R29+V29</f>
        <v>2522.4</v>
      </c>
      <c r="X29" s="187"/>
      <c r="Y29" s="174"/>
      <c r="Z29" s="188"/>
      <c r="AA29" s="188"/>
      <c r="AE29" s="463"/>
      <c r="AF29" s="189"/>
      <c r="AG29" s="189"/>
      <c r="AH29" s="190"/>
      <c r="AJ29" s="191"/>
    </row>
    <row r="30" spans="1:36" s="246" customFormat="1" ht="15.6" outlineLevel="1">
      <c r="A30" s="176" t="s">
        <v>96</v>
      </c>
      <c r="B30" s="202"/>
      <c r="C30" s="460"/>
      <c r="D30" s="144"/>
      <c r="E30" s="145"/>
      <c r="F30" s="184"/>
      <c r="G30" s="460"/>
      <c r="H30" s="144"/>
      <c r="I30" s="145"/>
      <c r="J30" s="184"/>
      <c r="K30" s="460"/>
      <c r="L30" s="144"/>
      <c r="M30" s="145"/>
      <c r="N30" s="184"/>
      <c r="O30" s="460"/>
      <c r="P30" s="144"/>
      <c r="Q30" s="145"/>
      <c r="R30" s="184"/>
      <c r="S30" s="460"/>
      <c r="T30" s="144"/>
      <c r="U30" s="145"/>
      <c r="V30" s="184"/>
      <c r="W30" s="481"/>
      <c r="X30" s="142"/>
      <c r="Y30" s="142"/>
      <c r="Z30" s="142"/>
      <c r="AA30" s="142"/>
      <c r="AB30" s="142"/>
      <c r="AC30" s="142"/>
      <c r="AD30" s="142"/>
      <c r="AE30" s="463"/>
      <c r="AF30" s="189"/>
      <c r="AG30" s="189"/>
      <c r="AH30" s="500"/>
      <c r="AJ30" s="142"/>
    </row>
    <row r="31" spans="1:36" ht="14.5" customHeight="1" outlineLevel="1">
      <c r="A31" s="477" t="s">
        <v>554</v>
      </c>
      <c r="B31" s="180" t="s">
        <v>228</v>
      </c>
      <c r="C31" s="480">
        <v>212</v>
      </c>
      <c r="D31" s="479">
        <v>14</v>
      </c>
      <c r="E31" s="183">
        <v>1</v>
      </c>
      <c r="F31" s="184">
        <f>C31*D31*E31</f>
        <v>2968</v>
      </c>
      <c r="G31" s="480">
        <f t="shared" ref="G31:G32" si="30">C31*1.04</f>
        <v>220.48000000000002</v>
      </c>
      <c r="H31" s="479">
        <v>14</v>
      </c>
      <c r="I31" s="183">
        <v>1</v>
      </c>
      <c r="J31" s="184">
        <f>G31*H31*I31</f>
        <v>3086.7200000000003</v>
      </c>
      <c r="K31" s="480">
        <f t="shared" ref="K31:K32" si="31">G31*1.04</f>
        <v>229.29920000000001</v>
      </c>
      <c r="L31" s="479">
        <v>14</v>
      </c>
      <c r="M31" s="183">
        <v>1</v>
      </c>
      <c r="N31" s="184">
        <f>K31*L31*M31</f>
        <v>3210.1888000000004</v>
      </c>
      <c r="O31" s="480">
        <f t="shared" ref="O31:O32" si="32">K31*1.04</f>
        <v>238.47116800000003</v>
      </c>
      <c r="P31" s="479">
        <v>7</v>
      </c>
      <c r="Q31" s="183">
        <v>0</v>
      </c>
      <c r="R31" s="184">
        <f>O31*P31*Q31</f>
        <v>0</v>
      </c>
      <c r="S31" s="480">
        <f t="shared" ref="S31:S32" si="33">O31*1.04</f>
        <v>248.01001472000004</v>
      </c>
      <c r="T31" s="479">
        <v>7</v>
      </c>
      <c r="U31" s="183">
        <v>0</v>
      </c>
      <c r="V31" s="184">
        <f>S31*T31*U31</f>
        <v>0</v>
      </c>
      <c r="W31" s="481">
        <f>F31+J31+N31+R31+V31</f>
        <v>9264.9088000000011</v>
      </c>
      <c r="X31" s="187"/>
      <c r="Y31" s="174"/>
      <c r="Z31" s="188"/>
      <c r="AA31" s="188"/>
      <c r="AE31" s="463"/>
      <c r="AF31" s="189"/>
      <c r="AG31" s="189"/>
      <c r="AH31" s="190"/>
      <c r="AJ31" s="191"/>
    </row>
    <row r="32" spans="1:36" ht="14.5" customHeight="1" outlineLevel="1">
      <c r="A32" s="477" t="s">
        <v>34</v>
      </c>
      <c r="B32" s="180" t="s">
        <v>228</v>
      </c>
      <c r="C32" s="480">
        <v>129</v>
      </c>
      <c r="D32" s="479">
        <v>21</v>
      </c>
      <c r="E32" s="183">
        <v>1</v>
      </c>
      <c r="F32" s="184">
        <f>C32*D32*E32</f>
        <v>2709</v>
      </c>
      <c r="G32" s="480">
        <f t="shared" si="30"/>
        <v>134.16</v>
      </c>
      <c r="H32" s="479">
        <v>21</v>
      </c>
      <c r="I32" s="183">
        <v>1</v>
      </c>
      <c r="J32" s="184">
        <f>G32*H32*I32</f>
        <v>2817.36</v>
      </c>
      <c r="K32" s="480">
        <f t="shared" si="31"/>
        <v>139.5264</v>
      </c>
      <c r="L32" s="479">
        <v>21</v>
      </c>
      <c r="M32" s="183">
        <v>1</v>
      </c>
      <c r="N32" s="184">
        <f>K32*L32*M32</f>
        <v>2930.0544</v>
      </c>
      <c r="O32" s="480">
        <f t="shared" si="32"/>
        <v>145.10745600000001</v>
      </c>
      <c r="P32" s="479">
        <v>14</v>
      </c>
      <c r="Q32" s="183">
        <v>0</v>
      </c>
      <c r="R32" s="184">
        <f>O32*P32*Q32</f>
        <v>0</v>
      </c>
      <c r="S32" s="480">
        <f t="shared" si="33"/>
        <v>150.91175424000002</v>
      </c>
      <c r="T32" s="479">
        <v>14</v>
      </c>
      <c r="U32" s="183">
        <v>0</v>
      </c>
      <c r="V32" s="184">
        <f>S32*T32*U32</f>
        <v>0</v>
      </c>
      <c r="W32" s="481">
        <f>F32+J32+N32+R32+V32</f>
        <v>8456.4144000000015</v>
      </c>
      <c r="X32" s="187"/>
      <c r="Y32" s="174"/>
      <c r="Z32" s="188"/>
      <c r="AA32" s="188"/>
      <c r="AE32" s="463"/>
      <c r="AF32" s="189"/>
      <c r="AG32" s="189"/>
      <c r="AH32" s="190"/>
      <c r="AJ32" s="191"/>
    </row>
    <row r="33" spans="1:34" ht="18.3">
      <c r="A33" s="247" t="s">
        <v>97</v>
      </c>
      <c r="B33" s="213"/>
      <c r="C33" s="489"/>
      <c r="D33" s="248"/>
      <c r="E33" s="249"/>
      <c r="F33" s="217">
        <f>SUM(F27:F32)</f>
        <v>9377</v>
      </c>
      <c r="G33" s="489"/>
      <c r="H33" s="248"/>
      <c r="I33" s="490"/>
      <c r="J33" s="217">
        <f>SUM(J27:J32)</f>
        <v>8816.08</v>
      </c>
      <c r="K33" s="489"/>
      <c r="L33" s="248"/>
      <c r="M33" s="249"/>
      <c r="N33" s="217">
        <f>SUM(N27:N32)</f>
        <v>10791.123200000002</v>
      </c>
      <c r="O33" s="489"/>
      <c r="P33" s="248"/>
      <c r="Q33" s="490"/>
      <c r="R33" s="217">
        <f>SUM(R27:R32)</f>
        <v>0</v>
      </c>
      <c r="S33" s="489"/>
      <c r="T33" s="248"/>
      <c r="U33" s="490"/>
      <c r="V33" s="217">
        <f>SUM(V27:V32)</f>
        <v>0</v>
      </c>
      <c r="W33" s="491">
        <f>+F33+J33+N33+R33+V33</f>
        <v>28984.203200000004</v>
      </c>
      <c r="X33" s="463"/>
      <c r="Y33" s="463"/>
      <c r="Z33" s="463"/>
      <c r="AA33" s="463"/>
      <c r="AB33" s="463"/>
      <c r="AE33" s="463"/>
      <c r="AF33" s="175"/>
      <c r="AG33" s="175"/>
      <c r="AH33" s="175"/>
    </row>
    <row r="34" spans="1:34" ht="15.6" outlineLevel="1">
      <c r="A34" s="176" t="s">
        <v>49</v>
      </c>
      <c r="B34" s="250"/>
      <c r="D34" s="251"/>
      <c r="E34" s="252"/>
      <c r="F34" s="234"/>
      <c r="H34" s="251"/>
      <c r="I34" s="501"/>
      <c r="J34" s="502"/>
      <c r="L34" s="251"/>
      <c r="M34" s="252"/>
      <c r="N34" s="502"/>
      <c r="P34" s="251"/>
      <c r="Q34" s="501"/>
      <c r="R34" s="502"/>
      <c r="T34" s="251"/>
      <c r="U34" s="501"/>
      <c r="V34" s="502"/>
      <c r="W34" s="485"/>
      <c r="AE34" s="463"/>
      <c r="AF34" s="189"/>
      <c r="AG34" s="254"/>
    </row>
    <row r="35" spans="1:34" ht="15.6" outlineLevel="1">
      <c r="A35" s="255" t="s">
        <v>555</v>
      </c>
      <c r="B35" s="180" t="s">
        <v>250</v>
      </c>
      <c r="C35" s="480">
        <v>81121</v>
      </c>
      <c r="D35" s="479">
        <v>1</v>
      </c>
      <c r="E35" s="183">
        <v>1</v>
      </c>
      <c r="F35" s="184">
        <f>C35*D35*E35</f>
        <v>81121</v>
      </c>
      <c r="G35" s="480">
        <v>40000</v>
      </c>
      <c r="H35" s="479">
        <v>1</v>
      </c>
      <c r="I35" s="183">
        <v>1</v>
      </c>
      <c r="J35" s="184">
        <f>G35*H35*I35</f>
        <v>40000</v>
      </c>
      <c r="K35" s="480">
        <v>30000</v>
      </c>
      <c r="L35" s="479">
        <v>1</v>
      </c>
      <c r="M35" s="183">
        <v>1</v>
      </c>
      <c r="N35" s="184">
        <f>K35*L35*M35</f>
        <v>30000</v>
      </c>
      <c r="O35" s="480">
        <v>0</v>
      </c>
      <c r="P35" s="479">
        <v>1</v>
      </c>
      <c r="Q35" s="183">
        <v>0</v>
      </c>
      <c r="R35" s="184">
        <f>O35*P35*Q35</f>
        <v>0</v>
      </c>
      <c r="S35" s="480"/>
      <c r="T35" s="479">
        <v>1</v>
      </c>
      <c r="U35" s="183">
        <v>0</v>
      </c>
      <c r="V35" s="184">
        <f>S35*T35*U35</f>
        <v>0</v>
      </c>
      <c r="W35" s="481">
        <f>F35+J35+N35+R35+V35</f>
        <v>151121</v>
      </c>
      <c r="AE35" s="463"/>
      <c r="AF35" s="189"/>
      <c r="AG35" s="254"/>
    </row>
    <row r="36" spans="1:34" outlineLevel="1">
      <c r="A36" s="313"/>
      <c r="B36" s="202"/>
      <c r="C36" s="503"/>
      <c r="D36" s="257"/>
      <c r="F36" s="184"/>
      <c r="G36" s="503"/>
      <c r="H36" s="257"/>
      <c r="I36" s="145"/>
      <c r="J36" s="184"/>
      <c r="K36" s="503" t="s">
        <v>556</v>
      </c>
      <c r="L36" s="257"/>
      <c r="N36" s="184"/>
      <c r="O36" s="503"/>
      <c r="P36" s="257"/>
      <c r="Q36" s="145"/>
      <c r="R36" s="184"/>
      <c r="S36" s="503"/>
      <c r="T36" s="257"/>
      <c r="U36" s="145"/>
      <c r="V36" s="184"/>
      <c r="W36" s="504"/>
      <c r="AE36" s="463"/>
      <c r="AF36" s="189"/>
      <c r="AG36" s="254"/>
    </row>
    <row r="37" spans="1:34" ht="18.3" outlineLevel="1">
      <c r="A37" s="247" t="s">
        <v>98</v>
      </c>
      <c r="B37" s="213"/>
      <c r="C37" s="489"/>
      <c r="D37" s="248"/>
      <c r="E37" s="249"/>
      <c r="F37" s="217">
        <f>SUM(F35:F36)</f>
        <v>81121</v>
      </c>
      <c r="G37" s="489"/>
      <c r="H37" s="248"/>
      <c r="I37" s="490"/>
      <c r="J37" s="217">
        <f>SUM(J35:J36)</f>
        <v>40000</v>
      </c>
      <c r="K37" s="489"/>
      <c r="L37" s="248"/>
      <c r="M37" s="249"/>
      <c r="N37" s="217">
        <f>SUM(N35:N36)</f>
        <v>30000</v>
      </c>
      <c r="O37" s="489"/>
      <c r="P37" s="248"/>
      <c r="Q37" s="490"/>
      <c r="R37" s="217">
        <f>SUM(R35:R36)</f>
        <v>0</v>
      </c>
      <c r="S37" s="489"/>
      <c r="T37" s="248"/>
      <c r="U37" s="490"/>
      <c r="V37" s="217">
        <f>SUM(V35:V36)</f>
        <v>0</v>
      </c>
      <c r="W37" s="491">
        <f>+F37+J37+N37+R37+V37</f>
        <v>151121</v>
      </c>
      <c r="AE37" s="463"/>
      <c r="AF37" s="189"/>
      <c r="AG37" s="254"/>
    </row>
    <row r="38" spans="1:34" ht="15.6" outlineLevel="1">
      <c r="A38" s="176" t="s">
        <v>99</v>
      </c>
      <c r="B38" s="259"/>
      <c r="D38" s="251"/>
      <c r="F38" s="184"/>
      <c r="H38" s="251"/>
      <c r="J38" s="485"/>
      <c r="L38" s="251"/>
      <c r="N38" s="485"/>
      <c r="P38" s="251"/>
      <c r="R38" s="485"/>
      <c r="T38" s="251"/>
      <c r="V38" s="485"/>
      <c r="W38" s="485"/>
      <c r="AE38" s="463"/>
    </row>
    <row r="39" spans="1:34" outlineLevel="1">
      <c r="A39" s="477" t="s">
        <v>75</v>
      </c>
      <c r="B39" s="202"/>
      <c r="D39" s="505"/>
      <c r="F39" s="184">
        <f>C39*D39*E39</f>
        <v>0</v>
      </c>
      <c r="H39" s="505"/>
      <c r="I39" s="145"/>
      <c r="J39" s="184">
        <f t="shared" ref="J39" si="34">G39*H39*I39</f>
        <v>0</v>
      </c>
      <c r="L39" s="505"/>
      <c r="N39" s="184">
        <f t="shared" ref="N39" si="35">K39*L39*M39</f>
        <v>0</v>
      </c>
      <c r="P39" s="505"/>
      <c r="Q39" s="145"/>
      <c r="R39" s="184">
        <f t="shared" ref="R39" si="36">O39*P39*Q39</f>
        <v>0</v>
      </c>
      <c r="T39" s="505"/>
      <c r="U39" s="145"/>
      <c r="V39" s="184">
        <f t="shared" ref="V39" si="37">S39*T39*U39</f>
        <v>0</v>
      </c>
      <c r="W39" s="485">
        <f t="shared" ref="W39" si="38">F39+J39+N39+R39+V39</f>
        <v>0</v>
      </c>
      <c r="AE39" s="463"/>
      <c r="AF39" s="189"/>
      <c r="AG39" s="189"/>
    </row>
    <row r="40" spans="1:34" ht="18.3" outlineLevel="1">
      <c r="A40" s="247" t="s">
        <v>100</v>
      </c>
      <c r="B40" s="213"/>
      <c r="C40" s="489"/>
      <c r="D40" s="248"/>
      <c r="E40" s="249"/>
      <c r="F40" s="217">
        <f>SUM(F39:F39)</f>
        <v>0</v>
      </c>
      <c r="G40" s="489"/>
      <c r="H40" s="248"/>
      <c r="I40" s="490"/>
      <c r="J40" s="217">
        <f>SUM(J39:J39)</f>
        <v>0</v>
      </c>
      <c r="K40" s="489"/>
      <c r="L40" s="248"/>
      <c r="M40" s="249"/>
      <c r="N40" s="217">
        <f>SUM(N39:N39)</f>
        <v>0</v>
      </c>
      <c r="O40" s="489"/>
      <c r="P40" s="248"/>
      <c r="Q40" s="490"/>
      <c r="R40" s="217">
        <f>SUM(R39:R39)</f>
        <v>0</v>
      </c>
      <c r="S40" s="489"/>
      <c r="T40" s="248"/>
      <c r="U40" s="490"/>
      <c r="V40" s="217">
        <f>SUM(V39:V39)</f>
        <v>0</v>
      </c>
      <c r="W40" s="491">
        <f>+F40+J40+N40+R40+V40</f>
        <v>0</v>
      </c>
      <c r="AE40" s="463"/>
      <c r="AF40" s="189"/>
      <c r="AG40" s="254"/>
    </row>
    <row r="41" spans="1:34" ht="15.6" outlineLevel="1">
      <c r="A41" s="176" t="s">
        <v>32</v>
      </c>
      <c r="B41" s="202"/>
      <c r="D41" s="251"/>
      <c r="F41" s="184"/>
      <c r="H41" s="251"/>
      <c r="I41" s="145"/>
      <c r="J41" s="184"/>
      <c r="L41" s="251"/>
      <c r="N41" s="184"/>
      <c r="P41" s="251"/>
      <c r="Q41" s="145"/>
      <c r="R41" s="184"/>
      <c r="T41" s="251"/>
      <c r="U41" s="145"/>
      <c r="V41" s="184"/>
      <c r="W41" s="485"/>
      <c r="AE41" s="463"/>
      <c r="AF41" s="189"/>
      <c r="AG41" s="189"/>
    </row>
    <row r="42" spans="1:34" outlineLevel="1">
      <c r="A42" s="477" t="s">
        <v>75</v>
      </c>
      <c r="B42" s="202"/>
      <c r="D42" s="505"/>
      <c r="F42" s="184">
        <f>C42*D42*E42</f>
        <v>0</v>
      </c>
      <c r="H42" s="505"/>
      <c r="I42" s="145"/>
      <c r="J42" s="184">
        <f t="shared" ref="J42" si="39">G42*H42*I42</f>
        <v>0</v>
      </c>
      <c r="L42" s="505"/>
      <c r="N42" s="184">
        <f t="shared" ref="N42" si="40">K42*L42*M42</f>
        <v>0</v>
      </c>
      <c r="P42" s="505"/>
      <c r="Q42" s="145"/>
      <c r="R42" s="184">
        <f t="shared" ref="R42" si="41">O42*P42*Q42</f>
        <v>0</v>
      </c>
      <c r="T42" s="505"/>
      <c r="U42" s="145"/>
      <c r="V42" s="184">
        <f t="shared" ref="V42" si="42">S42*T42*U42</f>
        <v>0</v>
      </c>
      <c r="W42" s="485">
        <f t="shared" ref="W42" si="43">F42+J42+N42+R42+V42</f>
        <v>0</v>
      </c>
      <c r="AE42" s="463"/>
      <c r="AF42" s="189"/>
      <c r="AG42" s="189"/>
    </row>
    <row r="43" spans="1:34" ht="18.3" outlineLevel="1">
      <c r="A43" s="247" t="s">
        <v>101</v>
      </c>
      <c r="B43" s="213"/>
      <c r="C43" s="489"/>
      <c r="D43" s="248"/>
      <c r="E43" s="249"/>
      <c r="F43" s="217">
        <f>SUM(F42:F42)</f>
        <v>0</v>
      </c>
      <c r="G43" s="489"/>
      <c r="H43" s="248"/>
      <c r="I43" s="490"/>
      <c r="J43" s="217">
        <f>SUM(J42:J42)</f>
        <v>0</v>
      </c>
      <c r="K43" s="489"/>
      <c r="L43" s="248"/>
      <c r="M43" s="249"/>
      <c r="N43" s="217">
        <f>SUM(N42:N42)</f>
        <v>0</v>
      </c>
      <c r="O43" s="489"/>
      <c r="P43" s="248"/>
      <c r="Q43" s="490"/>
      <c r="R43" s="217">
        <f>SUM(R42:R42)</f>
        <v>0</v>
      </c>
      <c r="S43" s="489"/>
      <c r="T43" s="248"/>
      <c r="U43" s="490"/>
      <c r="V43" s="217">
        <f>SUM(V42:V42)</f>
        <v>0</v>
      </c>
      <c r="W43" s="491">
        <f>+F43+J43+N43+R43+V43</f>
        <v>0</v>
      </c>
      <c r="AE43" s="463"/>
      <c r="AF43" s="189"/>
      <c r="AG43" s="254"/>
    </row>
    <row r="44" spans="1:34" ht="15.6" outlineLevel="1">
      <c r="A44" s="176" t="s">
        <v>33</v>
      </c>
      <c r="B44" s="250"/>
      <c r="D44" s="251"/>
      <c r="E44" s="252"/>
      <c r="F44" s="234"/>
      <c r="H44" s="251"/>
      <c r="I44" s="501"/>
      <c r="J44" s="502"/>
      <c r="L44" s="251"/>
      <c r="M44" s="252"/>
      <c r="N44" s="502"/>
      <c r="P44" s="251"/>
      <c r="Q44" s="501"/>
      <c r="R44" s="502"/>
      <c r="T44" s="251"/>
      <c r="U44" s="501"/>
      <c r="V44" s="502"/>
      <c r="W44" s="485"/>
      <c r="AE44" s="463"/>
      <c r="AF44" s="189"/>
      <c r="AG44" s="254"/>
    </row>
    <row r="45" spans="1:34" outlineLevel="1">
      <c r="A45" s="477" t="s">
        <v>75</v>
      </c>
      <c r="B45" s="202"/>
      <c r="D45" s="505"/>
      <c r="F45" s="184">
        <f>C45*D45*E45</f>
        <v>0</v>
      </c>
      <c r="H45" s="505"/>
      <c r="I45" s="145"/>
      <c r="J45" s="184">
        <f t="shared" ref="J45" si="44">G45*H45*I45</f>
        <v>0</v>
      </c>
      <c r="L45" s="505"/>
      <c r="N45" s="184">
        <f t="shared" ref="N45" si="45">K45*L45*M45</f>
        <v>0</v>
      </c>
      <c r="P45" s="505"/>
      <c r="Q45" s="145"/>
      <c r="R45" s="184">
        <f t="shared" ref="R45" si="46">O45*P45*Q45</f>
        <v>0</v>
      </c>
      <c r="T45" s="505"/>
      <c r="U45" s="145"/>
      <c r="V45" s="184">
        <f t="shared" ref="V45" si="47">S45*T45*U45</f>
        <v>0</v>
      </c>
      <c r="W45" s="485">
        <f t="shared" ref="W45" si="48">F45+J45+N45+R45+V45</f>
        <v>0</v>
      </c>
      <c r="AE45" s="463"/>
      <c r="AF45" s="189"/>
      <c r="AG45" s="189"/>
    </row>
    <row r="46" spans="1:34" ht="18.3" outlineLevel="1">
      <c r="A46" s="247" t="s">
        <v>102</v>
      </c>
      <c r="B46" s="213"/>
      <c r="C46" s="489"/>
      <c r="D46" s="248"/>
      <c r="E46" s="249"/>
      <c r="F46" s="217">
        <f>SUM(F44:F45)</f>
        <v>0</v>
      </c>
      <c r="G46" s="489"/>
      <c r="H46" s="248"/>
      <c r="I46" s="490"/>
      <c r="J46" s="217">
        <f>SUM(J44:J45)</f>
        <v>0</v>
      </c>
      <c r="K46" s="489"/>
      <c r="L46" s="248"/>
      <c r="M46" s="249"/>
      <c r="N46" s="217">
        <f>SUM(N44:N45)</f>
        <v>0</v>
      </c>
      <c r="O46" s="489"/>
      <c r="P46" s="248"/>
      <c r="Q46" s="490"/>
      <c r="R46" s="217">
        <f>SUM(R44:R45)</f>
        <v>0</v>
      </c>
      <c r="S46" s="489"/>
      <c r="T46" s="248"/>
      <c r="U46" s="490"/>
      <c r="V46" s="217">
        <f>SUM(V44:V45)</f>
        <v>0</v>
      </c>
      <c r="W46" s="217">
        <f>SUM(W44:W45)</f>
        <v>0</v>
      </c>
      <c r="AE46" s="463"/>
      <c r="AF46" s="189"/>
      <c r="AG46" s="254"/>
    </row>
    <row r="47" spans="1:34" ht="15.6" outlineLevel="1">
      <c r="A47" s="262" t="s">
        <v>103</v>
      </c>
      <c r="B47" s="202"/>
      <c r="C47" s="506"/>
      <c r="D47" s="264"/>
      <c r="F47" s="234"/>
      <c r="G47" s="506"/>
      <c r="H47" s="264"/>
      <c r="J47" s="502"/>
      <c r="K47" s="506"/>
      <c r="L47" s="264"/>
      <c r="N47" s="502"/>
      <c r="O47" s="506"/>
      <c r="P47" s="264"/>
      <c r="R47" s="502"/>
      <c r="S47" s="506"/>
      <c r="T47" s="264"/>
      <c r="V47" s="502"/>
      <c r="W47" s="485"/>
      <c r="AE47" s="463"/>
      <c r="AF47" s="189"/>
      <c r="AG47" s="254"/>
    </row>
    <row r="48" spans="1:34" ht="15.6" outlineLevel="1">
      <c r="A48" s="176" t="s">
        <v>557</v>
      </c>
      <c r="B48" s="202"/>
      <c r="C48" s="506"/>
      <c r="D48" s="264"/>
      <c r="F48" s="184"/>
      <c r="G48" s="506"/>
      <c r="H48" s="264"/>
      <c r="I48" s="145"/>
      <c r="J48" s="184"/>
      <c r="K48" s="506"/>
      <c r="L48" s="264"/>
      <c r="N48" s="184"/>
      <c r="O48" s="506"/>
      <c r="P48" s="264"/>
      <c r="Q48" s="145"/>
      <c r="R48" s="184"/>
      <c r="S48" s="506"/>
      <c r="T48" s="264"/>
      <c r="U48" s="145"/>
      <c r="V48" s="184"/>
      <c r="W48" s="485"/>
      <c r="AE48" s="463"/>
      <c r="AF48" s="189"/>
      <c r="AG48" s="254"/>
    </row>
    <row r="49" spans="1:33" ht="15.6" outlineLevel="1">
      <c r="A49" s="255" t="s">
        <v>558</v>
      </c>
      <c r="B49" s="180" t="s">
        <v>250</v>
      </c>
      <c r="C49" s="480">
        <v>40000</v>
      </c>
      <c r="D49" s="479">
        <v>1</v>
      </c>
      <c r="E49" s="183">
        <v>1</v>
      </c>
      <c r="F49" s="184">
        <f t="shared" ref="F49:F50" si="49">C49*D49*E49</f>
        <v>40000</v>
      </c>
      <c r="G49" s="480">
        <v>30000</v>
      </c>
      <c r="H49" s="479">
        <v>1</v>
      </c>
      <c r="I49" s="183">
        <v>1</v>
      </c>
      <c r="J49" s="184">
        <f t="shared" ref="J49:J50" si="50">G49*H49*I49</f>
        <v>30000</v>
      </c>
      <c r="K49" s="480">
        <v>15000</v>
      </c>
      <c r="L49" s="479">
        <v>1</v>
      </c>
      <c r="M49" s="183">
        <v>1</v>
      </c>
      <c r="N49" s="184">
        <f t="shared" ref="N49:N50" si="51">K49*L49*M49</f>
        <v>15000</v>
      </c>
      <c r="O49" s="480">
        <v>0</v>
      </c>
      <c r="P49" s="479">
        <v>1</v>
      </c>
      <c r="Q49" s="183">
        <v>0</v>
      </c>
      <c r="R49" s="184">
        <f t="shared" ref="R49:R50" si="52">O49*P49*Q49</f>
        <v>0</v>
      </c>
      <c r="S49" s="480"/>
      <c r="T49" s="479">
        <v>1</v>
      </c>
      <c r="U49" s="183">
        <v>0</v>
      </c>
      <c r="V49" s="184">
        <f t="shared" ref="V49:V50" si="53">S49*T49*U49</f>
        <v>0</v>
      </c>
      <c r="W49" s="481">
        <f t="shared" ref="W49:W50" si="54">F49+J49+N49+R49+V49</f>
        <v>85000</v>
      </c>
      <c r="AE49" s="463"/>
      <c r="AF49" s="189"/>
      <c r="AG49" s="254"/>
    </row>
    <row r="50" spans="1:33" ht="15.6" outlineLevel="1">
      <c r="A50" s="255" t="s">
        <v>559</v>
      </c>
      <c r="B50" s="180" t="s">
        <v>250</v>
      </c>
      <c r="C50" s="480">
        <v>10000</v>
      </c>
      <c r="D50" s="479">
        <v>1</v>
      </c>
      <c r="E50" s="183">
        <v>1</v>
      </c>
      <c r="F50" s="184">
        <f t="shared" si="49"/>
        <v>10000</v>
      </c>
      <c r="G50" s="480">
        <v>25000</v>
      </c>
      <c r="H50" s="479">
        <v>1</v>
      </c>
      <c r="I50" s="183">
        <v>1</v>
      </c>
      <c r="J50" s="184">
        <f t="shared" si="50"/>
        <v>25000</v>
      </c>
      <c r="K50" s="480">
        <v>20000</v>
      </c>
      <c r="L50" s="479">
        <v>1</v>
      </c>
      <c r="M50" s="183">
        <v>1</v>
      </c>
      <c r="N50" s="184">
        <f t="shared" si="51"/>
        <v>20000</v>
      </c>
      <c r="O50" s="480">
        <v>0</v>
      </c>
      <c r="P50" s="479">
        <v>1</v>
      </c>
      <c r="Q50" s="183">
        <v>0</v>
      </c>
      <c r="R50" s="184">
        <f t="shared" si="52"/>
        <v>0</v>
      </c>
      <c r="S50" s="480"/>
      <c r="T50" s="479">
        <v>1</v>
      </c>
      <c r="U50" s="183">
        <v>0</v>
      </c>
      <c r="V50" s="184">
        <f t="shared" si="53"/>
        <v>0</v>
      </c>
      <c r="W50" s="481">
        <f t="shared" si="54"/>
        <v>55000</v>
      </c>
      <c r="AE50" s="463"/>
      <c r="AF50" s="189"/>
      <c r="AG50" s="254"/>
    </row>
    <row r="51" spans="1:33" ht="15.6" outlineLevel="1">
      <c r="A51" s="267"/>
      <c r="B51" s="227"/>
      <c r="C51" s="507"/>
      <c r="D51" s="266"/>
      <c r="E51" s="230"/>
      <c r="F51" s="231"/>
      <c r="G51" s="507"/>
      <c r="H51" s="266"/>
      <c r="I51" s="230"/>
      <c r="J51" s="231"/>
      <c r="K51" s="507"/>
      <c r="L51" s="266"/>
      <c r="M51" s="230"/>
      <c r="N51" s="231"/>
      <c r="O51" s="507"/>
      <c r="P51" s="266"/>
      <c r="Q51" s="230"/>
      <c r="R51" s="231"/>
      <c r="S51" s="507"/>
      <c r="T51" s="266"/>
      <c r="U51" s="230"/>
      <c r="V51" s="231"/>
      <c r="W51" s="485"/>
      <c r="AE51" s="463"/>
      <c r="AF51" s="189"/>
      <c r="AG51" s="254"/>
    </row>
    <row r="52" spans="1:33" ht="18.3" outlineLevel="1">
      <c r="A52" s="268" t="s">
        <v>110</v>
      </c>
      <c r="B52" s="213"/>
      <c r="C52" s="497"/>
      <c r="D52" s="238"/>
      <c r="E52" s="269"/>
      <c r="F52" s="240">
        <f>SUM(F48:F50)</f>
        <v>50000</v>
      </c>
      <c r="G52" s="497"/>
      <c r="H52" s="238"/>
      <c r="I52" s="498"/>
      <c r="J52" s="240">
        <f>SUM(J48:J50)</f>
        <v>55000</v>
      </c>
      <c r="K52" s="497"/>
      <c r="L52" s="238"/>
      <c r="M52" s="269"/>
      <c r="N52" s="240">
        <f>SUM(N48:N50)</f>
        <v>35000</v>
      </c>
      <c r="O52" s="497"/>
      <c r="P52" s="238"/>
      <c r="Q52" s="498"/>
      <c r="R52" s="240">
        <f>SUM(R48:R50)</f>
        <v>0</v>
      </c>
      <c r="S52" s="497"/>
      <c r="T52" s="238"/>
      <c r="U52" s="498"/>
      <c r="V52" s="240">
        <f>SUM(V48:V50)</f>
        <v>0</v>
      </c>
      <c r="W52" s="240">
        <f>SUM(W48:W50)</f>
        <v>140000</v>
      </c>
      <c r="AE52" s="463"/>
      <c r="AF52" s="189"/>
      <c r="AG52" s="254"/>
    </row>
    <row r="53" spans="1:33" ht="15.6" outlineLevel="1">
      <c r="A53" s="270"/>
      <c r="B53" s="225"/>
      <c r="C53" s="506"/>
      <c r="D53" s="264"/>
      <c r="F53" s="184"/>
      <c r="G53" s="506"/>
      <c r="H53" s="264"/>
      <c r="J53" s="485"/>
      <c r="K53" s="506"/>
      <c r="L53" s="264"/>
      <c r="N53" s="485"/>
      <c r="O53" s="506"/>
      <c r="P53" s="264"/>
      <c r="R53" s="485"/>
      <c r="S53" s="506"/>
      <c r="T53" s="264"/>
      <c r="V53" s="485"/>
      <c r="W53" s="485"/>
      <c r="AE53" s="463"/>
      <c r="AF53" s="189"/>
      <c r="AG53" s="254"/>
    </row>
    <row r="54" spans="1:33" ht="18.3" outlineLevel="1">
      <c r="A54" s="271" t="s">
        <v>111</v>
      </c>
      <c r="B54" s="272"/>
      <c r="C54" s="508"/>
      <c r="D54" s="274"/>
      <c r="E54" s="275"/>
      <c r="F54" s="276">
        <f>F19+F25+F33+F43+F46+F37+F52</f>
        <v>172301.52000000002</v>
      </c>
      <c r="G54" s="508"/>
      <c r="H54" s="274"/>
      <c r="I54" s="509"/>
      <c r="J54" s="276">
        <f>J19+J25+J33+J43+J46+J37+J52</f>
        <v>160517.21280000001</v>
      </c>
      <c r="K54" s="508"/>
      <c r="L54" s="274"/>
      <c r="M54" s="275"/>
      <c r="N54" s="276">
        <f>N19+N25+N33+N43+N46+N37+N52</f>
        <v>123302.523136</v>
      </c>
      <c r="O54" s="508"/>
      <c r="P54" s="274"/>
      <c r="Q54" s="509"/>
      <c r="R54" s="276">
        <f>R19+R25+R33+R43+R46+R37+R52</f>
        <v>0</v>
      </c>
      <c r="S54" s="508"/>
      <c r="T54" s="274"/>
      <c r="U54" s="509"/>
      <c r="V54" s="276">
        <f>V19+V25+V33+V43+V46+V37+V52</f>
        <v>0</v>
      </c>
      <c r="W54" s="276">
        <f>W19+W25+W33+W43+W46+W37+W52</f>
        <v>456121.25593600003</v>
      </c>
      <c r="AE54" s="463"/>
      <c r="AF54" s="189"/>
      <c r="AG54" s="254"/>
    </row>
    <row r="55" spans="1:33">
      <c r="A55" s="316"/>
      <c r="B55" s="225"/>
      <c r="C55" s="506"/>
      <c r="D55" s="264"/>
      <c r="F55" s="184"/>
      <c r="G55" s="506"/>
      <c r="H55" s="264"/>
      <c r="J55" s="485"/>
      <c r="K55" s="506"/>
      <c r="L55" s="264"/>
      <c r="N55" s="485"/>
      <c r="O55" s="506"/>
      <c r="P55" s="264"/>
      <c r="R55" s="485"/>
      <c r="S55" s="506"/>
      <c r="T55" s="264"/>
      <c r="V55" s="485"/>
      <c r="W55" s="485"/>
    </row>
    <row r="56" spans="1:33" ht="20.399999999999999">
      <c r="A56" s="278" t="s">
        <v>53</v>
      </c>
      <c r="B56" s="279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79"/>
    </row>
    <row r="57" spans="1:33" ht="15" customHeight="1">
      <c r="A57" s="510" t="s">
        <v>54</v>
      </c>
      <c r="B57" s="337" t="s">
        <v>147</v>
      </c>
      <c r="C57" s="511">
        <v>0</v>
      </c>
      <c r="D57" s="479">
        <v>1</v>
      </c>
      <c r="E57" s="183">
        <v>0</v>
      </c>
      <c r="F57" s="184">
        <f>C57*D57*E57</f>
        <v>0</v>
      </c>
      <c r="G57" s="511">
        <v>0</v>
      </c>
      <c r="H57" s="479">
        <v>1</v>
      </c>
      <c r="I57" s="183">
        <v>0</v>
      </c>
      <c r="J57" s="184">
        <f>G57*H57*I57</f>
        <v>0</v>
      </c>
      <c r="K57" s="511">
        <v>0</v>
      </c>
      <c r="L57" s="479">
        <v>1</v>
      </c>
      <c r="M57" s="183">
        <v>0</v>
      </c>
      <c r="N57" s="184">
        <f>K57*L57*M57</f>
        <v>0</v>
      </c>
      <c r="O57" s="480">
        <v>0</v>
      </c>
      <c r="P57" s="479">
        <v>1</v>
      </c>
      <c r="Q57" s="183">
        <v>0</v>
      </c>
      <c r="R57" s="184">
        <f>O57*P57*Q57</f>
        <v>0</v>
      </c>
      <c r="S57" s="480">
        <v>0</v>
      </c>
      <c r="T57" s="479">
        <v>1</v>
      </c>
      <c r="U57" s="183">
        <v>0</v>
      </c>
      <c r="V57" s="184">
        <f>S57*T57*U57</f>
        <v>0</v>
      </c>
      <c r="W57" s="481">
        <f>F57+J57+N57+R57+V57</f>
        <v>0</v>
      </c>
    </row>
    <row r="58" spans="1:33" ht="15" customHeight="1">
      <c r="A58" s="510" t="s">
        <v>55</v>
      </c>
      <c r="B58" s="337" t="s">
        <v>147</v>
      </c>
      <c r="C58" s="511">
        <f>F54</f>
        <v>172301.52000000002</v>
      </c>
      <c r="D58" s="479">
        <v>1</v>
      </c>
      <c r="E58" s="183">
        <v>0.1</v>
      </c>
      <c r="F58" s="184">
        <f>C58*D58*E58</f>
        <v>17230.152000000002</v>
      </c>
      <c r="G58" s="511">
        <f>J54</f>
        <v>160517.21280000001</v>
      </c>
      <c r="H58" s="479">
        <v>1</v>
      </c>
      <c r="I58" s="183">
        <v>0.1</v>
      </c>
      <c r="J58" s="184">
        <f>G58*H58*I58</f>
        <v>16051.721280000002</v>
      </c>
      <c r="K58" s="511">
        <f>N54</f>
        <v>123302.523136</v>
      </c>
      <c r="L58" s="479">
        <v>1</v>
      </c>
      <c r="M58" s="183">
        <v>0.1</v>
      </c>
      <c r="N58" s="184">
        <f>K58*L58*M58</f>
        <v>12330.252313600002</v>
      </c>
      <c r="O58" s="511">
        <f>R54</f>
        <v>0</v>
      </c>
      <c r="P58" s="479">
        <v>1</v>
      </c>
      <c r="Q58" s="183">
        <v>0.1</v>
      </c>
      <c r="R58" s="184">
        <f>O58*P58*Q58</f>
        <v>0</v>
      </c>
      <c r="S58" s="511">
        <f>V54</f>
        <v>0</v>
      </c>
      <c r="T58" s="479">
        <v>1</v>
      </c>
      <c r="U58" s="183">
        <v>0.1</v>
      </c>
      <c r="V58" s="184">
        <f>S58*T58*U58</f>
        <v>0</v>
      </c>
      <c r="W58" s="481">
        <f>F58+J58+N58+R58+V58</f>
        <v>45612.125593600002</v>
      </c>
    </row>
    <row r="59" spans="1:33">
      <c r="A59" s="512"/>
      <c r="B59" s="225"/>
      <c r="C59" s="503"/>
      <c r="D59" s="513"/>
      <c r="E59" s="286"/>
      <c r="F59" s="184"/>
      <c r="G59" s="480"/>
      <c r="H59" s="513"/>
      <c r="I59" s="514"/>
      <c r="J59" s="184"/>
      <c r="K59" s="480"/>
      <c r="L59" s="513"/>
      <c r="M59" s="286"/>
      <c r="N59" s="184"/>
      <c r="O59" s="480"/>
      <c r="P59" s="513"/>
      <c r="Q59" s="514"/>
      <c r="R59" s="184"/>
      <c r="S59" s="503"/>
      <c r="T59" s="513"/>
      <c r="U59" s="514"/>
      <c r="V59" s="184"/>
      <c r="W59" s="485"/>
    </row>
    <row r="60" spans="1:33" ht="18.3">
      <c r="A60" s="271" t="s">
        <v>112</v>
      </c>
      <c r="B60" s="272"/>
      <c r="C60" s="508"/>
      <c r="D60" s="274"/>
      <c r="E60" s="275"/>
      <c r="F60" s="276">
        <f>SUM(F57:F59)</f>
        <v>17230.152000000002</v>
      </c>
      <c r="G60" s="508"/>
      <c r="H60" s="274"/>
      <c r="I60" s="509"/>
      <c r="J60" s="276">
        <f>SUM(J57:J59)</f>
        <v>16051.721280000002</v>
      </c>
      <c r="K60" s="508"/>
      <c r="L60" s="274"/>
      <c r="M60" s="275"/>
      <c r="N60" s="276">
        <f>SUM(N57:N59)</f>
        <v>12330.252313600002</v>
      </c>
      <c r="O60" s="508"/>
      <c r="P60" s="274"/>
      <c r="Q60" s="509"/>
      <c r="R60" s="276">
        <f>SUM(R57:R59)</f>
        <v>0</v>
      </c>
      <c r="S60" s="508"/>
      <c r="T60" s="274"/>
      <c r="U60" s="509"/>
      <c r="V60" s="276">
        <f>SUM(V57:V59)</f>
        <v>0</v>
      </c>
      <c r="W60" s="276">
        <f>SUM(W57:W59)</f>
        <v>45612.125593600002</v>
      </c>
    </row>
    <row r="61" spans="1:33">
      <c r="A61" s="231"/>
      <c r="B61" s="287"/>
      <c r="C61" s="507"/>
      <c r="D61" s="515"/>
      <c r="E61" s="289"/>
      <c r="F61" s="231"/>
      <c r="G61" s="507"/>
      <c r="H61" s="515"/>
      <c r="I61" s="516"/>
      <c r="J61" s="231"/>
      <c r="K61" s="507"/>
      <c r="L61" s="515"/>
      <c r="M61" s="289"/>
      <c r="N61" s="231"/>
      <c r="O61" s="507"/>
      <c r="P61" s="515"/>
      <c r="Q61" s="516"/>
      <c r="R61" s="231"/>
      <c r="S61" s="507"/>
      <c r="T61" s="515"/>
      <c r="U61" s="516"/>
      <c r="V61" s="231"/>
      <c r="W61" s="488"/>
    </row>
    <row r="62" spans="1:33" ht="18.3">
      <c r="A62" s="291" t="s">
        <v>113</v>
      </c>
      <c r="B62" s="292"/>
      <c r="C62" s="517"/>
      <c r="D62" s="294"/>
      <c r="E62" s="295"/>
      <c r="F62" s="296">
        <f>F54+F60</f>
        <v>189531.67200000002</v>
      </c>
      <c r="G62" s="517"/>
      <c r="H62" s="294"/>
      <c r="I62" s="518"/>
      <c r="J62" s="296">
        <f>J54+J60</f>
        <v>176568.93408000001</v>
      </c>
      <c r="K62" s="517"/>
      <c r="L62" s="294"/>
      <c r="M62" s="295"/>
      <c r="N62" s="296">
        <f>N54+N60</f>
        <v>135632.77544960001</v>
      </c>
      <c r="O62" s="517"/>
      <c r="P62" s="294"/>
      <c r="Q62" s="518"/>
      <c r="R62" s="296">
        <f>R54+R60</f>
        <v>0</v>
      </c>
      <c r="S62" s="517"/>
      <c r="T62" s="294"/>
      <c r="U62" s="518"/>
      <c r="V62" s="296">
        <f>V54+V60</f>
        <v>0</v>
      </c>
      <c r="W62" s="519">
        <f>F62+J62+N62+R62+V62</f>
        <v>501733.38152960007</v>
      </c>
    </row>
    <row r="63" spans="1:33" ht="15.6">
      <c r="A63" s="299" t="s">
        <v>560</v>
      </c>
      <c r="B63" s="300"/>
      <c r="C63" s="520"/>
      <c r="D63" s="301"/>
      <c r="E63" s="230"/>
      <c r="F63" s="231">
        <v>3000</v>
      </c>
      <c r="G63" s="520"/>
      <c r="H63" s="301"/>
      <c r="I63" s="521"/>
      <c r="J63" s="231">
        <v>3000</v>
      </c>
      <c r="K63" s="520"/>
      <c r="L63" s="301"/>
      <c r="M63" s="230"/>
      <c r="N63" s="231">
        <v>3000</v>
      </c>
      <c r="O63" s="520"/>
      <c r="P63" s="301"/>
      <c r="Q63" s="521"/>
      <c r="R63" s="231">
        <f t="shared" ref="R63" si="55">O63*P63*Q63</f>
        <v>0</v>
      </c>
      <c r="S63" s="520"/>
      <c r="T63" s="301"/>
      <c r="U63" s="521"/>
      <c r="V63" s="231">
        <f t="shared" ref="V63" si="56">S63*T63*U63</f>
        <v>0</v>
      </c>
      <c r="W63" s="488">
        <f>F63+J63+N63+R63+V63</f>
        <v>9000</v>
      </c>
    </row>
    <row r="64" spans="1:33" ht="18.3">
      <c r="A64" s="291" t="s">
        <v>114</v>
      </c>
      <c r="B64" s="292"/>
      <c r="C64" s="517"/>
      <c r="D64" s="294"/>
      <c r="E64" s="295"/>
      <c r="F64" s="296">
        <f>F62+F63</f>
        <v>192531.67200000002</v>
      </c>
      <c r="G64" s="517"/>
      <c r="H64" s="294"/>
      <c r="I64" s="518"/>
      <c r="J64" s="296">
        <f>J62+J63</f>
        <v>179568.93408000001</v>
      </c>
      <c r="K64" s="517"/>
      <c r="L64" s="294"/>
      <c r="M64" s="295"/>
      <c r="N64" s="296">
        <f>N62+N63</f>
        <v>138632.77544960001</v>
      </c>
      <c r="O64" s="517"/>
      <c r="P64" s="294"/>
      <c r="Q64" s="518"/>
      <c r="R64" s="296">
        <f>R62+R63</f>
        <v>0</v>
      </c>
      <c r="S64" s="517"/>
      <c r="T64" s="294"/>
      <c r="U64" s="518"/>
      <c r="V64" s="296">
        <f>V62+V63</f>
        <v>0</v>
      </c>
      <c r="W64" s="519">
        <f>F64+J64+N64+R64+V64</f>
        <v>510733.38152960007</v>
      </c>
    </row>
    <row r="65" spans="1:23">
      <c r="A65" s="180"/>
      <c r="B65" s="180"/>
      <c r="W65" s="485"/>
    </row>
    <row r="66" spans="1:23" ht="31.2">
      <c r="A66" s="303" t="s">
        <v>115</v>
      </c>
      <c r="B66" s="304"/>
      <c r="C66" s="522"/>
      <c r="D66" s="306"/>
      <c r="E66" s="307"/>
      <c r="F66" s="308"/>
      <c r="G66" s="522"/>
      <c r="H66" s="306"/>
      <c r="I66" s="523"/>
      <c r="J66" s="524"/>
      <c r="K66" s="522"/>
      <c r="L66" s="306"/>
      <c r="M66" s="307"/>
      <c r="N66" s="524"/>
      <c r="O66" s="522"/>
      <c r="P66" s="306"/>
      <c r="Q66" s="523"/>
      <c r="R66" s="524"/>
      <c r="S66" s="522"/>
      <c r="T66" s="306"/>
      <c r="U66" s="523"/>
      <c r="V66" s="524"/>
      <c r="W66" s="524"/>
    </row>
  </sheetData>
  <mergeCells count="9">
    <mergeCell ref="S3:V3"/>
    <mergeCell ref="W3:W4"/>
    <mergeCell ref="A2:W2"/>
    <mergeCell ref="A3:A4"/>
    <mergeCell ref="B3:B4"/>
    <mergeCell ref="C3:F3"/>
    <mergeCell ref="G3:J3"/>
    <mergeCell ref="K3:N3"/>
    <mergeCell ref="O3:R3"/>
  </mergeCells>
  <printOptions horizontalCentered="1"/>
  <pageMargins left="0.25" right="0.25" top="0.75" bottom="0.75" header="0.3" footer="0.3"/>
  <pageSetup scale="34" orientation="landscape" r:id="rId1"/>
  <headerFooter alignWithMargins="0"/>
  <rowBreaks count="1" manualBreakCount="1">
    <brk id="61" max="1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0CB6-660F-44F2-A222-D4DC3A20B7B0}">
  <sheetPr>
    <pageSetUpPr fitToPage="1"/>
  </sheetPr>
  <dimension ref="A1:J66"/>
  <sheetViews>
    <sheetView topLeftCell="B1" zoomScale="90" zoomScaleNormal="90" zoomScaleSheetLayoutView="90" workbookViewId="0">
      <pane ySplit="7" topLeftCell="A8" activePane="bottomLeft" state="frozen"/>
      <selection activeCell="B75" sqref="B75"/>
      <selection pane="bottomLeft" activeCell="J55" sqref="J55"/>
    </sheetView>
  </sheetViews>
  <sheetFormatPr defaultColWidth="11.44140625" defaultRowHeight="12.6"/>
  <cols>
    <col min="1" max="1" width="3.44140625" style="5" customWidth="1"/>
    <col min="2" max="2" width="64.1640625" style="7" bestFit="1" customWidth="1"/>
    <col min="3" max="3" width="10.71875" style="47" bestFit="1" customWidth="1"/>
    <col min="4" max="8" width="10.71875" style="31" bestFit="1" customWidth="1"/>
    <col min="9" max="9" width="11.71875" style="31" bestFit="1" customWidth="1"/>
    <col min="10" max="10" width="32.1640625" style="5" bestFit="1" customWidth="1"/>
    <col min="11" max="11" width="12.44140625" style="5" bestFit="1" customWidth="1"/>
    <col min="12" max="16384" width="11.44140625" style="5"/>
  </cols>
  <sheetData>
    <row r="1" spans="2:10" ht="13.8">
      <c r="B1" s="593" t="s">
        <v>153</v>
      </c>
      <c r="C1" s="593"/>
      <c r="D1" s="593"/>
      <c r="E1" s="593"/>
      <c r="F1" s="593"/>
      <c r="G1" s="593"/>
      <c r="H1" s="593"/>
      <c r="I1" s="593"/>
    </row>
    <row r="2" spans="2:10" ht="13.8">
      <c r="B2" s="595" t="s">
        <v>154</v>
      </c>
      <c r="C2" s="595"/>
      <c r="D2" s="595"/>
      <c r="E2" s="595"/>
      <c r="F2" s="595"/>
      <c r="G2" s="595"/>
      <c r="H2" s="595"/>
      <c r="I2" s="595"/>
    </row>
    <row r="3" spans="2:10" ht="13.8">
      <c r="B3" s="593" t="s">
        <v>155</v>
      </c>
      <c r="C3" s="593"/>
      <c r="D3" s="593"/>
      <c r="E3" s="593"/>
      <c r="F3" s="593"/>
      <c r="G3" s="593"/>
      <c r="H3" s="593"/>
      <c r="I3" s="593"/>
    </row>
    <row r="4" spans="2:10" ht="13.8">
      <c r="B4" s="593" t="s">
        <v>158</v>
      </c>
      <c r="C4" s="593"/>
      <c r="D4" s="593"/>
      <c r="E4" s="593"/>
      <c r="F4" s="593"/>
      <c r="G4" s="593"/>
      <c r="H4" s="593"/>
      <c r="I4" s="593"/>
    </row>
    <row r="5" spans="2:10" ht="13.8">
      <c r="B5" s="593" t="s">
        <v>561</v>
      </c>
      <c r="C5" s="593"/>
      <c r="D5" s="593"/>
      <c r="E5" s="593"/>
      <c r="F5" s="593"/>
      <c r="G5" s="593"/>
      <c r="H5" s="593"/>
      <c r="I5" s="593"/>
    </row>
    <row r="7" spans="2:10" ht="24.9">
      <c r="B7" s="130" t="s">
        <v>168</v>
      </c>
      <c r="C7" s="131" t="s">
        <v>172</v>
      </c>
      <c r="D7" s="132" t="s">
        <v>173</v>
      </c>
      <c r="E7" s="132" t="s">
        <v>175</v>
      </c>
      <c r="F7" s="132" t="s">
        <v>177</v>
      </c>
      <c r="G7" s="131" t="s">
        <v>179</v>
      </c>
      <c r="H7" s="131" t="s">
        <v>181</v>
      </c>
      <c r="I7" s="131" t="s">
        <v>182</v>
      </c>
    </row>
    <row r="8" spans="2:10">
      <c r="B8" s="33" t="s">
        <v>562</v>
      </c>
      <c r="C8" s="35"/>
      <c r="D8" s="36"/>
      <c r="E8" s="36"/>
      <c r="F8" s="36"/>
      <c r="G8" s="36"/>
      <c r="H8" s="36"/>
      <c r="I8" s="36"/>
    </row>
    <row r="9" spans="2:10" hidden="1">
      <c r="B9" s="62" t="s">
        <v>563</v>
      </c>
      <c r="C9" s="65"/>
      <c r="D9" s="66"/>
      <c r="E9" s="66"/>
      <c r="F9" s="66"/>
      <c r="G9" s="66"/>
      <c r="H9" s="66"/>
      <c r="I9" s="66"/>
    </row>
    <row r="10" spans="2:10" hidden="1">
      <c r="B10" s="7" t="s">
        <v>564</v>
      </c>
      <c r="C10" s="40">
        <f>141500/12</f>
        <v>11791.666666666666</v>
      </c>
      <c r="D10" s="40" t="e">
        <f>#REF!*C10*#REF!</f>
        <v>#REF!</v>
      </c>
      <c r="E10" s="40" t="e">
        <f>#REF!*C10*#REF!*#REF!</f>
        <v>#REF!</v>
      </c>
      <c r="F10" s="40" t="e">
        <f>#REF!*C10*#REF!*#REF!*#REF!</f>
        <v>#REF!</v>
      </c>
      <c r="G10" s="40" t="e">
        <f>#REF!*C10*#REF!*#REF!*#REF!*#REF!</f>
        <v>#REF!</v>
      </c>
      <c r="H10" s="40" t="e">
        <f>#REF!*C10*#REF!*#REF!*#REF!*#REF!*#REF!</f>
        <v>#REF!</v>
      </c>
      <c r="I10" s="40" t="e">
        <f t="shared" ref="I10:I24" si="0">SUM(G10,F10,E10,D10,H10)</f>
        <v>#REF!</v>
      </c>
    </row>
    <row r="11" spans="2:10" hidden="1">
      <c r="B11" s="7" t="s">
        <v>565</v>
      </c>
      <c r="C11" s="40">
        <f>110000/12</f>
        <v>9166.6666666666661</v>
      </c>
      <c r="D11" s="40" t="e">
        <f>#REF!*C11*#REF!</f>
        <v>#REF!</v>
      </c>
      <c r="E11" s="40" t="e">
        <f>#REF!*C11*#REF!*#REF!</f>
        <v>#REF!</v>
      </c>
      <c r="F11" s="40" t="e">
        <f>#REF!*C11*#REF!*#REF!*#REF!</f>
        <v>#REF!</v>
      </c>
      <c r="G11" s="40" t="e">
        <f>#REF!*C11*#REF!*#REF!*#REF!*#REF!</f>
        <v>#REF!</v>
      </c>
      <c r="H11" s="40" t="e">
        <f>#REF!*C11*#REF!*#REF!*#REF!*#REF!*#REF!</f>
        <v>#REF!</v>
      </c>
      <c r="I11" s="40" t="e">
        <f t="shared" si="0"/>
        <v>#REF!</v>
      </c>
    </row>
    <row r="12" spans="2:10" hidden="1">
      <c r="B12" s="7" t="s">
        <v>566</v>
      </c>
      <c r="C12" s="40">
        <f>39000/12</f>
        <v>3250</v>
      </c>
      <c r="D12" s="40" t="e">
        <f>#REF!*C12*#REF!</f>
        <v>#REF!</v>
      </c>
      <c r="E12" s="40" t="e">
        <f>#REF!*C12*#REF!*#REF!</f>
        <v>#REF!</v>
      </c>
      <c r="F12" s="40" t="e">
        <f>#REF!*C12*#REF!*#REF!*#REF!</f>
        <v>#REF!</v>
      </c>
      <c r="G12" s="40" t="e">
        <f>#REF!*C12*#REF!*#REF!*#REF!*#REF!</f>
        <v>#REF!</v>
      </c>
      <c r="H12" s="40" t="e">
        <f>#REF!*C12*#REF!*#REF!*#REF!*#REF!*#REF!</f>
        <v>#REF!</v>
      </c>
      <c r="I12" s="40" t="e">
        <f t="shared" si="0"/>
        <v>#REF!</v>
      </c>
    </row>
    <row r="13" spans="2:10" hidden="1">
      <c r="B13" s="7" t="s">
        <v>202</v>
      </c>
      <c r="C13" s="40">
        <f>39000/12</f>
        <v>3250</v>
      </c>
      <c r="D13" s="40" t="e">
        <f>#REF!*C13*#REF!</f>
        <v>#REF!</v>
      </c>
      <c r="E13" s="40" t="e">
        <f>#REF!*C13*#REF!*#REF!</f>
        <v>#REF!</v>
      </c>
      <c r="F13" s="40" t="e">
        <f>#REF!*C13*#REF!*#REF!*#REF!</f>
        <v>#REF!</v>
      </c>
      <c r="G13" s="40" t="e">
        <f>#REF!*C13*#REF!*#REF!*#REF!*#REF!</f>
        <v>#REF!</v>
      </c>
      <c r="H13" s="40" t="e">
        <f>#REF!*C13*#REF!*#REF!*#REF!*#REF!*#REF!</f>
        <v>#REF!</v>
      </c>
      <c r="I13" s="40" t="e">
        <f t="shared" si="0"/>
        <v>#REF!</v>
      </c>
    </row>
    <row r="14" spans="2:10" hidden="1">
      <c r="B14" s="7" t="s">
        <v>567</v>
      </c>
      <c r="C14" s="40">
        <f t="shared" ref="C14:C22" si="1">22000/12</f>
        <v>1833.3333333333333</v>
      </c>
      <c r="D14" s="40" t="e">
        <f>#REF!*C14*#REF!</f>
        <v>#REF!</v>
      </c>
      <c r="E14" s="40" t="e">
        <f>#REF!*C14*#REF!*#REF!</f>
        <v>#REF!</v>
      </c>
      <c r="F14" s="40" t="e">
        <f>#REF!*C14*#REF!*#REF!*#REF!</f>
        <v>#REF!</v>
      </c>
      <c r="G14" s="40" t="e">
        <f>#REF!*C14*#REF!*#REF!*#REF!*#REF!</f>
        <v>#REF!</v>
      </c>
      <c r="H14" s="40" t="e">
        <f>#REF!*C14*#REF!*#REF!*#REF!*#REF!*#REF!</f>
        <v>#REF!</v>
      </c>
      <c r="I14" s="40" t="e">
        <f t="shared" si="0"/>
        <v>#REF!</v>
      </c>
      <c r="J14" s="54"/>
    </row>
    <row r="15" spans="2:10" hidden="1">
      <c r="B15" s="7" t="s">
        <v>567</v>
      </c>
      <c r="C15" s="40">
        <f t="shared" si="1"/>
        <v>1833.3333333333333</v>
      </c>
      <c r="D15" s="40" t="e">
        <f>#REF!*C15*#REF!</f>
        <v>#REF!</v>
      </c>
      <c r="E15" s="40" t="e">
        <f>#REF!*C15*#REF!*#REF!</f>
        <v>#REF!</v>
      </c>
      <c r="F15" s="40" t="e">
        <f>#REF!*C15*#REF!*#REF!*#REF!</f>
        <v>#REF!</v>
      </c>
      <c r="G15" s="40" t="e">
        <f>#REF!*C15*#REF!*#REF!*#REF!*#REF!</f>
        <v>#REF!</v>
      </c>
      <c r="H15" s="40" t="e">
        <f>#REF!*C15*#REF!*#REF!*#REF!*#REF!*#REF!</f>
        <v>#REF!</v>
      </c>
      <c r="I15" s="40" t="e">
        <f t="shared" si="0"/>
        <v>#REF!</v>
      </c>
      <c r="J15" s="54"/>
    </row>
    <row r="16" spans="2:10" hidden="1">
      <c r="B16" s="7" t="s">
        <v>568</v>
      </c>
      <c r="C16" s="40">
        <f t="shared" si="1"/>
        <v>1833.3333333333333</v>
      </c>
      <c r="D16" s="40" t="e">
        <f>#REF!*C16*#REF!</f>
        <v>#REF!</v>
      </c>
      <c r="E16" s="40" t="e">
        <f>#REF!*C16*#REF!*#REF!</f>
        <v>#REF!</v>
      </c>
      <c r="F16" s="40" t="e">
        <f>#REF!*C16*#REF!*#REF!*#REF!</f>
        <v>#REF!</v>
      </c>
      <c r="G16" s="40" t="e">
        <f>#REF!*C16*#REF!*#REF!*#REF!*#REF!</f>
        <v>#REF!</v>
      </c>
      <c r="H16" s="40" t="e">
        <f>#REF!*C16*#REF!*#REF!*#REF!*#REF!*#REF!</f>
        <v>#REF!</v>
      </c>
      <c r="I16" s="40" t="e">
        <f t="shared" si="0"/>
        <v>#REF!</v>
      </c>
    </row>
    <row r="17" spans="2:10" hidden="1">
      <c r="B17" s="7" t="s">
        <v>568</v>
      </c>
      <c r="C17" s="40">
        <f>18000/12</f>
        <v>1500</v>
      </c>
      <c r="D17" s="40" t="e">
        <f>#REF!*C17*#REF!</f>
        <v>#REF!</v>
      </c>
      <c r="E17" s="40" t="e">
        <f>#REF!*C17*#REF!*#REF!</f>
        <v>#REF!</v>
      </c>
      <c r="F17" s="40" t="e">
        <f>#REF!*C17*#REF!*#REF!*#REF!</f>
        <v>#REF!</v>
      </c>
      <c r="G17" s="40" t="e">
        <f>#REF!*C17*#REF!*#REF!*#REF!*#REF!</f>
        <v>#REF!</v>
      </c>
      <c r="H17" s="40" t="e">
        <f>#REF!*C17*#REF!*#REF!*#REF!*#REF!*#REF!</f>
        <v>#REF!</v>
      </c>
      <c r="I17" s="40" t="e">
        <f t="shared" si="0"/>
        <v>#REF!</v>
      </c>
    </row>
    <row r="18" spans="2:10" hidden="1">
      <c r="B18" s="7" t="s">
        <v>569</v>
      </c>
      <c r="C18" s="40">
        <f t="shared" si="1"/>
        <v>1833.3333333333333</v>
      </c>
      <c r="D18" s="40" t="e">
        <f>#REF!*C18*#REF!</f>
        <v>#REF!</v>
      </c>
      <c r="E18" s="40" t="e">
        <f>#REF!*C18*#REF!*#REF!</f>
        <v>#REF!</v>
      </c>
      <c r="F18" s="40" t="e">
        <f>#REF!*C18*#REF!*#REF!*#REF!</f>
        <v>#REF!</v>
      </c>
      <c r="G18" s="40" t="e">
        <f>#REF!*C18*#REF!*#REF!*#REF!*#REF!</f>
        <v>#REF!</v>
      </c>
      <c r="H18" s="40" t="e">
        <f>#REF!*C18*#REF!*#REF!*#REF!*#REF!*#REF!</f>
        <v>#REF!</v>
      </c>
      <c r="I18" s="40" t="e">
        <f t="shared" si="0"/>
        <v>#REF!</v>
      </c>
    </row>
    <row r="19" spans="2:10" hidden="1">
      <c r="B19" s="7" t="s">
        <v>569</v>
      </c>
      <c r="C19" s="40">
        <f t="shared" si="1"/>
        <v>1833.3333333333333</v>
      </c>
      <c r="D19" s="40" t="e">
        <f>#REF!*C19*#REF!</f>
        <v>#REF!</v>
      </c>
      <c r="E19" s="40" t="e">
        <f>#REF!*C19*#REF!*#REF!</f>
        <v>#REF!</v>
      </c>
      <c r="F19" s="40" t="e">
        <f>#REF!*C19*#REF!*#REF!*#REF!</f>
        <v>#REF!</v>
      </c>
      <c r="G19" s="40" t="e">
        <f>#REF!*C19*#REF!*#REF!*#REF!*#REF!</f>
        <v>#REF!</v>
      </c>
      <c r="H19" s="40" t="e">
        <f>#REF!*C19*#REF!*#REF!*#REF!*#REF!*#REF!</f>
        <v>#REF!</v>
      </c>
      <c r="I19" s="40" t="e">
        <f t="shared" si="0"/>
        <v>#REF!</v>
      </c>
    </row>
    <row r="20" spans="2:10" hidden="1">
      <c r="B20" s="7" t="s">
        <v>569</v>
      </c>
      <c r="C20" s="40">
        <f>18000/12</f>
        <v>1500</v>
      </c>
      <c r="D20" s="40" t="e">
        <f>#REF!*C20*#REF!</f>
        <v>#REF!</v>
      </c>
      <c r="E20" s="40" t="e">
        <f>#REF!*C20*#REF!*#REF!</f>
        <v>#REF!</v>
      </c>
      <c r="F20" s="40" t="e">
        <f>#REF!*C20*#REF!*#REF!*#REF!</f>
        <v>#REF!</v>
      </c>
      <c r="G20" s="40" t="e">
        <f>#REF!*C20*#REF!*#REF!*#REF!*#REF!</f>
        <v>#REF!</v>
      </c>
      <c r="H20" s="40" t="e">
        <f>#REF!*C20*#REF!*#REF!*#REF!*#REF!*#REF!</f>
        <v>#REF!</v>
      </c>
      <c r="I20" s="40" t="e">
        <f t="shared" si="0"/>
        <v>#REF!</v>
      </c>
    </row>
    <row r="21" spans="2:10" hidden="1">
      <c r="B21" s="7" t="s">
        <v>569</v>
      </c>
      <c r="C21" s="40">
        <f>18000/12</f>
        <v>1500</v>
      </c>
      <c r="D21" s="40" t="e">
        <f>#REF!*C21*#REF!</f>
        <v>#REF!</v>
      </c>
      <c r="E21" s="40" t="e">
        <f>#REF!*C21*#REF!*#REF!</f>
        <v>#REF!</v>
      </c>
      <c r="F21" s="40" t="e">
        <f>#REF!*C21*#REF!*#REF!*#REF!</f>
        <v>#REF!</v>
      </c>
      <c r="G21" s="40" t="e">
        <f>#REF!*C21*#REF!*#REF!*#REF!*#REF!</f>
        <v>#REF!</v>
      </c>
      <c r="H21" s="40" t="e">
        <f>#REF!*C21*#REF!*#REF!*#REF!*#REF!*#REF!</f>
        <v>#REF!</v>
      </c>
      <c r="I21" s="40" t="e">
        <f t="shared" si="0"/>
        <v>#REF!</v>
      </c>
    </row>
    <row r="22" spans="2:10" hidden="1">
      <c r="B22" s="7" t="s">
        <v>570</v>
      </c>
      <c r="C22" s="40">
        <f t="shared" si="1"/>
        <v>1833.3333333333333</v>
      </c>
      <c r="D22" s="40" t="e">
        <f>#REF!*C22*#REF!</f>
        <v>#REF!</v>
      </c>
      <c r="E22" s="40" t="e">
        <f>#REF!*C22*#REF!*#REF!</f>
        <v>#REF!</v>
      </c>
      <c r="F22" s="40" t="e">
        <f>#REF!*C22*#REF!*#REF!*#REF!</f>
        <v>#REF!</v>
      </c>
      <c r="G22" s="40" t="e">
        <f>#REF!*C22*#REF!*#REF!*#REF!*#REF!</f>
        <v>#REF!</v>
      </c>
      <c r="H22" s="40" t="e">
        <f>#REF!*C22*#REF!*#REF!*#REF!*#REF!*#REF!</f>
        <v>#REF!</v>
      </c>
      <c r="I22" s="40" t="e">
        <f t="shared" si="0"/>
        <v>#REF!</v>
      </c>
    </row>
    <row r="23" spans="2:10" hidden="1">
      <c r="B23" s="7" t="s">
        <v>207</v>
      </c>
      <c r="C23" s="40">
        <f>18000/12</f>
        <v>1500</v>
      </c>
      <c r="D23" s="40" t="e">
        <f>#REF!*C23*#REF!</f>
        <v>#REF!</v>
      </c>
      <c r="E23" s="40" t="e">
        <f>#REF!*C23*#REF!*#REF!</f>
        <v>#REF!</v>
      </c>
      <c r="F23" s="40" t="e">
        <f>#REF!*C23*#REF!*#REF!*#REF!</f>
        <v>#REF!</v>
      </c>
      <c r="G23" s="40" t="e">
        <f>#REF!*C23*#REF!*#REF!*#REF!*#REF!</f>
        <v>#REF!</v>
      </c>
      <c r="H23" s="40" t="e">
        <f>#REF!*C23*#REF!*#REF!*#REF!*#REF!*#REF!</f>
        <v>#REF!</v>
      </c>
      <c r="I23" s="40" t="e">
        <f t="shared" si="0"/>
        <v>#REF!</v>
      </c>
    </row>
    <row r="24" spans="2:10" hidden="1">
      <c r="B24" s="7" t="s">
        <v>571</v>
      </c>
      <c r="C24" s="40">
        <f>15000/12</f>
        <v>1250</v>
      </c>
      <c r="D24" s="40" t="e">
        <f>#REF!*C24*#REF!</f>
        <v>#REF!</v>
      </c>
      <c r="E24" s="40" t="e">
        <f>#REF!*C24*#REF!*#REF!</f>
        <v>#REF!</v>
      </c>
      <c r="F24" s="40" t="e">
        <f>#REF!*C24*#REF!*#REF!*#REF!</f>
        <v>#REF!</v>
      </c>
      <c r="G24" s="40" t="e">
        <f>#REF!*C24*#REF!*#REF!*#REF!*#REF!</f>
        <v>#REF!</v>
      </c>
      <c r="H24" s="40" t="e">
        <f>#REF!*C24*#REF!*#REF!*#REF!*#REF!*#REF!</f>
        <v>#REF!</v>
      </c>
      <c r="I24" s="40" t="e">
        <f t="shared" si="0"/>
        <v>#REF!</v>
      </c>
    </row>
    <row r="25" spans="2:10" hidden="1">
      <c r="C25" s="40"/>
      <c r="D25" s="40"/>
      <c r="E25" s="40"/>
      <c r="F25" s="40"/>
      <c r="G25" s="40"/>
      <c r="H25" s="40"/>
      <c r="I25" s="40"/>
    </row>
    <row r="26" spans="2:10" hidden="1">
      <c r="B26" s="62" t="s">
        <v>572</v>
      </c>
      <c r="C26" s="68"/>
      <c r="D26" s="68"/>
      <c r="E26" s="68"/>
      <c r="F26" s="68"/>
      <c r="G26" s="68"/>
      <c r="H26" s="68"/>
      <c r="I26" s="68"/>
    </row>
    <row r="27" spans="2:10" hidden="1">
      <c r="B27" s="7" t="s">
        <v>573</v>
      </c>
      <c r="C27" s="40">
        <f>55000/12</f>
        <v>4583.333333333333</v>
      </c>
      <c r="D27" s="40" t="e">
        <f>#REF!*C27*#REF!</f>
        <v>#REF!</v>
      </c>
      <c r="E27" s="40" t="e">
        <f>#REF!*C27*#REF!*#REF!</f>
        <v>#REF!</v>
      </c>
      <c r="F27" s="40" t="e">
        <f>#REF!*C27*#REF!*#REF!*#REF!</f>
        <v>#REF!</v>
      </c>
      <c r="G27" s="40" t="e">
        <f>#REF!*C27*#REF!*#REF!*#REF!*#REF!</f>
        <v>#REF!</v>
      </c>
      <c r="H27" s="40" t="e">
        <f>#REF!*C27*#REF!*#REF!*#REF!*#REF!*#REF!</f>
        <v>#REF!</v>
      </c>
      <c r="I27" s="40" t="e">
        <f>SUM(G27,F27,E27,D27,H27)</f>
        <v>#REF!</v>
      </c>
      <c r="J27" s="57"/>
    </row>
    <row r="28" spans="2:10" hidden="1">
      <c r="C28" s="40"/>
      <c r="D28" s="40"/>
      <c r="E28" s="40"/>
      <c r="F28" s="40"/>
      <c r="G28" s="40"/>
      <c r="H28" s="40"/>
      <c r="I28" s="40"/>
    </row>
    <row r="29" spans="2:10">
      <c r="B29" s="127" t="s">
        <v>214</v>
      </c>
      <c r="C29" s="127"/>
      <c r="D29" s="134">
        <f>'Program Budget'!I37</f>
        <v>251629.16666666669</v>
      </c>
      <c r="E29" s="134">
        <f>'Program Budget'!L37</f>
        <v>197190</v>
      </c>
      <c r="F29" s="134">
        <f>'Program Budget'!O37</f>
        <v>207049.5</v>
      </c>
      <c r="G29" s="134">
        <f>'Program Budget'!R37</f>
        <v>217401.97500000001</v>
      </c>
      <c r="H29" s="134">
        <f>'Program Budget'!U37</f>
        <v>224397.64757812503</v>
      </c>
      <c r="I29" s="133">
        <f>SUM(D29:H29)</f>
        <v>1097668.2892447917</v>
      </c>
    </row>
    <row r="30" spans="2:10">
      <c r="B30" s="34" t="s">
        <v>574</v>
      </c>
      <c r="C30" s="35"/>
      <c r="D30" s="36"/>
      <c r="E30" s="36"/>
      <c r="F30" s="36"/>
      <c r="G30" s="36"/>
      <c r="H30" s="36"/>
      <c r="I30" s="36"/>
    </row>
    <row r="31" spans="2:10">
      <c r="B31" s="135" t="s">
        <v>219</v>
      </c>
      <c r="C31" s="136"/>
      <c r="D31" s="134">
        <f>'Program Budget'!I43</f>
        <v>88716.170833333337</v>
      </c>
      <c r="E31" s="134">
        <f>'Program Budget'!L43</f>
        <v>62657.595000000001</v>
      </c>
      <c r="F31" s="134">
        <f>'Program Budget'!O43</f>
        <v>65790.474749999994</v>
      </c>
      <c r="G31" s="134">
        <f>'Program Budget'!R43</f>
        <v>69079.998487500008</v>
      </c>
      <c r="H31" s="134">
        <f>'Program Budget'!U43</f>
        <v>70771.134503671885</v>
      </c>
      <c r="I31" s="133">
        <f>SUM(D31:H31)</f>
        <v>357015.37357450521</v>
      </c>
    </row>
    <row r="32" spans="2:10">
      <c r="B32" s="34" t="s">
        <v>575</v>
      </c>
      <c r="C32" s="35"/>
      <c r="D32" s="36"/>
      <c r="E32" s="36"/>
      <c r="F32" s="36"/>
      <c r="G32" s="36"/>
      <c r="H32" s="36"/>
      <c r="I32" s="36"/>
    </row>
    <row r="33" spans="1:10">
      <c r="A33" s="73"/>
      <c r="B33" s="127" t="s">
        <v>242</v>
      </c>
      <c r="C33" s="136"/>
      <c r="D33" s="134">
        <f>'Program Budget'!I60</f>
        <v>52374</v>
      </c>
      <c r="E33" s="134">
        <f>'Program Budget'!L60</f>
        <v>60373.68</v>
      </c>
      <c r="F33" s="134">
        <f>'Program Budget'!O60</f>
        <v>64599.837600000006</v>
      </c>
      <c r="G33" s="134">
        <f>'Program Budget'!R60</f>
        <v>69121.826232000007</v>
      </c>
      <c r="H33" s="134">
        <f>'Program Budget'!U60</f>
        <v>72190.779454740026</v>
      </c>
      <c r="I33" s="133">
        <f>SUM(D33:H33)</f>
        <v>318660.12328674004</v>
      </c>
    </row>
    <row r="34" spans="1:10">
      <c r="B34" s="34" t="s">
        <v>576</v>
      </c>
      <c r="C34" s="35"/>
      <c r="D34" s="36"/>
      <c r="E34" s="36"/>
      <c r="F34" s="36"/>
      <c r="G34" s="36"/>
      <c r="H34" s="36"/>
      <c r="I34" s="36"/>
    </row>
    <row r="35" spans="1:10">
      <c r="A35" s="73"/>
      <c r="B35" s="127" t="s">
        <v>283</v>
      </c>
      <c r="C35" s="136"/>
      <c r="D35" s="134">
        <f>'Program Budget'!I86</f>
        <v>541633.82380000001</v>
      </c>
      <c r="E35" s="134">
        <f>'Program Budget'!L86</f>
        <v>272000</v>
      </c>
      <c r="F35" s="134">
        <f>'Program Budget'!O86</f>
        <v>382000</v>
      </c>
      <c r="G35" s="134">
        <f>'Program Budget'!R86</f>
        <v>72000</v>
      </c>
      <c r="H35" s="134">
        <f>'Program Budget'!U86</f>
        <v>241500</v>
      </c>
      <c r="I35" s="133">
        <f>SUM(D35:H35)</f>
        <v>1509133.8237999999</v>
      </c>
    </row>
    <row r="36" spans="1:10">
      <c r="B36" s="34" t="s">
        <v>577</v>
      </c>
      <c r="C36" s="35"/>
      <c r="D36" s="36"/>
      <c r="E36" s="36"/>
      <c r="F36" s="36"/>
      <c r="G36" s="36"/>
      <c r="H36" s="36"/>
      <c r="I36" s="36"/>
    </row>
    <row r="37" spans="1:10">
      <c r="B37" s="127" t="s">
        <v>286</v>
      </c>
      <c r="C37" s="127"/>
      <c r="D37" s="129">
        <f>'Program Budget'!I91</f>
        <v>180000</v>
      </c>
      <c r="E37" s="129">
        <f>'Program Budget'!L91</f>
        <v>0</v>
      </c>
      <c r="F37" s="129">
        <f>'Program Budget'!O91</f>
        <v>0</v>
      </c>
      <c r="G37" s="129">
        <f>'Program Budget'!R91</f>
        <v>0</v>
      </c>
      <c r="H37" s="129">
        <f>'Program Budget'!U91</f>
        <v>0</v>
      </c>
      <c r="I37" s="133">
        <f>SUM(D37:H37)</f>
        <v>180000</v>
      </c>
    </row>
    <row r="38" spans="1:10">
      <c r="A38" s="73"/>
      <c r="B38" s="34" t="s">
        <v>578</v>
      </c>
      <c r="C38" s="35"/>
      <c r="D38" s="36"/>
      <c r="E38" s="36"/>
      <c r="F38" s="36"/>
      <c r="G38" s="36"/>
      <c r="H38" s="36"/>
      <c r="I38" s="36"/>
    </row>
    <row r="39" spans="1:10">
      <c r="B39" s="127" t="s">
        <v>312</v>
      </c>
      <c r="C39" s="128"/>
      <c r="D39" s="129">
        <f>'Program Budget'!I110</f>
        <v>43375</v>
      </c>
      <c r="E39" s="129">
        <f>'Program Budget'!L110</f>
        <v>103019.59999999999</v>
      </c>
      <c r="F39" s="129">
        <f>'Program Budget'!O110</f>
        <v>110230.97200000002</v>
      </c>
      <c r="G39" s="129">
        <f>'Program Budget'!R110</f>
        <v>117947.14004000001</v>
      </c>
      <c r="H39" s="129">
        <f>'Program Budget'!U110</f>
        <v>76203.126041350013</v>
      </c>
      <c r="I39" s="133">
        <f>SUM(D39:H39)</f>
        <v>450775.83808135003</v>
      </c>
    </row>
    <row r="40" spans="1:10">
      <c r="A40" s="73"/>
      <c r="B40" s="34" t="s">
        <v>579</v>
      </c>
      <c r="C40" s="35"/>
      <c r="D40" s="36"/>
      <c r="E40" s="36"/>
      <c r="F40" s="36"/>
      <c r="G40" s="36"/>
      <c r="H40" s="36"/>
      <c r="I40" s="36"/>
    </row>
    <row r="41" spans="1:10" ht="12.9" thickBot="1">
      <c r="B41" s="533" t="s">
        <v>326</v>
      </c>
      <c r="C41" s="541"/>
      <c r="D41" s="542">
        <f>'Program Budget'!I125</f>
        <v>69422.850000000006</v>
      </c>
      <c r="E41" s="542">
        <f>'Program Budget'!L125</f>
        <v>3210</v>
      </c>
      <c r="F41" s="542">
        <f>'Program Budget'!O125</f>
        <v>3434.7000000000003</v>
      </c>
      <c r="G41" s="542">
        <f>'Program Budget'!R125</f>
        <v>3675.1290000000004</v>
      </c>
      <c r="H41" s="542">
        <f>'Program Budget'!U125</f>
        <v>2949.2910225000005</v>
      </c>
      <c r="I41" s="542">
        <f>SUM(D41:H41)</f>
        <v>82691.970022499998</v>
      </c>
    </row>
    <row r="42" spans="1:10">
      <c r="A42" s="73"/>
      <c r="B42" s="34" t="s">
        <v>580</v>
      </c>
      <c r="C42" s="35"/>
      <c r="D42" s="36"/>
      <c r="E42" s="36"/>
      <c r="F42" s="36"/>
      <c r="G42" s="36"/>
      <c r="H42" s="36"/>
      <c r="I42" s="36"/>
    </row>
    <row r="43" spans="1:10" ht="12.9" thickBot="1">
      <c r="B43" s="533" t="s">
        <v>336</v>
      </c>
      <c r="C43" s="541"/>
      <c r="D43" s="542">
        <f>'Program Budget'!I135</f>
        <v>10825</v>
      </c>
      <c r="E43" s="542">
        <f>'Program Budget'!L135</f>
        <v>12397.25</v>
      </c>
      <c r="F43" s="542">
        <f>'Program Budget'!O135</f>
        <v>12635.057500000001</v>
      </c>
      <c r="G43" s="542">
        <f>'Program Budget'!R135</f>
        <v>12889.511525000002</v>
      </c>
      <c r="H43" s="542">
        <f>'Program Budget'!U135</f>
        <v>11982.060922750003</v>
      </c>
      <c r="I43" s="542">
        <f>SUM(D43:H43)</f>
        <v>60728.879947750007</v>
      </c>
    </row>
    <row r="44" spans="1:10" ht="12.9" thickBot="1">
      <c r="B44" s="544" t="s">
        <v>581</v>
      </c>
      <c r="C44" s="546"/>
      <c r="D44" s="547">
        <f t="shared" ref="D44:I44" si="2">SUM(D29:D43)</f>
        <v>1237976.0113000001</v>
      </c>
      <c r="E44" s="547">
        <f t="shared" si="2"/>
        <v>710848.125</v>
      </c>
      <c r="F44" s="547">
        <f t="shared" si="2"/>
        <v>845740.54185000004</v>
      </c>
      <c r="G44" s="547">
        <f t="shared" si="2"/>
        <v>562115.58028449991</v>
      </c>
      <c r="H44" s="547">
        <f t="shared" si="2"/>
        <v>699994.03952313703</v>
      </c>
      <c r="I44" s="547">
        <f t="shared" si="2"/>
        <v>4056674.2979576369</v>
      </c>
    </row>
    <row r="45" spans="1:10">
      <c r="B45" s="50"/>
      <c r="C45" s="39"/>
      <c r="D45" s="53"/>
      <c r="E45" s="53"/>
      <c r="F45" s="53"/>
      <c r="G45" s="53"/>
      <c r="H45" s="53"/>
      <c r="I45" s="53"/>
    </row>
    <row r="46" spans="1:10">
      <c r="B46" s="50" t="s">
        <v>582</v>
      </c>
      <c r="C46" s="56">
        <v>0.2828</v>
      </c>
      <c r="D46" s="53">
        <f>D44*$C$46</f>
        <v>350099.61599564005</v>
      </c>
      <c r="E46" s="53">
        <f>E44*$C$46</f>
        <v>201027.84974999999</v>
      </c>
      <c r="F46" s="53">
        <f>F44*$C$46</f>
        <v>239175.42523518001</v>
      </c>
      <c r="G46" s="53">
        <f>G44*$C$46</f>
        <v>158966.28610445658</v>
      </c>
      <c r="H46" s="53">
        <f>H44*$C$46</f>
        <v>197958.31437714316</v>
      </c>
      <c r="I46" s="53">
        <f>SUM(H46+G46,F46,E46,D46)</f>
        <v>1147227.4914624197</v>
      </c>
      <c r="J46" s="125"/>
    </row>
    <row r="47" spans="1:10">
      <c r="B47" s="94"/>
      <c r="C47" s="38"/>
      <c r="D47" s="96"/>
      <c r="E47" s="96"/>
      <c r="F47" s="96"/>
      <c r="G47" s="96"/>
      <c r="H47" s="96"/>
      <c r="I47" s="96"/>
    </row>
    <row r="48" spans="1:10" ht="12.9" thickBot="1">
      <c r="B48" s="97" t="s">
        <v>583</v>
      </c>
      <c r="C48" s="98"/>
      <c r="D48" s="99">
        <f>D46</f>
        <v>350099.61599564005</v>
      </c>
      <c r="E48" s="99">
        <f t="shared" ref="E48:H48" si="3">E46</f>
        <v>201027.84974999999</v>
      </c>
      <c r="F48" s="99">
        <f t="shared" si="3"/>
        <v>239175.42523518001</v>
      </c>
      <c r="G48" s="99">
        <f t="shared" si="3"/>
        <v>158966.28610445658</v>
      </c>
      <c r="H48" s="99">
        <f t="shared" si="3"/>
        <v>197958.31437714316</v>
      </c>
      <c r="I48" s="99">
        <f>I46</f>
        <v>1147227.4914624197</v>
      </c>
    </row>
    <row r="49" spans="2:10" ht="12.9" thickTop="1">
      <c r="B49" s="127"/>
      <c r="C49" s="128"/>
      <c r="D49" s="129"/>
      <c r="E49" s="129"/>
      <c r="F49" s="129"/>
      <c r="G49" s="129"/>
      <c r="H49" s="129"/>
      <c r="I49" s="129"/>
    </row>
    <row r="50" spans="2:10">
      <c r="B50" s="86" t="str">
        <f>'USDA Budget Summary'!A28</f>
        <v xml:space="preserve">Activity 1: Increase Use of Climate Smart Agriculture and Water Management  </v>
      </c>
      <c r="C50" s="35"/>
      <c r="D50" s="87"/>
      <c r="E50" s="87"/>
      <c r="F50" s="87"/>
      <c r="G50" s="87"/>
      <c r="H50" s="87"/>
      <c r="I50" s="87"/>
    </row>
    <row r="51" spans="2:10">
      <c r="B51" s="127" t="s">
        <v>402</v>
      </c>
      <c r="C51" s="43"/>
      <c r="D51" s="133">
        <f>'Program Budget'!I211</f>
        <v>294503.25</v>
      </c>
      <c r="E51" s="133">
        <f>'Program Budget'!L211</f>
        <v>1073975.5649999999</v>
      </c>
      <c r="F51" s="133">
        <f>'Program Budget'!O211</f>
        <v>1173907.983525</v>
      </c>
      <c r="G51" s="133">
        <f>'Program Budget'!R211</f>
        <v>964484.16902725003</v>
      </c>
      <c r="H51" s="133">
        <f>'Program Budget'!U211</f>
        <v>354054.16294218873</v>
      </c>
      <c r="I51" s="133">
        <f>SUM(D51:H51)</f>
        <v>3860925.130494439</v>
      </c>
      <c r="J51" s="137"/>
    </row>
    <row r="52" spans="2:10">
      <c r="B52" s="86" t="str">
        <f>'USDA Budget Summary'!A29</f>
        <v>Activity 2: Increase Productivity of the Oasis Agricultural System</v>
      </c>
      <c r="C52" s="35"/>
      <c r="D52" s="87"/>
      <c r="E52" s="87"/>
      <c r="F52" s="87"/>
      <c r="G52" s="87"/>
      <c r="H52" s="87"/>
      <c r="I52" s="87"/>
      <c r="J52" s="137"/>
    </row>
    <row r="53" spans="2:10">
      <c r="B53" s="127" t="s">
        <v>454</v>
      </c>
      <c r="C53" s="43"/>
      <c r="D53" s="133">
        <f>'Program Budget'!I282</f>
        <v>320120.25</v>
      </c>
      <c r="E53" s="133">
        <f>'Program Budget'!L282</f>
        <v>780589.21499999997</v>
      </c>
      <c r="F53" s="133">
        <f>'Program Budget'!O282</f>
        <v>560377.78327500005</v>
      </c>
      <c r="G53" s="133">
        <f>'Program Budget'!R282</f>
        <v>414060.82910475007</v>
      </c>
      <c r="H53" s="133">
        <f>'Program Budget'!U282</f>
        <v>320541.22190037498</v>
      </c>
      <c r="I53" s="133">
        <f>SUM(D53:H53)</f>
        <v>2395689.2992801252</v>
      </c>
      <c r="J53" s="137"/>
    </row>
    <row r="54" spans="2:10">
      <c r="B54" s="86" t="str">
        <f>'USDA Budget Summary'!A30</f>
        <v xml:space="preserve">Activity 3: Increase Use of Sustainable Oasis Agricultural System Business Models </v>
      </c>
      <c r="C54" s="35"/>
      <c r="D54" s="87"/>
      <c r="E54" s="87"/>
      <c r="F54" s="87"/>
      <c r="G54" s="87"/>
      <c r="H54" s="87"/>
      <c r="I54" s="87"/>
      <c r="J54" s="137"/>
    </row>
    <row r="55" spans="2:10">
      <c r="B55" s="127" t="s">
        <v>539</v>
      </c>
      <c r="C55" s="43"/>
      <c r="D55" s="133">
        <f>'Program Budget'!I379</f>
        <v>385860.48450000002</v>
      </c>
      <c r="E55" s="133">
        <f>'Program Budget'!L379</f>
        <v>859982.67408000003</v>
      </c>
      <c r="F55" s="133">
        <f>'Program Budget'!O379</f>
        <v>858378.6538496</v>
      </c>
      <c r="G55" s="133">
        <f>'Program Budget'!R379</f>
        <v>481158.81631600001</v>
      </c>
      <c r="H55" s="133">
        <f>'Program Budget'!U379</f>
        <v>353591.32063917187</v>
      </c>
      <c r="I55" s="133">
        <f>SUM(D55:H55)</f>
        <v>2938971.9493847722</v>
      </c>
      <c r="J55" s="137"/>
    </row>
    <row r="56" spans="2:10" ht="12.9" thickBot="1">
      <c r="B56" s="544" t="s">
        <v>584</v>
      </c>
      <c r="C56" s="546"/>
      <c r="D56" s="547">
        <f t="shared" ref="D56:I56" si="4">SUM(D51:D55)</f>
        <v>1000483.9845</v>
      </c>
      <c r="E56" s="547">
        <f t="shared" si="4"/>
        <v>2714547.4540799996</v>
      </c>
      <c r="F56" s="547">
        <f t="shared" si="4"/>
        <v>2592664.4206496002</v>
      </c>
      <c r="G56" s="547">
        <f t="shared" si="4"/>
        <v>1859703.8144480002</v>
      </c>
      <c r="H56" s="547">
        <f t="shared" si="4"/>
        <v>1028186.7054817355</v>
      </c>
      <c r="I56" s="547">
        <f t="shared" si="4"/>
        <v>9195586.379159335</v>
      </c>
      <c r="J56" s="32"/>
    </row>
    <row r="57" spans="2:10">
      <c r="B57" s="50"/>
      <c r="C57" s="39"/>
      <c r="D57" s="53"/>
      <c r="E57" s="53"/>
      <c r="F57" s="53"/>
      <c r="G57" s="53"/>
      <c r="H57" s="53"/>
      <c r="I57" s="53"/>
    </row>
    <row r="58" spans="2:10">
      <c r="B58" s="50" t="s">
        <v>585</v>
      </c>
      <c r="C58" s="56">
        <v>0.2828</v>
      </c>
      <c r="D58" s="53">
        <f>D56*$C$58</f>
        <v>282936.87081659999</v>
      </c>
      <c r="E58" s="53">
        <f>(E56)*$C$58</f>
        <v>767674.02001382387</v>
      </c>
      <c r="F58" s="53">
        <f>F56*$C$58</f>
        <v>733205.49815970694</v>
      </c>
      <c r="G58" s="53">
        <f>G56*$C$58</f>
        <v>525924.23872589448</v>
      </c>
      <c r="H58" s="53">
        <f>H56*$C$58</f>
        <v>290771.2003102348</v>
      </c>
      <c r="I58" s="53">
        <f>SUM(H58+G58,F58,E58,D58)</f>
        <v>2600511.8280262598</v>
      </c>
      <c r="J58" s="125"/>
    </row>
    <row r="59" spans="2:10">
      <c r="B59" s="94"/>
      <c r="C59" s="38"/>
      <c r="D59" s="96"/>
      <c r="E59" s="96"/>
      <c r="F59" s="96"/>
      <c r="G59" s="96"/>
      <c r="H59" s="96"/>
      <c r="I59" s="96"/>
    </row>
    <row r="60" spans="2:10" ht="12.9" thickBot="1">
      <c r="B60" s="97" t="s">
        <v>586</v>
      </c>
      <c r="C60" s="98"/>
      <c r="D60" s="99">
        <f>D58</f>
        <v>282936.87081659999</v>
      </c>
      <c r="E60" s="99">
        <f t="shared" ref="E60:I60" si="5">E58</f>
        <v>767674.02001382387</v>
      </c>
      <c r="F60" s="99">
        <f t="shared" si="5"/>
        <v>733205.49815970694</v>
      </c>
      <c r="G60" s="99">
        <f>G58</f>
        <v>525924.23872589448</v>
      </c>
      <c r="H60" s="99">
        <f t="shared" si="5"/>
        <v>290771.2003102348</v>
      </c>
      <c r="I60" s="99">
        <f t="shared" si="5"/>
        <v>2600511.8280262598</v>
      </c>
    </row>
    <row r="61" spans="2:10" ht="12.9" thickTop="1"/>
    <row r="62" spans="2:10" ht="12.9" thickBot="1">
      <c r="B62" s="97" t="s">
        <v>587</v>
      </c>
      <c r="C62" s="98"/>
      <c r="D62" s="99">
        <f t="shared" ref="D62:I62" si="6">D60+D48</f>
        <v>633036.48681223998</v>
      </c>
      <c r="E62" s="99">
        <f t="shared" si="6"/>
        <v>968701.86976382392</v>
      </c>
      <c r="F62" s="99">
        <f t="shared" si="6"/>
        <v>972380.92339488701</v>
      </c>
      <c r="G62" s="99">
        <f t="shared" si="6"/>
        <v>684890.52483035112</v>
      </c>
      <c r="H62" s="99">
        <f t="shared" si="6"/>
        <v>488729.51468737796</v>
      </c>
      <c r="I62" s="99">
        <f t="shared" si="6"/>
        <v>3747739.3194886795</v>
      </c>
    </row>
    <row r="63" spans="2:10" ht="12.9" thickTop="1">
      <c r="I63" s="48"/>
    </row>
    <row r="65" spans="2:2">
      <c r="B65" s="100"/>
    </row>
    <row r="66" spans="2:2">
      <c r="B66" s="100"/>
    </row>
  </sheetData>
  <mergeCells count="5">
    <mergeCell ref="B1:I1"/>
    <mergeCell ref="B2:I2"/>
    <mergeCell ref="B3:I3"/>
    <mergeCell ref="B5:I5"/>
    <mergeCell ref="B4:I4"/>
  </mergeCells>
  <pageMargins left="0.7" right="0.7" top="0.75" bottom="0.75" header="0.3" footer="0.3"/>
  <pageSetup scale="89" orientation="landscape" r:id="rId1"/>
  <headerFooter alignWithMargins="0"/>
  <rowBreaks count="1" manualBreakCount="1">
    <brk id="49" min="1" max="1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023C-3AE7-4E9C-A381-4C4F2117FE7B}">
  <dimension ref="B1:R54"/>
  <sheetViews>
    <sheetView zoomScale="85" zoomScaleNormal="85" workbookViewId="0">
      <selection activeCell="K29" sqref="K29"/>
    </sheetView>
  </sheetViews>
  <sheetFormatPr defaultColWidth="8.71875" defaultRowHeight="12.6" outlineLevelRow="1"/>
  <cols>
    <col min="1" max="1" width="2.44140625" style="5" customWidth="1"/>
    <col min="2" max="2" width="52.44140625" style="6" customWidth="1"/>
    <col min="3" max="3" width="15.1640625" style="7" bestFit="1" customWidth="1"/>
    <col min="4" max="4" width="10.44140625" style="7" bestFit="1" customWidth="1"/>
    <col min="5" max="5" width="18.1640625" style="8" bestFit="1" customWidth="1"/>
    <col min="6" max="6" width="15.1640625" style="7" bestFit="1" customWidth="1"/>
    <col min="7" max="7" width="10.44140625" style="6" bestFit="1" customWidth="1"/>
    <col min="8" max="8" width="18.44140625" style="9" bestFit="1" customWidth="1"/>
    <col min="9" max="9" width="15.1640625" style="7" bestFit="1" customWidth="1"/>
    <col min="10" max="10" width="10.44140625" style="6" bestFit="1" customWidth="1"/>
    <col min="11" max="11" width="18.1640625" style="6" bestFit="1" customWidth="1"/>
    <col min="12" max="12" width="15.1640625" style="7" bestFit="1" customWidth="1"/>
    <col min="13" max="13" width="10.44140625" style="6" bestFit="1" customWidth="1"/>
    <col min="14" max="14" width="18.1640625" style="6" bestFit="1" customWidth="1"/>
    <col min="15" max="15" width="15.1640625" style="7" bestFit="1" customWidth="1"/>
    <col min="16" max="16" width="10.44140625" style="10" bestFit="1" customWidth="1"/>
    <col min="17" max="17" width="18.1640625" style="6" bestFit="1" customWidth="1"/>
    <col min="18" max="18" width="16.44140625" style="6" bestFit="1" customWidth="1"/>
    <col min="19" max="16384" width="8.71875" style="5"/>
  </cols>
  <sheetData>
    <row r="1" spans="2:18" ht="13.5" customHeight="1">
      <c r="B1" s="599" t="s">
        <v>153</v>
      </c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599"/>
    </row>
    <row r="2" spans="2:18" ht="13.5" customHeight="1">
      <c r="B2" s="599" t="s">
        <v>154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</row>
    <row r="3" spans="2:18">
      <c r="B3" s="599" t="s">
        <v>155</v>
      </c>
      <c r="C3" s="599"/>
      <c r="D3" s="599"/>
      <c r="E3" s="599"/>
      <c r="F3" s="599"/>
      <c r="G3" s="599"/>
      <c r="H3" s="599"/>
      <c r="I3" s="599"/>
      <c r="J3" s="599"/>
      <c r="K3" s="599"/>
      <c r="L3" s="599"/>
      <c r="M3" s="599"/>
      <c r="N3" s="599"/>
      <c r="O3" s="599"/>
      <c r="P3" s="599"/>
      <c r="Q3" s="599"/>
      <c r="R3" s="599"/>
    </row>
    <row r="4" spans="2:18">
      <c r="B4" s="599" t="s">
        <v>158</v>
      </c>
      <c r="C4" s="599"/>
      <c r="D4" s="599"/>
      <c r="E4" s="599"/>
      <c r="F4" s="599"/>
      <c r="G4" s="599"/>
      <c r="H4" s="599"/>
      <c r="I4" s="599"/>
      <c r="J4" s="599"/>
      <c r="K4" s="599"/>
      <c r="L4" s="599"/>
      <c r="M4" s="599"/>
      <c r="N4" s="599"/>
      <c r="O4" s="599"/>
      <c r="P4" s="599"/>
      <c r="Q4" s="599"/>
      <c r="R4" s="599"/>
    </row>
    <row r="5" spans="2:18">
      <c r="B5" s="599" t="s">
        <v>588</v>
      </c>
      <c r="C5" s="599"/>
      <c r="D5" s="599"/>
      <c r="E5" s="599"/>
      <c r="F5" s="599"/>
      <c r="G5" s="599"/>
      <c r="H5" s="599"/>
      <c r="I5" s="599"/>
      <c r="J5" s="599"/>
      <c r="K5" s="599"/>
      <c r="L5" s="599"/>
      <c r="M5" s="599"/>
      <c r="N5" s="599"/>
      <c r="O5" s="599"/>
      <c r="P5" s="599"/>
      <c r="Q5" s="599"/>
      <c r="R5" s="599"/>
    </row>
    <row r="6" spans="2:18">
      <c r="B6" s="1"/>
      <c r="C6" s="2"/>
      <c r="D6" s="2"/>
      <c r="E6" s="2"/>
      <c r="F6" s="2"/>
      <c r="G6" s="2"/>
      <c r="H6" s="3"/>
      <c r="I6" s="2"/>
      <c r="J6" s="1"/>
      <c r="K6" s="1"/>
      <c r="L6" s="2"/>
      <c r="M6" s="1"/>
      <c r="N6" s="1"/>
      <c r="O6" s="2"/>
      <c r="P6" s="1"/>
      <c r="Q6" s="1"/>
      <c r="R6" s="1"/>
    </row>
    <row r="7" spans="2:18" ht="24.6">
      <c r="B7" s="4"/>
      <c r="C7" s="11" t="s">
        <v>589</v>
      </c>
      <c r="D7" s="11" t="s">
        <v>590</v>
      </c>
      <c r="E7" s="11" t="s">
        <v>591</v>
      </c>
      <c r="F7" s="11" t="s">
        <v>592</v>
      </c>
      <c r="G7" s="11" t="s">
        <v>593</v>
      </c>
      <c r="H7" s="12" t="s">
        <v>594</v>
      </c>
      <c r="I7" s="11" t="s">
        <v>595</v>
      </c>
      <c r="J7" s="11" t="s">
        <v>596</v>
      </c>
      <c r="K7" s="11" t="s">
        <v>597</v>
      </c>
      <c r="L7" s="11" t="s">
        <v>598</v>
      </c>
      <c r="M7" s="11" t="s">
        <v>599</v>
      </c>
      <c r="N7" s="11" t="s">
        <v>600</v>
      </c>
      <c r="O7" s="11" t="s">
        <v>601</v>
      </c>
      <c r="P7" s="11" t="s">
        <v>602</v>
      </c>
      <c r="Q7" s="11" t="s">
        <v>603</v>
      </c>
      <c r="R7" s="11" t="s">
        <v>604</v>
      </c>
    </row>
    <row r="8" spans="2:18" s="16" customFormat="1" ht="12.3">
      <c r="B8" s="13"/>
      <c r="C8" s="14" t="s">
        <v>605</v>
      </c>
      <c r="D8" s="14" t="s">
        <v>605</v>
      </c>
      <c r="E8" s="14" t="s">
        <v>605</v>
      </c>
      <c r="F8" s="14" t="s">
        <v>605</v>
      </c>
      <c r="G8" s="14" t="s">
        <v>606</v>
      </c>
      <c r="H8" s="15" t="s">
        <v>606</v>
      </c>
      <c r="I8" s="14" t="s">
        <v>605</v>
      </c>
      <c r="J8" s="14" t="s">
        <v>606</v>
      </c>
      <c r="K8" s="14" t="s">
        <v>606</v>
      </c>
      <c r="L8" s="14" t="s">
        <v>605</v>
      </c>
      <c r="M8" s="14" t="s">
        <v>606</v>
      </c>
      <c r="N8" s="14" t="s">
        <v>606</v>
      </c>
      <c r="O8" s="14" t="s">
        <v>605</v>
      </c>
      <c r="P8" s="14" t="s">
        <v>606</v>
      </c>
      <c r="Q8" s="14" t="s">
        <v>606</v>
      </c>
      <c r="R8" s="14" t="s">
        <v>606</v>
      </c>
    </row>
    <row r="9" spans="2:18" s="7" customFormat="1">
      <c r="B9" s="17" t="s">
        <v>607</v>
      </c>
      <c r="C9" s="17"/>
      <c r="D9" s="17"/>
      <c r="E9" s="17"/>
      <c r="F9" s="17"/>
      <c r="G9" s="17"/>
      <c r="H9" s="18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2:18" s="7" customFormat="1" outlineLevel="1">
      <c r="B10" s="19" t="s">
        <v>608</v>
      </c>
      <c r="C10" s="19"/>
      <c r="D10" s="19"/>
      <c r="E10" s="19"/>
      <c r="F10" s="19"/>
      <c r="G10" s="19"/>
      <c r="H10" s="20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2:18" s="7" customFormat="1" outlineLevel="1">
      <c r="B11" s="21" t="str">
        <f>'Program Budget'!D12</f>
        <v>Key Personnel: Chief of Party - Ms. Rym Ayari</v>
      </c>
      <c r="C11" s="61">
        <f>'Program Budget'!G12</f>
        <v>12</v>
      </c>
      <c r="D11" s="22">
        <f>'Program Budget'!E12+'Program Budget'!E140+'Program Budget'!E216+'Program Budget'!E287</f>
        <v>1</v>
      </c>
      <c r="E11" s="23">
        <f>'Program Budget'!I12+'Program Budget'!I140+'Program Budget'!I216+'Program Budget'!I287</f>
        <v>156000</v>
      </c>
      <c r="F11" s="61">
        <f>'Program Budget'!K12</f>
        <v>12</v>
      </c>
      <c r="G11" s="22">
        <f>'Program Budget'!J12+'Program Budget'!J140+'Program Budget'!J216+'Program Budget'!J287</f>
        <v>1</v>
      </c>
      <c r="H11" s="23">
        <f>'Program Budget'!L12+'Program Budget'!L140+'Program Budget'!L216+'Program Budget'!L287</f>
        <v>163800</v>
      </c>
      <c r="I11" s="61">
        <f>'Program Budget'!N12</f>
        <v>12</v>
      </c>
      <c r="J11" s="22">
        <f>'Program Budget'!M12+'Program Budget'!M140+'Program Budget'!M216+'Program Budget'!M287</f>
        <v>1</v>
      </c>
      <c r="K11" s="23">
        <f>'Program Budget'!O12+'Program Budget'!O140+'Program Budget'!O216+'Program Budget'!O287</f>
        <v>171990</v>
      </c>
      <c r="L11" s="61">
        <f>'Program Budget'!Q12</f>
        <v>12</v>
      </c>
      <c r="M11" s="22">
        <f>'Program Budget'!P12+'Program Budget'!P140+'Program Budget'!P216+'Program Budget'!P287</f>
        <v>1</v>
      </c>
      <c r="N11" s="23">
        <f>'Program Budget'!R12+'Program Budget'!R140+'Program Budget'!R216+'Program Budget'!R287</f>
        <v>180589.5</v>
      </c>
      <c r="O11" s="61">
        <f>'Program Budget'!T12</f>
        <v>12</v>
      </c>
      <c r="P11" s="22">
        <f>'Program Budget'!S12+'Program Budget'!S140+'Program Budget'!S216+'Program Budget'!S287</f>
        <v>1</v>
      </c>
      <c r="Q11" s="23">
        <f>'Program Budget'!U12+'Program Budget'!U140+'Program Budget'!U216+'Program Budget'!U287</f>
        <v>189618.97500000003</v>
      </c>
      <c r="R11" s="139">
        <f>E11+H11+K11+N11+Q11</f>
        <v>861998.47500000009</v>
      </c>
    </row>
    <row r="12" spans="2:18" s="7" customFormat="1" outlineLevel="1">
      <c r="B12" s="21" t="str">
        <f>'Program Budget'!D13</f>
        <v>Key Personnel: Technical Director</v>
      </c>
      <c r="C12" s="61">
        <f>'Program Budget'!G13</f>
        <v>9</v>
      </c>
      <c r="D12" s="22">
        <f>'Program Budget'!E13+'Program Budget'!E141+'Program Budget'!E217+'Program Budget'!E288</f>
        <v>1</v>
      </c>
      <c r="E12" s="23">
        <f>'Program Budget'!I13+'Program Budget'!I141+'Program Budget'!I217+'Program Budget'!I288</f>
        <v>35250</v>
      </c>
      <c r="F12" s="61">
        <f>'Program Budget'!K13</f>
        <v>12</v>
      </c>
      <c r="G12" s="22">
        <f>'Program Budget'!J13+'Program Budget'!J141+'Program Budget'!J217+'Program Budget'!J288</f>
        <v>1</v>
      </c>
      <c r="H12" s="23">
        <f>'Program Budget'!L13+'Program Budget'!L141+'Program Budget'!L217+'Program Budget'!L288</f>
        <v>49350</v>
      </c>
      <c r="I12" s="61">
        <f>'Program Budget'!N13</f>
        <v>12</v>
      </c>
      <c r="J12" s="22">
        <f>'Program Budget'!M13+'Program Budget'!M141+'Program Budget'!M217+'Program Budget'!M288</f>
        <v>1</v>
      </c>
      <c r="K12" s="23">
        <f>'Program Budget'!O13+'Program Budget'!O141+'Program Budget'!O217+'Program Budget'!O288</f>
        <v>51817.500000000007</v>
      </c>
      <c r="L12" s="61">
        <f>'Program Budget'!Q13</f>
        <v>12</v>
      </c>
      <c r="M12" s="22">
        <f>'Program Budget'!P13+'Program Budget'!P141+'Program Budget'!P217+'Program Budget'!P288</f>
        <v>1</v>
      </c>
      <c r="N12" s="23">
        <f>'Program Budget'!R13+'Program Budget'!R141+'Program Budget'!R217+'Program Budget'!R288</f>
        <v>54408.375</v>
      </c>
      <c r="O12" s="61">
        <f>'Program Budget'!T13</f>
        <v>9</v>
      </c>
      <c r="P12" s="22">
        <f>'Program Budget'!S13+'Program Budget'!S141+'Program Budget'!S217+'Program Budget'!S288</f>
        <v>1</v>
      </c>
      <c r="Q12" s="23">
        <f>'Program Budget'!U13+'Program Budget'!U141+'Program Budget'!U217+'Program Budget'!U288</f>
        <v>42846.595312500009</v>
      </c>
      <c r="R12" s="139">
        <f t="shared" ref="R12:R31" si="0">E12+H12+K12+N12+Q12</f>
        <v>233672.47031250002</v>
      </c>
    </row>
    <row r="13" spans="2:18" s="7" customFormat="1" outlineLevel="1">
      <c r="B13" s="21" t="str">
        <f>'Program Budget'!D14</f>
        <v>Technical Lead Component 1</v>
      </c>
      <c r="C13" s="61">
        <f>'Program Budget'!G14</f>
        <v>6</v>
      </c>
      <c r="D13" s="22">
        <f>'Program Budget'!E14+'Program Budget'!E142+'Program Budget'!E218+'Program Budget'!E289</f>
        <v>1</v>
      </c>
      <c r="E13" s="23">
        <f>'Program Budget'!I14+'Program Budget'!I142+'Program Budget'!I218+'Program Budget'!I289</f>
        <v>15000</v>
      </c>
      <c r="F13" s="61">
        <f>'Program Budget'!K14</f>
        <v>12</v>
      </c>
      <c r="G13" s="22">
        <f>'Program Budget'!J14+'Program Budget'!J142+'Program Budget'!J218+'Program Budget'!J289</f>
        <v>1</v>
      </c>
      <c r="H13" s="23">
        <f>'Program Budget'!L14+'Program Budget'!L142+'Program Budget'!L218+'Program Budget'!L289</f>
        <v>31500</v>
      </c>
      <c r="I13" s="61">
        <f>'Program Budget'!N14</f>
        <v>12</v>
      </c>
      <c r="J13" s="22">
        <f>'Program Budget'!M14+'Program Budget'!M142+'Program Budget'!M218+'Program Budget'!M289</f>
        <v>1</v>
      </c>
      <c r="K13" s="23">
        <f>'Program Budget'!O14+'Program Budget'!O142+'Program Budget'!O218+'Program Budget'!O289</f>
        <v>33075</v>
      </c>
      <c r="L13" s="61">
        <f>'Program Budget'!Q14</f>
        <v>12</v>
      </c>
      <c r="M13" s="22">
        <f>'Program Budget'!P14+'Program Budget'!P142+'Program Budget'!P218+'Program Budget'!P289</f>
        <v>1</v>
      </c>
      <c r="N13" s="23">
        <f>'Program Budget'!R14+'Program Budget'!R142+'Program Budget'!R218+'Program Budget'!R289</f>
        <v>34728.75</v>
      </c>
      <c r="O13" s="61">
        <f>'Program Budget'!T14</f>
        <v>9</v>
      </c>
      <c r="P13" s="22">
        <f>'Program Budget'!S14+'Program Budget'!S142+'Program Budget'!S218+'Program Budget'!S289</f>
        <v>1</v>
      </c>
      <c r="Q13" s="23">
        <f>'Program Budget'!U14+'Program Budget'!U142+'Program Budget'!U218+'Program Budget'!U289</f>
        <v>27348.890625</v>
      </c>
      <c r="R13" s="139">
        <f t="shared" si="0"/>
        <v>141652.640625</v>
      </c>
    </row>
    <row r="14" spans="2:18" s="7" customFormat="1" outlineLevel="1">
      <c r="B14" s="21" t="str">
        <f>'Program Budget'!D15</f>
        <v>Technical Lead Component 2</v>
      </c>
      <c r="C14" s="61">
        <f>'Program Budget'!G15</f>
        <v>6</v>
      </c>
      <c r="D14" s="22">
        <f>'Program Budget'!E15+'Program Budget'!E143+'Program Budget'!E219+'Program Budget'!E290</f>
        <v>1</v>
      </c>
      <c r="E14" s="23">
        <f>'Program Budget'!I15+'Program Budget'!I143+'Program Budget'!I219+'Program Budget'!I290</f>
        <v>15000</v>
      </c>
      <c r="F14" s="61">
        <f>'Program Budget'!K15</f>
        <v>12</v>
      </c>
      <c r="G14" s="22">
        <f>'Program Budget'!J15+'Program Budget'!J143+'Program Budget'!J219+'Program Budget'!J290</f>
        <v>1</v>
      </c>
      <c r="H14" s="23">
        <f>'Program Budget'!L15+'Program Budget'!L143+'Program Budget'!L219+'Program Budget'!L290</f>
        <v>31500</v>
      </c>
      <c r="I14" s="61">
        <f>'Program Budget'!N15</f>
        <v>12</v>
      </c>
      <c r="J14" s="22">
        <f>'Program Budget'!M15+'Program Budget'!M143+'Program Budget'!M219+'Program Budget'!M290</f>
        <v>1</v>
      </c>
      <c r="K14" s="23">
        <f>'Program Budget'!O15+'Program Budget'!O143+'Program Budget'!O219+'Program Budget'!O290</f>
        <v>33075</v>
      </c>
      <c r="L14" s="61">
        <f>'Program Budget'!Q15</f>
        <v>12</v>
      </c>
      <c r="M14" s="22">
        <f>'Program Budget'!P15+'Program Budget'!P143+'Program Budget'!P219+'Program Budget'!P290</f>
        <v>1</v>
      </c>
      <c r="N14" s="23">
        <f>'Program Budget'!R15+'Program Budget'!R143+'Program Budget'!R219+'Program Budget'!R290</f>
        <v>34728.75</v>
      </c>
      <c r="O14" s="61">
        <f>'Program Budget'!T15</f>
        <v>9</v>
      </c>
      <c r="P14" s="22">
        <f>'Program Budget'!S15+'Program Budget'!S143+'Program Budget'!S219+'Program Budget'!S290</f>
        <v>1</v>
      </c>
      <c r="Q14" s="23">
        <f>'Program Budget'!U15+'Program Budget'!U143+'Program Budget'!U219+'Program Budget'!U290</f>
        <v>27348.890625</v>
      </c>
      <c r="R14" s="139">
        <f t="shared" si="0"/>
        <v>141652.640625</v>
      </c>
    </row>
    <row r="15" spans="2:18" s="7" customFormat="1" outlineLevel="1">
      <c r="B15" s="21" t="str">
        <f>'Program Budget'!D16</f>
        <v>Technical Lead Component 3</v>
      </c>
      <c r="C15" s="61">
        <f>'Program Budget'!G16</f>
        <v>6</v>
      </c>
      <c r="D15" s="22">
        <f>'Program Budget'!E16+'Program Budget'!E144+'Program Budget'!E220+'Program Budget'!E291</f>
        <v>1</v>
      </c>
      <c r="E15" s="23">
        <f>'Program Budget'!I16+'Program Budget'!I144+'Program Budget'!I220+'Program Budget'!I291</f>
        <v>15000</v>
      </c>
      <c r="F15" s="61">
        <f>'Program Budget'!K16</f>
        <v>12</v>
      </c>
      <c r="G15" s="22">
        <f>'Program Budget'!J16+'Program Budget'!J144+'Program Budget'!J220+'Program Budget'!J291</f>
        <v>1</v>
      </c>
      <c r="H15" s="23">
        <f>'Program Budget'!L16+'Program Budget'!L144+'Program Budget'!L220+'Program Budget'!L291</f>
        <v>31500</v>
      </c>
      <c r="I15" s="61">
        <f>'Program Budget'!N16</f>
        <v>12</v>
      </c>
      <c r="J15" s="22">
        <f>'Program Budget'!M16+'Program Budget'!M144+'Program Budget'!M220+'Program Budget'!M291</f>
        <v>1</v>
      </c>
      <c r="K15" s="23">
        <f>'Program Budget'!O16+'Program Budget'!O144+'Program Budget'!O220+'Program Budget'!O291</f>
        <v>33075</v>
      </c>
      <c r="L15" s="61">
        <f>'Program Budget'!Q16</f>
        <v>12</v>
      </c>
      <c r="M15" s="22">
        <f>'Program Budget'!P16+'Program Budget'!P144+'Program Budget'!P220+'Program Budget'!P291</f>
        <v>1</v>
      </c>
      <c r="N15" s="23">
        <f>'Program Budget'!R16+'Program Budget'!R144+'Program Budget'!R220+'Program Budget'!R291</f>
        <v>34728.75</v>
      </c>
      <c r="O15" s="61">
        <f>'Program Budget'!T16</f>
        <v>9</v>
      </c>
      <c r="P15" s="22">
        <f>'Program Budget'!S16+'Program Budget'!S144+'Program Budget'!S220+'Program Budget'!S291</f>
        <v>1</v>
      </c>
      <c r="Q15" s="23">
        <f>'Program Budget'!U16+'Program Budget'!U144+'Program Budget'!U220+'Program Budget'!U291</f>
        <v>27348.890625</v>
      </c>
      <c r="R15" s="139">
        <f t="shared" si="0"/>
        <v>141652.640625</v>
      </c>
    </row>
    <row r="16" spans="2:18" s="7" customFormat="1" outlineLevel="1">
      <c r="B16" s="21" t="str">
        <f>'Program Budget'!D17</f>
        <v>Technical Specialist Component 1</v>
      </c>
      <c r="C16" s="61">
        <f>'Program Budget'!G17</f>
        <v>6</v>
      </c>
      <c r="D16" s="22">
        <f>'Program Budget'!E17+'Program Budget'!E145+'Program Budget'!E221+'Program Budget'!E292</f>
        <v>1</v>
      </c>
      <c r="E16" s="23">
        <f>'Program Budget'!I17+'Program Budget'!I145+'Program Budget'!I221+'Program Budget'!I292</f>
        <v>11000</v>
      </c>
      <c r="F16" s="61">
        <f>'Program Budget'!K17</f>
        <v>12</v>
      </c>
      <c r="G16" s="22">
        <f>'Program Budget'!J17+'Program Budget'!J145+'Program Budget'!J221+'Program Budget'!J292</f>
        <v>1</v>
      </c>
      <c r="H16" s="23">
        <f>'Program Budget'!L17+'Program Budget'!L145+'Program Budget'!L221+'Program Budget'!L292</f>
        <v>23100</v>
      </c>
      <c r="I16" s="61">
        <f>'Program Budget'!N17</f>
        <v>12</v>
      </c>
      <c r="J16" s="22">
        <f>'Program Budget'!M17+'Program Budget'!M145+'Program Budget'!M221+'Program Budget'!M292</f>
        <v>1</v>
      </c>
      <c r="K16" s="23">
        <f>'Program Budget'!O17+'Program Budget'!O145+'Program Budget'!O221+'Program Budget'!O292</f>
        <v>24255</v>
      </c>
      <c r="L16" s="61">
        <f>'Program Budget'!Q17</f>
        <v>12</v>
      </c>
      <c r="M16" s="22">
        <f>'Program Budget'!P17+'Program Budget'!P145+'Program Budget'!P221+'Program Budget'!P292</f>
        <v>1</v>
      </c>
      <c r="N16" s="23">
        <f>'Program Budget'!R17+'Program Budget'!R145+'Program Budget'!R221+'Program Budget'!R292</f>
        <v>25467.75</v>
      </c>
      <c r="O16" s="61">
        <f>'Program Budget'!T17</f>
        <v>6</v>
      </c>
      <c r="P16" s="22">
        <f>'Program Budget'!S17+'Program Budget'!S145+'Program Budget'!S221+'Program Budget'!S292</f>
        <v>1</v>
      </c>
      <c r="Q16" s="23">
        <f>'Program Budget'!U17+'Program Budget'!U145+'Program Budget'!U221+'Program Budget'!U292</f>
        <v>13370.56875</v>
      </c>
      <c r="R16" s="139">
        <f t="shared" si="0"/>
        <v>97193.318750000006</v>
      </c>
    </row>
    <row r="17" spans="2:18" s="7" customFormat="1" outlineLevel="1">
      <c r="B17" s="21" t="str">
        <f>'Program Budget'!D18</f>
        <v>Technical Specialist Component 2</v>
      </c>
      <c r="C17" s="61">
        <f>'Program Budget'!G18</f>
        <v>6</v>
      </c>
      <c r="D17" s="22">
        <f>'Program Budget'!E18+'Program Budget'!E146+'Program Budget'!E222+'Program Budget'!E293</f>
        <v>1</v>
      </c>
      <c r="E17" s="23">
        <f>'Program Budget'!I18+'Program Budget'!I146+'Program Budget'!I222+'Program Budget'!I293</f>
        <v>11000</v>
      </c>
      <c r="F17" s="61">
        <f>'Program Budget'!K18</f>
        <v>12</v>
      </c>
      <c r="G17" s="22">
        <f>'Program Budget'!J18+'Program Budget'!J146+'Program Budget'!J222+'Program Budget'!J293</f>
        <v>1</v>
      </c>
      <c r="H17" s="23">
        <f>'Program Budget'!L18+'Program Budget'!L146+'Program Budget'!L222+'Program Budget'!L293</f>
        <v>23100</v>
      </c>
      <c r="I17" s="61">
        <f>'Program Budget'!N18</f>
        <v>12</v>
      </c>
      <c r="J17" s="22">
        <f>'Program Budget'!M18+'Program Budget'!M146+'Program Budget'!M222+'Program Budget'!M293</f>
        <v>1</v>
      </c>
      <c r="K17" s="23">
        <f>'Program Budget'!O18+'Program Budget'!O146+'Program Budget'!O222+'Program Budget'!O293</f>
        <v>24255</v>
      </c>
      <c r="L17" s="61">
        <f>'Program Budget'!Q18</f>
        <v>12</v>
      </c>
      <c r="M17" s="22">
        <f>'Program Budget'!P18+'Program Budget'!P146+'Program Budget'!P222+'Program Budget'!P293</f>
        <v>1</v>
      </c>
      <c r="N17" s="23">
        <f>'Program Budget'!R18+'Program Budget'!R146+'Program Budget'!R222+'Program Budget'!R293</f>
        <v>25467.75</v>
      </c>
      <c r="O17" s="61">
        <f>'Program Budget'!T18</f>
        <v>6</v>
      </c>
      <c r="P17" s="22">
        <f>'Program Budget'!S18+'Program Budget'!S146+'Program Budget'!S222+'Program Budget'!S293</f>
        <v>1</v>
      </c>
      <c r="Q17" s="23">
        <f>'Program Budget'!U18+'Program Budget'!U146+'Program Budget'!U222+'Program Budget'!U293</f>
        <v>13370.56875</v>
      </c>
      <c r="R17" s="139">
        <f t="shared" si="0"/>
        <v>97193.318750000006</v>
      </c>
    </row>
    <row r="18" spans="2:18" s="7" customFormat="1" outlineLevel="1">
      <c r="B18" s="21" t="str">
        <f>'Program Budget'!D19</f>
        <v>Technical Specialist Component 3</v>
      </c>
      <c r="C18" s="61">
        <f>'Program Budget'!G19</f>
        <v>6</v>
      </c>
      <c r="D18" s="22">
        <f>'Program Budget'!E19+'Program Budget'!E147+'Program Budget'!E223+'Program Budget'!E294</f>
        <v>1</v>
      </c>
      <c r="E18" s="23">
        <f>'Program Budget'!I19+'Program Budget'!I147+'Program Budget'!I223+'Program Budget'!I294</f>
        <v>11000</v>
      </c>
      <c r="F18" s="61">
        <f>'Program Budget'!K19</f>
        <v>12</v>
      </c>
      <c r="G18" s="22">
        <f>'Program Budget'!J19+'Program Budget'!J147+'Program Budget'!J223+'Program Budget'!J294</f>
        <v>1</v>
      </c>
      <c r="H18" s="23">
        <f>'Program Budget'!L19+'Program Budget'!L147+'Program Budget'!L223+'Program Budget'!L294</f>
        <v>23100</v>
      </c>
      <c r="I18" s="61">
        <f>'Program Budget'!N19</f>
        <v>12</v>
      </c>
      <c r="J18" s="22">
        <f>'Program Budget'!M19+'Program Budget'!M147+'Program Budget'!M223+'Program Budget'!M294</f>
        <v>1</v>
      </c>
      <c r="K18" s="23">
        <f>'Program Budget'!O19+'Program Budget'!O147+'Program Budget'!O223+'Program Budget'!O294</f>
        <v>24255</v>
      </c>
      <c r="L18" s="61">
        <f>'Program Budget'!Q19</f>
        <v>12</v>
      </c>
      <c r="M18" s="22">
        <f>'Program Budget'!P19+'Program Budget'!P147+'Program Budget'!P223+'Program Budget'!P294</f>
        <v>1</v>
      </c>
      <c r="N18" s="23">
        <f>'Program Budget'!R19+'Program Budget'!R147+'Program Budget'!R223+'Program Budget'!R294</f>
        <v>25467.75</v>
      </c>
      <c r="O18" s="61">
        <f>'Program Budget'!T19</f>
        <v>6</v>
      </c>
      <c r="P18" s="22">
        <f>'Program Budget'!S19+'Program Budget'!S147+'Program Budget'!S223+'Program Budget'!S294</f>
        <v>1</v>
      </c>
      <c r="Q18" s="23">
        <f>'Program Budget'!U19+'Program Budget'!U147+'Program Budget'!U223+'Program Budget'!U294</f>
        <v>13370.56875</v>
      </c>
      <c r="R18" s="139">
        <f t="shared" si="0"/>
        <v>97193.318750000006</v>
      </c>
    </row>
    <row r="19" spans="2:18" s="7" customFormat="1" outlineLevel="1">
      <c r="B19" s="21" t="str">
        <f>'Program Budget'!D20</f>
        <v>Capacity Building Specialist (2)</v>
      </c>
      <c r="C19" s="61">
        <f>'Program Budget'!G20</f>
        <v>4</v>
      </c>
      <c r="D19" s="22">
        <f>'Program Budget'!E20+'Program Budget'!E148+'Program Budget'!E224+'Program Budget'!E295</f>
        <v>1</v>
      </c>
      <c r="E19" s="23">
        <f>'Program Budget'!I20+'Program Budget'!I148+'Program Budget'!I224+'Program Budget'!I295</f>
        <v>13333.333333333336</v>
      </c>
      <c r="F19" s="61">
        <f>'Program Budget'!K20</f>
        <v>12</v>
      </c>
      <c r="G19" s="22">
        <f>'Program Budget'!J20+'Program Budget'!J148+'Program Budget'!J224+'Program Budget'!J295</f>
        <v>1</v>
      </c>
      <c r="H19" s="23">
        <f>'Program Budget'!L20+'Program Budget'!L148+'Program Budget'!L224+'Program Budget'!L295</f>
        <v>42000</v>
      </c>
      <c r="I19" s="61">
        <f>'Program Budget'!N20</f>
        <v>12</v>
      </c>
      <c r="J19" s="22">
        <f>'Program Budget'!M20+'Program Budget'!M148+'Program Budget'!M224+'Program Budget'!M295</f>
        <v>1</v>
      </c>
      <c r="K19" s="23">
        <f>'Program Budget'!O20+'Program Budget'!O148+'Program Budget'!O224+'Program Budget'!O295</f>
        <v>44100</v>
      </c>
      <c r="L19" s="61">
        <f>'Program Budget'!Q20</f>
        <v>12</v>
      </c>
      <c r="M19" s="22">
        <f>'Program Budget'!P20+'Program Budget'!P148+'Program Budget'!P224+'Program Budget'!P295</f>
        <v>1</v>
      </c>
      <c r="N19" s="23">
        <f>'Program Budget'!R20+'Program Budget'!R148+'Program Budget'!R224+'Program Budget'!R295</f>
        <v>46305</v>
      </c>
      <c r="O19" s="61">
        <f>'Program Budget'!T20</f>
        <v>5</v>
      </c>
      <c r="P19" s="22">
        <f>'Program Budget'!S20+'Program Budget'!S148+'Program Budget'!S224+'Program Budget'!S295</f>
        <v>1</v>
      </c>
      <c r="Q19" s="23">
        <f>'Program Budget'!U20+'Program Budget'!U148+'Program Budget'!U224+'Program Budget'!U295</f>
        <v>20258.437500000004</v>
      </c>
      <c r="R19" s="139">
        <f t="shared" si="0"/>
        <v>165996.77083333334</v>
      </c>
    </row>
    <row r="20" spans="2:18" s="7" customFormat="1" outlineLevel="1">
      <c r="B20" s="21" t="str">
        <f>'Program Budget'!D21</f>
        <v>Sociocultural and Gender Specialist</v>
      </c>
      <c r="C20" s="61">
        <f>'Program Budget'!G21</f>
        <v>7</v>
      </c>
      <c r="D20" s="22">
        <f>'Program Budget'!E21+'Program Budget'!E149+'Program Budget'!E225+'Program Budget'!E296</f>
        <v>1</v>
      </c>
      <c r="E20" s="23">
        <f>'Program Budget'!I21+'Program Budget'!I149+'Program Budget'!I225+'Program Budget'!I296</f>
        <v>12833.333333333332</v>
      </c>
      <c r="F20" s="61">
        <f>'Program Budget'!K21</f>
        <v>12</v>
      </c>
      <c r="G20" s="22">
        <f>'Program Budget'!J21+'Program Budget'!J149+'Program Budget'!J225+'Program Budget'!J296</f>
        <v>1</v>
      </c>
      <c r="H20" s="23">
        <f>'Program Budget'!L21+'Program Budget'!L149+'Program Budget'!L225+'Program Budget'!L296</f>
        <v>23100</v>
      </c>
      <c r="I20" s="61">
        <f>'Program Budget'!N21</f>
        <v>12</v>
      </c>
      <c r="J20" s="22">
        <f>'Program Budget'!M21+'Program Budget'!M149+'Program Budget'!M225+'Program Budget'!M296</f>
        <v>0.99999999999999989</v>
      </c>
      <c r="K20" s="23">
        <f>'Program Budget'!O21+'Program Budget'!O149+'Program Budget'!O225+'Program Budget'!O296</f>
        <v>24255</v>
      </c>
      <c r="L20" s="61">
        <f>'Program Budget'!Q21</f>
        <v>12</v>
      </c>
      <c r="M20" s="22">
        <f>'Program Budget'!P21+'Program Budget'!P149+'Program Budget'!P225+'Program Budget'!P296</f>
        <v>0.99999999999999989</v>
      </c>
      <c r="N20" s="23">
        <f>'Program Budget'!R21+'Program Budget'!R149+'Program Budget'!R225+'Program Budget'!R296</f>
        <v>25467.75</v>
      </c>
      <c r="O20" s="61">
        <f>'Program Budget'!T21</f>
        <v>9</v>
      </c>
      <c r="P20" s="22">
        <f>'Program Budget'!S21+'Program Budget'!S149+'Program Budget'!S225+'Program Budget'!S296</f>
        <v>0.99999999999999989</v>
      </c>
      <c r="Q20" s="23">
        <f>'Program Budget'!U21+'Program Budget'!U149+'Program Budget'!U225+'Program Budget'!U296</f>
        <v>20055.853125000001</v>
      </c>
      <c r="R20" s="139">
        <f t="shared" si="0"/>
        <v>105711.93645833334</v>
      </c>
    </row>
    <row r="21" spans="2:18" s="7" customFormat="1" outlineLevel="1">
      <c r="B21" s="21" t="str">
        <f>'Program Budget'!D22</f>
        <v>Sociocultural and Gender Officers (3)</v>
      </c>
      <c r="C21" s="61">
        <f>'Program Budget'!G22</f>
        <v>7</v>
      </c>
      <c r="D21" s="22">
        <f>'Program Budget'!E22+'Program Budget'!E150+'Program Budget'!E226+'Program Budget'!E297</f>
        <v>1</v>
      </c>
      <c r="E21" s="23">
        <f>'Program Budget'!I22+'Program Budget'!I150+'Program Budget'!I226+'Program Budget'!I297</f>
        <v>26250</v>
      </c>
      <c r="F21" s="61">
        <f>'Program Budget'!K22</f>
        <v>12</v>
      </c>
      <c r="G21" s="22">
        <f>'Program Budget'!J22+'Program Budget'!J150+'Program Budget'!J226+'Program Budget'!J297</f>
        <v>1</v>
      </c>
      <c r="H21" s="23">
        <f>'Program Budget'!L22+'Program Budget'!L150+'Program Budget'!L226+'Program Budget'!L297</f>
        <v>47250</v>
      </c>
      <c r="I21" s="61">
        <f>'Program Budget'!N22</f>
        <v>12</v>
      </c>
      <c r="J21" s="22">
        <f>'Program Budget'!M22+'Program Budget'!M150+'Program Budget'!M226+'Program Budget'!M297</f>
        <v>0.99999999999999989</v>
      </c>
      <c r="K21" s="23">
        <f>'Program Budget'!O22+'Program Budget'!O150+'Program Budget'!O226+'Program Budget'!O297</f>
        <v>49612.5</v>
      </c>
      <c r="L21" s="61">
        <f>'Program Budget'!Q22</f>
        <v>12</v>
      </c>
      <c r="M21" s="22">
        <f>'Program Budget'!P22+'Program Budget'!P150+'Program Budget'!P226+'Program Budget'!P297</f>
        <v>0.99999999999999989</v>
      </c>
      <c r="N21" s="23">
        <f>'Program Budget'!R22+'Program Budget'!R150+'Program Budget'!R226+'Program Budget'!R297</f>
        <v>52093.125</v>
      </c>
      <c r="O21" s="61">
        <f>'Program Budget'!T22</f>
        <v>9</v>
      </c>
      <c r="P21" s="22">
        <f>'Program Budget'!S22+'Program Budget'!S150+'Program Budget'!S226+'Program Budget'!S297</f>
        <v>0.99999999999999989</v>
      </c>
      <c r="Q21" s="23">
        <f>'Program Budget'!U22+'Program Budget'!U150+'Program Budget'!U226+'Program Budget'!U297</f>
        <v>41023.3359375</v>
      </c>
      <c r="R21" s="139">
        <f t="shared" si="0"/>
        <v>216228.9609375</v>
      </c>
    </row>
    <row r="22" spans="2:18" s="7" customFormat="1" outlineLevel="1">
      <c r="B22" s="21" t="str">
        <f>'Program Budget'!D23</f>
        <v>Communications Specialists</v>
      </c>
      <c r="C22" s="61">
        <f>'Program Budget'!G23</f>
        <v>7</v>
      </c>
      <c r="D22" s="22">
        <f>'Program Budget'!E23+'Program Budget'!E151+'Program Budget'!E227+'Program Budget'!E298</f>
        <v>1</v>
      </c>
      <c r="E22" s="23">
        <f>'Program Budget'!I23+'Program Budget'!I151+'Program Budget'!I227+'Program Budget'!I298</f>
        <v>10500</v>
      </c>
      <c r="F22" s="61">
        <f>'Program Budget'!K23</f>
        <v>12</v>
      </c>
      <c r="G22" s="22">
        <f>'Program Budget'!J23+'Program Budget'!J151+'Program Budget'!J227+'Program Budget'!J298</f>
        <v>1</v>
      </c>
      <c r="H22" s="23">
        <f>'Program Budget'!L23+'Program Budget'!L151+'Program Budget'!L227+'Program Budget'!L298</f>
        <v>18900</v>
      </c>
      <c r="I22" s="61">
        <f>'Program Budget'!N23</f>
        <v>12</v>
      </c>
      <c r="J22" s="22">
        <f>'Program Budget'!M23+'Program Budget'!M151+'Program Budget'!M227+'Program Budget'!M298</f>
        <v>1</v>
      </c>
      <c r="K22" s="23">
        <f>'Program Budget'!O23+'Program Budget'!O151+'Program Budget'!O227+'Program Budget'!O298</f>
        <v>19845</v>
      </c>
      <c r="L22" s="61">
        <f>'Program Budget'!Q23</f>
        <v>12</v>
      </c>
      <c r="M22" s="22">
        <f>'Program Budget'!P23+'Program Budget'!P151+'Program Budget'!P227+'Program Budget'!P298</f>
        <v>1</v>
      </c>
      <c r="N22" s="23">
        <f>'Program Budget'!R23+'Program Budget'!R151+'Program Budget'!R227+'Program Budget'!R298</f>
        <v>20837.25</v>
      </c>
      <c r="O22" s="61">
        <f>'Program Budget'!T23</f>
        <v>10</v>
      </c>
      <c r="P22" s="22">
        <f>'Program Budget'!S23+'Program Budget'!S151+'Program Budget'!S227+'Program Budget'!S298</f>
        <v>1</v>
      </c>
      <c r="Q22" s="23">
        <f>'Program Budget'!U23+'Program Budget'!U151+'Program Budget'!U227+'Program Budget'!U298</f>
        <v>18232.59375</v>
      </c>
      <c r="R22" s="139">
        <f t="shared" si="0"/>
        <v>88314.84375</v>
      </c>
    </row>
    <row r="23" spans="2:18" s="7" customFormat="1" outlineLevel="1">
      <c r="B23" s="21" t="str">
        <f>'Program Budget'!D24</f>
        <v xml:space="preserve">M&amp;E Director </v>
      </c>
      <c r="C23" s="61">
        <f>'Program Budget'!G24</f>
        <v>9</v>
      </c>
      <c r="D23" s="22">
        <f>'Program Budget'!E24+'Program Budget'!E152+'Program Budget'!E228+'Program Budget'!E299</f>
        <v>1</v>
      </c>
      <c r="E23" s="23">
        <f>'Program Budget'!I24+'Program Budget'!I152+'Program Budget'!I228+'Program Budget'!I299</f>
        <v>35250</v>
      </c>
      <c r="F23" s="61">
        <f>'Program Budget'!K24</f>
        <v>12</v>
      </c>
      <c r="G23" s="22">
        <f>'Program Budget'!J24+'Program Budget'!J152+'Program Budget'!J228+'Program Budget'!J299</f>
        <v>1</v>
      </c>
      <c r="H23" s="23">
        <f>'Program Budget'!L24+'Program Budget'!L152+'Program Budget'!L228+'Program Budget'!L299</f>
        <v>49350</v>
      </c>
      <c r="I23" s="61">
        <f>'Program Budget'!N24</f>
        <v>12</v>
      </c>
      <c r="J23" s="22">
        <f>'Program Budget'!M24+'Program Budget'!M152+'Program Budget'!M228+'Program Budget'!M299</f>
        <v>1</v>
      </c>
      <c r="K23" s="23">
        <f>'Program Budget'!O24+'Program Budget'!O152+'Program Budget'!O228+'Program Budget'!O299</f>
        <v>51817.5</v>
      </c>
      <c r="L23" s="61">
        <f>'Program Budget'!Q24</f>
        <v>12</v>
      </c>
      <c r="M23" s="22">
        <f>'Program Budget'!P24+'Program Budget'!P152+'Program Budget'!P228+'Program Budget'!P299</f>
        <v>1</v>
      </c>
      <c r="N23" s="23">
        <f>'Program Budget'!R24+'Program Budget'!R152+'Program Budget'!R228+'Program Budget'!R299</f>
        <v>54408.375</v>
      </c>
      <c r="O23" s="61">
        <f>'Program Budget'!T24</f>
        <v>12</v>
      </c>
      <c r="P23" s="22">
        <f>'Program Budget'!S24+'Program Budget'!S152+'Program Budget'!S228+'Program Budget'!S299</f>
        <v>1</v>
      </c>
      <c r="Q23" s="23">
        <f>'Program Budget'!U24+'Program Budget'!U152+'Program Budget'!U228+'Program Budget'!U299</f>
        <v>57128.793749999997</v>
      </c>
      <c r="R23" s="139">
        <f t="shared" si="0"/>
        <v>247954.66875000001</v>
      </c>
    </row>
    <row r="24" spans="2:18" s="7" customFormat="1" outlineLevel="1">
      <c r="B24" s="21" t="str">
        <f>'Program Budget'!D25</f>
        <v>M&amp;E Specialist</v>
      </c>
      <c r="C24" s="61">
        <f>'Program Budget'!G25</f>
        <v>8</v>
      </c>
      <c r="D24" s="22">
        <f>'Program Budget'!E25+'Program Budget'!E153+'Program Budget'!E229+'Program Budget'!E300</f>
        <v>1</v>
      </c>
      <c r="E24" s="23">
        <f>'Program Budget'!I25+'Program Budget'!I153+'Program Budget'!I229+'Program Budget'!I300</f>
        <v>14666.666666666666</v>
      </c>
      <c r="F24" s="61">
        <f>'Program Budget'!K25</f>
        <v>12</v>
      </c>
      <c r="G24" s="22">
        <f>'Program Budget'!J25+'Program Budget'!J153+'Program Budget'!J229+'Program Budget'!J300</f>
        <v>1</v>
      </c>
      <c r="H24" s="23">
        <f>'Program Budget'!L25+'Program Budget'!L153+'Program Budget'!L229+'Program Budget'!L300</f>
        <v>23100</v>
      </c>
      <c r="I24" s="61">
        <f>'Program Budget'!N25</f>
        <v>12</v>
      </c>
      <c r="J24" s="22">
        <f>'Program Budget'!M25+'Program Budget'!M153+'Program Budget'!M229+'Program Budget'!M300</f>
        <v>1</v>
      </c>
      <c r="K24" s="23">
        <f>'Program Budget'!O25+'Program Budget'!O153+'Program Budget'!O229+'Program Budget'!O300</f>
        <v>24255</v>
      </c>
      <c r="L24" s="61">
        <f>'Program Budget'!Q25</f>
        <v>12</v>
      </c>
      <c r="M24" s="22">
        <f>'Program Budget'!P25+'Program Budget'!P153+'Program Budget'!P229+'Program Budget'!P300</f>
        <v>1</v>
      </c>
      <c r="N24" s="23">
        <f>'Program Budget'!R25+'Program Budget'!R153+'Program Budget'!R229+'Program Budget'!R300</f>
        <v>25467.750000000004</v>
      </c>
      <c r="O24" s="61">
        <f>'Program Budget'!T25</f>
        <v>10</v>
      </c>
      <c r="P24" s="22">
        <f>'Program Budget'!S25+'Program Budget'!S153+'Program Budget'!S229+'Program Budget'!S300</f>
        <v>1</v>
      </c>
      <c r="Q24" s="23">
        <f>'Program Budget'!U25+'Program Budget'!U153+'Program Budget'!U229+'Program Budget'!U300</f>
        <v>22284.28125</v>
      </c>
      <c r="R24" s="139">
        <f t="shared" si="0"/>
        <v>109773.69791666667</v>
      </c>
    </row>
    <row r="25" spans="2:18" s="7" customFormat="1" outlineLevel="1">
      <c r="B25" s="21" t="str">
        <f>'Program Budget'!D26</f>
        <v xml:space="preserve">Key Personnel: Finance Director </v>
      </c>
      <c r="C25" s="61">
        <f>'Program Budget'!G26</f>
        <v>11</v>
      </c>
      <c r="D25" s="22">
        <f>'Program Budget'!E26+'Program Budget'!E154+'Program Budget'!E230+'Program Budget'!E301</f>
        <v>1</v>
      </c>
      <c r="E25" s="23">
        <f>'Program Budget'!I26+'Program Budget'!I154+'Program Budget'!I230+'Program Budget'!I301</f>
        <v>43083.333333333328</v>
      </c>
      <c r="F25" s="61">
        <f>'Program Budget'!K26</f>
        <v>12</v>
      </c>
      <c r="G25" s="22">
        <f>'Program Budget'!J26+'Program Budget'!J154+'Program Budget'!J230+'Program Budget'!J301</f>
        <v>1</v>
      </c>
      <c r="H25" s="23">
        <f>'Program Budget'!L26+'Program Budget'!L154+'Program Budget'!L230+'Program Budget'!L301</f>
        <v>49350</v>
      </c>
      <c r="I25" s="61">
        <f>'Program Budget'!N26</f>
        <v>12</v>
      </c>
      <c r="J25" s="22">
        <f>'Program Budget'!M26+'Program Budget'!M154+'Program Budget'!M230+'Program Budget'!M301</f>
        <v>1</v>
      </c>
      <c r="K25" s="23">
        <f>'Program Budget'!O26+'Program Budget'!O154+'Program Budget'!O230+'Program Budget'!O301</f>
        <v>51817.5</v>
      </c>
      <c r="L25" s="61">
        <f>'Program Budget'!Q26</f>
        <v>12</v>
      </c>
      <c r="M25" s="22">
        <f>'Program Budget'!P26+'Program Budget'!P154+'Program Budget'!P230+'Program Budget'!P301</f>
        <v>1</v>
      </c>
      <c r="N25" s="23">
        <f>'Program Budget'!R26+'Program Budget'!R154+'Program Budget'!R230+'Program Budget'!R301</f>
        <v>54408.375</v>
      </c>
      <c r="O25" s="61">
        <f>'Program Budget'!T26</f>
        <v>12</v>
      </c>
      <c r="P25" s="22">
        <f>'Program Budget'!S26+'Program Budget'!S154+'Program Budget'!S230+'Program Budget'!S301</f>
        <v>1</v>
      </c>
      <c r="Q25" s="23">
        <f>'Program Budget'!U26+'Program Budget'!U154+'Program Budget'!U230+'Program Budget'!U301</f>
        <v>57128.793750000004</v>
      </c>
      <c r="R25" s="139">
        <f t="shared" si="0"/>
        <v>255788.00208333333</v>
      </c>
    </row>
    <row r="26" spans="2:18" s="7" customFormat="1" outlineLevel="1">
      <c r="B26" s="21" t="str">
        <f>'Program Budget'!D27</f>
        <v>Contracts &amp; Compliance Specialist</v>
      </c>
      <c r="C26" s="61">
        <f>'Program Budget'!G27</f>
        <v>9</v>
      </c>
      <c r="D26" s="22">
        <f>'Program Budget'!E27+'Program Budget'!E155+'Program Budget'!E231+'Program Budget'!E302</f>
        <v>1</v>
      </c>
      <c r="E26" s="23">
        <f>'Program Budget'!I27+'Program Budget'!I155+'Program Budget'!I231+'Program Budget'!I302</f>
        <v>16500</v>
      </c>
      <c r="F26" s="61">
        <f>'Program Budget'!K27</f>
        <v>12</v>
      </c>
      <c r="G26" s="22">
        <f>'Program Budget'!J27+'Program Budget'!J155+'Program Budget'!J231+'Program Budget'!J302</f>
        <v>1</v>
      </c>
      <c r="H26" s="23">
        <f>'Program Budget'!L27+'Program Budget'!L155+'Program Budget'!L231+'Program Budget'!L302</f>
        <v>23100</v>
      </c>
      <c r="I26" s="61">
        <f>'Program Budget'!N27</f>
        <v>12</v>
      </c>
      <c r="J26" s="22">
        <f>'Program Budget'!M27+'Program Budget'!M155+'Program Budget'!M231+'Program Budget'!M302</f>
        <v>1</v>
      </c>
      <c r="K26" s="23">
        <f>'Program Budget'!O27+'Program Budget'!O155+'Program Budget'!O231+'Program Budget'!O302</f>
        <v>24255</v>
      </c>
      <c r="L26" s="61">
        <f>'Program Budget'!Q27</f>
        <v>12</v>
      </c>
      <c r="M26" s="22">
        <f>'Program Budget'!P27+'Program Budget'!P155+'Program Budget'!P231+'Program Budget'!P302</f>
        <v>1</v>
      </c>
      <c r="N26" s="23">
        <f>'Program Budget'!R27+'Program Budget'!R155+'Program Budget'!R231+'Program Budget'!R302</f>
        <v>25467.75</v>
      </c>
      <c r="O26" s="61">
        <f>'Program Budget'!T27</f>
        <v>12</v>
      </c>
      <c r="P26" s="22">
        <f>'Program Budget'!S27+'Program Budget'!S155+'Program Budget'!S231+'Program Budget'!S302</f>
        <v>1</v>
      </c>
      <c r="Q26" s="23">
        <f>'Program Budget'!U27+'Program Budget'!U155+'Program Budget'!U231+'Program Budget'!U302</f>
        <v>26741.137500000001</v>
      </c>
      <c r="R26" s="139">
        <f t="shared" si="0"/>
        <v>116063.8875</v>
      </c>
    </row>
    <row r="27" spans="2:18" s="7" customFormat="1" outlineLevel="1">
      <c r="B27" s="21" t="str">
        <f>'Program Budget'!D28</f>
        <v>Grants &amp; Procurement Officer (2)</v>
      </c>
      <c r="C27" s="61">
        <f>'Program Budget'!G28</f>
        <v>9</v>
      </c>
      <c r="D27" s="22">
        <f>'Program Budget'!E28+'Program Budget'!E156+'Program Budget'!E232+'Program Budget'!E303</f>
        <v>1</v>
      </c>
      <c r="E27" s="23">
        <f>'Program Budget'!I28+'Program Budget'!I156+'Program Budget'!I232+'Program Budget'!I303</f>
        <v>22500</v>
      </c>
      <c r="F27" s="61">
        <f>'Program Budget'!K28</f>
        <v>12</v>
      </c>
      <c r="G27" s="22">
        <f>'Program Budget'!J28+'Program Budget'!J156+'Program Budget'!J232+'Program Budget'!J303</f>
        <v>1</v>
      </c>
      <c r="H27" s="23">
        <f>'Program Budget'!L28+'Program Budget'!L156+'Program Budget'!L232+'Program Budget'!L303</f>
        <v>31500</v>
      </c>
      <c r="I27" s="61">
        <f>'Program Budget'!N28</f>
        <v>12</v>
      </c>
      <c r="J27" s="22">
        <f>'Program Budget'!M28+'Program Budget'!M156+'Program Budget'!M232+'Program Budget'!M303</f>
        <v>1</v>
      </c>
      <c r="K27" s="23">
        <f>'Program Budget'!O28+'Program Budget'!O156+'Program Budget'!O232+'Program Budget'!O303</f>
        <v>33075</v>
      </c>
      <c r="L27" s="61">
        <f>'Program Budget'!Q28</f>
        <v>12</v>
      </c>
      <c r="M27" s="22">
        <f>'Program Budget'!P28+'Program Budget'!P156+'Program Budget'!P232+'Program Budget'!P303</f>
        <v>1</v>
      </c>
      <c r="N27" s="23">
        <f>'Program Budget'!R28+'Program Budget'!R156+'Program Budget'!R232+'Program Budget'!R303</f>
        <v>34728.75</v>
      </c>
      <c r="O27" s="61">
        <f>'Program Budget'!T28</f>
        <v>12</v>
      </c>
      <c r="P27" s="22">
        <f>'Program Budget'!S28+'Program Budget'!S156+'Program Budget'!S232+'Program Budget'!S303</f>
        <v>1</v>
      </c>
      <c r="Q27" s="23">
        <f>'Program Budget'!U28+'Program Budget'!U156+'Program Budget'!U232+'Program Budget'!U303</f>
        <v>36465.1875</v>
      </c>
      <c r="R27" s="139">
        <f t="shared" si="0"/>
        <v>158268.9375</v>
      </c>
    </row>
    <row r="28" spans="2:18" s="7" customFormat="1" outlineLevel="1">
      <c r="B28" s="21" t="str">
        <f>'Program Budget'!D29</f>
        <v xml:space="preserve">Accountant </v>
      </c>
      <c r="C28" s="61">
        <f>'Program Budget'!G29</f>
        <v>10</v>
      </c>
      <c r="D28" s="22">
        <f>'Program Budget'!E29+'Program Budget'!E157+'Program Budget'!E233+'Program Budget'!E304</f>
        <v>1</v>
      </c>
      <c r="E28" s="23">
        <f>'Program Budget'!I29+'Program Budget'!I157+'Program Budget'!I233+'Program Budget'!I304</f>
        <v>16666.666666666668</v>
      </c>
      <c r="F28" s="61">
        <f>'Program Budget'!K29</f>
        <v>12</v>
      </c>
      <c r="G28" s="22">
        <f>'Program Budget'!J29+'Program Budget'!J157+'Program Budget'!J233+'Program Budget'!J304</f>
        <v>1</v>
      </c>
      <c r="H28" s="23">
        <f>'Program Budget'!L29+'Program Budget'!L157+'Program Budget'!L233+'Program Budget'!L304</f>
        <v>21000</v>
      </c>
      <c r="I28" s="61">
        <f>'Program Budget'!N29</f>
        <v>12</v>
      </c>
      <c r="J28" s="22">
        <f>'Program Budget'!M29+'Program Budget'!M157+'Program Budget'!M233+'Program Budget'!M304</f>
        <v>1</v>
      </c>
      <c r="K28" s="23">
        <f>'Program Budget'!O29+'Program Budget'!O157+'Program Budget'!O233+'Program Budget'!O304</f>
        <v>22050</v>
      </c>
      <c r="L28" s="61">
        <f>'Program Budget'!Q29</f>
        <v>12</v>
      </c>
      <c r="M28" s="22">
        <f>'Program Budget'!P29+'Program Budget'!P157+'Program Budget'!P233+'Program Budget'!P304</f>
        <v>1</v>
      </c>
      <c r="N28" s="23">
        <f>'Program Budget'!R29+'Program Budget'!R157+'Program Budget'!R233+'Program Budget'!R304</f>
        <v>23152.5</v>
      </c>
      <c r="O28" s="61">
        <f>'Program Budget'!T29</f>
        <v>11</v>
      </c>
      <c r="P28" s="22">
        <f>'Program Budget'!S29+'Program Budget'!S157+'Program Budget'!S233+'Program Budget'!S304</f>
        <v>1</v>
      </c>
      <c r="Q28" s="23">
        <f>'Program Budget'!U29+'Program Budget'!U157+'Program Budget'!U233+'Program Budget'!U304</f>
        <v>22284.281250000004</v>
      </c>
      <c r="R28" s="139">
        <f t="shared" si="0"/>
        <v>105153.44791666667</v>
      </c>
    </row>
    <row r="29" spans="2:18" s="7" customFormat="1" outlineLevel="1">
      <c r="B29" s="21" t="str">
        <f>'Program Budget'!D30</f>
        <v>Administrative Officer</v>
      </c>
      <c r="C29" s="61">
        <f>'Program Budget'!G30</f>
        <v>9</v>
      </c>
      <c r="D29" s="22">
        <f>'Program Budget'!E30+'Program Budget'!E158+'Program Budget'!E234+'Program Budget'!E305</f>
        <v>1</v>
      </c>
      <c r="E29" s="23">
        <f>'Program Budget'!I30+'Program Budget'!I158+'Program Budget'!I234+'Program Budget'!I305</f>
        <v>7500</v>
      </c>
      <c r="F29" s="61">
        <f>'Program Budget'!K30</f>
        <v>12</v>
      </c>
      <c r="G29" s="22">
        <f>'Program Budget'!J30+'Program Budget'!J158+'Program Budget'!J234+'Program Budget'!J305</f>
        <v>1</v>
      </c>
      <c r="H29" s="23">
        <f>'Program Budget'!L30+'Program Budget'!L158+'Program Budget'!L234+'Program Budget'!L305</f>
        <v>10500</v>
      </c>
      <c r="I29" s="61">
        <f>'Program Budget'!N30</f>
        <v>12</v>
      </c>
      <c r="J29" s="22">
        <f>'Program Budget'!M30+'Program Budget'!M158+'Program Budget'!M234+'Program Budget'!M305</f>
        <v>1</v>
      </c>
      <c r="K29" s="23">
        <f>'Program Budget'!O30+'Program Budget'!O158+'Program Budget'!O234+'Program Budget'!O305</f>
        <v>11025</v>
      </c>
      <c r="L29" s="61">
        <f>'Program Budget'!Q30</f>
        <v>12</v>
      </c>
      <c r="M29" s="22">
        <f>'Program Budget'!P30+'Program Budget'!P158+'Program Budget'!P234+'Program Budget'!P305</f>
        <v>1</v>
      </c>
      <c r="N29" s="23">
        <f>'Program Budget'!R30+'Program Budget'!R158+'Program Budget'!R234+'Program Budget'!R305</f>
        <v>11576.25</v>
      </c>
      <c r="O29" s="61">
        <f>'Program Budget'!T30</f>
        <v>10</v>
      </c>
      <c r="P29" s="22">
        <f>'Program Budget'!S30+'Program Budget'!S158+'Program Budget'!S234+'Program Budget'!S305</f>
        <v>1</v>
      </c>
      <c r="Q29" s="23">
        <f>'Program Budget'!U30+'Program Budget'!U158+'Program Budget'!U234+'Program Budget'!U305</f>
        <v>10129.218750000002</v>
      </c>
      <c r="R29" s="139">
        <f t="shared" si="0"/>
        <v>50730.46875</v>
      </c>
    </row>
    <row r="30" spans="2:18" s="7" customFormat="1" outlineLevel="1">
      <c r="B30" s="21" t="str">
        <f>'Program Budget'!D31</f>
        <v>Human Resources Manager</v>
      </c>
      <c r="C30" s="61">
        <f>'Program Budget'!G31</f>
        <v>11</v>
      </c>
      <c r="D30" s="22">
        <f>'Program Budget'!E31+'Program Budget'!E159+'Program Budget'!E235+'Program Budget'!E306</f>
        <v>1</v>
      </c>
      <c r="E30" s="23">
        <f>'Program Budget'!I31+'Program Budget'!I159+'Program Budget'!I235+'Program Budget'!I306</f>
        <v>27500</v>
      </c>
      <c r="F30" s="61">
        <f>'Program Budget'!K31</f>
        <v>12</v>
      </c>
      <c r="G30" s="22">
        <f>'Program Budget'!J31+'Program Budget'!J159+'Program Budget'!J235+'Program Budget'!J306</f>
        <v>1</v>
      </c>
      <c r="H30" s="23">
        <f>'Program Budget'!L31+'Program Budget'!L159+'Program Budget'!L235+'Program Budget'!L306</f>
        <v>31500</v>
      </c>
      <c r="I30" s="61">
        <f>'Program Budget'!N31</f>
        <v>12</v>
      </c>
      <c r="J30" s="22">
        <f>'Program Budget'!M31+'Program Budget'!M159+'Program Budget'!M235+'Program Budget'!M306</f>
        <v>1</v>
      </c>
      <c r="K30" s="23">
        <f>'Program Budget'!O31+'Program Budget'!O159+'Program Budget'!O235+'Program Budget'!O306</f>
        <v>33075</v>
      </c>
      <c r="L30" s="61">
        <f>'Program Budget'!Q31</f>
        <v>12</v>
      </c>
      <c r="M30" s="22">
        <f>'Program Budget'!P31+'Program Budget'!P159+'Program Budget'!P235+'Program Budget'!P306</f>
        <v>1</v>
      </c>
      <c r="N30" s="23">
        <f>'Program Budget'!R31+'Program Budget'!R159+'Program Budget'!R235+'Program Budget'!R306</f>
        <v>34728.75</v>
      </c>
      <c r="O30" s="61">
        <f>'Program Budget'!T31</f>
        <v>12</v>
      </c>
      <c r="P30" s="22">
        <f>'Program Budget'!S31+'Program Budget'!S159+'Program Budget'!S235+'Program Budget'!S306</f>
        <v>1</v>
      </c>
      <c r="Q30" s="23">
        <f>'Program Budget'!U31+'Program Budget'!U159+'Program Budget'!U235+'Program Budget'!U306</f>
        <v>36465.1875</v>
      </c>
      <c r="R30" s="139">
        <f t="shared" si="0"/>
        <v>163268.9375</v>
      </c>
    </row>
    <row r="31" spans="2:18" s="7" customFormat="1" outlineLevel="1">
      <c r="B31" s="21" t="str">
        <f>'Program Budget'!D32</f>
        <v>Driver (3 Individuals)</v>
      </c>
      <c r="C31" s="61">
        <f>'Program Budget'!G32</f>
        <v>3</v>
      </c>
      <c r="D31" s="22">
        <f>'Program Budget'!E32+'Program Budget'!E160+'Program Budget'!E236+'Program Budget'!E307</f>
        <v>1</v>
      </c>
      <c r="E31" s="23">
        <f>'Program Budget'!I32+'Program Budget'!I160+'Program Budget'!I236+'Program Budget'!I307</f>
        <v>6750</v>
      </c>
      <c r="F31" s="61">
        <f>'Program Budget'!K32</f>
        <v>12</v>
      </c>
      <c r="G31" s="22">
        <f>'Program Budget'!J32+'Program Budget'!J160+'Program Budget'!J236+'Program Budget'!J307</f>
        <v>1</v>
      </c>
      <c r="H31" s="23">
        <f>'Program Budget'!L32+'Program Budget'!L160+'Program Budget'!L236+'Program Budget'!L307</f>
        <v>28350</v>
      </c>
      <c r="I31" s="61">
        <f>'Program Budget'!N32</f>
        <v>12</v>
      </c>
      <c r="J31" s="22">
        <f>'Program Budget'!M32+'Program Budget'!M160+'Program Budget'!M236+'Program Budget'!M307</f>
        <v>1</v>
      </c>
      <c r="K31" s="23">
        <f>'Program Budget'!O32+'Program Budget'!O160+'Program Budget'!O236+'Program Budget'!O307</f>
        <v>29767.5</v>
      </c>
      <c r="L31" s="61">
        <f>'Program Budget'!Q32</f>
        <v>12</v>
      </c>
      <c r="M31" s="22">
        <f>'Program Budget'!P32+'Program Budget'!P160+'Program Budget'!P236+'Program Budget'!P307</f>
        <v>1</v>
      </c>
      <c r="N31" s="23">
        <f>'Program Budget'!R32+'Program Budget'!R160+'Program Budget'!R236+'Program Budget'!R307</f>
        <v>31255.875</v>
      </c>
      <c r="O31" s="61">
        <f>'Program Budget'!T32</f>
        <v>9</v>
      </c>
      <c r="P31" s="22">
        <f>'Program Budget'!S32+'Program Budget'!S160+'Program Budget'!S236+'Program Budget'!S307</f>
        <v>1</v>
      </c>
      <c r="Q31" s="23">
        <f>'Program Budget'!U32+'Program Budget'!U160+'Program Budget'!U236+'Program Budget'!U307</f>
        <v>24614.001562500001</v>
      </c>
      <c r="R31" s="139">
        <f t="shared" si="0"/>
        <v>120737.37656249999</v>
      </c>
    </row>
    <row r="32" spans="2:18" s="7" customFormat="1" outlineLevel="1">
      <c r="B32" s="19" t="s">
        <v>609</v>
      </c>
      <c r="C32" s="60"/>
      <c r="D32" s="25"/>
      <c r="E32" s="25"/>
      <c r="F32" s="60"/>
      <c r="G32" s="25"/>
      <c r="H32" s="20"/>
      <c r="I32" s="60"/>
      <c r="J32" s="25"/>
      <c r="K32" s="25"/>
      <c r="L32" s="60"/>
      <c r="M32" s="25"/>
      <c r="N32" s="25"/>
      <c r="O32" s="60"/>
      <c r="P32" s="25"/>
      <c r="Q32" s="25"/>
      <c r="R32" s="140"/>
    </row>
    <row r="33" spans="2:18" s="7" customFormat="1" outlineLevel="1">
      <c r="B33" s="21" t="str">
        <f>'Program Budget'!D34</f>
        <v xml:space="preserve">Senior Program Director </v>
      </c>
      <c r="C33" s="61">
        <f>'Program Budget'!G34</f>
        <v>12</v>
      </c>
      <c r="D33" s="22">
        <f>'Program Budget'!E34</f>
        <v>0.2</v>
      </c>
      <c r="E33" s="23">
        <f>'Program Budget'!I34</f>
        <v>27000</v>
      </c>
      <c r="F33" s="61">
        <f>'Program Budget'!K34</f>
        <v>12</v>
      </c>
      <c r="G33" s="22">
        <v>0.2</v>
      </c>
      <c r="H33" s="23">
        <f>'Program Budget'!L34</f>
        <v>28350</v>
      </c>
      <c r="I33" s="61">
        <f>'Program Budget'!N34</f>
        <v>12</v>
      </c>
      <c r="J33" s="22">
        <v>0.2</v>
      </c>
      <c r="K33" s="23">
        <f>'Program Budget'!O34</f>
        <v>29767.5</v>
      </c>
      <c r="L33" s="61">
        <f>'Program Budget'!Q34</f>
        <v>12</v>
      </c>
      <c r="M33" s="22">
        <v>0.2</v>
      </c>
      <c r="N33" s="23">
        <f>'Program Budget'!R34</f>
        <v>31255.875</v>
      </c>
      <c r="O33" s="61">
        <f>'Program Budget'!T34</f>
        <v>12</v>
      </c>
      <c r="P33" s="22">
        <v>0.2</v>
      </c>
      <c r="Q33" s="23">
        <f>'Program Budget'!U34</f>
        <v>32818.668750000004</v>
      </c>
      <c r="R33" s="139">
        <f t="shared" ref="R33" si="1">E33+H33+K33+N33+Q33</f>
        <v>149192.04375000001</v>
      </c>
    </row>
    <row r="34" spans="2:18" s="7" customFormat="1" outlineLevel="1">
      <c r="B34" s="21" t="str">
        <f>'Program Budget'!D35</f>
        <v>Associate Director</v>
      </c>
      <c r="C34" s="61">
        <f>'Program Budget'!G35</f>
        <v>12</v>
      </c>
      <c r="D34" s="22">
        <f>'Program Budget'!E35</f>
        <v>1</v>
      </c>
      <c r="E34" s="23">
        <f>'Program Budget'!I35</f>
        <v>90000</v>
      </c>
      <c r="F34" s="61">
        <f>'Program Budget'!K35</f>
        <v>12</v>
      </c>
      <c r="G34" s="22">
        <f>'Program Budget'!J35</f>
        <v>1</v>
      </c>
      <c r="H34" s="23">
        <f>'Program Budget'!L35</f>
        <v>94500</v>
      </c>
      <c r="I34" s="61">
        <f>'Program Budget'!N35</f>
        <v>12</v>
      </c>
      <c r="J34" s="22">
        <f>'Program Budget'!M35</f>
        <v>1</v>
      </c>
      <c r="K34" s="23">
        <f>'Program Budget'!O35</f>
        <v>99225</v>
      </c>
      <c r="L34" s="61">
        <f>'Program Budget'!Q35</f>
        <v>12</v>
      </c>
      <c r="M34" s="22">
        <f>'Program Budget'!P35</f>
        <v>1</v>
      </c>
      <c r="N34" s="23">
        <f>'Program Budget'!R35</f>
        <v>104186.25</v>
      </c>
      <c r="O34" s="61">
        <f>'Program Budget'!T35</f>
        <v>12</v>
      </c>
      <c r="P34" s="22">
        <f>'Program Budget'!S35</f>
        <v>1</v>
      </c>
      <c r="Q34" s="23">
        <f>'Program Budget'!U35</f>
        <v>109395.5625</v>
      </c>
      <c r="R34" s="139">
        <f t="shared" ref="R34" si="2">E34+H34+K34+N34+Q34</f>
        <v>497306.8125</v>
      </c>
    </row>
    <row r="35" spans="2:18" s="7" customFormat="1" outlineLevel="1">
      <c r="B35" s="26" t="s">
        <v>214</v>
      </c>
      <c r="C35" s="27"/>
      <c r="D35" s="27"/>
      <c r="E35" s="28">
        <f>SUM(E11:E34)</f>
        <v>639583.33333333326</v>
      </c>
      <c r="F35" s="27"/>
      <c r="G35" s="27"/>
      <c r="H35" s="28">
        <f>SUM(H11:H34)</f>
        <v>898800</v>
      </c>
      <c r="I35" s="27"/>
      <c r="J35" s="27"/>
      <c r="K35" s="28">
        <f>SUM(K11:K34)</f>
        <v>943740</v>
      </c>
      <c r="L35" s="27"/>
      <c r="M35" s="27"/>
      <c r="N35" s="28">
        <f>SUM(N11:N34)</f>
        <v>990927</v>
      </c>
      <c r="O35" s="27"/>
      <c r="P35" s="27"/>
      <c r="Q35" s="28">
        <f>SUM(Q11:Q34)</f>
        <v>889649.28281249991</v>
      </c>
      <c r="R35" s="28">
        <f>SUM(R11:R34)</f>
        <v>4362699.6161458343</v>
      </c>
    </row>
    <row r="37" spans="2:18">
      <c r="F37" s="126"/>
      <c r="H37" s="8"/>
      <c r="I37" s="126"/>
    </row>
    <row r="38" spans="2:18">
      <c r="F38" s="126"/>
      <c r="H38" s="8"/>
      <c r="I38" s="126"/>
    </row>
    <row r="39" spans="2:18">
      <c r="F39" s="126"/>
      <c r="H39" s="8"/>
      <c r="I39" s="126"/>
    </row>
    <row r="40" spans="2:18">
      <c r="F40" s="126"/>
      <c r="H40" s="8"/>
      <c r="I40" s="126"/>
    </row>
    <row r="41" spans="2:18">
      <c r="F41" s="126"/>
      <c r="H41" s="8"/>
      <c r="I41" s="126"/>
    </row>
    <row r="42" spans="2:18">
      <c r="F42" s="126"/>
      <c r="H42" s="8"/>
      <c r="I42" s="126"/>
    </row>
    <row r="43" spans="2:18">
      <c r="F43" s="126"/>
      <c r="H43" s="8"/>
      <c r="I43" s="126"/>
    </row>
    <row r="44" spans="2:18">
      <c r="E44" s="431"/>
      <c r="F44" s="126"/>
      <c r="H44" s="8"/>
      <c r="I44" s="126"/>
    </row>
    <row r="45" spans="2:18">
      <c r="F45" s="126"/>
      <c r="H45" s="8"/>
      <c r="I45" s="126"/>
    </row>
    <row r="46" spans="2:18">
      <c r="F46" s="126"/>
      <c r="H46" s="8"/>
      <c r="I46" s="126"/>
    </row>
    <row r="47" spans="2:18">
      <c r="F47" s="126"/>
      <c r="H47" s="8"/>
      <c r="I47" s="126"/>
    </row>
    <row r="48" spans="2:18">
      <c r="F48" s="126"/>
      <c r="H48" s="8"/>
      <c r="I48" s="126"/>
    </row>
    <row r="49" spans="6:9">
      <c r="F49" s="126"/>
      <c r="H49" s="8"/>
      <c r="I49" s="126"/>
    </row>
    <row r="50" spans="6:9">
      <c r="F50" s="126"/>
      <c r="H50" s="8"/>
      <c r="I50" s="126"/>
    </row>
    <row r="51" spans="6:9">
      <c r="F51" s="126"/>
      <c r="H51" s="8"/>
      <c r="I51" s="126"/>
    </row>
    <row r="52" spans="6:9">
      <c r="F52" s="126"/>
      <c r="H52" s="8"/>
      <c r="I52" s="126"/>
    </row>
    <row r="53" spans="6:9">
      <c r="F53" s="126"/>
      <c r="H53" s="8"/>
      <c r="I53" s="126"/>
    </row>
    <row r="54" spans="6:9">
      <c r="F54" s="126"/>
      <c r="I54" s="126"/>
    </row>
  </sheetData>
  <mergeCells count="5">
    <mergeCell ref="B1:R1"/>
    <mergeCell ref="B2:R2"/>
    <mergeCell ref="B3:R3"/>
    <mergeCell ref="B4:R4"/>
    <mergeCell ref="B5:R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55"/>
  <sheetViews>
    <sheetView topLeftCell="A101" zoomScaleNormal="100" workbookViewId="0">
      <selection activeCell="G146" sqref="G146"/>
    </sheetView>
  </sheetViews>
  <sheetFormatPr defaultColWidth="8.71875" defaultRowHeight="12.6" outlineLevelRow="1"/>
  <cols>
    <col min="1" max="1" width="2.44140625" style="5" customWidth="1"/>
    <col min="2" max="2" width="52.1640625" style="6" bestFit="1" customWidth="1"/>
    <col min="3" max="3" width="5.71875" style="6" customWidth="1"/>
    <col min="4" max="4" width="13.71875" style="7" bestFit="1" customWidth="1"/>
    <col min="5" max="5" width="19.44140625" style="8" bestFit="1" customWidth="1"/>
    <col min="6" max="6" width="17.1640625" style="6" bestFit="1" customWidth="1"/>
    <col min="7" max="7" width="19.44140625" style="10" bestFit="1" customWidth="1"/>
    <col min="8" max="8" width="9.44140625" style="6" bestFit="1" customWidth="1"/>
    <col min="9" max="16384" width="8.71875" style="5"/>
  </cols>
  <sheetData>
    <row r="1" spans="2:8" ht="13.5" customHeight="1">
      <c r="B1" s="599" t="s">
        <v>153</v>
      </c>
      <c r="C1" s="599"/>
      <c r="D1" s="599"/>
      <c r="E1" s="599"/>
      <c r="F1" s="599"/>
      <c r="G1" s="599"/>
      <c r="H1" s="599"/>
    </row>
    <row r="2" spans="2:8" ht="13.5" customHeight="1">
      <c r="B2" s="599" t="s">
        <v>154</v>
      </c>
      <c r="C2" s="599"/>
      <c r="D2" s="599"/>
      <c r="E2" s="599"/>
      <c r="F2" s="599"/>
      <c r="G2" s="599"/>
      <c r="H2" s="599"/>
    </row>
    <row r="3" spans="2:8">
      <c r="B3" s="599" t="s">
        <v>155</v>
      </c>
      <c r="C3" s="599"/>
      <c r="D3" s="599"/>
      <c r="E3" s="599"/>
      <c r="F3" s="599"/>
      <c r="G3" s="599"/>
      <c r="H3" s="599"/>
    </row>
    <row r="4" spans="2:8">
      <c r="B4" s="599" t="s">
        <v>158</v>
      </c>
      <c r="C4" s="599"/>
      <c r="D4" s="599"/>
      <c r="E4" s="599"/>
      <c r="F4" s="599"/>
      <c r="G4" s="599"/>
      <c r="H4" s="599"/>
    </row>
    <row r="5" spans="2:8">
      <c r="B5" s="599" t="s">
        <v>588</v>
      </c>
      <c r="C5" s="599"/>
      <c r="D5" s="599"/>
      <c r="E5" s="599"/>
      <c r="F5" s="599"/>
      <c r="G5" s="599"/>
      <c r="H5" s="599"/>
    </row>
    <row r="6" spans="2:8">
      <c r="B6" s="1"/>
      <c r="C6" s="1"/>
      <c r="D6" s="2"/>
      <c r="E6" s="2"/>
      <c r="F6" s="2"/>
      <c r="G6" s="1"/>
      <c r="H6" s="1"/>
    </row>
    <row r="7" spans="2:8" ht="49.2">
      <c r="B7" s="4"/>
      <c r="C7" s="4"/>
      <c r="D7" s="11" t="s">
        <v>610</v>
      </c>
      <c r="E7" s="11" t="str">
        <f>'USDA Budget Summary'!$A$28</f>
        <v xml:space="preserve">Activity 1: Increase Use of Climate Smart Agriculture and Water Management  </v>
      </c>
      <c r="F7" s="11" t="str">
        <f>'USDA Budget Summary'!$A$29</f>
        <v>Activity 2: Increase Productivity of the Oasis Agricultural System</v>
      </c>
      <c r="G7" s="11" t="str">
        <f>'USDA Budget Summary'!$A$30</f>
        <v xml:space="preserve">Activity 3: Increase Use of Sustainable Oasis Agricultural System Business Models </v>
      </c>
      <c r="H7" s="11" t="s">
        <v>611</v>
      </c>
    </row>
    <row r="8" spans="2:8" s="16" customFormat="1" ht="12.3">
      <c r="B8" s="13" t="s">
        <v>64</v>
      </c>
      <c r="C8" s="13"/>
      <c r="D8" s="14" t="s">
        <v>605</v>
      </c>
      <c r="E8" s="14" t="s">
        <v>605</v>
      </c>
      <c r="F8" s="14" t="s">
        <v>606</v>
      </c>
      <c r="G8" s="14" t="s">
        <v>606</v>
      </c>
      <c r="H8" s="14" t="s">
        <v>606</v>
      </c>
    </row>
    <row r="9" spans="2:8" s="7" customFormat="1">
      <c r="B9" s="17" t="s">
        <v>607</v>
      </c>
      <c r="C9" s="17"/>
      <c r="D9" s="17"/>
      <c r="E9" s="17"/>
      <c r="F9" s="17"/>
      <c r="G9" s="17"/>
      <c r="H9" s="17"/>
    </row>
    <row r="10" spans="2:8" s="7" customFormat="1" outlineLevel="1">
      <c r="B10" s="19" t="s">
        <v>612</v>
      </c>
      <c r="C10" s="19"/>
      <c r="D10" s="19"/>
      <c r="E10" s="19"/>
      <c r="F10" s="19"/>
      <c r="G10" s="19"/>
      <c r="H10" s="19"/>
    </row>
    <row r="11" spans="2:8" s="7" customFormat="1" outlineLevel="1">
      <c r="B11" s="21" t="str">
        <f>'Program Budget'!D12</f>
        <v>Key Personnel: Chief of Party - Ms. Rym Ayari</v>
      </c>
      <c r="C11" s="21"/>
      <c r="D11" s="22">
        <v>0.3</v>
      </c>
      <c r="E11" s="22">
        <v>0.25</v>
      </c>
      <c r="F11" s="22">
        <v>0.25</v>
      </c>
      <c r="G11" s="22">
        <v>0.2</v>
      </c>
      <c r="H11" s="22">
        <f t="shared" ref="H11" si="0">SUM(D11:G11)</f>
        <v>1</v>
      </c>
    </row>
    <row r="12" spans="2:8" s="7" customFormat="1" outlineLevel="1">
      <c r="B12" s="21" t="str">
        <f>'Program Budget'!D13</f>
        <v>Key Personnel: Technical Director</v>
      </c>
      <c r="C12" s="21"/>
      <c r="D12" s="22">
        <v>0.3</v>
      </c>
      <c r="E12" s="22">
        <v>0.25</v>
      </c>
      <c r="F12" s="22">
        <v>0.25</v>
      </c>
      <c r="G12" s="22">
        <v>0.2</v>
      </c>
      <c r="H12" s="22">
        <f t="shared" ref="H12:H31" si="1">SUM(D12:G12)</f>
        <v>1</v>
      </c>
    </row>
    <row r="13" spans="2:8" s="7" customFormat="1" outlineLevel="1">
      <c r="B13" s="21" t="str">
        <f>'Program Budget'!D14</f>
        <v>Technical Lead Component 1</v>
      </c>
      <c r="C13" s="21"/>
      <c r="D13" s="22">
        <v>0.2</v>
      </c>
      <c r="E13" s="22">
        <v>0.8</v>
      </c>
      <c r="F13" s="22">
        <v>0</v>
      </c>
      <c r="G13" s="22">
        <v>0</v>
      </c>
      <c r="H13" s="22">
        <f t="shared" si="1"/>
        <v>1</v>
      </c>
    </row>
    <row r="14" spans="2:8" s="7" customFormat="1" outlineLevel="1">
      <c r="B14" s="21" t="str">
        <f>'Program Budget'!D15</f>
        <v>Technical Lead Component 2</v>
      </c>
      <c r="C14" s="21"/>
      <c r="D14" s="22">
        <v>0.2</v>
      </c>
      <c r="E14" s="22">
        <v>0</v>
      </c>
      <c r="F14" s="22">
        <v>0.8</v>
      </c>
      <c r="G14" s="22">
        <v>0</v>
      </c>
      <c r="H14" s="22">
        <f t="shared" si="1"/>
        <v>1</v>
      </c>
    </row>
    <row r="15" spans="2:8" s="7" customFormat="1" outlineLevel="1">
      <c r="B15" s="21" t="str">
        <f>'Program Budget'!D16</f>
        <v>Technical Lead Component 3</v>
      </c>
      <c r="C15" s="21"/>
      <c r="D15" s="22">
        <v>0.2</v>
      </c>
      <c r="E15" s="22">
        <v>0</v>
      </c>
      <c r="F15" s="22">
        <v>0</v>
      </c>
      <c r="G15" s="22">
        <v>0.8</v>
      </c>
      <c r="H15" s="22">
        <f t="shared" si="1"/>
        <v>1</v>
      </c>
    </row>
    <row r="16" spans="2:8" s="7" customFormat="1" outlineLevel="1">
      <c r="B16" s="21" t="str">
        <f>'Program Budget'!D17</f>
        <v>Technical Specialist Component 1</v>
      </c>
      <c r="C16" s="21"/>
      <c r="D16" s="22">
        <v>0.2</v>
      </c>
      <c r="E16" s="22">
        <v>0.8</v>
      </c>
      <c r="F16" s="22">
        <v>0</v>
      </c>
      <c r="G16" s="22">
        <v>0</v>
      </c>
      <c r="H16" s="22">
        <f t="shared" si="1"/>
        <v>1</v>
      </c>
    </row>
    <row r="17" spans="2:8" s="7" customFormat="1" outlineLevel="1">
      <c r="B17" s="21" t="str">
        <f>'Program Budget'!D18</f>
        <v>Technical Specialist Component 2</v>
      </c>
      <c r="C17" s="21"/>
      <c r="D17" s="22">
        <v>0.2</v>
      </c>
      <c r="E17" s="22">
        <v>0</v>
      </c>
      <c r="F17" s="22">
        <v>0.8</v>
      </c>
      <c r="G17" s="22">
        <v>0</v>
      </c>
      <c r="H17" s="22">
        <f t="shared" si="1"/>
        <v>1</v>
      </c>
    </row>
    <row r="18" spans="2:8" s="7" customFormat="1" outlineLevel="1">
      <c r="B18" s="21" t="str">
        <f>'Program Budget'!D19</f>
        <v>Technical Specialist Component 3</v>
      </c>
      <c r="C18" s="21"/>
      <c r="D18" s="22">
        <v>0.2</v>
      </c>
      <c r="E18" s="22">
        <v>0</v>
      </c>
      <c r="F18" s="22">
        <v>0</v>
      </c>
      <c r="G18" s="22">
        <v>0.8</v>
      </c>
      <c r="H18" s="22">
        <f t="shared" si="1"/>
        <v>1</v>
      </c>
    </row>
    <row r="19" spans="2:8" s="7" customFormat="1" outlineLevel="1">
      <c r="B19" s="21" t="str">
        <f>'Program Budget'!D20</f>
        <v>Capacity Building Specialist (2)</v>
      </c>
      <c r="C19" s="21"/>
      <c r="D19" s="22">
        <v>0.2</v>
      </c>
      <c r="E19" s="22">
        <v>0</v>
      </c>
      <c r="F19" s="22">
        <v>0</v>
      </c>
      <c r="G19" s="22">
        <v>0.8</v>
      </c>
      <c r="H19" s="22">
        <f t="shared" ref="H19" si="2">SUM(D19:G19)</f>
        <v>1</v>
      </c>
    </row>
    <row r="20" spans="2:8" s="7" customFormat="1" outlineLevel="1">
      <c r="B20" s="21" t="str">
        <f>'Program Budget'!D21</f>
        <v>Sociocultural and Gender Specialist</v>
      </c>
      <c r="C20" s="21"/>
      <c r="D20" s="22">
        <v>0.25</v>
      </c>
      <c r="E20" s="22">
        <v>0.25</v>
      </c>
      <c r="F20" s="22">
        <v>0.25</v>
      </c>
      <c r="G20" s="22">
        <v>0.25</v>
      </c>
      <c r="H20" s="22">
        <f t="shared" si="1"/>
        <v>1</v>
      </c>
    </row>
    <row r="21" spans="2:8" s="7" customFormat="1" outlineLevel="1">
      <c r="B21" s="21" t="str">
        <f>'Program Budget'!D22</f>
        <v>Sociocultural and Gender Officers (3)</v>
      </c>
      <c r="C21" s="21"/>
      <c r="D21" s="22">
        <v>0.25</v>
      </c>
      <c r="E21" s="22">
        <v>0.25</v>
      </c>
      <c r="F21" s="22">
        <v>0.25</v>
      </c>
      <c r="G21" s="22">
        <v>0.25</v>
      </c>
      <c r="H21" s="22">
        <f t="shared" si="1"/>
        <v>1</v>
      </c>
    </row>
    <row r="22" spans="2:8" s="7" customFormat="1" outlineLevel="1">
      <c r="B22" s="21" t="str">
        <f>'Program Budget'!D23</f>
        <v>Communications Specialists</v>
      </c>
      <c r="C22" s="21"/>
      <c r="D22" s="22">
        <v>0.25</v>
      </c>
      <c r="E22" s="22">
        <v>0.25</v>
      </c>
      <c r="F22" s="22">
        <v>0.25</v>
      </c>
      <c r="G22" s="22">
        <v>0.25</v>
      </c>
      <c r="H22" s="22">
        <f t="shared" si="1"/>
        <v>1</v>
      </c>
    </row>
    <row r="23" spans="2:8" s="7" customFormat="1" outlineLevel="1">
      <c r="B23" s="21" t="str">
        <f>'Program Budget'!D24</f>
        <v xml:space="preserve">M&amp;E Director </v>
      </c>
      <c r="C23" s="21"/>
      <c r="D23" s="22">
        <v>0.25</v>
      </c>
      <c r="E23" s="22">
        <v>0.25</v>
      </c>
      <c r="F23" s="22">
        <v>0.25</v>
      </c>
      <c r="G23" s="22">
        <v>0.25</v>
      </c>
      <c r="H23" s="22">
        <f t="shared" si="1"/>
        <v>1</v>
      </c>
    </row>
    <row r="24" spans="2:8" s="7" customFormat="1" outlineLevel="1">
      <c r="B24" s="21" t="str">
        <f>'Program Budget'!D25</f>
        <v>M&amp;E Specialist</v>
      </c>
      <c r="C24" s="21"/>
      <c r="D24" s="22">
        <v>0.25</v>
      </c>
      <c r="E24" s="22">
        <v>0.25</v>
      </c>
      <c r="F24" s="22">
        <v>0.25</v>
      </c>
      <c r="G24" s="22">
        <v>0.25</v>
      </c>
      <c r="H24" s="22">
        <f t="shared" si="1"/>
        <v>1</v>
      </c>
    </row>
    <row r="25" spans="2:8" s="7" customFormat="1" outlineLevel="1">
      <c r="B25" s="21" t="str">
        <f>'Program Budget'!D26</f>
        <v xml:space="preserve">Key Personnel: Finance Director </v>
      </c>
      <c r="C25" s="21"/>
      <c r="D25" s="22">
        <v>0.25</v>
      </c>
      <c r="E25" s="22">
        <v>0.25</v>
      </c>
      <c r="F25" s="22">
        <v>0.25</v>
      </c>
      <c r="G25" s="22">
        <v>0.25</v>
      </c>
      <c r="H25" s="22">
        <f t="shared" si="1"/>
        <v>1</v>
      </c>
    </row>
    <row r="26" spans="2:8" s="7" customFormat="1" outlineLevel="1">
      <c r="B26" s="21" t="str">
        <f>'Program Budget'!D27</f>
        <v>Contracts &amp; Compliance Specialist</v>
      </c>
      <c r="C26" s="21"/>
      <c r="D26" s="22">
        <v>0.25</v>
      </c>
      <c r="E26" s="22">
        <v>0.25</v>
      </c>
      <c r="F26" s="22">
        <v>0.25</v>
      </c>
      <c r="G26" s="22">
        <v>0.25</v>
      </c>
      <c r="H26" s="22">
        <f t="shared" si="1"/>
        <v>1</v>
      </c>
    </row>
    <row r="27" spans="2:8" s="7" customFormat="1" outlineLevel="1">
      <c r="B27" s="21" t="str">
        <f>'Program Budget'!D28</f>
        <v>Grants &amp; Procurement Officer (2)</v>
      </c>
      <c r="C27" s="21"/>
      <c r="D27" s="22">
        <v>0.25</v>
      </c>
      <c r="E27" s="22">
        <v>0.25</v>
      </c>
      <c r="F27" s="22">
        <v>0.25</v>
      </c>
      <c r="G27" s="22">
        <v>0.25</v>
      </c>
      <c r="H27" s="22">
        <f t="shared" si="1"/>
        <v>1</v>
      </c>
    </row>
    <row r="28" spans="2:8" s="7" customFormat="1" outlineLevel="1">
      <c r="B28" s="21" t="str">
        <f>'Program Budget'!D29</f>
        <v xml:space="preserve">Accountant </v>
      </c>
      <c r="C28" s="21"/>
      <c r="D28" s="22">
        <v>0.25</v>
      </c>
      <c r="E28" s="22">
        <v>0.25</v>
      </c>
      <c r="F28" s="22">
        <v>0.25</v>
      </c>
      <c r="G28" s="22">
        <v>0.25</v>
      </c>
      <c r="H28" s="22">
        <f t="shared" si="1"/>
        <v>1</v>
      </c>
    </row>
    <row r="29" spans="2:8" s="7" customFormat="1" outlineLevel="1">
      <c r="B29" s="21" t="str">
        <f>'Program Budget'!D30</f>
        <v>Administrative Officer</v>
      </c>
      <c r="C29" s="21"/>
      <c r="D29" s="22">
        <v>0.25</v>
      </c>
      <c r="E29" s="22">
        <v>0.25</v>
      </c>
      <c r="F29" s="22">
        <v>0.25</v>
      </c>
      <c r="G29" s="22">
        <v>0.25</v>
      </c>
      <c r="H29" s="22">
        <f t="shared" si="1"/>
        <v>1</v>
      </c>
    </row>
    <row r="30" spans="2:8" s="7" customFormat="1" outlineLevel="1">
      <c r="B30" s="21" t="str">
        <f>'Program Budget'!D31</f>
        <v>Human Resources Manager</v>
      </c>
      <c r="C30" s="21"/>
      <c r="D30" s="22">
        <v>0.25</v>
      </c>
      <c r="E30" s="22">
        <v>0.25</v>
      </c>
      <c r="F30" s="22">
        <v>0.25</v>
      </c>
      <c r="G30" s="22">
        <v>0.25</v>
      </c>
      <c r="H30" s="22">
        <f t="shared" si="1"/>
        <v>1</v>
      </c>
    </row>
    <row r="31" spans="2:8" s="7" customFormat="1" outlineLevel="1">
      <c r="B31" s="21" t="str">
        <f>'Program Budget'!D32</f>
        <v>Driver (3 Individuals)</v>
      </c>
      <c r="C31" s="21"/>
      <c r="D31" s="22">
        <v>0.1</v>
      </c>
      <c r="E31" s="22">
        <v>0.3</v>
      </c>
      <c r="F31" s="22">
        <v>0.3</v>
      </c>
      <c r="G31" s="22">
        <v>0.3</v>
      </c>
      <c r="H31" s="22">
        <f t="shared" si="1"/>
        <v>1</v>
      </c>
    </row>
    <row r="32" spans="2:8" s="7" customFormat="1" outlineLevel="1">
      <c r="B32" s="19" t="s">
        <v>609</v>
      </c>
      <c r="C32" s="19"/>
      <c r="D32" s="25"/>
      <c r="E32" s="25"/>
      <c r="F32" s="25"/>
      <c r="G32" s="25"/>
      <c r="H32" s="25"/>
    </row>
    <row r="33" spans="2:8" s="7" customFormat="1" outlineLevel="1">
      <c r="B33" s="21" t="str">
        <f>'Program Budget'!D34</f>
        <v xml:space="preserve">Senior Program Director </v>
      </c>
      <c r="C33" s="21"/>
      <c r="D33" s="22">
        <v>0.2</v>
      </c>
      <c r="E33" s="22"/>
      <c r="F33" s="22"/>
      <c r="G33" s="22"/>
      <c r="H33" s="22">
        <f>SUM(D33:G33)</f>
        <v>0.2</v>
      </c>
    </row>
    <row r="34" spans="2:8" s="7" customFormat="1" outlineLevel="1">
      <c r="B34" s="21" t="str">
        <f>'Program Budget'!D35</f>
        <v>Associate Director</v>
      </c>
      <c r="C34" s="21"/>
      <c r="D34" s="22">
        <v>1</v>
      </c>
      <c r="E34" s="22"/>
      <c r="F34" s="22"/>
      <c r="G34" s="22"/>
      <c r="H34" s="22">
        <f>SUM(D34:G34)</f>
        <v>1</v>
      </c>
    </row>
    <row r="35" spans="2:8" s="7" customFormat="1" outlineLevel="1">
      <c r="B35" s="26" t="s">
        <v>214</v>
      </c>
      <c r="C35" s="26"/>
      <c r="D35" s="27"/>
      <c r="E35" s="27"/>
      <c r="F35" s="27"/>
      <c r="G35" s="27"/>
      <c r="H35" s="27"/>
    </row>
    <row r="36" spans="2:8">
      <c r="D36" s="10"/>
      <c r="E36" s="6"/>
      <c r="G36" s="6"/>
      <c r="H36" s="10"/>
    </row>
    <row r="37" spans="2:8" ht="49.2">
      <c r="B37" s="4"/>
      <c r="C37" s="4"/>
      <c r="D37" s="11" t="s">
        <v>610</v>
      </c>
      <c r="E37" s="11" t="str">
        <f>'USDA Budget Summary'!$A$28</f>
        <v xml:space="preserve">Activity 1: Increase Use of Climate Smart Agriculture and Water Management  </v>
      </c>
      <c r="F37" s="11" t="str">
        <f>'USDA Budget Summary'!$A$29</f>
        <v>Activity 2: Increase Productivity of the Oasis Agricultural System</v>
      </c>
      <c r="G37" s="11" t="str">
        <f>'USDA Budget Summary'!$A$30</f>
        <v xml:space="preserve">Activity 3: Increase Use of Sustainable Oasis Agricultural System Business Models </v>
      </c>
      <c r="H37" s="11" t="s">
        <v>611</v>
      </c>
    </row>
    <row r="38" spans="2:8" s="16" customFormat="1" ht="12.3">
      <c r="B38" s="13" t="s">
        <v>65</v>
      </c>
      <c r="C38" s="13"/>
      <c r="D38" s="14" t="s">
        <v>605</v>
      </c>
      <c r="E38" s="14" t="s">
        <v>605</v>
      </c>
      <c r="F38" s="14" t="s">
        <v>606</v>
      </c>
      <c r="G38" s="14" t="s">
        <v>606</v>
      </c>
      <c r="H38" s="14" t="s">
        <v>606</v>
      </c>
    </row>
    <row r="39" spans="2:8" s="7" customFormat="1">
      <c r="B39" s="17" t="s">
        <v>607</v>
      </c>
      <c r="C39" s="17"/>
      <c r="D39" s="17"/>
      <c r="E39" s="17"/>
      <c r="F39" s="17"/>
      <c r="G39" s="17"/>
      <c r="H39" s="17"/>
    </row>
    <row r="40" spans="2:8" s="7" customFormat="1" outlineLevel="1">
      <c r="B40" s="19" t="s">
        <v>612</v>
      </c>
      <c r="C40" s="19"/>
      <c r="D40" s="19"/>
      <c r="E40" s="19"/>
      <c r="F40" s="19"/>
      <c r="G40" s="19"/>
      <c r="H40" s="19"/>
    </row>
    <row r="41" spans="2:8" s="7" customFormat="1" outlineLevel="1">
      <c r="B41" s="21" t="str">
        <f>'Program Budget'!D12</f>
        <v>Key Personnel: Chief of Party - Ms. Rym Ayari</v>
      </c>
      <c r="C41" s="21"/>
      <c r="D41" s="22">
        <v>0.1</v>
      </c>
      <c r="E41" s="22">
        <v>0.3</v>
      </c>
      <c r="F41" s="22">
        <v>0.3</v>
      </c>
      <c r="G41" s="22">
        <v>0.3</v>
      </c>
      <c r="H41" s="22">
        <f t="shared" ref="H41" si="3">SUM(D41:G41)</f>
        <v>1</v>
      </c>
    </row>
    <row r="42" spans="2:8" s="7" customFormat="1" outlineLevel="1">
      <c r="B42" s="21" t="str">
        <f>'Program Budget'!D13</f>
        <v>Key Personnel: Technical Director</v>
      </c>
      <c r="C42" s="21"/>
      <c r="D42" s="22">
        <v>0</v>
      </c>
      <c r="E42" s="22">
        <v>0.35</v>
      </c>
      <c r="F42" s="22">
        <v>0.35</v>
      </c>
      <c r="G42" s="22">
        <v>0.3</v>
      </c>
      <c r="H42" s="22">
        <f t="shared" ref="H42:H61" si="4">SUM(D42:G42)</f>
        <v>1</v>
      </c>
    </row>
    <row r="43" spans="2:8" s="7" customFormat="1" outlineLevel="1">
      <c r="B43" s="21" t="str">
        <f>'Program Budget'!D14</f>
        <v>Technical Lead Component 1</v>
      </c>
      <c r="C43" s="21"/>
      <c r="D43" s="22">
        <v>0</v>
      </c>
      <c r="E43" s="22">
        <v>1</v>
      </c>
      <c r="F43" s="22">
        <v>0</v>
      </c>
      <c r="G43" s="22">
        <v>0</v>
      </c>
      <c r="H43" s="22">
        <f t="shared" si="4"/>
        <v>1</v>
      </c>
    </row>
    <row r="44" spans="2:8" s="7" customFormat="1" outlineLevel="1">
      <c r="B44" s="21" t="str">
        <f>'Program Budget'!D15</f>
        <v>Technical Lead Component 2</v>
      </c>
      <c r="C44" s="21"/>
      <c r="D44" s="22">
        <v>0</v>
      </c>
      <c r="E44" s="22">
        <v>0</v>
      </c>
      <c r="F44" s="22">
        <v>1</v>
      </c>
      <c r="G44" s="22">
        <v>0</v>
      </c>
      <c r="H44" s="22">
        <f t="shared" si="4"/>
        <v>1</v>
      </c>
    </row>
    <row r="45" spans="2:8" s="7" customFormat="1" outlineLevel="1">
      <c r="B45" s="21" t="str">
        <f>'Program Budget'!D16</f>
        <v>Technical Lead Component 3</v>
      </c>
      <c r="C45" s="21"/>
      <c r="D45" s="22">
        <v>0</v>
      </c>
      <c r="E45" s="22">
        <v>0</v>
      </c>
      <c r="F45" s="22">
        <v>0</v>
      </c>
      <c r="G45" s="22">
        <v>1</v>
      </c>
      <c r="H45" s="22">
        <f t="shared" si="4"/>
        <v>1</v>
      </c>
    </row>
    <row r="46" spans="2:8" s="7" customFormat="1" outlineLevel="1">
      <c r="B46" s="21" t="str">
        <f>'Program Budget'!D17</f>
        <v>Technical Specialist Component 1</v>
      </c>
      <c r="C46" s="21"/>
      <c r="D46" s="22">
        <v>0</v>
      </c>
      <c r="E46" s="22">
        <v>1</v>
      </c>
      <c r="F46" s="22">
        <v>0</v>
      </c>
      <c r="G46" s="22">
        <v>0</v>
      </c>
      <c r="H46" s="22">
        <f t="shared" si="4"/>
        <v>1</v>
      </c>
    </row>
    <row r="47" spans="2:8" s="7" customFormat="1" outlineLevel="1">
      <c r="B47" s="21" t="str">
        <f>'Program Budget'!D18</f>
        <v>Technical Specialist Component 2</v>
      </c>
      <c r="C47" s="21"/>
      <c r="D47" s="22">
        <v>0</v>
      </c>
      <c r="E47" s="22">
        <v>0</v>
      </c>
      <c r="F47" s="22">
        <v>1</v>
      </c>
      <c r="G47" s="22">
        <v>0</v>
      </c>
      <c r="H47" s="22">
        <f t="shared" si="4"/>
        <v>1</v>
      </c>
    </row>
    <row r="48" spans="2:8" s="7" customFormat="1" outlineLevel="1">
      <c r="B48" s="21" t="str">
        <f>'Program Budget'!D19</f>
        <v>Technical Specialist Component 3</v>
      </c>
      <c r="C48" s="21"/>
      <c r="D48" s="22">
        <v>0</v>
      </c>
      <c r="E48" s="22">
        <v>0</v>
      </c>
      <c r="F48" s="22">
        <v>0</v>
      </c>
      <c r="G48" s="22">
        <v>1</v>
      </c>
      <c r="H48" s="22">
        <f t="shared" si="4"/>
        <v>1</v>
      </c>
    </row>
    <row r="49" spans="2:10" s="7" customFormat="1" outlineLevel="1">
      <c r="B49" s="21" t="str">
        <f>'Program Budget'!D20</f>
        <v>Capacity Building Specialist (2)</v>
      </c>
      <c r="C49" s="21"/>
      <c r="D49" s="22">
        <v>0</v>
      </c>
      <c r="E49" s="22">
        <v>0</v>
      </c>
      <c r="F49" s="22">
        <v>0</v>
      </c>
      <c r="G49" s="22">
        <v>1</v>
      </c>
      <c r="H49" s="22">
        <f t="shared" ref="H49" si="5">SUM(D49:G49)</f>
        <v>1</v>
      </c>
    </row>
    <row r="50" spans="2:10" s="7" customFormat="1" outlineLevel="1">
      <c r="B50" s="21" t="str">
        <f>'Program Budget'!D21</f>
        <v>Sociocultural and Gender Specialist</v>
      </c>
      <c r="C50" s="21"/>
      <c r="D50" s="22">
        <v>0</v>
      </c>
      <c r="E50" s="22">
        <v>0.35</v>
      </c>
      <c r="F50" s="22">
        <v>0.35</v>
      </c>
      <c r="G50" s="22">
        <v>0.3</v>
      </c>
      <c r="H50" s="22">
        <f t="shared" si="4"/>
        <v>1</v>
      </c>
      <c r="J50" s="339"/>
    </row>
    <row r="51" spans="2:10" s="7" customFormat="1" outlineLevel="1">
      <c r="B51" s="21" t="str">
        <f>'Program Budget'!D22</f>
        <v>Sociocultural and Gender Officers (3)</v>
      </c>
      <c r="C51" s="21"/>
      <c r="D51" s="22">
        <v>0</v>
      </c>
      <c r="E51" s="22">
        <v>0.35</v>
      </c>
      <c r="F51" s="22">
        <v>0.35</v>
      </c>
      <c r="G51" s="22">
        <v>0.3</v>
      </c>
      <c r="H51" s="22">
        <f t="shared" si="4"/>
        <v>1</v>
      </c>
      <c r="J51" s="339"/>
    </row>
    <row r="52" spans="2:10" s="7" customFormat="1" outlineLevel="1">
      <c r="B52" s="21" t="str">
        <f>'Program Budget'!D23</f>
        <v>Communications Specialists</v>
      </c>
      <c r="C52" s="21"/>
      <c r="D52" s="22">
        <v>0.1</v>
      </c>
      <c r="E52" s="22">
        <v>0.3</v>
      </c>
      <c r="F52" s="22">
        <v>0.3</v>
      </c>
      <c r="G52" s="22">
        <v>0.3</v>
      </c>
      <c r="H52" s="22">
        <f t="shared" si="4"/>
        <v>1</v>
      </c>
      <c r="J52" s="339"/>
    </row>
    <row r="53" spans="2:10" s="7" customFormat="1" outlineLevel="1">
      <c r="B53" s="21" t="str">
        <f>'Program Budget'!D24</f>
        <v xml:space="preserve">M&amp;E Director </v>
      </c>
      <c r="C53" s="21"/>
      <c r="D53" s="22">
        <v>0.1</v>
      </c>
      <c r="E53" s="22">
        <v>0.3</v>
      </c>
      <c r="F53" s="22">
        <v>0.3</v>
      </c>
      <c r="G53" s="22">
        <v>0.3</v>
      </c>
      <c r="H53" s="22">
        <f t="shared" si="4"/>
        <v>1</v>
      </c>
      <c r="J53" s="339"/>
    </row>
    <row r="54" spans="2:10" s="7" customFormat="1" outlineLevel="1">
      <c r="B54" s="21" t="str">
        <f>'Program Budget'!D25</f>
        <v>M&amp;E Specialist</v>
      </c>
      <c r="C54" s="21"/>
      <c r="D54" s="22">
        <v>0.1</v>
      </c>
      <c r="E54" s="22">
        <v>0.3</v>
      </c>
      <c r="F54" s="22">
        <v>0.3</v>
      </c>
      <c r="G54" s="22">
        <v>0.3</v>
      </c>
      <c r="H54" s="22">
        <f t="shared" si="4"/>
        <v>1</v>
      </c>
      <c r="J54" s="339"/>
    </row>
    <row r="55" spans="2:10" s="7" customFormat="1" outlineLevel="1">
      <c r="B55" s="21" t="str">
        <f>'Program Budget'!D26</f>
        <v xml:space="preserve">Key Personnel: Finance Director </v>
      </c>
      <c r="C55" s="21"/>
      <c r="D55" s="22">
        <v>0.25</v>
      </c>
      <c r="E55" s="22">
        <v>0.25</v>
      </c>
      <c r="F55" s="22">
        <v>0.25</v>
      </c>
      <c r="G55" s="22">
        <v>0.25</v>
      </c>
      <c r="H55" s="22">
        <f t="shared" si="4"/>
        <v>1</v>
      </c>
      <c r="J55" s="339"/>
    </row>
    <row r="56" spans="2:10" s="7" customFormat="1" outlineLevel="1">
      <c r="B56" s="21" t="str">
        <f>'Program Budget'!D27</f>
        <v>Contracts &amp; Compliance Specialist</v>
      </c>
      <c r="C56" s="21"/>
      <c r="D56" s="22">
        <v>0.25</v>
      </c>
      <c r="E56" s="22">
        <v>0.25</v>
      </c>
      <c r="F56" s="22">
        <v>0.25</v>
      </c>
      <c r="G56" s="22">
        <v>0.25</v>
      </c>
      <c r="H56" s="22">
        <f t="shared" si="4"/>
        <v>1</v>
      </c>
      <c r="J56" s="339"/>
    </row>
    <row r="57" spans="2:10" s="7" customFormat="1" outlineLevel="1">
      <c r="B57" s="21" t="str">
        <f>'Program Budget'!D28</f>
        <v>Grants &amp; Procurement Officer (2)</v>
      </c>
      <c r="C57" s="21"/>
      <c r="D57" s="22">
        <v>0.25</v>
      </c>
      <c r="E57" s="22">
        <v>0.25</v>
      </c>
      <c r="F57" s="22">
        <v>0.25</v>
      </c>
      <c r="G57" s="22">
        <v>0.25</v>
      </c>
      <c r="H57" s="22">
        <f t="shared" si="4"/>
        <v>1</v>
      </c>
      <c r="J57" s="339"/>
    </row>
    <row r="58" spans="2:10" s="7" customFormat="1" outlineLevel="1">
      <c r="B58" s="21" t="str">
        <f>'Program Budget'!D29</f>
        <v xml:space="preserve">Accountant </v>
      </c>
      <c r="C58" s="21"/>
      <c r="D58" s="22">
        <v>0.25</v>
      </c>
      <c r="E58" s="22">
        <v>0.25</v>
      </c>
      <c r="F58" s="22">
        <v>0.25</v>
      </c>
      <c r="G58" s="22">
        <v>0.25</v>
      </c>
      <c r="H58" s="22">
        <f t="shared" si="4"/>
        <v>1</v>
      </c>
      <c r="J58" s="339"/>
    </row>
    <row r="59" spans="2:10" s="7" customFormat="1" outlineLevel="1">
      <c r="B59" s="21" t="str">
        <f>'Program Budget'!D30</f>
        <v>Administrative Officer</v>
      </c>
      <c r="C59" s="21"/>
      <c r="D59" s="22">
        <v>0.25</v>
      </c>
      <c r="E59" s="22">
        <v>0.25</v>
      </c>
      <c r="F59" s="22">
        <v>0.25</v>
      </c>
      <c r="G59" s="22">
        <v>0.25</v>
      </c>
      <c r="H59" s="22">
        <f t="shared" si="4"/>
        <v>1</v>
      </c>
    </row>
    <row r="60" spans="2:10" s="7" customFormat="1" outlineLevel="1">
      <c r="B60" s="21" t="str">
        <f>'Program Budget'!D31</f>
        <v>Human Resources Manager</v>
      </c>
      <c r="C60" s="21"/>
      <c r="D60" s="22">
        <v>0.25</v>
      </c>
      <c r="E60" s="22">
        <v>0.25</v>
      </c>
      <c r="F60" s="22">
        <v>0.25</v>
      </c>
      <c r="G60" s="22">
        <v>0.25</v>
      </c>
      <c r="H60" s="22">
        <f t="shared" si="4"/>
        <v>1</v>
      </c>
    </row>
    <row r="61" spans="2:10" s="7" customFormat="1" outlineLevel="1">
      <c r="B61" s="21" t="str">
        <f>'Program Budget'!D32</f>
        <v>Driver (3 Individuals)</v>
      </c>
      <c r="C61" s="21"/>
      <c r="D61" s="22">
        <v>0.25</v>
      </c>
      <c r="E61" s="22">
        <v>0.25</v>
      </c>
      <c r="F61" s="22">
        <v>0.25</v>
      </c>
      <c r="G61" s="22">
        <v>0.25</v>
      </c>
      <c r="H61" s="22">
        <f t="shared" si="4"/>
        <v>1</v>
      </c>
    </row>
    <row r="62" spans="2:10" s="7" customFormat="1" outlineLevel="1">
      <c r="B62" s="19" t="s">
        <v>609</v>
      </c>
      <c r="C62" s="19"/>
      <c r="D62" s="25"/>
      <c r="E62" s="25"/>
      <c r="F62" s="25"/>
      <c r="G62" s="25"/>
      <c r="H62" s="25"/>
    </row>
    <row r="63" spans="2:10" s="7" customFormat="1" outlineLevel="1">
      <c r="B63" s="21" t="str">
        <f>'Program Budget'!D34</f>
        <v xml:space="preserve">Senior Program Director </v>
      </c>
      <c r="C63" s="21"/>
      <c r="D63" s="22">
        <v>0.2</v>
      </c>
      <c r="E63" s="22"/>
      <c r="F63" s="22"/>
      <c r="G63" s="22"/>
      <c r="H63" s="22">
        <f>SUM(D63:G63)</f>
        <v>0.2</v>
      </c>
    </row>
    <row r="64" spans="2:10" s="7" customFormat="1" outlineLevel="1">
      <c r="B64" s="21" t="str">
        <f>'Program Budget'!D35</f>
        <v>Associate Director</v>
      </c>
      <c r="C64" s="21"/>
      <c r="D64" s="22">
        <v>1</v>
      </c>
      <c r="E64" s="22"/>
      <c r="F64" s="22"/>
      <c r="G64" s="22"/>
      <c r="H64" s="22">
        <f>SUM(D64:G64)</f>
        <v>1</v>
      </c>
    </row>
    <row r="65" spans="2:8" s="7" customFormat="1" outlineLevel="1">
      <c r="B65" s="26" t="s">
        <v>214</v>
      </c>
      <c r="C65" s="26"/>
      <c r="D65" s="27"/>
      <c r="E65" s="27"/>
      <c r="F65" s="27"/>
      <c r="G65" s="27"/>
      <c r="H65" s="27"/>
    </row>
    <row r="66" spans="2:8">
      <c r="D66" s="10"/>
      <c r="E66" s="6"/>
      <c r="G66" s="6"/>
      <c r="H66" s="10"/>
    </row>
    <row r="67" spans="2:8" ht="49.2">
      <c r="B67" s="4"/>
      <c r="C67" s="4"/>
      <c r="D67" s="11" t="s">
        <v>610</v>
      </c>
      <c r="E67" s="11" t="str">
        <f>'USDA Budget Summary'!$A$28</f>
        <v xml:space="preserve">Activity 1: Increase Use of Climate Smart Agriculture and Water Management  </v>
      </c>
      <c r="F67" s="11" t="str">
        <f>'USDA Budget Summary'!$A$29</f>
        <v>Activity 2: Increase Productivity of the Oasis Agricultural System</v>
      </c>
      <c r="G67" s="11" t="str">
        <f>'USDA Budget Summary'!$A$30</f>
        <v xml:space="preserve">Activity 3: Increase Use of Sustainable Oasis Agricultural System Business Models </v>
      </c>
      <c r="H67" s="11" t="s">
        <v>611</v>
      </c>
    </row>
    <row r="68" spans="2:8" s="16" customFormat="1" ht="12.3">
      <c r="B68" s="13" t="s">
        <v>66</v>
      </c>
      <c r="C68" s="13"/>
      <c r="D68" s="14" t="s">
        <v>605</v>
      </c>
      <c r="E68" s="14" t="s">
        <v>605</v>
      </c>
      <c r="F68" s="14" t="s">
        <v>606</v>
      </c>
      <c r="G68" s="14" t="s">
        <v>606</v>
      </c>
      <c r="H68" s="14" t="s">
        <v>606</v>
      </c>
    </row>
    <row r="69" spans="2:8" s="7" customFormat="1">
      <c r="B69" s="17" t="s">
        <v>607</v>
      </c>
      <c r="C69" s="17"/>
      <c r="D69" s="17"/>
      <c r="E69" s="17"/>
      <c r="F69" s="17"/>
      <c r="G69" s="17"/>
      <c r="H69" s="17"/>
    </row>
    <row r="70" spans="2:8" s="7" customFormat="1" outlineLevel="1">
      <c r="B70" s="19" t="s">
        <v>612</v>
      </c>
      <c r="C70" s="19"/>
      <c r="D70" s="19"/>
      <c r="E70" s="19"/>
      <c r="F70" s="19"/>
      <c r="G70" s="19"/>
      <c r="H70" s="19"/>
    </row>
    <row r="71" spans="2:8" s="7" customFormat="1" outlineLevel="1">
      <c r="B71" s="21" t="str">
        <f>'Program Budget'!D12</f>
        <v>Key Personnel: Chief of Party - Ms. Rym Ayari</v>
      </c>
      <c r="C71" s="21"/>
      <c r="D71" s="22">
        <v>0.1</v>
      </c>
      <c r="E71" s="22">
        <v>0.3</v>
      </c>
      <c r="F71" s="22">
        <v>0.3</v>
      </c>
      <c r="G71" s="22">
        <v>0.3</v>
      </c>
      <c r="H71" s="22">
        <f t="shared" ref="H71" si="6">SUM(D71:G71)</f>
        <v>1</v>
      </c>
    </row>
    <row r="72" spans="2:8" s="7" customFormat="1" outlineLevel="1">
      <c r="B72" s="21" t="str">
        <f>'Program Budget'!D13</f>
        <v>Key Personnel: Technical Director</v>
      </c>
      <c r="C72" s="21"/>
      <c r="D72" s="22">
        <v>0</v>
      </c>
      <c r="E72" s="22">
        <v>0.35</v>
      </c>
      <c r="F72" s="22">
        <v>0.32</v>
      </c>
      <c r="G72" s="22">
        <v>0.33</v>
      </c>
      <c r="H72" s="22">
        <f t="shared" ref="H72:H91" si="7">SUM(D72:G72)</f>
        <v>1</v>
      </c>
    </row>
    <row r="73" spans="2:8" s="7" customFormat="1" outlineLevel="1">
      <c r="B73" s="21" t="str">
        <f>'Program Budget'!D14</f>
        <v>Technical Lead Component 1</v>
      </c>
      <c r="C73" s="21"/>
      <c r="D73" s="22">
        <v>0</v>
      </c>
      <c r="E73" s="22">
        <v>1</v>
      </c>
      <c r="F73" s="22">
        <v>0</v>
      </c>
      <c r="G73" s="22">
        <v>0</v>
      </c>
      <c r="H73" s="22">
        <f t="shared" si="7"/>
        <v>1</v>
      </c>
    </row>
    <row r="74" spans="2:8" s="7" customFormat="1" outlineLevel="1">
      <c r="B74" s="21" t="str">
        <f>'Program Budget'!D15</f>
        <v>Technical Lead Component 2</v>
      </c>
      <c r="C74" s="21"/>
      <c r="D74" s="22">
        <v>0</v>
      </c>
      <c r="E74" s="22">
        <v>0</v>
      </c>
      <c r="F74" s="22">
        <v>1</v>
      </c>
      <c r="G74" s="22">
        <v>0</v>
      </c>
      <c r="H74" s="22">
        <f t="shared" si="7"/>
        <v>1</v>
      </c>
    </row>
    <row r="75" spans="2:8" s="7" customFormat="1" outlineLevel="1">
      <c r="B75" s="21" t="str">
        <f>'Program Budget'!D16</f>
        <v>Technical Lead Component 3</v>
      </c>
      <c r="C75" s="21"/>
      <c r="D75" s="22">
        <v>0</v>
      </c>
      <c r="E75" s="22">
        <v>0</v>
      </c>
      <c r="F75" s="22">
        <v>0</v>
      </c>
      <c r="G75" s="22">
        <v>1</v>
      </c>
      <c r="H75" s="22">
        <f t="shared" si="7"/>
        <v>1</v>
      </c>
    </row>
    <row r="76" spans="2:8" s="7" customFormat="1" outlineLevel="1">
      <c r="B76" s="21" t="str">
        <f>'Program Budget'!D17</f>
        <v>Technical Specialist Component 1</v>
      </c>
      <c r="C76" s="21"/>
      <c r="D76" s="22">
        <v>0</v>
      </c>
      <c r="E76" s="22">
        <v>1</v>
      </c>
      <c r="F76" s="22">
        <v>0</v>
      </c>
      <c r="G76" s="22">
        <v>0</v>
      </c>
      <c r="H76" s="22">
        <f t="shared" si="7"/>
        <v>1</v>
      </c>
    </row>
    <row r="77" spans="2:8" s="7" customFormat="1" outlineLevel="1">
      <c r="B77" s="21" t="str">
        <f>'Program Budget'!D18</f>
        <v>Technical Specialist Component 2</v>
      </c>
      <c r="C77" s="21"/>
      <c r="D77" s="22">
        <v>0</v>
      </c>
      <c r="E77" s="22">
        <v>0</v>
      </c>
      <c r="F77" s="22">
        <v>1</v>
      </c>
      <c r="G77" s="22">
        <v>0</v>
      </c>
      <c r="H77" s="22">
        <f t="shared" si="7"/>
        <v>1</v>
      </c>
    </row>
    <row r="78" spans="2:8" s="7" customFormat="1" outlineLevel="1">
      <c r="B78" s="21" t="str">
        <f>'Program Budget'!D19</f>
        <v>Technical Specialist Component 3</v>
      </c>
      <c r="C78" s="21"/>
      <c r="D78" s="22">
        <v>0</v>
      </c>
      <c r="E78" s="22">
        <v>0</v>
      </c>
      <c r="F78" s="22">
        <v>0</v>
      </c>
      <c r="G78" s="22">
        <v>1</v>
      </c>
      <c r="H78" s="22">
        <f t="shared" si="7"/>
        <v>1</v>
      </c>
    </row>
    <row r="79" spans="2:8" s="7" customFormat="1" outlineLevel="1">
      <c r="B79" s="21" t="str">
        <f>'Program Budget'!D20</f>
        <v>Capacity Building Specialist (2)</v>
      </c>
      <c r="C79" s="21"/>
      <c r="D79" s="22">
        <v>0</v>
      </c>
      <c r="E79" s="22">
        <v>0</v>
      </c>
      <c r="F79" s="22">
        <v>0</v>
      </c>
      <c r="G79" s="22">
        <v>1</v>
      </c>
      <c r="H79" s="22">
        <f t="shared" ref="H79" si="8">SUM(D79:G79)</f>
        <v>1</v>
      </c>
    </row>
    <row r="80" spans="2:8" s="7" customFormat="1" outlineLevel="1">
      <c r="B80" s="21" t="str">
        <f>'Program Budget'!D21</f>
        <v>Sociocultural and Gender Specialist</v>
      </c>
      <c r="C80" s="21"/>
      <c r="D80" s="22">
        <v>0</v>
      </c>
      <c r="E80" s="22">
        <v>0.3</v>
      </c>
      <c r="F80" s="22">
        <v>0.35</v>
      </c>
      <c r="G80" s="22">
        <v>0.35</v>
      </c>
      <c r="H80" s="22">
        <f t="shared" si="7"/>
        <v>0.99999999999999989</v>
      </c>
    </row>
    <row r="81" spans="2:8" s="7" customFormat="1" outlineLevel="1">
      <c r="B81" s="21" t="str">
        <f>'Program Budget'!D22</f>
        <v>Sociocultural and Gender Officers (3)</v>
      </c>
      <c r="C81" s="21"/>
      <c r="D81" s="22">
        <v>0</v>
      </c>
      <c r="E81" s="22">
        <v>0.3</v>
      </c>
      <c r="F81" s="22">
        <v>0.35</v>
      </c>
      <c r="G81" s="22">
        <v>0.35</v>
      </c>
      <c r="H81" s="22">
        <f t="shared" si="7"/>
        <v>0.99999999999999989</v>
      </c>
    </row>
    <row r="82" spans="2:8" s="7" customFormat="1" outlineLevel="1">
      <c r="B82" s="21" t="str">
        <f>'Program Budget'!D23</f>
        <v>Communications Specialists</v>
      </c>
      <c r="C82" s="21"/>
      <c r="D82" s="22">
        <v>0.1</v>
      </c>
      <c r="E82" s="22">
        <v>0.3</v>
      </c>
      <c r="F82" s="22">
        <v>0.3</v>
      </c>
      <c r="G82" s="22">
        <v>0.3</v>
      </c>
      <c r="H82" s="22">
        <f t="shared" si="7"/>
        <v>1</v>
      </c>
    </row>
    <row r="83" spans="2:8" s="7" customFormat="1" outlineLevel="1">
      <c r="B83" s="21" t="str">
        <f>'Program Budget'!D24</f>
        <v xml:space="preserve">M&amp;E Director </v>
      </c>
      <c r="C83" s="21"/>
      <c r="D83" s="22">
        <v>0.1</v>
      </c>
      <c r="E83" s="22">
        <v>0.3</v>
      </c>
      <c r="F83" s="22">
        <v>0.3</v>
      </c>
      <c r="G83" s="22">
        <v>0.3</v>
      </c>
      <c r="H83" s="22">
        <f t="shared" si="7"/>
        <v>1</v>
      </c>
    </row>
    <row r="84" spans="2:8" s="7" customFormat="1" outlineLevel="1">
      <c r="B84" s="21" t="str">
        <f>'Program Budget'!D25</f>
        <v>M&amp;E Specialist</v>
      </c>
      <c r="C84" s="21"/>
      <c r="D84" s="22">
        <v>0.1</v>
      </c>
      <c r="E84" s="22">
        <v>0.3</v>
      </c>
      <c r="F84" s="22">
        <v>0.3</v>
      </c>
      <c r="G84" s="22">
        <v>0.3</v>
      </c>
      <c r="H84" s="22">
        <f t="shared" si="7"/>
        <v>1</v>
      </c>
    </row>
    <row r="85" spans="2:8" s="7" customFormat="1" outlineLevel="1">
      <c r="B85" s="21" t="str">
        <f>'Program Budget'!D26</f>
        <v xml:space="preserve">Key Personnel: Finance Director </v>
      </c>
      <c r="C85" s="21"/>
      <c r="D85" s="22">
        <v>0.25</v>
      </c>
      <c r="E85" s="22">
        <v>0.25</v>
      </c>
      <c r="F85" s="22">
        <v>0.25</v>
      </c>
      <c r="G85" s="22">
        <v>0.25</v>
      </c>
      <c r="H85" s="22">
        <f t="shared" si="7"/>
        <v>1</v>
      </c>
    </row>
    <row r="86" spans="2:8" s="7" customFormat="1" outlineLevel="1">
      <c r="B86" s="21" t="str">
        <f>'Program Budget'!D27</f>
        <v>Contracts &amp; Compliance Specialist</v>
      </c>
      <c r="C86" s="21"/>
      <c r="D86" s="22">
        <v>0.25</v>
      </c>
      <c r="E86" s="22">
        <v>0.25</v>
      </c>
      <c r="F86" s="22">
        <v>0.25</v>
      </c>
      <c r="G86" s="22">
        <v>0.25</v>
      </c>
      <c r="H86" s="22">
        <f t="shared" si="7"/>
        <v>1</v>
      </c>
    </row>
    <row r="87" spans="2:8" s="7" customFormat="1" outlineLevel="1">
      <c r="B87" s="21" t="str">
        <f>'Program Budget'!D28</f>
        <v>Grants &amp; Procurement Officer (2)</v>
      </c>
      <c r="C87" s="21"/>
      <c r="D87" s="22">
        <v>0.25</v>
      </c>
      <c r="E87" s="22">
        <v>0.25</v>
      </c>
      <c r="F87" s="22">
        <v>0.25</v>
      </c>
      <c r="G87" s="22">
        <v>0.25</v>
      </c>
      <c r="H87" s="22">
        <f t="shared" si="7"/>
        <v>1</v>
      </c>
    </row>
    <row r="88" spans="2:8" s="7" customFormat="1" outlineLevel="1">
      <c r="B88" s="21" t="str">
        <f>'Program Budget'!D29</f>
        <v xml:space="preserve">Accountant </v>
      </c>
      <c r="C88" s="21"/>
      <c r="D88" s="22">
        <v>0.25</v>
      </c>
      <c r="E88" s="22">
        <v>0.25</v>
      </c>
      <c r="F88" s="22">
        <v>0.25</v>
      </c>
      <c r="G88" s="22">
        <v>0.25</v>
      </c>
      <c r="H88" s="22">
        <f t="shared" si="7"/>
        <v>1</v>
      </c>
    </row>
    <row r="89" spans="2:8" s="7" customFormat="1" outlineLevel="1">
      <c r="B89" s="21" t="str">
        <f>'Program Budget'!D30</f>
        <v>Administrative Officer</v>
      </c>
      <c r="C89" s="21"/>
      <c r="D89" s="22">
        <v>0.25</v>
      </c>
      <c r="E89" s="22">
        <v>0.25</v>
      </c>
      <c r="F89" s="22">
        <v>0.25</v>
      </c>
      <c r="G89" s="22">
        <v>0.25</v>
      </c>
      <c r="H89" s="22">
        <f t="shared" si="7"/>
        <v>1</v>
      </c>
    </row>
    <row r="90" spans="2:8" s="7" customFormat="1" outlineLevel="1">
      <c r="B90" s="21" t="str">
        <f>'Program Budget'!D31</f>
        <v>Human Resources Manager</v>
      </c>
      <c r="C90" s="21"/>
      <c r="D90" s="22">
        <v>0.25</v>
      </c>
      <c r="E90" s="22">
        <v>0.25</v>
      </c>
      <c r="F90" s="22">
        <v>0.25</v>
      </c>
      <c r="G90" s="22">
        <v>0.25</v>
      </c>
      <c r="H90" s="22">
        <f t="shared" si="7"/>
        <v>1</v>
      </c>
    </row>
    <row r="91" spans="2:8" s="7" customFormat="1" outlineLevel="1">
      <c r="B91" s="21" t="str">
        <f>'Program Budget'!D32</f>
        <v>Driver (3 Individuals)</v>
      </c>
      <c r="C91" s="21"/>
      <c r="D91" s="22">
        <v>0.25</v>
      </c>
      <c r="E91" s="22">
        <v>0.25</v>
      </c>
      <c r="F91" s="22">
        <v>0.25</v>
      </c>
      <c r="G91" s="22">
        <v>0.25</v>
      </c>
      <c r="H91" s="22">
        <f t="shared" si="7"/>
        <v>1</v>
      </c>
    </row>
    <row r="92" spans="2:8" s="7" customFormat="1" outlineLevel="1">
      <c r="B92" s="19" t="s">
        <v>609</v>
      </c>
      <c r="C92" s="19"/>
      <c r="D92" s="25"/>
      <c r="E92" s="25"/>
      <c r="F92" s="25"/>
      <c r="G92" s="25"/>
      <c r="H92" s="25"/>
    </row>
    <row r="93" spans="2:8" s="7" customFormat="1" outlineLevel="1">
      <c r="B93" s="21" t="str">
        <f>'Program Budget'!D34</f>
        <v xml:space="preserve">Senior Program Director </v>
      </c>
      <c r="C93" s="21"/>
      <c r="D93" s="22">
        <v>0.2</v>
      </c>
      <c r="E93" s="22"/>
      <c r="F93" s="22"/>
      <c r="G93" s="22"/>
      <c r="H93" s="22">
        <f>SUM(D93:G93)</f>
        <v>0.2</v>
      </c>
    </row>
    <row r="94" spans="2:8" s="7" customFormat="1" outlineLevel="1">
      <c r="B94" s="21" t="str">
        <f>'Program Budget'!D35</f>
        <v>Associate Director</v>
      </c>
      <c r="C94" s="21"/>
      <c r="D94" s="22">
        <v>1</v>
      </c>
      <c r="E94" s="22"/>
      <c r="F94" s="22"/>
      <c r="G94" s="22"/>
      <c r="H94" s="22">
        <f>SUM(D94:G94)</f>
        <v>1</v>
      </c>
    </row>
    <row r="95" spans="2:8" s="7" customFormat="1" outlineLevel="1">
      <c r="B95" s="26" t="s">
        <v>214</v>
      </c>
      <c r="C95" s="26"/>
      <c r="D95" s="27"/>
      <c r="E95" s="27"/>
      <c r="F95" s="27"/>
      <c r="G95" s="27"/>
      <c r="H95" s="27"/>
    </row>
    <row r="96" spans="2:8">
      <c r="D96" s="10"/>
      <c r="E96" s="6"/>
      <c r="G96" s="6"/>
      <c r="H96" s="10"/>
    </row>
    <row r="97" spans="2:8" ht="49.2">
      <c r="B97" s="4"/>
      <c r="C97" s="4"/>
      <c r="D97" s="11" t="s">
        <v>610</v>
      </c>
      <c r="E97" s="11" t="str">
        <f>'USDA Budget Summary'!$A$28</f>
        <v xml:space="preserve">Activity 1: Increase Use of Climate Smart Agriculture and Water Management  </v>
      </c>
      <c r="F97" s="11" t="str">
        <f>'USDA Budget Summary'!$A$29</f>
        <v>Activity 2: Increase Productivity of the Oasis Agricultural System</v>
      </c>
      <c r="G97" s="11" t="str">
        <f>'USDA Budget Summary'!$A$30</f>
        <v xml:space="preserve">Activity 3: Increase Use of Sustainable Oasis Agricultural System Business Models </v>
      </c>
      <c r="H97" s="11" t="s">
        <v>611</v>
      </c>
    </row>
    <row r="98" spans="2:8" s="16" customFormat="1" ht="12.3">
      <c r="B98" s="13" t="s">
        <v>67</v>
      </c>
      <c r="C98" s="13"/>
      <c r="D98" s="14" t="s">
        <v>605</v>
      </c>
      <c r="E98" s="14" t="s">
        <v>605</v>
      </c>
      <c r="F98" s="14" t="s">
        <v>606</v>
      </c>
      <c r="G98" s="14" t="s">
        <v>606</v>
      </c>
      <c r="H98" s="14" t="s">
        <v>606</v>
      </c>
    </row>
    <row r="99" spans="2:8" s="7" customFormat="1">
      <c r="B99" s="17" t="s">
        <v>607</v>
      </c>
      <c r="C99" s="17"/>
      <c r="D99" s="17"/>
      <c r="E99" s="17"/>
      <c r="F99" s="17"/>
      <c r="G99" s="17"/>
      <c r="H99" s="17"/>
    </row>
    <row r="100" spans="2:8" s="7" customFormat="1" outlineLevel="1">
      <c r="B100" s="19" t="s">
        <v>612</v>
      </c>
      <c r="C100" s="19"/>
      <c r="D100" s="19"/>
      <c r="E100" s="19"/>
      <c r="F100" s="19"/>
      <c r="G100" s="19"/>
      <c r="H100" s="19"/>
    </row>
    <row r="101" spans="2:8" s="7" customFormat="1" outlineLevel="1">
      <c r="B101" s="21" t="str">
        <f>'Program Budget'!D12</f>
        <v>Key Personnel: Chief of Party - Ms. Rym Ayari</v>
      </c>
      <c r="C101" s="21"/>
      <c r="D101" s="22">
        <v>0.1</v>
      </c>
      <c r="E101" s="22">
        <v>0.3</v>
      </c>
      <c r="F101" s="22">
        <v>0.3</v>
      </c>
      <c r="G101" s="22">
        <v>0.3</v>
      </c>
      <c r="H101" s="22">
        <f t="shared" ref="H101" si="9">SUM(D101:G101)</f>
        <v>1</v>
      </c>
    </row>
    <row r="102" spans="2:8" s="7" customFormat="1" outlineLevel="1">
      <c r="B102" s="21" t="str">
        <f>'Program Budget'!D13</f>
        <v>Key Personnel: Technical Director</v>
      </c>
      <c r="C102" s="21"/>
      <c r="D102" s="22">
        <v>0</v>
      </c>
      <c r="E102" s="22">
        <v>0.35</v>
      </c>
      <c r="F102" s="22">
        <v>0.32</v>
      </c>
      <c r="G102" s="22">
        <v>0.33</v>
      </c>
      <c r="H102" s="22">
        <f t="shared" ref="H102:H121" si="10">SUM(D102:G102)</f>
        <v>1</v>
      </c>
    </row>
    <row r="103" spans="2:8" s="7" customFormat="1" outlineLevel="1">
      <c r="B103" s="21" t="str">
        <f>'Program Budget'!D14</f>
        <v>Technical Lead Component 1</v>
      </c>
      <c r="C103" s="21"/>
      <c r="D103" s="22">
        <v>0</v>
      </c>
      <c r="E103" s="22">
        <v>1</v>
      </c>
      <c r="F103" s="22">
        <v>0</v>
      </c>
      <c r="G103" s="22">
        <v>0</v>
      </c>
      <c r="H103" s="22">
        <f t="shared" si="10"/>
        <v>1</v>
      </c>
    </row>
    <row r="104" spans="2:8" s="7" customFormat="1" outlineLevel="1">
      <c r="B104" s="21" t="str">
        <f>'Program Budget'!D15</f>
        <v>Technical Lead Component 2</v>
      </c>
      <c r="C104" s="21"/>
      <c r="D104" s="22">
        <v>0</v>
      </c>
      <c r="E104" s="22">
        <v>0</v>
      </c>
      <c r="F104" s="22">
        <v>1</v>
      </c>
      <c r="G104" s="22">
        <v>0</v>
      </c>
      <c r="H104" s="22">
        <f t="shared" si="10"/>
        <v>1</v>
      </c>
    </row>
    <row r="105" spans="2:8" s="7" customFormat="1" outlineLevel="1">
      <c r="B105" s="21" t="str">
        <f>'Program Budget'!D16</f>
        <v>Technical Lead Component 3</v>
      </c>
      <c r="C105" s="21"/>
      <c r="D105" s="22">
        <v>0</v>
      </c>
      <c r="E105" s="22">
        <v>0</v>
      </c>
      <c r="F105" s="22">
        <v>0</v>
      </c>
      <c r="G105" s="22">
        <v>1</v>
      </c>
      <c r="H105" s="22">
        <f t="shared" si="10"/>
        <v>1</v>
      </c>
    </row>
    <row r="106" spans="2:8" s="7" customFormat="1" outlineLevel="1">
      <c r="B106" s="21" t="str">
        <f>'Program Budget'!D17</f>
        <v>Technical Specialist Component 1</v>
      </c>
      <c r="C106" s="21"/>
      <c r="D106" s="22">
        <v>0</v>
      </c>
      <c r="E106" s="22">
        <v>1</v>
      </c>
      <c r="F106" s="22">
        <v>0</v>
      </c>
      <c r="G106" s="22">
        <v>0</v>
      </c>
      <c r="H106" s="22">
        <f t="shared" si="10"/>
        <v>1</v>
      </c>
    </row>
    <row r="107" spans="2:8" s="7" customFormat="1" outlineLevel="1">
      <c r="B107" s="21" t="str">
        <f>'Program Budget'!D18</f>
        <v>Technical Specialist Component 2</v>
      </c>
      <c r="C107" s="21"/>
      <c r="D107" s="22">
        <v>0</v>
      </c>
      <c r="E107" s="22">
        <v>0</v>
      </c>
      <c r="F107" s="22">
        <v>1</v>
      </c>
      <c r="G107" s="22">
        <v>0</v>
      </c>
      <c r="H107" s="22">
        <f t="shared" si="10"/>
        <v>1</v>
      </c>
    </row>
    <row r="108" spans="2:8" s="7" customFormat="1" outlineLevel="1">
      <c r="B108" s="21" t="str">
        <f>'Program Budget'!D19</f>
        <v>Technical Specialist Component 3</v>
      </c>
      <c r="C108" s="21"/>
      <c r="D108" s="22">
        <v>0</v>
      </c>
      <c r="E108" s="22">
        <v>0</v>
      </c>
      <c r="F108" s="22">
        <v>0</v>
      </c>
      <c r="G108" s="22">
        <v>1</v>
      </c>
      <c r="H108" s="22">
        <f t="shared" si="10"/>
        <v>1</v>
      </c>
    </row>
    <row r="109" spans="2:8" s="7" customFormat="1" outlineLevel="1">
      <c r="B109" s="21" t="str">
        <f>'Program Budget'!D20</f>
        <v>Capacity Building Specialist (2)</v>
      </c>
      <c r="C109" s="21"/>
      <c r="D109" s="22">
        <v>0</v>
      </c>
      <c r="E109" s="22">
        <v>0</v>
      </c>
      <c r="F109" s="22">
        <v>0</v>
      </c>
      <c r="G109" s="22">
        <v>1</v>
      </c>
      <c r="H109" s="22">
        <f t="shared" ref="H109" si="11">SUM(D109:G109)</f>
        <v>1</v>
      </c>
    </row>
    <row r="110" spans="2:8" s="7" customFormat="1" outlineLevel="1">
      <c r="B110" s="21" t="str">
        <f>'Program Budget'!D21</f>
        <v>Sociocultural and Gender Specialist</v>
      </c>
      <c r="C110" s="21"/>
      <c r="D110" s="22">
        <v>0</v>
      </c>
      <c r="E110" s="22">
        <v>0.3</v>
      </c>
      <c r="F110" s="22">
        <v>0.35</v>
      </c>
      <c r="G110" s="22">
        <v>0.35</v>
      </c>
      <c r="H110" s="22">
        <f t="shared" si="10"/>
        <v>0.99999999999999989</v>
      </c>
    </row>
    <row r="111" spans="2:8" s="7" customFormat="1" outlineLevel="1">
      <c r="B111" s="21" t="str">
        <f>'Program Budget'!D22</f>
        <v>Sociocultural and Gender Officers (3)</v>
      </c>
      <c r="C111" s="21"/>
      <c r="D111" s="22">
        <v>0</v>
      </c>
      <c r="E111" s="22">
        <v>0.3</v>
      </c>
      <c r="F111" s="22">
        <v>0.35</v>
      </c>
      <c r="G111" s="22">
        <v>0.35</v>
      </c>
      <c r="H111" s="22">
        <f t="shared" si="10"/>
        <v>0.99999999999999989</v>
      </c>
    </row>
    <row r="112" spans="2:8" s="7" customFormat="1" outlineLevel="1">
      <c r="B112" s="21" t="str">
        <f>'Program Budget'!D23</f>
        <v>Communications Specialists</v>
      </c>
      <c r="C112" s="21"/>
      <c r="D112" s="22">
        <v>0.1</v>
      </c>
      <c r="E112" s="22">
        <v>0.3</v>
      </c>
      <c r="F112" s="22">
        <v>0.3</v>
      </c>
      <c r="G112" s="22">
        <v>0.3</v>
      </c>
      <c r="H112" s="22">
        <f t="shared" si="10"/>
        <v>1</v>
      </c>
    </row>
    <row r="113" spans="2:8" s="7" customFormat="1" outlineLevel="1">
      <c r="B113" s="21" t="str">
        <f>'Program Budget'!D24</f>
        <v xml:space="preserve">M&amp;E Director </v>
      </c>
      <c r="C113" s="21"/>
      <c r="D113" s="22">
        <v>0.1</v>
      </c>
      <c r="E113" s="22">
        <v>0.3</v>
      </c>
      <c r="F113" s="22">
        <v>0.3</v>
      </c>
      <c r="G113" s="22">
        <v>0.3</v>
      </c>
      <c r="H113" s="22">
        <f t="shared" si="10"/>
        <v>1</v>
      </c>
    </row>
    <row r="114" spans="2:8" s="7" customFormat="1" outlineLevel="1">
      <c r="B114" s="21" t="str">
        <f>'Program Budget'!D25</f>
        <v>M&amp;E Specialist</v>
      </c>
      <c r="C114" s="21"/>
      <c r="D114" s="22">
        <v>0.1</v>
      </c>
      <c r="E114" s="22">
        <v>0.3</v>
      </c>
      <c r="F114" s="22">
        <v>0.3</v>
      </c>
      <c r="G114" s="22">
        <v>0.3</v>
      </c>
      <c r="H114" s="22">
        <f t="shared" si="10"/>
        <v>1</v>
      </c>
    </row>
    <row r="115" spans="2:8" s="7" customFormat="1" outlineLevel="1">
      <c r="B115" s="21" t="str">
        <f>'Program Budget'!D26</f>
        <v xml:space="preserve">Key Personnel: Finance Director </v>
      </c>
      <c r="C115" s="21"/>
      <c r="D115" s="22">
        <v>0.25</v>
      </c>
      <c r="E115" s="22">
        <v>0.25</v>
      </c>
      <c r="F115" s="22">
        <v>0.25</v>
      </c>
      <c r="G115" s="22">
        <v>0.25</v>
      </c>
      <c r="H115" s="22">
        <f t="shared" si="10"/>
        <v>1</v>
      </c>
    </row>
    <row r="116" spans="2:8" s="7" customFormat="1" outlineLevel="1">
      <c r="B116" s="21" t="str">
        <f>'Program Budget'!D27</f>
        <v>Contracts &amp; Compliance Specialist</v>
      </c>
      <c r="C116" s="21"/>
      <c r="D116" s="22">
        <v>0.25</v>
      </c>
      <c r="E116" s="22">
        <v>0.25</v>
      </c>
      <c r="F116" s="22">
        <v>0.25</v>
      </c>
      <c r="G116" s="22">
        <v>0.25</v>
      </c>
      <c r="H116" s="22">
        <f t="shared" si="10"/>
        <v>1</v>
      </c>
    </row>
    <row r="117" spans="2:8" s="7" customFormat="1" outlineLevel="1">
      <c r="B117" s="21" t="str">
        <f>'Program Budget'!D28</f>
        <v>Grants &amp; Procurement Officer (2)</v>
      </c>
      <c r="C117" s="21"/>
      <c r="D117" s="22">
        <v>0.25</v>
      </c>
      <c r="E117" s="22">
        <v>0.25</v>
      </c>
      <c r="F117" s="22">
        <v>0.25</v>
      </c>
      <c r="G117" s="22">
        <v>0.25</v>
      </c>
      <c r="H117" s="22">
        <f t="shared" si="10"/>
        <v>1</v>
      </c>
    </row>
    <row r="118" spans="2:8" s="7" customFormat="1" outlineLevel="1">
      <c r="B118" s="21" t="str">
        <f>'Program Budget'!D29</f>
        <v xml:space="preserve">Accountant </v>
      </c>
      <c r="C118" s="21"/>
      <c r="D118" s="22">
        <v>0.25</v>
      </c>
      <c r="E118" s="22">
        <v>0.25</v>
      </c>
      <c r="F118" s="22">
        <v>0.25</v>
      </c>
      <c r="G118" s="22">
        <v>0.25</v>
      </c>
      <c r="H118" s="22">
        <f t="shared" si="10"/>
        <v>1</v>
      </c>
    </row>
    <row r="119" spans="2:8" s="7" customFormat="1" outlineLevel="1">
      <c r="B119" s="21" t="str">
        <f>'Program Budget'!D30</f>
        <v>Administrative Officer</v>
      </c>
      <c r="C119" s="21"/>
      <c r="D119" s="22">
        <v>0.25</v>
      </c>
      <c r="E119" s="22">
        <v>0.25</v>
      </c>
      <c r="F119" s="22">
        <v>0.25</v>
      </c>
      <c r="G119" s="22">
        <v>0.25</v>
      </c>
      <c r="H119" s="22">
        <f t="shared" si="10"/>
        <v>1</v>
      </c>
    </row>
    <row r="120" spans="2:8" s="7" customFormat="1" outlineLevel="1">
      <c r="B120" s="21" t="str">
        <f>'Program Budget'!D31</f>
        <v>Human Resources Manager</v>
      </c>
      <c r="C120" s="21"/>
      <c r="D120" s="22">
        <v>0.25</v>
      </c>
      <c r="E120" s="22">
        <v>0.25</v>
      </c>
      <c r="F120" s="22">
        <v>0.25</v>
      </c>
      <c r="G120" s="22">
        <v>0.25</v>
      </c>
      <c r="H120" s="22">
        <f t="shared" si="10"/>
        <v>1</v>
      </c>
    </row>
    <row r="121" spans="2:8" s="7" customFormat="1" outlineLevel="1">
      <c r="B121" s="21" t="str">
        <f>'Program Budget'!D32</f>
        <v>Driver (3 Individuals)</v>
      </c>
      <c r="C121" s="21"/>
      <c r="D121" s="22">
        <v>0.25</v>
      </c>
      <c r="E121" s="22">
        <v>0.25</v>
      </c>
      <c r="F121" s="22">
        <v>0.25</v>
      </c>
      <c r="G121" s="22">
        <v>0.25</v>
      </c>
      <c r="H121" s="22">
        <f t="shared" si="10"/>
        <v>1</v>
      </c>
    </row>
    <row r="122" spans="2:8" s="7" customFormat="1" outlineLevel="1">
      <c r="B122" s="19" t="s">
        <v>609</v>
      </c>
      <c r="C122" s="19"/>
      <c r="D122" s="25"/>
      <c r="E122" s="25"/>
      <c r="F122" s="25"/>
      <c r="G122" s="25"/>
      <c r="H122" s="25"/>
    </row>
    <row r="123" spans="2:8" s="7" customFormat="1" outlineLevel="1">
      <c r="B123" s="21" t="str">
        <f>'Program Budget'!D34</f>
        <v xml:space="preserve">Senior Program Director </v>
      </c>
      <c r="C123" s="21"/>
      <c r="D123" s="22">
        <v>0.2</v>
      </c>
      <c r="E123" s="22"/>
      <c r="F123" s="22"/>
      <c r="G123" s="22"/>
      <c r="H123" s="22">
        <f>SUM(D123:G123)</f>
        <v>0.2</v>
      </c>
    </row>
    <row r="124" spans="2:8" s="7" customFormat="1" outlineLevel="1">
      <c r="B124" s="21" t="str">
        <f>'Program Budget'!D35</f>
        <v>Associate Director</v>
      </c>
      <c r="C124" s="21"/>
      <c r="D124" s="22">
        <v>1</v>
      </c>
      <c r="E124" s="22"/>
      <c r="F124" s="22"/>
      <c r="G124" s="22"/>
      <c r="H124" s="22">
        <f>SUM(D124:G124)</f>
        <v>1</v>
      </c>
    </row>
    <row r="125" spans="2:8" s="7" customFormat="1" outlineLevel="1">
      <c r="B125" s="26" t="s">
        <v>214</v>
      </c>
      <c r="C125" s="26"/>
      <c r="D125" s="27"/>
      <c r="E125" s="27"/>
      <c r="F125" s="27"/>
      <c r="G125" s="27"/>
      <c r="H125" s="27"/>
    </row>
    <row r="126" spans="2:8">
      <c r="D126" s="10"/>
      <c r="E126" s="6"/>
      <c r="G126" s="6"/>
      <c r="H126" s="10"/>
    </row>
    <row r="127" spans="2:8" ht="49.2">
      <c r="B127" s="4"/>
      <c r="C127" s="4"/>
      <c r="D127" s="11" t="s">
        <v>610</v>
      </c>
      <c r="E127" s="11" t="str">
        <f>'USDA Budget Summary'!$A$28</f>
        <v xml:space="preserve">Activity 1: Increase Use of Climate Smart Agriculture and Water Management  </v>
      </c>
      <c r="F127" s="11" t="str">
        <f>'USDA Budget Summary'!$A$29</f>
        <v>Activity 2: Increase Productivity of the Oasis Agricultural System</v>
      </c>
      <c r="G127" s="11" t="str">
        <f>'USDA Budget Summary'!$A$30</f>
        <v xml:space="preserve">Activity 3: Increase Use of Sustainable Oasis Agricultural System Business Models </v>
      </c>
      <c r="H127" s="11" t="s">
        <v>611</v>
      </c>
    </row>
    <row r="128" spans="2:8" s="16" customFormat="1" ht="12.3">
      <c r="B128" s="13" t="s">
        <v>68</v>
      </c>
      <c r="C128" s="13"/>
      <c r="D128" s="14" t="s">
        <v>605</v>
      </c>
      <c r="E128" s="14" t="s">
        <v>605</v>
      </c>
      <c r="F128" s="14" t="s">
        <v>606</v>
      </c>
      <c r="G128" s="14" t="s">
        <v>606</v>
      </c>
      <c r="H128" s="14" t="s">
        <v>606</v>
      </c>
    </row>
    <row r="129" spans="2:8" s="7" customFormat="1">
      <c r="B129" s="17" t="s">
        <v>607</v>
      </c>
      <c r="C129" s="17"/>
      <c r="D129" s="17"/>
      <c r="E129" s="17"/>
      <c r="F129" s="17"/>
      <c r="G129" s="17"/>
      <c r="H129" s="17"/>
    </row>
    <row r="130" spans="2:8" s="7" customFormat="1" outlineLevel="1">
      <c r="B130" s="19" t="s">
        <v>612</v>
      </c>
      <c r="C130" s="19"/>
      <c r="D130" s="19"/>
      <c r="E130" s="19"/>
      <c r="F130" s="19"/>
      <c r="G130" s="19"/>
      <c r="H130" s="19"/>
    </row>
    <row r="131" spans="2:8" s="7" customFormat="1" outlineLevel="1">
      <c r="B131" s="21" t="str">
        <f>'Program Budget'!D12</f>
        <v>Key Personnel: Chief of Party - Ms. Rym Ayari</v>
      </c>
      <c r="C131" s="21"/>
      <c r="D131" s="22">
        <v>0.1</v>
      </c>
      <c r="E131" s="22">
        <v>0.3</v>
      </c>
      <c r="F131" s="22">
        <v>0.3</v>
      </c>
      <c r="G131" s="22">
        <v>0.3</v>
      </c>
      <c r="H131" s="22">
        <f t="shared" ref="H131" si="12">SUM(D131:G131)</f>
        <v>1</v>
      </c>
    </row>
    <row r="132" spans="2:8" s="7" customFormat="1" outlineLevel="1">
      <c r="B132" s="21" t="str">
        <f>'Program Budget'!D13</f>
        <v>Key Personnel: Technical Director</v>
      </c>
      <c r="C132" s="21"/>
      <c r="D132" s="22">
        <v>0</v>
      </c>
      <c r="E132" s="22">
        <v>0.35</v>
      </c>
      <c r="F132" s="22">
        <v>0.32</v>
      </c>
      <c r="G132" s="22">
        <v>0.33</v>
      </c>
      <c r="H132" s="22">
        <f t="shared" ref="H132:H151" si="13">SUM(D132:G132)</f>
        <v>1</v>
      </c>
    </row>
    <row r="133" spans="2:8" s="7" customFormat="1" outlineLevel="1">
      <c r="B133" s="21" t="str">
        <f>'Program Budget'!D14</f>
        <v>Technical Lead Component 1</v>
      </c>
      <c r="C133" s="21"/>
      <c r="D133" s="22">
        <v>0</v>
      </c>
      <c r="E133" s="22">
        <v>1</v>
      </c>
      <c r="F133" s="22">
        <v>0</v>
      </c>
      <c r="G133" s="22">
        <v>0</v>
      </c>
      <c r="H133" s="22">
        <f t="shared" si="13"/>
        <v>1</v>
      </c>
    </row>
    <row r="134" spans="2:8" s="7" customFormat="1" outlineLevel="1">
      <c r="B134" s="21" t="str">
        <f>'Program Budget'!D15</f>
        <v>Technical Lead Component 2</v>
      </c>
      <c r="C134" s="21"/>
      <c r="D134" s="22">
        <v>0</v>
      </c>
      <c r="E134" s="22">
        <v>0</v>
      </c>
      <c r="F134" s="22">
        <v>1</v>
      </c>
      <c r="G134" s="22">
        <v>0</v>
      </c>
      <c r="H134" s="22">
        <f t="shared" si="13"/>
        <v>1</v>
      </c>
    </row>
    <row r="135" spans="2:8" s="7" customFormat="1" outlineLevel="1">
      <c r="B135" s="21" t="str">
        <f>'Program Budget'!D16</f>
        <v>Technical Lead Component 3</v>
      </c>
      <c r="C135" s="21"/>
      <c r="D135" s="22">
        <v>0</v>
      </c>
      <c r="E135" s="22">
        <v>0</v>
      </c>
      <c r="F135" s="22">
        <v>0</v>
      </c>
      <c r="G135" s="22">
        <v>1</v>
      </c>
      <c r="H135" s="22">
        <f t="shared" si="13"/>
        <v>1</v>
      </c>
    </row>
    <row r="136" spans="2:8" s="7" customFormat="1" outlineLevel="1">
      <c r="B136" s="21" t="str">
        <f>'Program Budget'!D17</f>
        <v>Technical Specialist Component 1</v>
      </c>
      <c r="C136" s="21"/>
      <c r="D136" s="22">
        <v>0</v>
      </c>
      <c r="E136" s="22">
        <v>1</v>
      </c>
      <c r="F136" s="22">
        <v>0</v>
      </c>
      <c r="G136" s="22">
        <v>0</v>
      </c>
      <c r="H136" s="22">
        <f t="shared" si="13"/>
        <v>1</v>
      </c>
    </row>
    <row r="137" spans="2:8" s="7" customFormat="1" outlineLevel="1">
      <c r="B137" s="21" t="str">
        <f>'Program Budget'!D18</f>
        <v>Technical Specialist Component 2</v>
      </c>
      <c r="C137" s="21"/>
      <c r="D137" s="22">
        <v>0</v>
      </c>
      <c r="E137" s="22">
        <v>0</v>
      </c>
      <c r="F137" s="22">
        <v>1</v>
      </c>
      <c r="G137" s="22">
        <v>0</v>
      </c>
      <c r="H137" s="22">
        <f t="shared" si="13"/>
        <v>1</v>
      </c>
    </row>
    <row r="138" spans="2:8" s="7" customFormat="1" outlineLevel="1">
      <c r="B138" s="21" t="str">
        <f>'Program Budget'!D19</f>
        <v>Technical Specialist Component 3</v>
      </c>
      <c r="C138" s="21"/>
      <c r="D138" s="22">
        <v>0</v>
      </c>
      <c r="E138" s="22">
        <v>0</v>
      </c>
      <c r="F138" s="22">
        <v>0</v>
      </c>
      <c r="G138" s="22">
        <v>1</v>
      </c>
      <c r="H138" s="22">
        <f t="shared" si="13"/>
        <v>1</v>
      </c>
    </row>
    <row r="139" spans="2:8" s="7" customFormat="1" outlineLevel="1">
      <c r="B139" s="21" t="str">
        <f>'Program Budget'!D20</f>
        <v>Capacity Building Specialist (2)</v>
      </c>
      <c r="C139" s="21"/>
      <c r="D139" s="22">
        <v>0</v>
      </c>
      <c r="E139" s="22">
        <v>0</v>
      </c>
      <c r="F139" s="22">
        <v>0</v>
      </c>
      <c r="G139" s="22">
        <v>1</v>
      </c>
      <c r="H139" s="22">
        <f t="shared" ref="H139" si="14">SUM(D139:G139)</f>
        <v>1</v>
      </c>
    </row>
    <row r="140" spans="2:8" s="7" customFormat="1" outlineLevel="1">
      <c r="B140" s="21" t="str">
        <f>'Program Budget'!D21</f>
        <v>Sociocultural and Gender Specialist</v>
      </c>
      <c r="C140" s="21"/>
      <c r="D140" s="22">
        <v>0</v>
      </c>
      <c r="E140" s="22">
        <v>0.3</v>
      </c>
      <c r="F140" s="22">
        <v>0.35</v>
      </c>
      <c r="G140" s="22">
        <v>0.35</v>
      </c>
      <c r="H140" s="22">
        <f t="shared" si="13"/>
        <v>0.99999999999999989</v>
      </c>
    </row>
    <row r="141" spans="2:8" s="7" customFormat="1" outlineLevel="1">
      <c r="B141" s="21" t="str">
        <f>'Program Budget'!D22</f>
        <v>Sociocultural and Gender Officers (3)</v>
      </c>
      <c r="C141" s="21"/>
      <c r="D141" s="22">
        <v>0</v>
      </c>
      <c r="E141" s="22">
        <v>0.3</v>
      </c>
      <c r="F141" s="22">
        <v>0.35</v>
      </c>
      <c r="G141" s="22">
        <v>0.35</v>
      </c>
      <c r="H141" s="22">
        <f t="shared" si="13"/>
        <v>0.99999999999999989</v>
      </c>
    </row>
    <row r="142" spans="2:8" s="7" customFormat="1" outlineLevel="1">
      <c r="B142" s="21" t="str">
        <f>'Program Budget'!D23</f>
        <v>Communications Specialists</v>
      </c>
      <c r="C142" s="21"/>
      <c r="D142" s="22">
        <v>0.1</v>
      </c>
      <c r="E142" s="22">
        <v>0.3</v>
      </c>
      <c r="F142" s="22">
        <v>0.3</v>
      </c>
      <c r="G142" s="22">
        <v>0.3</v>
      </c>
      <c r="H142" s="22">
        <f t="shared" si="13"/>
        <v>1</v>
      </c>
    </row>
    <row r="143" spans="2:8" s="7" customFormat="1" outlineLevel="1">
      <c r="B143" s="21" t="str">
        <f>'Program Budget'!D24</f>
        <v xml:space="preserve">M&amp;E Director </v>
      </c>
      <c r="C143" s="21"/>
      <c r="D143" s="22">
        <v>0.1</v>
      </c>
      <c r="E143" s="22">
        <v>0.3</v>
      </c>
      <c r="F143" s="22">
        <v>0.3</v>
      </c>
      <c r="G143" s="22">
        <v>0.3</v>
      </c>
      <c r="H143" s="22">
        <f t="shared" si="13"/>
        <v>1</v>
      </c>
    </row>
    <row r="144" spans="2:8" s="7" customFormat="1" outlineLevel="1">
      <c r="B144" s="21" t="str">
        <f>'Program Budget'!D25</f>
        <v>M&amp;E Specialist</v>
      </c>
      <c r="C144" s="21"/>
      <c r="D144" s="22">
        <v>0.1</v>
      </c>
      <c r="E144" s="22">
        <v>0.3</v>
      </c>
      <c r="F144" s="22">
        <v>0.3</v>
      </c>
      <c r="G144" s="22">
        <v>0.3</v>
      </c>
      <c r="H144" s="22">
        <f t="shared" si="13"/>
        <v>1</v>
      </c>
    </row>
    <row r="145" spans="2:8" s="7" customFormat="1" outlineLevel="1">
      <c r="B145" s="21" t="str">
        <f>'Program Budget'!D26</f>
        <v xml:space="preserve">Key Personnel: Finance Director </v>
      </c>
      <c r="C145" s="21"/>
      <c r="D145" s="22">
        <v>0.25</v>
      </c>
      <c r="E145" s="22">
        <v>0.25</v>
      </c>
      <c r="F145" s="22">
        <v>0.25</v>
      </c>
      <c r="G145" s="22">
        <v>0.25</v>
      </c>
      <c r="H145" s="22">
        <f t="shared" si="13"/>
        <v>1</v>
      </c>
    </row>
    <row r="146" spans="2:8" s="7" customFormat="1" outlineLevel="1">
      <c r="B146" s="21" t="str">
        <f>'Program Budget'!D27</f>
        <v>Contracts &amp; Compliance Specialist</v>
      </c>
      <c r="C146" s="21"/>
      <c r="D146" s="22">
        <v>0.25</v>
      </c>
      <c r="E146" s="22">
        <v>0.25</v>
      </c>
      <c r="F146" s="22">
        <v>0.25</v>
      </c>
      <c r="G146" s="22">
        <v>0.25</v>
      </c>
      <c r="H146" s="22">
        <f t="shared" si="13"/>
        <v>1</v>
      </c>
    </row>
    <row r="147" spans="2:8" s="7" customFormat="1" outlineLevel="1">
      <c r="B147" s="21" t="str">
        <f>'Program Budget'!D28</f>
        <v>Grants &amp; Procurement Officer (2)</v>
      </c>
      <c r="C147" s="21"/>
      <c r="D147" s="22">
        <v>0.25</v>
      </c>
      <c r="E147" s="22">
        <v>0.25</v>
      </c>
      <c r="F147" s="22">
        <v>0.25</v>
      </c>
      <c r="G147" s="22">
        <v>0.25</v>
      </c>
      <c r="H147" s="22">
        <f t="shared" si="13"/>
        <v>1</v>
      </c>
    </row>
    <row r="148" spans="2:8" s="7" customFormat="1" outlineLevel="1">
      <c r="B148" s="21" t="str">
        <f>'Program Budget'!D29</f>
        <v xml:space="preserve">Accountant </v>
      </c>
      <c r="C148" s="21"/>
      <c r="D148" s="22">
        <v>0.25</v>
      </c>
      <c r="E148" s="22">
        <v>0.25</v>
      </c>
      <c r="F148" s="22">
        <v>0.25</v>
      </c>
      <c r="G148" s="22">
        <v>0.25</v>
      </c>
      <c r="H148" s="22">
        <f t="shared" si="13"/>
        <v>1</v>
      </c>
    </row>
    <row r="149" spans="2:8" s="7" customFormat="1" outlineLevel="1">
      <c r="B149" s="21" t="str">
        <f>'Program Budget'!D30</f>
        <v>Administrative Officer</v>
      </c>
      <c r="C149" s="21"/>
      <c r="D149" s="22">
        <v>0.25</v>
      </c>
      <c r="E149" s="22">
        <v>0.25</v>
      </c>
      <c r="F149" s="22">
        <v>0.25</v>
      </c>
      <c r="G149" s="22">
        <v>0.25</v>
      </c>
      <c r="H149" s="22">
        <f t="shared" si="13"/>
        <v>1</v>
      </c>
    </row>
    <row r="150" spans="2:8" s="7" customFormat="1" outlineLevel="1">
      <c r="B150" s="21" t="str">
        <f>'Program Budget'!D31</f>
        <v>Human Resources Manager</v>
      </c>
      <c r="C150" s="21"/>
      <c r="D150" s="22">
        <v>0.25</v>
      </c>
      <c r="E150" s="22">
        <v>0.25</v>
      </c>
      <c r="F150" s="22">
        <v>0.25</v>
      </c>
      <c r="G150" s="22">
        <v>0.25</v>
      </c>
      <c r="H150" s="22">
        <f t="shared" si="13"/>
        <v>1</v>
      </c>
    </row>
    <row r="151" spans="2:8" s="7" customFormat="1" outlineLevel="1">
      <c r="B151" s="21" t="str">
        <f>'Program Budget'!D32</f>
        <v>Driver (3 Individuals)</v>
      </c>
      <c r="C151" s="21"/>
      <c r="D151" s="22">
        <v>0.25</v>
      </c>
      <c r="E151" s="22">
        <v>0.25</v>
      </c>
      <c r="F151" s="22">
        <v>0.25</v>
      </c>
      <c r="G151" s="22">
        <v>0.25</v>
      </c>
      <c r="H151" s="22">
        <f t="shared" si="13"/>
        <v>1</v>
      </c>
    </row>
    <row r="152" spans="2:8" s="7" customFormat="1" outlineLevel="1">
      <c r="B152" s="19" t="s">
        <v>609</v>
      </c>
      <c r="C152" s="19"/>
      <c r="D152" s="25"/>
      <c r="E152" s="25"/>
      <c r="F152" s="25"/>
      <c r="G152" s="25"/>
      <c r="H152" s="25"/>
    </row>
    <row r="153" spans="2:8" s="7" customFormat="1" outlineLevel="1">
      <c r="B153" s="21" t="str">
        <f>'Program Budget'!D34</f>
        <v xml:space="preserve">Senior Program Director </v>
      </c>
      <c r="C153" s="21"/>
      <c r="D153" s="22">
        <v>0.2</v>
      </c>
      <c r="E153" s="22"/>
      <c r="F153" s="22"/>
      <c r="G153" s="22"/>
      <c r="H153" s="22">
        <f>SUM(D153:G153)</f>
        <v>0.2</v>
      </c>
    </row>
    <row r="154" spans="2:8" s="7" customFormat="1" outlineLevel="1">
      <c r="B154" s="21" t="str">
        <f>'Program Budget'!D35</f>
        <v>Associate Director</v>
      </c>
      <c r="C154" s="21"/>
      <c r="D154" s="22">
        <v>1</v>
      </c>
      <c r="E154" s="22"/>
      <c r="F154" s="22"/>
      <c r="G154" s="22"/>
      <c r="H154" s="22">
        <f>SUM(D154:G154)</f>
        <v>1</v>
      </c>
    </row>
    <row r="155" spans="2:8" s="7" customFormat="1" outlineLevel="1">
      <c r="B155" s="26" t="s">
        <v>214</v>
      </c>
      <c r="C155" s="26"/>
      <c r="D155" s="27"/>
      <c r="E155" s="27"/>
      <c r="F155" s="27"/>
      <c r="G155" s="27"/>
      <c r="H155" s="27"/>
    </row>
  </sheetData>
  <mergeCells count="5">
    <mergeCell ref="B1:H1"/>
    <mergeCell ref="B2:H2"/>
    <mergeCell ref="B3:H3"/>
    <mergeCell ref="B4:H4"/>
    <mergeCell ref="B5:H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16A195-F478-4256-96CF-892E1E481714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3BABEF23-DA89-4A2A-ADD9-F03DD7F3C5CE}"/>
</file>

<file path=customXml/itemProps3.xml><?xml version="1.0" encoding="utf-8"?>
<ds:datastoreItem xmlns:ds="http://schemas.openxmlformats.org/officeDocument/2006/customXml" ds:itemID="{63E7B32A-376E-41F5-8BAD-5BA7D75DB916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customXml/itemProps4.xml><?xml version="1.0" encoding="utf-8"?>
<ds:datastoreItem xmlns:ds="http://schemas.openxmlformats.org/officeDocument/2006/customXml" ds:itemID="{E694317B-D0E0-4282-8BFC-94619C138F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15</vt:i4>
      </vt:variant>
    </vt:vector>
  </HeadingPairs>
  <TitlesOfParts>
    <vt:vector size="27" baseType="lpstr">
      <vt:lpstr>USDA Budget Summary</vt:lpstr>
      <vt:lpstr>Detailed Budget</vt:lpstr>
      <vt:lpstr>Sheet1</vt:lpstr>
      <vt:lpstr>Admin</vt:lpstr>
      <vt:lpstr>Activity 1</vt:lpstr>
      <vt:lpstr>Activity 2</vt:lpstr>
      <vt:lpstr>Activity 3</vt:lpstr>
      <vt:lpstr>Program Budget</vt:lpstr>
      <vt:lpstr>Activity 3 Sub Budget 6th Grain</vt:lpstr>
      <vt:lpstr>Indirect Calculations</vt:lpstr>
      <vt:lpstr>Personnel &amp; LOE Summary</vt:lpstr>
      <vt:lpstr>LOE Breakdown by Year</vt:lpstr>
      <vt:lpstr>'Activity 1'!Print_Area</vt:lpstr>
      <vt:lpstr>'Activity 2'!Print_Area</vt:lpstr>
      <vt:lpstr>'Activity 3'!Print_Area</vt:lpstr>
      <vt:lpstr>'Activity 3 Sub Budget 6th Grain'!Print_Area</vt:lpstr>
      <vt:lpstr>Admin!Print_Area</vt:lpstr>
      <vt:lpstr>'Detailed Budget'!Print_Area</vt:lpstr>
      <vt:lpstr>'Indirect Calculations'!Print_Area</vt:lpstr>
      <vt:lpstr>'Program Budget'!Print_Area</vt:lpstr>
      <vt:lpstr>'USDA Budget Summary'!Print_Area</vt:lpstr>
      <vt:lpstr>'Activity 1'!Print_Titles</vt:lpstr>
      <vt:lpstr>'Activity 2'!Print_Titles</vt:lpstr>
      <vt:lpstr>'Activity 3'!Print_Titles</vt:lpstr>
      <vt:lpstr>'Activity 3 Sub Budget 6th Grain'!Print_Titles</vt:lpstr>
      <vt:lpstr>Admin!Print_Titles</vt:lpstr>
      <vt:lpstr>'Detailed Budget'!Print_Titles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>Food For Development</cp:keywords>
  <dc:description/>
  <cp:lastModifiedBy>Danielle Martin</cp:lastModifiedBy>
  <cp:revision/>
  <dcterms:created xsi:type="dcterms:W3CDTF">2007-06-26T13:33:20Z</dcterms:created>
  <dcterms:modified xsi:type="dcterms:W3CDTF">2026-02-26T04:25:16Z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7412600</vt:r8>
  </property>
  <property fmtid="{D5CDD505-2E9C-101B-9397-08002B2CF9AE}" pid="3" name="ContentTypeId">
    <vt:lpwstr>0x0101003206C8355D678A459F2EF8957171B231</vt:lpwstr>
  </property>
  <property fmtid="{D5CDD505-2E9C-101B-9397-08002B2CF9AE}" pid="4" name="WorkbookGuid">
    <vt:lpwstr>f9165d3f-2e95-4cb0-b0d6-1503465abe40</vt:lpwstr>
  </property>
  <property fmtid="{D5CDD505-2E9C-101B-9397-08002B2CF9AE}" pid="5" name="TaxKeyword">
    <vt:lpwstr>81;#Food For Development|98747836-2529-4530-bb6a-d74dee1d6b61</vt:lpwstr>
  </property>
  <property fmtid="{D5CDD505-2E9C-101B-9397-08002B2CF9AE}" pid="6" name="Tags">
    <vt:lpwstr/>
  </property>
  <property fmtid="{D5CDD505-2E9C-101B-9397-08002B2CF9AE}" pid="7" name="MediaServiceImageTags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