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mart\Partners of the Americas\Partners of the Americas\F&amp;A - Organizational F&amp;A\Finance Policies &amp; Procedures\Budgets, Accounting &amp; Awards\DOL425\"/>
    </mc:Choice>
  </mc:AlternateContent>
  <xr:revisionPtr revIDLastSave="0" documentId="13_ncr:1_{C182398E-6E21-46D8-B763-D37650D72FE7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Budget Summary" sheetId="19" r:id="rId1"/>
    <sheet name="Project Budget" sheetId="4" r:id="rId2"/>
    <sheet name="Comparasion" sheetId="37" r:id="rId3"/>
    <sheet name="RMS" sheetId="36" r:id="rId4"/>
    <sheet name="CEREAL" sheetId="32" r:id="rId5"/>
  </sheets>
  <definedNames>
    <definedName name="Category" localSheetId="4">#N/A</definedName>
    <definedName name="Category" localSheetId="2">Comparasion!#REF!</definedName>
    <definedName name="Category" localSheetId="3">RMS!$G$9:$G$113</definedName>
    <definedName name="Category">'Project Budget'!$F$15:$F$221</definedName>
    <definedName name="DL_Country" localSheetId="4">#N/A</definedName>
    <definedName name="DL_Country" localSheetId="2">Comparasion!#REF!</definedName>
    <definedName name="DL_Country" localSheetId="3">RMS!#REF!</definedName>
    <definedName name="DL_Country">'Project Budget'!#REF!</definedName>
    <definedName name="DL_TotalDOL" localSheetId="4">#N/A</definedName>
    <definedName name="DL_TotalDOL" localSheetId="2">Comparasion!$B$7:$B$35</definedName>
    <definedName name="DL_TotalDOL" localSheetId="3">RMS!$T$9:$T$27</definedName>
    <definedName name="DL_TotalDOL">'Project Budget'!$S$14:$S$39</definedName>
    <definedName name="EQ_Country" localSheetId="4">#N/A</definedName>
    <definedName name="EQ_Country" localSheetId="2">Comparasion!#REF!</definedName>
    <definedName name="EQ_Country" localSheetId="3">RMS!#REF!</definedName>
    <definedName name="EQ_Country">'Project Budget'!#REF!</definedName>
    <definedName name="EQ_TotalDOL" localSheetId="4">#N/A</definedName>
    <definedName name="EQ_TotalDOL" localSheetId="2">Comparasion!#REF!</definedName>
    <definedName name="EQ_TotalDOL" localSheetId="3">RMS!#REF!</definedName>
    <definedName name="EQ_TotalDOL">'Project Budget'!#REF!</definedName>
    <definedName name="inf" localSheetId="4">#N/A</definedName>
    <definedName name="inf" localSheetId="2">Comparasion!#REF!</definedName>
    <definedName name="inf" localSheetId="3">#REF!</definedName>
    <definedName name="inf">#REF!</definedName>
    <definedName name="JEA_Country" localSheetId="4">#N/A</definedName>
    <definedName name="JEA_Country" localSheetId="2">Comparasion!#REF!</definedName>
    <definedName name="JEA_Country" localSheetId="3">#REF!</definedName>
    <definedName name="JEA_Country">#REF!</definedName>
    <definedName name="JEA_Year1" localSheetId="4">#N/A</definedName>
    <definedName name="JEA_Year1" localSheetId="2">Comparasion!#REF!</definedName>
    <definedName name="JEA_Year1" localSheetId="3">#REF!</definedName>
    <definedName name="JEA_Year1">#REF!</definedName>
    <definedName name="ME_Country" localSheetId="4">#N/A</definedName>
    <definedName name="ME_Country" localSheetId="2">Comparasion!#REF!</definedName>
    <definedName name="ME_Country" localSheetId="3">RMS!#REF!</definedName>
    <definedName name="ME_Country">'Project Budget'!#REF!</definedName>
    <definedName name="ME_TotalDOL" localSheetId="4">#N/A</definedName>
    <definedName name="ME_TotalDOL" localSheetId="2">Comparasion!$B$260:$B$275</definedName>
    <definedName name="ME_TotalDOL" localSheetId="3">RMS!#REF!</definedName>
    <definedName name="ME_TotalDOL">'Project Budget'!$S$189:$S$203</definedName>
    <definedName name="O1_Country" localSheetId="4">#N/A</definedName>
    <definedName name="O1_Country" localSheetId="2">Comparasion!#REF!</definedName>
    <definedName name="O1_Country" localSheetId="3">RMS!#REF!</definedName>
    <definedName name="O1_Country">'Project Budget'!#REF!</definedName>
    <definedName name="O1_TotalDOL" localSheetId="4">#N/A</definedName>
    <definedName name="O1_TotalDOL" localSheetId="2">Comparasion!#REF!</definedName>
    <definedName name="O1_TotalDOL" localSheetId="3">RMS!$T$108:$T$109</definedName>
    <definedName name="O1_TotalDOL">'Project Budget'!#REF!</definedName>
    <definedName name="O2_Country" localSheetId="4">#N/A</definedName>
    <definedName name="O2_Country" localSheetId="2">Comparasion!#REF!</definedName>
    <definedName name="O2_Country" localSheetId="3">RMS!#REF!</definedName>
    <definedName name="O2_Country">'Project Budget'!#REF!</definedName>
    <definedName name="O2_TotalDOL" localSheetId="4">#N/A</definedName>
    <definedName name="O2_TotalDOL" localSheetId="2">Comparasion!#REF!</definedName>
    <definedName name="O2_TotalDOL" localSheetId="3">RMS!#REF!</definedName>
    <definedName name="O2_TotalDOL">'Project Budget'!#REF!</definedName>
    <definedName name="_xlnm.Print_Area" localSheetId="4">#N/A</definedName>
    <definedName name="_xlnm.Print_Area" localSheetId="2">Comparasion!$A$1:$B$295</definedName>
    <definedName name="_xlnm.Print_Area" localSheetId="1">'Project Budget'!$E$1:$U$223</definedName>
    <definedName name="_xlnm.Print_Area" localSheetId="3">RMS!$F$1:$V$115</definedName>
    <definedName name="SU_Country" localSheetId="4">#N/A</definedName>
    <definedName name="SU_Country" localSheetId="2">Comparasion!#REF!</definedName>
    <definedName name="SU_Country" localSheetId="3">RMS!#REF!</definedName>
    <definedName name="SU_Country">'Project Budget'!#REF!</definedName>
    <definedName name="SU_TotalDOL" localSheetId="4">#N/A</definedName>
    <definedName name="SU_TotalDOL" localSheetId="2">Comparasion!$B$68:$B$83</definedName>
    <definedName name="SU_TotalDOL" localSheetId="3">RMS!$T$50:$T$55</definedName>
    <definedName name="SU_TotalDOL">'Project Budget'!$S$70:$S$84</definedName>
    <definedName name="TotalDOL" localSheetId="4">#N/A</definedName>
    <definedName name="TotalDOL" localSheetId="2">Comparasion!$B$8:$B$293</definedName>
    <definedName name="TotalDOL" localSheetId="3">RMS!$T$9:$T$113</definedName>
    <definedName name="TotalDOL">'Project Budget'!$S$15:$S$221</definedName>
    <definedName name="TR_Country" localSheetId="4">#N/A</definedName>
    <definedName name="TR_Country" localSheetId="2">Comparasion!#REF!</definedName>
    <definedName name="TR_Country" localSheetId="3">RMS!#REF!</definedName>
    <definedName name="TR_Country">'Project Budget'!#REF!</definedName>
    <definedName name="TR_TotalDOL" localSheetId="4">#N/A</definedName>
    <definedName name="TR_TotalDOL" localSheetId="2">Comparasion!$B$41:$B$55</definedName>
    <definedName name="TR_TotalDOL" localSheetId="3">RMS!$T$33:$T$37</definedName>
    <definedName name="TR_TotalDOL">'Project Budget'!$S$45:$S$59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5" i="4" l="1"/>
  <c r="B31" i="37"/>
  <c r="B256" i="37"/>
  <c r="B173" i="37" l="1"/>
  <c r="D141" i="37"/>
  <c r="B289" i="37" l="1"/>
  <c r="B102" i="37"/>
  <c r="C64" i="37"/>
  <c r="B64" i="37"/>
  <c r="D58" i="37"/>
  <c r="D18" i="37"/>
  <c r="B87" i="37"/>
  <c r="B60" i="37"/>
  <c r="B37" i="37"/>
  <c r="B38" i="37" s="1"/>
  <c r="D203" i="37"/>
  <c r="D204" i="37"/>
  <c r="D205" i="37"/>
  <c r="D207" i="37"/>
  <c r="D208" i="37"/>
  <c r="D209" i="37"/>
  <c r="D210" i="37"/>
  <c r="D211" i="37"/>
  <c r="D213" i="37"/>
  <c r="D214" i="37"/>
  <c r="D216" i="37"/>
  <c r="D217" i="37"/>
  <c r="D218" i="37"/>
  <c r="D219" i="37"/>
  <c r="D201" i="37"/>
  <c r="D202" i="37"/>
  <c r="D198" i="37"/>
  <c r="D199" i="37"/>
  <c r="D197" i="37"/>
  <c r="D195" i="37"/>
  <c r="D196" i="37"/>
  <c r="D192" i="37"/>
  <c r="D193" i="37"/>
  <c r="D189" i="37"/>
  <c r="D190" i="37"/>
  <c r="D178" i="37"/>
  <c r="D179" i="37"/>
  <c r="D180" i="37"/>
  <c r="D183" i="37"/>
  <c r="D184" i="37"/>
  <c r="D185" i="37"/>
  <c r="D186" i="37"/>
  <c r="D187" i="37"/>
  <c r="D177" i="37"/>
  <c r="D139" i="37"/>
  <c r="D140" i="37"/>
  <c r="D135" i="37"/>
  <c r="D136" i="37"/>
  <c r="D137" i="37"/>
  <c r="D131" i="37"/>
  <c r="D132" i="37"/>
  <c r="D133" i="37"/>
  <c r="D127" i="37"/>
  <c r="D128" i="37"/>
  <c r="D129" i="37"/>
  <c r="D126" i="37"/>
  <c r="D125" i="37"/>
  <c r="D121" i="37"/>
  <c r="D122" i="37"/>
  <c r="D123" i="37"/>
  <c r="D114" i="37"/>
  <c r="D115" i="37"/>
  <c r="D116" i="37"/>
  <c r="D117" i="37"/>
  <c r="D118" i="37"/>
  <c r="D119" i="37"/>
  <c r="D106" i="37"/>
  <c r="D96" i="37"/>
  <c r="D77" i="37"/>
  <c r="D62" i="37"/>
  <c r="D22" i="37"/>
  <c r="D23" i="37"/>
  <c r="L190" i="4"/>
  <c r="T184" i="4"/>
  <c r="L107" i="4"/>
  <c r="L106" i="4"/>
  <c r="R82" i="4"/>
  <c r="P82" i="4"/>
  <c r="N82" i="4"/>
  <c r="L82" i="4"/>
  <c r="J82" i="4"/>
  <c r="S92" i="4"/>
  <c r="C91" i="37" s="1"/>
  <c r="D91" i="37" s="1"/>
  <c r="T102" i="4"/>
  <c r="H56" i="4"/>
  <c r="Q55" i="4"/>
  <c r="Q56" i="4"/>
  <c r="J54" i="4"/>
  <c r="O55" i="4"/>
  <c r="O56" i="4"/>
  <c r="M55" i="4"/>
  <c r="M56" i="4"/>
  <c r="P15" i="4"/>
  <c r="P16" i="4"/>
  <c r="N15" i="4"/>
  <c r="L15" i="4"/>
  <c r="J15" i="4"/>
  <c r="J20" i="4"/>
  <c r="Q92" i="36"/>
  <c r="Q93" i="36"/>
  <c r="O92" i="36"/>
  <c r="O93" i="36"/>
  <c r="U57" i="36"/>
  <c r="U48" i="36"/>
  <c r="U39" i="36"/>
  <c r="U24" i="36"/>
  <c r="S77" i="32"/>
  <c r="Q77" i="32"/>
  <c r="O77" i="32"/>
  <c r="M77" i="32"/>
  <c r="K77" i="32"/>
  <c r="K78" i="32"/>
  <c r="M68" i="32"/>
  <c r="S56" i="32"/>
  <c r="O56" i="32"/>
  <c r="M56" i="32"/>
  <c r="K56" i="32"/>
  <c r="M52" i="32"/>
  <c r="M9" i="32"/>
  <c r="U20" i="32"/>
  <c r="K15" i="32"/>
  <c r="J15" i="36"/>
  <c r="I32" i="4"/>
  <c r="P32" i="4" s="1"/>
  <c r="I33" i="4"/>
  <c r="P33" i="4" s="1"/>
  <c r="R188" i="4"/>
  <c r="P188" i="4"/>
  <c r="N188" i="4"/>
  <c r="L188" i="4"/>
  <c r="J188" i="4"/>
  <c r="R215" i="4"/>
  <c r="P215" i="4"/>
  <c r="N215" i="4"/>
  <c r="L215" i="4"/>
  <c r="J215" i="4"/>
  <c r="R214" i="4"/>
  <c r="P214" i="4"/>
  <c r="N214" i="4"/>
  <c r="L214" i="4"/>
  <c r="J214" i="4"/>
  <c r="R213" i="4"/>
  <c r="P213" i="4"/>
  <c r="N213" i="4"/>
  <c r="L213" i="4"/>
  <c r="J213" i="4"/>
  <c r="R212" i="4"/>
  <c r="P212" i="4"/>
  <c r="N212" i="4"/>
  <c r="L212" i="4"/>
  <c r="J212" i="4"/>
  <c r="S214" i="4" l="1"/>
  <c r="P39" i="4"/>
  <c r="U92" i="4"/>
  <c r="D64" i="37"/>
  <c r="L32" i="4"/>
  <c r="S188" i="4"/>
  <c r="S212" i="4"/>
  <c r="S215" i="4"/>
  <c r="S213" i="4"/>
  <c r="U212" i="4" l="1"/>
  <c r="C284" i="37"/>
  <c r="U188" i="4"/>
  <c r="C260" i="37"/>
  <c r="U214" i="4"/>
  <c r="C286" i="37"/>
  <c r="U213" i="4"/>
  <c r="C285" i="37"/>
  <c r="U215" i="4"/>
  <c r="C287" i="37"/>
  <c r="T217" i="4"/>
  <c r="D260" i="37" l="1"/>
  <c r="P98" i="4"/>
  <c r="N98" i="4"/>
  <c r="L98" i="4"/>
  <c r="P94" i="4"/>
  <c r="N94" i="4"/>
  <c r="L94" i="4"/>
  <c r="J94" i="4"/>
  <c r="I96" i="4"/>
  <c r="P96" i="4" s="1"/>
  <c r="L85" i="4"/>
  <c r="J75" i="4"/>
  <c r="J72" i="4"/>
  <c r="J58" i="4"/>
  <c r="S92" i="36"/>
  <c r="M92" i="36"/>
  <c r="K92" i="36"/>
  <c r="J12" i="36"/>
  <c r="J11" i="36"/>
  <c r="J10" i="36"/>
  <c r="J9" i="36"/>
  <c r="K9" i="36" s="1"/>
  <c r="M93" i="36"/>
  <c r="N96" i="4" l="1"/>
  <c r="J96" i="4"/>
  <c r="L96" i="4"/>
  <c r="T92" i="36"/>
  <c r="V92" i="36" s="1"/>
  <c r="J99" i="4"/>
  <c r="R46" i="4"/>
  <c r="R47" i="4"/>
  <c r="R48" i="4"/>
  <c r="R45" i="4"/>
  <c r="P46" i="4"/>
  <c r="P47" i="4"/>
  <c r="P48" i="4"/>
  <c r="P45" i="4"/>
  <c r="N46" i="4"/>
  <c r="N47" i="4"/>
  <c r="N48" i="4"/>
  <c r="N45" i="4"/>
  <c r="N50" i="4"/>
  <c r="L58" i="4"/>
  <c r="J19" i="4"/>
  <c r="J126" i="4"/>
  <c r="J125" i="4"/>
  <c r="R109" i="4"/>
  <c r="P109" i="4"/>
  <c r="N109" i="4"/>
  <c r="L109" i="4"/>
  <c r="J109" i="4"/>
  <c r="R106" i="4"/>
  <c r="P106" i="4"/>
  <c r="N106" i="4"/>
  <c r="J106" i="4"/>
  <c r="J79" i="4"/>
  <c r="R80" i="4"/>
  <c r="R79" i="4"/>
  <c r="R78" i="4"/>
  <c r="R77" i="4"/>
  <c r="R76" i="4"/>
  <c r="R75" i="4"/>
  <c r="R73" i="4"/>
  <c r="R72" i="4"/>
  <c r="R71" i="4"/>
  <c r="P80" i="4"/>
  <c r="P79" i="4"/>
  <c r="P78" i="4"/>
  <c r="P77" i="4"/>
  <c r="P76" i="4"/>
  <c r="P75" i="4"/>
  <c r="P73" i="4"/>
  <c r="P72" i="4"/>
  <c r="P71" i="4"/>
  <c r="N80" i="4"/>
  <c r="N79" i="4"/>
  <c r="N78" i="4"/>
  <c r="L80" i="4"/>
  <c r="L79" i="4"/>
  <c r="L78" i="4"/>
  <c r="L77" i="4"/>
  <c r="L76" i="4"/>
  <c r="L75" i="4"/>
  <c r="L73" i="4"/>
  <c r="L72" i="4"/>
  <c r="L71" i="4"/>
  <c r="S109" i="4" l="1"/>
  <c r="S106" i="4"/>
  <c r="U106" i="4" l="1"/>
  <c r="C107" i="37"/>
  <c r="U109" i="4"/>
  <c r="C110" i="37"/>
  <c r="D110" i="37" s="1"/>
  <c r="J53" i="36"/>
  <c r="J20" i="36"/>
  <c r="M20" i="36" s="1"/>
  <c r="S9" i="36"/>
  <c r="S23" i="36"/>
  <c r="S22" i="36"/>
  <c r="S21" i="36"/>
  <c r="S18" i="36"/>
  <c r="S17" i="36"/>
  <c r="S16" i="36"/>
  <c r="S14" i="36"/>
  <c r="S13" i="36"/>
  <c r="Q23" i="36"/>
  <c r="Q22" i="36"/>
  <c r="Q21" i="36"/>
  <c r="Q18" i="36"/>
  <c r="Q17" i="36"/>
  <c r="Q16" i="36"/>
  <c r="Q14" i="36"/>
  <c r="Q13" i="36"/>
  <c r="O23" i="36"/>
  <c r="O22" i="36"/>
  <c r="O21" i="36"/>
  <c r="O18" i="36"/>
  <c r="O17" i="36"/>
  <c r="O16" i="36"/>
  <c r="O14" i="36"/>
  <c r="O13" i="36"/>
  <c r="M23" i="36"/>
  <c r="M22" i="36"/>
  <c r="M21" i="36"/>
  <c r="M18" i="36"/>
  <c r="M17" i="36"/>
  <c r="M16" i="36"/>
  <c r="M14" i="36"/>
  <c r="M13" i="36"/>
  <c r="S15" i="36"/>
  <c r="J19" i="36"/>
  <c r="Q19" i="36" s="1"/>
  <c r="M9" i="36"/>
  <c r="D107" i="37" l="1"/>
  <c r="M15" i="36"/>
  <c r="O19" i="36"/>
  <c r="Q15" i="36"/>
  <c r="M19" i="36"/>
  <c r="O15" i="36"/>
  <c r="O9" i="36"/>
  <c r="S19" i="36"/>
  <c r="S20" i="36"/>
  <c r="Q20" i="36"/>
  <c r="O20" i="36"/>
  <c r="Q9" i="36"/>
  <c r="J119" i="4" l="1"/>
  <c r="L119" i="4"/>
  <c r="N119" i="4"/>
  <c r="P119" i="4"/>
  <c r="R119" i="4"/>
  <c r="L111" i="4"/>
  <c r="P29" i="4"/>
  <c r="P26" i="4"/>
  <c r="P25" i="4"/>
  <c r="P24" i="4"/>
  <c r="P23" i="4"/>
  <c r="P22" i="4"/>
  <c r="P20" i="4"/>
  <c r="P19" i="4"/>
  <c r="J26" i="4"/>
  <c r="J16" i="4"/>
  <c r="S119" i="4" l="1"/>
  <c r="J73" i="4"/>
  <c r="L69" i="4"/>
  <c r="L97" i="4"/>
  <c r="N97" i="4"/>
  <c r="R98" i="4"/>
  <c r="S98" i="4" s="1"/>
  <c r="U119" i="4" l="1"/>
  <c r="C149" i="37"/>
  <c r="D149" i="37" s="1"/>
  <c r="U98" i="4"/>
  <c r="C98" i="37"/>
  <c r="D98" i="37" s="1"/>
  <c r="N75" i="4"/>
  <c r="I35" i="36" l="1"/>
  <c r="I37" i="36"/>
  <c r="I36" i="36"/>
  <c r="I34" i="36"/>
  <c r="L35" i="36"/>
  <c r="L37" i="36"/>
  <c r="L36" i="36"/>
  <c r="L34" i="36"/>
  <c r="N35" i="36"/>
  <c r="N37" i="36"/>
  <c r="N36" i="36"/>
  <c r="N34" i="36"/>
  <c r="P35" i="36"/>
  <c r="P37" i="36"/>
  <c r="P36" i="36"/>
  <c r="P34" i="36"/>
  <c r="J56" i="4"/>
  <c r="L48" i="4" l="1"/>
  <c r="L47" i="4"/>
  <c r="L45" i="4"/>
  <c r="L54" i="4"/>
  <c r="L59" i="4"/>
  <c r="R58" i="4"/>
  <c r="K56" i="4"/>
  <c r="L56" i="4" s="1"/>
  <c r="K55" i="4"/>
  <c r="L50" i="4"/>
  <c r="L52" i="4"/>
  <c r="S106" i="36" l="1"/>
  <c r="S107" i="36"/>
  <c r="S105" i="36"/>
  <c r="Q106" i="36"/>
  <c r="Q107" i="36"/>
  <c r="Q105" i="36"/>
  <c r="O106" i="36"/>
  <c r="O107" i="36"/>
  <c r="O105" i="36"/>
  <c r="M106" i="36"/>
  <c r="M107" i="36"/>
  <c r="M105" i="36"/>
  <c r="K106" i="36"/>
  <c r="K107" i="36"/>
  <c r="K105" i="36"/>
  <c r="S91" i="36"/>
  <c r="S93" i="36"/>
  <c r="S89" i="36"/>
  <c r="Q91" i="36"/>
  <c r="Q89" i="36"/>
  <c r="O91" i="36"/>
  <c r="O89" i="36"/>
  <c r="M91" i="36"/>
  <c r="M89" i="36"/>
  <c r="K91" i="36"/>
  <c r="K93" i="36"/>
  <c r="K89" i="36"/>
  <c r="S69" i="36"/>
  <c r="S73" i="36"/>
  <c r="S75" i="36"/>
  <c r="S67" i="36"/>
  <c r="Q69" i="36"/>
  <c r="Q73" i="36"/>
  <c r="Q75" i="36"/>
  <c r="Q67" i="36"/>
  <c r="O69" i="36"/>
  <c r="O73" i="36"/>
  <c r="O75" i="36"/>
  <c r="O67" i="36"/>
  <c r="M69" i="36"/>
  <c r="M73" i="36"/>
  <c r="M75" i="36"/>
  <c r="M67" i="36"/>
  <c r="K69" i="36"/>
  <c r="K73" i="36"/>
  <c r="K75" i="36"/>
  <c r="K67" i="36"/>
  <c r="J71" i="36"/>
  <c r="Q71" i="36" s="1"/>
  <c r="S51" i="36"/>
  <c r="S52" i="36"/>
  <c r="S53" i="36"/>
  <c r="S54" i="36"/>
  <c r="S55" i="36"/>
  <c r="S50" i="36"/>
  <c r="Q51" i="36"/>
  <c r="Q52" i="36"/>
  <c r="Q53" i="36"/>
  <c r="Q54" i="36"/>
  <c r="Q55" i="36"/>
  <c r="Q50" i="36"/>
  <c r="O51" i="36"/>
  <c r="O52" i="36"/>
  <c r="O53" i="36"/>
  <c r="O54" i="36"/>
  <c r="O55" i="36"/>
  <c r="O50" i="36"/>
  <c r="M51" i="36"/>
  <c r="M52" i="36"/>
  <c r="M53" i="36"/>
  <c r="M54" i="36"/>
  <c r="M55" i="36"/>
  <c r="M50" i="36"/>
  <c r="K50" i="36"/>
  <c r="K51" i="36"/>
  <c r="K52" i="36"/>
  <c r="K53" i="36"/>
  <c r="K54" i="36"/>
  <c r="K55" i="36"/>
  <c r="S57" i="36" l="1"/>
  <c r="M57" i="36"/>
  <c r="Q57" i="36"/>
  <c r="O57" i="36"/>
  <c r="K57" i="36"/>
  <c r="T57" i="36" s="1"/>
  <c r="T54" i="36"/>
  <c r="V54" i="36" s="1"/>
  <c r="T53" i="36"/>
  <c r="V53" i="36" s="1"/>
  <c r="T107" i="36"/>
  <c r="V107" i="36" s="1"/>
  <c r="T106" i="36"/>
  <c r="V106" i="36" s="1"/>
  <c r="O71" i="36"/>
  <c r="K71" i="36"/>
  <c r="T52" i="36"/>
  <c r="V52" i="36" s="1"/>
  <c r="T105" i="36"/>
  <c r="V105" i="36" s="1"/>
  <c r="T50" i="36"/>
  <c r="V50" i="36" s="1"/>
  <c r="T51" i="36"/>
  <c r="V51" i="36" s="1"/>
  <c r="M71" i="36"/>
  <c r="S71" i="36"/>
  <c r="T55" i="36"/>
  <c r="V55" i="36" s="1"/>
  <c r="T89" i="36"/>
  <c r="T67" i="36"/>
  <c r="S42" i="36"/>
  <c r="S43" i="36"/>
  <c r="S45" i="36"/>
  <c r="S44" i="36"/>
  <c r="S46" i="36"/>
  <c r="S41" i="36"/>
  <c r="Q42" i="36"/>
  <c r="Q43" i="36"/>
  <c r="Q45" i="36"/>
  <c r="Q44" i="36"/>
  <c r="Q46" i="36"/>
  <c r="Q41" i="36"/>
  <c r="Q48" i="36" s="1"/>
  <c r="O42" i="36"/>
  <c r="O43" i="36"/>
  <c r="O45" i="36"/>
  <c r="O44" i="36"/>
  <c r="O46" i="36"/>
  <c r="O41" i="36"/>
  <c r="M42" i="36"/>
  <c r="M43" i="36"/>
  <c r="M45" i="36"/>
  <c r="M44" i="36"/>
  <c r="M46" i="36"/>
  <c r="M41" i="36"/>
  <c r="K42" i="36"/>
  <c r="K43" i="36"/>
  <c r="K45" i="36"/>
  <c r="K44" i="36"/>
  <c r="K46" i="36"/>
  <c r="K41" i="36"/>
  <c r="S35" i="36"/>
  <c r="S36" i="36"/>
  <c r="S34" i="36"/>
  <c r="S33" i="36"/>
  <c r="S37" i="36"/>
  <c r="Q34" i="36"/>
  <c r="Q36" i="36"/>
  <c r="Q37" i="36"/>
  <c r="Q35" i="36"/>
  <c r="Q33" i="36"/>
  <c r="O34" i="36"/>
  <c r="O36" i="36"/>
  <c r="O37" i="36"/>
  <c r="O35" i="36"/>
  <c r="O33" i="36"/>
  <c r="M34" i="36"/>
  <c r="M36" i="36"/>
  <c r="M37" i="36"/>
  <c r="M35" i="36"/>
  <c r="M33" i="36"/>
  <c r="K35" i="36"/>
  <c r="K34" i="36"/>
  <c r="K36" i="36"/>
  <c r="K37" i="36"/>
  <c r="K33" i="36"/>
  <c r="K19" i="36"/>
  <c r="K18" i="36"/>
  <c r="K15" i="36"/>
  <c r="K14" i="36"/>
  <c r="K13" i="36"/>
  <c r="K16" i="36"/>
  <c r="K17" i="36"/>
  <c r="K20" i="36"/>
  <c r="K21" i="36"/>
  <c r="K22" i="36"/>
  <c r="K23" i="36"/>
  <c r="K48" i="36" l="1"/>
  <c r="S48" i="36"/>
  <c r="O39" i="36"/>
  <c r="M39" i="36"/>
  <c r="S39" i="36"/>
  <c r="O48" i="36"/>
  <c r="Q39" i="36"/>
  <c r="M48" i="36"/>
  <c r="K39" i="36"/>
  <c r="M12" i="36"/>
  <c r="O12" i="36"/>
  <c r="Q12" i="36"/>
  <c r="S12" i="36"/>
  <c r="O11" i="36"/>
  <c r="M11" i="36"/>
  <c r="Q11" i="36"/>
  <c r="S11" i="36"/>
  <c r="M10" i="36"/>
  <c r="O10" i="36"/>
  <c r="Q10" i="36"/>
  <c r="S10" i="36"/>
  <c r="T43" i="36"/>
  <c r="V43" i="36" s="1"/>
  <c r="T46" i="36"/>
  <c r="V46" i="36" s="1"/>
  <c r="K11" i="36"/>
  <c r="K12" i="36"/>
  <c r="T35" i="36"/>
  <c r="V35" i="36" s="1"/>
  <c r="T45" i="36"/>
  <c r="V45" i="36" s="1"/>
  <c r="T44" i="36"/>
  <c r="V44" i="36" s="1"/>
  <c r="T41" i="36"/>
  <c r="V41" i="36" s="1"/>
  <c r="T37" i="36"/>
  <c r="V37" i="36" s="1"/>
  <c r="T42" i="36"/>
  <c r="V42" i="36" s="1"/>
  <c r="K10" i="36"/>
  <c r="T33" i="36"/>
  <c r="V33" i="36" s="1"/>
  <c r="T34" i="36"/>
  <c r="V34" i="36" s="1"/>
  <c r="T36" i="36"/>
  <c r="V36" i="36" s="1"/>
  <c r="P173" i="4"/>
  <c r="P170" i="4"/>
  <c r="R170" i="4"/>
  <c r="N170" i="4"/>
  <c r="L170" i="4"/>
  <c r="J170" i="4"/>
  <c r="P149" i="4"/>
  <c r="R120" i="4"/>
  <c r="P120" i="4"/>
  <c r="N120" i="4"/>
  <c r="L120" i="4"/>
  <c r="J120" i="4"/>
  <c r="T48" i="36" l="1"/>
  <c r="V48" i="36" s="1"/>
  <c r="M24" i="36"/>
  <c r="T39" i="36"/>
  <c r="V39" i="36" s="1"/>
  <c r="M27" i="36"/>
  <c r="M29" i="36" s="1"/>
  <c r="S24" i="36"/>
  <c r="S27" i="36" s="1"/>
  <c r="Q24" i="36"/>
  <c r="Q27" i="36" s="1"/>
  <c r="K24" i="36"/>
  <c r="K27" i="36" s="1"/>
  <c r="O24" i="36"/>
  <c r="S170" i="4"/>
  <c r="S120" i="4"/>
  <c r="R116" i="4"/>
  <c r="P116" i="4"/>
  <c r="N116" i="4"/>
  <c r="L116" i="4"/>
  <c r="J116" i="4"/>
  <c r="R113" i="4"/>
  <c r="P113" i="4"/>
  <c r="N113" i="4"/>
  <c r="L113" i="4"/>
  <c r="J113" i="4"/>
  <c r="U120" i="4" l="1"/>
  <c r="C150" i="37"/>
  <c r="D150" i="37" s="1"/>
  <c r="U170" i="4"/>
  <c r="C242" i="37"/>
  <c r="D242" i="37" s="1"/>
  <c r="O27" i="36"/>
  <c r="O29" i="36" s="1"/>
  <c r="S116" i="4"/>
  <c r="S113" i="4"/>
  <c r="S76" i="32"/>
  <c r="Q76" i="32"/>
  <c r="S72" i="32"/>
  <c r="S70" i="32"/>
  <c r="Q74" i="32"/>
  <c r="O74" i="32"/>
  <c r="M74" i="32"/>
  <c r="Q72" i="32"/>
  <c r="O72" i="32"/>
  <c r="M72" i="32"/>
  <c r="Q70" i="32"/>
  <c r="O70" i="32"/>
  <c r="M70" i="32"/>
  <c r="U113" i="4" l="1"/>
  <c r="C143" i="37"/>
  <c r="D143" i="37" s="1"/>
  <c r="U116" i="4"/>
  <c r="C146" i="37"/>
  <c r="D146" i="37" s="1"/>
  <c r="P74" i="4"/>
  <c r="R74" i="4"/>
  <c r="L74" i="4"/>
  <c r="J54" i="32"/>
  <c r="J48" i="32"/>
  <c r="S48" i="32" l="1"/>
  <c r="Q48" i="32"/>
  <c r="K48" i="32"/>
  <c r="O48" i="32"/>
  <c r="M48" i="32"/>
  <c r="Q54" i="32"/>
  <c r="K54" i="32"/>
  <c r="O54" i="32"/>
  <c r="M54" i="32"/>
  <c r="S54" i="32"/>
  <c r="J80" i="4"/>
  <c r="I28" i="4" l="1"/>
  <c r="J28" i="4" s="1"/>
  <c r="L33" i="4"/>
  <c r="L39" i="4" s="1"/>
  <c r="L19" i="4"/>
  <c r="L20" i="4"/>
  <c r="L25" i="4"/>
  <c r="L26" i="4"/>
  <c r="L29" i="4"/>
  <c r="L16" i="4"/>
  <c r="J25" i="4"/>
  <c r="J29" i="4"/>
  <c r="P95" i="4"/>
  <c r="P97" i="4"/>
  <c r="P99" i="4"/>
  <c r="P100" i="4"/>
  <c r="N95" i="4"/>
  <c r="N99" i="4"/>
  <c r="N100" i="4"/>
  <c r="L95" i="4"/>
  <c r="L99" i="4"/>
  <c r="L100" i="4"/>
  <c r="J95" i="4"/>
  <c r="J97" i="4"/>
  <c r="J100" i="4"/>
  <c r="L28" i="4" l="1"/>
  <c r="P28" i="4"/>
  <c r="N202" i="4"/>
  <c r="J32" i="4" l="1"/>
  <c r="N83" i="4"/>
  <c r="J60" i="4" l="1"/>
  <c r="L60" i="4" l="1"/>
  <c r="R25" i="4"/>
  <c r="N25" i="4"/>
  <c r="J142" i="4"/>
  <c r="L142" i="4"/>
  <c r="N142" i="4"/>
  <c r="P142" i="4"/>
  <c r="R142" i="4"/>
  <c r="N26" i="4"/>
  <c r="I27" i="4"/>
  <c r="P27" i="4" s="1"/>
  <c r="P21" i="4"/>
  <c r="U109" i="36"/>
  <c r="U113" i="36" s="1"/>
  <c r="U98" i="36"/>
  <c r="U94" i="36"/>
  <c r="U77" i="36"/>
  <c r="U81" i="36" s="1"/>
  <c r="U29" i="36"/>
  <c r="P35" i="4" l="1"/>
  <c r="P38" i="4"/>
  <c r="U115" i="36"/>
  <c r="L24" i="4"/>
  <c r="J24" i="4"/>
  <c r="L27" i="4"/>
  <c r="J27" i="4"/>
  <c r="J21" i="4"/>
  <c r="L21" i="4"/>
  <c r="J22" i="4"/>
  <c r="L22" i="4"/>
  <c r="L23" i="4"/>
  <c r="J23" i="4"/>
  <c r="T91" i="36"/>
  <c r="V91" i="36" s="1"/>
  <c r="S142" i="4"/>
  <c r="S25" i="4"/>
  <c r="R28" i="4"/>
  <c r="R26" i="4"/>
  <c r="N28" i="4"/>
  <c r="T93" i="36"/>
  <c r="V93" i="36" s="1"/>
  <c r="V89" i="36"/>
  <c r="U25" i="4" l="1"/>
  <c r="C19" i="37"/>
  <c r="D19" i="37" s="1"/>
  <c r="U142" i="4"/>
  <c r="C172" i="37"/>
  <c r="D172" i="37" s="1"/>
  <c r="J38" i="4"/>
  <c r="L35" i="4"/>
  <c r="L38" i="4"/>
  <c r="T21" i="36"/>
  <c r="V21" i="36" s="1"/>
  <c r="T13" i="36"/>
  <c r="V13" i="36" s="1"/>
  <c r="T15" i="36"/>
  <c r="V15" i="36" s="1"/>
  <c r="T22" i="36"/>
  <c r="V22" i="36" s="1"/>
  <c r="R65" i="36"/>
  <c r="S65" i="36" s="1"/>
  <c r="P87" i="36"/>
  <c r="Q87" i="36" s="1"/>
  <c r="T23" i="36"/>
  <c r="V23" i="36" s="1"/>
  <c r="N104" i="36"/>
  <c r="O104" i="36" s="1"/>
  <c r="P64" i="36"/>
  <c r="Q64" i="36" s="1"/>
  <c r="T16" i="36"/>
  <c r="V16" i="36" s="1"/>
  <c r="R86" i="36"/>
  <c r="S86" i="36" s="1"/>
  <c r="I65" i="36"/>
  <c r="L63" i="36"/>
  <c r="M63" i="36" s="1"/>
  <c r="P63" i="36"/>
  <c r="Q63" i="36" s="1"/>
  <c r="N64" i="36"/>
  <c r="O64" i="36" s="1"/>
  <c r="L87" i="36"/>
  <c r="M87" i="36" s="1"/>
  <c r="I102" i="36"/>
  <c r="K102" i="36" s="1"/>
  <c r="R85" i="36"/>
  <c r="S85" i="36" s="1"/>
  <c r="S26" i="4"/>
  <c r="S28" i="4"/>
  <c r="U28" i="4" s="1"/>
  <c r="C24" i="37" s="1"/>
  <c r="D24" i="37" s="1"/>
  <c r="T17" i="36"/>
  <c r="V17" i="36" s="1"/>
  <c r="S29" i="36"/>
  <c r="T19" i="36"/>
  <c r="V19" i="36" s="1"/>
  <c r="T14" i="36"/>
  <c r="V14" i="36" s="1"/>
  <c r="T12" i="36"/>
  <c r="V12" i="36" s="1"/>
  <c r="T11" i="36"/>
  <c r="V11" i="36" s="1"/>
  <c r="T10" i="36"/>
  <c r="V10" i="36" s="1"/>
  <c r="T18" i="36"/>
  <c r="V18" i="36" s="1"/>
  <c r="T20" i="36"/>
  <c r="V20" i="36" s="1"/>
  <c r="T9" i="36"/>
  <c r="U26" i="4" l="1"/>
  <c r="C20" i="37"/>
  <c r="D20" i="37" s="1"/>
  <c r="V9" i="36"/>
  <c r="V24" i="36" s="1"/>
  <c r="T24" i="36"/>
  <c r="K29" i="36"/>
  <c r="R103" i="36"/>
  <c r="S103" i="36" s="1"/>
  <c r="R64" i="36"/>
  <c r="S64" i="36" s="1"/>
  <c r="N87" i="36"/>
  <c r="O87" i="36" s="1"/>
  <c r="N65" i="36"/>
  <c r="O65" i="36" s="1"/>
  <c r="L85" i="36"/>
  <c r="M85" i="36" s="1"/>
  <c r="I63" i="36"/>
  <c r="K63" i="36" s="1"/>
  <c r="L102" i="36"/>
  <c r="M102" i="36" s="1"/>
  <c r="V57" i="36"/>
  <c r="P65" i="36"/>
  <c r="Q65" i="36" s="1"/>
  <c r="N103" i="36"/>
  <c r="O103" i="36" s="1"/>
  <c r="I104" i="36"/>
  <c r="K104" i="36" s="1"/>
  <c r="N86" i="36"/>
  <c r="O86" i="36" s="1"/>
  <c r="K65" i="36"/>
  <c r="P104" i="36"/>
  <c r="Q104" i="36" s="1"/>
  <c r="I87" i="36"/>
  <c r="K87" i="36" s="1"/>
  <c r="R104" i="36"/>
  <c r="S104" i="36" s="1"/>
  <c r="R63" i="36"/>
  <c r="S63" i="36" s="1"/>
  <c r="R87" i="36"/>
  <c r="S87" i="36" s="1"/>
  <c r="R102" i="36"/>
  <c r="S102" i="36" s="1"/>
  <c r="P103" i="36"/>
  <c r="Q103" i="36" s="1"/>
  <c r="P86" i="36"/>
  <c r="Q86" i="36" s="1"/>
  <c r="L86" i="36"/>
  <c r="M86" i="36" s="1"/>
  <c r="P85" i="36"/>
  <c r="Q85" i="36" s="1"/>
  <c r="P102" i="36"/>
  <c r="Q102" i="36" s="1"/>
  <c r="N63" i="36"/>
  <c r="O63" i="36" s="1"/>
  <c r="N102" i="36"/>
  <c r="O102" i="36" s="1"/>
  <c r="L104" i="36"/>
  <c r="M104" i="36" s="1"/>
  <c r="N85" i="36"/>
  <c r="O85" i="36" s="1"/>
  <c r="L64" i="36"/>
  <c r="M64" i="36" s="1"/>
  <c r="L65" i="36"/>
  <c r="M65" i="36" s="1"/>
  <c r="L103" i="36"/>
  <c r="M103" i="36" s="1"/>
  <c r="I85" i="36"/>
  <c r="K85" i="36" s="1"/>
  <c r="I64" i="36"/>
  <c r="K64" i="36" s="1"/>
  <c r="I86" i="36"/>
  <c r="K86" i="36" s="1"/>
  <c r="I103" i="36"/>
  <c r="K103" i="36" s="1"/>
  <c r="R84" i="36"/>
  <c r="S84" i="36" s="1"/>
  <c r="R101" i="36"/>
  <c r="S101" i="36" s="1"/>
  <c r="R62" i="36"/>
  <c r="S62" i="36" s="1"/>
  <c r="Q29" i="36"/>
  <c r="T29" i="36" l="1"/>
  <c r="S94" i="36"/>
  <c r="S96" i="36" s="1"/>
  <c r="S98" i="36" s="1"/>
  <c r="T64" i="36"/>
  <c r="V64" i="36" s="1"/>
  <c r="I84" i="36"/>
  <c r="K84" i="36" s="1"/>
  <c r="K94" i="36" s="1"/>
  <c r="I101" i="36"/>
  <c r="K101" i="36" s="1"/>
  <c r="K109" i="36" s="1"/>
  <c r="I62" i="36"/>
  <c r="K62" i="36" s="1"/>
  <c r="T103" i="36"/>
  <c r="V103" i="36" s="1"/>
  <c r="T102" i="36"/>
  <c r="V102" i="36" s="1"/>
  <c r="T104" i="36"/>
  <c r="V104" i="36" s="1"/>
  <c r="T86" i="36"/>
  <c r="V86" i="36" s="1"/>
  <c r="T63" i="36"/>
  <c r="V63" i="36" s="1"/>
  <c r="T87" i="36"/>
  <c r="V87" i="36" s="1"/>
  <c r="T65" i="36"/>
  <c r="V65" i="36" s="1"/>
  <c r="S109" i="36"/>
  <c r="S111" i="36" s="1"/>
  <c r="S113" i="36" s="1"/>
  <c r="T85" i="36"/>
  <c r="V85" i="36" s="1"/>
  <c r="T27" i="36"/>
  <c r="V27" i="36" s="1"/>
  <c r="N62" i="36"/>
  <c r="O62" i="36" s="1"/>
  <c r="N84" i="36"/>
  <c r="O84" i="36" s="1"/>
  <c r="O94" i="36" s="1"/>
  <c r="N101" i="36"/>
  <c r="O101" i="36" s="1"/>
  <c r="O109" i="36" s="1"/>
  <c r="V29" i="36"/>
  <c r="L101" i="36"/>
  <c r="M101" i="36" s="1"/>
  <c r="L62" i="36"/>
  <c r="M62" i="36" s="1"/>
  <c r="L84" i="36"/>
  <c r="M84" i="36" s="1"/>
  <c r="M94" i="36" s="1"/>
  <c r="P84" i="36"/>
  <c r="Q84" i="36" s="1"/>
  <c r="Q94" i="36" s="1"/>
  <c r="P101" i="36"/>
  <c r="Q101" i="36" s="1"/>
  <c r="Q109" i="36" s="1"/>
  <c r="P62" i="36"/>
  <c r="Q62" i="36" s="1"/>
  <c r="M109" i="36" l="1"/>
  <c r="M111" i="36" s="1"/>
  <c r="M113" i="36" s="1"/>
  <c r="T101" i="36"/>
  <c r="V101" i="36" s="1"/>
  <c r="O111" i="36"/>
  <c r="O113" i="36" s="1"/>
  <c r="O96" i="36"/>
  <c r="O98" i="36" s="1"/>
  <c r="Q96" i="36"/>
  <c r="Q98" i="36" s="1"/>
  <c r="T84" i="36"/>
  <c r="T94" i="36" s="1"/>
  <c r="Q111" i="36"/>
  <c r="Q113" i="36" s="1"/>
  <c r="T62" i="36"/>
  <c r="V62" i="36" s="1"/>
  <c r="K111" i="36"/>
  <c r="M96" i="36"/>
  <c r="M98" i="36" s="1"/>
  <c r="K96" i="36"/>
  <c r="K98" i="36" s="1"/>
  <c r="T109" i="36" l="1"/>
  <c r="V109" i="36" s="1"/>
  <c r="T111" i="36"/>
  <c r="V111" i="36" s="1"/>
  <c r="T96" i="36"/>
  <c r="V96" i="36" s="1"/>
  <c r="T98" i="36"/>
  <c r="V98" i="36" s="1"/>
  <c r="V94" i="36"/>
  <c r="V84" i="36"/>
  <c r="K113" i="36"/>
  <c r="T113" i="36" l="1"/>
  <c r="V113" i="36" s="1"/>
  <c r="O76" i="32" l="1"/>
  <c r="M76" i="32"/>
  <c r="K76" i="32"/>
  <c r="S68" i="32"/>
  <c r="Q68" i="32"/>
  <c r="O68" i="32"/>
  <c r="K70" i="32"/>
  <c r="M46" i="32"/>
  <c r="K46" i="32"/>
  <c r="S46" i="32"/>
  <c r="S37" i="32"/>
  <c r="Q37" i="32"/>
  <c r="O37" i="32"/>
  <c r="M37" i="32"/>
  <c r="K37" i="32"/>
  <c r="J33" i="32"/>
  <c r="K28" i="32"/>
  <c r="K29" i="32"/>
  <c r="K30" i="32"/>
  <c r="S28" i="32"/>
  <c r="Q28" i="32"/>
  <c r="O28" i="32"/>
  <c r="M28" i="32"/>
  <c r="S29" i="32"/>
  <c r="Q29" i="32"/>
  <c r="O29" i="32"/>
  <c r="M29" i="32"/>
  <c r="S30" i="32"/>
  <c r="Q30" i="32"/>
  <c r="O30" i="32"/>
  <c r="M30" i="32"/>
  <c r="Q17" i="32"/>
  <c r="M16" i="32"/>
  <c r="M15" i="32"/>
  <c r="Q14" i="32"/>
  <c r="T76" i="32" l="1"/>
  <c r="V76" i="32" s="1"/>
  <c r="T68" i="32"/>
  <c r="V68" i="32" s="1"/>
  <c r="T70" i="32"/>
  <c r="V70" i="32" s="1"/>
  <c r="T37" i="32"/>
  <c r="V37" i="32" s="1"/>
  <c r="T46" i="32"/>
  <c r="T28" i="32"/>
  <c r="V28" i="32" s="1"/>
  <c r="T30" i="32"/>
  <c r="V30" i="32" s="1"/>
  <c r="T29" i="32"/>
  <c r="V29" i="32" s="1"/>
  <c r="Q16" i="32"/>
  <c r="O16" i="32"/>
  <c r="S16" i="32"/>
  <c r="K16" i="32"/>
  <c r="S17" i="32"/>
  <c r="M17" i="32"/>
  <c r="O17" i="32"/>
  <c r="K17" i="32"/>
  <c r="S14" i="32"/>
  <c r="K14" i="32"/>
  <c r="O14" i="32"/>
  <c r="M14" i="32"/>
  <c r="O15" i="32"/>
  <c r="Q15" i="32"/>
  <c r="S15" i="32"/>
  <c r="T77" i="32" l="1"/>
  <c r="V77" i="32" s="1"/>
  <c r="T16" i="32"/>
  <c r="V16" i="32" s="1"/>
  <c r="T17" i="32"/>
  <c r="V17" i="32" s="1"/>
  <c r="T14" i="32"/>
  <c r="V14" i="32" s="1"/>
  <c r="T15" i="32"/>
  <c r="V15" i="32" s="1"/>
  <c r="K89" i="32" l="1"/>
  <c r="S25" i="32" l="1"/>
  <c r="S26" i="32"/>
  <c r="S27" i="32"/>
  <c r="S31" i="32"/>
  <c r="S32" i="32"/>
  <c r="S33" i="32"/>
  <c r="S34" i="32"/>
  <c r="S35" i="32"/>
  <c r="S36" i="32"/>
  <c r="S24" i="32"/>
  <c r="Q25" i="32"/>
  <c r="Q26" i="32"/>
  <c r="Q27" i="32"/>
  <c r="Q31" i="32"/>
  <c r="Q32" i="32"/>
  <c r="Q33" i="32"/>
  <c r="Q34" i="32"/>
  <c r="Q35" i="32"/>
  <c r="Q36" i="32"/>
  <c r="Q24" i="32"/>
  <c r="O25" i="32"/>
  <c r="O26" i="32"/>
  <c r="O27" i="32"/>
  <c r="O31" i="32"/>
  <c r="O32" i="32"/>
  <c r="O33" i="32"/>
  <c r="O34" i="32"/>
  <c r="O35" i="32"/>
  <c r="O36" i="32"/>
  <c r="O24" i="32"/>
  <c r="M25" i="32"/>
  <c r="M26" i="32"/>
  <c r="M27" i="32"/>
  <c r="M31" i="32"/>
  <c r="M32" i="32"/>
  <c r="M33" i="32"/>
  <c r="M34" i="32"/>
  <c r="M35" i="32"/>
  <c r="M36" i="32"/>
  <c r="M24" i="32"/>
  <c r="K25" i="32"/>
  <c r="K26" i="32"/>
  <c r="K27" i="32"/>
  <c r="K31" i="32"/>
  <c r="K32" i="32"/>
  <c r="K33" i="32"/>
  <c r="K34" i="32"/>
  <c r="K35" i="32"/>
  <c r="K36" i="32"/>
  <c r="K24" i="32"/>
  <c r="O39" i="32" l="1"/>
  <c r="S39" i="32"/>
  <c r="Q39" i="32"/>
  <c r="M39" i="32"/>
  <c r="K39" i="32"/>
  <c r="N23" i="4" l="1"/>
  <c r="P126" i="4"/>
  <c r="P125" i="4"/>
  <c r="N126" i="4"/>
  <c r="N125" i="4"/>
  <c r="L126" i="4"/>
  <c r="L125" i="4"/>
  <c r="R125" i="4"/>
  <c r="R126" i="4"/>
  <c r="J124" i="4"/>
  <c r="L124" i="4"/>
  <c r="N124" i="4"/>
  <c r="P124" i="4"/>
  <c r="R124" i="4"/>
  <c r="R132" i="4"/>
  <c r="P132" i="4"/>
  <c r="N132" i="4"/>
  <c r="L132" i="4"/>
  <c r="J132" i="4"/>
  <c r="R110" i="4"/>
  <c r="P110" i="4"/>
  <c r="N110" i="4"/>
  <c r="L110" i="4"/>
  <c r="J110" i="4"/>
  <c r="R15" i="4" l="1"/>
  <c r="S110" i="4"/>
  <c r="S126" i="4"/>
  <c r="S125" i="4"/>
  <c r="S124" i="4"/>
  <c r="S132" i="4"/>
  <c r="R23" i="4"/>
  <c r="L108" i="4"/>
  <c r="R168" i="4"/>
  <c r="R167" i="4"/>
  <c r="P168" i="4"/>
  <c r="P167" i="4"/>
  <c r="N168" i="4"/>
  <c r="N167" i="4"/>
  <c r="S9" i="32"/>
  <c r="S10" i="32"/>
  <c r="Q11" i="32"/>
  <c r="R183" i="4"/>
  <c r="R182" i="4"/>
  <c r="P183" i="4"/>
  <c r="P182" i="4"/>
  <c r="N183" i="4"/>
  <c r="N182" i="4"/>
  <c r="L183" i="4"/>
  <c r="L182" i="4"/>
  <c r="J183" i="4"/>
  <c r="J182" i="4"/>
  <c r="O13" i="32"/>
  <c r="O18" i="32"/>
  <c r="R161" i="4"/>
  <c r="R160" i="4"/>
  <c r="L160" i="4"/>
  <c r="J161" i="4"/>
  <c r="J160" i="4"/>
  <c r="P122" i="4"/>
  <c r="P121" i="4"/>
  <c r="N122" i="4"/>
  <c r="N121" i="4"/>
  <c r="L122" i="4"/>
  <c r="L121" i="4"/>
  <c r="N171" i="4"/>
  <c r="L171" i="4"/>
  <c r="J171" i="4"/>
  <c r="L157" i="4"/>
  <c r="L156" i="4"/>
  <c r="J157" i="4"/>
  <c r="J156" i="4"/>
  <c r="R199" i="4"/>
  <c r="R200" i="4"/>
  <c r="P199" i="4"/>
  <c r="P200" i="4"/>
  <c r="N199" i="4"/>
  <c r="N200" i="4"/>
  <c r="L200" i="4"/>
  <c r="L199" i="4"/>
  <c r="J200" i="4"/>
  <c r="J199" i="4"/>
  <c r="S12" i="32"/>
  <c r="T62" i="4"/>
  <c r="J193" i="4"/>
  <c r="L193" i="4"/>
  <c r="T66" i="4"/>
  <c r="C9" i="19" s="1"/>
  <c r="R64" i="4"/>
  <c r="R66" i="4" s="1"/>
  <c r="P64" i="4"/>
  <c r="P66" i="4" s="1"/>
  <c r="N64" i="4"/>
  <c r="N66" i="4" s="1"/>
  <c r="L64" i="4"/>
  <c r="L66" i="4" s="1"/>
  <c r="J64" i="4"/>
  <c r="J66" i="4" s="1"/>
  <c r="J205" i="4"/>
  <c r="L205" i="4"/>
  <c r="N205" i="4"/>
  <c r="P205" i="4"/>
  <c r="R205" i="4"/>
  <c r="J206" i="4"/>
  <c r="L206" i="4"/>
  <c r="N206" i="4"/>
  <c r="P206" i="4"/>
  <c r="R206" i="4"/>
  <c r="S80" i="4"/>
  <c r="L180" i="4"/>
  <c r="L181" i="4"/>
  <c r="R181" i="4"/>
  <c r="R180" i="4"/>
  <c r="O181" i="4"/>
  <c r="P181" i="4" s="1"/>
  <c r="O180" i="4"/>
  <c r="P180" i="4" s="1"/>
  <c r="N181" i="4"/>
  <c r="N180" i="4"/>
  <c r="J180" i="4"/>
  <c r="J181" i="4"/>
  <c r="J179" i="4"/>
  <c r="L179" i="4"/>
  <c r="N179" i="4"/>
  <c r="P179" i="4"/>
  <c r="R179" i="4"/>
  <c r="J177" i="4"/>
  <c r="L177" i="4"/>
  <c r="N177" i="4"/>
  <c r="P177" i="4"/>
  <c r="R177" i="4"/>
  <c r="P161" i="4"/>
  <c r="P160" i="4"/>
  <c r="N161" i="4"/>
  <c r="N160" i="4"/>
  <c r="L161" i="4"/>
  <c r="R159" i="4"/>
  <c r="J122" i="4"/>
  <c r="J121" i="4"/>
  <c r="R121" i="4"/>
  <c r="R122" i="4"/>
  <c r="P171" i="4"/>
  <c r="R171" i="4"/>
  <c r="N157" i="4"/>
  <c r="P157" i="4"/>
  <c r="R157" i="4"/>
  <c r="L192" i="4"/>
  <c r="N196" i="4"/>
  <c r="R196" i="4"/>
  <c r="L196" i="4"/>
  <c r="J196" i="4"/>
  <c r="J192" i="4"/>
  <c r="R95" i="4"/>
  <c r="R96" i="4"/>
  <c r="R97" i="4"/>
  <c r="R99" i="4"/>
  <c r="R100" i="4"/>
  <c r="R94" i="4"/>
  <c r="N21" i="4"/>
  <c r="R21" i="4"/>
  <c r="N29" i="4"/>
  <c r="R29" i="4"/>
  <c r="J108" i="4"/>
  <c r="R107" i="4"/>
  <c r="R108" i="4"/>
  <c r="P107" i="4"/>
  <c r="P108" i="4"/>
  <c r="N107" i="4"/>
  <c r="N108" i="4"/>
  <c r="R165" i="4"/>
  <c r="R166" i="4"/>
  <c r="P165" i="4"/>
  <c r="P166" i="4"/>
  <c r="N165" i="4"/>
  <c r="N166" i="4"/>
  <c r="L165" i="4"/>
  <c r="L166" i="4"/>
  <c r="L167" i="4"/>
  <c r="L168" i="4"/>
  <c r="J165" i="4"/>
  <c r="J166" i="4"/>
  <c r="J167" i="4"/>
  <c r="J168" i="4"/>
  <c r="R176" i="4"/>
  <c r="P176" i="4"/>
  <c r="N176" i="4"/>
  <c r="L176" i="4"/>
  <c r="J176" i="4"/>
  <c r="R173" i="4"/>
  <c r="R174" i="4"/>
  <c r="R175" i="4"/>
  <c r="P174" i="4"/>
  <c r="P175" i="4"/>
  <c r="N173" i="4"/>
  <c r="N174" i="4"/>
  <c r="N175" i="4"/>
  <c r="L173" i="4"/>
  <c r="L174" i="4"/>
  <c r="L175" i="4"/>
  <c r="J173" i="4"/>
  <c r="J174" i="4"/>
  <c r="J175" i="4"/>
  <c r="J162" i="4"/>
  <c r="P159" i="4"/>
  <c r="N159" i="4"/>
  <c r="L159" i="4"/>
  <c r="J159" i="4"/>
  <c r="R162" i="4"/>
  <c r="R163" i="4"/>
  <c r="P162" i="4"/>
  <c r="P163" i="4"/>
  <c r="N162" i="4"/>
  <c r="N163" i="4"/>
  <c r="L162" i="4"/>
  <c r="L163" i="4"/>
  <c r="J163" i="4"/>
  <c r="R154" i="4"/>
  <c r="R153" i="4"/>
  <c r="R155" i="4"/>
  <c r="R156" i="4"/>
  <c r="P154" i="4"/>
  <c r="P153" i="4"/>
  <c r="P155" i="4"/>
  <c r="P156" i="4"/>
  <c r="N154" i="4"/>
  <c r="N153" i="4"/>
  <c r="N155" i="4"/>
  <c r="N156" i="4"/>
  <c r="L154" i="4"/>
  <c r="L153" i="4"/>
  <c r="L155" i="4"/>
  <c r="J153" i="4"/>
  <c r="J154" i="4"/>
  <c r="J155" i="4"/>
  <c r="T72" i="32"/>
  <c r="S52" i="32"/>
  <c r="Q52" i="32"/>
  <c r="O52" i="32"/>
  <c r="K52" i="32"/>
  <c r="S50" i="32"/>
  <c r="Q50" i="32"/>
  <c r="O50" i="32"/>
  <c r="M50" i="32"/>
  <c r="K50" i="32"/>
  <c r="U39" i="32"/>
  <c r="Q12" i="32"/>
  <c r="Q10" i="32"/>
  <c r="O12" i="32"/>
  <c r="O10" i="32"/>
  <c r="M12" i="32"/>
  <c r="M10" i="32"/>
  <c r="K12" i="32"/>
  <c r="U97" i="32"/>
  <c r="U93" i="32"/>
  <c r="S91" i="32"/>
  <c r="Q91" i="32"/>
  <c r="O91" i="32"/>
  <c r="M91" i="32"/>
  <c r="K91" i="32"/>
  <c r="S90" i="32"/>
  <c r="Q90" i="32"/>
  <c r="O90" i="32"/>
  <c r="M90" i="32"/>
  <c r="K90" i="32"/>
  <c r="S89" i="32"/>
  <c r="Q89" i="32"/>
  <c r="O89" i="32"/>
  <c r="M89" i="32"/>
  <c r="U83" i="32"/>
  <c r="U79" i="32"/>
  <c r="U62" i="32"/>
  <c r="U58" i="32"/>
  <c r="U22" i="32"/>
  <c r="U80" i="4" l="1"/>
  <c r="C79" i="37"/>
  <c r="D79" i="37" s="1"/>
  <c r="U132" i="4"/>
  <c r="C162" i="37"/>
  <c r="D162" i="37" s="1"/>
  <c r="U124" i="4"/>
  <c r="C154" i="37"/>
  <c r="D154" i="37" s="1"/>
  <c r="U125" i="4"/>
  <c r="C155" i="37"/>
  <c r="D155" i="37" s="1"/>
  <c r="U126" i="4"/>
  <c r="C156" i="37"/>
  <c r="D156" i="37" s="1"/>
  <c r="U110" i="4"/>
  <c r="C111" i="37"/>
  <c r="D111" i="37" s="1"/>
  <c r="T12" i="32"/>
  <c r="V12" i="32" s="1"/>
  <c r="K10" i="32"/>
  <c r="T10" i="32" s="1"/>
  <c r="V10" i="32" s="1"/>
  <c r="K11" i="32"/>
  <c r="O9" i="32"/>
  <c r="S18" i="32"/>
  <c r="K13" i="32"/>
  <c r="S13" i="32"/>
  <c r="Q9" i="32"/>
  <c r="M13" i="32"/>
  <c r="K9" i="32"/>
  <c r="M18" i="32"/>
  <c r="K18" i="32"/>
  <c r="M11" i="32"/>
  <c r="Q13" i="32"/>
  <c r="O11" i="32"/>
  <c r="Q18" i="32"/>
  <c r="S11" i="32"/>
  <c r="S23" i="4"/>
  <c r="U23" i="4" s="1"/>
  <c r="C16" i="37" s="1"/>
  <c r="D16" i="37" s="1"/>
  <c r="S200" i="4"/>
  <c r="S199" i="4"/>
  <c r="N193" i="4"/>
  <c r="P193" i="4" s="1"/>
  <c r="Q193" i="4" s="1"/>
  <c r="R193" i="4" s="1"/>
  <c r="S64" i="4"/>
  <c r="U64" i="4" s="1"/>
  <c r="S206" i="4"/>
  <c r="S205" i="4"/>
  <c r="S171" i="4"/>
  <c r="S160" i="4"/>
  <c r="S121" i="4"/>
  <c r="S177" i="4"/>
  <c r="S161" i="4"/>
  <c r="S122" i="4"/>
  <c r="S157" i="4"/>
  <c r="S179" i="4"/>
  <c r="S96" i="4"/>
  <c r="S183" i="4"/>
  <c r="S182" i="4"/>
  <c r="S180" i="4"/>
  <c r="S181" i="4"/>
  <c r="S97" i="4"/>
  <c r="S29" i="4"/>
  <c r="U29" i="4" s="1"/>
  <c r="C25" i="37" s="1"/>
  <c r="D25" i="37" s="1"/>
  <c r="N192" i="4"/>
  <c r="P192" i="4" s="1"/>
  <c r="Q192" i="4" s="1"/>
  <c r="R192" i="4" s="1"/>
  <c r="S21" i="4"/>
  <c r="U21" i="4" s="1"/>
  <c r="C14" i="37" s="1"/>
  <c r="D14" i="37" s="1"/>
  <c r="S95" i="4"/>
  <c r="S162" i="4"/>
  <c r="S100" i="4"/>
  <c r="P196" i="4"/>
  <c r="S196" i="4" s="1"/>
  <c r="C268" i="37" s="1"/>
  <c r="D268" i="37" s="1"/>
  <c r="S94" i="4"/>
  <c r="S99" i="4"/>
  <c r="S154" i="4"/>
  <c r="S163" i="4"/>
  <c r="S153" i="4"/>
  <c r="S155" i="4"/>
  <c r="S108" i="4"/>
  <c r="S159" i="4"/>
  <c r="S176" i="4"/>
  <c r="S166" i="4"/>
  <c r="S165" i="4"/>
  <c r="S168" i="4"/>
  <c r="S167" i="4"/>
  <c r="S156" i="4"/>
  <c r="S175" i="4"/>
  <c r="S174" i="4"/>
  <c r="S173" i="4"/>
  <c r="T48" i="32"/>
  <c r="V48" i="32" s="1"/>
  <c r="T74" i="32"/>
  <c r="V74" i="32" s="1"/>
  <c r="V72" i="32"/>
  <c r="T50" i="32"/>
  <c r="V50" i="32" s="1"/>
  <c r="T56" i="32"/>
  <c r="V56" i="32" s="1"/>
  <c r="V46" i="32"/>
  <c r="T52" i="32"/>
  <c r="V52" i="32" s="1"/>
  <c r="T54" i="32"/>
  <c r="V54" i="32" s="1"/>
  <c r="R87" i="32"/>
  <c r="S87" i="32" s="1"/>
  <c r="L44" i="32"/>
  <c r="M44" i="32" s="1"/>
  <c r="N66" i="32"/>
  <c r="O66" i="32" s="1"/>
  <c r="P87" i="32"/>
  <c r="Q87" i="32" s="1"/>
  <c r="T26" i="32"/>
  <c r="V26" i="32" s="1"/>
  <c r="T24" i="32"/>
  <c r="T34" i="32"/>
  <c r="V34" i="32" s="1"/>
  <c r="T25" i="32"/>
  <c r="V25" i="32" s="1"/>
  <c r="K22" i="32"/>
  <c r="T31" i="32"/>
  <c r="V31" i="32" s="1"/>
  <c r="T27" i="32"/>
  <c r="V27" i="32" s="1"/>
  <c r="T35" i="32"/>
  <c r="V35" i="32" s="1"/>
  <c r="T33" i="32"/>
  <c r="V33" i="32" s="1"/>
  <c r="T32" i="32"/>
  <c r="V32" i="32" s="1"/>
  <c r="T36" i="32"/>
  <c r="V36" i="32" s="1"/>
  <c r="S22" i="32"/>
  <c r="T90" i="32"/>
  <c r="V90" i="32" s="1"/>
  <c r="T89" i="32"/>
  <c r="V89" i="32" s="1"/>
  <c r="U99" i="32"/>
  <c r="T91" i="32"/>
  <c r="V91" i="32" s="1"/>
  <c r="O22" i="32"/>
  <c r="M22" i="32"/>
  <c r="Q22" i="32"/>
  <c r="S20" i="32" l="1"/>
  <c r="R65" i="32" s="1"/>
  <c r="S65" i="32" s="1"/>
  <c r="Q20" i="32"/>
  <c r="M20" i="32"/>
  <c r="U154" i="4"/>
  <c r="C226" i="37"/>
  <c r="D226" i="37" s="1"/>
  <c r="U99" i="4"/>
  <c r="C99" i="37"/>
  <c r="D99" i="37" s="1"/>
  <c r="U157" i="4"/>
  <c r="C229" i="37"/>
  <c r="D229" i="37" s="1"/>
  <c r="U206" i="4"/>
  <c r="C278" i="37"/>
  <c r="D278" i="37" s="1"/>
  <c r="U205" i="4"/>
  <c r="C277" i="37"/>
  <c r="D277" i="37" s="1"/>
  <c r="U176" i="4"/>
  <c r="C248" i="37"/>
  <c r="D248" i="37" s="1"/>
  <c r="U94" i="4"/>
  <c r="C93" i="37"/>
  <c r="D93" i="37" s="1"/>
  <c r="U97" i="4"/>
  <c r="C97" i="37"/>
  <c r="D97" i="37" s="1"/>
  <c r="U122" i="4"/>
  <c r="C152" i="37"/>
  <c r="D152" i="37" s="1"/>
  <c r="U165" i="4"/>
  <c r="C237" i="37"/>
  <c r="D237" i="37" s="1"/>
  <c r="U179" i="4"/>
  <c r="C251" i="37"/>
  <c r="D251" i="37" s="1"/>
  <c r="U181" i="4"/>
  <c r="C253" i="37"/>
  <c r="D253" i="37" s="1"/>
  <c r="U161" i="4"/>
  <c r="C233" i="37"/>
  <c r="D233" i="37" s="1"/>
  <c r="U166" i="4"/>
  <c r="C238" i="37"/>
  <c r="D238" i="37" s="1"/>
  <c r="U174" i="4"/>
  <c r="C246" i="37"/>
  <c r="D246" i="37" s="1"/>
  <c r="U108" i="4"/>
  <c r="C109" i="37"/>
  <c r="D109" i="37" s="1"/>
  <c r="U100" i="4"/>
  <c r="C100" i="37"/>
  <c r="D100" i="37" s="1"/>
  <c r="U180" i="4"/>
  <c r="C252" i="37"/>
  <c r="D252" i="37" s="1"/>
  <c r="U177" i="4"/>
  <c r="C249" i="37"/>
  <c r="D249" i="37" s="1"/>
  <c r="U199" i="4"/>
  <c r="C271" i="37"/>
  <c r="D271" i="37" s="1"/>
  <c r="U173" i="4"/>
  <c r="C245" i="37"/>
  <c r="D245" i="37" s="1"/>
  <c r="U175" i="4"/>
  <c r="C247" i="37"/>
  <c r="D247" i="37" s="1"/>
  <c r="U156" i="4"/>
  <c r="C228" i="37"/>
  <c r="D228" i="37" s="1"/>
  <c r="U155" i="4"/>
  <c r="C227" i="37"/>
  <c r="D227" i="37" s="1"/>
  <c r="U162" i="4"/>
  <c r="C234" i="37"/>
  <c r="D234" i="37" s="1"/>
  <c r="U182" i="4"/>
  <c r="C254" i="37"/>
  <c r="D254" i="37" s="1"/>
  <c r="U121" i="4"/>
  <c r="C151" i="37"/>
  <c r="D151" i="37" s="1"/>
  <c r="U200" i="4"/>
  <c r="C272" i="37"/>
  <c r="D272" i="37" s="1"/>
  <c r="U159" i="4"/>
  <c r="C231" i="37"/>
  <c r="D231" i="37" s="1"/>
  <c r="U167" i="4"/>
  <c r="C239" i="37"/>
  <c r="D239" i="37" s="1"/>
  <c r="U153" i="4"/>
  <c r="C225" i="37"/>
  <c r="D225" i="37" s="1"/>
  <c r="U95" i="4"/>
  <c r="C94" i="37"/>
  <c r="D94" i="37" s="1"/>
  <c r="U183" i="4"/>
  <c r="C255" i="37"/>
  <c r="D255" i="37" s="1"/>
  <c r="U160" i="4"/>
  <c r="C232" i="37"/>
  <c r="D232" i="37" s="1"/>
  <c r="U168" i="4"/>
  <c r="C240" i="37"/>
  <c r="D240" i="37" s="1"/>
  <c r="U163" i="4"/>
  <c r="C235" i="37"/>
  <c r="D235" i="37" s="1"/>
  <c r="U96" i="4"/>
  <c r="C95" i="37"/>
  <c r="D95" i="37" s="1"/>
  <c r="U171" i="4"/>
  <c r="C243" i="37"/>
  <c r="D243" i="37" s="1"/>
  <c r="O20" i="32"/>
  <c r="K20" i="32"/>
  <c r="I65" i="32" s="1"/>
  <c r="K65" i="32" s="1"/>
  <c r="P65" i="32"/>
  <c r="Q65" i="32" s="1"/>
  <c r="V22" i="32"/>
  <c r="T22" i="32"/>
  <c r="T11" i="32"/>
  <c r="V11" i="32" s="1"/>
  <c r="T18" i="32"/>
  <c r="V18" i="32" s="1"/>
  <c r="T13" i="32"/>
  <c r="V13" i="32" s="1"/>
  <c r="N43" i="32"/>
  <c r="O43" i="32" s="1"/>
  <c r="T39" i="32"/>
  <c r="T9" i="32"/>
  <c r="S193" i="4"/>
  <c r="S192" i="4"/>
  <c r="U196" i="4"/>
  <c r="V24" i="32"/>
  <c r="V39" i="32" s="1"/>
  <c r="P44" i="32"/>
  <c r="Q44" i="32" s="1"/>
  <c r="P66" i="32"/>
  <c r="Q66" i="32" s="1"/>
  <c r="R66" i="32"/>
  <c r="S66" i="32" s="1"/>
  <c r="N87" i="32"/>
  <c r="O87" i="32" s="1"/>
  <c r="N44" i="32"/>
  <c r="O44" i="32" s="1"/>
  <c r="R44" i="32"/>
  <c r="S44" i="32" s="1"/>
  <c r="L66" i="32"/>
  <c r="M66" i="32" s="1"/>
  <c r="L87" i="32"/>
  <c r="M87" i="32" s="1"/>
  <c r="I66" i="32"/>
  <c r="K66" i="32" s="1"/>
  <c r="I44" i="32"/>
  <c r="K44" i="32" s="1"/>
  <c r="I87" i="32"/>
  <c r="K87" i="32" s="1"/>
  <c r="U192" i="4" l="1"/>
  <c r="C264" i="37"/>
  <c r="D264" i="37" s="1"/>
  <c r="U193" i="4"/>
  <c r="C265" i="37"/>
  <c r="D265" i="37" s="1"/>
  <c r="S79" i="32"/>
  <c r="S81" i="32" s="1"/>
  <c r="T20" i="32"/>
  <c r="Q79" i="32"/>
  <c r="Q81" i="32" s="1"/>
  <c r="O58" i="32"/>
  <c r="O60" i="32" s="1"/>
  <c r="O62" i="32" s="1"/>
  <c r="K79" i="32"/>
  <c r="V9" i="32"/>
  <c r="V20" i="32" s="1"/>
  <c r="I86" i="32"/>
  <c r="K86" i="32" s="1"/>
  <c r="K93" i="32" s="1"/>
  <c r="R86" i="32"/>
  <c r="S86" i="32" s="1"/>
  <c r="N86" i="32"/>
  <c r="O86" i="32" s="1"/>
  <c r="N65" i="32"/>
  <c r="R43" i="32"/>
  <c r="S43" i="32" s="1"/>
  <c r="S58" i="32" s="1"/>
  <c r="P86" i="32"/>
  <c r="Q86" i="32" s="1"/>
  <c r="P43" i="32"/>
  <c r="Q43" i="32" s="1"/>
  <c r="T87" i="32"/>
  <c r="V87" i="32" s="1"/>
  <c r="T44" i="32"/>
  <c r="V44" i="32" s="1"/>
  <c r="T66" i="32"/>
  <c r="V66" i="32" s="1"/>
  <c r="I43" i="32"/>
  <c r="L43" i="32"/>
  <c r="M43" i="32" s="1"/>
  <c r="M58" i="32" s="1"/>
  <c r="L65" i="32"/>
  <c r="L86" i="32"/>
  <c r="M86" i="32" s="1"/>
  <c r="M93" i="32" s="1"/>
  <c r="Q58" i="32" l="1"/>
  <c r="Q60" i="32" s="1"/>
  <c r="Q62" i="32" s="1"/>
  <c r="S60" i="32"/>
  <c r="S62" i="32" s="1"/>
  <c r="S83" i="32"/>
  <c r="Q93" i="32"/>
  <c r="O65" i="32"/>
  <c r="O79" i="32" s="1"/>
  <c r="O93" i="32"/>
  <c r="M65" i="32"/>
  <c r="M79" i="32" s="1"/>
  <c r="Q83" i="32"/>
  <c r="S93" i="32"/>
  <c r="K43" i="32"/>
  <c r="K58" i="32" s="1"/>
  <c r="T58" i="32" s="1"/>
  <c r="V58" i="32" s="1"/>
  <c r="M95" i="32"/>
  <c r="M97" i="32" s="1"/>
  <c r="M60" i="32"/>
  <c r="M62" i="32" s="1"/>
  <c r="K95" i="32"/>
  <c r="K97" i="32" s="1"/>
  <c r="K81" i="32"/>
  <c r="K83" i="32" s="1"/>
  <c r="T86" i="32"/>
  <c r="V86" i="32" s="1"/>
  <c r="R147" i="4"/>
  <c r="P147" i="4"/>
  <c r="N147" i="4"/>
  <c r="L147" i="4"/>
  <c r="J147" i="4"/>
  <c r="R151" i="4"/>
  <c r="R150" i="4"/>
  <c r="P151" i="4"/>
  <c r="P150" i="4"/>
  <c r="N150" i="4"/>
  <c r="R149" i="4"/>
  <c r="N149" i="4"/>
  <c r="N151" i="4"/>
  <c r="L149" i="4"/>
  <c r="L150" i="4"/>
  <c r="L151" i="4"/>
  <c r="J149" i="4"/>
  <c r="J150" i="4"/>
  <c r="J151" i="4"/>
  <c r="T143" i="4"/>
  <c r="P117" i="4"/>
  <c r="R114" i="4"/>
  <c r="R115" i="4"/>
  <c r="R117" i="4"/>
  <c r="P114" i="4"/>
  <c r="P115" i="4"/>
  <c r="N114" i="4"/>
  <c r="N115" i="4"/>
  <c r="N117" i="4"/>
  <c r="L114" i="4"/>
  <c r="L115" i="4"/>
  <c r="L117" i="4"/>
  <c r="J114" i="4"/>
  <c r="J115" i="4"/>
  <c r="J117" i="4"/>
  <c r="R138" i="4"/>
  <c r="R139" i="4"/>
  <c r="R140" i="4"/>
  <c r="P138" i="4"/>
  <c r="P139" i="4"/>
  <c r="P140" i="4"/>
  <c r="N138" i="4"/>
  <c r="N139" i="4"/>
  <c r="N140" i="4"/>
  <c r="L138" i="4"/>
  <c r="L139" i="4"/>
  <c r="L140" i="4"/>
  <c r="J138" i="4"/>
  <c r="J139" i="4"/>
  <c r="J140" i="4"/>
  <c r="R136" i="4"/>
  <c r="R137" i="4"/>
  <c r="P136" i="4"/>
  <c r="P137" i="4"/>
  <c r="N136" i="4"/>
  <c r="N137" i="4"/>
  <c r="L136" i="4"/>
  <c r="L137" i="4"/>
  <c r="J136" i="4"/>
  <c r="J137" i="4"/>
  <c r="L51" i="4"/>
  <c r="L46" i="4"/>
  <c r="L198" i="4"/>
  <c r="R128" i="4"/>
  <c r="R131" i="4"/>
  <c r="R129" i="4"/>
  <c r="R133" i="4"/>
  <c r="R134" i="4"/>
  <c r="P128" i="4"/>
  <c r="P131" i="4"/>
  <c r="P129" i="4"/>
  <c r="P133" i="4"/>
  <c r="P134" i="4"/>
  <c r="N128" i="4"/>
  <c r="N131" i="4"/>
  <c r="N129" i="4"/>
  <c r="N133" i="4"/>
  <c r="N134" i="4"/>
  <c r="L128" i="4"/>
  <c r="L131" i="4"/>
  <c r="L129" i="4"/>
  <c r="L133" i="4"/>
  <c r="L134" i="4"/>
  <c r="J128" i="4"/>
  <c r="J131" i="4"/>
  <c r="J129" i="4"/>
  <c r="J133" i="4"/>
  <c r="J134" i="4"/>
  <c r="R111" i="4"/>
  <c r="P111" i="4"/>
  <c r="N111" i="4"/>
  <c r="J111" i="4"/>
  <c r="J107" i="4"/>
  <c r="L83" i="4"/>
  <c r="C11" i="19"/>
  <c r="T41" i="4"/>
  <c r="T42" i="4" s="1"/>
  <c r="N77" i="4"/>
  <c r="J77" i="4"/>
  <c r="N76" i="4"/>
  <c r="J76" i="4"/>
  <c r="N74" i="4"/>
  <c r="J74" i="4"/>
  <c r="R184" i="4" l="1"/>
  <c r="R143" i="4"/>
  <c r="L143" i="4"/>
  <c r="J143" i="4"/>
  <c r="J184" i="4"/>
  <c r="L184" i="4"/>
  <c r="N143" i="4"/>
  <c r="N184" i="4"/>
  <c r="P143" i="4"/>
  <c r="P184" i="4"/>
  <c r="J55" i="4"/>
  <c r="L55" i="4"/>
  <c r="L62" i="4" s="1"/>
  <c r="T65" i="32"/>
  <c r="T79" i="32" s="1"/>
  <c r="T93" i="32"/>
  <c r="V93" i="32" s="1"/>
  <c r="T43" i="32"/>
  <c r="V43" i="32" s="1"/>
  <c r="O95" i="32"/>
  <c r="O97" i="32" s="1"/>
  <c r="S95" i="32"/>
  <c r="S97" i="32" s="1"/>
  <c r="K60" i="32"/>
  <c r="K62" i="32" s="1"/>
  <c r="K99" i="32" s="1"/>
  <c r="O81" i="32"/>
  <c r="O83" i="32" s="1"/>
  <c r="Q95" i="32"/>
  <c r="Q97" i="32" s="1"/>
  <c r="Q99" i="32" s="1"/>
  <c r="P91" i="4" s="1"/>
  <c r="C7" i="19"/>
  <c r="S111" i="4"/>
  <c r="S137" i="4"/>
  <c r="S117" i="4"/>
  <c r="S147" i="4"/>
  <c r="S129" i="4"/>
  <c r="S136" i="4"/>
  <c r="S115" i="4"/>
  <c r="S140" i="4"/>
  <c r="S151" i="4"/>
  <c r="S139" i="4"/>
  <c r="S150" i="4"/>
  <c r="S138" i="4"/>
  <c r="S149" i="4"/>
  <c r="S107" i="4"/>
  <c r="S114" i="4"/>
  <c r="S128" i="4"/>
  <c r="S131" i="4"/>
  <c r="S133" i="4"/>
  <c r="S134" i="4"/>
  <c r="S77" i="4"/>
  <c r="S76" i="4"/>
  <c r="S74" i="4"/>
  <c r="U134" i="4" l="1"/>
  <c r="C164" i="37"/>
  <c r="D164" i="37" s="1"/>
  <c r="U150" i="4"/>
  <c r="C222" i="37"/>
  <c r="D222" i="37" s="1"/>
  <c r="U117" i="4"/>
  <c r="C147" i="37"/>
  <c r="D147" i="37" s="1"/>
  <c r="U133" i="4"/>
  <c r="C163" i="37"/>
  <c r="D163" i="37" s="1"/>
  <c r="U131" i="4"/>
  <c r="C161" i="37"/>
  <c r="D161" i="37" s="1"/>
  <c r="U151" i="4"/>
  <c r="C223" i="37"/>
  <c r="D223" i="37" s="1"/>
  <c r="U111" i="4"/>
  <c r="C112" i="37"/>
  <c r="D112" i="37" s="1"/>
  <c r="U140" i="4"/>
  <c r="C170" i="37"/>
  <c r="D170" i="37" s="1"/>
  <c r="S184" i="4"/>
  <c r="U184" i="4" s="1"/>
  <c r="U137" i="4"/>
  <c r="C167" i="37"/>
  <c r="D167" i="37" s="1"/>
  <c r="U128" i="4"/>
  <c r="C158" i="37"/>
  <c r="D158" i="37" s="1"/>
  <c r="U74" i="4"/>
  <c r="C72" i="37"/>
  <c r="D72" i="37" s="1"/>
  <c r="U107" i="4"/>
  <c r="C108" i="37"/>
  <c r="U136" i="4"/>
  <c r="C166" i="37"/>
  <c r="D166" i="37" s="1"/>
  <c r="U114" i="4"/>
  <c r="C144" i="37"/>
  <c r="D144" i="37" s="1"/>
  <c r="U76" i="4"/>
  <c r="C74" i="37"/>
  <c r="D74" i="37" s="1"/>
  <c r="U149" i="4"/>
  <c r="C221" i="37"/>
  <c r="D221" i="37" s="1"/>
  <c r="U129" i="4"/>
  <c r="C159" i="37"/>
  <c r="D159" i="37" s="1"/>
  <c r="U139" i="4"/>
  <c r="C169" i="37"/>
  <c r="D169" i="37" s="1"/>
  <c r="U115" i="4"/>
  <c r="C145" i="37"/>
  <c r="D145" i="37" s="1"/>
  <c r="U77" i="4"/>
  <c r="C75" i="37"/>
  <c r="D75" i="37" s="1"/>
  <c r="U138" i="4"/>
  <c r="C168" i="37"/>
  <c r="D168" i="37" s="1"/>
  <c r="U147" i="4"/>
  <c r="C181" i="37"/>
  <c r="S143" i="4"/>
  <c r="S99" i="32"/>
  <c r="R91" i="4" s="1"/>
  <c r="V65" i="32"/>
  <c r="V79" i="32" s="1"/>
  <c r="T60" i="32"/>
  <c r="V60" i="32" s="1"/>
  <c r="T62" i="32"/>
  <c r="V62" i="32" s="1"/>
  <c r="J91" i="4"/>
  <c r="O99" i="32"/>
  <c r="N91" i="4" s="1"/>
  <c r="T97" i="32"/>
  <c r="M81" i="32"/>
  <c r="T81" i="32" s="1"/>
  <c r="V81" i="32" s="1"/>
  <c r="T95" i="32"/>
  <c r="V95" i="32" s="1"/>
  <c r="R27" i="4"/>
  <c r="N27" i="4"/>
  <c r="R24" i="4"/>
  <c r="N24" i="4"/>
  <c r="N19" i="4"/>
  <c r="R19" i="4"/>
  <c r="C256" i="37" l="1"/>
  <c r="D256" i="37" s="1"/>
  <c r="D181" i="37"/>
  <c r="D108" i="37"/>
  <c r="C173" i="37"/>
  <c r="D173" i="37" s="1"/>
  <c r="M83" i="32"/>
  <c r="M99" i="32" s="1"/>
  <c r="L91" i="4" s="1"/>
  <c r="S91" i="4" s="1"/>
  <c r="V97" i="32"/>
  <c r="S27" i="4"/>
  <c r="N20" i="4"/>
  <c r="S24" i="4"/>
  <c r="U24" i="4" s="1"/>
  <c r="C17" i="37" s="1"/>
  <c r="D17" i="37" s="1"/>
  <c r="S19" i="4"/>
  <c r="U19" i="4" s="1"/>
  <c r="C12" i="37" s="1"/>
  <c r="D12" i="37" s="1"/>
  <c r="R20" i="4"/>
  <c r="U91" i="4" l="1"/>
  <c r="C90" i="37"/>
  <c r="D90" i="37" s="1"/>
  <c r="U27" i="4"/>
  <c r="C21" i="37"/>
  <c r="D21" i="37" s="1"/>
  <c r="T83" i="32"/>
  <c r="S20" i="4"/>
  <c r="U20" i="4" s="1"/>
  <c r="C13" i="37" s="1"/>
  <c r="D13" i="37" s="1"/>
  <c r="V83" i="32" l="1"/>
  <c r="V99" i="32" s="1"/>
  <c r="T99" i="32"/>
  <c r="R203" i="4"/>
  <c r="R202" i="4"/>
  <c r="R198" i="4"/>
  <c r="R195" i="4"/>
  <c r="R190" i="4"/>
  <c r="P190" i="4"/>
  <c r="N195" i="4"/>
  <c r="L195" i="4"/>
  <c r="L194" i="4"/>
  <c r="P195" i="4" l="1"/>
  <c r="J195" i="4"/>
  <c r="S195" i="4" l="1"/>
  <c r="U195" i="4" l="1"/>
  <c r="C267" i="37"/>
  <c r="D267" i="37" s="1"/>
  <c r="J194" i="4"/>
  <c r="R210" i="4"/>
  <c r="P210" i="4"/>
  <c r="N210" i="4"/>
  <c r="L210" i="4"/>
  <c r="J210" i="4"/>
  <c r="R209" i="4"/>
  <c r="P209" i="4"/>
  <c r="N209" i="4"/>
  <c r="L209" i="4"/>
  <c r="J209" i="4"/>
  <c r="R208" i="4"/>
  <c r="P208" i="4"/>
  <c r="N208" i="4"/>
  <c r="L208" i="4"/>
  <c r="J208" i="4"/>
  <c r="N194" i="4" l="1"/>
  <c r="P194" i="4" s="1"/>
  <c r="S209" i="4"/>
  <c r="S208" i="4"/>
  <c r="S210" i="4"/>
  <c r="U208" i="4" l="1"/>
  <c r="C280" i="37"/>
  <c r="D280" i="37" s="1"/>
  <c r="U209" i="4"/>
  <c r="C281" i="37"/>
  <c r="D281" i="37" s="1"/>
  <c r="U210" i="4"/>
  <c r="C282" i="37"/>
  <c r="D282" i="37" s="1"/>
  <c r="Q194" i="4"/>
  <c r="R194" i="4" s="1"/>
  <c r="R217" i="4" s="1"/>
  <c r="S194" i="4" l="1"/>
  <c r="S93" i="4"/>
  <c r="C92" i="37" s="1"/>
  <c r="D92" i="37" s="1"/>
  <c r="S15" i="4"/>
  <c r="U15" i="4" l="1"/>
  <c r="D8" i="37" s="1"/>
  <c r="C8" i="37"/>
  <c r="U194" i="4"/>
  <c r="C266" i="37"/>
  <c r="D266" i="37" s="1"/>
  <c r="U93" i="4"/>
  <c r="T88" i="4" l="1"/>
  <c r="R86" i="4"/>
  <c r="P86" i="4"/>
  <c r="N86" i="4"/>
  <c r="L86" i="4"/>
  <c r="J86" i="4"/>
  <c r="S86" i="4" l="1"/>
  <c r="R83" i="4"/>
  <c r="R70" i="4"/>
  <c r="R69" i="4"/>
  <c r="P83" i="4"/>
  <c r="P70" i="4"/>
  <c r="P69" i="4"/>
  <c r="N70" i="4"/>
  <c r="N71" i="4"/>
  <c r="N72" i="4"/>
  <c r="N73" i="4"/>
  <c r="N69" i="4"/>
  <c r="L70" i="4"/>
  <c r="L88" i="4" s="1"/>
  <c r="R52" i="4"/>
  <c r="R54" i="4"/>
  <c r="R56" i="4"/>
  <c r="R59" i="4"/>
  <c r="R60" i="4"/>
  <c r="R50" i="4"/>
  <c r="P52" i="4"/>
  <c r="P54" i="4"/>
  <c r="P56" i="4"/>
  <c r="P59" i="4"/>
  <c r="P60" i="4"/>
  <c r="P50" i="4"/>
  <c r="N52" i="4"/>
  <c r="N54" i="4"/>
  <c r="N59" i="4"/>
  <c r="N60" i="4"/>
  <c r="R16" i="4"/>
  <c r="R22" i="4"/>
  <c r="N16" i="4"/>
  <c r="N22" i="4"/>
  <c r="J69" i="4"/>
  <c r="U86" i="4" l="1"/>
  <c r="C85" i="37"/>
  <c r="D85" i="37" s="1"/>
  <c r="N38" i="4"/>
  <c r="R38" i="4"/>
  <c r="S69" i="4"/>
  <c r="S38" i="4" l="1"/>
  <c r="C34" i="37" s="1"/>
  <c r="U69" i="4"/>
  <c r="C67" i="37"/>
  <c r="P58" i="4"/>
  <c r="N58" i="4"/>
  <c r="U38" i="4" l="1"/>
  <c r="D67" i="37"/>
  <c r="D34" i="37"/>
  <c r="R85" i="4"/>
  <c r="R88" i="4" s="1"/>
  <c r="P85" i="4"/>
  <c r="P88" i="4" s="1"/>
  <c r="N85" i="4"/>
  <c r="N88" i="4" s="1"/>
  <c r="N51" i="4" l="1"/>
  <c r="P51" i="4" l="1"/>
  <c r="R51" i="4"/>
  <c r="R55" i="4"/>
  <c r="P55" i="4"/>
  <c r="R62" i="4" l="1"/>
  <c r="N32" i="4"/>
  <c r="R32" i="4"/>
  <c r="C16" i="19"/>
  <c r="J78" i="4"/>
  <c r="J46" i="4"/>
  <c r="N56" i="4"/>
  <c r="N55" i="4"/>
  <c r="L202" i="4"/>
  <c r="C12" i="19"/>
  <c r="J190" i="4"/>
  <c r="N190" i="4"/>
  <c r="J198" i="4"/>
  <c r="N198" i="4"/>
  <c r="P198" i="4"/>
  <c r="J202" i="4"/>
  <c r="P202" i="4"/>
  <c r="J203" i="4"/>
  <c r="L203" i="4"/>
  <c r="L217" i="4" s="1"/>
  <c r="N203" i="4"/>
  <c r="P203" i="4"/>
  <c r="J45" i="4"/>
  <c r="J47" i="4"/>
  <c r="J48" i="4"/>
  <c r="J50" i="4"/>
  <c r="J51" i="4"/>
  <c r="J52" i="4"/>
  <c r="J59" i="4"/>
  <c r="J70" i="4"/>
  <c r="J71" i="4"/>
  <c r="J83" i="4"/>
  <c r="C10" i="19"/>
  <c r="C14" i="19"/>
  <c r="C13" i="19"/>
  <c r="P217" i="4" l="1"/>
  <c r="N217" i="4"/>
  <c r="J217" i="4"/>
  <c r="J62" i="4"/>
  <c r="N62" i="4"/>
  <c r="P62" i="4"/>
  <c r="T219" i="4"/>
  <c r="T223" i="4" s="1"/>
  <c r="S202" i="4"/>
  <c r="S190" i="4"/>
  <c r="C262" i="37" s="1"/>
  <c r="S198" i="4"/>
  <c r="S203" i="4"/>
  <c r="C8" i="19"/>
  <c r="C15" i="19" s="1"/>
  <c r="C17" i="19" s="1"/>
  <c r="S66" i="4"/>
  <c r="S46" i="4"/>
  <c r="U46" i="4" s="1"/>
  <c r="C42" i="37" s="1"/>
  <c r="D42" i="37" s="1"/>
  <c r="S48" i="4"/>
  <c r="U48" i="4" s="1"/>
  <c r="C44" i="37" s="1"/>
  <c r="D44" i="37" s="1"/>
  <c r="S47" i="4"/>
  <c r="U47" i="4" s="1"/>
  <c r="C43" i="37" s="1"/>
  <c r="D43" i="37" s="1"/>
  <c r="R33" i="4"/>
  <c r="R39" i="4" s="1"/>
  <c r="L41" i="4"/>
  <c r="N33" i="4"/>
  <c r="N39" i="4" s="1"/>
  <c r="S51" i="4"/>
  <c r="U51" i="4" s="1"/>
  <c r="C47" i="37" s="1"/>
  <c r="D47" i="37" s="1"/>
  <c r="S79" i="4"/>
  <c r="S73" i="4"/>
  <c r="S71" i="4"/>
  <c r="S59" i="4"/>
  <c r="U59" i="4" s="1"/>
  <c r="C55" i="37" s="1"/>
  <c r="D55" i="37" s="1"/>
  <c r="S54" i="4"/>
  <c r="U54" i="4" s="1"/>
  <c r="C50" i="37" s="1"/>
  <c r="D50" i="37" s="1"/>
  <c r="S72" i="4"/>
  <c r="C70" i="37" s="1"/>
  <c r="D70" i="37" s="1"/>
  <c r="S60" i="4"/>
  <c r="U60" i="4" s="1"/>
  <c r="C56" i="37" s="1"/>
  <c r="D56" i="37" s="1"/>
  <c r="S70" i="4"/>
  <c r="S58" i="4"/>
  <c r="U58" i="4" s="1"/>
  <c r="C54" i="37" s="1"/>
  <c r="D54" i="37" s="1"/>
  <c r="S52" i="4"/>
  <c r="U52" i="4" s="1"/>
  <c r="C48" i="37" s="1"/>
  <c r="D48" i="37" s="1"/>
  <c r="S55" i="4"/>
  <c r="U55" i="4" s="1"/>
  <c r="C51" i="37" s="1"/>
  <c r="D51" i="37" s="1"/>
  <c r="S56" i="4"/>
  <c r="U56" i="4" s="1"/>
  <c r="C52" i="37" s="1"/>
  <c r="D52" i="37" s="1"/>
  <c r="S78" i="4"/>
  <c r="S82" i="4"/>
  <c r="J85" i="4"/>
  <c r="J88" i="4" s="1"/>
  <c r="S88" i="4" s="1"/>
  <c r="S83" i="4"/>
  <c r="S75" i="4"/>
  <c r="S45" i="4"/>
  <c r="S50" i="4"/>
  <c r="U50" i="4" s="1"/>
  <c r="C46" i="37" s="1"/>
  <c r="D46" i="37" s="1"/>
  <c r="S32" i="4"/>
  <c r="S16" i="4"/>
  <c r="S22" i="4"/>
  <c r="U22" i="4" s="1"/>
  <c r="C15" i="37" s="1"/>
  <c r="D15" i="37" s="1"/>
  <c r="J33" i="4"/>
  <c r="U75" i="4" l="1"/>
  <c r="C73" i="37"/>
  <c r="D73" i="37" s="1"/>
  <c r="U79" i="4"/>
  <c r="C78" i="37"/>
  <c r="D78" i="37" s="1"/>
  <c r="U83" i="4"/>
  <c r="C82" i="37"/>
  <c r="D82" i="37" s="1"/>
  <c r="U70" i="4"/>
  <c r="C68" i="37"/>
  <c r="U203" i="4"/>
  <c r="C275" i="37"/>
  <c r="D275" i="37" s="1"/>
  <c r="N35" i="4"/>
  <c r="U82" i="4"/>
  <c r="C81" i="37"/>
  <c r="D81" i="37" s="1"/>
  <c r="U198" i="4"/>
  <c r="C270" i="37"/>
  <c r="D270" i="37" s="1"/>
  <c r="U16" i="4"/>
  <c r="D9" i="37" s="1"/>
  <c r="C9" i="37"/>
  <c r="U78" i="4"/>
  <c r="C76" i="37"/>
  <c r="D76" i="37" s="1"/>
  <c r="D262" i="37"/>
  <c r="U71" i="4"/>
  <c r="C69" i="37"/>
  <c r="D69" i="37" s="1"/>
  <c r="U73" i="4"/>
  <c r="C71" i="37"/>
  <c r="D71" i="37" s="1"/>
  <c r="U32" i="4"/>
  <c r="C28" i="37"/>
  <c r="D28" i="37" s="1"/>
  <c r="U202" i="4"/>
  <c r="C274" i="37"/>
  <c r="D274" i="37" s="1"/>
  <c r="U190" i="4"/>
  <c r="S217" i="4"/>
  <c r="R35" i="4"/>
  <c r="J39" i="4"/>
  <c r="J41" i="4" s="1"/>
  <c r="J35" i="4"/>
  <c r="N41" i="4"/>
  <c r="P41" i="4"/>
  <c r="R41" i="4"/>
  <c r="L42" i="4"/>
  <c r="S62" i="4"/>
  <c r="U62" i="4" s="1"/>
  <c r="U66" i="4"/>
  <c r="B9" i="19"/>
  <c r="S85" i="4"/>
  <c r="S33" i="4"/>
  <c r="U45" i="4"/>
  <c r="C41" i="37" s="1"/>
  <c r="U72" i="4"/>
  <c r="U217" i="4" l="1"/>
  <c r="C60" i="37"/>
  <c r="D60" i="37" s="1"/>
  <c r="D41" i="37"/>
  <c r="C289" i="37"/>
  <c r="D289" i="37" s="1"/>
  <c r="U33" i="4"/>
  <c r="C29" i="37"/>
  <c r="D29" i="37" s="1"/>
  <c r="U85" i="4"/>
  <c r="C84" i="37"/>
  <c r="D84" i="37" s="1"/>
  <c r="S35" i="4"/>
  <c r="D68" i="37"/>
  <c r="J42" i="4"/>
  <c r="R42" i="4"/>
  <c r="N42" i="4"/>
  <c r="P42" i="4"/>
  <c r="S39" i="4"/>
  <c r="B8" i="19"/>
  <c r="B14" i="19"/>
  <c r="U88" i="4"/>
  <c r="B10" i="19"/>
  <c r="D10" i="19" s="1"/>
  <c r="F10" i="19" s="1"/>
  <c r="D9" i="19"/>
  <c r="F9" i="19" s="1"/>
  <c r="C87" i="37" l="1"/>
  <c r="D87" i="37" s="1"/>
  <c r="S41" i="4"/>
  <c r="S42" i="4" s="1"/>
  <c r="C35" i="37"/>
  <c r="C31" i="37"/>
  <c r="D31" i="37" s="1"/>
  <c r="D14" i="19"/>
  <c r="F14" i="19" s="1"/>
  <c r="U35" i="4"/>
  <c r="D8" i="19"/>
  <c r="F8" i="19" s="1"/>
  <c r="B13" i="19"/>
  <c r="D13" i="19" s="1"/>
  <c r="F13" i="19" s="1"/>
  <c r="U39" i="4"/>
  <c r="U41" i="4" s="1"/>
  <c r="D35" i="37" l="1"/>
  <c r="C37" i="37"/>
  <c r="B7" i="19"/>
  <c r="U42" i="4"/>
  <c r="D37" i="37" l="1"/>
  <c r="C38" i="37"/>
  <c r="D38" i="37" s="1"/>
  <c r="D7" i="19"/>
  <c r="F7" i="19" s="1"/>
  <c r="U143" i="4" l="1"/>
  <c r="B12" i="19"/>
  <c r="D12" i="19" l="1"/>
  <c r="F12" i="19" s="1"/>
  <c r="T75" i="36" l="1"/>
  <c r="V75" i="36" s="1"/>
  <c r="T71" i="36" l="1"/>
  <c r="V71" i="36" s="1"/>
  <c r="T69" i="36" l="1"/>
  <c r="V69" i="36" s="1"/>
  <c r="V67" i="36"/>
  <c r="M77" i="36"/>
  <c r="K77" i="36" l="1"/>
  <c r="M79" i="36"/>
  <c r="K79" i="36" l="1"/>
  <c r="K81" i="36" s="1"/>
  <c r="M81" i="36"/>
  <c r="M115" i="36" s="1"/>
  <c r="K115" i="36" l="1"/>
  <c r="J90" i="4" s="1"/>
  <c r="S77" i="36"/>
  <c r="S79" i="36" s="1"/>
  <c r="S81" i="36" s="1"/>
  <c r="Q77" i="36"/>
  <c r="Q79" i="36" s="1"/>
  <c r="Q81" i="36" s="1"/>
  <c r="J102" i="4" l="1"/>
  <c r="J219" i="4" s="1"/>
  <c r="I90" i="4"/>
  <c r="Q115" i="36"/>
  <c r="P90" i="4" s="1"/>
  <c r="P102" i="4" s="1"/>
  <c r="P219" i="4" s="1"/>
  <c r="S115" i="36"/>
  <c r="O77" i="36"/>
  <c r="T73" i="36"/>
  <c r="V73" i="36" s="1"/>
  <c r="L90" i="4"/>
  <c r="L102" i="4" s="1"/>
  <c r="L219" i="4" s="1"/>
  <c r="J221" i="4" l="1"/>
  <c r="J223" i="4" s="1"/>
  <c r="R90" i="4"/>
  <c r="R102" i="4" s="1"/>
  <c r="R219" i="4" s="1"/>
  <c r="O79" i="36"/>
  <c r="T77" i="36"/>
  <c r="V77" i="36" s="1"/>
  <c r="L221" i="4"/>
  <c r="P221" i="4" l="1"/>
  <c r="P223" i="4" s="1"/>
  <c r="O81" i="36"/>
  <c r="O115" i="36" s="1"/>
  <c r="T115" i="36" s="1"/>
  <c r="T79" i="36"/>
  <c r="V79" i="36" s="1"/>
  <c r="R221" i="4" l="1"/>
  <c r="R223" i="4" s="1"/>
  <c r="T81" i="36"/>
  <c r="V81" i="36" s="1"/>
  <c r="L223" i="4"/>
  <c r="N90" i="4" l="1"/>
  <c r="N102" i="4" s="1"/>
  <c r="N219" i="4" s="1"/>
  <c r="V115" i="36"/>
  <c r="N221" i="4" l="1"/>
  <c r="S90" i="4"/>
  <c r="S102" i="4" l="1"/>
  <c r="S219" i="4" s="1"/>
  <c r="C89" i="37"/>
  <c r="U90" i="4"/>
  <c r="U102" i="4" s="1"/>
  <c r="U219" i="4" s="1"/>
  <c r="N223" i="4"/>
  <c r="S221" i="4"/>
  <c r="C293" i="37" s="1"/>
  <c r="D293" i="37" s="1"/>
  <c r="D89" i="37" l="1"/>
  <c r="C102" i="37"/>
  <c r="C291" i="37" s="1"/>
  <c r="C295" i="37" s="1"/>
  <c r="B16" i="19"/>
  <c r="B19" i="19" s="1"/>
  <c r="U221" i="4"/>
  <c r="S223" i="4"/>
  <c r="U223" i="4" s="1"/>
  <c r="B11" i="19"/>
  <c r="D102" i="37" l="1"/>
  <c r="D11" i="19"/>
  <c r="B20" i="19"/>
  <c r="B15" i="19"/>
  <c r="B17" i="19" s="1"/>
  <c r="D16" i="19"/>
  <c r="F16" i="19" s="1"/>
  <c r="D295" i="37" l="1"/>
  <c r="D15" i="19"/>
  <c r="F11" i="19"/>
  <c r="F15" i="19" l="1"/>
  <c r="D17" i="19"/>
  <c r="F17" i="19" s="1"/>
</calcChain>
</file>

<file path=xl/sharedStrings.xml><?xml version="1.0" encoding="utf-8"?>
<sst xmlns="http://schemas.openxmlformats.org/spreadsheetml/2006/main" count="1961" uniqueCount="671">
  <si>
    <t>Equal Access to Quality Jobs for Women and Girls in Agriculture (EQUAL)</t>
  </si>
  <si>
    <t>FOA-ILAB-19-02</t>
  </si>
  <si>
    <t xml:space="preserve">Partners of the Americas </t>
  </si>
  <si>
    <t>Partners of the Americas</t>
  </si>
  <si>
    <t>NOFO: FOA-ILAB-21-13</t>
  </si>
  <si>
    <t>Project Name: Improving Gender Equity in the Mexican Workplace</t>
  </si>
  <si>
    <t>Country: Mexico</t>
  </si>
  <si>
    <t>Entity:</t>
  </si>
  <si>
    <t>P</t>
  </si>
  <si>
    <t>Budget Assumptions:</t>
  </si>
  <si>
    <t>Program-Dept.:</t>
  </si>
  <si>
    <t>Inflation - US Based Goods/Services</t>
  </si>
  <si>
    <t>Funder-Grant:</t>
  </si>
  <si>
    <t>DOL425</t>
  </si>
  <si>
    <t>Inflation - Locally Purchased Goods/Services</t>
  </si>
  <si>
    <t>Merit Based Increases for HQ &amp; Field Staff</t>
  </si>
  <si>
    <t>Activity Code</t>
  </si>
  <si>
    <t>Account Code</t>
  </si>
  <si>
    <t>Country Code</t>
  </si>
  <si>
    <t>Subcontract Code</t>
  </si>
  <si>
    <t>BUDGET ITEM</t>
  </si>
  <si>
    <t>CATEGORY</t>
  </si>
  <si>
    <t>UNIT</t>
  </si>
  <si>
    <t># of Units</t>
  </si>
  <si>
    <t>RATE / UNIT</t>
  </si>
  <si>
    <t>YEAR 1
2022</t>
  </si>
  <si>
    <t>YEAR 2
2023</t>
  </si>
  <si>
    <t>YEAR 3
2024</t>
  </si>
  <si>
    <t>YEAR 4
2025</t>
  </si>
  <si>
    <t>YEAR 5
2026</t>
  </si>
  <si>
    <t>TOTAL DOL</t>
  </si>
  <si>
    <t>TOTAL COST 
SHARING</t>
  </si>
  <si>
    <t>PROJECT GRAND TOTAL</t>
  </si>
  <si>
    <t>Direct Labor (Personnel &amp; Fringe Benefits)</t>
  </si>
  <si>
    <t>Key Personnel</t>
  </si>
  <si>
    <t>PERSNL-PD</t>
  </si>
  <si>
    <t>Project Director (100%) - Dr. Alma Rico</t>
  </si>
  <si>
    <t>Salaries</t>
  </si>
  <si>
    <t>Month</t>
  </si>
  <si>
    <t>PERSNL-M&amp;E</t>
  </si>
  <si>
    <t>MEX</t>
  </si>
  <si>
    <t>Monitoring and Evaluation (M&amp;E) Officer (100%) - Ms. Ana Georgina Pulido-Carrillo / Azucena Aguirre Crespo</t>
  </si>
  <si>
    <t>Other Professional Personnel</t>
  </si>
  <si>
    <t>PERSNL-GS</t>
  </si>
  <si>
    <t>Gender Specialist (100%) XIHH</t>
  </si>
  <si>
    <t>PERSNL-WLO</t>
  </si>
  <si>
    <t>Work Labor Organizations Specialist (100%) GVG</t>
  </si>
  <si>
    <t>PERSNL-COM</t>
  </si>
  <si>
    <t>Communication Specialist (100%) VRG</t>
  </si>
  <si>
    <t>PERSNL-RCM</t>
  </si>
  <si>
    <t>Regional Coordinator CDMEX (100%) TBD</t>
  </si>
  <si>
    <t>Regional Coordinator Jalisco (100%) TBD</t>
  </si>
  <si>
    <t>PERSNL-RCJ</t>
  </si>
  <si>
    <t>Regional Coordinator Chihuahua (100%) TBD</t>
  </si>
  <si>
    <t>Monitoring &amp; Evaluation Specialist (100%) TBD</t>
  </si>
  <si>
    <t>PERSNL-PA</t>
  </si>
  <si>
    <t>Project Assistant (100%) VILC</t>
  </si>
  <si>
    <t>PERSNL-F&amp;A</t>
  </si>
  <si>
    <t>Finance &amp; Administration Director (45%) RARH</t>
  </si>
  <si>
    <t>PERSNL-AST</t>
  </si>
  <si>
    <t>Administration Officer (50%) ASA</t>
  </si>
  <si>
    <t>PERSNL-ACT</t>
  </si>
  <si>
    <t>Finance Officer (100%) LGA</t>
  </si>
  <si>
    <t>Home Office Support</t>
  </si>
  <si>
    <t>PERSNL-PM</t>
  </si>
  <si>
    <t>Timesheets</t>
  </si>
  <si>
    <t>Project Manager (10%)</t>
  </si>
  <si>
    <t>PERSNL-PO</t>
  </si>
  <si>
    <t>Program Officer (40%)</t>
  </si>
  <si>
    <t>Subtotal Personnel</t>
  </si>
  <si>
    <t>Fringe Benefits</t>
  </si>
  <si>
    <t>FRINGE-MX</t>
  </si>
  <si>
    <t>Fringe benefits - Mexico</t>
  </si>
  <si>
    <t>FRINGE</t>
  </si>
  <si>
    <t xml:space="preserve">Fringe benefits - Home Office Support </t>
  </si>
  <si>
    <t>Subtotal Fringe Benefits</t>
  </si>
  <si>
    <t>Subtotal Direct Labor (Personnel &amp; Fringe Benefits)</t>
  </si>
  <si>
    <t>Travel</t>
  </si>
  <si>
    <t>T1: Post-award Meeting with ILAB</t>
  </si>
  <si>
    <t>GE.T1.A</t>
  </si>
  <si>
    <t>0/MEX</t>
  </si>
  <si>
    <t>Airfare - Mexico-DC</t>
  </si>
  <si>
    <t>Trip</t>
  </si>
  <si>
    <t>-</t>
  </si>
  <si>
    <t>GE.T1.B</t>
  </si>
  <si>
    <t>86030 (Lodging)/ 86050 (M&amp;IE)</t>
  </si>
  <si>
    <t>Lodging and M&amp;IE in DC</t>
  </si>
  <si>
    <t>Day</t>
  </si>
  <si>
    <t>GE.T1.C</t>
  </si>
  <si>
    <t>Local transportation in DC</t>
  </si>
  <si>
    <t>GE.T1.D</t>
  </si>
  <si>
    <t xml:space="preserve">U.S. Visa Fees </t>
  </si>
  <si>
    <t>T2: Field Personnel Annual Visits with ILAB</t>
  </si>
  <si>
    <t>GE.T2.A</t>
  </si>
  <si>
    <t xml:space="preserve">Airfare - Mexico-DC </t>
  </si>
  <si>
    <t>GE.T2.B</t>
  </si>
  <si>
    <t>GE.T2.C</t>
  </si>
  <si>
    <t>T3: Project Management Travel to Field</t>
  </si>
  <si>
    <t>GE.T3.A</t>
  </si>
  <si>
    <t>Airfare - DC-Mexico</t>
  </si>
  <si>
    <t>GE.T3.B</t>
  </si>
  <si>
    <t>Lodging and M&amp;IE in Mexico</t>
  </si>
  <si>
    <t>GE.T3.C</t>
  </si>
  <si>
    <t>Local transportation in Mexico</t>
  </si>
  <si>
    <t xml:space="preserve">T.4 Field-based Travel for Non-M&amp;E Activities </t>
  </si>
  <si>
    <t>GE.T4.A</t>
  </si>
  <si>
    <t>Lodging and M&amp;IE</t>
  </si>
  <si>
    <t>GE.T4.B</t>
  </si>
  <si>
    <t>Local transportation (ground transportation)</t>
  </si>
  <si>
    <t>GE.T4.C</t>
  </si>
  <si>
    <t>Local transportation (airfare)</t>
  </si>
  <si>
    <t>Subtotal Travel</t>
  </si>
  <si>
    <t>Equipment</t>
  </si>
  <si>
    <t>VEHICLE</t>
  </si>
  <si>
    <t>Project Vehicle</t>
  </si>
  <si>
    <t>Unit</t>
  </si>
  <si>
    <t>Subtotal Equipment</t>
  </si>
  <si>
    <t>Supplies and Office Expenses</t>
  </si>
  <si>
    <t>Project Office</t>
  </si>
  <si>
    <t>LAPTOP</t>
  </si>
  <si>
    <t xml:space="preserve">Laptop computers &amp; software  </t>
  </si>
  <si>
    <t>Supplies</t>
  </si>
  <si>
    <t>BANK FEES</t>
  </si>
  <si>
    <t>Banking and cash handling fees</t>
  </si>
  <si>
    <t>Office Expenses</t>
  </si>
  <si>
    <t>COURIER</t>
  </si>
  <si>
    <t xml:space="preserve">Courier fees/services </t>
  </si>
  <si>
    <t>Year</t>
  </si>
  <si>
    <t>RECRUIT</t>
  </si>
  <si>
    <t xml:space="preserve">Recruitment/Procurement Advertising </t>
  </si>
  <si>
    <t>Per position</t>
  </si>
  <si>
    <t>SUPPLIES</t>
  </si>
  <si>
    <t>Office supplies</t>
  </si>
  <si>
    <t>COMM</t>
  </si>
  <si>
    <t>Communications Costs (Internet, Phone, Data)</t>
  </si>
  <si>
    <t>RENT &amp; UT</t>
  </si>
  <si>
    <t>Coworking office space in CDMEX</t>
  </si>
  <si>
    <t>Coworking office space in Jalisco</t>
  </si>
  <si>
    <t>Coworking office space in Chihuahua</t>
  </si>
  <si>
    <t>PROP&amp;LIAB</t>
  </si>
  <si>
    <t>Property and liability insurance</t>
  </si>
  <si>
    <t>LEGAL</t>
  </si>
  <si>
    <t>Legal fees</t>
  </si>
  <si>
    <t>PAYROLL</t>
  </si>
  <si>
    <t>Payroll Processing</t>
  </si>
  <si>
    <t xml:space="preserve"> -      </t>
  </si>
  <si>
    <t xml:space="preserve">Audits and Attestation Engagements </t>
  </si>
  <si>
    <t>AUDIT</t>
  </si>
  <si>
    <t>Audit costs (A-133)</t>
  </si>
  <si>
    <t>ATTESTENG</t>
  </si>
  <si>
    <t>Attestation Engagement</t>
  </si>
  <si>
    <t>Project-wide Web Fees</t>
  </si>
  <si>
    <t>SUBSCRIPT</t>
  </si>
  <si>
    <t>MEX/0</t>
  </si>
  <si>
    <t>Timekeeping and expense reporting platform</t>
  </si>
  <si>
    <t>Zoom license and platform subscriptions</t>
  </si>
  <si>
    <t>Subtotal Supplies and Office Expenses</t>
  </si>
  <si>
    <t>Contractual (Subawards and Contracts)</t>
  </si>
  <si>
    <t>SUBRMS</t>
  </si>
  <si>
    <t>RMS</t>
  </si>
  <si>
    <t>Subaward to RMS</t>
  </si>
  <si>
    <t>Contractual</t>
  </si>
  <si>
    <t>Subaward</t>
  </si>
  <si>
    <t>SUBCEREAL</t>
  </si>
  <si>
    <t>CEREAL</t>
  </si>
  <si>
    <t>Subaward to CEREAL</t>
  </si>
  <si>
    <t>SUBTRANMYM</t>
  </si>
  <si>
    <t>TRANMYM</t>
  </si>
  <si>
    <t>Fixed Price Subaward to Transforma MyM</t>
  </si>
  <si>
    <t>CONMASPRO</t>
  </si>
  <si>
    <t>MASPRO</t>
  </si>
  <si>
    <t>Contract to Mas Proyectos</t>
  </si>
  <si>
    <t>Contract</t>
  </si>
  <si>
    <t>RPFAT</t>
  </si>
  <si>
    <t>FAT</t>
  </si>
  <si>
    <t>Resource Partner: FAT</t>
  </si>
  <si>
    <t>RPIBERO</t>
  </si>
  <si>
    <t>IBERO</t>
  </si>
  <si>
    <t>Resource Partner: Ibero</t>
  </si>
  <si>
    <t>RPCFO</t>
  </si>
  <si>
    <t>CFO</t>
  </si>
  <si>
    <t>Resource Partner: CFO</t>
  </si>
  <si>
    <t>RPCOPIJAL</t>
  </si>
  <si>
    <t>COPIJAL</t>
  </si>
  <si>
    <t>Resource Partner: COPIJAL</t>
  </si>
  <si>
    <t>RPFOTESO</t>
  </si>
  <si>
    <t>FOTESO</t>
  </si>
  <si>
    <t>Resource Partner: FOTESO</t>
  </si>
  <si>
    <t>RPINCIDIR</t>
  </si>
  <si>
    <t>INCIDIR</t>
  </si>
  <si>
    <t>Resource Partner: Incidir</t>
  </si>
  <si>
    <t>RPCIPCO</t>
  </si>
  <si>
    <t>CIPCO</t>
  </si>
  <si>
    <t>Resource Partner: CIPCO</t>
  </si>
  <si>
    <t>Subtotal Contractual (Subawards and Contracts)</t>
  </si>
  <si>
    <t>Outcome 1: WO advance issues surrounding substantive equality, including gender proportionality in leadership and participation in key activities, within their institutions</t>
  </si>
  <si>
    <t>Activities/Costs</t>
  </si>
  <si>
    <t xml:space="preserve">1. Conduct a diagnostic and report on gender equality and representation issues within worker organizations </t>
  </si>
  <si>
    <t>GE.1.1.A</t>
  </si>
  <si>
    <t>Participatory diagnosis on gender equality and gender representation issues within WO</t>
  </si>
  <si>
    <t>Outcome1</t>
  </si>
  <si>
    <t>Meeting</t>
  </si>
  <si>
    <t>GE.1.1.B</t>
  </si>
  <si>
    <t>Lodging and M&amp;IE for diagnostic development</t>
  </si>
  <si>
    <t>GE.1.1.C</t>
  </si>
  <si>
    <t>Local transportation for diagnostic development</t>
  </si>
  <si>
    <t>GE.1.1.D</t>
  </si>
  <si>
    <t>Consultant: Lead for the diagnostic and report on gender equality and representation issues within worker organizations</t>
  </si>
  <si>
    <t>GE.1.1.E</t>
  </si>
  <si>
    <t>Diagnostic validation with relevant stakeholders</t>
  </si>
  <si>
    <t>Workshop</t>
  </si>
  <si>
    <t>GE.1.1.F</t>
  </si>
  <si>
    <t>Presentation and printing expenses of diagnostic to share with relevant stakeholders</t>
  </si>
  <si>
    <t>2. Identify and train young female workers in leadership, negotiation and conflict resolution.</t>
  </si>
  <si>
    <t>GE.1.2.A</t>
  </si>
  <si>
    <t>Training of young women workers in leadership, negotiation and conflict resolution.</t>
  </si>
  <si>
    <t>GE.1.2.B</t>
  </si>
  <si>
    <t>Speakers fee's for trainings</t>
  </si>
  <si>
    <t>GE.1.2.C</t>
  </si>
  <si>
    <t>Material design and printing for trainings</t>
  </si>
  <si>
    <t>GE.1.2.D</t>
  </si>
  <si>
    <t>GE.1.2.E</t>
  </si>
  <si>
    <t>3: Train female leaders in WO on collective negotiation and substantive equality</t>
  </si>
  <si>
    <t>GE.1.3.A</t>
  </si>
  <si>
    <t>GE.1.3.B</t>
  </si>
  <si>
    <t>Training of WO leaders on collective bargaining in issues of substantive equality</t>
  </si>
  <si>
    <t>GE.1.3.C</t>
  </si>
  <si>
    <t>Lodging and M&amp;IE for project staff to support capacity building for union leaders</t>
  </si>
  <si>
    <t>Days</t>
  </si>
  <si>
    <t>GE.1.3.D</t>
  </si>
  <si>
    <t>Local transportation for project staff to support capacity building for union leaders</t>
  </si>
  <si>
    <t>4: Develop strategic plans for WO to comply with the gender provisions of the Mexican labor reform</t>
  </si>
  <si>
    <t>GE.1.4.A</t>
  </si>
  <si>
    <t>Strategic plans for WO to comply with the gender provisions of the Mexican labor reform</t>
  </si>
  <si>
    <t>GE.1.4.B</t>
  </si>
  <si>
    <t>Lodging and M&amp;IE for project staff to support strategic plan</t>
  </si>
  <si>
    <t>GE.1.4.C</t>
  </si>
  <si>
    <t>Local transportation for project staff to support strategic plan</t>
  </si>
  <si>
    <t xml:space="preserve">5: Establish/strengthen gender committees for substantive equality within WO </t>
  </si>
  <si>
    <t>GE.1.5.A</t>
  </si>
  <si>
    <t>Gender committees for substantive equality within WO</t>
  </si>
  <si>
    <t>GE.1.5.B</t>
  </si>
  <si>
    <t>Material design and printing for the establishment and strengthening of gender secretariats</t>
  </si>
  <si>
    <t xml:space="preserve">6: Develop protocols focused on eliminating violence and harassment within WO membership </t>
  </si>
  <si>
    <t>GE.1.6.A</t>
  </si>
  <si>
    <t>Consultant to develop protocols focused on eliminating violence and harassment among WO members</t>
  </si>
  <si>
    <t>GE.1.6.B</t>
  </si>
  <si>
    <t>Trainings for manual and protocol of gender secretariats</t>
  </si>
  <si>
    <t>Training</t>
  </si>
  <si>
    <t>GE.1.6.C</t>
  </si>
  <si>
    <t>Lodging and M&amp;IE for project staff</t>
  </si>
  <si>
    <t>GE.1.6.D</t>
  </si>
  <si>
    <t>Local transportation for project staff</t>
  </si>
  <si>
    <t>7: Develop a toolkit for WO to support the integration of the gender perspective and the increase of women members</t>
  </si>
  <si>
    <t>GE.1.7.A</t>
  </si>
  <si>
    <t>Toolkit for substantive equality and the unionization of women</t>
  </si>
  <si>
    <t>GE.1.7.B</t>
  </si>
  <si>
    <t>Consultant: Development of a toolkit to support gender mainstreaming</t>
  </si>
  <si>
    <t>GE.1.7.C</t>
  </si>
  <si>
    <t>Consultant: Development of trainers' manuals for toolkit</t>
  </si>
  <si>
    <t>GE.1.7.D</t>
  </si>
  <si>
    <t>Consultant: Material design for the toolkit and trainers' manuals</t>
  </si>
  <si>
    <t>GE.1.7.E</t>
  </si>
  <si>
    <t>Printing of toolkit materials</t>
  </si>
  <si>
    <t xml:space="preserve">8: Identify, systematize, and disseminate good practices on gender, democracy, and WO administration </t>
  </si>
  <si>
    <t>GE.1.8.A</t>
  </si>
  <si>
    <t>Consultant for creating a compendium of good practices on democracy and WO administration</t>
  </si>
  <si>
    <t>Subtotal Outcome 1</t>
  </si>
  <si>
    <t>Outcome 2: Worker organizations undertake sustained action to promote gender equity in the workplace</t>
  </si>
  <si>
    <t>9: Conduct a participatory diagnosis on substantive equality and representation in the prioritized sectors and workplaces</t>
  </si>
  <si>
    <t>GE.2.9.A</t>
  </si>
  <si>
    <t>Consultant: Graphic design of diagnostic report on and substantive equality</t>
  </si>
  <si>
    <t>10: Train WO leaders, particularly women, to advocate with authorities and leaders for policies and practices for substantive equality in the workplace</t>
  </si>
  <si>
    <t>GE.2.10.A</t>
  </si>
  <si>
    <t>Consultant for train WO leaders to advocate with authorities and leaders for policies and practices for substantive equality in the workplace</t>
  </si>
  <si>
    <t>GE.2.10.B</t>
  </si>
  <si>
    <t>Lodging and M&amp;IE for project staff to support GEMA program workshops</t>
  </si>
  <si>
    <t>GE.2.10.C</t>
  </si>
  <si>
    <t>Local transportation for project staff to support GEMA program workshops</t>
  </si>
  <si>
    <t>11: Provide technical assistance to firms to comply with the Mexican labor reform and USMCA's gender provisions, and how to work with WO to improve compliance</t>
  </si>
  <si>
    <t>GE.2.11.A</t>
  </si>
  <si>
    <t>Consultant to create plans to comply with the gender provisions of the labor reform and the USMCA's gender provisions</t>
  </si>
  <si>
    <t>GE.2.11.B</t>
  </si>
  <si>
    <t>Webinar platform expenses for trainings for human resources professionals</t>
  </si>
  <si>
    <t>Outcome2</t>
  </si>
  <si>
    <t>GE.2.11.C</t>
  </si>
  <si>
    <t>Meeting expenses for the development of key stakeholder mapping</t>
  </si>
  <si>
    <t>GE.2.11.D</t>
  </si>
  <si>
    <t>Lodging and M&amp;IE for key stakeholder mapping</t>
  </si>
  <si>
    <t>GE.2.11.E</t>
  </si>
  <si>
    <t>Local transportation for key stakeholder mapping</t>
  </si>
  <si>
    <t xml:space="preserve">12: Establish roundtables within WO to disseminate best practices for substantive equality in the workplace </t>
  </si>
  <si>
    <t>GE.2.12.A</t>
  </si>
  <si>
    <t>Permanent roundtables within WO</t>
  </si>
  <si>
    <t>GE.2.12.B</t>
  </si>
  <si>
    <t>Lodging and M&amp;IE for project staff to support exchanges</t>
  </si>
  <si>
    <t>GE.2.12.C</t>
  </si>
  <si>
    <t>Local transportation for project staff to support exchanges</t>
  </si>
  <si>
    <t>GE.2.12.D</t>
  </si>
  <si>
    <t>Workshop on best practices for the promotion on Substantive equality in the Workplace</t>
  </si>
  <si>
    <t>GE.2.12.E</t>
  </si>
  <si>
    <t>Webinar platform fees for webinars on best practices for the promotion of substantive equality among sectorial employer associations</t>
  </si>
  <si>
    <t xml:space="preserve">13: Develop technical roundtables on social protection systems led by WO </t>
  </si>
  <si>
    <t>GE.2.13.A</t>
  </si>
  <si>
    <t>Quarterly reports of problems addressed by the roundtables</t>
  </si>
  <si>
    <t>GE.2.13.B</t>
  </si>
  <si>
    <t>Material design and printing for trainings to improve workers' access to social protection systems</t>
  </si>
  <si>
    <t>GE.2.13.C</t>
  </si>
  <si>
    <t>Lodging and M&amp;IE for project staff to support trainings on access to social protection systems</t>
  </si>
  <si>
    <t>GE.2.13.D</t>
  </si>
  <si>
    <t>Local transportation for project staff to support trainings on access to social protection systems</t>
  </si>
  <si>
    <t>14: Develop and disseminate approaches based on best practices to prevent gender discrimination in the workplace and associated labor violations</t>
  </si>
  <si>
    <t>GE.2.14.A</t>
  </si>
  <si>
    <t>Dissemination of best practice approaches to prevent gender discrimination in the workplace and associated labor violations</t>
  </si>
  <si>
    <t>GE.2.14.B</t>
  </si>
  <si>
    <t>Material design and printing for the dissemination.</t>
  </si>
  <si>
    <t>15: Train workers and WO on effective methods for gathering evidence and reporting discrimination and GBVH in the workplace</t>
  </si>
  <si>
    <t>GE.2.15.A</t>
  </si>
  <si>
    <t>Specialized training for the presentation of cases of discrimination and GBVH aimed at workers and WO</t>
  </si>
  <si>
    <t>GE.2.15.B</t>
  </si>
  <si>
    <t>Communications campaign for the dissemination of the case reporting toolkit</t>
  </si>
  <si>
    <t>GE.2.15.C</t>
  </si>
  <si>
    <t>Material design and printing for the dissemination of the case reporting toolkit</t>
  </si>
  <si>
    <t>GE.2.15.D</t>
  </si>
  <si>
    <t>Consultant: Development of evidence and reporting toolkit</t>
  </si>
  <si>
    <t>GE.2.15.E</t>
  </si>
  <si>
    <t>Consultant: Development of complaint route to reach organizations and government institutions</t>
  </si>
  <si>
    <t xml:space="preserve">16: Provide legal support to workers in cases related to gender discrimination, wage violations, failure to pay social protection systems, harassment or violence, and other relevant labor violations </t>
  </si>
  <si>
    <t>GE.2.16.A</t>
  </si>
  <si>
    <t>Network of Lawyers for the Defense of Workers</t>
  </si>
  <si>
    <t>GE.2.16.B</t>
  </si>
  <si>
    <t>Legal Advice delivered to workers in cases of gender discrimination in the workplace and associated labor violations.</t>
  </si>
  <si>
    <t>GE.2.16.C</t>
  </si>
  <si>
    <t>Material design and printing for labor clinics</t>
  </si>
  <si>
    <t>GE.2.16.D</t>
  </si>
  <si>
    <t>Lodging and M&amp;IE for project staff to support labor clinics</t>
  </si>
  <si>
    <t>GE.2.16.E</t>
  </si>
  <si>
    <t>Local transportation for project staff to support labor clinics</t>
  </si>
  <si>
    <t>Subtotal Outcome 2</t>
  </si>
  <si>
    <t>Monitoring, Evaluation, and Collection of Reliable Data</t>
  </si>
  <si>
    <t>3.1 Database Development</t>
  </si>
  <si>
    <t>GE.3.1.A</t>
  </si>
  <si>
    <t xml:space="preserve">Consultant fees </t>
  </si>
  <si>
    <t>M&amp;E</t>
  </si>
  <si>
    <t>3.2 Monitoring Guidelines Development</t>
  </si>
  <si>
    <t>GE.3.2.A</t>
  </si>
  <si>
    <t>Monitoring guidelines production and printing</t>
  </si>
  <si>
    <t xml:space="preserve">Document </t>
  </si>
  <si>
    <t>3.3 Development of Performance Monitoring Plan</t>
  </si>
  <si>
    <t>GE.3.3.A</t>
  </si>
  <si>
    <t>Consultant: Development of PMP</t>
  </si>
  <si>
    <t>GE.3.3.B</t>
  </si>
  <si>
    <t>Consultant: Lead technical writer of final Project Document package</t>
  </si>
  <si>
    <t>GE.3.3.C</t>
  </si>
  <si>
    <t>Workshops to develop PMP and final Project Document package</t>
  </si>
  <si>
    <t>GE.3.3.D</t>
  </si>
  <si>
    <t>Document translation</t>
  </si>
  <si>
    <t>GE.3.3.E</t>
  </si>
  <si>
    <t>Consultant: End-of-project Analysis of PMP indicators</t>
  </si>
  <si>
    <t>3.4 On-going M&amp;E Training</t>
  </si>
  <si>
    <t>GE.3.4.A</t>
  </si>
  <si>
    <t>On-going M&amp;E training workshops</t>
  </si>
  <si>
    <t>GE.3.4.B</t>
  </si>
  <si>
    <t>Lodging and M&amp;IE - on-going M&amp;E training</t>
  </si>
  <si>
    <t>GE.3.4.C</t>
  </si>
  <si>
    <t>Local transportation - on-going M&amp;E training</t>
  </si>
  <si>
    <t>3.5 External Evaluations</t>
  </si>
  <si>
    <t>GE.3.5.A</t>
  </si>
  <si>
    <t>Interim Performance Evaluation</t>
  </si>
  <si>
    <t>Evaluation</t>
  </si>
  <si>
    <t>GE.3.5.B</t>
  </si>
  <si>
    <t>Final Performance Evaluation</t>
  </si>
  <si>
    <t>3.6 Learning and Sustainability Activities</t>
  </si>
  <si>
    <t>GE.3.6.A</t>
  </si>
  <si>
    <t>Workshops with relevant stakeholders for plan of action on Intermin Evaluation recommendations</t>
  </si>
  <si>
    <t>GE.3.6.B</t>
  </si>
  <si>
    <t>Workshops with relevant stakeholders to review project's sustainability plan</t>
  </si>
  <si>
    <t>3.7 Collection of Reliable Data and Processing of Monitoring Data</t>
  </si>
  <si>
    <t>GE.3.7.A</t>
  </si>
  <si>
    <t>Lodging and M&amp;IE - Field verification and data collection visits</t>
  </si>
  <si>
    <t>GE.3.7.B</t>
  </si>
  <si>
    <t>Local transportation - Field verification and data collection visits</t>
  </si>
  <si>
    <t>GE.3.7.C</t>
  </si>
  <si>
    <t>Data collection materials and printing</t>
  </si>
  <si>
    <t>3.8 Needs Assessment</t>
  </si>
  <si>
    <t>GE.3.8.A</t>
  </si>
  <si>
    <t>Consultant fees to draft written needs assessment</t>
  </si>
  <si>
    <t>GE.3.8.B</t>
  </si>
  <si>
    <t>Consultant fees for data collection on the needs assessment</t>
  </si>
  <si>
    <t>Consultant</t>
  </si>
  <si>
    <t>GE.3.8.C</t>
  </si>
  <si>
    <t>86030 (Lodging)/ 86050 (M&amp;IE)/ 86000 (Ground transport)</t>
  </si>
  <si>
    <t>Travel to Mexico for training</t>
  </si>
  <si>
    <t>GE.3.8.D</t>
  </si>
  <si>
    <t xml:space="preserve">Meeting expenses for needs assessment </t>
  </si>
  <si>
    <t>Subtotal Monitoring, Evaluation, and Collection of Reliable Data</t>
  </si>
  <si>
    <t>Total Direct Costs</t>
  </si>
  <si>
    <t>IDC</t>
  </si>
  <si>
    <t xml:space="preserve">Total Indirect Costs (NICRA) </t>
  </si>
  <si>
    <t>Indirect Charges</t>
  </si>
  <si>
    <t>TOTAL COSTS</t>
  </si>
  <si>
    <t>Improving Gender Equity in the Mexican Workplace</t>
  </si>
  <si>
    <t>FOA-ILAB-21-13</t>
  </si>
  <si>
    <t>CFDA 17.401</t>
  </si>
  <si>
    <t>TOTAL COST SHARING</t>
  </si>
  <si>
    <t>ORIGINAL BUDGET</t>
  </si>
  <si>
    <t>DIFFERENCE</t>
  </si>
  <si>
    <t>Direct Labor (Personnel &amp; Fringe)</t>
  </si>
  <si>
    <t>Other - Outcome 1</t>
  </si>
  <si>
    <t>Other - Outcome 2</t>
  </si>
  <si>
    <t>Indirect Costs (NICRA)</t>
  </si>
  <si>
    <t xml:space="preserve">ADMINISTRATIVE COSTS </t>
  </si>
  <si>
    <t xml:space="preserve">PROGRAM COSTS </t>
  </si>
  <si>
    <t>Current approved allocation</t>
  </si>
  <si>
    <t>New proposed allocation</t>
  </si>
  <si>
    <t>Monitoring and Evaluation (M&amp;E) Officer (100%) - Ms. Ana Georgina Pulido-Carrillo</t>
  </si>
  <si>
    <t>Gender Specialist (100%)</t>
  </si>
  <si>
    <t>Regional Coordinator CDMX (100%)</t>
  </si>
  <si>
    <t>Regional Coordinator Jalisco (100%)</t>
  </si>
  <si>
    <t>Regional Coordinator Chihuahua (100%)</t>
  </si>
  <si>
    <t>Communication Officer (100%)</t>
  </si>
  <si>
    <t>Administrative Assistant (100%)</t>
  </si>
  <si>
    <t>Accountant (100%)</t>
  </si>
  <si>
    <t>Fringe benefits - Mexico Staff</t>
  </si>
  <si>
    <t xml:space="preserve">T.5 Local Field Travel </t>
  </si>
  <si>
    <t xml:space="preserve">Fuel for Vehicle </t>
  </si>
  <si>
    <t>Coworking office space in CDMX</t>
  </si>
  <si>
    <t>Vehicle Maintenance and Insurance</t>
  </si>
  <si>
    <t>Resource Partner: Fondo Unido</t>
  </si>
  <si>
    <t>Outcome 1: Worker organizations advance issues surrounding gender equity, including gender proportionality in leadership and participation in key activities, within their institutions</t>
  </si>
  <si>
    <t xml:space="preserve">1.1. Conduct a diagnostic and report on gender equality and representation issues within worker organizations </t>
  </si>
  <si>
    <t>Meeting expenses for the development of the diagnostic</t>
  </si>
  <si>
    <t xml:space="preserve">1.2 Establish union committees and commissions for equality </t>
  </si>
  <si>
    <t>Meeting expenses with stakeholders to build and strengthen gender secretariats</t>
  </si>
  <si>
    <t>Consultant: Development of manual and protocol for gender secretariat</t>
  </si>
  <si>
    <t>1.3 Create a strategic plan for a union to come into compliance with the labor law reform's gender provisions, with supplemental resources such as manuals and voting protocols</t>
  </si>
  <si>
    <t>Meeting expenses to create strategic plan for unions to comply with labor law reform's gender provision</t>
  </si>
  <si>
    <t>1.5 Develop a general toolkit for unions to support gender mainstreaming and increasing the number of female members</t>
  </si>
  <si>
    <t>Meeting expenses with CEREAL, Mas Proyectos, trade union leaders, and women workers for the development of a toolkit</t>
  </si>
  <si>
    <t>1.7. Identify and recruit young and rising women leaders to create a leadership talent pipeline through a Labor Education Center</t>
  </si>
  <si>
    <t>Meeting expenses for the establishment of a Center for Labor Education</t>
  </si>
  <si>
    <t>Recruitment costs for the establishment of a Center for Labor Education</t>
  </si>
  <si>
    <t>Trainings on leadership for Center for Labor Education participants</t>
  </si>
  <si>
    <t>1.8 Provide training to identified potential leaders in leadership skills, negotiation, and conflict resolution</t>
  </si>
  <si>
    <t>Consultant: Development of curriculum for FAT cohort trainings</t>
  </si>
  <si>
    <t>Material design and printing for FAT cohort trainings</t>
  </si>
  <si>
    <t>Stipends for young leaders to travel to FAT Headquarters</t>
  </si>
  <si>
    <t>1.9 Support organizing efforts of workers on gender equity initiatives</t>
  </si>
  <si>
    <t>Consultant: Adaptation of CFO's GEMA program</t>
  </si>
  <si>
    <t>9 (2.1): Conduct a participatory diagnosis on substantive equality and representation in the prioritized sectors and workplaces</t>
  </si>
  <si>
    <t>Meeting expenses with relevant stakeholders for the development of the diagnostic</t>
  </si>
  <si>
    <t>Consultant: Development of diagnostic on gender equality for call centers and edition of the complete diagnostic report</t>
  </si>
  <si>
    <t>Consultant: Graphic design of diagnostic report on gender equality and representation issues</t>
  </si>
  <si>
    <t>2.2 Engage employers on the labor law reform's gender provisions and how to work with worker organizations to improve compliance</t>
  </si>
  <si>
    <t>Consultant: Development of diagnostics on gender equality and representation issues</t>
  </si>
  <si>
    <t>2.3 Develop approaches drawing from identified best practices to prevent gender discrimination in the workplace and associated labor violations</t>
  </si>
  <si>
    <t>Lodging and M&amp;IE for project staff to support development of best practices</t>
  </si>
  <si>
    <t>Local transportation for project staff to support development of best practices</t>
  </si>
  <si>
    <t>2.4 Build the capacity of union leaders to collectively negotiate issues such as non-discrimination and equal pay for work of equal value, reduction of violence and harassment, and work-life balance policies</t>
  </si>
  <si>
    <t>2.5 Initiate exchange between union leaders who have successfully negotiated with employers to improve gender equality in the workplace and establish dialogue committees with employers</t>
  </si>
  <si>
    <t>Expenses for exchanges between worker organizations and union leaders</t>
  </si>
  <si>
    <t>Workshop on best practices for the promotion of gender equality among sectorial employer associations</t>
  </si>
  <si>
    <t>Webinar platform fees for webinars on best practices for the promotion of gender equality among sectorial employer associations</t>
  </si>
  <si>
    <t>2.6 Train unions and workers on how to gather evidence and report gender discrimination, violence and harassment to union leaders, employers, and appropriate government authorities</t>
  </si>
  <si>
    <t>Consultant: Development of case reporting toolkit</t>
  </si>
  <si>
    <t>2.7 Provide legal support to workers in bringing cases related to gender discrimination, wage violations, failure to pay into social protection systems, harassment or violence, and other relevant areas</t>
  </si>
  <si>
    <t>Meetings to establish and coordinate labor clinics</t>
  </si>
  <si>
    <t>Workshops to build capacity of program coordinators around labor issues</t>
  </si>
  <si>
    <t>2.8 Train union leaders, particularly women leaders, to advocate with appropriate government authorities and political leaders to establish policies and practices promoting gender equality in the workplace</t>
  </si>
  <si>
    <t>Lodging and M&amp;IE for project staff to support union leader training</t>
  </si>
  <si>
    <t>Local transportation for project staff to support union leader training</t>
  </si>
  <si>
    <t>2.9 Improve workers' access to social protection systems to increase resilience and income.</t>
  </si>
  <si>
    <t>Trainings to improve workers' access to social protection systems</t>
  </si>
  <si>
    <t>Name of Project: DOL425 Improving Gender Equity in the Mexican Workplace</t>
  </si>
  <si>
    <t>Name of Subawardee: Red de Mujeres Sindicalistas (RMS)</t>
  </si>
  <si>
    <t>Subaward Budget</t>
  </si>
  <si>
    <t>Merit Based Increases for Staff</t>
  </si>
  <si>
    <t>Sub-budget Code</t>
  </si>
  <si>
    <t>RATE/ UNIT</t>
  </si>
  <si>
    <t>TOTAL PARTNERS OF THE AMERICAS</t>
  </si>
  <si>
    <t>Direct Labor</t>
  </si>
  <si>
    <t>RMSPERPC</t>
  </si>
  <si>
    <t>General Project Coordinator (50%)</t>
  </si>
  <si>
    <t>RMSPERTC</t>
  </si>
  <si>
    <t>Training Coordinator (50%)</t>
  </si>
  <si>
    <t>RMSPERAC</t>
  </si>
  <si>
    <t>Administration Coordinator (50%)</t>
  </si>
  <si>
    <t>RMSPERCOM</t>
  </si>
  <si>
    <t>Communication Coordinator (50%)</t>
  </si>
  <si>
    <t>RMSPERM&amp;E</t>
  </si>
  <si>
    <t>Monitoring &amp; Evaluation Coordinator (100%)</t>
  </si>
  <si>
    <t>RMSPERIMPC</t>
  </si>
  <si>
    <t>Follow-up and Implementation Coordinator (100%)</t>
  </si>
  <si>
    <t>RMSPERADM</t>
  </si>
  <si>
    <t>Administration Assistant (50%)</t>
  </si>
  <si>
    <t>RMSPERORG</t>
  </si>
  <si>
    <t>Organization and Logistics Lead (100%)</t>
  </si>
  <si>
    <t>RMSPEREVN</t>
  </si>
  <si>
    <t>Events Assistant (100%)</t>
  </si>
  <si>
    <t>RMSPERACCT</t>
  </si>
  <si>
    <t>RMSPERDES</t>
  </si>
  <si>
    <t>Designer (50%)</t>
  </si>
  <si>
    <t>RMSPERSOC</t>
  </si>
  <si>
    <t>Social Media and Campaigns Lead (50%)</t>
  </si>
  <si>
    <t>RMSPERCDJ</t>
  </si>
  <si>
    <t>Cd. Juarez Organizer (100%)</t>
  </si>
  <si>
    <t>RMSPERGUAD</t>
  </si>
  <si>
    <t>Guadalajara Organizer (100%)</t>
  </si>
  <si>
    <t>RMSPERCDMX</t>
  </si>
  <si>
    <t>CDMX Organizer (100%)</t>
  </si>
  <si>
    <t xml:space="preserve">Subtotal </t>
  </si>
  <si>
    <t xml:space="preserve">Fringe Benefits  </t>
  </si>
  <si>
    <t>RMSFRINGE</t>
  </si>
  <si>
    <t xml:space="preserve">Fringe benefits - Field Office </t>
  </si>
  <si>
    <t>Subtotal Direct Labor</t>
  </si>
  <si>
    <t>T1: Cd. Juarez Chihuahua / Guadalajara/ CDMX</t>
  </si>
  <si>
    <t>RMSAIRFARE</t>
  </si>
  <si>
    <t xml:space="preserve">Airfare  </t>
  </si>
  <si>
    <t>RMSLODGING</t>
  </si>
  <si>
    <r>
      <t xml:space="preserve">Lodging   </t>
    </r>
    <r>
      <rPr>
        <sz val="8"/>
        <color rgb="FFFF0000"/>
        <rFont val="Arial"/>
        <family val="2"/>
      </rPr>
      <t xml:space="preserve"> </t>
    </r>
  </si>
  <si>
    <t>RMSM&amp;IE</t>
  </si>
  <si>
    <r>
      <t xml:space="preserve">M&amp;IE   </t>
    </r>
    <r>
      <rPr>
        <sz val="8"/>
        <color rgb="FFFF0000"/>
        <rFont val="Arial"/>
        <family val="2"/>
      </rPr>
      <t xml:space="preserve"> </t>
    </r>
  </si>
  <si>
    <t>RMSTRANS</t>
  </si>
  <si>
    <r>
      <t xml:space="preserve">Ground Transportation </t>
    </r>
    <r>
      <rPr>
        <sz val="8"/>
        <color rgb="FFFF0000"/>
        <rFont val="Arial"/>
        <family val="2"/>
      </rPr>
      <t xml:space="preserve"> </t>
    </r>
  </si>
  <si>
    <t>RMSMSTRE</t>
  </si>
  <si>
    <t xml:space="preserve">Misc. Staff Travel Related Expenses  </t>
  </si>
  <si>
    <t xml:space="preserve">Supplies - Under $5,000 USD  </t>
  </si>
  <si>
    <t>RMSDESKTOP</t>
  </si>
  <si>
    <t xml:space="preserve">Desktop computers, laptops and software </t>
  </si>
  <si>
    <t>RMSMEET</t>
  </si>
  <si>
    <r>
      <t>Meeting Expenses</t>
    </r>
    <r>
      <rPr>
        <sz val="8"/>
        <color rgb="FFFF0000"/>
        <rFont val="Arial"/>
        <family val="2"/>
      </rPr>
      <t xml:space="preserve"> </t>
    </r>
  </si>
  <si>
    <t>RMSPHONE</t>
  </si>
  <si>
    <t xml:space="preserve">Phones </t>
  </si>
  <si>
    <t>RMSSUPPLY</t>
  </si>
  <si>
    <t xml:space="preserve">Office Supplies </t>
  </si>
  <si>
    <t>RMSMATLS</t>
  </si>
  <si>
    <t xml:space="preserve">Stationary/Printing Materials </t>
  </si>
  <si>
    <t>RMSCAMAE</t>
  </si>
  <si>
    <t>Camera and audio equipment</t>
  </si>
  <si>
    <t>Subtotal Supplies</t>
  </si>
  <si>
    <t xml:space="preserve">Office Expenses </t>
  </si>
  <si>
    <t>RMSBANK</t>
  </si>
  <si>
    <t xml:space="preserve">Banking and cash handling fees  </t>
  </si>
  <si>
    <t>RMSPOSTAGE</t>
  </si>
  <si>
    <t xml:space="preserve">Courier fees/services/postage  </t>
  </si>
  <si>
    <t>RMSINTEMA</t>
  </si>
  <si>
    <t xml:space="preserve">Email/Internet </t>
  </si>
  <si>
    <t xml:space="preserve">Phones line rent  </t>
  </si>
  <si>
    <t>RMSRENT</t>
  </si>
  <si>
    <t xml:space="preserve">Office Rent </t>
  </si>
  <si>
    <t>RMSEQUMAN</t>
  </si>
  <si>
    <t xml:space="preserve">Equipment and office repairs and maintenance  </t>
  </si>
  <si>
    <t>Subtotal Office Expenses</t>
  </si>
  <si>
    <t>The above is only for percentage calculations for the below outcomes</t>
  </si>
  <si>
    <t>Personnel &amp; Fringe (60% of Direct Labor line item)</t>
  </si>
  <si>
    <t>Travel (60%)</t>
  </si>
  <si>
    <t>Supplies (60%)</t>
  </si>
  <si>
    <t>Office Expenses (60%)</t>
  </si>
  <si>
    <t>1: Conduct a participatory diagnosis on gender equality and representation issues within WO</t>
  </si>
  <si>
    <t>RMSOUT1-1</t>
  </si>
  <si>
    <t>2: Identify and train young women workers in leadership, negotiation, and conflict resolution</t>
  </si>
  <si>
    <t>RMSOUT1-2</t>
  </si>
  <si>
    <t xml:space="preserve">Activity 3. Train female leaders in WO on collective negotiation and issues of substantive equality. </t>
  </si>
  <si>
    <t>RMSOUT1-3</t>
  </si>
  <si>
    <t>Training for OPT leaders for collective bargaining on issues of substantive equality.</t>
  </si>
  <si>
    <t>RMSOUT1-6</t>
  </si>
  <si>
    <t>Protocols focused on eliminating violence and harassment among WO members</t>
  </si>
  <si>
    <t>RMSOUT1-7</t>
  </si>
  <si>
    <t>Direct Costs Total for Outcome 1</t>
  </si>
  <si>
    <t>RMSIDCCOST</t>
  </si>
  <si>
    <t>Total Indirect Costs (NICRA or De Minimis) for Outcome 1</t>
  </si>
  <si>
    <t>Outcome 2: Worker organizations undertake sustained action to promote gender equity in the workplace.</t>
  </si>
  <si>
    <t>Personnel &amp; Fringe (45% of Direct Labor line item)</t>
  </si>
  <si>
    <t>Travel (45%)</t>
  </si>
  <si>
    <t>Supplies (45%)</t>
  </si>
  <si>
    <t>Office Expenses (45%)</t>
  </si>
  <si>
    <t>RMSOUT2-15</t>
  </si>
  <si>
    <t>16: Provide legal support to workers in cases related to gender discrimination, wage violations, failure to pay social protection systems, harassment or violence, and other relevant labor violations</t>
  </si>
  <si>
    <t>RMSOUT2116</t>
  </si>
  <si>
    <t>RMSOUT2216</t>
  </si>
  <si>
    <t xml:space="preserve">Consultants for training workers to gathering evidence </t>
  </si>
  <si>
    <t>RMSOUT2316</t>
  </si>
  <si>
    <t>Direct Costs Total for Outcome 2</t>
  </si>
  <si>
    <t>Total Indirect Costs (NICRA or De Minimis) for Outcome 2</t>
  </si>
  <si>
    <t>Personnel &amp; Fringe (5% of Direct Labor line item)</t>
  </si>
  <si>
    <t>Travel (5%)</t>
  </si>
  <si>
    <t>Supplies (5%)</t>
  </si>
  <si>
    <t>Office Expenses (5%)</t>
  </si>
  <si>
    <t>RMSLDPRM&amp;E</t>
  </si>
  <si>
    <t>RMSTRANM&amp;E</t>
  </si>
  <si>
    <t>RMSDATAM&amp;E</t>
  </si>
  <si>
    <t>Direct Costs Total for Monitoring, Evaluation, and Collection of Reliable Data</t>
  </si>
  <si>
    <t>Total Indirect Costs (NICRA or De Minimis)  for M&amp;E and Collection of Reliable Data</t>
  </si>
  <si>
    <t>Name of Project: Improving Gender Equity in the Mexican Workplace</t>
  </si>
  <si>
    <t>Name of Subawardee: Center for Reflection and Action on Labor Rights (CEREAL)</t>
  </si>
  <si>
    <t>TOTAL CEREAL</t>
  </si>
  <si>
    <t>CERPERPC</t>
  </si>
  <si>
    <t>Project Coordinator 50%</t>
  </si>
  <si>
    <t>CERPERADM</t>
  </si>
  <si>
    <t>Administration 50%</t>
  </si>
  <si>
    <t>CERPERIDV</t>
  </si>
  <si>
    <t>Institutional Development 50%</t>
  </si>
  <si>
    <t>CERPERLEG</t>
  </si>
  <si>
    <t>Legal Coordinator 50%</t>
  </si>
  <si>
    <t>CERPEROPC</t>
  </si>
  <si>
    <t>Organizational Processes Coordinator 50%</t>
  </si>
  <si>
    <t>CERPEREDU</t>
  </si>
  <si>
    <t>Education Coordinator 50%</t>
  </si>
  <si>
    <t>CERPERPRO</t>
  </si>
  <si>
    <t>Promotor 1 50%</t>
  </si>
  <si>
    <t>Promotor 2 50%</t>
  </si>
  <si>
    <t>Promotor 3 50%</t>
  </si>
  <si>
    <t>Promotor 4 50%</t>
  </si>
  <si>
    <t>Supplies &amp; Office Expenses</t>
  </si>
  <si>
    <t>CERDESK</t>
  </si>
  <si>
    <t>Desktop computers, laptops and software</t>
  </si>
  <si>
    <t>CERMEET</t>
  </si>
  <si>
    <t>Meeting Expenses</t>
  </si>
  <si>
    <t>CERPHONE</t>
  </si>
  <si>
    <t>CERMATLS</t>
  </si>
  <si>
    <t>Stationary / Printing Materials</t>
  </si>
  <si>
    <t>CERCAMARA</t>
  </si>
  <si>
    <t>Camara Canon</t>
  </si>
  <si>
    <t>Set</t>
  </si>
  <si>
    <t>CERPRINT</t>
  </si>
  <si>
    <t>Printer</t>
  </si>
  <si>
    <t>CERSPEAKER</t>
  </si>
  <si>
    <t>Speaker System</t>
  </si>
  <si>
    <t>CERBANK</t>
  </si>
  <si>
    <t xml:space="preserve">Banking and cash handling fees </t>
  </si>
  <si>
    <t>CEREMAIL</t>
  </si>
  <si>
    <t>CERCOMMS</t>
  </si>
  <si>
    <t>Phones and Communication Costs</t>
  </si>
  <si>
    <t>CERRENT</t>
  </si>
  <si>
    <t>Office Rent</t>
  </si>
  <si>
    <t>CEREQUIP</t>
  </si>
  <si>
    <t xml:space="preserve">Equipment and office repairs and maintenance </t>
  </si>
  <si>
    <t>CERINSUR</t>
  </si>
  <si>
    <t>Insurance</t>
  </si>
  <si>
    <t>CERSUPPLY</t>
  </si>
  <si>
    <t>Offices supplies</t>
  </si>
  <si>
    <t>Subtotal Supplies &amp; Office Expenses</t>
  </si>
  <si>
    <t>Personnel &amp; Fringe (40% of Direct Labor line item)</t>
  </si>
  <si>
    <t>Supplies &amp; Office Expenses (40%)</t>
  </si>
  <si>
    <t>CEROUT1-1</t>
  </si>
  <si>
    <t>CEROUT1-2</t>
  </si>
  <si>
    <t>CEROUT1-4</t>
  </si>
  <si>
    <t>CEROUT1-6</t>
  </si>
  <si>
    <t>CEROUT1-7</t>
  </si>
  <si>
    <t>CEROUT1-8</t>
  </si>
  <si>
    <t>Compendium of good practices on democracy and WO administration</t>
  </si>
  <si>
    <t>CERIDCCOST</t>
  </si>
  <si>
    <t>Total Indirect Costs (De Minimis 10%) for Outcome 1</t>
  </si>
  <si>
    <t>Personnel &amp; Fringe (30% of Direct Labor line item)</t>
  </si>
  <si>
    <t>Supplies &amp; Office Expenses (30%)</t>
  </si>
  <si>
    <t>CEROUT2-9</t>
  </si>
  <si>
    <t>Participatory diagnosis on gender equality and representation in prioritized sectors and  workplaces</t>
  </si>
  <si>
    <t>CEROUT2-12</t>
  </si>
  <si>
    <t>Workshops</t>
  </si>
  <si>
    <t>CEROUT2-13</t>
  </si>
  <si>
    <t>CEROUT2-15</t>
  </si>
  <si>
    <t>CEROUT2-16</t>
  </si>
  <si>
    <t>Total Indirect Costs (De Minimis 10%) for Outcome 2</t>
  </si>
  <si>
    <t>3: Monitoring, Evaluation, and Collection of Reliable Data</t>
  </si>
  <si>
    <t>Supplies &amp; Office Expenses 30%</t>
  </si>
  <si>
    <t>3.7.1.1 Collection of Reliable Data and Processing of Monitoring Data</t>
  </si>
  <si>
    <t>CERLODGPER</t>
  </si>
  <si>
    <t>CERTRANS</t>
  </si>
  <si>
    <t>CERDATA</t>
  </si>
  <si>
    <t>Total Indirect Costs (De Minimis 10%) for M&amp;E</t>
  </si>
  <si>
    <t>Subtotal M&amp;E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</si>
</sst>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0.0%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_-* #,##0.000\ _B_s_-;\-* #,##0.000\ _B_s_-;_-* &quot;-&quot;??\ _B_s_-;_-@_-"/>
    <numFmt numFmtId="172" formatCode="_-&quot;$&quot;* #,##0_-;\-&quot;$&quot;* #,##0_-;_-&quot;$&quot;* &quot;-&quot;??_-;_-@_-"/>
    <numFmt numFmtId="173" formatCode="_-* #,##0.00\ _€_-;\-* #,##0.00\ _€_-;_-* &quot;-&quot;??\ _€_-;_-@_-"/>
    <numFmt numFmtId="174" formatCode="#,##0.00;[Red]#,##0.00"/>
    <numFmt numFmtId="175" formatCode="_-* #,##0\ _B_s_-;\-* #,##0\ _B_s_-;_-* &quot;-&quot;??\ _B_s_-;_-@"/>
    <numFmt numFmtId="176" formatCode="_(* #,##0_);_(* \(#,##0\);_(* &quot;-&quot;??_);_(@_)"/>
    <numFmt numFmtId="177" formatCode="_-* #,##0.000\ _B_s_-;\-* #,##0.000\ _B_s_-;_-* &quot;-&quot;??\ _B_s_-;_-@"/>
    <numFmt numFmtId="178" formatCode="_-* #,##0.0\ _B_s_-;\-* #,##0.0\ _B_s_-;_-* &quot;-&quot;??\ _B_s_-;_-@"/>
    <numFmt numFmtId="179" formatCode="_-* #,##0.00\ _B_s_-;\-* #,##0.00\ _B_s_-;_-* &quot;-&quot;??\ _B_s_-;_-@"/>
    <numFmt numFmtId="180" formatCode="_-* #,##0.0\ _B_s_-;\-* #,##0.0\ _B_s_-;_-* &quot;-&quot;??\ _B_s_-;_-@_-"/>
  </numFmts>
  <fonts count="4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u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01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5" borderId="0" applyNumberFormat="0" applyBorder="0" applyAlignment="0" applyProtection="0"/>
    <xf numFmtId="0" fontId="17" fillId="12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14" borderId="0" applyNumberFormat="0" applyBorder="0" applyAlignment="0" applyProtection="0"/>
    <xf numFmtId="0" fontId="18" fillId="6" borderId="0" applyNumberFormat="0" applyBorder="0" applyAlignment="0" applyProtection="0"/>
    <xf numFmtId="0" fontId="18" fillId="5" borderId="0" applyNumberFormat="0" applyBorder="0" applyAlignment="0" applyProtection="0"/>
    <xf numFmtId="0" fontId="18" fillId="15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4" fillId="18" borderId="0" applyNumberFormat="0" applyBorder="0" applyAlignment="0" applyProtection="0"/>
    <xf numFmtId="0" fontId="19" fillId="2" borderId="11" applyNumberFormat="0" applyAlignment="0" applyProtection="0"/>
    <xf numFmtId="0" fontId="20" fillId="19" borderId="12" applyNumberFormat="0" applyAlignment="0" applyProtection="0"/>
    <xf numFmtId="166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15" fillId="0" borderId="1" applyNumberFormat="0" applyFill="0" applyAlignment="0" applyProtection="0"/>
    <xf numFmtId="0" fontId="15" fillId="0" borderId="13" applyNumberFormat="0" applyFill="0" applyAlignment="0" applyProtection="0"/>
    <xf numFmtId="0" fontId="15" fillId="0" borderId="2" applyNumberFormat="0" applyFill="0" applyAlignment="0" applyProtection="0"/>
    <xf numFmtId="0" fontId="15" fillId="0" borderId="0" applyNumberFormat="0" applyFill="0" applyBorder="0" applyAlignment="0" applyProtection="0"/>
    <xf numFmtId="0" fontId="24" fillId="21" borderId="11" applyNumberFormat="0" applyAlignment="0" applyProtection="0"/>
    <xf numFmtId="0" fontId="25" fillId="0" borderId="14" applyNumberFormat="0" applyFill="0" applyAlignment="0" applyProtection="0"/>
    <xf numFmtId="17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22" borderId="0" applyNumberFormat="0" applyBorder="0" applyAlignment="0" applyProtection="0"/>
    <xf numFmtId="0" fontId="8" fillId="0" borderId="0"/>
    <xf numFmtId="0" fontId="6" fillId="0" borderId="0"/>
    <xf numFmtId="0" fontId="17" fillId="0" borderId="0"/>
    <xf numFmtId="3" fontId="21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21" fillId="0" borderId="0"/>
    <xf numFmtId="0" fontId="13" fillId="23" borderId="15" applyNumberFormat="0" applyFont="0" applyAlignment="0" applyProtection="0"/>
    <xf numFmtId="0" fontId="27" fillId="2" borderId="16" applyNumberForma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37" fillId="0" borderId="0"/>
    <xf numFmtId="166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1" fillId="0" borderId="0"/>
    <xf numFmtId="0" fontId="1" fillId="0" borderId="0"/>
  </cellStyleXfs>
  <cellXfs count="36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167" fontId="2" fillId="0" borderId="0" xfId="28" applyNumberFormat="1" applyFont="1" applyFill="1" applyBorder="1" applyAlignment="1"/>
    <xf numFmtId="0" fontId="3" fillId="25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70" fontId="3" fillId="24" borderId="4" xfId="0" applyNumberFormat="1" applyFont="1" applyFill="1" applyBorder="1" applyAlignment="1">
      <alignment horizontal="right" wrapText="1"/>
    </xf>
    <xf numFmtId="0" fontId="3" fillId="0" borderId="0" xfId="0" applyFont="1" applyAlignment="1">
      <alignment vertical="center" wrapText="1"/>
    </xf>
    <xf numFmtId="0" fontId="3" fillId="25" borderId="0" xfId="0" applyFont="1" applyFill="1"/>
    <xf numFmtId="0" fontId="30" fillId="0" borderId="0" xfId="0" applyFont="1"/>
    <xf numFmtId="10" fontId="3" fillId="0" borderId="0" xfId="0" applyNumberFormat="1" applyFont="1"/>
    <xf numFmtId="0" fontId="3" fillId="0" borderId="0" xfId="0" applyFont="1"/>
    <xf numFmtId="170" fontId="0" fillId="0" borderId="0" xfId="0" applyNumberFormat="1"/>
    <xf numFmtId="167" fontId="3" fillId="24" borderId="4" xfId="0" applyNumberFormat="1" applyFont="1" applyFill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9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70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7" borderId="0" xfId="0" applyFont="1" applyFill="1" applyAlignment="1">
      <alignment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0" fontId="3" fillId="27" borderId="0" xfId="0" applyFont="1" applyFill="1" applyAlignment="1">
      <alignment horizontal="left" vertical="top"/>
    </xf>
    <xf numFmtId="167" fontId="3" fillId="27" borderId="0" xfId="0" applyNumberFormat="1" applyFont="1" applyFill="1" applyAlignment="1">
      <alignment horizontal="right" wrapText="1"/>
    </xf>
    <xf numFmtId="167" fontId="2" fillId="27" borderId="0" xfId="0" applyNumberFormat="1" applyFont="1" applyFill="1" applyAlignment="1">
      <alignment horizontal="right" wrapText="1"/>
    </xf>
    <xf numFmtId="0" fontId="3" fillId="27" borderId="0" xfId="0" applyFont="1" applyFill="1" applyAlignment="1">
      <alignment horizontal="left" wrapText="1"/>
    </xf>
    <xf numFmtId="16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7" fontId="3" fillId="0" borderId="0" xfId="0" applyNumberFormat="1" applyFont="1" applyAlignment="1">
      <alignment horizontal="right" wrapText="1"/>
    </xf>
    <xf numFmtId="171" fontId="2" fillId="0" borderId="0" xfId="28" applyNumberFormat="1" applyFont="1" applyFill="1" applyBorder="1" applyAlignment="1"/>
    <xf numFmtId="167" fontId="2" fillId="0" borderId="0" xfId="0" applyNumberFormat="1" applyFont="1" applyAlignment="1">
      <alignment wrapText="1"/>
    </xf>
    <xf numFmtId="167" fontId="2" fillId="0" borderId="0" xfId="28" applyNumberFormat="1" applyFont="1" applyAlignment="1">
      <alignment wrapText="1"/>
    </xf>
    <xf numFmtId="0" fontId="3" fillId="28" borderId="0" xfId="0" applyFont="1" applyFill="1" applyAlignment="1">
      <alignment wrapText="1"/>
    </xf>
    <xf numFmtId="0" fontId="3" fillId="28" borderId="0" xfId="0" applyFont="1" applyFill="1" applyAlignment="1">
      <alignment horizontal="right" wrapText="1"/>
    </xf>
    <xf numFmtId="3" fontId="3" fillId="28" borderId="0" xfId="0" applyNumberFormat="1" applyFont="1" applyFill="1" applyAlignment="1">
      <alignment horizontal="right" wrapText="1"/>
    </xf>
    <xf numFmtId="170" fontId="3" fillId="28" borderId="0" xfId="0" applyNumberFormat="1" applyFont="1" applyFill="1" applyAlignment="1">
      <alignment horizontal="right" wrapText="1"/>
    </xf>
    <xf numFmtId="169" fontId="3" fillId="28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0" fontId="4" fillId="24" borderId="0" xfId="0" applyFont="1" applyFill="1" applyAlignment="1">
      <alignment horizontal="left" wrapText="1"/>
    </xf>
    <xf numFmtId="3" fontId="2" fillId="24" borderId="0" xfId="0" applyNumberFormat="1" applyFont="1" applyFill="1" applyAlignment="1">
      <alignment wrapText="1"/>
    </xf>
    <xf numFmtId="0" fontId="4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3" fontId="3" fillId="24" borderId="0" xfId="0" applyNumberFormat="1" applyFont="1" applyFill="1" applyAlignment="1">
      <alignment horizontal="right" wrapText="1"/>
    </xf>
    <xf numFmtId="170" fontId="3" fillId="24" borderId="0" xfId="0" applyNumberFormat="1" applyFont="1" applyFill="1" applyAlignment="1">
      <alignment horizontal="right" wrapText="1"/>
    </xf>
    <xf numFmtId="169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0" fontId="2" fillId="24" borderId="0" xfId="0" applyFont="1" applyFill="1" applyAlignment="1">
      <alignment wrapText="1"/>
    </xf>
    <xf numFmtId="0" fontId="2" fillId="24" borderId="0" xfId="0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right" wrapText="1"/>
    </xf>
    <xf numFmtId="10" fontId="2" fillId="0" borderId="0" xfId="280" applyNumberFormat="1" applyFont="1"/>
    <xf numFmtId="3" fontId="3" fillId="0" borderId="0" xfId="0" applyNumberFormat="1" applyFont="1" applyAlignment="1">
      <alignment vertical="center" wrapText="1"/>
    </xf>
    <xf numFmtId="0" fontId="3" fillId="24" borderId="0" xfId="0" applyFont="1" applyFill="1" applyAlignment="1">
      <alignment vertical="center" wrapText="1"/>
    </xf>
    <xf numFmtId="0" fontId="2" fillId="24" borderId="0" xfId="0" applyFont="1" applyFill="1" applyAlignment="1">
      <alignment horizontal="left" wrapText="1"/>
    </xf>
    <xf numFmtId="3" fontId="3" fillId="24" borderId="0" xfId="0" applyNumberFormat="1" applyFont="1" applyFill="1" applyAlignment="1">
      <alignment wrapText="1"/>
    </xf>
    <xf numFmtId="3" fontId="2" fillId="24" borderId="0" xfId="0" applyNumberFormat="1" applyFont="1" applyFill="1"/>
    <xf numFmtId="0" fontId="3" fillId="24" borderId="0" xfId="0" applyFont="1" applyFill="1"/>
    <xf numFmtId="0" fontId="3" fillId="24" borderId="0" xfId="0" applyFont="1" applyFill="1" applyAlignment="1">
      <alignment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28" borderId="6" xfId="0" applyFont="1" applyFill="1" applyBorder="1" applyAlignment="1">
      <alignment vertical="center"/>
    </xf>
    <xf numFmtId="172" fontId="3" fillId="24" borderId="0" xfId="143" applyNumberFormat="1" applyFont="1" applyFill="1" applyAlignment="1">
      <alignment horizontal="left" vertical="top"/>
    </xf>
    <xf numFmtId="172" fontId="3" fillId="25" borderId="0" xfId="143" applyNumberFormat="1" applyFont="1" applyFill="1" applyAlignment="1">
      <alignment horizontal="left" vertical="top"/>
    </xf>
    <xf numFmtId="172" fontId="3" fillId="25" borderId="5" xfId="143" applyNumberFormat="1" applyFont="1" applyFill="1" applyBorder="1" applyAlignment="1">
      <alignment horizontal="left" vertical="top"/>
    </xf>
    <xf numFmtId="0" fontId="3" fillId="26" borderId="6" xfId="0" applyFont="1" applyFill="1" applyBorder="1" applyAlignment="1">
      <alignment vertical="top"/>
    </xf>
    <xf numFmtId="0" fontId="10" fillId="0" borderId="0" xfId="0" applyFont="1"/>
    <xf numFmtId="0" fontId="3" fillId="28" borderId="6" xfId="0" applyFont="1" applyFill="1" applyBorder="1" applyAlignment="1">
      <alignment horizontal="right" vertical="center" wrapText="1"/>
    </xf>
    <xf numFmtId="0" fontId="3" fillId="26" borderId="6" xfId="0" applyFont="1" applyFill="1" applyBorder="1" applyAlignment="1">
      <alignment horizontal="right" vertical="top" wrapText="1"/>
    </xf>
    <xf numFmtId="3" fontId="2" fillId="24" borderId="0" xfId="0" applyNumberFormat="1" applyFont="1" applyFill="1" applyAlignment="1">
      <alignment horizontal="right" wrapText="1"/>
    </xf>
    <xf numFmtId="3" fontId="2" fillId="26" borderId="0" xfId="0" applyNumberFormat="1" applyFont="1" applyFill="1" applyAlignment="1">
      <alignment horizontal="right" wrapText="1"/>
    </xf>
    <xf numFmtId="0" fontId="2" fillId="0" borderId="0" xfId="269" applyFont="1" applyAlignment="1">
      <alignment horizontal="left" wrapText="1"/>
    </xf>
    <xf numFmtId="0" fontId="2" fillId="24" borderId="0" xfId="0" applyFont="1" applyFill="1"/>
    <xf numFmtId="0" fontId="2" fillId="24" borderId="0" xfId="0" applyFont="1" applyFill="1" applyAlignment="1">
      <alignment horizontal="left"/>
    </xf>
    <xf numFmtId="175" fontId="2" fillId="0" borderId="0" xfId="0" applyNumberFormat="1" applyFont="1" applyAlignment="1">
      <alignment horizontal="right" vertical="top" wrapText="1"/>
    </xf>
    <xf numFmtId="3" fontId="3" fillId="0" borderId="4" xfId="0" applyNumberFormat="1" applyFont="1" applyBorder="1" applyAlignment="1">
      <alignment horizontal="right" wrapText="1"/>
    </xf>
    <xf numFmtId="170" fontId="3" fillId="24" borderId="4" xfId="143" applyNumberFormat="1" applyFont="1" applyFill="1" applyBorder="1" applyAlignment="1">
      <alignment horizontal="right" wrapText="1"/>
    </xf>
    <xf numFmtId="167" fontId="3" fillId="24" borderId="0" xfId="0" applyNumberFormat="1" applyFont="1" applyFill="1" applyAlignment="1">
      <alignment horizontal="right" wrapText="1"/>
    </xf>
    <xf numFmtId="3" fontId="3" fillId="25" borderId="4" xfId="0" applyNumberFormat="1" applyFont="1" applyFill="1" applyBorder="1" applyAlignment="1">
      <alignment horizontal="right" wrapText="1"/>
    </xf>
    <xf numFmtId="170" fontId="3" fillId="25" borderId="4" xfId="0" applyNumberFormat="1" applyFont="1" applyFill="1" applyBorder="1" applyAlignment="1">
      <alignment horizontal="right" wrapText="1"/>
    </xf>
    <xf numFmtId="170" fontId="3" fillId="25" borderId="5" xfId="143" applyNumberFormat="1" applyFont="1" applyFill="1" applyBorder="1" applyAlignment="1">
      <alignment horizontal="right" wrapText="1"/>
    </xf>
    <xf numFmtId="169" fontId="3" fillId="25" borderId="0" xfId="143" applyNumberFormat="1" applyFont="1" applyFill="1" applyAlignment="1">
      <alignment horizontal="left" vertical="top"/>
    </xf>
    <xf numFmtId="0" fontId="3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/>
    </xf>
    <xf numFmtId="176" fontId="2" fillId="0" borderId="0" xfId="0" applyNumberFormat="1" applyFont="1" applyAlignment="1">
      <alignment horizontal="right" wrapText="1"/>
    </xf>
    <xf numFmtId="0" fontId="9" fillId="26" borderId="6" xfId="0" applyFont="1" applyFill="1" applyBorder="1" applyAlignment="1">
      <alignment vertical="top"/>
    </xf>
    <xf numFmtId="0" fontId="2" fillId="24" borderId="0" xfId="269" applyFont="1" applyFill="1" applyAlignment="1">
      <alignment horizontal="left" wrapText="1"/>
    </xf>
    <xf numFmtId="175" fontId="2" fillId="24" borderId="0" xfId="0" applyNumberFormat="1" applyFont="1" applyFill="1" applyAlignment="1">
      <alignment horizontal="right" vertical="top" wrapText="1"/>
    </xf>
    <xf numFmtId="10" fontId="2" fillId="0" borderId="0" xfId="280" applyNumberFormat="1" applyFont="1" applyFill="1" applyAlignment="1">
      <alignment horizontal="right" wrapText="1"/>
    </xf>
    <xf numFmtId="0" fontId="3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vertical="top" wrapText="1"/>
    </xf>
    <xf numFmtId="167" fontId="2" fillId="30" borderId="0" xfId="0" applyNumberFormat="1" applyFont="1" applyFill="1" applyAlignment="1">
      <alignment horizontal="right" wrapText="1"/>
    </xf>
    <xf numFmtId="170" fontId="2" fillId="0" borderId="0" xfId="0" applyNumberFormat="1" applyFont="1"/>
    <xf numFmtId="2" fontId="2" fillId="0" borderId="0" xfId="0" applyNumberFormat="1" applyFont="1"/>
    <xf numFmtId="0" fontId="33" fillId="0" borderId="0" xfId="0" applyFont="1"/>
    <xf numFmtId="0" fontId="35" fillId="0" borderId="0" xfId="0" applyFont="1" applyAlignment="1">
      <alignment horizontal="center" vertical="center" wrapText="1"/>
    </xf>
    <xf numFmtId="0" fontId="33" fillId="0" borderId="19" xfId="0" applyFont="1" applyBorder="1" applyAlignment="1">
      <alignment wrapText="1"/>
    </xf>
    <xf numFmtId="9" fontId="33" fillId="0" borderId="19" xfId="280" applyFont="1" applyBorder="1" applyAlignment="1">
      <alignment horizontal="center" wrapText="1"/>
    </xf>
    <xf numFmtId="167" fontId="35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wrapText="1"/>
    </xf>
    <xf numFmtId="3" fontId="33" fillId="0" borderId="0" xfId="0" applyNumberFormat="1" applyFont="1" applyAlignment="1">
      <alignment wrapText="1"/>
    </xf>
    <xf numFmtId="3" fontId="33" fillId="0" borderId="0" xfId="0" applyNumberFormat="1" applyFont="1"/>
    <xf numFmtId="3" fontId="33" fillId="0" borderId="0" xfId="0" applyNumberFormat="1" applyFont="1" applyAlignment="1">
      <alignment horizontal="center"/>
    </xf>
    <xf numFmtId="168" fontId="33" fillId="0" borderId="19" xfId="280" applyNumberFormat="1" applyFont="1" applyBorder="1" applyAlignment="1">
      <alignment horizontal="center" wrapText="1"/>
    </xf>
    <xf numFmtId="168" fontId="33" fillId="0" borderId="19" xfId="280" applyNumberFormat="1" applyFont="1" applyBorder="1" applyAlignment="1">
      <alignment wrapText="1"/>
    </xf>
    <xf numFmtId="0" fontId="4" fillId="32" borderId="0" xfId="0" applyFont="1" applyFill="1" applyAlignment="1">
      <alignment horizontal="left" wrapText="1"/>
    </xf>
    <xf numFmtId="9" fontId="33" fillId="0" borderId="19" xfId="280" applyFont="1" applyBorder="1" applyAlignment="1">
      <alignment wrapText="1"/>
    </xf>
    <xf numFmtId="10" fontId="0" fillId="0" borderId="0" xfId="280" applyNumberFormat="1" applyFont="1"/>
    <xf numFmtId="167" fontId="2" fillId="33" borderId="0" xfId="0" applyNumberFormat="1" applyFont="1" applyFill="1" applyAlignment="1">
      <alignment horizontal="right" wrapText="1"/>
    </xf>
    <xf numFmtId="168" fontId="1" fillId="0" borderId="0" xfId="280" applyNumberFormat="1" applyFont="1" applyFill="1" applyBorder="1"/>
    <xf numFmtId="0" fontId="2" fillId="33" borderId="0" xfId="0" applyFont="1" applyFill="1"/>
    <xf numFmtId="0" fontId="30" fillId="33" borderId="0" xfId="0" applyFont="1" applyFill="1"/>
    <xf numFmtId="167" fontId="30" fillId="33" borderId="0" xfId="0" applyNumberFormat="1" applyFont="1" applyFill="1" applyAlignment="1">
      <alignment horizontal="right" wrapText="1"/>
    </xf>
    <xf numFmtId="175" fontId="36" fillId="0" borderId="0" xfId="0" applyNumberFormat="1" applyFont="1" applyAlignment="1">
      <alignment horizontal="right" vertical="top" wrapText="1"/>
    </xf>
    <xf numFmtId="0" fontId="39" fillId="0" borderId="0" xfId="295" applyFont="1"/>
    <xf numFmtId="0" fontId="37" fillId="0" borderId="0" xfId="295"/>
    <xf numFmtId="0" fontId="39" fillId="0" borderId="0" xfId="295" applyFont="1" applyAlignment="1">
      <alignment horizontal="left" wrapText="1"/>
    </xf>
    <xf numFmtId="175" fontId="39" fillId="0" borderId="0" xfId="295" applyNumberFormat="1" applyFont="1" applyAlignment="1">
      <alignment horizontal="right" wrapText="1"/>
    </xf>
    <xf numFmtId="43" fontId="39" fillId="0" borderId="0" xfId="295" applyNumberFormat="1" applyFont="1"/>
    <xf numFmtId="177" fontId="39" fillId="0" borderId="0" xfId="295" applyNumberFormat="1" applyFont="1"/>
    <xf numFmtId="0" fontId="39" fillId="0" borderId="0" xfId="295" applyFont="1" applyAlignment="1">
      <alignment horizontal="left"/>
    </xf>
    <xf numFmtId="175" fontId="39" fillId="0" borderId="0" xfId="295" applyNumberFormat="1" applyFont="1"/>
    <xf numFmtId="0" fontId="39" fillId="0" borderId="0" xfId="295" applyFont="1" applyAlignment="1">
      <alignment wrapText="1"/>
    </xf>
    <xf numFmtId="0" fontId="39" fillId="0" borderId="0" xfId="295" applyFont="1" applyAlignment="1">
      <alignment horizontal="left" vertical="top"/>
    </xf>
    <xf numFmtId="0" fontId="39" fillId="0" borderId="0" xfId="295" applyFont="1" applyAlignment="1">
      <alignment horizontal="left" vertical="top" wrapText="1"/>
    </xf>
    <xf numFmtId="3" fontId="39" fillId="0" borderId="0" xfId="295" applyNumberFormat="1" applyFont="1"/>
    <xf numFmtId="175" fontId="36" fillId="33" borderId="0" xfId="0" applyNumberFormat="1" applyFont="1" applyFill="1" applyAlignment="1">
      <alignment horizontal="right" vertical="top" wrapText="1"/>
    </xf>
    <xf numFmtId="175" fontId="2" fillId="33" borderId="0" xfId="0" applyNumberFormat="1" applyFont="1" applyFill="1" applyAlignment="1">
      <alignment horizontal="right" vertical="top" wrapText="1"/>
    </xf>
    <xf numFmtId="0" fontId="4" fillId="33" borderId="0" xfId="0" applyFont="1" applyFill="1" applyAlignment="1">
      <alignment wrapText="1"/>
    </xf>
    <xf numFmtId="0" fontId="9" fillId="26" borderId="6" xfId="0" applyFont="1" applyFill="1" applyBorder="1" applyAlignment="1">
      <alignment vertical="top" wrapText="1"/>
    </xf>
    <xf numFmtId="0" fontId="4" fillId="24" borderId="0" xfId="0" applyFont="1" applyFill="1" applyAlignment="1">
      <alignment horizontal="left" vertical="top" wrapText="1"/>
    </xf>
    <xf numFmtId="175" fontId="2" fillId="0" borderId="0" xfId="295" applyNumberFormat="1" applyFont="1" applyAlignment="1">
      <alignment horizontal="right" wrapText="1"/>
    </xf>
    <xf numFmtId="0" fontId="39" fillId="0" borderId="0" xfId="0" applyFont="1" applyAlignment="1">
      <alignment horizontal="left" wrapText="1"/>
    </xf>
    <xf numFmtId="3" fontId="7" fillId="0" borderId="0" xfId="0" applyNumberFormat="1" applyFont="1" applyAlignment="1">
      <alignment horizontal="center" vertical="center" wrapText="1"/>
    </xf>
    <xf numFmtId="0" fontId="4" fillId="33" borderId="0" xfId="0" applyFont="1" applyFill="1" applyAlignment="1">
      <alignment horizontal="left" wrapText="1"/>
    </xf>
    <xf numFmtId="0" fontId="2" fillId="33" borderId="0" xfId="0" applyFont="1" applyFill="1" applyAlignment="1">
      <alignment wrapText="1"/>
    </xf>
    <xf numFmtId="0" fontId="2" fillId="33" borderId="0" xfId="0" applyFont="1" applyFill="1" applyAlignment="1">
      <alignment horizontal="left" vertical="top" wrapText="1"/>
    </xf>
    <xf numFmtId="0" fontId="39" fillId="0" borderId="0" xfId="295" applyFont="1" applyAlignment="1">
      <alignment vertical="top" wrapText="1"/>
    </xf>
    <xf numFmtId="178" fontId="2" fillId="0" borderId="0" xfId="295" applyNumberFormat="1" applyFont="1" applyAlignment="1">
      <alignment horizontal="right" wrapText="1"/>
    </xf>
    <xf numFmtId="172" fontId="3" fillId="0" borderId="9" xfId="0" applyNumberFormat="1" applyFont="1" applyBorder="1"/>
    <xf numFmtId="172" fontId="3" fillId="0" borderId="10" xfId="0" applyNumberFormat="1" applyFont="1" applyBorder="1"/>
    <xf numFmtId="0" fontId="21" fillId="0" borderId="0" xfId="295" applyFont="1"/>
    <xf numFmtId="0" fontId="2" fillId="33" borderId="0" xfId="0" applyFont="1" applyFill="1" applyAlignment="1">
      <alignment horizontal="left" vertical="top"/>
    </xf>
    <xf numFmtId="10" fontId="2" fillId="33" borderId="0" xfId="0" applyNumberFormat="1" applyFont="1" applyFill="1" applyAlignment="1">
      <alignment horizontal="right" wrapText="1"/>
    </xf>
    <xf numFmtId="175" fontId="39" fillId="33" borderId="0" xfId="295" applyNumberFormat="1" applyFont="1" applyFill="1" applyAlignment="1">
      <alignment horizontal="right" wrapText="1"/>
    </xf>
    <xf numFmtId="175" fontId="2" fillId="33" borderId="0" xfId="295" applyNumberFormat="1" applyFont="1" applyFill="1" applyAlignment="1">
      <alignment horizontal="right" wrapText="1"/>
    </xf>
    <xf numFmtId="178" fontId="2" fillId="33" borderId="0" xfId="295" applyNumberFormat="1" applyFont="1" applyFill="1" applyAlignment="1">
      <alignment horizontal="right" wrapText="1"/>
    </xf>
    <xf numFmtId="0" fontId="41" fillId="33" borderId="0" xfId="295" applyFont="1" applyFill="1" applyAlignment="1">
      <alignment horizontal="left" wrapText="1"/>
    </xf>
    <xf numFmtId="0" fontId="39" fillId="33" borderId="0" xfId="295" applyFont="1" applyFill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3" fillId="26" borderId="0" xfId="0" applyFont="1" applyFill="1" applyAlignment="1">
      <alignment horizontal="left" wrapText="1"/>
    </xf>
    <xf numFmtId="0" fontId="3" fillId="28" borderId="0" xfId="0" applyFont="1" applyFill="1" applyAlignment="1">
      <alignment horizontal="left" wrapText="1"/>
    </xf>
    <xf numFmtId="0" fontId="3" fillId="26" borderId="6" xfId="0" applyFont="1" applyFill="1" applyBorder="1" applyAlignment="1">
      <alignment horizontal="left" vertical="top"/>
    </xf>
    <xf numFmtId="0" fontId="2" fillId="33" borderId="0" xfId="0" applyFont="1" applyFill="1" applyAlignment="1">
      <alignment horizontal="left"/>
    </xf>
    <xf numFmtId="0" fontId="30" fillId="33" borderId="0" xfId="0" applyFont="1" applyFill="1" applyAlignment="1">
      <alignment horizontal="left"/>
    </xf>
    <xf numFmtId="0" fontId="9" fillId="26" borderId="6" xfId="0" applyFont="1" applyFill="1" applyBorder="1" applyAlignment="1">
      <alignment horizontal="left" vertical="top" wrapText="1"/>
    </xf>
    <xf numFmtId="0" fontId="3" fillId="28" borderId="6" xfId="0" applyFont="1" applyFill="1" applyBorder="1" applyAlignment="1">
      <alignment horizontal="left" vertical="center"/>
    </xf>
    <xf numFmtId="0" fontId="3" fillId="25" borderId="4" xfId="0" applyFont="1" applyFill="1" applyBorder="1" applyAlignment="1">
      <alignment horizontal="left" wrapText="1"/>
    </xf>
    <xf numFmtId="10" fontId="3" fillId="0" borderId="0" xfId="0" applyNumberFormat="1" applyFont="1" applyAlignment="1">
      <alignment horizontal="left"/>
    </xf>
    <xf numFmtId="0" fontId="3" fillId="25" borderId="5" xfId="0" applyFont="1" applyFill="1" applyBorder="1" applyAlignment="1">
      <alignment horizontal="left" wrapText="1"/>
    </xf>
    <xf numFmtId="167" fontId="2" fillId="0" borderId="0" xfId="0" applyNumberFormat="1" applyFont="1" applyAlignment="1">
      <alignment horizontal="left" wrapText="1"/>
    </xf>
    <xf numFmtId="167" fontId="2" fillId="0" borderId="0" xfId="28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5" fillId="0" borderId="0" xfId="0" applyFont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175" fontId="39" fillId="0" borderId="0" xfId="0" applyNumberFormat="1" applyFont="1" applyAlignment="1">
      <alignment horizontal="right" vertical="center" wrapText="1"/>
    </xf>
    <xf numFmtId="0" fontId="30" fillId="0" borderId="0" xfId="0" applyFont="1" applyAlignment="1">
      <alignment horizontal="left" wrapText="1"/>
    </xf>
    <xf numFmtId="179" fontId="39" fillId="0" borderId="0" xfId="295" applyNumberFormat="1" applyFont="1" applyAlignment="1">
      <alignment horizontal="right" wrapText="1"/>
    </xf>
    <xf numFmtId="175" fontId="39" fillId="0" borderId="0" xfId="0" applyNumberFormat="1" applyFont="1" applyAlignment="1">
      <alignment horizontal="right" wrapText="1"/>
    </xf>
    <xf numFmtId="0" fontId="3" fillId="0" borderId="0" xfId="299" applyFont="1"/>
    <xf numFmtId="0" fontId="2" fillId="0" borderId="0" xfId="299" applyFont="1"/>
    <xf numFmtId="0" fontId="3" fillId="0" borderId="4" xfId="299" applyFont="1" applyBorder="1" applyAlignment="1">
      <alignment horizontal="center" wrapText="1"/>
    </xf>
    <xf numFmtId="3" fontId="3" fillId="0" borderId="4" xfId="299" applyNumberFormat="1" applyFont="1" applyBorder="1" applyAlignment="1">
      <alignment horizontal="center" wrapText="1"/>
    </xf>
    <xf numFmtId="0" fontId="3" fillId="26" borderId="0" xfId="299" applyFont="1" applyFill="1" applyAlignment="1">
      <alignment vertical="center" wrapText="1"/>
    </xf>
    <xf numFmtId="0" fontId="3" fillId="26" borderId="0" xfId="299" applyFont="1" applyFill="1" applyAlignment="1">
      <alignment wrapText="1"/>
    </xf>
    <xf numFmtId="3" fontId="3" fillId="26" borderId="0" xfId="299" applyNumberFormat="1" applyFont="1" applyFill="1" applyAlignment="1">
      <alignment wrapText="1"/>
    </xf>
    <xf numFmtId="3" fontId="2" fillId="26" borderId="0" xfId="299" applyNumberFormat="1" applyFont="1" applyFill="1"/>
    <xf numFmtId="0" fontId="3" fillId="0" borderId="0" xfId="299" applyFont="1" applyAlignment="1">
      <alignment horizontal="left" wrapText="1"/>
    </xf>
    <xf numFmtId="0" fontId="3" fillId="0" borderId="0" xfId="299" applyFont="1" applyAlignment="1">
      <alignment horizontal="left"/>
    </xf>
    <xf numFmtId="3" fontId="3" fillId="0" borderId="0" xfId="299" applyNumberFormat="1" applyFont="1" applyAlignment="1">
      <alignment horizontal="right" wrapText="1"/>
    </xf>
    <xf numFmtId="3" fontId="2" fillId="0" borderId="0" xfId="299" applyNumberFormat="1" applyFont="1" applyAlignment="1">
      <alignment horizontal="right" wrapText="1"/>
    </xf>
    <xf numFmtId="0" fontId="2" fillId="0" borderId="0" xfId="299" applyFont="1" applyAlignment="1">
      <alignment horizontal="left" wrapText="1"/>
    </xf>
    <xf numFmtId="0" fontId="2" fillId="0" borderId="0" xfId="299" applyFont="1" applyAlignment="1">
      <alignment horizontal="left"/>
    </xf>
    <xf numFmtId="167" fontId="2" fillId="0" borderId="0" xfId="299" applyNumberFormat="1" applyFont="1" applyAlignment="1">
      <alignment horizontal="right" wrapText="1"/>
    </xf>
    <xf numFmtId="167" fontId="3" fillId="0" borderId="0" xfId="299" applyNumberFormat="1" applyFont="1" applyAlignment="1">
      <alignment horizontal="right" wrapText="1"/>
    </xf>
    <xf numFmtId="0" fontId="2" fillId="0" borderId="0" xfId="299" applyFont="1" applyAlignment="1">
      <alignment wrapText="1"/>
    </xf>
    <xf numFmtId="10" fontId="2" fillId="0" borderId="0" xfId="299" applyNumberFormat="1" applyFont="1" applyAlignment="1">
      <alignment horizontal="right" wrapText="1"/>
    </xf>
    <xf numFmtId="0" fontId="2" fillId="29" borderId="0" xfId="299" applyFont="1" applyFill="1" applyAlignment="1">
      <alignment wrapText="1"/>
    </xf>
    <xf numFmtId="0" fontId="2" fillId="29" borderId="0" xfId="299" applyFont="1" applyFill="1" applyAlignment="1">
      <alignment horizontal="left" vertical="top"/>
    </xf>
    <xf numFmtId="0" fontId="2" fillId="0" borderId="0" xfId="299" applyFont="1" applyAlignment="1">
      <alignment horizontal="right" wrapText="1"/>
    </xf>
    <xf numFmtId="0" fontId="3" fillId="24" borderId="4" xfId="299" applyFont="1" applyFill="1" applyBorder="1" applyAlignment="1">
      <alignment wrapText="1"/>
    </xf>
    <xf numFmtId="0" fontId="3" fillId="24" borderId="4" xfId="299" applyFont="1" applyFill="1" applyBorder="1" applyAlignment="1">
      <alignment horizontal="right" wrapText="1"/>
    </xf>
    <xf numFmtId="3" fontId="3" fillId="24" borderId="4" xfId="299" applyNumberFormat="1" applyFont="1" applyFill="1" applyBorder="1" applyAlignment="1">
      <alignment horizontal="right" wrapText="1"/>
    </xf>
    <xf numFmtId="170" fontId="3" fillId="24" borderId="4" xfId="299" applyNumberFormat="1" applyFont="1" applyFill="1" applyBorder="1" applyAlignment="1">
      <alignment horizontal="right" wrapText="1"/>
    </xf>
    <xf numFmtId="169" fontId="3" fillId="24" borderId="4" xfId="299" applyNumberFormat="1" applyFont="1" applyFill="1" applyBorder="1" applyAlignment="1">
      <alignment horizontal="right" wrapText="1"/>
    </xf>
    <xf numFmtId="0" fontId="2" fillId="0" borderId="0" xfId="299" applyFont="1" applyAlignment="1">
      <alignment horizontal="left" vertical="top"/>
    </xf>
    <xf numFmtId="0" fontId="3" fillId="28" borderId="0" xfId="299" applyFont="1" applyFill="1" applyAlignment="1">
      <alignment wrapText="1"/>
    </xf>
    <xf numFmtId="0" fontId="3" fillId="28" borderId="0" xfId="299" applyFont="1" applyFill="1" applyAlignment="1">
      <alignment horizontal="right" wrapText="1"/>
    </xf>
    <xf numFmtId="3" fontId="3" fillId="28" borderId="0" xfId="299" applyNumberFormat="1" applyFont="1" applyFill="1" applyAlignment="1">
      <alignment horizontal="right" wrapText="1"/>
    </xf>
    <xf numFmtId="170" fontId="3" fillId="28" borderId="0" xfId="299" applyNumberFormat="1" applyFont="1" applyFill="1" applyAlignment="1">
      <alignment horizontal="right" wrapText="1"/>
    </xf>
    <xf numFmtId="169" fontId="3" fillId="28" borderId="0" xfId="299" applyNumberFormat="1" applyFont="1" applyFill="1" applyAlignment="1">
      <alignment horizontal="right" wrapText="1"/>
    </xf>
    <xf numFmtId="0" fontId="2" fillId="24" borderId="0" xfId="299" applyFont="1" applyFill="1" applyAlignment="1">
      <alignment horizontal="left" wrapText="1"/>
    </xf>
    <xf numFmtId="0" fontId="2" fillId="24" borderId="0" xfId="299" applyFont="1" applyFill="1" applyAlignment="1">
      <alignment horizontal="left" vertical="top" wrapText="1"/>
    </xf>
    <xf numFmtId="167" fontId="2" fillId="24" borderId="0" xfId="299" applyNumberFormat="1" applyFont="1" applyFill="1" applyAlignment="1">
      <alignment horizontal="right" wrapText="1"/>
    </xf>
    <xf numFmtId="169" fontId="2" fillId="0" borderId="0" xfId="299" applyNumberFormat="1" applyFont="1"/>
    <xf numFmtId="0" fontId="2" fillId="0" borderId="0" xfId="299" applyFont="1" applyAlignment="1">
      <alignment horizontal="left" vertical="top" wrapText="1"/>
    </xf>
    <xf numFmtId="3" fontId="2" fillId="0" borderId="0" xfId="299" applyNumberFormat="1" applyFont="1"/>
    <xf numFmtId="3" fontId="2" fillId="0" borderId="0" xfId="299" applyNumberFormat="1" applyFont="1" applyAlignment="1">
      <alignment wrapText="1"/>
    </xf>
    <xf numFmtId="0" fontId="3" fillId="24" borderId="4" xfId="299" applyFont="1" applyFill="1" applyBorder="1" applyAlignment="1">
      <alignment horizontal="left" wrapText="1"/>
    </xf>
    <xf numFmtId="3" fontId="3" fillId="24" borderId="4" xfId="299" applyNumberFormat="1" applyFont="1" applyFill="1" applyBorder="1" applyAlignment="1">
      <alignment wrapText="1"/>
    </xf>
    <xf numFmtId="0" fontId="3" fillId="24" borderId="0" xfId="299" applyFont="1" applyFill="1" applyAlignment="1">
      <alignment horizontal="left" wrapText="1"/>
    </xf>
    <xf numFmtId="0" fontId="3" fillId="24" borderId="0" xfId="299" applyFont="1" applyFill="1" applyAlignment="1">
      <alignment wrapText="1"/>
    </xf>
    <xf numFmtId="3" fontId="3" fillId="24" borderId="0" xfId="299" applyNumberFormat="1" applyFont="1" applyFill="1" applyAlignment="1">
      <alignment wrapText="1"/>
    </xf>
    <xf numFmtId="170" fontId="3" fillId="24" borderId="0" xfId="143" applyNumberFormat="1" applyFont="1" applyFill="1" applyBorder="1" applyAlignment="1">
      <alignment horizontal="right" wrapText="1"/>
    </xf>
    <xf numFmtId="170" fontId="3" fillId="24" borderId="0" xfId="299" applyNumberFormat="1" applyFont="1" applyFill="1" applyAlignment="1">
      <alignment horizontal="right" wrapText="1"/>
    </xf>
    <xf numFmtId="169" fontId="3" fillId="24" borderId="0" xfId="299" applyNumberFormat="1" applyFont="1" applyFill="1" applyAlignment="1">
      <alignment horizontal="right" wrapText="1"/>
    </xf>
    <xf numFmtId="0" fontId="9" fillId="26" borderId="6" xfId="299" applyFont="1" applyFill="1" applyBorder="1" applyAlignment="1">
      <alignment vertical="top"/>
    </xf>
    <xf numFmtId="0" fontId="3" fillId="26" borderId="6" xfId="299" applyFont="1" applyFill="1" applyBorder="1" applyAlignment="1">
      <alignment vertical="top"/>
    </xf>
    <xf numFmtId="0" fontId="30" fillId="0" borderId="0" xfId="299" applyFont="1"/>
    <xf numFmtId="0" fontId="3" fillId="30" borderId="0" xfId="299" applyFont="1" applyFill="1" applyAlignment="1">
      <alignment horizontal="left" wrapText="1"/>
    </xf>
    <xf numFmtId="0" fontId="2" fillId="30" borderId="0" xfId="299" applyFont="1" applyFill="1" applyAlignment="1">
      <alignment horizontal="left" wrapText="1"/>
    </xf>
    <xf numFmtId="0" fontId="2" fillId="30" borderId="0" xfId="299" applyFont="1" applyFill="1" applyAlignment="1">
      <alignment horizontal="left" vertical="top" wrapText="1"/>
    </xf>
    <xf numFmtId="167" fontId="2" fillId="30" borderId="0" xfId="299" applyNumberFormat="1" applyFont="1" applyFill="1" applyAlignment="1">
      <alignment horizontal="right" wrapText="1"/>
    </xf>
    <xf numFmtId="167" fontId="3" fillId="24" borderId="4" xfId="299" applyNumberFormat="1" applyFont="1" applyFill="1" applyBorder="1" applyAlignment="1">
      <alignment horizontal="right" wrapText="1"/>
    </xf>
    <xf numFmtId="0" fontId="4" fillId="0" borderId="0" xfId="299" applyFont="1" applyAlignment="1">
      <alignment wrapText="1"/>
    </xf>
    <xf numFmtId="0" fontId="3" fillId="0" borderId="0" xfId="299" applyFont="1" applyAlignment="1">
      <alignment wrapText="1"/>
    </xf>
    <xf numFmtId="169" fontId="2" fillId="0" borderId="0" xfId="299" applyNumberFormat="1" applyFont="1" applyAlignment="1">
      <alignment horizontal="right" wrapText="1"/>
    </xf>
    <xf numFmtId="10" fontId="3" fillId="0" borderId="0" xfId="299" applyNumberFormat="1" applyFont="1"/>
    <xf numFmtId="170" fontId="2" fillId="0" borderId="0" xfId="299" applyNumberFormat="1" applyFont="1" applyAlignment="1">
      <alignment horizontal="right" wrapText="1"/>
    </xf>
    <xf numFmtId="0" fontId="3" fillId="25" borderId="5" xfId="299" applyFont="1" applyFill="1" applyBorder="1" applyAlignment="1">
      <alignment wrapText="1"/>
    </xf>
    <xf numFmtId="3" fontId="3" fillId="25" borderId="5" xfId="299" applyNumberFormat="1" applyFont="1" applyFill="1" applyBorder="1" applyAlignment="1">
      <alignment horizontal="right" wrapText="1"/>
    </xf>
    <xf numFmtId="2" fontId="2" fillId="0" borderId="0" xfId="299" applyNumberFormat="1" applyFont="1"/>
    <xf numFmtId="0" fontId="5" fillId="0" borderId="0" xfId="299" applyFont="1" applyAlignment="1">
      <alignment wrapText="1"/>
    </xf>
    <xf numFmtId="167" fontId="2" fillId="0" borderId="0" xfId="299" applyNumberFormat="1" applyFont="1" applyAlignment="1">
      <alignment wrapText="1"/>
    </xf>
    <xf numFmtId="37" fontId="2" fillId="0" borderId="0" xfId="0" applyNumberFormat="1" applyFont="1" applyAlignment="1">
      <alignment horizontal="right" wrapText="1"/>
    </xf>
    <xf numFmtId="180" fontId="2" fillId="0" borderId="0" xfId="0" applyNumberFormat="1" applyFont="1" applyAlignment="1">
      <alignment horizontal="right" wrapText="1"/>
    </xf>
    <xf numFmtId="164" fontId="0" fillId="0" borderId="0" xfId="0" applyNumberFormat="1"/>
    <xf numFmtId="175" fontId="2" fillId="0" borderId="0" xfId="0" applyNumberFormat="1" applyFont="1" applyAlignment="1">
      <alignment horizontal="right" wrapText="1"/>
    </xf>
    <xf numFmtId="175" fontId="36" fillId="0" borderId="0" xfId="0" applyNumberFormat="1" applyFont="1" applyAlignment="1">
      <alignment horizontal="right" wrapText="1"/>
    </xf>
    <xf numFmtId="166" fontId="2" fillId="0" borderId="0" xfId="0" applyNumberFormat="1" applyFont="1" applyAlignment="1">
      <alignment horizontal="right" wrapText="1"/>
    </xf>
    <xf numFmtId="164" fontId="3" fillId="26" borderId="6" xfId="299" applyNumberFormat="1" applyFont="1" applyFill="1" applyBorder="1" applyAlignment="1">
      <alignment vertical="top"/>
    </xf>
    <xf numFmtId="0" fontId="4" fillId="24" borderId="0" xfId="299" applyFont="1" applyFill="1" applyAlignment="1">
      <alignment horizontal="left" wrapText="1"/>
    </xf>
    <xf numFmtId="0" fontId="2" fillId="24" borderId="0" xfId="299" applyFont="1" applyFill="1" applyAlignment="1">
      <alignment horizontal="left"/>
    </xf>
    <xf numFmtId="0" fontId="2" fillId="24" borderId="0" xfId="299" applyFont="1" applyFill="1"/>
    <xf numFmtId="0" fontId="30" fillId="24" borderId="0" xfId="299" applyFont="1" applyFill="1"/>
    <xf numFmtId="167" fontId="2" fillId="0" borderId="0" xfId="299" applyNumberFormat="1" applyFont="1" applyAlignment="1">
      <alignment horizontal="left" wrapText="1"/>
    </xf>
    <xf numFmtId="0" fontId="39" fillId="0" borderId="0" xfId="0" applyFont="1" applyAlignment="1">
      <alignment wrapText="1"/>
    </xf>
    <xf numFmtId="0" fontId="38" fillId="0" borderId="0" xfId="295" applyFont="1" applyAlignment="1">
      <alignment horizontal="left" wrapText="1"/>
    </xf>
    <xf numFmtId="10" fontId="2" fillId="0" borderId="0" xfId="280" applyNumberFormat="1" applyFont="1" applyAlignment="1">
      <alignment horizontal="right" wrapText="1"/>
    </xf>
    <xf numFmtId="0" fontId="30" fillId="0" borderId="0" xfId="269" applyFont="1" applyAlignment="1">
      <alignment horizontal="left" wrapText="1"/>
    </xf>
    <xf numFmtId="175" fontId="30" fillId="0" borderId="0" xfId="0" applyNumberFormat="1" applyFont="1" applyAlignment="1">
      <alignment horizontal="right" vertical="top" wrapText="1"/>
    </xf>
    <xf numFmtId="1" fontId="2" fillId="0" borderId="0" xfId="28" applyNumberFormat="1" applyFont="1"/>
    <xf numFmtId="0" fontId="41" fillId="24" borderId="0" xfId="295" applyFont="1" applyFill="1" applyAlignment="1">
      <alignment horizontal="left" wrapText="1"/>
    </xf>
    <xf numFmtId="0" fontId="39" fillId="0" borderId="0" xfId="295" applyFont="1" applyAlignment="1">
      <alignment vertical="top"/>
    </xf>
    <xf numFmtId="0" fontId="39" fillId="33" borderId="0" xfId="295" applyFont="1" applyFill="1" applyAlignment="1">
      <alignment vertical="top"/>
    </xf>
    <xf numFmtId="0" fontId="39" fillId="33" borderId="0" xfId="295" applyFont="1" applyFill="1" applyAlignment="1">
      <alignment horizontal="left" vertical="top" wrapText="1"/>
    </xf>
    <xf numFmtId="0" fontId="37" fillId="0" borderId="0" xfId="295" applyAlignment="1">
      <alignment vertical="top"/>
    </xf>
    <xf numFmtId="0" fontId="2" fillId="0" borderId="0" xfId="0" applyFont="1" applyAlignment="1">
      <alignment vertical="top" wrapText="1"/>
    </xf>
    <xf numFmtId="0" fontId="2" fillId="33" borderId="0" xfId="0" applyFont="1" applyFill="1" applyAlignment="1">
      <alignment vertical="top" wrapText="1"/>
    </xf>
    <xf numFmtId="0" fontId="39" fillId="33" borderId="0" xfId="295" applyFont="1" applyFill="1" applyAlignment="1">
      <alignment vertical="top" wrapText="1"/>
    </xf>
    <xf numFmtId="0" fontId="37" fillId="0" borderId="0" xfId="295" applyAlignment="1">
      <alignment horizontal="left" vertical="top"/>
    </xf>
    <xf numFmtId="0" fontId="2" fillId="0" borderId="0" xfId="0" applyFont="1" applyAlignment="1">
      <alignment vertical="top"/>
    </xf>
    <xf numFmtId="0" fontId="2" fillId="33" borderId="0" xfId="0" applyFont="1" applyFill="1" applyAlignment="1">
      <alignment vertical="top"/>
    </xf>
    <xf numFmtId="0" fontId="3" fillId="24" borderId="4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2" fillId="24" borderId="0" xfId="0" applyFont="1" applyFill="1" applyAlignment="1">
      <alignment horizontal="left" vertical="center"/>
    </xf>
    <xf numFmtId="0" fontId="3" fillId="24" borderId="4" xfId="0" applyFont="1" applyFill="1" applyBorder="1" applyAlignment="1">
      <alignment horizontal="left" vertical="top" wrapText="1"/>
    </xf>
    <xf numFmtId="175" fontId="37" fillId="0" borderId="0" xfId="295" applyNumberFormat="1"/>
    <xf numFmtId="0" fontId="4" fillId="24" borderId="0" xfId="299" applyFont="1" applyFill="1" applyAlignment="1">
      <alignment horizontal="left" vertical="top" wrapText="1"/>
    </xf>
    <xf numFmtId="0" fontId="33" fillId="0" borderId="0" xfId="299" applyFont="1"/>
    <xf numFmtId="3" fontId="2" fillId="26" borderId="0" xfId="299" applyNumberFormat="1" applyFont="1" applyFill="1" applyAlignment="1">
      <alignment horizontal="right" wrapText="1"/>
    </xf>
    <xf numFmtId="3" fontId="2" fillId="24" borderId="0" xfId="299" applyNumberFormat="1" applyFont="1" applyFill="1" applyAlignment="1">
      <alignment horizontal="right" wrapText="1"/>
    </xf>
    <xf numFmtId="167" fontId="3" fillId="24" borderId="0" xfId="299" applyNumberFormat="1" applyFont="1" applyFill="1" applyAlignment="1">
      <alignment horizontal="right" wrapText="1"/>
    </xf>
    <xf numFmtId="0" fontId="4" fillId="24" borderId="0" xfId="299" applyFont="1" applyFill="1" applyAlignment="1">
      <alignment wrapText="1"/>
    </xf>
    <xf numFmtId="0" fontId="3" fillId="27" borderId="0" xfId="299" applyFont="1" applyFill="1" applyAlignment="1">
      <alignment horizontal="left" wrapText="1"/>
    </xf>
    <xf numFmtId="167" fontId="3" fillId="27" borderId="0" xfId="299" applyNumberFormat="1" applyFont="1" applyFill="1" applyAlignment="1">
      <alignment horizontal="right" wrapText="1"/>
    </xf>
    <xf numFmtId="167" fontId="2" fillId="33" borderId="0" xfId="299" applyNumberFormat="1" applyFont="1" applyFill="1" applyAlignment="1">
      <alignment horizontal="right" wrapText="1"/>
    </xf>
    <xf numFmtId="0" fontId="9" fillId="26" borderId="6" xfId="299" applyFont="1" applyFill="1" applyBorder="1" applyAlignment="1">
      <alignment vertical="top" wrapText="1"/>
    </xf>
    <xf numFmtId="175" fontId="30" fillId="24" borderId="0" xfId="299" applyNumberFormat="1" applyFont="1" applyFill="1" applyAlignment="1">
      <alignment horizontal="right" vertical="top" wrapText="1"/>
    </xf>
    <xf numFmtId="175" fontId="36" fillId="0" borderId="0" xfId="299" applyNumberFormat="1" applyFont="1" applyAlignment="1">
      <alignment horizontal="right" vertical="top" wrapText="1"/>
    </xf>
    <xf numFmtId="175" fontId="36" fillId="33" borderId="0" xfId="299" applyNumberFormat="1" applyFont="1" applyFill="1" applyAlignment="1">
      <alignment horizontal="right" vertical="top" wrapText="1"/>
    </xf>
    <xf numFmtId="0" fontId="4" fillId="33" borderId="0" xfId="299" applyFont="1" applyFill="1" applyAlignment="1">
      <alignment wrapText="1"/>
    </xf>
    <xf numFmtId="0" fontId="3" fillId="28" borderId="6" xfId="299" applyFont="1" applyFill="1" applyBorder="1" applyAlignment="1">
      <alignment vertical="center"/>
    </xf>
    <xf numFmtId="0" fontId="3" fillId="28" borderId="6" xfId="299" applyFont="1" applyFill="1" applyBorder="1" applyAlignment="1">
      <alignment horizontal="right" vertical="center" wrapText="1"/>
    </xf>
    <xf numFmtId="0" fontId="3" fillId="27" borderId="0" xfId="299" applyFont="1" applyFill="1" applyAlignment="1">
      <alignment wrapText="1"/>
    </xf>
    <xf numFmtId="0" fontId="4" fillId="32" borderId="0" xfId="299" applyFont="1" applyFill="1" applyAlignment="1">
      <alignment horizontal="left" wrapText="1"/>
    </xf>
    <xf numFmtId="0" fontId="4" fillId="33" borderId="0" xfId="299" applyFont="1" applyFill="1" applyAlignment="1">
      <alignment horizontal="left" wrapText="1"/>
    </xf>
    <xf numFmtId="0" fontId="3" fillId="25" borderId="4" xfId="299" applyFont="1" applyFill="1" applyBorder="1" applyAlignment="1">
      <alignment wrapText="1"/>
    </xf>
    <xf numFmtId="3" fontId="3" fillId="0" borderId="4" xfId="299" applyNumberFormat="1" applyFont="1" applyBorder="1" applyAlignment="1">
      <alignment horizontal="center" vertical="center" wrapText="1"/>
    </xf>
    <xf numFmtId="0" fontId="41" fillId="33" borderId="0" xfId="295" applyFont="1" applyFill="1"/>
    <xf numFmtId="0" fontId="41" fillId="33" borderId="0" xfId="295" applyFont="1" applyFill="1" applyAlignment="1">
      <alignment horizontal="left"/>
    </xf>
    <xf numFmtId="176" fontId="2" fillId="0" borderId="0" xfId="299" applyNumberFormat="1" applyFont="1"/>
    <xf numFmtId="176" fontId="3" fillId="0" borderId="4" xfId="299" applyNumberFormat="1" applyFont="1" applyBorder="1" applyAlignment="1">
      <alignment horizontal="center" vertical="center" wrapText="1"/>
    </xf>
    <xf numFmtId="176" fontId="2" fillId="26" borderId="0" xfId="299" applyNumberFormat="1" applyFont="1" applyFill="1" applyAlignment="1">
      <alignment horizontal="right" wrapText="1"/>
    </xf>
    <xf numFmtId="176" fontId="2" fillId="24" borderId="0" xfId="299" applyNumberFormat="1" applyFont="1" applyFill="1" applyAlignment="1">
      <alignment horizontal="right" wrapText="1"/>
    </xf>
    <xf numFmtId="176" fontId="2" fillId="0" borderId="0" xfId="299" applyNumberFormat="1" applyFont="1" applyAlignment="1">
      <alignment horizontal="right" wrapText="1"/>
    </xf>
    <xf numFmtId="176" fontId="3" fillId="24" borderId="0" xfId="299" applyNumberFormat="1" applyFont="1" applyFill="1" applyAlignment="1">
      <alignment horizontal="right" wrapText="1"/>
    </xf>
    <xf numFmtId="176" fontId="3" fillId="0" borderId="0" xfId="299" applyNumberFormat="1" applyFont="1" applyAlignment="1">
      <alignment horizontal="right" wrapText="1"/>
    </xf>
    <xf numFmtId="176" fontId="3" fillId="24" borderId="4" xfId="299" applyNumberFormat="1" applyFont="1" applyFill="1" applyBorder="1" applyAlignment="1">
      <alignment horizontal="right" wrapText="1"/>
    </xf>
    <xf numFmtId="176" fontId="3" fillId="28" borderId="0" xfId="299" applyNumberFormat="1" applyFont="1" applyFill="1" applyAlignment="1">
      <alignment horizontal="right" wrapText="1"/>
    </xf>
    <xf numFmtId="176" fontId="3" fillId="26" borderId="6" xfId="299" applyNumberFormat="1" applyFont="1" applyFill="1" applyBorder="1" applyAlignment="1">
      <alignment horizontal="right" vertical="top" wrapText="1"/>
    </xf>
    <xf numFmtId="176" fontId="3" fillId="24" borderId="4" xfId="143" applyNumberFormat="1" applyFont="1" applyFill="1" applyBorder="1" applyAlignment="1">
      <alignment horizontal="right" wrapText="1"/>
    </xf>
    <xf numFmtId="176" fontId="3" fillId="27" borderId="0" xfId="299" applyNumberFormat="1" applyFont="1" applyFill="1" applyAlignment="1">
      <alignment horizontal="right" wrapText="1"/>
    </xf>
    <xf numFmtId="176" fontId="2" fillId="33" borderId="0" xfId="299" applyNumberFormat="1" applyFont="1" applyFill="1" applyAlignment="1">
      <alignment horizontal="right" wrapText="1"/>
    </xf>
    <xf numFmtId="176" fontId="4" fillId="24" borderId="0" xfId="0" applyNumberFormat="1" applyFont="1" applyFill="1" applyAlignment="1">
      <alignment horizontal="left" wrapText="1"/>
    </xf>
    <xf numFmtId="176" fontId="9" fillId="26" borderId="6" xfId="299" applyNumberFormat="1" applyFont="1" applyFill="1" applyBorder="1" applyAlignment="1">
      <alignment vertical="top" wrapText="1"/>
    </xf>
    <xf numFmtId="176" fontId="30" fillId="24" borderId="0" xfId="299" applyNumberFormat="1" applyFont="1" applyFill="1" applyAlignment="1">
      <alignment horizontal="right" vertical="top" wrapText="1"/>
    </xf>
    <xf numFmtId="176" fontId="36" fillId="33" borderId="0" xfId="299" applyNumberFormat="1" applyFont="1" applyFill="1" applyAlignment="1">
      <alignment horizontal="right" vertical="top" wrapText="1"/>
    </xf>
    <xf numFmtId="176" fontId="4" fillId="24" borderId="0" xfId="0" applyNumberFormat="1" applyFont="1" applyFill="1" applyAlignment="1">
      <alignment wrapText="1"/>
    </xf>
    <xf numFmtId="176" fontId="3" fillId="28" borderId="6" xfId="299" applyNumberFormat="1" applyFont="1" applyFill="1" applyBorder="1" applyAlignment="1">
      <alignment horizontal="right" vertical="center" wrapText="1"/>
    </xf>
    <xf numFmtId="176" fontId="4" fillId="32" borderId="0" xfId="299" applyNumberFormat="1" applyFont="1" applyFill="1" applyAlignment="1">
      <alignment horizontal="left" wrapText="1"/>
    </xf>
    <xf numFmtId="176" fontId="3" fillId="25" borderId="4" xfId="299" applyNumberFormat="1" applyFont="1" applyFill="1" applyBorder="1" applyAlignment="1">
      <alignment horizontal="right" wrapText="1"/>
    </xf>
    <xf numFmtId="176" fontId="3" fillId="25" borderId="5" xfId="143" applyNumberFormat="1" applyFont="1" applyFill="1" applyBorder="1" applyAlignment="1">
      <alignment horizontal="right" wrapText="1"/>
    </xf>
    <xf numFmtId="175" fontId="36" fillId="24" borderId="0" xfId="0" applyNumberFormat="1" applyFont="1" applyFill="1" applyAlignment="1">
      <alignment horizontal="right"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wrapText="1"/>
    </xf>
    <xf numFmtId="0" fontId="34" fillId="31" borderId="20" xfId="0" applyFont="1" applyFill="1" applyBorder="1" applyAlignment="1">
      <alignment horizontal="center" vertical="center" wrapText="1"/>
    </xf>
    <xf numFmtId="0" fontId="34" fillId="31" borderId="21" xfId="0" applyFont="1" applyFill="1" applyBorder="1" applyAlignment="1">
      <alignment horizontal="center" vertical="center" wrapText="1"/>
    </xf>
    <xf numFmtId="0" fontId="34" fillId="31" borderId="23" xfId="299" applyFont="1" applyFill="1" applyBorder="1" applyAlignment="1">
      <alignment horizontal="center" vertical="center" wrapText="1"/>
    </xf>
    <xf numFmtId="0" fontId="3" fillId="0" borderId="0" xfId="299" applyFont="1" applyAlignment="1">
      <alignment horizontal="center" wrapText="1"/>
    </xf>
    <xf numFmtId="0" fontId="3" fillId="0" borderId="0" xfId="299" applyFont="1" applyAlignment="1">
      <alignment horizontal="center" vertical="center" wrapText="1"/>
    </xf>
    <xf numFmtId="3" fontId="3" fillId="0" borderId="22" xfId="299" applyNumberFormat="1" applyFont="1" applyBorder="1" applyAlignment="1">
      <alignment horizontal="center" vertical="center" wrapText="1"/>
    </xf>
    <xf numFmtId="0" fontId="9" fillId="26" borderId="6" xfId="299" applyFont="1" applyFill="1" applyBorder="1" applyAlignment="1">
      <alignment horizontal="center" vertical="top" wrapText="1"/>
    </xf>
    <xf numFmtId="0" fontId="31" fillId="0" borderId="0" xfId="299" applyFont="1" applyAlignment="1">
      <alignment horizontal="center" wrapText="1"/>
    </xf>
    <xf numFmtId="0" fontId="31" fillId="0" borderId="0" xfId="299" applyFont="1" applyAlignment="1">
      <alignment horizontal="center" vertical="center" wrapText="1"/>
    </xf>
    <xf numFmtId="3" fontId="31" fillId="0" borderId="0" xfId="299" applyNumberFormat="1" applyFont="1" applyAlignment="1">
      <alignment horizontal="center" vertical="center" wrapText="1"/>
    </xf>
    <xf numFmtId="0" fontId="32" fillId="24" borderId="17" xfId="299" applyFont="1" applyFill="1" applyBorder="1" applyAlignment="1">
      <alignment horizontal="center" vertical="center" wrapText="1"/>
    </xf>
    <xf numFmtId="0" fontId="35" fillId="0" borderId="19" xfId="0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0" fontId="32" fillId="24" borderId="17" xfId="0" applyFont="1" applyFill="1" applyBorder="1" applyAlignment="1">
      <alignment horizontal="center" vertical="center" wrapText="1"/>
    </xf>
  </cellXfs>
  <cellStyles count="30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[0] 2" xfId="29" xr:uid="{00000000-0005-0000-0000-00001C000000}"/>
    <cellStyle name="Comma 10" xfId="30" xr:uid="{00000000-0005-0000-0000-00001D000000}"/>
    <cellStyle name="Comma 100" xfId="31" xr:uid="{00000000-0005-0000-0000-00001E000000}"/>
    <cellStyle name="Comma 101" xfId="32" xr:uid="{00000000-0005-0000-0000-00001F000000}"/>
    <cellStyle name="Comma 102" xfId="33" xr:uid="{00000000-0005-0000-0000-000020000000}"/>
    <cellStyle name="Comma 103" xfId="34" xr:uid="{00000000-0005-0000-0000-000021000000}"/>
    <cellStyle name="Comma 104" xfId="296" xr:uid="{794FD805-E72C-463B-B82C-73B9ABA5C93D}"/>
    <cellStyle name="Comma 11" xfId="35" xr:uid="{00000000-0005-0000-0000-000022000000}"/>
    <cellStyle name="Comma 12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6" xfId="40" xr:uid="{00000000-0005-0000-0000-000027000000}"/>
    <cellStyle name="Comma 17" xfId="41" xr:uid="{00000000-0005-0000-0000-000028000000}"/>
    <cellStyle name="Comma 18" xfId="42" xr:uid="{00000000-0005-0000-0000-000029000000}"/>
    <cellStyle name="Comma 19" xfId="43" xr:uid="{00000000-0005-0000-0000-00002A000000}"/>
    <cellStyle name="Comma 2" xfId="44" xr:uid="{00000000-0005-0000-0000-00002B000000}"/>
    <cellStyle name="Comma 2 2" xfId="45" xr:uid="{00000000-0005-0000-0000-00002C000000}"/>
    <cellStyle name="Comma 2 3" xfId="46" xr:uid="{00000000-0005-0000-0000-00002D000000}"/>
    <cellStyle name="Comma 20" xfId="47" xr:uid="{00000000-0005-0000-0000-00002E000000}"/>
    <cellStyle name="Comma 21" xfId="48" xr:uid="{00000000-0005-0000-0000-00002F000000}"/>
    <cellStyle name="Comma 22" xfId="49" xr:uid="{00000000-0005-0000-0000-000030000000}"/>
    <cellStyle name="Comma 23" xfId="50" xr:uid="{00000000-0005-0000-0000-000031000000}"/>
    <cellStyle name="Comma 24" xfId="51" xr:uid="{00000000-0005-0000-0000-000032000000}"/>
    <cellStyle name="Comma 25" xfId="52" xr:uid="{00000000-0005-0000-0000-000033000000}"/>
    <cellStyle name="Comma 26" xfId="53" xr:uid="{00000000-0005-0000-0000-000034000000}"/>
    <cellStyle name="Comma 27" xfId="54" xr:uid="{00000000-0005-0000-0000-000035000000}"/>
    <cellStyle name="Comma 28" xfId="55" xr:uid="{00000000-0005-0000-0000-000036000000}"/>
    <cellStyle name="Comma 29" xfId="56" xr:uid="{00000000-0005-0000-0000-000037000000}"/>
    <cellStyle name="Comma 3" xfId="57" xr:uid="{00000000-0005-0000-0000-000038000000}"/>
    <cellStyle name="Comma 3 2" xfId="58" xr:uid="{00000000-0005-0000-0000-000039000000}"/>
    <cellStyle name="Comma 3 3" xfId="59" xr:uid="{00000000-0005-0000-0000-00003A000000}"/>
    <cellStyle name="Comma 30" xfId="60" xr:uid="{00000000-0005-0000-0000-00003B000000}"/>
    <cellStyle name="Comma 31" xfId="61" xr:uid="{00000000-0005-0000-0000-00003C000000}"/>
    <cellStyle name="Comma 32" xfId="62" xr:uid="{00000000-0005-0000-0000-00003D000000}"/>
    <cellStyle name="Comma 33" xfId="63" xr:uid="{00000000-0005-0000-0000-00003E000000}"/>
    <cellStyle name="Comma 34" xfId="64" xr:uid="{00000000-0005-0000-0000-00003F000000}"/>
    <cellStyle name="Comma 35" xfId="65" xr:uid="{00000000-0005-0000-0000-000040000000}"/>
    <cellStyle name="Comma 36" xfId="66" xr:uid="{00000000-0005-0000-0000-000041000000}"/>
    <cellStyle name="Comma 37" xfId="67" xr:uid="{00000000-0005-0000-0000-000042000000}"/>
    <cellStyle name="Comma 38" xfId="68" xr:uid="{00000000-0005-0000-0000-000043000000}"/>
    <cellStyle name="Comma 39" xfId="69" xr:uid="{00000000-0005-0000-0000-000044000000}"/>
    <cellStyle name="Comma 4" xfId="70" xr:uid="{00000000-0005-0000-0000-000045000000}"/>
    <cellStyle name="Comma 4 2" xfId="71" xr:uid="{00000000-0005-0000-0000-000046000000}"/>
    <cellStyle name="Comma 40" xfId="72" xr:uid="{00000000-0005-0000-0000-000047000000}"/>
    <cellStyle name="Comma 41" xfId="73" xr:uid="{00000000-0005-0000-0000-000048000000}"/>
    <cellStyle name="Comma 42" xfId="74" xr:uid="{00000000-0005-0000-0000-000049000000}"/>
    <cellStyle name="Comma 43" xfId="75" xr:uid="{00000000-0005-0000-0000-00004A000000}"/>
    <cellStyle name="Comma 44" xfId="76" xr:uid="{00000000-0005-0000-0000-00004B000000}"/>
    <cellStyle name="Comma 45" xfId="77" xr:uid="{00000000-0005-0000-0000-00004C000000}"/>
    <cellStyle name="Comma 46" xfId="78" xr:uid="{00000000-0005-0000-0000-00004D000000}"/>
    <cellStyle name="Comma 47" xfId="79" xr:uid="{00000000-0005-0000-0000-00004E000000}"/>
    <cellStyle name="Comma 48" xfId="80" xr:uid="{00000000-0005-0000-0000-00004F000000}"/>
    <cellStyle name="Comma 49" xfId="81" xr:uid="{00000000-0005-0000-0000-000050000000}"/>
    <cellStyle name="Comma 5" xfId="82" xr:uid="{00000000-0005-0000-0000-000051000000}"/>
    <cellStyle name="Comma 5 2" xfId="83" xr:uid="{00000000-0005-0000-0000-000052000000}"/>
    <cellStyle name="Comma 50" xfId="84" xr:uid="{00000000-0005-0000-0000-000053000000}"/>
    <cellStyle name="Comma 51" xfId="85" xr:uid="{00000000-0005-0000-0000-000054000000}"/>
    <cellStyle name="Comma 52" xfId="86" xr:uid="{00000000-0005-0000-0000-000055000000}"/>
    <cellStyle name="Comma 53" xfId="87" xr:uid="{00000000-0005-0000-0000-000056000000}"/>
    <cellStyle name="Comma 54" xfId="88" xr:uid="{00000000-0005-0000-0000-000057000000}"/>
    <cellStyle name="Comma 54 2" xfId="89" xr:uid="{00000000-0005-0000-0000-000058000000}"/>
    <cellStyle name="Comma 55" xfId="90" xr:uid="{00000000-0005-0000-0000-000059000000}"/>
    <cellStyle name="Comma 56" xfId="91" xr:uid="{00000000-0005-0000-0000-00005A000000}"/>
    <cellStyle name="Comma 56 2" xfId="92" xr:uid="{00000000-0005-0000-0000-00005B000000}"/>
    <cellStyle name="Comma 56 3" xfId="93" xr:uid="{00000000-0005-0000-0000-00005C000000}"/>
    <cellStyle name="Comma 57" xfId="94" xr:uid="{00000000-0005-0000-0000-00005D000000}"/>
    <cellStyle name="Comma 58" xfId="95" xr:uid="{00000000-0005-0000-0000-00005E000000}"/>
    <cellStyle name="Comma 59" xfId="96" xr:uid="{00000000-0005-0000-0000-00005F000000}"/>
    <cellStyle name="Comma 6" xfId="97" xr:uid="{00000000-0005-0000-0000-000060000000}"/>
    <cellStyle name="Comma 60" xfId="98" xr:uid="{00000000-0005-0000-0000-000061000000}"/>
    <cellStyle name="Comma 61" xfId="99" xr:uid="{00000000-0005-0000-0000-000062000000}"/>
    <cellStyle name="Comma 62" xfId="100" xr:uid="{00000000-0005-0000-0000-000063000000}"/>
    <cellStyle name="Comma 63" xfId="101" xr:uid="{00000000-0005-0000-0000-000064000000}"/>
    <cellStyle name="Comma 64" xfId="102" xr:uid="{00000000-0005-0000-0000-000065000000}"/>
    <cellStyle name="Comma 65" xfId="103" xr:uid="{00000000-0005-0000-0000-000066000000}"/>
    <cellStyle name="Comma 66" xfId="104" xr:uid="{00000000-0005-0000-0000-000067000000}"/>
    <cellStyle name="Comma 67" xfId="105" xr:uid="{00000000-0005-0000-0000-000068000000}"/>
    <cellStyle name="Comma 68" xfId="106" xr:uid="{00000000-0005-0000-0000-000069000000}"/>
    <cellStyle name="Comma 69" xfId="107" xr:uid="{00000000-0005-0000-0000-00006A000000}"/>
    <cellStyle name="Comma 7" xfId="108" xr:uid="{00000000-0005-0000-0000-00006B000000}"/>
    <cellStyle name="Comma 70" xfId="109" xr:uid="{00000000-0005-0000-0000-00006C000000}"/>
    <cellStyle name="Comma 71" xfId="110" xr:uid="{00000000-0005-0000-0000-00006D000000}"/>
    <cellStyle name="Comma 72" xfId="111" xr:uid="{00000000-0005-0000-0000-00006E000000}"/>
    <cellStyle name="Comma 73" xfId="112" xr:uid="{00000000-0005-0000-0000-00006F000000}"/>
    <cellStyle name="Comma 74" xfId="113" xr:uid="{00000000-0005-0000-0000-000070000000}"/>
    <cellStyle name="Comma 75" xfId="114" xr:uid="{00000000-0005-0000-0000-000071000000}"/>
    <cellStyle name="Comma 76" xfId="115" xr:uid="{00000000-0005-0000-0000-000072000000}"/>
    <cellStyle name="Comma 77" xfId="116" xr:uid="{00000000-0005-0000-0000-000073000000}"/>
    <cellStyle name="Comma 78" xfId="117" xr:uid="{00000000-0005-0000-0000-000074000000}"/>
    <cellStyle name="Comma 79" xfId="118" xr:uid="{00000000-0005-0000-0000-000075000000}"/>
    <cellStyle name="Comma 8" xfId="119" xr:uid="{00000000-0005-0000-0000-000076000000}"/>
    <cellStyle name="Comma 80" xfId="120" xr:uid="{00000000-0005-0000-0000-000077000000}"/>
    <cellStyle name="Comma 81" xfId="121" xr:uid="{00000000-0005-0000-0000-000078000000}"/>
    <cellStyle name="Comma 82" xfId="122" xr:uid="{00000000-0005-0000-0000-000079000000}"/>
    <cellStyle name="Comma 83" xfId="123" xr:uid="{00000000-0005-0000-0000-00007A000000}"/>
    <cellStyle name="Comma 84" xfId="124" xr:uid="{00000000-0005-0000-0000-00007B000000}"/>
    <cellStyle name="Comma 85" xfId="125" xr:uid="{00000000-0005-0000-0000-00007C000000}"/>
    <cellStyle name="Comma 86" xfId="126" xr:uid="{00000000-0005-0000-0000-00007D000000}"/>
    <cellStyle name="Comma 87" xfId="127" xr:uid="{00000000-0005-0000-0000-00007E000000}"/>
    <cellStyle name="Comma 88" xfId="128" xr:uid="{00000000-0005-0000-0000-00007F000000}"/>
    <cellStyle name="Comma 89" xfId="129" xr:uid="{00000000-0005-0000-0000-000080000000}"/>
    <cellStyle name="Comma 9" xfId="130" xr:uid="{00000000-0005-0000-0000-000081000000}"/>
    <cellStyle name="Comma 90" xfId="131" xr:uid="{00000000-0005-0000-0000-000082000000}"/>
    <cellStyle name="Comma 91" xfId="132" xr:uid="{00000000-0005-0000-0000-000083000000}"/>
    <cellStyle name="Comma 92" xfId="133" xr:uid="{00000000-0005-0000-0000-000084000000}"/>
    <cellStyle name="Comma 93" xfId="134" xr:uid="{00000000-0005-0000-0000-000085000000}"/>
    <cellStyle name="Comma 94" xfId="135" xr:uid="{00000000-0005-0000-0000-000086000000}"/>
    <cellStyle name="Comma 95" xfId="136" xr:uid="{00000000-0005-0000-0000-000087000000}"/>
    <cellStyle name="Comma 96" xfId="137" xr:uid="{00000000-0005-0000-0000-000088000000}"/>
    <cellStyle name="Comma 96 2" xfId="138" xr:uid="{00000000-0005-0000-0000-000089000000}"/>
    <cellStyle name="Comma 96 3" xfId="139" xr:uid="{00000000-0005-0000-0000-00008A000000}"/>
    <cellStyle name="Comma 97" xfId="140" xr:uid="{00000000-0005-0000-0000-00008B000000}"/>
    <cellStyle name="Comma 98" xfId="141" xr:uid="{00000000-0005-0000-0000-00008C000000}"/>
    <cellStyle name="Comma 99" xfId="142" xr:uid="{00000000-0005-0000-0000-00008D000000}"/>
    <cellStyle name="Currency" xfId="143" builtinId="4"/>
    <cellStyle name="Currency [0] 2" xfId="144" xr:uid="{00000000-0005-0000-0000-00008F000000}"/>
    <cellStyle name="Currency 10" xfId="145" xr:uid="{00000000-0005-0000-0000-000090000000}"/>
    <cellStyle name="Currency 100" xfId="146" xr:uid="{00000000-0005-0000-0000-000091000000}"/>
    <cellStyle name="Currency 101" xfId="147" xr:uid="{00000000-0005-0000-0000-000092000000}"/>
    <cellStyle name="Currency 102" xfId="148" xr:uid="{00000000-0005-0000-0000-000093000000}"/>
    <cellStyle name="Currency 103" xfId="298" xr:uid="{2C2643C5-E067-48CD-B839-9C4CAF3F1112}"/>
    <cellStyle name="Currency 11" xfId="149" xr:uid="{00000000-0005-0000-0000-000094000000}"/>
    <cellStyle name="Currency 12" xfId="150" xr:uid="{00000000-0005-0000-0000-000095000000}"/>
    <cellStyle name="Currency 13" xfId="151" xr:uid="{00000000-0005-0000-0000-000096000000}"/>
    <cellStyle name="Currency 14" xfId="152" xr:uid="{00000000-0005-0000-0000-000097000000}"/>
    <cellStyle name="Currency 15" xfId="153" xr:uid="{00000000-0005-0000-0000-000098000000}"/>
    <cellStyle name="Currency 16" xfId="154" xr:uid="{00000000-0005-0000-0000-000099000000}"/>
    <cellStyle name="Currency 17" xfId="155" xr:uid="{00000000-0005-0000-0000-00009A000000}"/>
    <cellStyle name="Currency 18" xfId="156" xr:uid="{00000000-0005-0000-0000-00009B000000}"/>
    <cellStyle name="Currency 19" xfId="157" xr:uid="{00000000-0005-0000-0000-00009C000000}"/>
    <cellStyle name="Currency 2" xfId="158" xr:uid="{00000000-0005-0000-0000-00009D000000}"/>
    <cellStyle name="Currency 2 2" xfId="159" xr:uid="{00000000-0005-0000-0000-00009E000000}"/>
    <cellStyle name="Currency 2 3" xfId="160" xr:uid="{00000000-0005-0000-0000-00009F000000}"/>
    <cellStyle name="Currency 20" xfId="161" xr:uid="{00000000-0005-0000-0000-0000A0000000}"/>
    <cellStyle name="Currency 21" xfId="162" xr:uid="{00000000-0005-0000-0000-0000A1000000}"/>
    <cellStyle name="Currency 22" xfId="163" xr:uid="{00000000-0005-0000-0000-0000A2000000}"/>
    <cellStyle name="Currency 23" xfId="164" xr:uid="{00000000-0005-0000-0000-0000A3000000}"/>
    <cellStyle name="Currency 24" xfId="165" xr:uid="{00000000-0005-0000-0000-0000A4000000}"/>
    <cellStyle name="Currency 25" xfId="166" xr:uid="{00000000-0005-0000-0000-0000A5000000}"/>
    <cellStyle name="Currency 26" xfId="167" xr:uid="{00000000-0005-0000-0000-0000A6000000}"/>
    <cellStyle name="Currency 27" xfId="168" xr:uid="{00000000-0005-0000-0000-0000A7000000}"/>
    <cellStyle name="Currency 28" xfId="169" xr:uid="{00000000-0005-0000-0000-0000A8000000}"/>
    <cellStyle name="Currency 29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0" xfId="173" xr:uid="{00000000-0005-0000-0000-0000AC000000}"/>
    <cellStyle name="Currency 31" xfId="174" xr:uid="{00000000-0005-0000-0000-0000AD000000}"/>
    <cellStyle name="Currency 32" xfId="175" xr:uid="{00000000-0005-0000-0000-0000AE000000}"/>
    <cellStyle name="Currency 33" xfId="176" xr:uid="{00000000-0005-0000-0000-0000AF000000}"/>
    <cellStyle name="Currency 34" xfId="177" xr:uid="{00000000-0005-0000-0000-0000B0000000}"/>
    <cellStyle name="Currency 35" xfId="178" xr:uid="{00000000-0005-0000-0000-0000B1000000}"/>
    <cellStyle name="Currency 36" xfId="179" xr:uid="{00000000-0005-0000-0000-0000B2000000}"/>
    <cellStyle name="Currency 37" xfId="180" xr:uid="{00000000-0005-0000-0000-0000B3000000}"/>
    <cellStyle name="Currency 38" xfId="181" xr:uid="{00000000-0005-0000-0000-0000B4000000}"/>
    <cellStyle name="Currency 39" xfId="182" xr:uid="{00000000-0005-0000-0000-0000B5000000}"/>
    <cellStyle name="Currency 4" xfId="183" xr:uid="{00000000-0005-0000-0000-0000B6000000}"/>
    <cellStyle name="Currency 4 2" xfId="184" xr:uid="{00000000-0005-0000-0000-0000B7000000}"/>
    <cellStyle name="Currency 4 3" xfId="185" xr:uid="{00000000-0005-0000-0000-0000B8000000}"/>
    <cellStyle name="Currency 4 4" xfId="186" xr:uid="{00000000-0005-0000-0000-0000B9000000}"/>
    <cellStyle name="Currency 40" xfId="187" xr:uid="{00000000-0005-0000-0000-0000BA000000}"/>
    <cellStyle name="Currency 41" xfId="188" xr:uid="{00000000-0005-0000-0000-0000BB000000}"/>
    <cellStyle name="Currency 42" xfId="189" xr:uid="{00000000-0005-0000-0000-0000BC000000}"/>
    <cellStyle name="Currency 43" xfId="190" xr:uid="{00000000-0005-0000-0000-0000BD000000}"/>
    <cellStyle name="Currency 44" xfId="191" xr:uid="{00000000-0005-0000-0000-0000BE000000}"/>
    <cellStyle name="Currency 45" xfId="192" xr:uid="{00000000-0005-0000-0000-0000BF000000}"/>
    <cellStyle name="Currency 46" xfId="193" xr:uid="{00000000-0005-0000-0000-0000C0000000}"/>
    <cellStyle name="Currency 47" xfId="194" xr:uid="{00000000-0005-0000-0000-0000C1000000}"/>
    <cellStyle name="Currency 48" xfId="195" xr:uid="{00000000-0005-0000-0000-0000C2000000}"/>
    <cellStyle name="Currency 49" xfId="196" xr:uid="{00000000-0005-0000-0000-0000C3000000}"/>
    <cellStyle name="Currency 5" xfId="197" xr:uid="{00000000-0005-0000-0000-0000C4000000}"/>
    <cellStyle name="Currency 5 2" xfId="198" xr:uid="{00000000-0005-0000-0000-0000C5000000}"/>
    <cellStyle name="Currency 50" xfId="199" xr:uid="{00000000-0005-0000-0000-0000C6000000}"/>
    <cellStyle name="Currency 51" xfId="200" xr:uid="{00000000-0005-0000-0000-0000C7000000}"/>
    <cellStyle name="Currency 52" xfId="201" xr:uid="{00000000-0005-0000-0000-0000C8000000}"/>
    <cellStyle name="Currency 53" xfId="202" xr:uid="{00000000-0005-0000-0000-0000C9000000}"/>
    <cellStyle name="Currency 54" xfId="203" xr:uid="{00000000-0005-0000-0000-0000CA000000}"/>
    <cellStyle name="Currency 54 2" xfId="204" xr:uid="{00000000-0005-0000-0000-0000CB000000}"/>
    <cellStyle name="Currency 55" xfId="205" xr:uid="{00000000-0005-0000-0000-0000CC000000}"/>
    <cellStyle name="Currency 55 2" xfId="206" xr:uid="{00000000-0005-0000-0000-0000CD000000}"/>
    <cellStyle name="Currency 56" xfId="207" xr:uid="{00000000-0005-0000-0000-0000CE000000}"/>
    <cellStyle name="Currency 57" xfId="208" xr:uid="{00000000-0005-0000-0000-0000CF000000}"/>
    <cellStyle name="Currency 58" xfId="209" xr:uid="{00000000-0005-0000-0000-0000D0000000}"/>
    <cellStyle name="Currency 59" xfId="210" xr:uid="{00000000-0005-0000-0000-0000D1000000}"/>
    <cellStyle name="Currency 6" xfId="211" xr:uid="{00000000-0005-0000-0000-0000D2000000}"/>
    <cellStyle name="Currency 6 2" xfId="212" xr:uid="{00000000-0005-0000-0000-0000D3000000}"/>
    <cellStyle name="Currency 60" xfId="213" xr:uid="{00000000-0005-0000-0000-0000D4000000}"/>
    <cellStyle name="Currency 61" xfId="214" xr:uid="{00000000-0005-0000-0000-0000D5000000}"/>
    <cellStyle name="Currency 62" xfId="215" xr:uid="{00000000-0005-0000-0000-0000D6000000}"/>
    <cellStyle name="Currency 63" xfId="216" xr:uid="{00000000-0005-0000-0000-0000D7000000}"/>
    <cellStyle name="Currency 64" xfId="217" xr:uid="{00000000-0005-0000-0000-0000D8000000}"/>
    <cellStyle name="Currency 65" xfId="218" xr:uid="{00000000-0005-0000-0000-0000D9000000}"/>
    <cellStyle name="Currency 66" xfId="219" xr:uid="{00000000-0005-0000-0000-0000DA000000}"/>
    <cellStyle name="Currency 67" xfId="220" xr:uid="{00000000-0005-0000-0000-0000DB000000}"/>
    <cellStyle name="Currency 68" xfId="221" xr:uid="{00000000-0005-0000-0000-0000DC000000}"/>
    <cellStyle name="Currency 69" xfId="222" xr:uid="{00000000-0005-0000-0000-0000DD000000}"/>
    <cellStyle name="Currency 7" xfId="223" xr:uid="{00000000-0005-0000-0000-0000DE000000}"/>
    <cellStyle name="Currency 70" xfId="224" xr:uid="{00000000-0005-0000-0000-0000DF000000}"/>
    <cellStyle name="Currency 71" xfId="225" xr:uid="{00000000-0005-0000-0000-0000E0000000}"/>
    <cellStyle name="Currency 72" xfId="226" xr:uid="{00000000-0005-0000-0000-0000E1000000}"/>
    <cellStyle name="Currency 73" xfId="227" xr:uid="{00000000-0005-0000-0000-0000E2000000}"/>
    <cellStyle name="Currency 74" xfId="228" xr:uid="{00000000-0005-0000-0000-0000E3000000}"/>
    <cellStyle name="Currency 75" xfId="229" xr:uid="{00000000-0005-0000-0000-0000E4000000}"/>
    <cellStyle name="Currency 76" xfId="230" xr:uid="{00000000-0005-0000-0000-0000E5000000}"/>
    <cellStyle name="Currency 77" xfId="231" xr:uid="{00000000-0005-0000-0000-0000E6000000}"/>
    <cellStyle name="Currency 78" xfId="232" xr:uid="{00000000-0005-0000-0000-0000E7000000}"/>
    <cellStyle name="Currency 79" xfId="233" xr:uid="{00000000-0005-0000-0000-0000E8000000}"/>
    <cellStyle name="Currency 8" xfId="234" xr:uid="{00000000-0005-0000-0000-0000E9000000}"/>
    <cellStyle name="Currency 80" xfId="235" xr:uid="{00000000-0005-0000-0000-0000EA000000}"/>
    <cellStyle name="Currency 81" xfId="236" xr:uid="{00000000-0005-0000-0000-0000EB000000}"/>
    <cellStyle name="Currency 82" xfId="237" xr:uid="{00000000-0005-0000-0000-0000EC000000}"/>
    <cellStyle name="Currency 83" xfId="238" xr:uid="{00000000-0005-0000-0000-0000ED000000}"/>
    <cellStyle name="Currency 84" xfId="239" xr:uid="{00000000-0005-0000-0000-0000EE000000}"/>
    <cellStyle name="Currency 85" xfId="240" xr:uid="{00000000-0005-0000-0000-0000EF000000}"/>
    <cellStyle name="Currency 86" xfId="241" xr:uid="{00000000-0005-0000-0000-0000F0000000}"/>
    <cellStyle name="Currency 87" xfId="242" xr:uid="{00000000-0005-0000-0000-0000F1000000}"/>
    <cellStyle name="Currency 88" xfId="243" xr:uid="{00000000-0005-0000-0000-0000F2000000}"/>
    <cellStyle name="Currency 89" xfId="244" xr:uid="{00000000-0005-0000-0000-0000F3000000}"/>
    <cellStyle name="Currency 9" xfId="245" xr:uid="{00000000-0005-0000-0000-0000F4000000}"/>
    <cellStyle name="Currency 90" xfId="246" xr:uid="{00000000-0005-0000-0000-0000F5000000}"/>
    <cellStyle name="Currency 91" xfId="247" xr:uid="{00000000-0005-0000-0000-0000F6000000}"/>
    <cellStyle name="Currency 92" xfId="248" xr:uid="{00000000-0005-0000-0000-0000F7000000}"/>
    <cellStyle name="Currency 93" xfId="249" xr:uid="{00000000-0005-0000-0000-0000F8000000}"/>
    <cellStyle name="Currency 94" xfId="250" xr:uid="{00000000-0005-0000-0000-0000F9000000}"/>
    <cellStyle name="Currency 95" xfId="251" xr:uid="{00000000-0005-0000-0000-0000FA000000}"/>
    <cellStyle name="Currency 95 2" xfId="252" xr:uid="{00000000-0005-0000-0000-0000FB000000}"/>
    <cellStyle name="Currency 96" xfId="253" xr:uid="{00000000-0005-0000-0000-0000FC000000}"/>
    <cellStyle name="Currency 97" xfId="254" xr:uid="{00000000-0005-0000-0000-0000FD000000}"/>
    <cellStyle name="Currency 98" xfId="255" xr:uid="{00000000-0005-0000-0000-0000FE000000}"/>
    <cellStyle name="Currency 99" xfId="256" xr:uid="{00000000-0005-0000-0000-0000FF000000}"/>
    <cellStyle name="Explanatory Text 2" xfId="257" xr:uid="{00000000-0005-0000-0000-000000010000}"/>
    <cellStyle name="Good 2" xfId="258" xr:uid="{00000000-0005-0000-0000-000001010000}"/>
    <cellStyle name="Heading 1 2" xfId="259" xr:uid="{00000000-0005-0000-0000-000002010000}"/>
    <cellStyle name="Heading 2 2" xfId="260" xr:uid="{00000000-0005-0000-0000-000003010000}"/>
    <cellStyle name="Heading 3 2" xfId="261" xr:uid="{00000000-0005-0000-0000-000004010000}"/>
    <cellStyle name="Heading 4 2" xfId="262" xr:uid="{00000000-0005-0000-0000-000005010000}"/>
    <cellStyle name="Input 2" xfId="263" xr:uid="{00000000-0005-0000-0000-000006010000}"/>
    <cellStyle name="Linked Cell 2" xfId="264" xr:uid="{00000000-0005-0000-0000-000007010000}"/>
    <cellStyle name="Millares 2" xfId="265" xr:uid="{00000000-0005-0000-0000-000008010000}"/>
    <cellStyle name="Millares 3" xfId="266" xr:uid="{00000000-0005-0000-0000-000009010000}"/>
    <cellStyle name="Neutral 2" xfId="267" xr:uid="{00000000-0005-0000-0000-00000A010000}"/>
    <cellStyle name="Normal" xfId="0" builtinId="0"/>
    <cellStyle name="Normal 2" xfId="268" xr:uid="{00000000-0005-0000-0000-00000C010000}"/>
    <cellStyle name="Normal 2 2" xfId="269" xr:uid="{00000000-0005-0000-0000-00000D010000}"/>
    <cellStyle name="Normal 2 2 2" xfId="300" xr:uid="{336BF836-E88A-425F-B461-968B17C8FDD7}"/>
    <cellStyle name="Normal 2 3" xfId="270" xr:uid="{00000000-0005-0000-0000-00000E010000}"/>
    <cellStyle name="Normal 2 4" xfId="271" xr:uid="{00000000-0005-0000-0000-00000F010000}"/>
    <cellStyle name="Normal 3" xfId="272" xr:uid="{00000000-0005-0000-0000-000010010000}"/>
    <cellStyle name="Normal 3 2" xfId="273" xr:uid="{00000000-0005-0000-0000-000011010000}"/>
    <cellStyle name="Normal 4" xfId="274" xr:uid="{00000000-0005-0000-0000-000012010000}"/>
    <cellStyle name="Normal 4 2" xfId="275" xr:uid="{00000000-0005-0000-0000-000013010000}"/>
    <cellStyle name="Normal 5" xfId="276" xr:uid="{00000000-0005-0000-0000-000014010000}"/>
    <cellStyle name="Normal 6" xfId="277" xr:uid="{00000000-0005-0000-0000-000015010000}"/>
    <cellStyle name="Normal 7" xfId="295" xr:uid="{A32E809E-064F-4037-92BF-03F73A00D597}"/>
    <cellStyle name="Normal 8" xfId="299" xr:uid="{001F9E19-CBF1-48BB-9574-3D42E1C20203}"/>
    <cellStyle name="Note 2" xfId="278" xr:uid="{00000000-0005-0000-0000-000016010000}"/>
    <cellStyle name="Output 2" xfId="279" xr:uid="{00000000-0005-0000-0000-000017010000}"/>
    <cellStyle name="Percent" xfId="280" builtinId="5"/>
    <cellStyle name="Percent 2" xfId="281" xr:uid="{00000000-0005-0000-0000-000019010000}"/>
    <cellStyle name="Percent 2 2" xfId="282" xr:uid="{00000000-0005-0000-0000-00001A010000}"/>
    <cellStyle name="Percent 2 3" xfId="283" xr:uid="{00000000-0005-0000-0000-00001B010000}"/>
    <cellStyle name="Percent 3" xfId="284" xr:uid="{00000000-0005-0000-0000-00001C010000}"/>
    <cellStyle name="Percent 3 2" xfId="285" xr:uid="{00000000-0005-0000-0000-00001D010000}"/>
    <cellStyle name="Percent 4" xfId="286" xr:uid="{00000000-0005-0000-0000-00001E010000}"/>
    <cellStyle name="Percent 4 2" xfId="287" xr:uid="{00000000-0005-0000-0000-00001F010000}"/>
    <cellStyle name="Percent 5" xfId="288" xr:uid="{00000000-0005-0000-0000-000020010000}"/>
    <cellStyle name="Percent 6" xfId="289" xr:uid="{00000000-0005-0000-0000-000021010000}"/>
    <cellStyle name="Percent 6 2" xfId="290" xr:uid="{00000000-0005-0000-0000-000022010000}"/>
    <cellStyle name="Percent 6 3" xfId="291" xr:uid="{00000000-0005-0000-0000-000023010000}"/>
    <cellStyle name="Percent 7" xfId="297" xr:uid="{0142DF8A-371B-495C-81DA-F9E7A2CDAEEB}"/>
    <cellStyle name="Title 2" xfId="292" xr:uid="{00000000-0005-0000-0000-000024010000}"/>
    <cellStyle name="Total 2" xfId="293" xr:uid="{00000000-0005-0000-0000-000025010000}"/>
    <cellStyle name="Warning Text 2" xfId="294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zoomScaleNormal="100" workbookViewId="0">
      <selection activeCell="A8" sqref="A8:A14"/>
    </sheetView>
  </sheetViews>
  <sheetFormatPr defaultColWidth="8.83203125" defaultRowHeight="12.3" x14ac:dyDescent="0.4"/>
  <cols>
    <col min="1" max="1" width="41" bestFit="1" customWidth="1"/>
    <col min="2" max="2" width="16.44140625" customWidth="1"/>
    <col min="3" max="3" width="21.1640625" customWidth="1"/>
    <col min="4" max="4" width="20" customWidth="1"/>
    <col min="5" max="5" width="13.27734375" bestFit="1" customWidth="1"/>
    <col min="6" max="6" width="12.27734375" customWidth="1"/>
  </cols>
  <sheetData>
    <row r="1" spans="1:7" x14ac:dyDescent="0.4">
      <c r="A1" s="337" t="s">
        <v>401</v>
      </c>
      <c r="B1" s="337"/>
      <c r="C1" s="337"/>
      <c r="D1" s="337"/>
      <c r="E1" s="337"/>
      <c r="F1" s="337"/>
      <c r="G1" s="85"/>
    </row>
    <row r="2" spans="1:7" x14ac:dyDescent="0.4">
      <c r="A2" s="338" t="s">
        <v>402</v>
      </c>
      <c r="B2" s="338"/>
      <c r="C2" s="338"/>
      <c r="D2" s="338"/>
      <c r="E2" s="338"/>
      <c r="F2" s="338"/>
      <c r="G2" s="20"/>
    </row>
    <row r="3" spans="1:7" x14ac:dyDescent="0.4">
      <c r="A3" s="338" t="s">
        <v>403</v>
      </c>
      <c r="B3" s="338"/>
      <c r="C3" s="338"/>
      <c r="D3" s="338"/>
      <c r="E3" s="338"/>
      <c r="F3" s="338"/>
      <c r="G3" s="20"/>
    </row>
    <row r="4" spans="1:7" x14ac:dyDescent="0.4">
      <c r="A4" s="339" t="s">
        <v>3</v>
      </c>
      <c r="B4" s="339"/>
      <c r="C4" s="339"/>
      <c r="D4" s="339"/>
      <c r="E4" s="339"/>
      <c r="F4" s="339"/>
      <c r="G4" s="71"/>
    </row>
    <row r="5" spans="1:7" x14ac:dyDescent="0.4">
      <c r="A5" s="153"/>
      <c r="B5" s="153"/>
      <c r="C5" s="153"/>
      <c r="D5" s="153"/>
      <c r="E5" s="71"/>
      <c r="F5" s="71"/>
      <c r="G5" s="71"/>
    </row>
    <row r="6" spans="1:7" ht="21.3" thickBot="1" x14ac:dyDescent="0.45">
      <c r="A6" s="15" t="s">
        <v>20</v>
      </c>
      <c r="B6" s="16" t="s">
        <v>30</v>
      </c>
      <c r="C6" s="16" t="s">
        <v>404</v>
      </c>
      <c r="D6" s="16" t="s">
        <v>32</v>
      </c>
      <c r="E6" s="16" t="s">
        <v>405</v>
      </c>
      <c r="F6" s="16" t="s">
        <v>406</v>
      </c>
    </row>
    <row r="7" spans="1:7" x14ac:dyDescent="0.4">
      <c r="A7" s="72" t="s">
        <v>407</v>
      </c>
      <c r="B7" s="81">
        <f>'Project Budget'!S42</f>
        <v>3064473</v>
      </c>
      <c r="C7" s="81">
        <f>'Project Budget'!T42</f>
        <v>0</v>
      </c>
      <c r="D7" s="81">
        <f t="shared" ref="D7:D14" si="0">SUM(B7:C7)</f>
        <v>3064473</v>
      </c>
      <c r="E7" s="81">
        <v>2642048</v>
      </c>
      <c r="F7" s="81">
        <f t="shared" ref="F7:F14" si="1">ROUND(D7-E7,0)</f>
        <v>422425</v>
      </c>
    </row>
    <row r="8" spans="1:7" x14ac:dyDescent="0.4">
      <c r="A8" s="72" t="s">
        <v>77</v>
      </c>
      <c r="B8" s="81">
        <f>'Project Budget'!S62</f>
        <v>107797</v>
      </c>
      <c r="C8" s="81">
        <f>'Project Budget'!T62</f>
        <v>0</v>
      </c>
      <c r="D8" s="81">
        <f t="shared" si="0"/>
        <v>107797</v>
      </c>
      <c r="E8" s="81">
        <v>238355</v>
      </c>
      <c r="F8" s="81">
        <f t="shared" si="1"/>
        <v>-130558</v>
      </c>
    </row>
    <row r="9" spans="1:7" x14ac:dyDescent="0.4">
      <c r="A9" s="76" t="s">
        <v>112</v>
      </c>
      <c r="B9" s="81">
        <f>'Project Budget'!S66</f>
        <v>0</v>
      </c>
      <c r="C9" s="81">
        <f>'Project Budget'!T66</f>
        <v>0</v>
      </c>
      <c r="D9" s="81">
        <f t="shared" si="0"/>
        <v>0</v>
      </c>
      <c r="E9" s="81">
        <v>45000</v>
      </c>
      <c r="F9" s="81">
        <f t="shared" si="1"/>
        <v>-45000</v>
      </c>
    </row>
    <row r="10" spans="1:7" x14ac:dyDescent="0.4">
      <c r="A10" s="76" t="s">
        <v>117</v>
      </c>
      <c r="B10" s="81">
        <f>'Project Budget'!S88</f>
        <v>474489</v>
      </c>
      <c r="C10" s="81">
        <f>'Project Budget'!T88</f>
        <v>0</v>
      </c>
      <c r="D10" s="81">
        <f t="shared" si="0"/>
        <v>474489</v>
      </c>
      <c r="E10" s="81">
        <v>331507</v>
      </c>
      <c r="F10" s="81">
        <f t="shared" si="1"/>
        <v>142982</v>
      </c>
    </row>
    <row r="11" spans="1:7" x14ac:dyDescent="0.4">
      <c r="A11" s="76" t="s">
        <v>157</v>
      </c>
      <c r="B11" s="81">
        <f>'Project Budget'!S102</f>
        <v>3380737</v>
      </c>
      <c r="C11" s="81">
        <f>'Project Budget'!T102</f>
        <v>0</v>
      </c>
      <c r="D11" s="81">
        <f t="shared" ref="D11" si="2">SUM(B11:C11)</f>
        <v>3380737</v>
      </c>
      <c r="E11" s="81">
        <v>3449920</v>
      </c>
      <c r="F11" s="81">
        <f t="shared" si="1"/>
        <v>-69183</v>
      </c>
    </row>
    <row r="12" spans="1:7" x14ac:dyDescent="0.4">
      <c r="A12" s="76" t="s">
        <v>408</v>
      </c>
      <c r="B12" s="81">
        <f>'Project Budget'!S143</f>
        <v>187250</v>
      </c>
      <c r="C12" s="81">
        <f>'Project Budget'!T143</f>
        <v>0</v>
      </c>
      <c r="D12" s="81">
        <f t="shared" si="0"/>
        <v>187250</v>
      </c>
      <c r="E12" s="81">
        <v>318440</v>
      </c>
      <c r="F12" s="81">
        <f t="shared" si="1"/>
        <v>-131190</v>
      </c>
    </row>
    <row r="13" spans="1:7" x14ac:dyDescent="0.4">
      <c r="A13" s="77" t="s">
        <v>409</v>
      </c>
      <c r="B13" s="81">
        <f>'Project Budget'!S184</f>
        <v>164740</v>
      </c>
      <c r="C13" s="81">
        <f>'Project Budget'!T184</f>
        <v>0</v>
      </c>
      <c r="D13" s="81">
        <f t="shared" si="0"/>
        <v>164740</v>
      </c>
      <c r="E13" s="81">
        <v>342320</v>
      </c>
      <c r="F13" s="81">
        <f t="shared" si="1"/>
        <v>-177580</v>
      </c>
    </row>
    <row r="14" spans="1:7" x14ac:dyDescent="0.4">
      <c r="A14" s="77" t="s">
        <v>339</v>
      </c>
      <c r="B14" s="81">
        <f>'Project Budget'!S217</f>
        <v>391126</v>
      </c>
      <c r="C14" s="81">
        <f>'Project Budget'!T217</f>
        <v>0</v>
      </c>
      <c r="D14" s="81">
        <f t="shared" si="0"/>
        <v>391126</v>
      </c>
      <c r="E14" s="81">
        <v>403022</v>
      </c>
      <c r="F14" s="81">
        <f t="shared" si="1"/>
        <v>-11896</v>
      </c>
    </row>
    <row r="15" spans="1:7" ht="12" customHeight="1" x14ac:dyDescent="0.4">
      <c r="A15" s="21" t="s">
        <v>396</v>
      </c>
      <c r="B15" s="100">
        <f>SUM(B7:B14)</f>
        <v>7770612</v>
      </c>
      <c r="C15" s="82">
        <f>SUM(C7:C14)</f>
        <v>0</v>
      </c>
      <c r="D15" s="82">
        <f>SUM(D7:D14)</f>
        <v>7770612</v>
      </c>
      <c r="E15" s="82">
        <v>7770611</v>
      </c>
      <c r="F15" s="82">
        <f>ROUND(D15-E15,-1)</f>
        <v>0</v>
      </c>
    </row>
    <row r="16" spans="1:7" x14ac:dyDescent="0.4">
      <c r="A16" s="76" t="s">
        <v>410</v>
      </c>
      <c r="B16" s="81">
        <f>'Project Budget'!S221</f>
        <v>2229388</v>
      </c>
      <c r="C16" s="81">
        <f>'Project Budget'!T221</f>
        <v>0</v>
      </c>
      <c r="D16" s="81">
        <f>SUM(B16:C16)</f>
        <v>2229388</v>
      </c>
      <c r="E16" s="81">
        <v>2229388</v>
      </c>
      <c r="F16" s="81">
        <f>ROUND(D16-E16,0)</f>
        <v>0</v>
      </c>
    </row>
    <row r="17" spans="1:6" ht="12.6" thickBot="1" x14ac:dyDescent="0.45">
      <c r="A17" s="10" t="s">
        <v>400</v>
      </c>
      <c r="B17" s="83">
        <f>B16+B15</f>
        <v>10000000</v>
      </c>
      <c r="C17" s="83">
        <f>C16+C15</f>
        <v>0</v>
      </c>
      <c r="D17" s="83">
        <f>D16+D15</f>
        <v>10000000</v>
      </c>
      <c r="E17" s="83">
        <v>10000000</v>
      </c>
      <c r="F17" s="83">
        <f>ROUND(D17-E17,0)</f>
        <v>0</v>
      </c>
    </row>
    <row r="18" spans="1:6" ht="12.9" thickTop="1" thickBot="1" x14ac:dyDescent="0.45"/>
    <row r="19" spans="1:6" x14ac:dyDescent="0.4">
      <c r="A19" s="78" t="s">
        <v>411</v>
      </c>
      <c r="B19" s="159">
        <f>B16+B7</f>
        <v>5293861</v>
      </c>
      <c r="C19" s="129"/>
      <c r="D19" s="127"/>
    </row>
    <row r="20" spans="1:6" ht="12.6" thickBot="1" x14ac:dyDescent="0.45">
      <c r="A20" s="79" t="s">
        <v>412</v>
      </c>
      <c r="B20" s="160">
        <f>B8+B12+B13+B14+B11+B10+B9</f>
        <v>4706139</v>
      </c>
      <c r="C20" s="129"/>
      <c r="D20" s="258"/>
    </row>
    <row r="21" spans="1:6" x14ac:dyDescent="0.4">
      <c r="B21" s="25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8"/>
  <sheetViews>
    <sheetView tabSelected="1" topLeftCell="A44" zoomScaleNormal="100" zoomScaleSheetLayoutView="90" workbookViewId="0">
      <selection activeCell="D72" sqref="D72"/>
    </sheetView>
  </sheetViews>
  <sheetFormatPr defaultColWidth="11.44140625" defaultRowHeight="12" customHeight="1" x14ac:dyDescent="0.35"/>
  <cols>
    <col min="1" max="1" width="14.44140625" style="12" bestFit="1" customWidth="1"/>
    <col min="2" max="2" width="12.83203125" style="12" customWidth="1"/>
    <col min="3" max="3" width="8" style="12" customWidth="1"/>
    <col min="4" max="4" width="8.27734375" style="12" customWidth="1"/>
    <col min="5" max="5" width="51.5546875" style="1" customWidth="1"/>
    <col min="6" max="6" width="11.71875" style="1" customWidth="1"/>
    <col min="7" max="7" width="8.1640625" style="1" customWidth="1"/>
    <col min="8" max="8" width="4.83203125" style="1" customWidth="1"/>
    <col min="9" max="9" width="8.71875" style="6" customWidth="1"/>
    <col min="10" max="10" width="9.44140625" style="5" customWidth="1"/>
    <col min="11" max="11" width="5.71875" style="5" customWidth="1"/>
    <col min="12" max="12" width="10.27734375" style="5" customWidth="1"/>
    <col min="13" max="13" width="5.71875" style="5" customWidth="1"/>
    <col min="14" max="14" width="10.27734375" style="5" customWidth="1"/>
    <col min="15" max="15" width="5.71875" style="5" customWidth="1"/>
    <col min="16" max="16" width="10.27734375" style="5" customWidth="1"/>
    <col min="17" max="17" width="5.44140625" style="5" customWidth="1"/>
    <col min="18" max="18" width="9.44140625" style="5" customWidth="1"/>
    <col min="19" max="19" width="10.71875" style="17" bestFit="1" customWidth="1"/>
    <col min="20" max="20" width="7.5546875" style="5" bestFit="1" customWidth="1"/>
    <col min="21" max="21" width="12.5546875" style="17" bestFit="1" customWidth="1"/>
    <col min="22" max="16377" width="11.44140625" style="2"/>
    <col min="16378" max="16379" width="11.44140625" style="2" bestFit="1"/>
    <col min="16380" max="16384" width="11.44140625" style="2"/>
  </cols>
  <sheetData>
    <row r="1" spans="1:21" ht="10.5" x14ac:dyDescent="0.4">
      <c r="A1" s="46"/>
      <c r="B1" s="46"/>
      <c r="C1" s="46"/>
      <c r="D1" s="46"/>
      <c r="E1" s="340" t="s">
        <v>0</v>
      </c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</row>
    <row r="2" spans="1:21" ht="10.5" x14ac:dyDescent="0.35">
      <c r="A2" s="46"/>
      <c r="B2" s="46"/>
      <c r="C2" s="46"/>
      <c r="D2" s="46"/>
      <c r="E2" s="341" t="s">
        <v>1</v>
      </c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</row>
    <row r="3" spans="1:21" ht="10.5" x14ac:dyDescent="0.35">
      <c r="A3" s="46"/>
      <c r="B3" s="46"/>
      <c r="C3" s="46"/>
      <c r="D3" s="46"/>
      <c r="E3" s="342" t="s">
        <v>2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</row>
    <row r="4" spans="1:21" s="114" customFormat="1" ht="13.9" customHeight="1" x14ac:dyDescent="0.45">
      <c r="A4" s="170"/>
      <c r="B4" s="170"/>
      <c r="C4" s="170"/>
      <c r="D4" s="170"/>
      <c r="E4" s="344" t="s">
        <v>3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 spans="1:21" s="114" customFormat="1" ht="13.8" x14ac:dyDescent="0.45">
      <c r="A5" s="170"/>
      <c r="B5" s="170"/>
      <c r="C5" s="170"/>
      <c r="D5" s="170"/>
      <c r="E5" s="344" t="s">
        <v>4</v>
      </c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</row>
    <row r="6" spans="1:21" s="114" customFormat="1" ht="13.9" customHeight="1" x14ac:dyDescent="0.45">
      <c r="A6" s="170"/>
      <c r="B6" s="170"/>
      <c r="C6" s="170"/>
      <c r="D6" s="170"/>
      <c r="E6" s="344" t="s">
        <v>5</v>
      </c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</row>
    <row r="7" spans="1:21" s="114" customFormat="1" ht="13.8" x14ac:dyDescent="0.45">
      <c r="A7" s="170"/>
      <c r="B7" s="170"/>
      <c r="C7" s="170"/>
      <c r="D7" s="170"/>
      <c r="E7" s="344" t="s">
        <v>6</v>
      </c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</row>
    <row r="8" spans="1:21" s="114" customFormat="1" ht="13.8" x14ac:dyDescent="0.45">
      <c r="A8" s="169" t="s">
        <v>7</v>
      </c>
      <c r="B8" s="169" t="s">
        <v>8</v>
      </c>
      <c r="C8" s="185"/>
      <c r="D8" s="185"/>
      <c r="E8" s="343" t="s">
        <v>9</v>
      </c>
      <c r="F8" s="343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</row>
    <row r="9" spans="1:21" s="114" customFormat="1" ht="12.6" x14ac:dyDescent="0.45">
      <c r="A9" s="169" t="s">
        <v>10</v>
      </c>
      <c r="B9" s="169">
        <v>20200</v>
      </c>
      <c r="C9" s="185"/>
      <c r="D9" s="185"/>
      <c r="E9" s="116" t="s">
        <v>11</v>
      </c>
      <c r="F9" s="117">
        <v>1.03</v>
      </c>
      <c r="G9" s="115"/>
      <c r="H9" s="115"/>
      <c r="I9" s="115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</row>
    <row r="10" spans="1:21" s="114" customFormat="1" ht="12.6" x14ac:dyDescent="0.45">
      <c r="A10" s="169" t="s">
        <v>12</v>
      </c>
      <c r="B10" s="169" t="s">
        <v>13</v>
      </c>
      <c r="C10" s="171"/>
      <c r="D10" s="171"/>
      <c r="E10" s="116" t="s">
        <v>14</v>
      </c>
      <c r="F10" s="117">
        <v>1.04</v>
      </c>
      <c r="G10" s="119"/>
      <c r="H10" s="119"/>
      <c r="I10" s="120"/>
      <c r="J10" s="121"/>
      <c r="K10" s="122"/>
      <c r="L10" s="121"/>
      <c r="M10" s="121"/>
      <c r="N10" s="122"/>
      <c r="O10" s="121"/>
      <c r="P10" s="121"/>
      <c r="Q10" s="122"/>
      <c r="R10" s="121"/>
      <c r="S10" s="121"/>
      <c r="T10" s="122"/>
      <c r="U10" s="121"/>
    </row>
    <row r="11" spans="1:21" s="114" customFormat="1" ht="12.6" x14ac:dyDescent="0.45">
      <c r="A11" s="171"/>
      <c r="B11" s="171"/>
      <c r="C11" s="171"/>
      <c r="D11" s="171"/>
      <c r="E11" s="116" t="s">
        <v>15</v>
      </c>
      <c r="F11" s="123">
        <v>1.0349999999999999</v>
      </c>
      <c r="G11" s="119"/>
      <c r="H11" s="119"/>
      <c r="I11" s="120"/>
      <c r="J11" s="121"/>
      <c r="K11" s="122"/>
      <c r="L11" s="121"/>
      <c r="M11" s="121"/>
      <c r="N11" s="122"/>
      <c r="O11" s="121"/>
      <c r="P11" s="121"/>
      <c r="Q11" s="122"/>
      <c r="R11" s="121"/>
      <c r="S11" s="121"/>
      <c r="T11" s="122"/>
      <c r="U11" s="121"/>
    </row>
    <row r="12" spans="1:21" ht="42.3" thickBot="1" x14ac:dyDescent="0.45">
      <c r="A12" s="186" t="s">
        <v>16</v>
      </c>
      <c r="B12" s="186" t="s">
        <v>17</v>
      </c>
      <c r="C12" s="186" t="s">
        <v>18</v>
      </c>
      <c r="D12" s="186" t="s">
        <v>19</v>
      </c>
      <c r="E12" s="15" t="s">
        <v>20</v>
      </c>
      <c r="F12" s="15" t="s">
        <v>21</v>
      </c>
      <c r="G12" s="15" t="s">
        <v>22</v>
      </c>
      <c r="H12" s="15" t="s">
        <v>23</v>
      </c>
      <c r="I12" s="58" t="s">
        <v>24</v>
      </c>
      <c r="J12" s="194" t="s">
        <v>25</v>
      </c>
      <c r="K12" s="193" t="s">
        <v>23</v>
      </c>
      <c r="L12" s="194" t="s">
        <v>26</v>
      </c>
      <c r="M12" s="193" t="s">
        <v>23</v>
      </c>
      <c r="N12" s="194" t="s">
        <v>27</v>
      </c>
      <c r="O12" s="193" t="s">
        <v>23</v>
      </c>
      <c r="P12" s="194" t="s">
        <v>28</v>
      </c>
      <c r="Q12" s="193" t="s">
        <v>23</v>
      </c>
      <c r="R12" s="194" t="s">
        <v>29</v>
      </c>
      <c r="S12" s="94" t="s">
        <v>30</v>
      </c>
      <c r="T12" s="16" t="s">
        <v>31</v>
      </c>
      <c r="U12" s="94" t="s">
        <v>32</v>
      </c>
    </row>
    <row r="13" spans="1:21" ht="10.5" x14ac:dyDescent="0.4">
      <c r="A13" s="172"/>
      <c r="B13" s="172"/>
      <c r="C13" s="172"/>
      <c r="D13" s="172"/>
      <c r="E13" s="66" t="s">
        <v>33</v>
      </c>
      <c r="F13" s="66"/>
      <c r="G13" s="39"/>
      <c r="H13" s="39"/>
      <c r="I13" s="40"/>
      <c r="J13" s="11"/>
      <c r="K13" s="11"/>
      <c r="L13" s="11"/>
      <c r="M13" s="11"/>
      <c r="N13" s="11"/>
      <c r="O13" s="11"/>
      <c r="P13" s="11"/>
      <c r="Q13" s="11"/>
      <c r="R13" s="11"/>
      <c r="S13" s="89"/>
      <c r="T13" s="11"/>
      <c r="U13" s="89"/>
    </row>
    <row r="14" spans="1:21" ht="10.5" x14ac:dyDescent="0.4">
      <c r="A14" s="102"/>
      <c r="B14" s="102"/>
      <c r="C14" s="102"/>
      <c r="D14" s="102"/>
      <c r="E14" s="101" t="s">
        <v>34</v>
      </c>
      <c r="F14" s="101"/>
      <c r="G14" s="102"/>
      <c r="H14" s="62"/>
      <c r="I14" s="63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</row>
    <row r="15" spans="1:21" ht="10.199999999999999" x14ac:dyDescent="0.35">
      <c r="A15" s="46" t="s">
        <v>35</v>
      </c>
      <c r="B15" s="46">
        <v>70000</v>
      </c>
      <c r="C15" s="46">
        <v>0</v>
      </c>
      <c r="D15" s="46">
        <v>0</v>
      </c>
      <c r="E15" s="12" t="s">
        <v>36</v>
      </c>
      <c r="F15" s="12" t="s">
        <v>37</v>
      </c>
      <c r="G15" s="46" t="s">
        <v>38</v>
      </c>
      <c r="H15" s="8">
        <v>12</v>
      </c>
      <c r="I15" s="8">
        <v>8000</v>
      </c>
      <c r="J15" s="8">
        <f>H15*I15</f>
        <v>96000</v>
      </c>
      <c r="K15" s="8">
        <v>12</v>
      </c>
      <c r="L15" s="8">
        <f>K15*I15*$F$11</f>
        <v>99360</v>
      </c>
      <c r="M15" s="8">
        <v>12</v>
      </c>
      <c r="N15" s="8">
        <f>(M15*I15*$F$11*$F$11)</f>
        <v>102838</v>
      </c>
      <c r="O15" s="8">
        <v>12</v>
      </c>
      <c r="P15" s="8">
        <f>O15*I15*$F$11*$F$11*$F$11</f>
        <v>106437</v>
      </c>
      <c r="Q15" s="8">
        <v>6</v>
      </c>
      <c r="R15" s="8">
        <f>I15*Q15*$F$11*$F$11*$F$11*$F$11</f>
        <v>55081</v>
      </c>
      <c r="S15" s="8">
        <f>SUM(J15+L15+N15+P15+R15)</f>
        <v>459716</v>
      </c>
      <c r="T15" s="8">
        <v>0</v>
      </c>
      <c r="U15" s="8">
        <f>SUM(S15:T15)</f>
        <v>459716</v>
      </c>
    </row>
    <row r="16" spans="1:21" ht="20.399999999999999" x14ac:dyDescent="0.35">
      <c r="A16" s="46" t="s">
        <v>39</v>
      </c>
      <c r="B16" s="46">
        <v>70000</v>
      </c>
      <c r="C16" s="46" t="s">
        <v>40</v>
      </c>
      <c r="D16" s="46">
        <v>0</v>
      </c>
      <c r="E16" s="12" t="s">
        <v>41</v>
      </c>
      <c r="F16" s="12" t="s">
        <v>37</v>
      </c>
      <c r="G16" s="46" t="s">
        <v>38</v>
      </c>
      <c r="H16" s="8">
        <v>11</v>
      </c>
      <c r="I16" s="8">
        <v>4400</v>
      </c>
      <c r="J16" s="8">
        <f>I16*H16</f>
        <v>48400</v>
      </c>
      <c r="K16" s="8">
        <v>12</v>
      </c>
      <c r="L16" s="8">
        <f>K16*I16*$F$11</f>
        <v>54648</v>
      </c>
      <c r="M16" s="8">
        <v>12</v>
      </c>
      <c r="N16" s="8">
        <f>M16*I16*$F$11*$F$11</f>
        <v>56561</v>
      </c>
      <c r="O16" s="8">
        <v>12</v>
      </c>
      <c r="P16" s="8">
        <f>O16*I16*$F$11*$F$11*$F$11</f>
        <v>58540</v>
      </c>
      <c r="Q16" s="8">
        <v>6</v>
      </c>
      <c r="R16" s="8">
        <f>I16*Q16*$F$11*$F$11*$F$11*$F$11</f>
        <v>30295</v>
      </c>
      <c r="S16" s="8">
        <f>SUM(J16+L16+N16+P16+R16)</f>
        <v>248444</v>
      </c>
      <c r="T16" s="8">
        <v>0</v>
      </c>
      <c r="U16" s="8">
        <f>SUM(S16:T16)</f>
        <v>248444</v>
      </c>
    </row>
    <row r="17" spans="1:21" ht="10.199999999999999" x14ac:dyDescent="0.35">
      <c r="A17" s="46"/>
      <c r="B17" s="46"/>
      <c r="C17" s="46"/>
      <c r="D17" s="46"/>
      <c r="E17" s="12"/>
      <c r="F17" s="12"/>
      <c r="G17" s="4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0.5" x14ac:dyDescent="0.4">
      <c r="A18" s="92"/>
      <c r="B18" s="92"/>
      <c r="C18" s="92"/>
      <c r="D18" s="92"/>
      <c r="E18" s="101" t="s">
        <v>42</v>
      </c>
      <c r="F18" s="101"/>
      <c r="G18" s="92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</row>
    <row r="19" spans="1:21" ht="10.199999999999999" x14ac:dyDescent="0.35">
      <c r="A19" s="46" t="s">
        <v>43</v>
      </c>
      <c r="B19" s="46">
        <v>70000</v>
      </c>
      <c r="C19" s="46" t="s">
        <v>40</v>
      </c>
      <c r="D19" s="46">
        <v>0</v>
      </c>
      <c r="E19" s="12" t="s">
        <v>44</v>
      </c>
      <c r="F19" s="12" t="s">
        <v>37</v>
      </c>
      <c r="G19" s="46" t="s">
        <v>38</v>
      </c>
      <c r="H19" s="8">
        <v>9</v>
      </c>
      <c r="I19" s="256">
        <v>3000</v>
      </c>
      <c r="J19" s="8">
        <f>I19*H19</f>
        <v>27000</v>
      </c>
      <c r="K19" s="8">
        <v>12</v>
      </c>
      <c r="L19" s="8">
        <f t="shared" ref="L19:L29" si="0">K19*I19*$F$11</f>
        <v>37260</v>
      </c>
      <c r="M19" s="8">
        <v>12</v>
      </c>
      <c r="N19" s="8">
        <f t="shared" ref="N19:N29" si="1">M19*I19*$F$11*$F$11</f>
        <v>38564</v>
      </c>
      <c r="O19" s="8">
        <v>12</v>
      </c>
      <c r="P19" s="8">
        <f t="shared" ref="P19:P29" si="2">O19*I19*$F$11*$F$11*$F$11</f>
        <v>39914</v>
      </c>
      <c r="Q19" s="8">
        <v>3</v>
      </c>
      <c r="R19" s="8">
        <f t="shared" ref="R19:R29" si="3">I19*Q19*$F$11*$F$11*$F$11*$F$11</f>
        <v>10328</v>
      </c>
      <c r="S19" s="8">
        <f t="shared" ref="S19:S29" si="4">SUM(J19+L19+N19+P19+R19)</f>
        <v>153066</v>
      </c>
      <c r="T19" s="8">
        <v>0</v>
      </c>
      <c r="U19" s="8">
        <f t="shared" ref="U19:U28" si="5">SUM(S19:T19)</f>
        <v>153066</v>
      </c>
    </row>
    <row r="20" spans="1:21" ht="10.199999999999999" x14ac:dyDescent="0.35">
      <c r="A20" s="46" t="s">
        <v>45</v>
      </c>
      <c r="B20" s="46">
        <v>70000</v>
      </c>
      <c r="C20" s="46" t="s">
        <v>40</v>
      </c>
      <c r="D20" s="46">
        <v>0</v>
      </c>
      <c r="E20" s="12" t="s">
        <v>46</v>
      </c>
      <c r="F20" s="12" t="s">
        <v>37</v>
      </c>
      <c r="G20" s="46" t="s">
        <v>38</v>
      </c>
      <c r="H20" s="8">
        <v>6</v>
      </c>
      <c r="I20" s="256">
        <v>3500</v>
      </c>
      <c r="J20" s="8">
        <f>I20*H20</f>
        <v>21000</v>
      </c>
      <c r="K20" s="8">
        <v>12</v>
      </c>
      <c r="L20" s="8">
        <f>K20*I20*$F$11</f>
        <v>43470</v>
      </c>
      <c r="M20" s="8">
        <v>12</v>
      </c>
      <c r="N20" s="8">
        <f>M20*I20*$F$11*$F$11</f>
        <v>44991</v>
      </c>
      <c r="O20" s="8">
        <v>12</v>
      </c>
      <c r="P20" s="8">
        <f t="shared" si="2"/>
        <v>46566</v>
      </c>
      <c r="Q20" s="8">
        <v>3</v>
      </c>
      <c r="R20" s="8">
        <f>I20*Q20*$F$11*$F$11*$F$11*$F$11</f>
        <v>12049</v>
      </c>
      <c r="S20" s="8">
        <f>SUM(J20+L20+N20+P20+R20)</f>
        <v>168076</v>
      </c>
      <c r="T20" s="8">
        <v>0</v>
      </c>
      <c r="U20" s="8">
        <f>SUM(S20:T20)</f>
        <v>168076</v>
      </c>
    </row>
    <row r="21" spans="1:21" ht="10.199999999999999" x14ac:dyDescent="0.35">
      <c r="A21" s="46" t="s">
        <v>47</v>
      </c>
      <c r="B21" s="46">
        <v>70000</v>
      </c>
      <c r="C21" s="46" t="s">
        <v>40</v>
      </c>
      <c r="D21" s="46">
        <v>0</v>
      </c>
      <c r="E21" s="12" t="s">
        <v>48</v>
      </c>
      <c r="F21" s="12" t="s">
        <v>37</v>
      </c>
      <c r="G21" s="46" t="s">
        <v>38</v>
      </c>
      <c r="H21" s="8">
        <v>6</v>
      </c>
      <c r="I21" s="256">
        <v>2800</v>
      </c>
      <c r="J21" s="8">
        <f t="shared" ref="J21:J29" si="6">H21*I21</f>
        <v>16800</v>
      </c>
      <c r="K21" s="8">
        <v>12</v>
      </c>
      <c r="L21" s="8">
        <f t="shared" si="0"/>
        <v>34776</v>
      </c>
      <c r="M21" s="8">
        <v>12</v>
      </c>
      <c r="N21" s="8">
        <f t="shared" si="1"/>
        <v>35993</v>
      </c>
      <c r="O21" s="8">
        <v>12</v>
      </c>
      <c r="P21" s="8">
        <f t="shared" si="2"/>
        <v>37253</v>
      </c>
      <c r="Q21" s="8">
        <v>3</v>
      </c>
      <c r="R21" s="8">
        <f t="shared" si="3"/>
        <v>9639</v>
      </c>
      <c r="S21" s="8">
        <f t="shared" si="4"/>
        <v>134461</v>
      </c>
      <c r="T21" s="8">
        <v>0</v>
      </c>
      <c r="U21" s="8">
        <f t="shared" si="5"/>
        <v>134461</v>
      </c>
    </row>
    <row r="22" spans="1:21" ht="10.199999999999999" x14ac:dyDescent="0.35">
      <c r="A22" s="46" t="s">
        <v>49</v>
      </c>
      <c r="B22" s="46">
        <v>70000</v>
      </c>
      <c r="C22" s="46" t="s">
        <v>40</v>
      </c>
      <c r="D22" s="46">
        <v>0</v>
      </c>
      <c r="E22" s="12" t="s">
        <v>50</v>
      </c>
      <c r="F22" s="12" t="s">
        <v>37</v>
      </c>
      <c r="G22" s="46" t="s">
        <v>38</v>
      </c>
      <c r="H22" s="8">
        <v>5</v>
      </c>
      <c r="I22" s="256">
        <v>2440</v>
      </c>
      <c r="J22" s="8">
        <f t="shared" si="6"/>
        <v>12200</v>
      </c>
      <c r="K22" s="8">
        <v>12</v>
      </c>
      <c r="L22" s="8">
        <f t="shared" si="0"/>
        <v>30305</v>
      </c>
      <c r="M22" s="8">
        <v>12</v>
      </c>
      <c r="N22" s="8">
        <f t="shared" si="1"/>
        <v>31365</v>
      </c>
      <c r="O22" s="8">
        <v>12</v>
      </c>
      <c r="P22" s="8">
        <f t="shared" si="2"/>
        <v>32463</v>
      </c>
      <c r="Q22" s="8">
        <v>3</v>
      </c>
      <c r="R22" s="8">
        <f t="shared" si="3"/>
        <v>8400</v>
      </c>
      <c r="S22" s="8">
        <f t="shared" si="4"/>
        <v>114733</v>
      </c>
      <c r="T22" s="8">
        <v>0</v>
      </c>
      <c r="U22" s="8">
        <f t="shared" si="5"/>
        <v>114733</v>
      </c>
    </row>
    <row r="23" spans="1:21" ht="10.199999999999999" x14ac:dyDescent="0.35">
      <c r="A23" s="46" t="s">
        <v>49</v>
      </c>
      <c r="B23" s="46">
        <v>70000</v>
      </c>
      <c r="C23" s="46" t="s">
        <v>40</v>
      </c>
      <c r="D23" s="46">
        <v>0</v>
      </c>
      <c r="E23" s="12" t="s">
        <v>51</v>
      </c>
      <c r="F23" s="12" t="s">
        <v>37</v>
      </c>
      <c r="G23" s="46" t="s">
        <v>38</v>
      </c>
      <c r="H23" s="8">
        <v>5</v>
      </c>
      <c r="I23" s="256">
        <v>2440</v>
      </c>
      <c r="J23" s="8">
        <f t="shared" si="6"/>
        <v>12200</v>
      </c>
      <c r="K23" s="8">
        <v>12</v>
      </c>
      <c r="L23" s="8">
        <f t="shared" si="0"/>
        <v>30305</v>
      </c>
      <c r="M23" s="8">
        <v>12</v>
      </c>
      <c r="N23" s="8">
        <f t="shared" si="1"/>
        <v>31365</v>
      </c>
      <c r="O23" s="8">
        <v>12</v>
      </c>
      <c r="P23" s="8">
        <f t="shared" si="2"/>
        <v>32463</v>
      </c>
      <c r="Q23" s="8">
        <v>3</v>
      </c>
      <c r="R23" s="8">
        <f t="shared" si="3"/>
        <v>8400</v>
      </c>
      <c r="S23" s="8">
        <f t="shared" si="4"/>
        <v>114733</v>
      </c>
      <c r="T23" s="8">
        <v>0</v>
      </c>
      <c r="U23" s="8">
        <f t="shared" si="5"/>
        <v>114733</v>
      </c>
    </row>
    <row r="24" spans="1:21" ht="10.199999999999999" x14ac:dyDescent="0.35">
      <c r="A24" s="46" t="s">
        <v>52</v>
      </c>
      <c r="B24" s="46">
        <v>70000</v>
      </c>
      <c r="C24" s="46" t="s">
        <v>40</v>
      </c>
      <c r="D24" s="46">
        <v>0</v>
      </c>
      <c r="E24" s="12" t="s">
        <v>53</v>
      </c>
      <c r="F24" s="12" t="s">
        <v>37</v>
      </c>
      <c r="G24" s="46" t="s">
        <v>38</v>
      </c>
      <c r="H24" s="8">
        <v>5</v>
      </c>
      <c r="I24" s="256">
        <v>2440</v>
      </c>
      <c r="J24" s="8">
        <f t="shared" si="6"/>
        <v>12200</v>
      </c>
      <c r="K24" s="8">
        <v>12</v>
      </c>
      <c r="L24" s="8">
        <f t="shared" si="0"/>
        <v>30305</v>
      </c>
      <c r="M24" s="8">
        <v>12</v>
      </c>
      <c r="N24" s="8">
        <f t="shared" si="1"/>
        <v>31365</v>
      </c>
      <c r="O24" s="8">
        <v>12</v>
      </c>
      <c r="P24" s="8">
        <f t="shared" si="2"/>
        <v>32463</v>
      </c>
      <c r="Q24" s="8">
        <v>3</v>
      </c>
      <c r="R24" s="8">
        <f t="shared" si="3"/>
        <v>8400</v>
      </c>
      <c r="S24" s="8">
        <f t="shared" si="4"/>
        <v>114733</v>
      </c>
      <c r="T24" s="8">
        <v>0</v>
      </c>
      <c r="U24" s="8">
        <f t="shared" si="5"/>
        <v>114733</v>
      </c>
    </row>
    <row r="25" spans="1:21" ht="10.199999999999999" x14ac:dyDescent="0.35">
      <c r="A25" s="46" t="s">
        <v>39</v>
      </c>
      <c r="B25" s="46">
        <v>70000</v>
      </c>
      <c r="C25" s="46" t="s">
        <v>40</v>
      </c>
      <c r="D25" s="46">
        <v>0</v>
      </c>
      <c r="E25" s="12" t="s">
        <v>54</v>
      </c>
      <c r="F25" s="12" t="s">
        <v>37</v>
      </c>
      <c r="G25" s="46" t="s">
        <v>38</v>
      </c>
      <c r="H25" s="8">
        <v>4</v>
      </c>
      <c r="I25" s="256">
        <v>2500</v>
      </c>
      <c r="J25" s="8">
        <f t="shared" si="6"/>
        <v>10000</v>
      </c>
      <c r="K25" s="8">
        <v>12</v>
      </c>
      <c r="L25" s="8">
        <f>K25*I25*$F$11</f>
        <v>31050</v>
      </c>
      <c r="M25" s="8">
        <v>12</v>
      </c>
      <c r="N25" s="8">
        <f>M25*I25*$F$11*$F$11</f>
        <v>32137</v>
      </c>
      <c r="O25" s="8">
        <v>12</v>
      </c>
      <c r="P25" s="8">
        <f t="shared" si="2"/>
        <v>33262</v>
      </c>
      <c r="Q25" s="8">
        <v>3</v>
      </c>
      <c r="R25" s="8">
        <f>I25*Q25*$F$11*$F$11*$F$11*$F$11</f>
        <v>8606</v>
      </c>
      <c r="S25" s="8">
        <f>SUM(J25+L25+N25+P25+R25)</f>
        <v>115055</v>
      </c>
      <c r="T25" s="8">
        <v>0</v>
      </c>
      <c r="U25" s="8">
        <f t="shared" ref="U25" si="7">SUM(S25:T25)</f>
        <v>115055</v>
      </c>
    </row>
    <row r="26" spans="1:21" ht="10.199999999999999" x14ac:dyDescent="0.35">
      <c r="A26" s="46" t="s">
        <v>55</v>
      </c>
      <c r="B26" s="46">
        <v>70000</v>
      </c>
      <c r="C26" s="46" t="s">
        <v>40</v>
      </c>
      <c r="D26" s="46">
        <v>0</v>
      </c>
      <c r="E26" s="12" t="s">
        <v>56</v>
      </c>
      <c r="F26" s="12" t="s">
        <v>37</v>
      </c>
      <c r="G26" s="46" t="s">
        <v>38</v>
      </c>
      <c r="H26" s="8">
        <v>7</v>
      </c>
      <c r="I26" s="256">
        <v>2010</v>
      </c>
      <c r="J26" s="8">
        <f t="shared" si="6"/>
        <v>14070</v>
      </c>
      <c r="K26" s="8">
        <v>12</v>
      </c>
      <c r="L26" s="8">
        <f>K26*I26*$F$11</f>
        <v>24964</v>
      </c>
      <c r="M26" s="8">
        <v>12</v>
      </c>
      <c r="N26" s="8">
        <f>M26*I26*$F$11*$F$11</f>
        <v>25838</v>
      </c>
      <c r="O26" s="8">
        <v>12</v>
      </c>
      <c r="P26" s="8">
        <f t="shared" si="2"/>
        <v>26742</v>
      </c>
      <c r="Q26" s="8">
        <v>6</v>
      </c>
      <c r="R26" s="8">
        <f>I26*Q26*$F$11*$F$11*$F$11*$F$11</f>
        <v>13839</v>
      </c>
      <c r="S26" s="8">
        <f>SUM(J26+L26+N26+P26+R26)</f>
        <v>105453</v>
      </c>
      <c r="T26" s="8">
        <v>0</v>
      </c>
      <c r="U26" s="8">
        <f>SUM(S26:T26)</f>
        <v>105453</v>
      </c>
    </row>
    <row r="27" spans="1:21" ht="10.199999999999999" x14ac:dyDescent="0.35">
      <c r="A27" s="46" t="s">
        <v>57</v>
      </c>
      <c r="B27" s="46">
        <v>70000</v>
      </c>
      <c r="C27" s="46" t="s">
        <v>40</v>
      </c>
      <c r="D27" s="46">
        <v>0</v>
      </c>
      <c r="E27" s="12" t="s">
        <v>58</v>
      </c>
      <c r="F27" s="12" t="s">
        <v>37</v>
      </c>
      <c r="G27" s="46" t="s">
        <v>38</v>
      </c>
      <c r="H27" s="8">
        <v>12</v>
      </c>
      <c r="I27" s="256">
        <f>6750*0.45</f>
        <v>3038</v>
      </c>
      <c r="J27" s="8">
        <f t="shared" si="6"/>
        <v>36456</v>
      </c>
      <c r="K27" s="8">
        <v>12</v>
      </c>
      <c r="L27" s="8">
        <f t="shared" si="0"/>
        <v>37732</v>
      </c>
      <c r="M27" s="8">
        <v>12</v>
      </c>
      <c r="N27" s="8">
        <f t="shared" si="1"/>
        <v>39053</v>
      </c>
      <c r="O27" s="8">
        <v>12</v>
      </c>
      <c r="P27" s="8">
        <f t="shared" si="2"/>
        <v>40419</v>
      </c>
      <c r="Q27" s="8">
        <v>6</v>
      </c>
      <c r="R27" s="8">
        <f t="shared" si="3"/>
        <v>20917</v>
      </c>
      <c r="S27" s="8">
        <f t="shared" si="4"/>
        <v>174577</v>
      </c>
      <c r="T27" s="8">
        <v>0</v>
      </c>
      <c r="U27" s="8">
        <f t="shared" si="5"/>
        <v>174577</v>
      </c>
    </row>
    <row r="28" spans="1:21" ht="10.199999999999999" x14ac:dyDescent="0.35">
      <c r="A28" s="46" t="s">
        <v>59</v>
      </c>
      <c r="B28" s="46">
        <v>70000</v>
      </c>
      <c r="C28" s="46" t="s">
        <v>40</v>
      </c>
      <c r="D28" s="46">
        <v>0</v>
      </c>
      <c r="E28" s="12" t="s">
        <v>60</v>
      </c>
      <c r="F28" s="12" t="s">
        <v>37</v>
      </c>
      <c r="G28" s="46" t="s">
        <v>38</v>
      </c>
      <c r="H28" s="8">
        <v>12</v>
      </c>
      <c r="I28" s="256">
        <f>2010*0.5</f>
        <v>1005</v>
      </c>
      <c r="J28" s="8">
        <f t="shared" si="6"/>
        <v>12060</v>
      </c>
      <c r="K28" s="8">
        <v>12</v>
      </c>
      <c r="L28" s="8">
        <f t="shared" si="0"/>
        <v>12482</v>
      </c>
      <c r="M28" s="8">
        <v>12</v>
      </c>
      <c r="N28" s="8">
        <f t="shared" si="1"/>
        <v>12919</v>
      </c>
      <c r="O28" s="8">
        <v>12</v>
      </c>
      <c r="P28" s="8">
        <f t="shared" si="2"/>
        <v>13371</v>
      </c>
      <c r="Q28" s="8">
        <v>6</v>
      </c>
      <c r="R28" s="8">
        <f t="shared" si="3"/>
        <v>6920</v>
      </c>
      <c r="S28" s="8">
        <f t="shared" si="4"/>
        <v>57752</v>
      </c>
      <c r="T28" s="8">
        <v>0</v>
      </c>
      <c r="U28" s="8">
        <f t="shared" si="5"/>
        <v>57752</v>
      </c>
    </row>
    <row r="29" spans="1:21" ht="10.199999999999999" x14ac:dyDescent="0.35">
      <c r="A29" s="46" t="s">
        <v>61</v>
      </c>
      <c r="B29" s="46">
        <v>70000</v>
      </c>
      <c r="C29" s="46" t="s">
        <v>40</v>
      </c>
      <c r="D29" s="46">
        <v>0</v>
      </c>
      <c r="E29" s="12" t="s">
        <v>62</v>
      </c>
      <c r="F29" s="12" t="s">
        <v>37</v>
      </c>
      <c r="G29" s="46" t="s">
        <v>38</v>
      </c>
      <c r="H29" s="8">
        <v>8</v>
      </c>
      <c r="I29" s="256">
        <v>1900</v>
      </c>
      <c r="J29" s="8">
        <f t="shared" si="6"/>
        <v>15200</v>
      </c>
      <c r="K29" s="8">
        <v>12</v>
      </c>
      <c r="L29" s="8">
        <f t="shared" si="0"/>
        <v>23598</v>
      </c>
      <c r="M29" s="8">
        <v>12</v>
      </c>
      <c r="N29" s="8">
        <f t="shared" si="1"/>
        <v>24424</v>
      </c>
      <c r="O29" s="8">
        <v>12</v>
      </c>
      <c r="P29" s="8">
        <f t="shared" si="2"/>
        <v>25279</v>
      </c>
      <c r="Q29" s="8">
        <v>6</v>
      </c>
      <c r="R29" s="8">
        <f t="shared" si="3"/>
        <v>13082</v>
      </c>
      <c r="S29" s="8">
        <f t="shared" si="4"/>
        <v>101583</v>
      </c>
      <c r="T29" s="8">
        <v>0</v>
      </c>
      <c r="U29" s="8">
        <f t="shared" ref="U29" si="8">SUM(S29:T29)</f>
        <v>101583</v>
      </c>
    </row>
    <row r="30" spans="1:21" ht="10.199999999999999" x14ac:dyDescent="0.35">
      <c r="A30" s="46"/>
      <c r="B30" s="46"/>
      <c r="C30" s="46"/>
      <c r="D30" s="46"/>
      <c r="E30" s="12"/>
      <c r="F30" s="12"/>
      <c r="G30" s="4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0.5" x14ac:dyDescent="0.4">
      <c r="A31" s="92"/>
      <c r="B31" s="92"/>
      <c r="C31" s="92"/>
      <c r="D31" s="92"/>
      <c r="E31" s="101" t="s">
        <v>63</v>
      </c>
      <c r="F31" s="73"/>
      <c r="G31" s="92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</row>
    <row r="32" spans="1:21" ht="10.199999999999999" x14ac:dyDescent="0.35">
      <c r="A32" s="46" t="s">
        <v>64</v>
      </c>
      <c r="B32" s="46" t="s">
        <v>65</v>
      </c>
      <c r="C32" s="46">
        <v>0</v>
      </c>
      <c r="D32" s="46">
        <v>0</v>
      </c>
      <c r="E32" s="12" t="s">
        <v>66</v>
      </c>
      <c r="F32" s="12" t="s">
        <v>37</v>
      </c>
      <c r="G32" s="46" t="s">
        <v>38</v>
      </c>
      <c r="H32" s="8">
        <v>12</v>
      </c>
      <c r="I32" s="8">
        <f>13000*0.1</f>
        <v>1300</v>
      </c>
      <c r="J32" s="8">
        <f>H32*I32</f>
        <v>15600</v>
      </c>
      <c r="K32" s="8">
        <v>12</v>
      </c>
      <c r="L32" s="8">
        <f>K32*I32*$F$11</f>
        <v>16146</v>
      </c>
      <c r="M32" s="8">
        <v>12</v>
      </c>
      <c r="N32" s="8">
        <f>M32*I32*$F$11*$F$11</f>
        <v>16711</v>
      </c>
      <c r="O32" s="8">
        <v>12</v>
      </c>
      <c r="P32" s="8">
        <f>O32*I32*$F$11*$F$11*$F$11</f>
        <v>17296</v>
      </c>
      <c r="Q32" s="8">
        <v>6</v>
      </c>
      <c r="R32" s="8">
        <f>I32*Q32*$F$11*$F$11*$F$11*$F$11</f>
        <v>8951</v>
      </c>
      <c r="S32" s="8">
        <f>SUM(J32+L32+N32+P32+R32)</f>
        <v>74704</v>
      </c>
      <c r="T32" s="8">
        <v>0</v>
      </c>
      <c r="U32" s="8">
        <f>SUM(S32:T32)</f>
        <v>74704</v>
      </c>
    </row>
    <row r="33" spans="1:21" ht="10.199999999999999" x14ac:dyDescent="0.35">
      <c r="A33" s="46" t="s">
        <v>67</v>
      </c>
      <c r="B33" s="46" t="s">
        <v>65</v>
      </c>
      <c r="C33" s="46">
        <v>0</v>
      </c>
      <c r="D33" s="46">
        <v>0</v>
      </c>
      <c r="E33" s="12" t="s">
        <v>68</v>
      </c>
      <c r="F33" s="12" t="s">
        <v>37</v>
      </c>
      <c r="G33" s="46" t="s">
        <v>38</v>
      </c>
      <c r="H33" s="8">
        <v>12</v>
      </c>
      <c r="I33" s="8">
        <f>5500*0.4</f>
        <v>2200</v>
      </c>
      <c r="J33" s="8">
        <f>H33*I33</f>
        <v>26400</v>
      </c>
      <c r="K33" s="8">
        <v>12</v>
      </c>
      <c r="L33" s="8">
        <f>K33*I33*$F$11</f>
        <v>27324</v>
      </c>
      <c r="M33" s="8">
        <v>12</v>
      </c>
      <c r="N33" s="8">
        <f>M33*I33*$F$11*$F$11</f>
        <v>28280</v>
      </c>
      <c r="O33" s="8">
        <v>12</v>
      </c>
      <c r="P33" s="8">
        <f>O33*I33*$F$11*$F$11*$F$11</f>
        <v>29270</v>
      </c>
      <c r="Q33" s="8">
        <v>6</v>
      </c>
      <c r="R33" s="8">
        <f>I33*Q33*$F$11*$F$11*$F$11*$F$11</f>
        <v>15147</v>
      </c>
      <c r="S33" s="8">
        <f>SUM(J33+L33+N33+P33+R33)</f>
        <v>126421</v>
      </c>
      <c r="T33" s="8">
        <v>0</v>
      </c>
      <c r="U33" s="8">
        <f>SUM(S33:T33)</f>
        <v>126421</v>
      </c>
    </row>
    <row r="34" spans="1:21" ht="10.199999999999999" x14ac:dyDescent="0.35">
      <c r="A34" s="46"/>
      <c r="B34" s="46"/>
      <c r="C34" s="46"/>
      <c r="D34" s="46"/>
      <c r="E34" s="12"/>
      <c r="F34" s="12"/>
      <c r="G34" s="4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0.5" x14ac:dyDescent="0.4">
      <c r="A35" s="102"/>
      <c r="B35" s="102"/>
      <c r="C35" s="102"/>
      <c r="D35" s="102"/>
      <c r="E35" s="101" t="s">
        <v>69</v>
      </c>
      <c r="F35" s="101"/>
      <c r="G35" s="102"/>
      <c r="H35" s="96"/>
      <c r="I35" s="96"/>
      <c r="J35" s="96">
        <f>SUM(J15:J33)</f>
        <v>375586</v>
      </c>
      <c r="K35" s="96"/>
      <c r="L35" s="96">
        <f>SUM(L15:L33)</f>
        <v>533725</v>
      </c>
      <c r="M35" s="96"/>
      <c r="N35" s="96">
        <f>SUM(N15:N33)</f>
        <v>552404</v>
      </c>
      <c r="O35" s="96"/>
      <c r="P35" s="96">
        <f>SUM(P15:P33)</f>
        <v>571738</v>
      </c>
      <c r="Q35" s="96"/>
      <c r="R35" s="96">
        <f>SUM(R15:R33)</f>
        <v>230054</v>
      </c>
      <c r="S35" s="96">
        <f>SUM(J35+L35+N35+P35+R35)</f>
        <v>2263507</v>
      </c>
      <c r="T35" s="96">
        <v>0</v>
      </c>
      <c r="U35" s="96">
        <f>SUM(S35:T35)</f>
        <v>2263507</v>
      </c>
    </row>
    <row r="36" spans="1:21" ht="10.5" x14ac:dyDescent="0.4">
      <c r="A36" s="47"/>
      <c r="B36" s="47"/>
      <c r="C36" s="47"/>
      <c r="D36" s="47"/>
      <c r="E36" s="48"/>
      <c r="F36" s="48"/>
      <c r="G36" s="47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1" ht="10.5" x14ac:dyDescent="0.4">
      <c r="A37" s="47"/>
      <c r="B37" s="47"/>
      <c r="C37" s="47"/>
      <c r="D37" s="47"/>
      <c r="E37" s="48" t="s">
        <v>70</v>
      </c>
      <c r="F37" s="48"/>
      <c r="G37" s="47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1:21" ht="10.199999999999999" x14ac:dyDescent="0.35">
      <c r="A38" s="46" t="s">
        <v>71</v>
      </c>
      <c r="B38" s="46">
        <v>70015</v>
      </c>
      <c r="C38" s="46" t="s">
        <v>40</v>
      </c>
      <c r="D38" s="46">
        <v>0</v>
      </c>
      <c r="E38" s="12" t="s">
        <v>72</v>
      </c>
      <c r="F38" s="12" t="s">
        <v>70</v>
      </c>
      <c r="G38" s="46" t="s">
        <v>38</v>
      </c>
      <c r="H38" s="8"/>
      <c r="I38" s="270">
        <v>0.36709999999999998</v>
      </c>
      <c r="J38" s="103">
        <f>SUM(J15:J29)*$I38</f>
        <v>122459</v>
      </c>
      <c r="K38" s="8"/>
      <c r="L38" s="103">
        <f>SUM(L15:L29)*$I38</f>
        <v>179973</v>
      </c>
      <c r="M38" s="8"/>
      <c r="N38" s="103">
        <f>SUM(N15:N29)*$I38</f>
        <v>186271</v>
      </c>
      <c r="O38" s="8"/>
      <c r="P38" s="103">
        <f>SUM(P15:P29)*$I38</f>
        <v>192791</v>
      </c>
      <c r="Q38" s="8"/>
      <c r="R38" s="103">
        <f>SUM(R15:R29)*$I38</f>
        <v>75606</v>
      </c>
      <c r="S38" s="8">
        <f>SUM(J38+L38+N38+P38+R38)</f>
        <v>757100</v>
      </c>
      <c r="T38" s="8">
        <v>0</v>
      </c>
      <c r="U38" s="8">
        <f>SUM(S38:T38)</f>
        <v>757100</v>
      </c>
    </row>
    <row r="39" spans="1:21" ht="10.199999999999999" x14ac:dyDescent="0.35">
      <c r="A39" s="46" t="s">
        <v>73</v>
      </c>
      <c r="B39" s="46" t="s">
        <v>65</v>
      </c>
      <c r="C39" s="46">
        <v>0</v>
      </c>
      <c r="D39" s="46">
        <v>0</v>
      </c>
      <c r="E39" s="12" t="s">
        <v>74</v>
      </c>
      <c r="F39" s="12" t="s">
        <v>70</v>
      </c>
      <c r="G39" s="46" t="s">
        <v>38</v>
      </c>
      <c r="H39" s="8"/>
      <c r="I39" s="27">
        <v>0.21809999999999999</v>
      </c>
      <c r="J39" s="8">
        <f>SUM(J32:J33)*$I$39</f>
        <v>9160</v>
      </c>
      <c r="K39" s="8"/>
      <c r="L39" s="8">
        <f>SUM(L32:L33)*$I$39</f>
        <v>9481</v>
      </c>
      <c r="M39" s="8"/>
      <c r="N39" s="8">
        <f>SUM(N32:N33)*$I$39</f>
        <v>9813</v>
      </c>
      <c r="O39" s="8"/>
      <c r="P39" s="8">
        <f>SUM(P32:P33)*$I$39</f>
        <v>10156</v>
      </c>
      <c r="Q39" s="8"/>
      <c r="R39" s="8">
        <f>SUM(R32:R33)*$I$39</f>
        <v>5256</v>
      </c>
      <c r="S39" s="8">
        <f>SUM(J39+L39+N39+P39+R39)</f>
        <v>43866</v>
      </c>
      <c r="T39" s="8">
        <v>0</v>
      </c>
      <c r="U39" s="8">
        <f>SUM(S39:T39)</f>
        <v>43866</v>
      </c>
    </row>
    <row r="40" spans="1:21" ht="10.199999999999999" x14ac:dyDescent="0.35">
      <c r="A40" s="32"/>
      <c r="B40" s="32"/>
      <c r="C40" s="32"/>
      <c r="D40" s="32"/>
      <c r="G40" s="32"/>
      <c r="H40" s="28"/>
      <c r="I40" s="17"/>
      <c r="J40" s="17"/>
      <c r="K40" s="17"/>
      <c r="L40" s="17"/>
      <c r="M40" s="17"/>
      <c r="N40" s="17"/>
      <c r="O40" s="17"/>
      <c r="P40" s="17"/>
      <c r="Q40" s="17"/>
      <c r="R40" s="17"/>
      <c r="T40" s="8"/>
    </row>
    <row r="41" spans="1:21" ht="10.8" thickBot="1" x14ac:dyDescent="0.45">
      <c r="A41" s="34"/>
      <c r="B41" s="34"/>
      <c r="C41" s="34"/>
      <c r="D41" s="34"/>
      <c r="E41" s="18" t="s">
        <v>75</v>
      </c>
      <c r="F41" s="18"/>
      <c r="G41" s="29"/>
      <c r="H41" s="29"/>
      <c r="I41" s="30"/>
      <c r="J41" s="19">
        <f>SUM(J38:J40)</f>
        <v>131619</v>
      </c>
      <c r="K41" s="19"/>
      <c r="L41" s="19">
        <f>SUM(L38:L40)</f>
        <v>189454</v>
      </c>
      <c r="M41" s="19"/>
      <c r="N41" s="19">
        <f>SUM(N38:N40)</f>
        <v>196084</v>
      </c>
      <c r="O41" s="19"/>
      <c r="P41" s="19">
        <f>SUM(P38:P40)</f>
        <v>202947</v>
      </c>
      <c r="Q41" s="19"/>
      <c r="R41" s="19">
        <f>SUM(R38:R40)</f>
        <v>80862</v>
      </c>
      <c r="S41" s="19">
        <f>SUM(S38:S40)</f>
        <v>800966</v>
      </c>
      <c r="T41" s="19">
        <f>SUM(T39:T39)</f>
        <v>0</v>
      </c>
      <c r="U41" s="19">
        <f>SUM(U38:U40)</f>
        <v>800966</v>
      </c>
    </row>
    <row r="42" spans="1:21" ht="10.8" thickBot="1" x14ac:dyDescent="0.45">
      <c r="A42" s="34"/>
      <c r="B42" s="34"/>
      <c r="C42" s="34"/>
      <c r="D42" s="34"/>
      <c r="E42" s="18" t="s">
        <v>76</v>
      </c>
      <c r="F42" s="18"/>
      <c r="G42" s="29"/>
      <c r="H42" s="29"/>
      <c r="I42" s="30"/>
      <c r="J42" s="19">
        <f>J41+J35</f>
        <v>507205</v>
      </c>
      <c r="K42" s="19"/>
      <c r="L42" s="19">
        <f>L41+L35</f>
        <v>723179</v>
      </c>
      <c r="M42" s="19"/>
      <c r="N42" s="19">
        <f>N41+N35</f>
        <v>748488</v>
      </c>
      <c r="O42" s="19"/>
      <c r="P42" s="19">
        <f>P41+P35</f>
        <v>774685</v>
      </c>
      <c r="Q42" s="19"/>
      <c r="R42" s="19">
        <f>R41+R35</f>
        <v>310916</v>
      </c>
      <c r="S42" s="19">
        <f>S41+S35</f>
        <v>3064473</v>
      </c>
      <c r="T42" s="19">
        <f>T41+T35</f>
        <v>0</v>
      </c>
      <c r="U42" s="19">
        <f>U41+U35</f>
        <v>3064473</v>
      </c>
    </row>
    <row r="43" spans="1:21" ht="10.5" x14ac:dyDescent="0.4">
      <c r="A43" s="173"/>
      <c r="B43" s="173"/>
      <c r="C43" s="173"/>
      <c r="D43" s="173"/>
      <c r="E43" s="53" t="s">
        <v>77</v>
      </c>
      <c r="F43" s="53"/>
      <c r="G43" s="54"/>
      <c r="H43" s="54"/>
      <c r="I43" s="55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7"/>
    </row>
    <row r="44" spans="1:21" ht="10.5" x14ac:dyDescent="0.4">
      <c r="A44" s="101"/>
      <c r="B44" s="101"/>
      <c r="C44" s="101"/>
      <c r="D44" s="101"/>
      <c r="E44" s="61" t="s">
        <v>78</v>
      </c>
      <c r="F44" s="61"/>
      <c r="G44" s="62"/>
      <c r="H44" s="62"/>
      <c r="I44" s="63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5"/>
    </row>
    <row r="45" spans="1:21" ht="10.199999999999999" x14ac:dyDescent="0.35">
      <c r="A45" s="33" t="s">
        <v>79</v>
      </c>
      <c r="B45" s="33">
        <v>86040</v>
      </c>
      <c r="C45" s="33" t="s">
        <v>80</v>
      </c>
      <c r="D45" s="33">
        <v>0</v>
      </c>
      <c r="E45" s="1" t="s">
        <v>81</v>
      </c>
      <c r="F45" s="1" t="s">
        <v>77</v>
      </c>
      <c r="G45" s="33" t="s">
        <v>82</v>
      </c>
      <c r="H45" s="8"/>
      <c r="I45" s="8">
        <v>650</v>
      </c>
      <c r="J45" s="8">
        <f>H45*I45</f>
        <v>0</v>
      </c>
      <c r="K45" s="8">
        <v>2</v>
      </c>
      <c r="L45" s="8">
        <f>K45*I45*$F$10</f>
        <v>1352</v>
      </c>
      <c r="M45" s="8"/>
      <c r="N45" s="8">
        <f>M45*I45*$F$10*$F$10</f>
        <v>0</v>
      </c>
      <c r="O45" s="8">
        <v>0</v>
      </c>
      <c r="P45" s="8">
        <f>O45*I45*$F$10*$F$10*$F$10</f>
        <v>0</v>
      </c>
      <c r="Q45" s="8">
        <v>0</v>
      </c>
      <c r="R45" s="8">
        <f>Q45*I45*$F$10*$F$10*$F$10*$F$10</f>
        <v>0</v>
      </c>
      <c r="S45" s="8">
        <f>J45+L45+N45+P45+R45</f>
        <v>1352</v>
      </c>
      <c r="T45" s="8" t="s">
        <v>83</v>
      </c>
      <c r="U45" s="8">
        <f>SUM(S45:T45)</f>
        <v>1352</v>
      </c>
    </row>
    <row r="46" spans="1:21" ht="20.399999999999999" x14ac:dyDescent="0.35">
      <c r="A46" s="33" t="s">
        <v>84</v>
      </c>
      <c r="B46" s="33" t="s">
        <v>85</v>
      </c>
      <c r="C46" s="33" t="s">
        <v>80</v>
      </c>
      <c r="D46" s="33">
        <v>0</v>
      </c>
      <c r="E46" s="1" t="s">
        <v>86</v>
      </c>
      <c r="F46" s="1" t="s">
        <v>77</v>
      </c>
      <c r="G46" s="33" t="s">
        <v>87</v>
      </c>
      <c r="H46" s="8"/>
      <c r="I46" s="8">
        <v>218</v>
      </c>
      <c r="J46" s="8">
        <f>H46*I46</f>
        <v>0</v>
      </c>
      <c r="K46" s="8">
        <v>10</v>
      </c>
      <c r="L46" s="8">
        <f t="shared" ref="L46:L48" si="9">K46*I46*$F$10</f>
        <v>2267</v>
      </c>
      <c r="M46" s="8"/>
      <c r="N46" s="8">
        <f>M46*I46*$F$10*$F$10</f>
        <v>0</v>
      </c>
      <c r="O46" s="8">
        <v>0</v>
      </c>
      <c r="P46" s="8">
        <f>O46*I46*$F$10*$F$10*$F$10</f>
        <v>0</v>
      </c>
      <c r="Q46" s="8">
        <v>0</v>
      </c>
      <c r="R46" s="8">
        <f>Q46*I46*$F$10*$F$10*$F$10*$F$10</f>
        <v>0</v>
      </c>
      <c r="S46" s="8">
        <f>J46+L46+N46+P46+R46</f>
        <v>2267</v>
      </c>
      <c r="T46" s="8" t="s">
        <v>83</v>
      </c>
      <c r="U46" s="8">
        <f>SUM(S46:T46)</f>
        <v>2267</v>
      </c>
    </row>
    <row r="47" spans="1:21" ht="10.199999999999999" x14ac:dyDescent="0.35">
      <c r="A47" s="33" t="s">
        <v>88</v>
      </c>
      <c r="B47" s="33">
        <v>86000</v>
      </c>
      <c r="C47" s="33" t="s">
        <v>80</v>
      </c>
      <c r="D47" s="33">
        <v>0</v>
      </c>
      <c r="E47" s="1" t="s">
        <v>89</v>
      </c>
      <c r="F47" s="1" t="s">
        <v>77</v>
      </c>
      <c r="G47" s="33" t="s">
        <v>87</v>
      </c>
      <c r="H47" s="8"/>
      <c r="I47" s="8">
        <v>60</v>
      </c>
      <c r="J47" s="8">
        <f>H47*I47</f>
        <v>0</v>
      </c>
      <c r="K47" s="8">
        <v>10</v>
      </c>
      <c r="L47" s="8">
        <f t="shared" si="9"/>
        <v>624</v>
      </c>
      <c r="M47" s="8"/>
      <c r="N47" s="8">
        <f>M47*I47*$F$10*$F$10</f>
        <v>0</v>
      </c>
      <c r="O47" s="8">
        <v>0</v>
      </c>
      <c r="P47" s="8">
        <f>O47*I47*$F$10*$F$10*$F$10</f>
        <v>0</v>
      </c>
      <c r="Q47" s="8">
        <v>0</v>
      </c>
      <c r="R47" s="8">
        <f>Q47*I47*$F$10*$F$10*$F$10*$F$10</f>
        <v>0</v>
      </c>
      <c r="S47" s="8">
        <f>J47+L47+N47+P47+R47</f>
        <v>624</v>
      </c>
      <c r="T47" s="8" t="s">
        <v>83</v>
      </c>
      <c r="U47" s="8">
        <f>SUM(S47:T47)</f>
        <v>624</v>
      </c>
    </row>
    <row r="48" spans="1:21" ht="10.199999999999999" x14ac:dyDescent="0.35">
      <c r="A48" s="33" t="s">
        <v>90</v>
      </c>
      <c r="B48" s="33">
        <v>86050</v>
      </c>
      <c r="C48" s="33" t="s">
        <v>80</v>
      </c>
      <c r="D48" s="33">
        <v>0</v>
      </c>
      <c r="E48" s="1" t="s">
        <v>91</v>
      </c>
      <c r="F48" s="1" t="s">
        <v>77</v>
      </c>
      <c r="G48" s="33" t="s">
        <v>82</v>
      </c>
      <c r="H48" s="8"/>
      <c r="I48" s="8">
        <v>160</v>
      </c>
      <c r="J48" s="8">
        <f>H48*I48</f>
        <v>0</v>
      </c>
      <c r="K48" s="8">
        <v>2</v>
      </c>
      <c r="L48" s="8">
        <f t="shared" si="9"/>
        <v>333</v>
      </c>
      <c r="M48" s="8"/>
      <c r="N48" s="8">
        <f>M48*I48*$F$10*$F$10</f>
        <v>0</v>
      </c>
      <c r="O48" s="8">
        <v>0</v>
      </c>
      <c r="P48" s="8">
        <f>O48*I48*$F$10*$F$10*$F$10</f>
        <v>0</v>
      </c>
      <c r="Q48" s="8">
        <v>0</v>
      </c>
      <c r="R48" s="8">
        <f>Q48*I48*$F$10*$F$10*$F$10*$F$10</f>
        <v>0</v>
      </c>
      <c r="S48" s="8">
        <f>J48+L48+N48+P48+R48</f>
        <v>333</v>
      </c>
      <c r="T48" s="8" t="s">
        <v>83</v>
      </c>
      <c r="U48" s="8">
        <f>SUM(S48:T48)</f>
        <v>333</v>
      </c>
    </row>
    <row r="49" spans="1:21" ht="10.199999999999999" x14ac:dyDescent="0.35">
      <c r="A49" s="68"/>
      <c r="B49" s="68"/>
      <c r="C49" s="68"/>
      <c r="D49" s="68"/>
      <c r="E49" s="61" t="s">
        <v>92</v>
      </c>
      <c r="F49" s="61"/>
      <c r="G49" s="68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</row>
    <row r="50" spans="1:21" ht="10.199999999999999" x14ac:dyDescent="0.35">
      <c r="A50" s="33" t="s">
        <v>93</v>
      </c>
      <c r="B50" s="33">
        <v>86040</v>
      </c>
      <c r="C50" s="33" t="s">
        <v>80</v>
      </c>
      <c r="D50" s="33">
        <v>0</v>
      </c>
      <c r="E50" s="1" t="s">
        <v>94</v>
      </c>
      <c r="F50" s="1" t="s">
        <v>77</v>
      </c>
      <c r="G50" s="33" t="s">
        <v>82</v>
      </c>
      <c r="H50" s="8">
        <v>2</v>
      </c>
      <c r="I50" s="8">
        <v>650</v>
      </c>
      <c r="J50" s="8">
        <f>H50*I50</f>
        <v>1300</v>
      </c>
      <c r="K50" s="8">
        <v>2</v>
      </c>
      <c r="L50" s="8">
        <f t="shared" ref="L50:L51" si="10">K50*I50*$F$10</f>
        <v>1352</v>
      </c>
      <c r="M50" s="8">
        <v>2</v>
      </c>
      <c r="N50" s="8">
        <f>M50*I50*$F$10*$F$10</f>
        <v>1406</v>
      </c>
      <c r="O50" s="8">
        <v>2</v>
      </c>
      <c r="P50" s="8">
        <f>O50*I50*$F$10*$F$10*$F$10</f>
        <v>1462</v>
      </c>
      <c r="Q50" s="8">
        <v>2</v>
      </c>
      <c r="R50" s="8">
        <f>Q50*I50*$F$10*$F$10*$F$10*$F$10</f>
        <v>1521</v>
      </c>
      <c r="S50" s="8">
        <f>J50+L50+N50+P50+R50</f>
        <v>7041</v>
      </c>
      <c r="T50" s="8" t="s">
        <v>83</v>
      </c>
      <c r="U50" s="8">
        <f>SUM(S50:T50)</f>
        <v>7041</v>
      </c>
    </row>
    <row r="51" spans="1:21" ht="20.399999999999999" x14ac:dyDescent="0.35">
      <c r="A51" s="33" t="s">
        <v>95</v>
      </c>
      <c r="B51" s="33" t="s">
        <v>85</v>
      </c>
      <c r="C51" s="33" t="s">
        <v>80</v>
      </c>
      <c r="D51" s="33">
        <v>0</v>
      </c>
      <c r="E51" s="1" t="s">
        <v>86</v>
      </c>
      <c r="F51" s="1" t="s">
        <v>77</v>
      </c>
      <c r="G51" s="12" t="s">
        <v>87</v>
      </c>
      <c r="H51" s="8">
        <v>5</v>
      </c>
      <c r="I51" s="8">
        <v>218</v>
      </c>
      <c r="J51" s="8">
        <f>H51*I51</f>
        <v>1090</v>
      </c>
      <c r="K51" s="8">
        <v>10</v>
      </c>
      <c r="L51" s="8">
        <f t="shared" si="10"/>
        <v>2267</v>
      </c>
      <c r="M51" s="8">
        <v>10</v>
      </c>
      <c r="N51" s="8">
        <f>M51*I51*$F$10*$F$10</f>
        <v>2358</v>
      </c>
      <c r="O51" s="8">
        <v>10</v>
      </c>
      <c r="P51" s="8">
        <f>O51*I51*$F$10*$F$10*$F$10</f>
        <v>2452</v>
      </c>
      <c r="Q51" s="8">
        <v>10</v>
      </c>
      <c r="R51" s="8">
        <f>Q51*I51*$F$10*$F$10*$F$10*$F$10</f>
        <v>2550</v>
      </c>
      <c r="S51" s="8">
        <f>J51+L51+N51+P51+R51</f>
        <v>10717</v>
      </c>
      <c r="T51" s="8" t="s">
        <v>83</v>
      </c>
      <c r="U51" s="8">
        <f>SUM(S51:T51)</f>
        <v>10717</v>
      </c>
    </row>
    <row r="52" spans="1:21" ht="10.199999999999999" x14ac:dyDescent="0.35">
      <c r="A52" s="33" t="s">
        <v>96</v>
      </c>
      <c r="B52" s="33">
        <v>86000</v>
      </c>
      <c r="C52" s="33" t="s">
        <v>80</v>
      </c>
      <c r="D52" s="33">
        <v>0</v>
      </c>
      <c r="E52" s="1" t="s">
        <v>89</v>
      </c>
      <c r="F52" s="1" t="s">
        <v>77</v>
      </c>
      <c r="G52" s="33" t="s">
        <v>87</v>
      </c>
      <c r="H52" s="8">
        <v>5</v>
      </c>
      <c r="I52" s="8">
        <v>60</v>
      </c>
      <c r="J52" s="8">
        <f>H52*I52</f>
        <v>300</v>
      </c>
      <c r="K52" s="8">
        <v>10</v>
      </c>
      <c r="L52" s="8">
        <f>K52*I52*$F$10</f>
        <v>624</v>
      </c>
      <c r="M52" s="8">
        <v>10</v>
      </c>
      <c r="N52" s="8">
        <f>M52*I52*$F$10*$F$10</f>
        <v>649</v>
      </c>
      <c r="O52" s="8">
        <v>10</v>
      </c>
      <c r="P52" s="8">
        <f>O52*I52*$F$10*$F$10*$F$10</f>
        <v>675</v>
      </c>
      <c r="Q52" s="8">
        <v>10</v>
      </c>
      <c r="R52" s="8">
        <f>Q52*I52*$F$10*$F$10*$F$10*$F$10</f>
        <v>702</v>
      </c>
      <c r="S52" s="8">
        <f>J52+L52+N52+P52+R52</f>
        <v>2950</v>
      </c>
      <c r="T52" s="8" t="s">
        <v>83</v>
      </c>
      <c r="U52" s="8">
        <f>SUM(S52:T52)</f>
        <v>2950</v>
      </c>
    </row>
    <row r="53" spans="1:21" ht="10.199999999999999" x14ac:dyDescent="0.35">
      <c r="A53" s="68"/>
      <c r="B53" s="68"/>
      <c r="C53" s="68"/>
      <c r="D53" s="68"/>
      <c r="E53" s="61" t="s">
        <v>97</v>
      </c>
      <c r="F53" s="61"/>
      <c r="G53" s="68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</row>
    <row r="54" spans="1:21" ht="10.199999999999999" x14ac:dyDescent="0.35">
      <c r="A54" s="33" t="s">
        <v>98</v>
      </c>
      <c r="B54" s="33">
        <v>86040</v>
      </c>
      <c r="C54" s="33" t="s">
        <v>40</v>
      </c>
      <c r="D54" s="33">
        <v>0</v>
      </c>
      <c r="E54" s="1" t="s">
        <v>99</v>
      </c>
      <c r="F54" s="1" t="s">
        <v>77</v>
      </c>
      <c r="G54" s="33" t="s">
        <v>82</v>
      </c>
      <c r="H54" s="8">
        <v>10</v>
      </c>
      <c r="I54" s="8">
        <v>650</v>
      </c>
      <c r="J54" s="8">
        <f>I54*H54</f>
        <v>6500</v>
      </c>
      <c r="K54" s="8">
        <v>4</v>
      </c>
      <c r="L54" s="8">
        <f>K54*I54*$F$10</f>
        <v>2704</v>
      </c>
      <c r="M54" s="8">
        <v>4</v>
      </c>
      <c r="N54" s="8">
        <f>M54*I54*$F$10*$F$10</f>
        <v>2812</v>
      </c>
      <c r="O54" s="8">
        <v>4</v>
      </c>
      <c r="P54" s="8">
        <f>O54*I54*$F$10*$F$10*$F$10</f>
        <v>2925</v>
      </c>
      <c r="Q54" s="8">
        <v>2</v>
      </c>
      <c r="R54" s="8">
        <f>Q54*I54*$F$10*$F$10*$F$10*$F$10</f>
        <v>1521</v>
      </c>
      <c r="S54" s="8">
        <f>J54+L54+N54+P54+R54</f>
        <v>16462</v>
      </c>
      <c r="T54" s="8" t="s">
        <v>83</v>
      </c>
      <c r="U54" s="8">
        <f>SUM(S54:T54)</f>
        <v>16462</v>
      </c>
    </row>
    <row r="55" spans="1:21" ht="20.399999999999999" x14ac:dyDescent="0.35">
      <c r="A55" s="33" t="s">
        <v>100</v>
      </c>
      <c r="B55" s="33" t="s">
        <v>85</v>
      </c>
      <c r="C55" s="33" t="s">
        <v>40</v>
      </c>
      <c r="D55" s="33">
        <v>0</v>
      </c>
      <c r="E55" s="1" t="s">
        <v>101</v>
      </c>
      <c r="F55" s="1" t="s">
        <v>77</v>
      </c>
      <c r="G55" s="33" t="s">
        <v>87</v>
      </c>
      <c r="H55" s="8">
        <f>H54*5</f>
        <v>50</v>
      </c>
      <c r="I55" s="8">
        <v>216</v>
      </c>
      <c r="J55" s="8">
        <f>I55*H55</f>
        <v>10800</v>
      </c>
      <c r="K55" s="8">
        <f>K54*5</f>
        <v>20</v>
      </c>
      <c r="L55" s="8">
        <f t="shared" ref="L55:L56" si="11">K55*I55*$F$10</f>
        <v>4493</v>
      </c>
      <c r="M55" s="8">
        <f>M54*5</f>
        <v>20</v>
      </c>
      <c r="N55" s="8">
        <f>M55*I55*$F$10*$F$10</f>
        <v>4673</v>
      </c>
      <c r="O55" s="8">
        <f>O54*5</f>
        <v>20</v>
      </c>
      <c r="P55" s="8">
        <f>O55*I55*$F$10*$F$10*$F$10</f>
        <v>4859</v>
      </c>
      <c r="Q55" s="8">
        <f>Q54*5</f>
        <v>10</v>
      </c>
      <c r="R55" s="8">
        <f>Q55*I55*$F$10*$F$10*$F$10*$F$10</f>
        <v>2527</v>
      </c>
      <c r="S55" s="8">
        <f>J55+L55+N55+P55+R55</f>
        <v>27352</v>
      </c>
      <c r="T55" s="8" t="s">
        <v>83</v>
      </c>
      <c r="U55" s="8">
        <f>SUM(S55:T55)</f>
        <v>27352</v>
      </c>
    </row>
    <row r="56" spans="1:21" ht="10.199999999999999" x14ac:dyDescent="0.35">
      <c r="A56" s="33" t="s">
        <v>102</v>
      </c>
      <c r="B56" s="33">
        <v>86000</v>
      </c>
      <c r="C56" s="33" t="s">
        <v>40</v>
      </c>
      <c r="D56" s="33">
        <v>0</v>
      </c>
      <c r="E56" s="1" t="s">
        <v>103</v>
      </c>
      <c r="F56" s="1" t="s">
        <v>77</v>
      </c>
      <c r="G56" s="33" t="s">
        <v>87</v>
      </c>
      <c r="H56" s="8">
        <f>H54*5</f>
        <v>50</v>
      </c>
      <c r="I56" s="8">
        <v>60</v>
      </c>
      <c r="J56" s="8">
        <f>I56*H56</f>
        <v>3000</v>
      </c>
      <c r="K56" s="8">
        <f>K54*5</f>
        <v>20</v>
      </c>
      <c r="L56" s="8">
        <f t="shared" si="11"/>
        <v>1248</v>
      </c>
      <c r="M56" s="8">
        <f>M54*5</f>
        <v>20</v>
      </c>
      <c r="N56" s="8">
        <f>M56*I56*$F$10*$F$10</f>
        <v>1298</v>
      </c>
      <c r="O56" s="8">
        <f>O54*5</f>
        <v>20</v>
      </c>
      <c r="P56" s="8">
        <f>O56*I56*$F$10*$F$10*$F$10</f>
        <v>1350</v>
      </c>
      <c r="Q56" s="8">
        <f>Q54*5</f>
        <v>10</v>
      </c>
      <c r="R56" s="8">
        <f>Q56*I56*$F$10*$F$10*$F$10*$F$10</f>
        <v>702</v>
      </c>
      <c r="S56" s="8">
        <f>J56+L56+N56+P56+R56</f>
        <v>7598</v>
      </c>
      <c r="T56" s="8" t="s">
        <v>83</v>
      </c>
      <c r="U56" s="8">
        <f>SUM(S56:T56)</f>
        <v>7598</v>
      </c>
    </row>
    <row r="57" spans="1:21" ht="10.199999999999999" x14ac:dyDescent="0.35">
      <c r="A57" s="68"/>
      <c r="B57" s="68"/>
      <c r="C57" s="68"/>
      <c r="D57" s="68"/>
      <c r="E57" s="61" t="s">
        <v>104</v>
      </c>
      <c r="F57" s="61"/>
      <c r="G57" s="68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</row>
    <row r="58" spans="1:21" ht="20.399999999999999" x14ac:dyDescent="0.35">
      <c r="A58" s="33" t="s">
        <v>105</v>
      </c>
      <c r="B58" s="33" t="s">
        <v>85</v>
      </c>
      <c r="C58" s="33" t="s">
        <v>40</v>
      </c>
      <c r="D58" s="33">
        <v>0</v>
      </c>
      <c r="E58" s="12" t="s">
        <v>106</v>
      </c>
      <c r="F58" s="1" t="s">
        <v>77</v>
      </c>
      <c r="G58" s="12" t="s">
        <v>87</v>
      </c>
      <c r="H58" s="8">
        <v>10</v>
      </c>
      <c r="I58" s="8">
        <v>110</v>
      </c>
      <c r="J58" s="8">
        <f>(H58*I58)</f>
        <v>1100</v>
      </c>
      <c r="K58" s="8">
        <v>10</v>
      </c>
      <c r="L58" s="8">
        <f>K58*I58*$F$10</f>
        <v>1144</v>
      </c>
      <c r="M58" s="8">
        <v>10</v>
      </c>
      <c r="N58" s="8">
        <f>M58*I58*$F$10*$F$10</f>
        <v>1190</v>
      </c>
      <c r="O58" s="8">
        <v>10</v>
      </c>
      <c r="P58" s="8">
        <f>O58*I58*$F$10*$F$10*$F$10</f>
        <v>1237</v>
      </c>
      <c r="Q58" s="8">
        <v>2</v>
      </c>
      <c r="R58" s="8">
        <f>Q58*I58*$F$10*$F$10*$F$10*$F$10</f>
        <v>257</v>
      </c>
      <c r="S58" s="8">
        <f>J58+L58+N58+P58+R58</f>
        <v>4928</v>
      </c>
      <c r="T58" s="8">
        <v>0</v>
      </c>
      <c r="U58" s="8">
        <f>SUM(S58:T58)</f>
        <v>4928</v>
      </c>
    </row>
    <row r="59" spans="1:21" ht="10.199999999999999" x14ac:dyDescent="0.35">
      <c r="A59" s="33" t="s">
        <v>107</v>
      </c>
      <c r="B59" s="33">
        <v>86000</v>
      </c>
      <c r="C59" s="33" t="s">
        <v>40</v>
      </c>
      <c r="D59" s="33">
        <v>0</v>
      </c>
      <c r="E59" s="12" t="s">
        <v>108</v>
      </c>
      <c r="F59" s="1" t="s">
        <v>77</v>
      </c>
      <c r="G59" s="33" t="s">
        <v>87</v>
      </c>
      <c r="H59" s="8">
        <v>10</v>
      </c>
      <c r="I59" s="8">
        <v>60</v>
      </c>
      <c r="J59" s="8">
        <f>H59*I59</f>
        <v>600</v>
      </c>
      <c r="K59" s="8">
        <v>10</v>
      </c>
      <c r="L59" s="8">
        <f t="shared" ref="L59:L60" si="12">K59*I59*$F$10</f>
        <v>624</v>
      </c>
      <c r="M59" s="8">
        <v>10</v>
      </c>
      <c r="N59" s="8">
        <f>M59*I59*$F$10*$F$10</f>
        <v>649</v>
      </c>
      <c r="O59" s="8">
        <v>10</v>
      </c>
      <c r="P59" s="8">
        <f>O59*I59*$F$10*$F$10*$F$10</f>
        <v>675</v>
      </c>
      <c r="Q59" s="8">
        <v>2</v>
      </c>
      <c r="R59" s="8">
        <f>Q59*I59*$F$10*$F$10*$F$10*$F$10</f>
        <v>140</v>
      </c>
      <c r="S59" s="8">
        <f>J59+L59+N59+P59+R59</f>
        <v>2688</v>
      </c>
      <c r="T59" s="8">
        <v>0</v>
      </c>
      <c r="U59" s="8">
        <f>SUM(S59:T59)</f>
        <v>2688</v>
      </c>
    </row>
    <row r="60" spans="1:21" ht="10.199999999999999" x14ac:dyDescent="0.35">
      <c r="A60" s="33" t="s">
        <v>109</v>
      </c>
      <c r="B60" s="33">
        <v>86040</v>
      </c>
      <c r="C60" s="33" t="s">
        <v>40</v>
      </c>
      <c r="D60" s="33">
        <v>0</v>
      </c>
      <c r="E60" s="12" t="s">
        <v>110</v>
      </c>
      <c r="F60" s="1" t="s">
        <v>77</v>
      </c>
      <c r="G60" s="33" t="s">
        <v>82</v>
      </c>
      <c r="H60" s="8">
        <v>12</v>
      </c>
      <c r="I60" s="8">
        <v>600</v>
      </c>
      <c r="J60" s="8">
        <f>(I60*H60)</f>
        <v>7200</v>
      </c>
      <c r="K60" s="8">
        <v>8</v>
      </c>
      <c r="L60" s="8">
        <f t="shared" si="12"/>
        <v>4992</v>
      </c>
      <c r="M60" s="8">
        <v>8</v>
      </c>
      <c r="N60" s="8">
        <f>M60*I60*$F$10*$F$10</f>
        <v>5192</v>
      </c>
      <c r="O60" s="8">
        <v>8</v>
      </c>
      <c r="P60" s="8">
        <f>O60*I60*$F$10*$F$10*$F$10</f>
        <v>5399</v>
      </c>
      <c r="Q60" s="8">
        <v>1</v>
      </c>
      <c r="R60" s="8">
        <f>Q60*I60*$F$10*$F$10*$F$10*$F$10</f>
        <v>702</v>
      </c>
      <c r="S60" s="8">
        <f>J60+L60+N60+P60+R60</f>
        <v>23485</v>
      </c>
      <c r="T60" s="8">
        <v>0</v>
      </c>
      <c r="U60" s="8">
        <f>SUM(S60:T60)</f>
        <v>23485</v>
      </c>
    </row>
    <row r="61" spans="1:21" ht="10.199999999999999" x14ac:dyDescent="0.35">
      <c r="A61" s="33"/>
      <c r="B61" s="33"/>
      <c r="C61" s="33"/>
      <c r="D61" s="33"/>
      <c r="E61" s="12"/>
      <c r="G61" s="3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0.8" thickBot="1" x14ac:dyDescent="0.45">
      <c r="A62" s="34"/>
      <c r="B62" s="34"/>
      <c r="C62" s="34"/>
      <c r="D62" s="34"/>
      <c r="E62" s="18" t="s">
        <v>111</v>
      </c>
      <c r="F62" s="18"/>
      <c r="G62" s="29"/>
      <c r="H62" s="29"/>
      <c r="I62" s="30"/>
      <c r="J62" s="19">
        <f>SUM(J45:J60)</f>
        <v>31890</v>
      </c>
      <c r="K62" s="19"/>
      <c r="L62" s="19">
        <f>SUM(L45:L60)</f>
        <v>24024</v>
      </c>
      <c r="M62" s="19"/>
      <c r="N62" s="19">
        <f>SUM(N45:N60)</f>
        <v>20227</v>
      </c>
      <c r="O62" s="19"/>
      <c r="P62" s="19">
        <f>SUM(P45:P60)</f>
        <v>21034</v>
      </c>
      <c r="Q62" s="19"/>
      <c r="R62" s="19">
        <f>SUM(R45:R60)</f>
        <v>10622</v>
      </c>
      <c r="S62" s="19">
        <f>SUM(S45:S60)</f>
        <v>107797</v>
      </c>
      <c r="T62" s="19">
        <f>SUM(T45:T60)</f>
        <v>0</v>
      </c>
      <c r="U62" s="31">
        <f>SUM(S62:T62)</f>
        <v>107797</v>
      </c>
    </row>
    <row r="63" spans="1:21" ht="10.5" x14ac:dyDescent="0.4">
      <c r="A63" s="172"/>
      <c r="B63" s="172"/>
      <c r="C63" s="172"/>
      <c r="D63" s="172"/>
      <c r="E63" s="39" t="s">
        <v>112</v>
      </c>
      <c r="F63" s="39"/>
      <c r="G63" s="39"/>
      <c r="H63" s="39"/>
      <c r="I63" s="40"/>
      <c r="J63" s="11"/>
      <c r="K63" s="11"/>
      <c r="L63" s="11"/>
      <c r="M63" s="11"/>
      <c r="N63" s="11"/>
      <c r="O63" s="11"/>
      <c r="P63" s="11"/>
      <c r="Q63" s="11"/>
      <c r="R63" s="11"/>
      <c r="S63" s="89"/>
      <c r="T63" s="11"/>
      <c r="U63" s="89"/>
    </row>
    <row r="64" spans="1:21" ht="10.199999999999999" x14ac:dyDescent="0.35">
      <c r="A64" s="12" t="s">
        <v>113</v>
      </c>
      <c r="B64" s="12">
        <v>85200</v>
      </c>
      <c r="C64" s="12" t="s">
        <v>40</v>
      </c>
      <c r="D64" s="12">
        <v>0</v>
      </c>
      <c r="E64" s="1" t="s">
        <v>114</v>
      </c>
      <c r="F64" s="12" t="s">
        <v>112</v>
      </c>
      <c r="G64" s="1" t="s">
        <v>115</v>
      </c>
      <c r="H64" s="8"/>
      <c r="I64" s="8"/>
      <c r="J64" s="8">
        <f>H64*I64</f>
        <v>0</v>
      </c>
      <c r="K64" s="8">
        <v>0</v>
      </c>
      <c r="L64" s="8">
        <f>K64*I64*$F$10</f>
        <v>0</v>
      </c>
      <c r="M64" s="8">
        <v>0</v>
      </c>
      <c r="N64" s="8">
        <f>M64*I64*$F$10*$F$10</f>
        <v>0</v>
      </c>
      <c r="O64" s="8">
        <v>0</v>
      </c>
      <c r="P64" s="8">
        <f>O64*I64*$F$10*$F$10*$F$10</f>
        <v>0</v>
      </c>
      <c r="Q64" s="8">
        <v>0</v>
      </c>
      <c r="R64" s="8">
        <f>Q64*I64*$F$10*$F$10*$F$10*$F$10</f>
        <v>0</v>
      </c>
      <c r="S64" s="8">
        <f>J64+L64+N64+P64+R64</f>
        <v>0</v>
      </c>
      <c r="T64" s="8">
        <v>0</v>
      </c>
      <c r="U64" s="8">
        <f>SUM(S64:T64)</f>
        <v>0</v>
      </c>
    </row>
    <row r="65" spans="1:21" ht="10.199999999999999" x14ac:dyDescent="0.35">
      <c r="A65" s="33"/>
      <c r="B65" s="33"/>
      <c r="C65" s="33"/>
      <c r="D65" s="33"/>
      <c r="E65" s="12"/>
      <c r="G65" s="3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0.8" thickBot="1" x14ac:dyDescent="0.45">
      <c r="A66" s="34"/>
      <c r="B66" s="34"/>
      <c r="C66" s="34"/>
      <c r="D66" s="34"/>
      <c r="E66" s="18" t="s">
        <v>116</v>
      </c>
      <c r="F66" s="18"/>
      <c r="G66" s="29"/>
      <c r="H66" s="29"/>
      <c r="I66" s="30"/>
      <c r="J66" s="19">
        <f>SUM(J64)</f>
        <v>0</v>
      </c>
      <c r="K66" s="19"/>
      <c r="L66" s="19">
        <f>SUM(L64)</f>
        <v>0</v>
      </c>
      <c r="M66" s="19"/>
      <c r="N66" s="19">
        <f>SUM(N64)</f>
        <v>0</v>
      </c>
      <c r="O66" s="19"/>
      <c r="P66" s="19">
        <f>SUM(P64)</f>
        <v>0</v>
      </c>
      <c r="Q66" s="19"/>
      <c r="R66" s="19">
        <f>SUM(R64)</f>
        <v>0</v>
      </c>
      <c r="S66" s="19">
        <f>J66+L66+N66+P66+R66</f>
        <v>0</v>
      </c>
      <c r="T66" s="19">
        <f>SUM(T64)</f>
        <v>0</v>
      </c>
      <c r="U66" s="31">
        <f>SUM(S66:T66)</f>
        <v>0</v>
      </c>
    </row>
    <row r="67" spans="1:21" ht="10.5" x14ac:dyDescent="0.4">
      <c r="A67" s="172"/>
      <c r="B67" s="172"/>
      <c r="C67" s="172"/>
      <c r="D67" s="172"/>
      <c r="E67" s="39" t="s">
        <v>117</v>
      </c>
      <c r="F67" s="39"/>
      <c r="G67" s="39"/>
      <c r="H67" s="39"/>
      <c r="I67" s="40"/>
      <c r="J67" s="11"/>
      <c r="K67" s="11"/>
      <c r="L67" s="11"/>
      <c r="M67" s="11"/>
      <c r="N67" s="11"/>
      <c r="O67" s="11"/>
      <c r="P67" s="11"/>
      <c r="Q67" s="11"/>
      <c r="R67" s="11"/>
      <c r="S67" s="89"/>
      <c r="T67" s="11"/>
      <c r="U67" s="89"/>
    </row>
    <row r="68" spans="1:21" ht="10.5" x14ac:dyDescent="0.4">
      <c r="A68" s="101"/>
      <c r="B68" s="101"/>
      <c r="C68" s="101"/>
      <c r="D68" s="101"/>
      <c r="E68" s="61" t="s">
        <v>118</v>
      </c>
      <c r="F68" s="77"/>
      <c r="G68" s="77"/>
      <c r="H68" s="77"/>
      <c r="I68" s="74"/>
      <c r="J68" s="75"/>
      <c r="K68" s="75"/>
      <c r="L68" s="75"/>
      <c r="M68" s="75"/>
      <c r="N68" s="75"/>
      <c r="O68" s="75"/>
      <c r="P68" s="75"/>
      <c r="Q68" s="75"/>
      <c r="R68" s="75"/>
      <c r="S68" s="88"/>
      <c r="T68" s="75"/>
      <c r="U68" s="88"/>
    </row>
    <row r="69" spans="1:21" ht="10.199999999999999" x14ac:dyDescent="0.35">
      <c r="A69" s="12" t="s">
        <v>119</v>
      </c>
      <c r="B69" s="12">
        <v>82401</v>
      </c>
      <c r="C69" s="12" t="s">
        <v>40</v>
      </c>
      <c r="D69" s="12">
        <v>0</v>
      </c>
      <c r="E69" s="1" t="s">
        <v>120</v>
      </c>
      <c r="F69" s="12" t="s">
        <v>121</v>
      </c>
      <c r="G69" s="1" t="s">
        <v>115</v>
      </c>
      <c r="H69" s="8">
        <v>12</v>
      </c>
      <c r="I69" s="273">
        <v>1200</v>
      </c>
      <c r="J69" s="8">
        <f>H69*I69</f>
        <v>14400</v>
      </c>
      <c r="K69" s="8"/>
      <c r="L69" s="8">
        <f t="shared" ref="L69" si="13">K69*I69*$F$10</f>
        <v>0</v>
      </c>
      <c r="M69" s="8">
        <v>0</v>
      </c>
      <c r="N69" s="8">
        <f t="shared" ref="N69:N80" si="14">M69*I69*$F$10*$F$10</f>
        <v>0</v>
      </c>
      <c r="O69" s="8">
        <v>0</v>
      </c>
      <c r="P69" s="8">
        <f t="shared" ref="P69:P80" si="15">O69*I69*$F$10*$F$10*$F$10</f>
        <v>0</v>
      </c>
      <c r="Q69" s="8">
        <v>0</v>
      </c>
      <c r="R69" s="8">
        <f t="shared" ref="R69:R80" si="16">Q69*I69*$F$10*$F$10*$F$10*$F$10</f>
        <v>0</v>
      </c>
      <c r="S69" s="8">
        <f t="shared" ref="S69:S80" si="17">J69+L69+N69+P69+R69</f>
        <v>14400</v>
      </c>
      <c r="T69" s="8">
        <v>0</v>
      </c>
      <c r="U69" s="8">
        <f>SUM(S69:T69)</f>
        <v>14400</v>
      </c>
    </row>
    <row r="70" spans="1:21" ht="10.199999999999999" x14ac:dyDescent="0.35">
      <c r="A70" s="12" t="s">
        <v>122</v>
      </c>
      <c r="B70" s="12">
        <v>90900</v>
      </c>
      <c r="C70" s="12" t="s">
        <v>40</v>
      </c>
      <c r="D70" s="12">
        <v>0</v>
      </c>
      <c r="E70" s="12" t="s">
        <v>123</v>
      </c>
      <c r="F70" s="12" t="s">
        <v>124</v>
      </c>
      <c r="G70" s="33" t="s">
        <v>38</v>
      </c>
      <c r="H70" s="8">
        <v>12</v>
      </c>
      <c r="I70" s="8">
        <v>50</v>
      </c>
      <c r="J70" s="8">
        <f t="shared" ref="J70:J78" si="18">H70*I70</f>
        <v>600</v>
      </c>
      <c r="K70" s="8">
        <v>12</v>
      </c>
      <c r="L70" s="8">
        <f>K70*I70*$F$10</f>
        <v>624</v>
      </c>
      <c r="M70" s="8">
        <v>12</v>
      </c>
      <c r="N70" s="8">
        <f t="shared" si="14"/>
        <v>649</v>
      </c>
      <c r="O70" s="8">
        <v>12</v>
      </c>
      <c r="P70" s="8">
        <f t="shared" si="15"/>
        <v>675</v>
      </c>
      <c r="Q70" s="8">
        <v>6</v>
      </c>
      <c r="R70" s="8">
        <f t="shared" si="16"/>
        <v>351</v>
      </c>
      <c r="S70" s="8">
        <f t="shared" si="17"/>
        <v>2899</v>
      </c>
      <c r="T70" s="8">
        <v>0</v>
      </c>
      <c r="U70" s="8">
        <f t="shared" ref="U70:U80" si="19">SUM(S70:T70)</f>
        <v>2899</v>
      </c>
    </row>
    <row r="71" spans="1:21" ht="10.199999999999999" x14ac:dyDescent="0.35">
      <c r="A71" s="12" t="s">
        <v>125</v>
      </c>
      <c r="B71" s="12">
        <v>82350</v>
      </c>
      <c r="C71" s="12" t="s">
        <v>40</v>
      </c>
      <c r="D71" s="12">
        <v>0</v>
      </c>
      <c r="E71" s="12" t="s">
        <v>126</v>
      </c>
      <c r="F71" s="12" t="s">
        <v>124</v>
      </c>
      <c r="G71" s="33" t="s">
        <v>127</v>
      </c>
      <c r="H71" s="8">
        <v>1</v>
      </c>
      <c r="I71" s="8">
        <v>70</v>
      </c>
      <c r="J71" s="8">
        <f t="shared" si="18"/>
        <v>70</v>
      </c>
      <c r="K71" s="8">
        <v>1</v>
      </c>
      <c r="L71" s="8">
        <f t="shared" ref="L71:L80" si="20">K71*I71*$F$10</f>
        <v>73</v>
      </c>
      <c r="M71" s="8">
        <v>1</v>
      </c>
      <c r="N71" s="8">
        <f t="shared" si="14"/>
        <v>76</v>
      </c>
      <c r="O71" s="8">
        <v>1</v>
      </c>
      <c r="P71" s="8">
        <f t="shared" si="15"/>
        <v>79</v>
      </c>
      <c r="Q71" s="257">
        <v>0.5</v>
      </c>
      <c r="R71" s="8">
        <f t="shared" si="16"/>
        <v>41</v>
      </c>
      <c r="S71" s="8">
        <f t="shared" si="17"/>
        <v>339</v>
      </c>
      <c r="T71" s="8">
        <v>0</v>
      </c>
      <c r="U71" s="8">
        <f t="shared" si="19"/>
        <v>339</v>
      </c>
    </row>
    <row r="72" spans="1:21" ht="20.399999999999999" x14ac:dyDescent="0.35">
      <c r="A72" s="12" t="s">
        <v>128</v>
      </c>
      <c r="B72" s="12">
        <v>90450</v>
      </c>
      <c r="C72" s="12" t="s">
        <v>40</v>
      </c>
      <c r="D72" s="12">
        <v>0</v>
      </c>
      <c r="E72" s="12" t="s">
        <v>129</v>
      </c>
      <c r="F72" s="12" t="s">
        <v>124</v>
      </c>
      <c r="G72" s="33" t="s">
        <v>130</v>
      </c>
      <c r="H72" s="8">
        <v>9</v>
      </c>
      <c r="I72" s="8">
        <v>650</v>
      </c>
      <c r="J72" s="8">
        <f>H72*I72</f>
        <v>5850</v>
      </c>
      <c r="K72" s="8">
        <v>1</v>
      </c>
      <c r="L72" s="8">
        <f t="shared" si="20"/>
        <v>676</v>
      </c>
      <c r="M72" s="8">
        <v>1</v>
      </c>
      <c r="N72" s="8">
        <f t="shared" si="14"/>
        <v>703</v>
      </c>
      <c r="O72" s="8">
        <v>1</v>
      </c>
      <c r="P72" s="8">
        <f t="shared" si="15"/>
        <v>731</v>
      </c>
      <c r="Q72" s="8">
        <v>0</v>
      </c>
      <c r="R72" s="8">
        <f t="shared" si="16"/>
        <v>0</v>
      </c>
      <c r="S72" s="8">
        <f t="shared" si="17"/>
        <v>7960</v>
      </c>
      <c r="T72" s="8">
        <v>0</v>
      </c>
      <c r="U72" s="8">
        <f t="shared" si="19"/>
        <v>7960</v>
      </c>
    </row>
    <row r="73" spans="1:21" ht="10.199999999999999" x14ac:dyDescent="0.35">
      <c r="A73" s="12" t="s">
        <v>131</v>
      </c>
      <c r="B73" s="12">
        <v>82401</v>
      </c>
      <c r="C73" s="12" t="s">
        <v>40</v>
      </c>
      <c r="D73" s="12">
        <v>0</v>
      </c>
      <c r="E73" s="12" t="s">
        <v>132</v>
      </c>
      <c r="F73" s="12" t="s">
        <v>121</v>
      </c>
      <c r="G73" s="33" t="s">
        <v>38</v>
      </c>
      <c r="H73" s="8">
        <v>6</v>
      </c>
      <c r="I73" s="8">
        <v>375</v>
      </c>
      <c r="J73" s="8">
        <f>I73*H73</f>
        <v>2250</v>
      </c>
      <c r="K73" s="8">
        <v>12</v>
      </c>
      <c r="L73" s="8">
        <f t="shared" si="20"/>
        <v>4680</v>
      </c>
      <c r="M73" s="8">
        <v>12</v>
      </c>
      <c r="N73" s="8">
        <f t="shared" si="14"/>
        <v>4867</v>
      </c>
      <c r="O73" s="8">
        <v>12</v>
      </c>
      <c r="P73" s="8">
        <f t="shared" si="15"/>
        <v>5062</v>
      </c>
      <c r="Q73" s="8">
        <v>3</v>
      </c>
      <c r="R73" s="8">
        <f t="shared" si="16"/>
        <v>1316</v>
      </c>
      <c r="S73" s="8">
        <f t="shared" si="17"/>
        <v>18175</v>
      </c>
      <c r="T73" s="8">
        <v>0</v>
      </c>
      <c r="U73" s="8">
        <f t="shared" si="19"/>
        <v>18175</v>
      </c>
    </row>
    <row r="74" spans="1:21" ht="10.199999999999999" x14ac:dyDescent="0.35">
      <c r="A74" s="33" t="s">
        <v>133</v>
      </c>
      <c r="B74" s="12">
        <v>82030</v>
      </c>
      <c r="C74" s="12" t="s">
        <v>40</v>
      </c>
      <c r="D74" s="12">
        <v>0</v>
      </c>
      <c r="E74" s="12" t="s">
        <v>134</v>
      </c>
      <c r="F74" s="12" t="s">
        <v>124</v>
      </c>
      <c r="G74" s="33" t="s">
        <v>38</v>
      </c>
      <c r="H74" s="8">
        <v>3</v>
      </c>
      <c r="I74" s="8">
        <v>1200</v>
      </c>
      <c r="J74" s="8">
        <f t="shared" ref="J74" si="21">H74*I74</f>
        <v>3600</v>
      </c>
      <c r="K74" s="8">
        <v>12</v>
      </c>
      <c r="L74" s="8">
        <f t="shared" si="20"/>
        <v>14976</v>
      </c>
      <c r="M74" s="8">
        <v>12</v>
      </c>
      <c r="N74" s="8">
        <f t="shared" si="14"/>
        <v>15575</v>
      </c>
      <c r="O74" s="8">
        <v>12</v>
      </c>
      <c r="P74" s="8">
        <f t="shared" si="15"/>
        <v>16198</v>
      </c>
      <c r="Q74" s="8">
        <v>4</v>
      </c>
      <c r="R74" s="8">
        <f t="shared" si="16"/>
        <v>5615</v>
      </c>
      <c r="S74" s="8">
        <f t="shared" si="17"/>
        <v>55964</v>
      </c>
      <c r="T74" s="8">
        <v>0</v>
      </c>
      <c r="U74" s="8">
        <f t="shared" ref="U74" si="22">SUM(S74:T74)</f>
        <v>55964</v>
      </c>
    </row>
    <row r="75" spans="1:21" ht="10.199999999999999" x14ac:dyDescent="0.35">
      <c r="A75" s="12" t="s">
        <v>135</v>
      </c>
      <c r="B75" s="33">
        <v>85180</v>
      </c>
      <c r="C75" s="12" t="s">
        <v>40</v>
      </c>
      <c r="D75" s="12">
        <v>0</v>
      </c>
      <c r="E75" s="12" t="s">
        <v>136</v>
      </c>
      <c r="F75" s="12" t="s">
        <v>124</v>
      </c>
      <c r="G75" s="33" t="s">
        <v>38</v>
      </c>
      <c r="H75" s="8">
        <v>12</v>
      </c>
      <c r="I75" s="8">
        <v>3350</v>
      </c>
      <c r="J75" s="8">
        <f>H75*I75</f>
        <v>40200</v>
      </c>
      <c r="K75" s="8">
        <v>12</v>
      </c>
      <c r="L75" s="8">
        <f t="shared" si="20"/>
        <v>41808</v>
      </c>
      <c r="M75" s="8">
        <v>12</v>
      </c>
      <c r="N75" s="8">
        <f>M75*I75*$F$10*$F$10</f>
        <v>43480</v>
      </c>
      <c r="O75" s="8">
        <v>12</v>
      </c>
      <c r="P75" s="8">
        <f t="shared" si="15"/>
        <v>45220</v>
      </c>
      <c r="Q75" s="8">
        <v>3</v>
      </c>
      <c r="R75" s="8">
        <f t="shared" si="16"/>
        <v>11757</v>
      </c>
      <c r="S75" s="8">
        <f t="shared" si="17"/>
        <v>182465</v>
      </c>
      <c r="T75" s="8">
        <v>0</v>
      </c>
      <c r="U75" s="8">
        <f t="shared" si="19"/>
        <v>182465</v>
      </c>
    </row>
    <row r="76" spans="1:21" ht="10.199999999999999" x14ac:dyDescent="0.35">
      <c r="A76" s="12" t="s">
        <v>135</v>
      </c>
      <c r="B76" s="33">
        <v>85180</v>
      </c>
      <c r="C76" s="12" t="s">
        <v>40</v>
      </c>
      <c r="D76" s="12">
        <v>0</v>
      </c>
      <c r="E76" s="12" t="s">
        <v>137</v>
      </c>
      <c r="F76" s="12" t="s">
        <v>124</v>
      </c>
      <c r="G76" s="33" t="s">
        <v>38</v>
      </c>
      <c r="H76" s="8">
        <v>4</v>
      </c>
      <c r="I76" s="8">
        <v>420</v>
      </c>
      <c r="J76" s="8">
        <f t="shared" ref="J76" si="23">H76*I76</f>
        <v>1680</v>
      </c>
      <c r="K76" s="8">
        <v>12</v>
      </c>
      <c r="L76" s="8">
        <f t="shared" si="20"/>
        <v>5242</v>
      </c>
      <c r="M76" s="8">
        <v>12</v>
      </c>
      <c r="N76" s="8">
        <f t="shared" si="14"/>
        <v>5451</v>
      </c>
      <c r="O76" s="8">
        <v>12</v>
      </c>
      <c r="P76" s="8">
        <f t="shared" si="15"/>
        <v>5669</v>
      </c>
      <c r="Q76" s="8">
        <v>3</v>
      </c>
      <c r="R76" s="8">
        <f t="shared" si="16"/>
        <v>1474</v>
      </c>
      <c r="S76" s="8">
        <f t="shared" si="17"/>
        <v>19516</v>
      </c>
      <c r="T76" s="8">
        <v>0</v>
      </c>
      <c r="U76" s="8">
        <f t="shared" ref="U76" si="24">SUM(S76:T76)</f>
        <v>19516</v>
      </c>
    </row>
    <row r="77" spans="1:21" ht="10.199999999999999" x14ac:dyDescent="0.35">
      <c r="A77" s="12" t="s">
        <v>135</v>
      </c>
      <c r="B77" s="33">
        <v>85180</v>
      </c>
      <c r="C77" s="12" t="s">
        <v>40</v>
      </c>
      <c r="D77" s="12">
        <v>0</v>
      </c>
      <c r="E77" s="12" t="s">
        <v>138</v>
      </c>
      <c r="F77" s="12" t="s">
        <v>124</v>
      </c>
      <c r="G77" s="33" t="s">
        <v>38</v>
      </c>
      <c r="H77" s="8">
        <v>4</v>
      </c>
      <c r="I77" s="8">
        <v>420</v>
      </c>
      <c r="J77" s="8">
        <f t="shared" ref="J77" si="25">H77*I77</f>
        <v>1680</v>
      </c>
      <c r="K77" s="8">
        <v>12</v>
      </c>
      <c r="L77" s="8">
        <f t="shared" si="20"/>
        <v>5242</v>
      </c>
      <c r="M77" s="8">
        <v>12</v>
      </c>
      <c r="N77" s="8">
        <f t="shared" si="14"/>
        <v>5451</v>
      </c>
      <c r="O77" s="8">
        <v>12</v>
      </c>
      <c r="P77" s="8">
        <f t="shared" si="15"/>
        <v>5669</v>
      </c>
      <c r="Q77" s="8">
        <v>3</v>
      </c>
      <c r="R77" s="8">
        <f t="shared" si="16"/>
        <v>1474</v>
      </c>
      <c r="S77" s="8">
        <f t="shared" si="17"/>
        <v>19516</v>
      </c>
      <c r="T77" s="8">
        <v>0</v>
      </c>
      <c r="U77" s="8">
        <f t="shared" ref="U77" si="26">SUM(S77:T77)</f>
        <v>19516</v>
      </c>
    </row>
    <row r="78" spans="1:21" ht="10.199999999999999" x14ac:dyDescent="0.35">
      <c r="A78" s="12" t="s">
        <v>139</v>
      </c>
      <c r="B78" s="33">
        <v>89500</v>
      </c>
      <c r="C78" s="12" t="s">
        <v>40</v>
      </c>
      <c r="D78" s="12">
        <v>0</v>
      </c>
      <c r="E78" s="12" t="s">
        <v>140</v>
      </c>
      <c r="F78" s="12" t="s">
        <v>124</v>
      </c>
      <c r="G78" s="33" t="s">
        <v>127</v>
      </c>
      <c r="H78" s="8">
        <v>1</v>
      </c>
      <c r="I78" s="8">
        <v>300</v>
      </c>
      <c r="J78" s="8">
        <f t="shared" si="18"/>
        <v>300</v>
      </c>
      <c r="K78" s="8">
        <v>1</v>
      </c>
      <c r="L78" s="8">
        <f t="shared" si="20"/>
        <v>312</v>
      </c>
      <c r="M78" s="8">
        <v>1</v>
      </c>
      <c r="N78" s="8">
        <f t="shared" si="14"/>
        <v>324</v>
      </c>
      <c r="O78" s="8">
        <v>1</v>
      </c>
      <c r="P78" s="8">
        <f t="shared" si="15"/>
        <v>337</v>
      </c>
      <c r="Q78" s="257">
        <v>0.5</v>
      </c>
      <c r="R78" s="8">
        <f t="shared" si="16"/>
        <v>175</v>
      </c>
      <c r="S78" s="8">
        <f t="shared" si="17"/>
        <v>1448</v>
      </c>
      <c r="T78" s="8">
        <v>0</v>
      </c>
      <c r="U78" s="8">
        <f t="shared" si="19"/>
        <v>1448</v>
      </c>
    </row>
    <row r="79" spans="1:21" ht="10.199999999999999" x14ac:dyDescent="0.35">
      <c r="A79" s="33" t="s">
        <v>141</v>
      </c>
      <c r="B79" s="33">
        <v>90100</v>
      </c>
      <c r="C79" s="12" t="s">
        <v>40</v>
      </c>
      <c r="D79" s="12">
        <v>0</v>
      </c>
      <c r="E79" s="12" t="s">
        <v>142</v>
      </c>
      <c r="F79" s="12" t="s">
        <v>124</v>
      </c>
      <c r="G79" s="33" t="s">
        <v>127</v>
      </c>
      <c r="H79" s="8">
        <v>1</v>
      </c>
      <c r="I79" s="8">
        <v>2400</v>
      </c>
      <c r="J79" s="8">
        <f>I79*H79</f>
        <v>2400</v>
      </c>
      <c r="K79" s="8">
        <v>1</v>
      </c>
      <c r="L79" s="8">
        <f t="shared" si="20"/>
        <v>2496</v>
      </c>
      <c r="M79" s="8">
        <v>1</v>
      </c>
      <c r="N79" s="8">
        <f t="shared" si="14"/>
        <v>2596</v>
      </c>
      <c r="O79" s="8">
        <v>1</v>
      </c>
      <c r="P79" s="8">
        <f t="shared" si="15"/>
        <v>2700</v>
      </c>
      <c r="Q79" s="257">
        <v>0.5</v>
      </c>
      <c r="R79" s="8">
        <f t="shared" si="16"/>
        <v>1404</v>
      </c>
      <c r="S79" s="8">
        <f t="shared" si="17"/>
        <v>11596</v>
      </c>
      <c r="T79" s="8">
        <v>0</v>
      </c>
      <c r="U79" s="8">
        <f t="shared" si="19"/>
        <v>11596</v>
      </c>
    </row>
    <row r="80" spans="1:21" ht="10.199999999999999" x14ac:dyDescent="0.35">
      <c r="A80" s="33" t="s">
        <v>143</v>
      </c>
      <c r="B80" s="33">
        <v>81030</v>
      </c>
      <c r="C80" s="12" t="s">
        <v>40</v>
      </c>
      <c r="D80" s="12">
        <v>0</v>
      </c>
      <c r="E80" s="12" t="s">
        <v>144</v>
      </c>
      <c r="F80" s="12" t="s">
        <v>124</v>
      </c>
      <c r="G80" s="33" t="s">
        <v>38</v>
      </c>
      <c r="H80" s="8">
        <v>5</v>
      </c>
      <c r="I80" s="8">
        <v>350</v>
      </c>
      <c r="J80" s="8">
        <f>H80*I80</f>
        <v>1750</v>
      </c>
      <c r="K80" s="8">
        <v>12</v>
      </c>
      <c r="L80" s="8">
        <f t="shared" si="20"/>
        <v>4368</v>
      </c>
      <c r="M80" s="8">
        <v>12</v>
      </c>
      <c r="N80" s="8">
        <f t="shared" si="14"/>
        <v>4543</v>
      </c>
      <c r="O80" s="8">
        <v>12</v>
      </c>
      <c r="P80" s="8">
        <f t="shared" si="15"/>
        <v>4724</v>
      </c>
      <c r="Q80" s="8">
        <v>6</v>
      </c>
      <c r="R80" s="8">
        <f t="shared" si="16"/>
        <v>2457</v>
      </c>
      <c r="S80" s="8">
        <f t="shared" si="17"/>
        <v>17842</v>
      </c>
      <c r="T80" s="8" t="s">
        <v>145</v>
      </c>
      <c r="U80" s="8">
        <f t="shared" si="19"/>
        <v>17842</v>
      </c>
    </row>
    <row r="81" spans="1:21" ht="10.199999999999999" x14ac:dyDescent="0.35">
      <c r="A81" s="68"/>
      <c r="B81" s="68"/>
      <c r="C81" s="68"/>
      <c r="D81" s="68"/>
      <c r="E81" s="59" t="s">
        <v>146</v>
      </c>
      <c r="F81" s="73"/>
      <c r="G81" s="68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</row>
    <row r="82" spans="1:21" ht="10.199999999999999" x14ac:dyDescent="0.35">
      <c r="A82" s="12" t="s">
        <v>147</v>
      </c>
      <c r="B82" s="12">
        <v>82100</v>
      </c>
      <c r="C82" s="33" t="s">
        <v>40</v>
      </c>
      <c r="D82" s="33">
        <v>0</v>
      </c>
      <c r="E82" s="12" t="s">
        <v>148</v>
      </c>
      <c r="F82" s="12" t="s">
        <v>121</v>
      </c>
      <c r="G82" s="33" t="s">
        <v>127</v>
      </c>
      <c r="H82" s="8"/>
      <c r="I82" s="8">
        <v>4000</v>
      </c>
      <c r="J82" s="8">
        <f>H82*I82</f>
        <v>0</v>
      </c>
      <c r="K82" s="8">
        <v>1</v>
      </c>
      <c r="L82" s="8">
        <f>K82*I82*$F$9</f>
        <v>4120</v>
      </c>
      <c r="M82" s="8">
        <v>1</v>
      </c>
      <c r="N82" s="8">
        <f>M82*I82*$F$10*$F$10</f>
        <v>4326</v>
      </c>
      <c r="O82" s="8">
        <v>1</v>
      </c>
      <c r="P82" s="8">
        <f>O82*I82*$F$10*$F$10*$F$10</f>
        <v>4499</v>
      </c>
      <c r="Q82" s="8">
        <v>0</v>
      </c>
      <c r="R82" s="8">
        <f>Q82*I82*$F$10*$F$10*$F$10*$F$10</f>
        <v>0</v>
      </c>
      <c r="S82" s="8">
        <f>J82+L82+N82+P82+R82</f>
        <v>12945</v>
      </c>
      <c r="T82" s="8">
        <v>0</v>
      </c>
      <c r="U82" s="8">
        <f>SUM(S82:T82)</f>
        <v>12945</v>
      </c>
    </row>
    <row r="83" spans="1:21" ht="10.199999999999999" x14ac:dyDescent="0.35">
      <c r="A83" s="12" t="s">
        <v>149</v>
      </c>
      <c r="B83" s="12">
        <v>81010</v>
      </c>
      <c r="C83" s="33" t="s">
        <v>40</v>
      </c>
      <c r="D83" s="33">
        <v>0</v>
      </c>
      <c r="E83" s="12" t="s">
        <v>150</v>
      </c>
      <c r="F83" s="12" t="s">
        <v>121</v>
      </c>
      <c r="G83" s="33" t="s">
        <v>127</v>
      </c>
      <c r="H83" s="8">
        <v>0</v>
      </c>
      <c r="I83" s="8">
        <v>100000</v>
      </c>
      <c r="J83" s="8">
        <f>H83*I83</f>
        <v>0</v>
      </c>
      <c r="K83" s="8">
        <v>0</v>
      </c>
      <c r="L83" s="8">
        <f>K83*I83*$F$9</f>
        <v>0</v>
      </c>
      <c r="M83" s="8">
        <v>1</v>
      </c>
      <c r="N83" s="8">
        <f>M83*I83</f>
        <v>100000</v>
      </c>
      <c r="O83" s="8">
        <v>0</v>
      </c>
      <c r="P83" s="8">
        <f>O83*I83*$F$9*$F$9*$F$9</f>
        <v>0</v>
      </c>
      <c r="Q83" s="8">
        <v>0</v>
      </c>
      <c r="R83" s="8">
        <f>Q83*I83*$F$9*$F$9*$F$9*$F$9</f>
        <v>0</v>
      </c>
      <c r="S83" s="8">
        <f>J83+L83+N83+P83+R83</f>
        <v>100000</v>
      </c>
      <c r="T83" s="8">
        <v>0</v>
      </c>
      <c r="U83" s="8">
        <f>SUM(S83:T83)</f>
        <v>100000</v>
      </c>
    </row>
    <row r="84" spans="1:21" ht="10.199999999999999" x14ac:dyDescent="0.35">
      <c r="A84" s="68"/>
      <c r="B84" s="68"/>
      <c r="C84" s="68"/>
      <c r="D84" s="68"/>
      <c r="E84" s="59" t="s">
        <v>151</v>
      </c>
      <c r="F84" s="73"/>
      <c r="G84" s="68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</row>
    <row r="85" spans="1:21" ht="10.199999999999999" x14ac:dyDescent="0.35">
      <c r="A85" s="32" t="s">
        <v>152</v>
      </c>
      <c r="B85" s="32">
        <v>89400</v>
      </c>
      <c r="C85" s="33" t="s">
        <v>153</v>
      </c>
      <c r="D85" s="33">
        <v>0</v>
      </c>
      <c r="E85" s="12" t="s">
        <v>154</v>
      </c>
      <c r="F85" s="12" t="s">
        <v>121</v>
      </c>
      <c r="G85" s="32" t="s">
        <v>38</v>
      </c>
      <c r="H85" s="8">
        <v>12</v>
      </c>
      <c r="I85" s="8">
        <v>150</v>
      </c>
      <c r="J85" s="8">
        <f>H85*I85</f>
        <v>1800</v>
      </c>
      <c r="K85" s="8">
        <v>12</v>
      </c>
      <c r="L85" s="8">
        <f t="shared" ref="L85" si="27">K85*I85*$F$10</f>
        <v>1872</v>
      </c>
      <c r="M85" s="8">
        <v>12</v>
      </c>
      <c r="N85" s="8">
        <f>M85*I85*$F$9*$F$9</f>
        <v>1910</v>
      </c>
      <c r="O85" s="8">
        <v>12</v>
      </c>
      <c r="P85" s="8">
        <f>O85*I85*$F$9*$F$9*$F$9</f>
        <v>1967</v>
      </c>
      <c r="Q85" s="8">
        <v>6</v>
      </c>
      <c r="R85" s="8">
        <f>Q85*I85*$F$9*$F$9*$F$9*$F$9</f>
        <v>1013</v>
      </c>
      <c r="S85" s="8">
        <f>J85+L85+N85+P85+R85</f>
        <v>8562</v>
      </c>
      <c r="T85" s="8">
        <v>0</v>
      </c>
      <c r="U85" s="8">
        <f>SUM(S85:T85)</f>
        <v>8562</v>
      </c>
    </row>
    <row r="86" spans="1:21" ht="10.199999999999999" x14ac:dyDescent="0.35">
      <c r="A86" s="32" t="s">
        <v>152</v>
      </c>
      <c r="B86" s="32">
        <v>89400</v>
      </c>
      <c r="C86" s="33" t="s">
        <v>153</v>
      </c>
      <c r="D86" s="33">
        <v>0</v>
      </c>
      <c r="E86" s="12" t="s">
        <v>155</v>
      </c>
      <c r="F86" s="12" t="s">
        <v>121</v>
      </c>
      <c r="G86" s="32" t="s">
        <v>127</v>
      </c>
      <c r="H86" s="8"/>
      <c r="I86" s="8">
        <v>200</v>
      </c>
      <c r="J86" s="8">
        <f>H86*I86</f>
        <v>0</v>
      </c>
      <c r="K86" s="8">
        <v>1</v>
      </c>
      <c r="L86" s="8">
        <f>K86*I86*$F$9</f>
        <v>206</v>
      </c>
      <c r="M86" s="8">
        <v>1</v>
      </c>
      <c r="N86" s="8">
        <f>M86*I86*$F$9*$F$9</f>
        <v>212</v>
      </c>
      <c r="O86" s="8">
        <v>1</v>
      </c>
      <c r="P86" s="8">
        <f>O86*I86*$F$9*$F$9*$F$9</f>
        <v>219</v>
      </c>
      <c r="Q86" s="8">
        <v>1</v>
      </c>
      <c r="R86" s="8">
        <f>Q86*I86*$F$9*$F$9*$F$9*$F$9</f>
        <v>225</v>
      </c>
      <c r="S86" s="8">
        <f>J86+L86+N86+P86+R86</f>
        <v>862</v>
      </c>
      <c r="T86" s="8">
        <v>0</v>
      </c>
      <c r="U86" s="8">
        <f>SUM(S86:T86)</f>
        <v>862</v>
      </c>
    </row>
    <row r="87" spans="1:21" ht="10.199999999999999" x14ac:dyDescent="0.35">
      <c r="A87" s="33"/>
      <c r="B87" s="33"/>
      <c r="C87" s="33"/>
      <c r="D87" s="33"/>
      <c r="E87" s="12"/>
      <c r="F87" s="12"/>
      <c r="G87" s="33"/>
    </row>
    <row r="88" spans="1:21" ht="10.8" thickBot="1" x14ac:dyDescent="0.45">
      <c r="A88" s="34"/>
      <c r="B88" s="34"/>
      <c r="C88" s="34"/>
      <c r="D88" s="34"/>
      <c r="E88" s="34" t="s">
        <v>156</v>
      </c>
      <c r="F88" s="34"/>
      <c r="G88" s="18"/>
      <c r="H88" s="18"/>
      <c r="I88" s="9"/>
      <c r="J88" s="95">
        <f>SUM(J69:J86)</f>
        <v>76580</v>
      </c>
      <c r="K88" s="95"/>
      <c r="L88" s="95">
        <f>SUM(L69:L86)</f>
        <v>86695</v>
      </c>
      <c r="M88" s="95"/>
      <c r="N88" s="95">
        <f>SUM(N69:N86)</f>
        <v>190163</v>
      </c>
      <c r="O88" s="95"/>
      <c r="P88" s="95">
        <f>SUM(P69:P86)</f>
        <v>93749</v>
      </c>
      <c r="Q88" s="95"/>
      <c r="R88" s="95">
        <f>SUM(R69:R86)</f>
        <v>27302</v>
      </c>
      <c r="S88" s="19">
        <f>J88+L88+N88+P88+R88</f>
        <v>474489</v>
      </c>
      <c r="T88" s="95">
        <f>SUM(T71:T86)</f>
        <v>0</v>
      </c>
      <c r="U88" s="31">
        <f>SUM(S88:T88)</f>
        <v>474489</v>
      </c>
    </row>
    <row r="89" spans="1:21" ht="10.5" x14ac:dyDescent="0.35">
      <c r="A89" s="174"/>
      <c r="B89" s="174"/>
      <c r="C89" s="174"/>
      <c r="D89" s="174"/>
      <c r="E89" s="104" t="s">
        <v>157</v>
      </c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7"/>
      <c r="T89" s="84"/>
      <c r="U89" s="87"/>
    </row>
    <row r="90" spans="1:21" ht="10.199999999999999" x14ac:dyDescent="0.35">
      <c r="A90" s="33" t="s">
        <v>158</v>
      </c>
      <c r="B90" s="33">
        <v>89050</v>
      </c>
      <c r="C90" s="12" t="s">
        <v>40</v>
      </c>
      <c r="D90" s="12" t="s">
        <v>159</v>
      </c>
      <c r="E90" s="12" t="s">
        <v>160</v>
      </c>
      <c r="F90" s="12" t="s">
        <v>161</v>
      </c>
      <c r="G90" s="33" t="s">
        <v>162</v>
      </c>
      <c r="H90" s="8">
        <v>1</v>
      </c>
      <c r="I90" s="8">
        <f>RMS!K115</f>
        <v>90926</v>
      </c>
      <c r="J90" s="8">
        <f>RMS!K115</f>
        <v>90926</v>
      </c>
      <c r="K90" s="8">
        <v>1</v>
      </c>
      <c r="L90" s="8">
        <f>RMS!M115</f>
        <v>579752</v>
      </c>
      <c r="M90" s="8">
        <v>1</v>
      </c>
      <c r="N90" s="8">
        <f>RMS!O115</f>
        <v>521443</v>
      </c>
      <c r="O90" s="8">
        <v>1</v>
      </c>
      <c r="P90" s="8">
        <f>RMS!Q115</f>
        <v>443815</v>
      </c>
      <c r="Q90" s="8">
        <v>1</v>
      </c>
      <c r="R90" s="8">
        <f>RMS!S115</f>
        <v>94562</v>
      </c>
      <c r="S90" s="8">
        <f>SUM(J90,L90,N90,P90,R90)</f>
        <v>1730498</v>
      </c>
      <c r="T90" s="8">
        <v>0</v>
      </c>
      <c r="U90" s="8">
        <f>SUM(S90:T90)</f>
        <v>1730498</v>
      </c>
    </row>
    <row r="91" spans="1:21" ht="10.199999999999999" x14ac:dyDescent="0.35">
      <c r="A91" s="33" t="s">
        <v>163</v>
      </c>
      <c r="B91" s="33">
        <v>89050</v>
      </c>
      <c r="C91" s="12" t="s">
        <v>40</v>
      </c>
      <c r="D91" s="12" t="s">
        <v>164</v>
      </c>
      <c r="E91" s="12" t="s">
        <v>165</v>
      </c>
      <c r="F91" s="12" t="s">
        <v>161</v>
      </c>
      <c r="G91" s="33" t="s">
        <v>162</v>
      </c>
      <c r="H91" s="8"/>
      <c r="I91" s="8">
        <v>0</v>
      </c>
      <c r="J91" s="8">
        <f>CEREAL!K99</f>
        <v>50929</v>
      </c>
      <c r="K91" s="8">
        <v>1</v>
      </c>
      <c r="L91" s="8">
        <f>CEREAL!M99</f>
        <v>248448</v>
      </c>
      <c r="M91" s="8">
        <v>1</v>
      </c>
      <c r="N91" s="8">
        <f>CEREAL!O99</f>
        <v>210006</v>
      </c>
      <c r="O91" s="8">
        <v>1</v>
      </c>
      <c r="P91" s="8">
        <f>CEREAL!Q99</f>
        <v>213864</v>
      </c>
      <c r="Q91" s="8">
        <v>1</v>
      </c>
      <c r="R91" s="8">
        <f>CEREAL!S99</f>
        <v>44377</v>
      </c>
      <c r="S91" s="8">
        <f>J91+L91+N91+P91+R91</f>
        <v>767624</v>
      </c>
      <c r="T91" s="8">
        <v>0</v>
      </c>
      <c r="U91" s="8">
        <f t="shared" ref="U91:U93" si="28">SUM(S91:T91)</f>
        <v>767624</v>
      </c>
    </row>
    <row r="92" spans="1:21" ht="10.199999999999999" x14ac:dyDescent="0.35">
      <c r="A92" s="33" t="s">
        <v>166</v>
      </c>
      <c r="B92" s="33">
        <v>89050</v>
      </c>
      <c r="C92" s="12" t="s">
        <v>40</v>
      </c>
      <c r="D92" s="12" t="s">
        <v>167</v>
      </c>
      <c r="E92" s="12" t="s">
        <v>168</v>
      </c>
      <c r="F92" s="12" t="s">
        <v>161</v>
      </c>
      <c r="G92" s="33" t="s">
        <v>162</v>
      </c>
      <c r="H92" s="8"/>
      <c r="I92" s="8">
        <v>0</v>
      </c>
      <c r="J92" s="8">
        <v>11830</v>
      </c>
      <c r="K92" s="8">
        <v>1</v>
      </c>
      <c r="L92" s="8">
        <v>48053</v>
      </c>
      <c r="M92" s="8">
        <v>1</v>
      </c>
      <c r="N92" s="8">
        <v>62551</v>
      </c>
      <c r="O92" s="8">
        <v>1</v>
      </c>
      <c r="P92" s="8">
        <v>36604</v>
      </c>
      <c r="Q92" s="8">
        <v>1</v>
      </c>
      <c r="R92" s="8">
        <v>8278</v>
      </c>
      <c r="S92" s="8">
        <f>J92+L92+N92+P92+R92</f>
        <v>167316</v>
      </c>
      <c r="T92" s="8">
        <v>0</v>
      </c>
      <c r="U92" s="8">
        <f>SUM(S92:T92)</f>
        <v>167316</v>
      </c>
    </row>
    <row r="93" spans="1:21" ht="10.199999999999999" x14ac:dyDescent="0.35">
      <c r="A93" s="33" t="s">
        <v>169</v>
      </c>
      <c r="B93" s="33">
        <v>89000</v>
      </c>
      <c r="C93" s="12" t="s">
        <v>40</v>
      </c>
      <c r="D93" s="12" t="s">
        <v>170</v>
      </c>
      <c r="E93" s="12" t="s">
        <v>171</v>
      </c>
      <c r="F93" s="12" t="s">
        <v>161</v>
      </c>
      <c r="G93" s="33" t="s">
        <v>172</v>
      </c>
      <c r="H93" s="8"/>
      <c r="I93" s="8">
        <v>0</v>
      </c>
      <c r="J93" s="8">
        <v>37772</v>
      </c>
      <c r="K93" s="8">
        <v>1</v>
      </c>
      <c r="L93" s="8">
        <v>124385</v>
      </c>
      <c r="M93" s="8">
        <v>1</v>
      </c>
      <c r="N93" s="8">
        <v>122586</v>
      </c>
      <c r="O93" s="8">
        <v>1</v>
      </c>
      <c r="P93" s="8">
        <v>120528</v>
      </c>
      <c r="Q93" s="8">
        <v>1</v>
      </c>
      <c r="R93" s="8">
        <v>10028</v>
      </c>
      <c r="S93" s="8">
        <f>J93+L93+N93+P93+R93</f>
        <v>415299</v>
      </c>
      <c r="T93" s="8">
        <v>0</v>
      </c>
      <c r="U93" s="8">
        <f t="shared" si="28"/>
        <v>415299</v>
      </c>
    </row>
    <row r="94" spans="1:21" ht="10.199999999999999" x14ac:dyDescent="0.35">
      <c r="A94" s="33" t="s">
        <v>173</v>
      </c>
      <c r="B94" s="33">
        <v>89000</v>
      </c>
      <c r="C94" s="12" t="s">
        <v>40</v>
      </c>
      <c r="D94" s="12" t="s">
        <v>174</v>
      </c>
      <c r="E94" s="12" t="s">
        <v>175</v>
      </c>
      <c r="F94" s="12" t="s">
        <v>161</v>
      </c>
      <c r="G94" s="33" t="s">
        <v>172</v>
      </c>
      <c r="H94" s="257">
        <v>1</v>
      </c>
      <c r="I94" s="8">
        <v>5000</v>
      </c>
      <c r="J94" s="8">
        <f>I94*H94</f>
        <v>5000</v>
      </c>
      <c r="K94" s="261">
        <v>2.5</v>
      </c>
      <c r="L94" s="8">
        <f>K94*I94</f>
        <v>12500</v>
      </c>
      <c r="M94" s="261">
        <v>2.5</v>
      </c>
      <c r="N94" s="8">
        <f>M94*I94</f>
        <v>12500</v>
      </c>
      <c r="O94" s="261">
        <v>2</v>
      </c>
      <c r="P94" s="8">
        <f>O94*I94</f>
        <v>10000</v>
      </c>
      <c r="Q94" s="8">
        <v>0</v>
      </c>
      <c r="R94" s="8">
        <f t="shared" ref="R94:R100" si="29">Q94*I94</f>
        <v>0</v>
      </c>
      <c r="S94" s="8">
        <f t="shared" ref="S94:S100" si="30">SUM(J94,L94,N94,P94,R94)</f>
        <v>40000</v>
      </c>
      <c r="T94" s="8">
        <v>0</v>
      </c>
      <c r="U94" s="8">
        <f t="shared" ref="U94:U100" si="31">SUM(S94:T94)</f>
        <v>40000</v>
      </c>
    </row>
    <row r="95" spans="1:21" ht="10.199999999999999" x14ac:dyDescent="0.35">
      <c r="A95" s="33" t="s">
        <v>176</v>
      </c>
      <c r="B95" s="33">
        <v>89000</v>
      </c>
      <c r="C95" s="12" t="s">
        <v>40</v>
      </c>
      <c r="D95" s="12" t="s">
        <v>177</v>
      </c>
      <c r="E95" s="12" t="s">
        <v>178</v>
      </c>
      <c r="F95" s="12" t="s">
        <v>161</v>
      </c>
      <c r="G95" s="33" t="s">
        <v>172</v>
      </c>
      <c r="H95" s="257">
        <v>0.5</v>
      </c>
      <c r="I95" s="8">
        <v>7500</v>
      </c>
      <c r="J95" s="8">
        <f t="shared" ref="J95:J100" si="32">$I95*H95</f>
        <v>3750</v>
      </c>
      <c r="K95" s="261">
        <v>1.25</v>
      </c>
      <c r="L95" s="8">
        <f t="shared" ref="L95:L100" si="33">$I95*K95</f>
        <v>9375</v>
      </c>
      <c r="M95" s="261">
        <v>1.25</v>
      </c>
      <c r="N95" s="8">
        <f t="shared" ref="N95:N100" si="34">$I95*M95</f>
        <v>9375</v>
      </c>
      <c r="O95" s="8">
        <v>1</v>
      </c>
      <c r="P95" s="8">
        <f t="shared" ref="P95:P100" si="35">$I95*O95</f>
        <v>7500</v>
      </c>
      <c r="Q95" s="8">
        <v>0</v>
      </c>
      <c r="R95" s="8">
        <f t="shared" si="29"/>
        <v>0</v>
      </c>
      <c r="S95" s="8">
        <f t="shared" si="30"/>
        <v>30000</v>
      </c>
      <c r="T95" s="8">
        <v>0</v>
      </c>
      <c r="U95" s="8">
        <f t="shared" si="31"/>
        <v>30000</v>
      </c>
    </row>
    <row r="96" spans="1:21" ht="10.199999999999999" x14ac:dyDescent="0.35">
      <c r="A96" s="33" t="s">
        <v>179</v>
      </c>
      <c r="B96" s="33">
        <v>89000</v>
      </c>
      <c r="C96" s="12" t="s">
        <v>40</v>
      </c>
      <c r="D96" s="12" t="s">
        <v>180</v>
      </c>
      <c r="E96" s="12" t="s">
        <v>181</v>
      </c>
      <c r="F96" s="12" t="s">
        <v>161</v>
      </c>
      <c r="G96" s="33" t="s">
        <v>172</v>
      </c>
      <c r="H96" s="257">
        <v>0.5</v>
      </c>
      <c r="I96" s="8">
        <f>12500*2</f>
        <v>25000</v>
      </c>
      <c r="J96" s="8">
        <f>I96*H96</f>
        <v>12500</v>
      </c>
      <c r="K96" s="261">
        <v>0.8</v>
      </c>
      <c r="L96" s="8">
        <f>K96*I96</f>
        <v>20000</v>
      </c>
      <c r="M96" s="261">
        <v>0.8</v>
      </c>
      <c r="N96" s="8">
        <f>M96*I96</f>
        <v>20000</v>
      </c>
      <c r="O96" s="261">
        <v>0.5</v>
      </c>
      <c r="P96" s="8">
        <f>O96*I96</f>
        <v>12500</v>
      </c>
      <c r="Q96" s="8">
        <v>0</v>
      </c>
      <c r="R96" s="8">
        <f t="shared" si="29"/>
        <v>0</v>
      </c>
      <c r="S96" s="8">
        <f t="shared" si="30"/>
        <v>65000</v>
      </c>
      <c r="T96" s="8">
        <v>0</v>
      </c>
      <c r="U96" s="8">
        <f t="shared" si="31"/>
        <v>65000</v>
      </c>
    </row>
    <row r="97" spans="1:21" ht="10.199999999999999" x14ac:dyDescent="0.35">
      <c r="A97" s="33" t="s">
        <v>182</v>
      </c>
      <c r="B97" s="33">
        <v>89000</v>
      </c>
      <c r="C97" s="12" t="s">
        <v>40</v>
      </c>
      <c r="D97" s="12" t="s">
        <v>183</v>
      </c>
      <c r="E97" s="12" t="s">
        <v>184</v>
      </c>
      <c r="F97" s="12" t="s">
        <v>161</v>
      </c>
      <c r="G97" s="33" t="s">
        <v>172</v>
      </c>
      <c r="H97" s="257">
        <v>0.5</v>
      </c>
      <c r="I97" s="8">
        <v>12500</v>
      </c>
      <c r="J97" s="8">
        <f t="shared" si="32"/>
        <v>6250</v>
      </c>
      <c r="K97" s="261">
        <v>0.5</v>
      </c>
      <c r="L97" s="8">
        <f>$I97*K97</f>
        <v>6250</v>
      </c>
      <c r="M97" s="261">
        <v>0.5</v>
      </c>
      <c r="N97" s="8">
        <f>$I97*M97</f>
        <v>6250</v>
      </c>
      <c r="O97" s="257">
        <v>0.5</v>
      </c>
      <c r="P97" s="8">
        <f t="shared" si="35"/>
        <v>6250</v>
      </c>
      <c r="Q97" s="8">
        <v>0</v>
      </c>
      <c r="R97" s="8">
        <f t="shared" si="29"/>
        <v>0</v>
      </c>
      <c r="S97" s="8">
        <f t="shared" si="30"/>
        <v>25000</v>
      </c>
      <c r="T97" s="8">
        <v>0</v>
      </c>
      <c r="U97" s="8">
        <f t="shared" si="31"/>
        <v>25000</v>
      </c>
    </row>
    <row r="98" spans="1:21" ht="10.199999999999999" x14ac:dyDescent="0.35">
      <c r="A98" s="33" t="s">
        <v>185</v>
      </c>
      <c r="B98" s="33">
        <v>89000</v>
      </c>
      <c r="C98" s="12" t="s">
        <v>40</v>
      </c>
      <c r="D98" s="12" t="s">
        <v>186</v>
      </c>
      <c r="E98" s="12" t="s">
        <v>187</v>
      </c>
      <c r="F98" s="12" t="s">
        <v>161</v>
      </c>
      <c r="G98" s="33" t="s">
        <v>172</v>
      </c>
      <c r="H98" s="257">
        <v>1</v>
      </c>
      <c r="I98" s="8">
        <v>5000</v>
      </c>
      <c r="J98" s="8">
        <v>5000</v>
      </c>
      <c r="K98" s="261">
        <v>2.5</v>
      </c>
      <c r="L98" s="8">
        <f>K98*I98</f>
        <v>12500</v>
      </c>
      <c r="M98" s="261">
        <v>2.5</v>
      </c>
      <c r="N98" s="8">
        <f>M98*I98</f>
        <v>12500</v>
      </c>
      <c r="O98" s="8">
        <v>2</v>
      </c>
      <c r="P98" s="8">
        <f>O98*I98</f>
        <v>10000</v>
      </c>
      <c r="Q98" s="8">
        <v>0</v>
      </c>
      <c r="R98" s="8">
        <f>Q98*I98</f>
        <v>0</v>
      </c>
      <c r="S98" s="8">
        <f>SUM(J98,L98,N98,P98,R98)</f>
        <v>40000</v>
      </c>
      <c r="T98" s="8">
        <v>0</v>
      </c>
      <c r="U98" s="8">
        <f>SUM(S98:T98)</f>
        <v>40000</v>
      </c>
    </row>
    <row r="99" spans="1:21" ht="10.199999999999999" x14ac:dyDescent="0.35">
      <c r="A99" s="33" t="s">
        <v>188</v>
      </c>
      <c r="B99" s="33">
        <v>89000</v>
      </c>
      <c r="C99" s="12" t="s">
        <v>40</v>
      </c>
      <c r="D99" s="12" t="s">
        <v>189</v>
      </c>
      <c r="E99" s="12" t="s">
        <v>190</v>
      </c>
      <c r="F99" s="12" t="s">
        <v>161</v>
      </c>
      <c r="G99" s="33" t="s">
        <v>172</v>
      </c>
      <c r="H99" s="257">
        <v>0.5</v>
      </c>
      <c r="I99" s="8">
        <v>12500</v>
      </c>
      <c r="J99" s="8">
        <f>$I99*H99</f>
        <v>6250</v>
      </c>
      <c r="K99" s="261">
        <v>1.25</v>
      </c>
      <c r="L99" s="8">
        <f t="shared" si="33"/>
        <v>15625</v>
      </c>
      <c r="M99" s="261">
        <v>1.25</v>
      </c>
      <c r="N99" s="8">
        <f t="shared" si="34"/>
        <v>15625</v>
      </c>
      <c r="O99" s="8">
        <v>1</v>
      </c>
      <c r="P99" s="8">
        <f t="shared" si="35"/>
        <v>12500</v>
      </c>
      <c r="Q99" s="8">
        <v>0</v>
      </c>
      <c r="R99" s="8">
        <f t="shared" si="29"/>
        <v>0</v>
      </c>
      <c r="S99" s="8">
        <f t="shared" si="30"/>
        <v>50000</v>
      </c>
      <c r="T99" s="8">
        <v>0</v>
      </c>
      <c r="U99" s="8">
        <f t="shared" si="31"/>
        <v>50000</v>
      </c>
    </row>
    <row r="100" spans="1:21" ht="10.199999999999999" x14ac:dyDescent="0.35">
      <c r="A100" s="33" t="s">
        <v>191</v>
      </c>
      <c r="B100" s="33">
        <v>89000</v>
      </c>
      <c r="C100" s="12" t="s">
        <v>40</v>
      </c>
      <c r="D100" s="12" t="s">
        <v>192</v>
      </c>
      <c r="E100" s="12" t="s">
        <v>193</v>
      </c>
      <c r="F100" s="12" t="s">
        <v>161</v>
      </c>
      <c r="G100" s="33" t="s">
        <v>172</v>
      </c>
      <c r="H100" s="257">
        <v>0.5</v>
      </c>
      <c r="I100" s="8">
        <v>12500</v>
      </c>
      <c r="J100" s="8">
        <f t="shared" si="32"/>
        <v>6250</v>
      </c>
      <c r="K100" s="261">
        <v>1.25</v>
      </c>
      <c r="L100" s="8">
        <f t="shared" si="33"/>
        <v>15625</v>
      </c>
      <c r="M100" s="261">
        <v>1.25</v>
      </c>
      <c r="N100" s="8">
        <f t="shared" si="34"/>
        <v>15625</v>
      </c>
      <c r="O100" s="8">
        <v>1</v>
      </c>
      <c r="P100" s="8">
        <f t="shared" si="35"/>
        <v>12500</v>
      </c>
      <c r="Q100" s="8">
        <v>0</v>
      </c>
      <c r="R100" s="8">
        <f t="shared" si="29"/>
        <v>0</v>
      </c>
      <c r="S100" s="8">
        <f t="shared" si="30"/>
        <v>50000</v>
      </c>
      <c r="T100" s="8">
        <v>0</v>
      </c>
      <c r="U100" s="8">
        <f t="shared" si="31"/>
        <v>50000</v>
      </c>
    </row>
    <row r="101" spans="1:21" ht="10.199999999999999" x14ac:dyDescent="0.35">
      <c r="A101" s="33"/>
      <c r="B101" s="33"/>
      <c r="C101" s="33"/>
      <c r="D101" s="33"/>
      <c r="E101" s="12"/>
      <c r="F101" s="12"/>
      <c r="G101" s="33"/>
    </row>
    <row r="102" spans="1:21" ht="10.8" thickBot="1" x14ac:dyDescent="0.45">
      <c r="A102" s="34"/>
      <c r="B102" s="34"/>
      <c r="C102" s="34"/>
      <c r="D102" s="34"/>
      <c r="E102" s="34" t="s">
        <v>194</v>
      </c>
      <c r="F102" s="34"/>
      <c r="G102" s="18"/>
      <c r="H102" s="18"/>
      <c r="I102" s="9"/>
      <c r="J102" s="95">
        <f>SUM(J90:J100)</f>
        <v>236457</v>
      </c>
      <c r="K102" s="95"/>
      <c r="L102" s="95">
        <f>SUM(L90:L100)</f>
        <v>1092513</v>
      </c>
      <c r="M102" s="95"/>
      <c r="N102" s="95">
        <f>SUM(N90:N100)</f>
        <v>1008461</v>
      </c>
      <c r="O102" s="95"/>
      <c r="P102" s="95">
        <f>SUM(P90:P100)</f>
        <v>886061</v>
      </c>
      <c r="Q102" s="95"/>
      <c r="R102" s="95">
        <f>SUM(R90:R100)</f>
        <v>157245</v>
      </c>
      <c r="S102" s="95">
        <f>SUM(S90:S100)</f>
        <v>3380737</v>
      </c>
      <c r="T102" s="95">
        <f>SUM(T90:T100)</f>
        <v>0</v>
      </c>
      <c r="U102" s="95">
        <f>SUM(U90:U100)</f>
        <v>3380737</v>
      </c>
    </row>
    <row r="103" spans="1:21" ht="10.5" x14ac:dyDescent="0.35">
      <c r="A103" s="174"/>
      <c r="B103" s="174"/>
      <c r="C103" s="174"/>
      <c r="D103" s="174"/>
      <c r="E103" s="104" t="s">
        <v>195</v>
      </c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7"/>
      <c r="T103" s="84"/>
      <c r="U103" s="87"/>
    </row>
    <row r="104" spans="1:21" ht="10.5" x14ac:dyDescent="0.4">
      <c r="A104" s="41"/>
      <c r="B104" s="41"/>
      <c r="C104" s="41"/>
      <c r="D104" s="41"/>
      <c r="E104" s="44" t="s">
        <v>196</v>
      </c>
      <c r="F104" s="44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</row>
    <row r="105" spans="1:21" ht="20.399999999999999" x14ac:dyDescent="0.35">
      <c r="A105" s="46"/>
      <c r="B105" s="46"/>
      <c r="C105" s="46"/>
      <c r="D105" s="46"/>
      <c r="E105" s="184" t="s">
        <v>197</v>
      </c>
      <c r="F105" s="2"/>
      <c r="G105" s="2"/>
      <c r="H105" s="2"/>
      <c r="I105" s="2"/>
      <c r="J105" s="2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20.399999999999999" x14ac:dyDescent="0.35">
      <c r="A106" s="46" t="s">
        <v>198</v>
      </c>
      <c r="B106" s="46">
        <v>87010</v>
      </c>
      <c r="C106" s="12" t="s">
        <v>40</v>
      </c>
      <c r="D106" s="12">
        <v>0</v>
      </c>
      <c r="E106" s="12" t="s">
        <v>199</v>
      </c>
      <c r="F106" s="2" t="s">
        <v>200</v>
      </c>
      <c r="G106" s="2" t="s">
        <v>201</v>
      </c>
      <c r="H106" s="8"/>
      <c r="I106" s="8">
        <v>200</v>
      </c>
      <c r="J106" s="8">
        <f t="shared" ref="J106" si="36">I106*H106</f>
        <v>0</v>
      </c>
      <c r="K106" s="8">
        <v>20</v>
      </c>
      <c r="L106" s="8">
        <f>K106*I106</f>
        <v>4000</v>
      </c>
      <c r="M106" s="8"/>
      <c r="N106" s="8">
        <f t="shared" ref="N106" si="37">M106*I106</f>
        <v>0</v>
      </c>
      <c r="O106" s="8"/>
      <c r="P106" s="8">
        <f t="shared" ref="P106" si="38">O106*I106</f>
        <v>0</v>
      </c>
      <c r="Q106" s="8"/>
      <c r="R106" s="8">
        <f t="shared" ref="R106" si="39">Q106*I106</f>
        <v>0</v>
      </c>
      <c r="S106" s="8">
        <f t="shared" ref="S106" si="40">SUM(J106,L106,N106,P106,R106)</f>
        <v>4000</v>
      </c>
      <c r="T106" s="8"/>
      <c r="U106" s="8">
        <f t="shared" ref="U106" si="41">SUM(S106:T106)</f>
        <v>4000</v>
      </c>
    </row>
    <row r="107" spans="1:21" ht="20.399999999999999" x14ac:dyDescent="0.35">
      <c r="A107" s="46" t="s">
        <v>202</v>
      </c>
      <c r="B107" s="33" t="s">
        <v>85</v>
      </c>
      <c r="C107" s="12" t="s">
        <v>40</v>
      </c>
      <c r="D107" s="12">
        <v>0</v>
      </c>
      <c r="E107" s="12" t="s">
        <v>203</v>
      </c>
      <c r="F107" s="2" t="s">
        <v>77</v>
      </c>
      <c r="G107" s="2" t="s">
        <v>87</v>
      </c>
      <c r="H107" s="8">
        <v>5</v>
      </c>
      <c r="I107" s="8">
        <v>110</v>
      </c>
      <c r="J107" s="8">
        <f t="shared" ref="J107:J140" si="42">I107*H107</f>
        <v>550</v>
      </c>
      <c r="K107" s="8">
        <v>15</v>
      </c>
      <c r="L107" s="8">
        <f>K107*I107</f>
        <v>1650</v>
      </c>
      <c r="M107" s="8">
        <v>0</v>
      </c>
      <c r="N107" s="8">
        <f t="shared" ref="N107:N111" si="43">M107*I107</f>
        <v>0</v>
      </c>
      <c r="O107" s="8">
        <v>0</v>
      </c>
      <c r="P107" s="8">
        <f t="shared" ref="P107:P111" si="44">O107*I107</f>
        <v>0</v>
      </c>
      <c r="Q107" s="8">
        <v>0</v>
      </c>
      <c r="R107" s="8">
        <f t="shared" ref="R107:R111" si="45">Q107*I107</f>
        <v>0</v>
      </c>
      <c r="S107" s="8">
        <f t="shared" ref="S107:S111" si="46">SUM(J107,L107,N107,P107,R107)</f>
        <v>2200</v>
      </c>
      <c r="T107" s="8">
        <v>0</v>
      </c>
      <c r="U107" s="8">
        <f t="shared" ref="U107:U109" si="47">SUM(S107:T107)</f>
        <v>2200</v>
      </c>
    </row>
    <row r="108" spans="1:21" ht="10.199999999999999" x14ac:dyDescent="0.35">
      <c r="A108" s="46" t="s">
        <v>204</v>
      </c>
      <c r="B108" s="46">
        <v>86000</v>
      </c>
      <c r="C108" s="12" t="s">
        <v>40</v>
      </c>
      <c r="D108" s="12">
        <v>0</v>
      </c>
      <c r="E108" s="12" t="s">
        <v>205</v>
      </c>
      <c r="F108" s="2" t="s">
        <v>77</v>
      </c>
      <c r="G108" s="2" t="s">
        <v>87</v>
      </c>
      <c r="H108" s="8">
        <v>5</v>
      </c>
      <c r="I108" s="8">
        <v>60</v>
      </c>
      <c r="J108" s="8">
        <f t="shared" si="42"/>
        <v>300</v>
      </c>
      <c r="K108" s="8">
        <v>15</v>
      </c>
      <c r="L108" s="8">
        <f t="shared" ref="L108:L110" si="48">K108*I108</f>
        <v>900</v>
      </c>
      <c r="M108" s="8">
        <v>0</v>
      </c>
      <c r="N108" s="8">
        <f t="shared" si="43"/>
        <v>0</v>
      </c>
      <c r="O108" s="8">
        <v>0</v>
      </c>
      <c r="P108" s="8">
        <f t="shared" si="44"/>
        <v>0</v>
      </c>
      <c r="Q108" s="8">
        <v>0</v>
      </c>
      <c r="R108" s="8">
        <f t="shared" si="45"/>
        <v>0</v>
      </c>
      <c r="S108" s="8">
        <f t="shared" si="46"/>
        <v>1200</v>
      </c>
      <c r="T108" s="8">
        <v>0</v>
      </c>
      <c r="U108" s="8">
        <f t="shared" si="47"/>
        <v>1200</v>
      </c>
    </row>
    <row r="109" spans="1:21" ht="20.399999999999999" x14ac:dyDescent="0.35">
      <c r="A109" s="46" t="s">
        <v>206</v>
      </c>
      <c r="B109" s="46">
        <v>81000</v>
      </c>
      <c r="C109" s="12" t="s">
        <v>40</v>
      </c>
      <c r="D109" s="12">
        <v>0</v>
      </c>
      <c r="E109" s="12" t="s">
        <v>207</v>
      </c>
      <c r="F109" s="2" t="s">
        <v>161</v>
      </c>
      <c r="G109" s="2" t="s">
        <v>87</v>
      </c>
      <c r="H109" s="8">
        <v>10</v>
      </c>
      <c r="I109" s="8">
        <v>350</v>
      </c>
      <c r="J109" s="8">
        <f t="shared" si="42"/>
        <v>3500</v>
      </c>
      <c r="K109" s="8">
        <v>40</v>
      </c>
      <c r="L109" s="8">
        <f t="shared" si="48"/>
        <v>14000</v>
      </c>
      <c r="M109" s="8"/>
      <c r="N109" s="8">
        <f t="shared" si="43"/>
        <v>0</v>
      </c>
      <c r="O109" s="8"/>
      <c r="P109" s="8">
        <f t="shared" si="44"/>
        <v>0</v>
      </c>
      <c r="Q109" s="8"/>
      <c r="R109" s="8">
        <f t="shared" si="45"/>
        <v>0</v>
      </c>
      <c r="S109" s="8">
        <f t="shared" si="46"/>
        <v>17500</v>
      </c>
      <c r="T109" s="8"/>
      <c r="U109" s="8">
        <f t="shared" si="47"/>
        <v>17500</v>
      </c>
    </row>
    <row r="110" spans="1:21" ht="10.199999999999999" x14ac:dyDescent="0.35">
      <c r="A110" s="46" t="s">
        <v>208</v>
      </c>
      <c r="B110" s="46">
        <v>87010</v>
      </c>
      <c r="C110" s="12" t="s">
        <v>40</v>
      </c>
      <c r="D110" s="12">
        <v>0</v>
      </c>
      <c r="E110" s="12" t="s">
        <v>209</v>
      </c>
      <c r="F110" s="2" t="s">
        <v>200</v>
      </c>
      <c r="G110" s="2" t="s">
        <v>210</v>
      </c>
      <c r="H110" s="8"/>
      <c r="I110" s="8">
        <v>1000</v>
      </c>
      <c r="J110" s="8">
        <f t="shared" ref="J110" si="49">I110*H110</f>
        <v>0</v>
      </c>
      <c r="K110" s="8">
        <v>1</v>
      </c>
      <c r="L110" s="8">
        <f t="shared" si="48"/>
        <v>1000</v>
      </c>
      <c r="M110" s="8">
        <v>0</v>
      </c>
      <c r="N110" s="8">
        <f t="shared" si="43"/>
        <v>0</v>
      </c>
      <c r="O110" s="8">
        <v>0</v>
      </c>
      <c r="P110" s="8">
        <f t="shared" si="44"/>
        <v>0</v>
      </c>
      <c r="Q110" s="8">
        <v>0</v>
      </c>
      <c r="R110" s="8">
        <f t="shared" si="45"/>
        <v>0</v>
      </c>
      <c r="S110" s="8">
        <f t="shared" si="46"/>
        <v>1000</v>
      </c>
      <c r="T110" s="8">
        <v>0</v>
      </c>
      <c r="U110" s="8">
        <f t="shared" ref="U110" si="50">SUM(S110:T110)</f>
        <v>1000</v>
      </c>
    </row>
    <row r="111" spans="1:21" ht="20.399999999999999" x14ac:dyDescent="0.35">
      <c r="A111" s="46" t="s">
        <v>211</v>
      </c>
      <c r="B111" s="46">
        <v>85300</v>
      </c>
      <c r="C111" s="12" t="s">
        <v>40</v>
      </c>
      <c r="D111" s="12">
        <v>0</v>
      </c>
      <c r="E111" s="12" t="s">
        <v>212</v>
      </c>
      <c r="F111" s="2" t="s">
        <v>200</v>
      </c>
      <c r="G111" s="2" t="s">
        <v>115</v>
      </c>
      <c r="H111" s="8">
        <v>0</v>
      </c>
      <c r="I111" s="8">
        <v>4500</v>
      </c>
      <c r="J111" s="8">
        <f t="shared" si="42"/>
        <v>0</v>
      </c>
      <c r="K111" s="8">
        <v>1</v>
      </c>
      <c r="L111" s="8">
        <f>K111*I111</f>
        <v>4500</v>
      </c>
      <c r="M111" s="8">
        <v>0</v>
      </c>
      <c r="N111" s="8">
        <f t="shared" si="43"/>
        <v>0</v>
      </c>
      <c r="O111" s="8">
        <v>0</v>
      </c>
      <c r="P111" s="8">
        <f t="shared" si="44"/>
        <v>0</v>
      </c>
      <c r="Q111" s="8">
        <v>0</v>
      </c>
      <c r="R111" s="8">
        <f t="shared" si="45"/>
        <v>0</v>
      </c>
      <c r="S111" s="8">
        <f t="shared" si="46"/>
        <v>4500</v>
      </c>
      <c r="T111" s="8">
        <v>0</v>
      </c>
      <c r="U111" s="8">
        <f>SUM(S111:T111)</f>
        <v>4500</v>
      </c>
    </row>
    <row r="112" spans="1:21" ht="20.399999999999999" x14ac:dyDescent="0.35">
      <c r="A112" s="92"/>
      <c r="B112" s="92"/>
      <c r="C112" s="92"/>
      <c r="D112" s="92"/>
      <c r="E112" s="59" t="s">
        <v>213</v>
      </c>
      <c r="F112" s="91"/>
      <c r="G112" s="91"/>
      <c r="H112" s="69"/>
      <c r="I112" s="69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</row>
    <row r="113" spans="1:21" ht="20.399999999999999" x14ac:dyDescent="0.35">
      <c r="A113" s="46" t="s">
        <v>214</v>
      </c>
      <c r="B113" s="46">
        <v>87000</v>
      </c>
      <c r="C113" s="12" t="s">
        <v>40</v>
      </c>
      <c r="D113" s="12">
        <v>0</v>
      </c>
      <c r="E113" s="12" t="s">
        <v>215</v>
      </c>
      <c r="F113" s="2" t="s">
        <v>200</v>
      </c>
      <c r="G113" s="2" t="s">
        <v>210</v>
      </c>
      <c r="H113" s="8"/>
      <c r="I113" s="8">
        <v>1600</v>
      </c>
      <c r="J113" s="8">
        <f t="shared" ref="J113" si="51">I113*H113</f>
        <v>0</v>
      </c>
      <c r="K113" s="8">
        <v>3</v>
      </c>
      <c r="L113" s="8">
        <f t="shared" ref="L113" si="52">K113*I113</f>
        <v>4800</v>
      </c>
      <c r="M113" s="8">
        <v>3</v>
      </c>
      <c r="N113" s="8">
        <f t="shared" ref="N113" si="53">M113*I113</f>
        <v>4800</v>
      </c>
      <c r="O113" s="8">
        <v>3</v>
      </c>
      <c r="P113" s="8">
        <f t="shared" ref="P113" si="54">O113*I113</f>
        <v>4800</v>
      </c>
      <c r="Q113" s="8">
        <v>2</v>
      </c>
      <c r="R113" s="8">
        <f t="shared" ref="R113" si="55">Q113*I113</f>
        <v>3200</v>
      </c>
      <c r="S113" s="8">
        <f t="shared" ref="S113" si="56">SUM(J113,L113,N113,P113,R113)</f>
        <v>17600</v>
      </c>
      <c r="T113" s="8">
        <v>0</v>
      </c>
      <c r="U113" s="8">
        <f t="shared" ref="U113" si="57">SUM(S113:T113)</f>
        <v>17600</v>
      </c>
    </row>
    <row r="114" spans="1:21" ht="10.199999999999999" x14ac:dyDescent="0.35">
      <c r="A114" s="46" t="s">
        <v>216</v>
      </c>
      <c r="B114" s="46">
        <v>81015</v>
      </c>
      <c r="C114" s="12" t="s">
        <v>40</v>
      </c>
      <c r="D114" s="12">
        <v>0</v>
      </c>
      <c r="E114" s="12" t="s">
        <v>217</v>
      </c>
      <c r="F114" s="2" t="s">
        <v>161</v>
      </c>
      <c r="G114" s="2" t="s">
        <v>87</v>
      </c>
      <c r="H114" s="8">
        <v>0</v>
      </c>
      <c r="I114" s="8">
        <v>400</v>
      </c>
      <c r="J114" s="8">
        <f t="shared" ref="J114:J117" si="58">I114*H114</f>
        <v>0</v>
      </c>
      <c r="K114" s="8">
        <v>2</v>
      </c>
      <c r="L114" s="8">
        <f t="shared" ref="L114:L117" si="59">K114*I114</f>
        <v>800</v>
      </c>
      <c r="M114" s="8">
        <v>2</v>
      </c>
      <c r="N114" s="8">
        <f t="shared" ref="N114:N117" si="60">M114*I114</f>
        <v>800</v>
      </c>
      <c r="O114" s="8">
        <v>2</v>
      </c>
      <c r="P114" s="8">
        <f t="shared" ref="P114:P117" si="61">O114*I114</f>
        <v>800</v>
      </c>
      <c r="Q114" s="8">
        <v>2</v>
      </c>
      <c r="R114" s="8">
        <f t="shared" ref="R114:R117" si="62">Q114*I114</f>
        <v>800</v>
      </c>
      <c r="S114" s="8">
        <f t="shared" ref="S114:S117" si="63">SUM(J114,L114,N114,P114,R114)</f>
        <v>3200</v>
      </c>
      <c r="T114" s="8">
        <v>0</v>
      </c>
      <c r="U114" s="8">
        <f t="shared" ref="U114:U117" si="64">SUM(S114:T114)</f>
        <v>3200</v>
      </c>
    </row>
    <row r="115" spans="1:21" ht="10.199999999999999" x14ac:dyDescent="0.35">
      <c r="A115" s="46" t="s">
        <v>218</v>
      </c>
      <c r="B115" s="46">
        <v>85300</v>
      </c>
      <c r="C115" s="12" t="s">
        <v>40</v>
      </c>
      <c r="D115" s="12">
        <v>0</v>
      </c>
      <c r="E115" s="12" t="s">
        <v>219</v>
      </c>
      <c r="F115" s="2" t="s">
        <v>200</v>
      </c>
      <c r="G115" s="2" t="s">
        <v>115</v>
      </c>
      <c r="H115" s="8">
        <v>0</v>
      </c>
      <c r="I115" s="8">
        <v>700</v>
      </c>
      <c r="J115" s="8">
        <f t="shared" si="58"/>
        <v>0</v>
      </c>
      <c r="K115" s="8">
        <v>6</v>
      </c>
      <c r="L115" s="8">
        <f t="shared" si="59"/>
        <v>4200</v>
      </c>
      <c r="M115" s="8">
        <v>6</v>
      </c>
      <c r="N115" s="8">
        <f t="shared" si="60"/>
        <v>4200</v>
      </c>
      <c r="O115" s="8">
        <v>6</v>
      </c>
      <c r="P115" s="8">
        <f t="shared" si="61"/>
        <v>4200</v>
      </c>
      <c r="Q115" s="8">
        <v>2</v>
      </c>
      <c r="R115" s="8">
        <f t="shared" si="62"/>
        <v>1400</v>
      </c>
      <c r="S115" s="8">
        <f t="shared" si="63"/>
        <v>14000</v>
      </c>
      <c r="T115" s="8">
        <v>0</v>
      </c>
      <c r="U115" s="8">
        <f t="shared" si="64"/>
        <v>14000</v>
      </c>
    </row>
    <row r="116" spans="1:21" ht="20.399999999999999" x14ac:dyDescent="0.35">
      <c r="A116" s="46" t="s">
        <v>220</v>
      </c>
      <c r="B116" s="33" t="s">
        <v>85</v>
      </c>
      <c r="C116" s="12" t="s">
        <v>40</v>
      </c>
      <c r="D116" s="12">
        <v>0</v>
      </c>
      <c r="E116" s="12" t="s">
        <v>203</v>
      </c>
      <c r="F116" s="2" t="s">
        <v>77</v>
      </c>
      <c r="G116" s="2" t="s">
        <v>87</v>
      </c>
      <c r="H116" s="8">
        <v>0</v>
      </c>
      <c r="I116" s="8">
        <v>110</v>
      </c>
      <c r="J116" s="8">
        <f t="shared" ref="J116" si="65">I116*H116</f>
        <v>0</v>
      </c>
      <c r="K116" s="8">
        <v>8</v>
      </c>
      <c r="L116" s="8">
        <f t="shared" ref="L116" si="66">K116*I116</f>
        <v>880</v>
      </c>
      <c r="M116" s="8">
        <v>8</v>
      </c>
      <c r="N116" s="8">
        <f t="shared" ref="N116" si="67">M116*I116</f>
        <v>880</v>
      </c>
      <c r="O116" s="8">
        <v>8</v>
      </c>
      <c r="P116" s="8">
        <f t="shared" ref="P116" si="68">O116*I116</f>
        <v>880</v>
      </c>
      <c r="Q116" s="8">
        <v>4</v>
      </c>
      <c r="R116" s="8">
        <f t="shared" ref="R116" si="69">Q116*I116</f>
        <v>440</v>
      </c>
      <c r="S116" s="8">
        <f t="shared" ref="S116" si="70">SUM(J116,L116,N116,P116,R116)</f>
        <v>3080</v>
      </c>
      <c r="T116" s="8">
        <v>0</v>
      </c>
      <c r="U116" s="8">
        <f t="shared" ref="U116" si="71">SUM(S116:T116)</f>
        <v>3080</v>
      </c>
    </row>
    <row r="117" spans="1:21" ht="10.199999999999999" x14ac:dyDescent="0.35">
      <c r="A117" s="46" t="s">
        <v>221</v>
      </c>
      <c r="B117" s="46">
        <v>86000</v>
      </c>
      <c r="C117" s="12" t="s">
        <v>40</v>
      </c>
      <c r="D117" s="12">
        <v>0</v>
      </c>
      <c r="E117" s="12" t="s">
        <v>205</v>
      </c>
      <c r="F117" s="2" t="s">
        <v>77</v>
      </c>
      <c r="G117" s="2" t="s">
        <v>87</v>
      </c>
      <c r="H117" s="8">
        <v>0</v>
      </c>
      <c r="I117" s="8">
        <v>60</v>
      </c>
      <c r="J117" s="8">
        <f t="shared" si="58"/>
        <v>0</v>
      </c>
      <c r="K117" s="8">
        <v>8</v>
      </c>
      <c r="L117" s="8">
        <f t="shared" si="59"/>
        <v>480</v>
      </c>
      <c r="M117" s="8">
        <v>8</v>
      </c>
      <c r="N117" s="8">
        <f t="shared" si="60"/>
        <v>480</v>
      </c>
      <c r="O117" s="8">
        <v>8</v>
      </c>
      <c r="P117" s="8">
        <f t="shared" si="61"/>
        <v>480</v>
      </c>
      <c r="Q117" s="8">
        <v>4</v>
      </c>
      <c r="R117" s="8">
        <f t="shared" si="62"/>
        <v>240</v>
      </c>
      <c r="S117" s="8">
        <f t="shared" si="63"/>
        <v>1680</v>
      </c>
      <c r="T117" s="8">
        <v>0</v>
      </c>
      <c r="U117" s="8">
        <f t="shared" si="64"/>
        <v>1680</v>
      </c>
    </row>
    <row r="118" spans="1:21" s="22" customFormat="1" ht="22.15" customHeight="1" x14ac:dyDescent="0.35">
      <c r="A118" s="175"/>
      <c r="B118" s="175"/>
      <c r="C118" s="175"/>
      <c r="D118" s="175"/>
      <c r="E118" s="150" t="s">
        <v>222</v>
      </c>
      <c r="F118" s="130"/>
      <c r="G118" s="130"/>
      <c r="H118" s="147"/>
      <c r="I118" s="147"/>
      <c r="J118" s="146"/>
      <c r="K118" s="147"/>
      <c r="L118" s="146"/>
      <c r="M118" s="130"/>
      <c r="N118" s="146"/>
      <c r="O118" s="147"/>
      <c r="P118" s="146"/>
      <c r="Q118" s="147"/>
      <c r="R118" s="146"/>
      <c r="S118" s="146"/>
      <c r="T118" s="147"/>
      <c r="U118" s="146"/>
    </row>
    <row r="119" spans="1:21" s="22" customFormat="1" ht="10.199999999999999" x14ac:dyDescent="0.35">
      <c r="A119" s="46" t="s">
        <v>223</v>
      </c>
      <c r="B119" s="33">
        <v>86000</v>
      </c>
      <c r="C119" s="12" t="s">
        <v>40</v>
      </c>
      <c r="D119" s="12">
        <v>0</v>
      </c>
      <c r="E119" s="12" t="s">
        <v>217</v>
      </c>
      <c r="F119" s="2" t="s">
        <v>161</v>
      </c>
      <c r="G119" s="2" t="s">
        <v>87</v>
      </c>
      <c r="H119" s="8">
        <v>0</v>
      </c>
      <c r="I119" s="8">
        <v>400</v>
      </c>
      <c r="J119" s="8">
        <f>I119*H119</f>
        <v>0</v>
      </c>
      <c r="K119" s="8">
        <v>9</v>
      </c>
      <c r="L119" s="8">
        <f>K119*I119</f>
        <v>3600</v>
      </c>
      <c r="M119" s="8">
        <v>9</v>
      </c>
      <c r="N119" s="8">
        <f>M119*I119</f>
        <v>3600</v>
      </c>
      <c r="O119" s="8">
        <v>9</v>
      </c>
      <c r="P119" s="8">
        <f>O119*I119</f>
        <v>3600</v>
      </c>
      <c r="Q119" s="8">
        <v>6</v>
      </c>
      <c r="R119" s="8">
        <f>Q119*I119</f>
        <v>2400</v>
      </c>
      <c r="S119" s="8">
        <f>SUM(J119,L119,N119,P119,R119)</f>
        <v>13200</v>
      </c>
      <c r="T119" s="8">
        <v>0</v>
      </c>
      <c r="U119" s="8">
        <f>SUM(S119:T119)</f>
        <v>13200</v>
      </c>
    </row>
    <row r="120" spans="1:21" s="22" customFormat="1" ht="20.399999999999999" x14ac:dyDescent="0.35">
      <c r="A120" s="46" t="s">
        <v>224</v>
      </c>
      <c r="B120" s="33">
        <v>87000</v>
      </c>
      <c r="C120" s="12" t="s">
        <v>40</v>
      </c>
      <c r="D120" s="12">
        <v>0</v>
      </c>
      <c r="E120" s="1" t="s">
        <v>225</v>
      </c>
      <c r="F120" s="2" t="s">
        <v>200</v>
      </c>
      <c r="G120" s="2" t="s">
        <v>210</v>
      </c>
      <c r="H120" s="93"/>
      <c r="I120" s="259">
        <v>500</v>
      </c>
      <c r="J120" s="260">
        <f t="shared" ref="J120" si="72">I120*H120</f>
        <v>0</v>
      </c>
      <c r="K120" s="259">
        <v>4</v>
      </c>
      <c r="L120" s="260">
        <f>K120*I120</f>
        <v>2000</v>
      </c>
      <c r="M120" s="2">
        <v>4</v>
      </c>
      <c r="N120" s="260">
        <f>M120*I120</f>
        <v>2000</v>
      </c>
      <c r="O120" s="259">
        <v>4</v>
      </c>
      <c r="P120" s="260">
        <f>O120*I120</f>
        <v>2000</v>
      </c>
      <c r="Q120" s="259">
        <v>2</v>
      </c>
      <c r="R120" s="260">
        <f>Q120*I120</f>
        <v>1000</v>
      </c>
      <c r="S120" s="260">
        <f>SUM(J120,L120,N120,P120,R120)</f>
        <v>7000</v>
      </c>
      <c r="T120" s="259">
        <v>0</v>
      </c>
      <c r="U120" s="260">
        <f t="shared" ref="U120" si="73">SUM(S120:T120)</f>
        <v>7000</v>
      </c>
    </row>
    <row r="121" spans="1:21" s="22" customFormat="1" ht="20.399999999999999" x14ac:dyDescent="0.35">
      <c r="A121" s="46" t="s">
        <v>226</v>
      </c>
      <c r="B121" s="33" t="s">
        <v>85</v>
      </c>
      <c r="C121" s="12" t="s">
        <v>40</v>
      </c>
      <c r="D121" s="12">
        <v>0</v>
      </c>
      <c r="E121" s="1" t="s">
        <v>227</v>
      </c>
      <c r="F121" s="2" t="s">
        <v>77</v>
      </c>
      <c r="G121" s="2" t="s">
        <v>228</v>
      </c>
      <c r="H121" s="93"/>
      <c r="I121" s="259">
        <v>110</v>
      </c>
      <c r="J121" s="260">
        <f t="shared" ref="J121:J122" si="74">I121*H121</f>
        <v>0</v>
      </c>
      <c r="K121" s="259">
        <v>8</v>
      </c>
      <c r="L121" s="260">
        <f>K121*I121</f>
        <v>880</v>
      </c>
      <c r="M121" s="2">
        <v>8</v>
      </c>
      <c r="N121" s="260">
        <f>M121*I121</f>
        <v>880</v>
      </c>
      <c r="O121" s="259">
        <v>8</v>
      </c>
      <c r="P121" s="260">
        <f>O121*I121</f>
        <v>880</v>
      </c>
      <c r="Q121" s="259">
        <v>4</v>
      </c>
      <c r="R121" s="260">
        <f>Q121*I121</f>
        <v>440</v>
      </c>
      <c r="S121" s="260">
        <f>SUM(J121,L121,N121,P121,R121)</f>
        <v>3080</v>
      </c>
      <c r="T121" s="259">
        <v>0</v>
      </c>
      <c r="U121" s="260">
        <f t="shared" ref="U121:U122" si="75">SUM(S121:T121)</f>
        <v>3080</v>
      </c>
    </row>
    <row r="122" spans="1:21" s="22" customFormat="1" ht="20.399999999999999" x14ac:dyDescent="0.35">
      <c r="A122" s="46" t="s">
        <v>229</v>
      </c>
      <c r="B122" s="46">
        <v>86000</v>
      </c>
      <c r="C122" s="12" t="s">
        <v>40</v>
      </c>
      <c r="D122" s="12">
        <v>0</v>
      </c>
      <c r="E122" s="1" t="s">
        <v>230</v>
      </c>
      <c r="F122" s="2" t="s">
        <v>77</v>
      </c>
      <c r="G122" s="2" t="s">
        <v>228</v>
      </c>
      <c r="H122" s="93"/>
      <c r="I122" s="259">
        <v>60</v>
      </c>
      <c r="J122" s="260">
        <f t="shared" si="74"/>
        <v>0</v>
      </c>
      <c r="K122" s="259">
        <v>8</v>
      </c>
      <c r="L122" s="260">
        <f>K122*I122</f>
        <v>480</v>
      </c>
      <c r="M122" s="2">
        <v>8</v>
      </c>
      <c r="N122" s="260">
        <f>M122*I122</f>
        <v>480</v>
      </c>
      <c r="O122" s="259">
        <v>8</v>
      </c>
      <c r="P122" s="260">
        <f>O122*I122</f>
        <v>480</v>
      </c>
      <c r="Q122" s="259">
        <v>4</v>
      </c>
      <c r="R122" s="260">
        <f>Q122*I122</f>
        <v>240</v>
      </c>
      <c r="S122" s="260">
        <f>SUM(J122,L122,N122,P122,R122)</f>
        <v>1680</v>
      </c>
      <c r="T122" s="259">
        <v>0</v>
      </c>
      <c r="U122" s="260">
        <f t="shared" si="75"/>
        <v>1680</v>
      </c>
    </row>
    <row r="123" spans="1:21" ht="20.399999999999999" x14ac:dyDescent="0.35">
      <c r="A123" s="175"/>
      <c r="B123" s="175"/>
      <c r="C123" s="175"/>
      <c r="D123" s="175"/>
      <c r="E123" s="59" t="s">
        <v>231</v>
      </c>
      <c r="F123" s="130"/>
      <c r="G123" s="130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</row>
    <row r="124" spans="1:21" ht="20.399999999999999" x14ac:dyDescent="0.35">
      <c r="A124" s="46" t="s">
        <v>232</v>
      </c>
      <c r="B124" s="46">
        <v>82420</v>
      </c>
      <c r="C124" s="12" t="s">
        <v>40</v>
      </c>
      <c r="D124" s="12">
        <v>0</v>
      </c>
      <c r="E124" s="12" t="s">
        <v>233</v>
      </c>
      <c r="F124" s="2" t="s">
        <v>200</v>
      </c>
      <c r="G124" s="2" t="s">
        <v>201</v>
      </c>
      <c r="H124" s="8">
        <v>1</v>
      </c>
      <c r="I124" s="8">
        <v>250</v>
      </c>
      <c r="J124" s="8">
        <f>I124*H124</f>
        <v>250</v>
      </c>
      <c r="K124" s="8">
        <v>12</v>
      </c>
      <c r="L124" s="8">
        <f>K124*I124</f>
        <v>3000</v>
      </c>
      <c r="M124" s="8">
        <v>12</v>
      </c>
      <c r="N124" s="8">
        <f>M124*I124</f>
        <v>3000</v>
      </c>
      <c r="O124" s="8">
        <v>12</v>
      </c>
      <c r="P124" s="8">
        <f>O124*I124</f>
        <v>3000</v>
      </c>
      <c r="Q124" s="8">
        <v>2</v>
      </c>
      <c r="R124" s="8">
        <f>Q124*I124</f>
        <v>500</v>
      </c>
      <c r="S124" s="8">
        <f>SUM(J124,L124,N124,P124,R124)</f>
        <v>9750</v>
      </c>
      <c r="T124" s="8">
        <v>0</v>
      </c>
      <c r="U124" s="8">
        <f>SUM(S124:T124)</f>
        <v>9750</v>
      </c>
    </row>
    <row r="125" spans="1:21" ht="20.399999999999999" x14ac:dyDescent="0.35">
      <c r="A125" s="46" t="s">
        <v>234</v>
      </c>
      <c r="B125" s="33" t="s">
        <v>85</v>
      </c>
      <c r="C125" s="12" t="s">
        <v>40</v>
      </c>
      <c r="D125" s="12">
        <v>0</v>
      </c>
      <c r="E125" s="12" t="s">
        <v>235</v>
      </c>
      <c r="F125" s="2" t="s">
        <v>77</v>
      </c>
      <c r="G125" s="2" t="s">
        <v>87</v>
      </c>
      <c r="H125" s="8">
        <v>4</v>
      </c>
      <c r="I125" s="8">
        <v>110</v>
      </c>
      <c r="J125" s="8">
        <f>I125*H125</f>
        <v>440</v>
      </c>
      <c r="K125" s="8">
        <v>12</v>
      </c>
      <c r="L125" s="8">
        <f>K125*I125</f>
        <v>1320</v>
      </c>
      <c r="M125" s="8">
        <v>12</v>
      </c>
      <c r="N125" s="8">
        <f>M125*I125</f>
        <v>1320</v>
      </c>
      <c r="O125" s="8">
        <v>12</v>
      </c>
      <c r="P125" s="8">
        <f>O125*I125</f>
        <v>1320</v>
      </c>
      <c r="Q125" s="8">
        <v>4</v>
      </c>
      <c r="R125" s="8">
        <f>Q125*I125</f>
        <v>440</v>
      </c>
      <c r="S125" s="8">
        <f>SUM(J125,L125,N125,P125,R125)</f>
        <v>4840</v>
      </c>
      <c r="T125" s="8">
        <v>0</v>
      </c>
      <c r="U125" s="8">
        <f>SUM(S125:T125)</f>
        <v>4840</v>
      </c>
    </row>
    <row r="126" spans="1:21" ht="10.199999999999999" x14ac:dyDescent="0.35">
      <c r="A126" s="46" t="s">
        <v>236</v>
      </c>
      <c r="B126" s="46">
        <v>86000</v>
      </c>
      <c r="C126" s="12" t="s">
        <v>40</v>
      </c>
      <c r="D126" s="12">
        <v>0</v>
      </c>
      <c r="E126" s="12" t="s">
        <v>237</v>
      </c>
      <c r="F126" s="2" t="s">
        <v>77</v>
      </c>
      <c r="G126" s="2" t="s">
        <v>87</v>
      </c>
      <c r="H126" s="8">
        <v>4</v>
      </c>
      <c r="I126" s="8">
        <v>60</v>
      </c>
      <c r="J126" s="8">
        <f>I126*H126</f>
        <v>240</v>
      </c>
      <c r="K126" s="8">
        <v>12</v>
      </c>
      <c r="L126" s="8">
        <f>K126*I126</f>
        <v>720</v>
      </c>
      <c r="M126" s="8">
        <v>12</v>
      </c>
      <c r="N126" s="8">
        <f>M126*I126</f>
        <v>720</v>
      </c>
      <c r="O126" s="8">
        <v>12</v>
      </c>
      <c r="P126" s="8">
        <f>O126*I126</f>
        <v>720</v>
      </c>
      <c r="Q126" s="8">
        <v>4</v>
      </c>
      <c r="R126" s="8">
        <f>Q126*I126</f>
        <v>240</v>
      </c>
      <c r="S126" s="8">
        <f>SUM(J126,L126,N126,P126,R126)</f>
        <v>2640</v>
      </c>
      <c r="T126" s="8">
        <v>0</v>
      </c>
      <c r="U126" s="8">
        <f>SUM(S126:T126)</f>
        <v>2640</v>
      </c>
    </row>
    <row r="127" spans="1:21" ht="25.15" customHeight="1" x14ac:dyDescent="0.35">
      <c r="A127" s="92"/>
      <c r="B127" s="92"/>
      <c r="C127" s="92"/>
      <c r="D127" s="92"/>
      <c r="E127" s="59" t="s">
        <v>238</v>
      </c>
      <c r="F127" s="91"/>
      <c r="G127" s="91"/>
      <c r="H127" s="69"/>
      <c r="I127" s="69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</row>
    <row r="128" spans="1:21" ht="10.199999999999999" x14ac:dyDescent="0.35">
      <c r="A128" s="46" t="s">
        <v>239</v>
      </c>
      <c r="B128" s="46">
        <v>87010</v>
      </c>
      <c r="C128" s="12" t="s">
        <v>40</v>
      </c>
      <c r="D128" s="12">
        <v>0</v>
      </c>
      <c r="E128" s="12" t="s">
        <v>240</v>
      </c>
      <c r="F128" s="2" t="s">
        <v>200</v>
      </c>
      <c r="G128" s="2" t="s">
        <v>201</v>
      </c>
      <c r="H128" s="8">
        <v>1</v>
      </c>
      <c r="I128" s="8">
        <v>250</v>
      </c>
      <c r="J128" s="8">
        <f t="shared" si="42"/>
        <v>250</v>
      </c>
      <c r="K128" s="8">
        <v>3</v>
      </c>
      <c r="L128" s="8">
        <f>K128*I128</f>
        <v>750</v>
      </c>
      <c r="M128" s="8">
        <v>10</v>
      </c>
      <c r="N128" s="8">
        <f>M128*I128</f>
        <v>2500</v>
      </c>
      <c r="O128" s="8">
        <v>10</v>
      </c>
      <c r="P128" s="8">
        <f>O128*I128</f>
        <v>2500</v>
      </c>
      <c r="Q128" s="8">
        <v>2</v>
      </c>
      <c r="R128" s="8">
        <f>Q128*I128</f>
        <v>500</v>
      </c>
      <c r="S128" s="8">
        <f>SUM(J128,L128,N128,P128,R128)</f>
        <v>6500</v>
      </c>
      <c r="T128" s="8">
        <v>0</v>
      </c>
      <c r="U128" s="8">
        <f t="shared" ref="U128:U140" si="76">SUM(S128:T128)</f>
        <v>6500</v>
      </c>
    </row>
    <row r="129" spans="1:21" ht="20.399999999999999" x14ac:dyDescent="0.35">
      <c r="A129" s="46" t="s">
        <v>241</v>
      </c>
      <c r="B129" s="46">
        <v>85300</v>
      </c>
      <c r="C129" s="12" t="s">
        <v>40</v>
      </c>
      <c r="D129" s="12">
        <v>0</v>
      </c>
      <c r="E129" s="12" t="s">
        <v>242</v>
      </c>
      <c r="F129" s="2" t="s">
        <v>200</v>
      </c>
      <c r="G129" s="2" t="s">
        <v>115</v>
      </c>
      <c r="H129" s="8">
        <v>0</v>
      </c>
      <c r="I129" s="8">
        <v>1000</v>
      </c>
      <c r="J129" s="8">
        <f t="shared" si="42"/>
        <v>0</v>
      </c>
      <c r="K129" s="8">
        <v>1</v>
      </c>
      <c r="L129" s="8">
        <f>K129*I129</f>
        <v>1000</v>
      </c>
      <c r="M129" s="8"/>
      <c r="N129" s="8">
        <f>M129*I129</f>
        <v>0</v>
      </c>
      <c r="O129" s="8">
        <v>1</v>
      </c>
      <c r="P129" s="8">
        <f>O129*I129</f>
        <v>1000</v>
      </c>
      <c r="Q129" s="8">
        <v>0</v>
      </c>
      <c r="R129" s="8">
        <f>Q129*I129</f>
        <v>0</v>
      </c>
      <c r="S129" s="8">
        <f>SUM(J129,L129,N129,P129,R129)</f>
        <v>2000</v>
      </c>
      <c r="T129" s="8">
        <v>0</v>
      </c>
      <c r="U129" s="8">
        <f t="shared" si="76"/>
        <v>2000</v>
      </c>
    </row>
    <row r="130" spans="1:21" ht="20.399999999999999" x14ac:dyDescent="0.35">
      <c r="A130" s="92"/>
      <c r="B130" s="92"/>
      <c r="C130" s="92"/>
      <c r="D130" s="92"/>
      <c r="E130" s="59" t="s">
        <v>243</v>
      </c>
      <c r="F130" s="91"/>
      <c r="G130" s="91"/>
      <c r="H130" s="69"/>
      <c r="I130" s="69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</row>
    <row r="131" spans="1:21" ht="20.399999999999999" x14ac:dyDescent="0.35">
      <c r="A131" s="46" t="s">
        <v>244</v>
      </c>
      <c r="B131" s="46">
        <v>81000</v>
      </c>
      <c r="C131" s="12" t="s">
        <v>40</v>
      </c>
      <c r="D131" s="12">
        <v>0</v>
      </c>
      <c r="E131" s="12" t="s">
        <v>245</v>
      </c>
      <c r="F131" s="2" t="s">
        <v>161</v>
      </c>
      <c r="G131" s="2" t="s">
        <v>87</v>
      </c>
      <c r="H131" s="8">
        <v>0</v>
      </c>
      <c r="I131" s="8">
        <v>350</v>
      </c>
      <c r="J131" s="8">
        <f>I131*H131</f>
        <v>0</v>
      </c>
      <c r="K131" s="8">
        <v>10</v>
      </c>
      <c r="L131" s="8">
        <f>K131*I131</f>
        <v>3500</v>
      </c>
      <c r="M131" s="8">
        <v>15</v>
      </c>
      <c r="N131" s="8">
        <f>M131*I131</f>
        <v>5250</v>
      </c>
      <c r="O131" s="8">
        <v>0</v>
      </c>
      <c r="P131" s="8">
        <f>O131*I131</f>
        <v>0</v>
      </c>
      <c r="Q131" s="8">
        <v>0</v>
      </c>
      <c r="R131" s="8">
        <f>Q131*I131</f>
        <v>0</v>
      </c>
      <c r="S131" s="8">
        <f>SUM(J131,L131,N131,P131,R131)</f>
        <v>8750</v>
      </c>
      <c r="T131" s="8">
        <v>0</v>
      </c>
      <c r="U131" s="8">
        <f>SUM(S131:T131)</f>
        <v>8750</v>
      </c>
    </row>
    <row r="132" spans="1:21" ht="10.199999999999999" x14ac:dyDescent="0.35">
      <c r="A132" s="46" t="s">
        <v>246</v>
      </c>
      <c r="B132" s="46">
        <v>87000</v>
      </c>
      <c r="C132" s="12" t="s">
        <v>40</v>
      </c>
      <c r="D132" s="12">
        <v>0</v>
      </c>
      <c r="E132" s="12" t="s">
        <v>247</v>
      </c>
      <c r="F132" s="2" t="s">
        <v>200</v>
      </c>
      <c r="G132" s="2" t="s">
        <v>248</v>
      </c>
      <c r="H132" s="8">
        <v>0</v>
      </c>
      <c r="I132" s="8">
        <v>500</v>
      </c>
      <c r="J132" s="8">
        <f t="shared" ref="J132" si="77">I132*H132</f>
        <v>0</v>
      </c>
      <c r="K132" s="8">
        <v>1</v>
      </c>
      <c r="L132" s="8">
        <f>K132*I132</f>
        <v>500</v>
      </c>
      <c r="M132" s="8">
        <v>1</v>
      </c>
      <c r="N132" s="8">
        <f>M132*I132</f>
        <v>500</v>
      </c>
      <c r="O132" s="8">
        <v>1</v>
      </c>
      <c r="P132" s="8">
        <f>O132*I132</f>
        <v>500</v>
      </c>
      <c r="Q132" s="8">
        <v>0</v>
      </c>
      <c r="R132" s="8">
        <f>Q132*I132</f>
        <v>0</v>
      </c>
      <c r="S132" s="8">
        <f>SUM(J132,L132,N132,P132,R132)</f>
        <v>1500</v>
      </c>
      <c r="T132" s="8">
        <v>0</v>
      </c>
      <c r="U132" s="8">
        <f t="shared" ref="U132" si="78">SUM(S132:T132)</f>
        <v>1500</v>
      </c>
    </row>
    <row r="133" spans="1:21" ht="20.399999999999999" x14ac:dyDescent="0.35">
      <c r="A133" s="46" t="s">
        <v>249</v>
      </c>
      <c r="B133" s="33" t="s">
        <v>85</v>
      </c>
      <c r="C133" s="12" t="s">
        <v>40</v>
      </c>
      <c r="D133" s="12">
        <v>0</v>
      </c>
      <c r="E133" s="12" t="s">
        <v>250</v>
      </c>
      <c r="F133" s="2" t="s">
        <v>77</v>
      </c>
      <c r="G133" s="2" t="s">
        <v>87</v>
      </c>
      <c r="H133" s="8"/>
      <c r="I133" s="8">
        <v>110</v>
      </c>
      <c r="J133" s="8">
        <f t="shared" si="42"/>
        <v>0</v>
      </c>
      <c r="K133" s="8">
        <v>12</v>
      </c>
      <c r="L133" s="8">
        <f>K133*I133</f>
        <v>1320</v>
      </c>
      <c r="M133" s="8">
        <v>12</v>
      </c>
      <c r="N133" s="8">
        <f>M133*I133</f>
        <v>1320</v>
      </c>
      <c r="O133" s="8">
        <v>12</v>
      </c>
      <c r="P133" s="8">
        <f>O133*I133</f>
        <v>1320</v>
      </c>
      <c r="Q133" s="8">
        <v>4</v>
      </c>
      <c r="R133" s="8">
        <f>Q133*I133</f>
        <v>440</v>
      </c>
      <c r="S133" s="8">
        <f>SUM(J133,L133,N133,P133,R133)</f>
        <v>4400</v>
      </c>
      <c r="T133" s="8">
        <v>0</v>
      </c>
      <c r="U133" s="8">
        <f t="shared" si="76"/>
        <v>4400</v>
      </c>
    </row>
    <row r="134" spans="1:21" ht="10.199999999999999" x14ac:dyDescent="0.35">
      <c r="A134" s="46" t="s">
        <v>251</v>
      </c>
      <c r="B134" s="46">
        <v>86000</v>
      </c>
      <c r="C134" s="12" t="s">
        <v>40</v>
      </c>
      <c r="D134" s="12">
        <v>0</v>
      </c>
      <c r="E134" s="12" t="s">
        <v>252</v>
      </c>
      <c r="F134" s="2" t="s">
        <v>77</v>
      </c>
      <c r="G134" s="2" t="s">
        <v>87</v>
      </c>
      <c r="H134" s="8"/>
      <c r="I134" s="8">
        <v>60</v>
      </c>
      <c r="J134" s="8">
        <f t="shared" si="42"/>
        <v>0</v>
      </c>
      <c r="K134" s="8">
        <v>12</v>
      </c>
      <c r="L134" s="8">
        <f>K134*I134</f>
        <v>720</v>
      </c>
      <c r="M134" s="8">
        <v>12</v>
      </c>
      <c r="N134" s="8">
        <f>M134*I134</f>
        <v>720</v>
      </c>
      <c r="O134" s="8">
        <v>12</v>
      </c>
      <c r="P134" s="8">
        <f>O134*I134</f>
        <v>720</v>
      </c>
      <c r="Q134" s="8">
        <v>4</v>
      </c>
      <c r="R134" s="8">
        <f>Q134*I134</f>
        <v>240</v>
      </c>
      <c r="S134" s="8">
        <f>SUM(J134,L134,N134,P134,R134)</f>
        <v>2400</v>
      </c>
      <c r="T134" s="8">
        <v>0</v>
      </c>
      <c r="U134" s="8">
        <f t="shared" si="76"/>
        <v>2400</v>
      </c>
    </row>
    <row r="135" spans="1:21" ht="20.399999999999999" x14ac:dyDescent="0.35">
      <c r="A135" s="92"/>
      <c r="B135" s="92"/>
      <c r="C135" s="92"/>
      <c r="D135" s="92"/>
      <c r="E135" s="59" t="s">
        <v>253</v>
      </c>
      <c r="F135" s="91"/>
      <c r="G135" s="91"/>
      <c r="H135" s="69"/>
      <c r="I135" s="69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</row>
    <row r="136" spans="1:21" ht="10.199999999999999" x14ac:dyDescent="0.35">
      <c r="A136" s="46" t="s">
        <v>254</v>
      </c>
      <c r="B136" s="46">
        <v>87010</v>
      </c>
      <c r="C136" s="12" t="s">
        <v>40</v>
      </c>
      <c r="D136" s="12">
        <v>0</v>
      </c>
      <c r="E136" s="12" t="s">
        <v>255</v>
      </c>
      <c r="F136" s="2" t="s">
        <v>200</v>
      </c>
      <c r="G136" s="2" t="s">
        <v>115</v>
      </c>
      <c r="H136" s="8">
        <v>1</v>
      </c>
      <c r="I136" s="8">
        <v>500</v>
      </c>
      <c r="J136" s="8">
        <f t="shared" si="42"/>
        <v>500</v>
      </c>
      <c r="K136" s="8">
        <v>4</v>
      </c>
      <c r="L136" s="8">
        <f>K136*I136</f>
        <v>2000</v>
      </c>
      <c r="M136" s="8">
        <v>4</v>
      </c>
      <c r="N136" s="8">
        <f>M136*I136</f>
        <v>2000</v>
      </c>
      <c r="O136" s="8">
        <v>4</v>
      </c>
      <c r="P136" s="8">
        <f>O136*I136</f>
        <v>2000</v>
      </c>
      <c r="Q136" s="8"/>
      <c r="R136" s="8">
        <f>Q136*I136</f>
        <v>0</v>
      </c>
      <c r="S136" s="8">
        <f>SUM(J136,L136,N136,P136,R136)</f>
        <v>6500</v>
      </c>
      <c r="T136" s="8">
        <v>0</v>
      </c>
      <c r="U136" s="8">
        <f t="shared" si="76"/>
        <v>6500</v>
      </c>
    </row>
    <row r="137" spans="1:21" ht="10.199999999999999" x14ac:dyDescent="0.35">
      <c r="A137" s="46" t="s">
        <v>256</v>
      </c>
      <c r="B137" s="46">
        <v>81000</v>
      </c>
      <c r="C137" s="12" t="s">
        <v>40</v>
      </c>
      <c r="D137" s="12">
        <v>0</v>
      </c>
      <c r="E137" s="12" t="s">
        <v>257</v>
      </c>
      <c r="F137" s="2" t="s">
        <v>161</v>
      </c>
      <c r="G137" s="2" t="s">
        <v>87</v>
      </c>
      <c r="H137" s="8">
        <v>0</v>
      </c>
      <c r="I137" s="8">
        <v>350</v>
      </c>
      <c r="J137" s="8">
        <f t="shared" si="42"/>
        <v>0</v>
      </c>
      <c r="K137" s="8">
        <v>8</v>
      </c>
      <c r="L137" s="8">
        <f>K137*I137</f>
        <v>2800</v>
      </c>
      <c r="M137" s="8">
        <v>20</v>
      </c>
      <c r="N137" s="8">
        <f>M137*I137</f>
        <v>7000</v>
      </c>
      <c r="O137" s="8">
        <v>20</v>
      </c>
      <c r="P137" s="8">
        <f>O137*I137</f>
        <v>7000</v>
      </c>
      <c r="Q137" s="8"/>
      <c r="R137" s="8">
        <f>Q137*I137</f>
        <v>0</v>
      </c>
      <c r="S137" s="8">
        <f>SUM(J137,L137,N137,P137,R137)</f>
        <v>16800</v>
      </c>
      <c r="T137" s="8">
        <v>0</v>
      </c>
      <c r="U137" s="8">
        <f t="shared" si="76"/>
        <v>16800</v>
      </c>
    </row>
    <row r="138" spans="1:21" ht="10.199999999999999" x14ac:dyDescent="0.35">
      <c r="A138" s="46" t="s">
        <v>258</v>
      </c>
      <c r="B138" s="46">
        <v>81000</v>
      </c>
      <c r="C138" s="12" t="s">
        <v>40</v>
      </c>
      <c r="D138" s="12">
        <v>0</v>
      </c>
      <c r="E138" s="12" t="s">
        <v>259</v>
      </c>
      <c r="F138" s="2" t="s">
        <v>161</v>
      </c>
      <c r="G138" s="2" t="s">
        <v>87</v>
      </c>
      <c r="H138" s="8">
        <v>0</v>
      </c>
      <c r="I138" s="8">
        <v>300</v>
      </c>
      <c r="J138" s="8">
        <f t="shared" si="42"/>
        <v>0</v>
      </c>
      <c r="K138" s="8"/>
      <c r="L138" s="8">
        <f>K138*I138</f>
        <v>0</v>
      </c>
      <c r="M138" s="8">
        <v>20</v>
      </c>
      <c r="N138" s="8">
        <f>M138*I138</f>
        <v>6000</v>
      </c>
      <c r="O138" s="8"/>
      <c r="P138" s="8">
        <f>O138*I138</f>
        <v>0</v>
      </c>
      <c r="Q138" s="8"/>
      <c r="R138" s="8">
        <f>Q138*I138</f>
        <v>0</v>
      </c>
      <c r="S138" s="8">
        <f>SUM(J138,L138,N138,P138,R138)</f>
        <v>6000</v>
      </c>
      <c r="T138" s="8">
        <v>0</v>
      </c>
      <c r="U138" s="8">
        <f t="shared" si="76"/>
        <v>6000</v>
      </c>
    </row>
    <row r="139" spans="1:21" ht="10.199999999999999" x14ac:dyDescent="0.35">
      <c r="A139" s="46" t="s">
        <v>260</v>
      </c>
      <c r="B139" s="46">
        <v>81000</v>
      </c>
      <c r="C139" s="12" t="s">
        <v>40</v>
      </c>
      <c r="D139" s="12">
        <v>0</v>
      </c>
      <c r="E139" s="12" t="s">
        <v>261</v>
      </c>
      <c r="F139" s="2" t="s">
        <v>161</v>
      </c>
      <c r="G139" s="2" t="s">
        <v>87</v>
      </c>
      <c r="H139" s="8">
        <v>0</v>
      </c>
      <c r="I139" s="8">
        <v>150</v>
      </c>
      <c r="J139" s="8">
        <f t="shared" si="42"/>
        <v>0</v>
      </c>
      <c r="K139" s="8"/>
      <c r="L139" s="8">
        <f>K139*I139</f>
        <v>0</v>
      </c>
      <c r="M139" s="8">
        <v>20</v>
      </c>
      <c r="N139" s="8">
        <f>M139*I139</f>
        <v>3000</v>
      </c>
      <c r="O139" s="8">
        <v>0</v>
      </c>
      <c r="P139" s="8">
        <f>O139*I139</f>
        <v>0</v>
      </c>
      <c r="Q139" s="8"/>
      <c r="R139" s="8">
        <f>Q139*I139</f>
        <v>0</v>
      </c>
      <c r="S139" s="8">
        <f>SUM(J139,L139,N139,P139,R139)</f>
        <v>3000</v>
      </c>
      <c r="T139" s="8">
        <v>0</v>
      </c>
      <c r="U139" s="8">
        <f t="shared" si="76"/>
        <v>3000</v>
      </c>
    </row>
    <row r="140" spans="1:21" ht="10.199999999999999" x14ac:dyDescent="0.35">
      <c r="A140" s="46" t="s">
        <v>262</v>
      </c>
      <c r="B140" s="46">
        <v>85300</v>
      </c>
      <c r="C140" s="12" t="s">
        <v>40</v>
      </c>
      <c r="D140" s="12">
        <v>0</v>
      </c>
      <c r="E140" s="12" t="s">
        <v>263</v>
      </c>
      <c r="F140" s="2" t="s">
        <v>200</v>
      </c>
      <c r="G140" s="2" t="s">
        <v>115</v>
      </c>
      <c r="H140" s="8">
        <v>0</v>
      </c>
      <c r="I140" s="8">
        <v>1000</v>
      </c>
      <c r="J140" s="8">
        <f t="shared" si="42"/>
        <v>0</v>
      </c>
      <c r="K140" s="8"/>
      <c r="L140" s="8">
        <f>K140*I140</f>
        <v>0</v>
      </c>
      <c r="M140" s="8">
        <v>4</v>
      </c>
      <c r="N140" s="8">
        <f>M140*I140</f>
        <v>4000</v>
      </c>
      <c r="O140" s="8">
        <v>4</v>
      </c>
      <c r="P140" s="8">
        <f>O140*I140</f>
        <v>4000</v>
      </c>
      <c r="Q140" s="8">
        <v>4</v>
      </c>
      <c r="R140" s="8">
        <f>Q140*I140</f>
        <v>4000</v>
      </c>
      <c r="S140" s="8">
        <f>SUM(J140,L140,N140,P140,R140)</f>
        <v>12000</v>
      </c>
      <c r="T140" s="8">
        <v>0</v>
      </c>
      <c r="U140" s="8">
        <f t="shared" si="76"/>
        <v>12000</v>
      </c>
    </row>
    <row r="141" spans="1:21" ht="20.399999999999999" x14ac:dyDescent="0.35">
      <c r="A141" s="46"/>
      <c r="B141" s="46"/>
      <c r="C141" s="46"/>
      <c r="D141" s="46"/>
      <c r="E141" s="274" t="s">
        <v>264</v>
      </c>
      <c r="F141" s="91"/>
      <c r="G141" s="91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</row>
    <row r="142" spans="1:21" ht="20.399999999999999" x14ac:dyDescent="0.35">
      <c r="A142" s="46" t="s">
        <v>265</v>
      </c>
      <c r="B142" s="46">
        <v>81000</v>
      </c>
      <c r="C142" s="12" t="s">
        <v>40</v>
      </c>
      <c r="D142" s="12">
        <v>0</v>
      </c>
      <c r="E142" s="136" t="s">
        <v>266</v>
      </c>
      <c r="F142" s="2" t="s">
        <v>161</v>
      </c>
      <c r="G142" s="2" t="s">
        <v>87</v>
      </c>
      <c r="H142" s="8"/>
      <c r="I142" s="8">
        <v>350</v>
      </c>
      <c r="J142" s="8">
        <f>I142*H142</f>
        <v>0</v>
      </c>
      <c r="K142" s="8">
        <v>15</v>
      </c>
      <c r="L142" s="8">
        <f>K142*I142</f>
        <v>5250</v>
      </c>
      <c r="M142" s="8"/>
      <c r="N142" s="8">
        <f>M142*I142</f>
        <v>0</v>
      </c>
      <c r="O142" s="8"/>
      <c r="P142" s="8">
        <f>O142*I142</f>
        <v>0</v>
      </c>
      <c r="Q142" s="257"/>
      <c r="R142" s="8">
        <f>Q142*I142</f>
        <v>0</v>
      </c>
      <c r="S142" s="8">
        <f>SUM(J142,L142,N142,P142,R142)</f>
        <v>5250</v>
      </c>
      <c r="T142" s="8">
        <v>0</v>
      </c>
      <c r="U142" s="8">
        <f>SUM(S142:T142)</f>
        <v>5250</v>
      </c>
    </row>
    <row r="143" spans="1:21" ht="10.8" thickBot="1" x14ac:dyDescent="0.45">
      <c r="A143" s="34"/>
      <c r="B143" s="34"/>
      <c r="C143" s="34"/>
      <c r="D143" s="34"/>
      <c r="E143" s="18" t="s">
        <v>267</v>
      </c>
      <c r="F143" s="18"/>
      <c r="G143" s="18"/>
      <c r="H143" s="26"/>
      <c r="I143" s="26"/>
      <c r="J143" s="31">
        <f>SUM(J105:J142)</f>
        <v>6030</v>
      </c>
      <c r="K143" s="31"/>
      <c r="L143" s="31">
        <f>SUM(L105:L142)</f>
        <v>67050</v>
      </c>
      <c r="M143" s="31"/>
      <c r="N143" s="31">
        <f>SUM(N105:N142)</f>
        <v>55450</v>
      </c>
      <c r="O143" s="31"/>
      <c r="P143" s="31">
        <f>SUM(P105:P142)</f>
        <v>42200</v>
      </c>
      <c r="Q143" s="31"/>
      <c r="R143" s="31">
        <f>SUM(R105:R142)</f>
        <v>16520</v>
      </c>
      <c r="S143" s="31">
        <f>J143+L143+N143+P143+R143</f>
        <v>187250</v>
      </c>
      <c r="T143" s="31">
        <f>SUM(T105:T134)</f>
        <v>0</v>
      </c>
      <c r="U143" s="31">
        <f>SUM(S143:T143)</f>
        <v>187250</v>
      </c>
    </row>
    <row r="144" spans="1:21" ht="21" x14ac:dyDescent="0.35">
      <c r="A144" s="177"/>
      <c r="B144" s="177"/>
      <c r="C144" s="177"/>
      <c r="D144" s="177"/>
      <c r="E144" s="149" t="s">
        <v>268</v>
      </c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</row>
    <row r="145" spans="1:21" ht="10.5" x14ac:dyDescent="0.4">
      <c r="A145" s="41"/>
      <c r="B145" s="41"/>
      <c r="C145" s="41"/>
      <c r="D145" s="41"/>
      <c r="E145" s="44" t="s">
        <v>196</v>
      </c>
      <c r="F145" s="44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</row>
    <row r="146" spans="1:21" ht="20.399999999999999" x14ac:dyDescent="0.35">
      <c r="A146" s="271"/>
      <c r="B146" s="271"/>
      <c r="C146" s="271"/>
      <c r="D146" s="271"/>
      <c r="E146" s="4" t="s">
        <v>269</v>
      </c>
      <c r="F146" s="271"/>
      <c r="G146" s="271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</row>
    <row r="147" spans="1:21" ht="20.399999999999999" x14ac:dyDescent="0.35">
      <c r="A147" s="46" t="s">
        <v>270</v>
      </c>
      <c r="B147" s="46">
        <v>81000</v>
      </c>
      <c r="C147" s="12" t="s">
        <v>40</v>
      </c>
      <c r="D147" s="12">
        <v>0</v>
      </c>
      <c r="E147" s="33" t="s">
        <v>271</v>
      </c>
      <c r="F147" s="90" t="s">
        <v>161</v>
      </c>
      <c r="G147" s="90" t="s">
        <v>228</v>
      </c>
      <c r="H147" s="93">
        <v>0</v>
      </c>
      <c r="I147" s="93">
        <v>150</v>
      </c>
      <c r="J147" s="133">
        <f>I147*H147</f>
        <v>0</v>
      </c>
      <c r="K147" s="93">
        <v>30</v>
      </c>
      <c r="L147" s="133">
        <f>K147*I147</f>
        <v>4500</v>
      </c>
      <c r="M147" s="93">
        <v>0</v>
      </c>
      <c r="N147" s="133">
        <f>M147*I147</f>
        <v>0</v>
      </c>
      <c r="O147" s="93">
        <v>0</v>
      </c>
      <c r="P147" s="133">
        <f>O147*I147</f>
        <v>0</v>
      </c>
      <c r="Q147" s="93">
        <v>0</v>
      </c>
      <c r="R147" s="133">
        <f>Q147*I147</f>
        <v>0</v>
      </c>
      <c r="S147" s="133">
        <f>SUM(J147,L147,N147,P147,R147)</f>
        <v>4500</v>
      </c>
      <c r="T147" s="93">
        <v>0</v>
      </c>
      <c r="U147" s="133">
        <f>SUM(S147:T147)</f>
        <v>4500</v>
      </c>
    </row>
    <row r="148" spans="1:21" ht="31.5" customHeight="1" x14ac:dyDescent="0.35">
      <c r="A148" s="176"/>
      <c r="B148" s="176"/>
      <c r="C148" s="176"/>
      <c r="D148" s="176"/>
      <c r="E148" s="61" t="s">
        <v>272</v>
      </c>
      <c r="F148" s="131"/>
      <c r="G148" s="131"/>
      <c r="H148" s="132"/>
      <c r="I148" s="132"/>
      <c r="J148" s="128"/>
      <c r="K148" s="132"/>
      <c r="L148" s="128"/>
      <c r="M148" s="132"/>
      <c r="N148" s="128"/>
      <c r="O148" s="132"/>
      <c r="P148" s="128"/>
      <c r="Q148" s="132"/>
      <c r="R148" s="128"/>
      <c r="S148" s="128"/>
      <c r="T148" s="128"/>
      <c r="U148" s="128"/>
    </row>
    <row r="149" spans="1:21" ht="20.399999999999999" x14ac:dyDescent="0.35">
      <c r="A149" s="46" t="s">
        <v>273</v>
      </c>
      <c r="B149" s="46">
        <v>81000</v>
      </c>
      <c r="C149" s="12" t="s">
        <v>40</v>
      </c>
      <c r="D149" s="12">
        <v>0</v>
      </c>
      <c r="E149" s="12" t="s">
        <v>274</v>
      </c>
      <c r="F149" s="2" t="s">
        <v>161</v>
      </c>
      <c r="G149" s="2" t="s">
        <v>87</v>
      </c>
      <c r="H149" s="8">
        <v>0</v>
      </c>
      <c r="I149" s="8">
        <v>500</v>
      </c>
      <c r="J149" s="8">
        <f>I149*H149</f>
        <v>0</v>
      </c>
      <c r="K149" s="8">
        <v>10</v>
      </c>
      <c r="L149" s="8">
        <f>K149*I149</f>
        <v>5000</v>
      </c>
      <c r="M149" s="8">
        <v>10</v>
      </c>
      <c r="N149" s="8">
        <f>M149*I149</f>
        <v>5000</v>
      </c>
      <c r="O149" s="8">
        <v>8</v>
      </c>
      <c r="P149" s="8">
        <f>O149*I149</f>
        <v>4000</v>
      </c>
      <c r="Q149" s="8"/>
      <c r="R149" s="8">
        <f>Q149*I149</f>
        <v>0</v>
      </c>
      <c r="S149" s="8">
        <f>SUM(J149,L149,N149,P149,R149)</f>
        <v>14000</v>
      </c>
      <c r="T149" s="8">
        <v>0</v>
      </c>
      <c r="U149" s="8">
        <f>SUM(S149:T149)</f>
        <v>14000</v>
      </c>
    </row>
    <row r="150" spans="1:21" ht="20.399999999999999" x14ac:dyDescent="0.35">
      <c r="A150" s="46" t="s">
        <v>275</v>
      </c>
      <c r="B150" s="33" t="s">
        <v>85</v>
      </c>
      <c r="C150" s="12" t="s">
        <v>40</v>
      </c>
      <c r="D150" s="12">
        <v>0</v>
      </c>
      <c r="E150" s="12" t="s">
        <v>276</v>
      </c>
      <c r="F150" s="2" t="s">
        <v>77</v>
      </c>
      <c r="G150" s="2" t="s">
        <v>87</v>
      </c>
      <c r="H150" s="8">
        <v>0</v>
      </c>
      <c r="I150" s="8">
        <v>110</v>
      </c>
      <c r="J150" s="8">
        <f>I150*H150</f>
        <v>0</v>
      </c>
      <c r="K150" s="8">
        <v>0</v>
      </c>
      <c r="L150" s="8">
        <f>K150*I150</f>
        <v>0</v>
      </c>
      <c r="M150" s="8">
        <v>20</v>
      </c>
      <c r="N150" s="8">
        <f>M150*I150</f>
        <v>2200</v>
      </c>
      <c r="O150" s="8">
        <v>20</v>
      </c>
      <c r="P150" s="8">
        <f>O150*I150</f>
        <v>2200</v>
      </c>
      <c r="Q150" s="8">
        <v>8</v>
      </c>
      <c r="R150" s="8">
        <f>Q150*I150</f>
        <v>880</v>
      </c>
      <c r="S150" s="8">
        <f>SUM(J150,L150,N150,P150,R150)</f>
        <v>5280</v>
      </c>
      <c r="T150" s="8">
        <v>0</v>
      </c>
      <c r="U150" s="8">
        <f>SUM(S150:T150)</f>
        <v>5280</v>
      </c>
    </row>
    <row r="151" spans="1:21" ht="10.199999999999999" x14ac:dyDescent="0.35">
      <c r="A151" s="46" t="s">
        <v>277</v>
      </c>
      <c r="B151" s="46">
        <v>86000</v>
      </c>
      <c r="C151" s="12" t="s">
        <v>40</v>
      </c>
      <c r="D151" s="12">
        <v>0</v>
      </c>
      <c r="E151" s="12" t="s">
        <v>278</v>
      </c>
      <c r="F151" s="2" t="s">
        <v>77</v>
      </c>
      <c r="G151" s="2" t="s">
        <v>87</v>
      </c>
      <c r="H151" s="8">
        <v>0</v>
      </c>
      <c r="I151" s="8">
        <v>60</v>
      </c>
      <c r="J151" s="8">
        <f>I151*H151</f>
        <v>0</v>
      </c>
      <c r="K151" s="8">
        <v>0</v>
      </c>
      <c r="L151" s="8">
        <f>K151*I151</f>
        <v>0</v>
      </c>
      <c r="M151" s="8">
        <v>20</v>
      </c>
      <c r="N151" s="8">
        <f>M151*I151</f>
        <v>1200</v>
      </c>
      <c r="O151" s="8">
        <v>20</v>
      </c>
      <c r="P151" s="8">
        <f>O151*I151</f>
        <v>1200</v>
      </c>
      <c r="Q151" s="8">
        <v>8</v>
      </c>
      <c r="R151" s="8">
        <f>Q151*I151</f>
        <v>480</v>
      </c>
      <c r="S151" s="8">
        <f>SUM(J151,L151,N151,P151,R151)</f>
        <v>2880</v>
      </c>
      <c r="T151" s="8">
        <v>0</v>
      </c>
      <c r="U151" s="8">
        <f>SUM(S151:T151)</f>
        <v>2880</v>
      </c>
    </row>
    <row r="152" spans="1:21" ht="30.6" x14ac:dyDescent="0.35">
      <c r="A152" s="105"/>
      <c r="B152" s="105"/>
      <c r="C152" s="105"/>
      <c r="D152" s="105"/>
      <c r="E152" s="150" t="s">
        <v>279</v>
      </c>
      <c r="F152" s="105"/>
      <c r="G152" s="105"/>
      <c r="H152" s="106"/>
      <c r="I152" s="106"/>
      <c r="J152" s="146"/>
      <c r="K152" s="147"/>
      <c r="L152" s="146"/>
      <c r="M152" s="147"/>
      <c r="N152" s="146"/>
      <c r="O152" s="147"/>
      <c r="P152" s="146"/>
      <c r="Q152" s="147"/>
      <c r="R152" s="146"/>
      <c r="S152" s="146"/>
      <c r="T152" s="147"/>
      <c r="U152" s="146"/>
    </row>
    <row r="153" spans="1:21" s="22" customFormat="1" ht="20.399999999999999" x14ac:dyDescent="0.35">
      <c r="A153" s="46" t="s">
        <v>280</v>
      </c>
      <c r="B153" s="46">
        <v>81000</v>
      </c>
      <c r="C153" s="12" t="s">
        <v>40</v>
      </c>
      <c r="D153" s="12">
        <v>0</v>
      </c>
      <c r="E153" s="33" t="s">
        <v>281</v>
      </c>
      <c r="F153" s="90" t="s">
        <v>161</v>
      </c>
      <c r="G153" s="90" t="s">
        <v>228</v>
      </c>
      <c r="H153" s="259">
        <v>0</v>
      </c>
      <c r="I153" s="259">
        <v>200</v>
      </c>
      <c r="J153" s="260">
        <f>I153*H153</f>
        <v>0</v>
      </c>
      <c r="K153" s="259">
        <v>15</v>
      </c>
      <c r="L153" s="260">
        <f>K153*I153</f>
        <v>3000</v>
      </c>
      <c r="M153" s="259">
        <v>15</v>
      </c>
      <c r="N153" s="260">
        <f>M153*I153</f>
        <v>3000</v>
      </c>
      <c r="O153" s="259">
        <v>0</v>
      </c>
      <c r="P153" s="133">
        <f>O153*I153</f>
        <v>0</v>
      </c>
      <c r="Q153" s="93">
        <v>0</v>
      </c>
      <c r="R153" s="133">
        <f>Q153*I153</f>
        <v>0</v>
      </c>
      <c r="S153" s="133">
        <f>SUM(J153,L153,N153,P153,R153)</f>
        <v>6000</v>
      </c>
      <c r="T153" s="93">
        <v>0</v>
      </c>
      <c r="U153" s="133">
        <f>SUM(S153:T153)</f>
        <v>6000</v>
      </c>
    </row>
    <row r="154" spans="1:21" ht="10.199999999999999" x14ac:dyDescent="0.35">
      <c r="A154" s="46" t="s">
        <v>282</v>
      </c>
      <c r="B154" s="46">
        <v>89400</v>
      </c>
      <c r="C154" s="12" t="s">
        <v>40</v>
      </c>
      <c r="D154" s="12">
        <v>0</v>
      </c>
      <c r="E154" s="33" t="s">
        <v>283</v>
      </c>
      <c r="F154" s="90" t="s">
        <v>284</v>
      </c>
      <c r="G154" s="90" t="s">
        <v>115</v>
      </c>
      <c r="H154" s="259">
        <v>1</v>
      </c>
      <c r="I154" s="259">
        <v>500</v>
      </c>
      <c r="J154" s="260">
        <f>I154*H154</f>
        <v>500</v>
      </c>
      <c r="K154" s="259">
        <v>4</v>
      </c>
      <c r="L154" s="260">
        <f>K154*I154</f>
        <v>2000</v>
      </c>
      <c r="M154" s="259">
        <v>5</v>
      </c>
      <c r="N154" s="260">
        <f>M154*I154</f>
        <v>2500</v>
      </c>
      <c r="O154" s="259">
        <v>0</v>
      </c>
      <c r="P154" s="133">
        <f>O154*I154</f>
        <v>0</v>
      </c>
      <c r="Q154" s="93">
        <v>0</v>
      </c>
      <c r="R154" s="133">
        <f>Q154*I154</f>
        <v>0</v>
      </c>
      <c r="S154" s="133">
        <f>SUM(J154,L154,N154,P154,R154)</f>
        <v>5000</v>
      </c>
      <c r="T154" s="93">
        <v>0</v>
      </c>
      <c r="U154" s="133">
        <f>SUM(S154:T154)</f>
        <v>5000</v>
      </c>
    </row>
    <row r="155" spans="1:21" ht="10.199999999999999" x14ac:dyDescent="0.35">
      <c r="A155" s="46" t="s">
        <v>285</v>
      </c>
      <c r="B155" s="33">
        <v>87010</v>
      </c>
      <c r="C155" s="12" t="s">
        <v>40</v>
      </c>
      <c r="D155" s="12">
        <v>0</v>
      </c>
      <c r="E155" s="33" t="s">
        <v>286</v>
      </c>
      <c r="F155" s="90" t="s">
        <v>284</v>
      </c>
      <c r="G155" s="90" t="s">
        <v>201</v>
      </c>
      <c r="H155" s="93">
        <v>1</v>
      </c>
      <c r="I155" s="93">
        <v>200</v>
      </c>
      <c r="J155" s="133">
        <f>I155*H155</f>
        <v>200</v>
      </c>
      <c r="K155" s="93">
        <v>4</v>
      </c>
      <c r="L155" s="133">
        <f>K155*I155</f>
        <v>800</v>
      </c>
      <c r="M155" s="93"/>
      <c r="N155" s="133">
        <f>M155*I155</f>
        <v>0</v>
      </c>
      <c r="O155" s="93">
        <v>0</v>
      </c>
      <c r="P155" s="133">
        <f>O155*I155</f>
        <v>0</v>
      </c>
      <c r="Q155" s="93">
        <v>0</v>
      </c>
      <c r="R155" s="133">
        <f>Q155*I155</f>
        <v>0</v>
      </c>
      <c r="S155" s="133">
        <f>SUM(J155,L155,N155,P155,R155)</f>
        <v>1000</v>
      </c>
      <c r="T155" s="93">
        <v>0</v>
      </c>
      <c r="U155" s="133">
        <f>SUM(S155:T155)</f>
        <v>1000</v>
      </c>
    </row>
    <row r="156" spans="1:21" ht="20.399999999999999" x14ac:dyDescent="0.35">
      <c r="A156" s="46" t="s">
        <v>287</v>
      </c>
      <c r="B156" s="33" t="s">
        <v>85</v>
      </c>
      <c r="C156" s="12" t="s">
        <v>40</v>
      </c>
      <c r="D156" s="12">
        <v>0</v>
      </c>
      <c r="E156" s="33" t="s">
        <v>288</v>
      </c>
      <c r="F156" s="90" t="s">
        <v>77</v>
      </c>
      <c r="G156" s="90" t="s">
        <v>228</v>
      </c>
      <c r="H156" s="93">
        <v>0</v>
      </c>
      <c r="I156" s="93">
        <v>110</v>
      </c>
      <c r="J156" s="133">
        <f>I156*H156</f>
        <v>0</v>
      </c>
      <c r="K156" s="93">
        <v>8</v>
      </c>
      <c r="L156" s="133">
        <f>K156*I156</f>
        <v>880</v>
      </c>
      <c r="M156" s="93"/>
      <c r="N156" s="133">
        <f>M156*I156</f>
        <v>0</v>
      </c>
      <c r="O156" s="93">
        <v>0</v>
      </c>
      <c r="P156" s="133">
        <f>O156*I156</f>
        <v>0</v>
      </c>
      <c r="Q156" s="93">
        <v>0</v>
      </c>
      <c r="R156" s="133">
        <f>Q156*I156</f>
        <v>0</v>
      </c>
      <c r="S156" s="133">
        <f>SUM(J156,L156,N156,P156,R156)</f>
        <v>880</v>
      </c>
      <c r="T156" s="93">
        <v>0</v>
      </c>
      <c r="U156" s="133">
        <f>SUM(S156:T156)</f>
        <v>880</v>
      </c>
    </row>
    <row r="157" spans="1:21" s="22" customFormat="1" ht="10.199999999999999" x14ac:dyDescent="0.35">
      <c r="A157" s="46" t="s">
        <v>289</v>
      </c>
      <c r="B157" s="46">
        <v>86000</v>
      </c>
      <c r="C157" s="12" t="s">
        <v>40</v>
      </c>
      <c r="D157" s="12">
        <v>0</v>
      </c>
      <c r="E157" s="1" t="s">
        <v>290</v>
      </c>
      <c r="F157" s="2" t="s">
        <v>77</v>
      </c>
      <c r="G157" s="90" t="s">
        <v>228</v>
      </c>
      <c r="H157" s="93">
        <v>0</v>
      </c>
      <c r="I157" s="93">
        <v>60</v>
      </c>
      <c r="J157" s="133">
        <f>I157*H157</f>
        <v>0</v>
      </c>
      <c r="K157" s="93">
        <v>8</v>
      </c>
      <c r="L157" s="133">
        <f>K157*I157</f>
        <v>480</v>
      </c>
      <c r="M157" s="2"/>
      <c r="N157" s="133">
        <f>M157*I157</f>
        <v>0</v>
      </c>
      <c r="O157" s="93">
        <v>0</v>
      </c>
      <c r="P157" s="133">
        <f>O157*I157</f>
        <v>0</v>
      </c>
      <c r="Q157" s="93">
        <v>0</v>
      </c>
      <c r="R157" s="133">
        <f>Q157*I157</f>
        <v>0</v>
      </c>
      <c r="S157" s="133">
        <f>SUM(J157,L157,N157,P157,R157)</f>
        <v>480</v>
      </c>
      <c r="T157" s="93">
        <v>0</v>
      </c>
      <c r="U157" s="133">
        <f>SUM(S157:T157)</f>
        <v>480</v>
      </c>
    </row>
    <row r="158" spans="1:21" s="22" customFormat="1" ht="20.399999999999999" x14ac:dyDescent="0.35">
      <c r="A158" s="175"/>
      <c r="B158" s="175"/>
      <c r="C158" s="175"/>
      <c r="D158" s="175"/>
      <c r="E158" s="150" t="s">
        <v>291</v>
      </c>
      <c r="F158" s="130"/>
      <c r="G158" s="130"/>
      <c r="H158" s="147"/>
      <c r="I158" s="147"/>
      <c r="J158" s="146"/>
      <c r="K158" s="147"/>
      <c r="L158" s="146"/>
      <c r="M158" s="130"/>
      <c r="N158" s="146"/>
      <c r="O158" s="130"/>
      <c r="P158" s="146"/>
      <c r="Q158" s="130"/>
      <c r="R158" s="146"/>
      <c r="S158" s="146"/>
      <c r="T158" s="147"/>
      <c r="U158" s="146"/>
    </row>
    <row r="159" spans="1:21" s="22" customFormat="1" ht="10.199999999999999" x14ac:dyDescent="0.35">
      <c r="A159" s="46" t="s">
        <v>292</v>
      </c>
      <c r="B159" s="33">
        <v>87010</v>
      </c>
      <c r="C159" s="12" t="s">
        <v>40</v>
      </c>
      <c r="D159" s="12">
        <v>0</v>
      </c>
      <c r="E159" s="1" t="s">
        <v>293</v>
      </c>
      <c r="F159" s="2" t="s">
        <v>284</v>
      </c>
      <c r="G159" s="2" t="s">
        <v>201</v>
      </c>
      <c r="H159" s="93"/>
      <c r="I159" s="259">
        <v>500</v>
      </c>
      <c r="J159" s="260">
        <f t="shared" ref="J159:J163" si="79">I159*H159</f>
        <v>0</v>
      </c>
      <c r="K159" s="259">
        <v>6</v>
      </c>
      <c r="L159" s="260">
        <f>K159*I159</f>
        <v>3000</v>
      </c>
      <c r="M159" s="259">
        <v>6</v>
      </c>
      <c r="N159" s="260">
        <f>M159*I159</f>
        <v>3000</v>
      </c>
      <c r="O159" s="259">
        <v>6</v>
      </c>
      <c r="P159" s="260">
        <f>O159*I159</f>
        <v>3000</v>
      </c>
      <c r="Q159" s="259">
        <v>1</v>
      </c>
      <c r="R159" s="260">
        <f>Q159*I159</f>
        <v>500</v>
      </c>
      <c r="S159" s="260">
        <f>SUM(J159,L159,N159,P159,R159)</f>
        <v>9500</v>
      </c>
      <c r="T159" s="259">
        <v>0</v>
      </c>
      <c r="U159" s="260">
        <f t="shared" ref="U159:U163" si="80">SUM(S159:T159)</f>
        <v>9500</v>
      </c>
    </row>
    <row r="160" spans="1:21" s="22" customFormat="1" ht="20.399999999999999" x14ac:dyDescent="0.35">
      <c r="A160" s="46" t="s">
        <v>294</v>
      </c>
      <c r="B160" s="33" t="s">
        <v>85</v>
      </c>
      <c r="C160" s="12" t="s">
        <v>40</v>
      </c>
      <c r="D160" s="12">
        <v>0</v>
      </c>
      <c r="E160" s="1" t="s">
        <v>295</v>
      </c>
      <c r="F160" s="2" t="s">
        <v>77</v>
      </c>
      <c r="G160" s="2" t="s">
        <v>228</v>
      </c>
      <c r="H160" s="93"/>
      <c r="I160" s="259">
        <v>110</v>
      </c>
      <c r="J160" s="260">
        <f t="shared" si="79"/>
        <v>0</v>
      </c>
      <c r="K160" s="259">
        <v>12</v>
      </c>
      <c r="L160" s="260">
        <f>K160*I160</f>
        <v>1320</v>
      </c>
      <c r="M160" s="259">
        <v>12</v>
      </c>
      <c r="N160" s="260">
        <f>M160*I160</f>
        <v>1320</v>
      </c>
      <c r="O160" s="259">
        <v>12</v>
      </c>
      <c r="P160" s="260">
        <f>O160*I160</f>
        <v>1320</v>
      </c>
      <c r="Q160" s="259">
        <v>8</v>
      </c>
      <c r="R160" s="260">
        <f>Q160*I160</f>
        <v>880</v>
      </c>
      <c r="S160" s="260">
        <f>SUM(J160,L160,N160,P160,R160)</f>
        <v>4840</v>
      </c>
      <c r="T160" s="259">
        <v>0</v>
      </c>
      <c r="U160" s="260">
        <f t="shared" si="80"/>
        <v>4840</v>
      </c>
    </row>
    <row r="161" spans="1:21" s="22" customFormat="1" ht="10.199999999999999" x14ac:dyDescent="0.35">
      <c r="A161" s="46" t="s">
        <v>296</v>
      </c>
      <c r="B161" s="46">
        <v>86000</v>
      </c>
      <c r="C161" s="12" t="s">
        <v>40</v>
      </c>
      <c r="D161" s="12">
        <v>0</v>
      </c>
      <c r="E161" s="1" t="s">
        <v>297</v>
      </c>
      <c r="F161" s="2" t="s">
        <v>77</v>
      </c>
      <c r="G161" s="2" t="s">
        <v>228</v>
      </c>
      <c r="H161" s="93"/>
      <c r="I161" s="93">
        <v>60</v>
      </c>
      <c r="J161" s="133">
        <f t="shared" si="79"/>
        <v>0</v>
      </c>
      <c r="K161" s="93">
        <v>12</v>
      </c>
      <c r="L161" s="133">
        <f>K161*I161</f>
        <v>720</v>
      </c>
      <c r="M161" s="93">
        <v>12</v>
      </c>
      <c r="N161" s="133">
        <f>M161*I161</f>
        <v>720</v>
      </c>
      <c r="O161" s="93">
        <v>12</v>
      </c>
      <c r="P161" s="133">
        <f>O161*I161</f>
        <v>720</v>
      </c>
      <c r="Q161" s="93">
        <v>8</v>
      </c>
      <c r="R161" s="133">
        <f>Q161*I161</f>
        <v>480</v>
      </c>
      <c r="S161" s="133">
        <f>SUM(J161,L161,N161,P161,R161)</f>
        <v>2640</v>
      </c>
      <c r="T161" s="93">
        <v>0</v>
      </c>
      <c r="U161" s="133">
        <f t="shared" si="80"/>
        <v>2640</v>
      </c>
    </row>
    <row r="162" spans="1:21" s="22" customFormat="1" ht="20.399999999999999" x14ac:dyDescent="0.35">
      <c r="A162" s="46" t="s">
        <v>298</v>
      </c>
      <c r="B162" s="46">
        <v>87000</v>
      </c>
      <c r="C162" s="12" t="s">
        <v>40</v>
      </c>
      <c r="D162" s="12">
        <v>0</v>
      </c>
      <c r="E162" s="1" t="s">
        <v>299</v>
      </c>
      <c r="F162" s="2" t="s">
        <v>284</v>
      </c>
      <c r="G162" s="2" t="s">
        <v>210</v>
      </c>
      <c r="H162" s="259"/>
      <c r="I162" s="259">
        <v>500</v>
      </c>
      <c r="J162" s="260">
        <f t="shared" si="79"/>
        <v>0</v>
      </c>
      <c r="K162" s="259">
        <v>6</v>
      </c>
      <c r="L162" s="260">
        <f>K162*I162</f>
        <v>3000</v>
      </c>
      <c r="M162" s="259">
        <v>6</v>
      </c>
      <c r="N162" s="260">
        <f>M162*I162</f>
        <v>3000</v>
      </c>
      <c r="O162" s="259">
        <v>6</v>
      </c>
      <c r="P162" s="260">
        <f>O162*I162</f>
        <v>3000</v>
      </c>
      <c r="Q162" s="259">
        <v>1</v>
      </c>
      <c r="R162" s="260">
        <f>Q162*I162</f>
        <v>500</v>
      </c>
      <c r="S162" s="260">
        <f>SUM(J162,L162,N162,P162,R162)</f>
        <v>9500</v>
      </c>
      <c r="T162" s="259">
        <v>0</v>
      </c>
      <c r="U162" s="260">
        <f t="shared" si="80"/>
        <v>9500</v>
      </c>
    </row>
    <row r="163" spans="1:21" s="22" customFormat="1" ht="20.399999999999999" x14ac:dyDescent="0.35">
      <c r="A163" s="46" t="s">
        <v>300</v>
      </c>
      <c r="B163" s="46">
        <v>89400</v>
      </c>
      <c r="C163" s="12" t="s">
        <v>40</v>
      </c>
      <c r="D163" s="12">
        <v>0</v>
      </c>
      <c r="E163" s="1" t="s">
        <v>301</v>
      </c>
      <c r="F163" s="2" t="s">
        <v>284</v>
      </c>
      <c r="G163" s="2" t="s">
        <v>115</v>
      </c>
      <c r="H163" s="259">
        <v>0</v>
      </c>
      <c r="I163" s="259">
        <v>250</v>
      </c>
      <c r="J163" s="260">
        <f t="shared" si="79"/>
        <v>0</v>
      </c>
      <c r="K163" s="259">
        <v>3</v>
      </c>
      <c r="L163" s="260">
        <f>K163*I163</f>
        <v>750</v>
      </c>
      <c r="M163" s="259">
        <v>3</v>
      </c>
      <c r="N163" s="260">
        <f>M163*I163</f>
        <v>750</v>
      </c>
      <c r="O163" s="259">
        <v>3</v>
      </c>
      <c r="P163" s="260">
        <f>O163*I163</f>
        <v>750</v>
      </c>
      <c r="Q163" s="259">
        <v>3</v>
      </c>
      <c r="R163" s="260">
        <f>Q163*I163</f>
        <v>750</v>
      </c>
      <c r="S163" s="260">
        <f>SUM(J163,L163,N163,P163,R163)</f>
        <v>3000</v>
      </c>
      <c r="T163" s="259">
        <v>0</v>
      </c>
      <c r="U163" s="260">
        <f t="shared" si="80"/>
        <v>3000</v>
      </c>
    </row>
    <row r="164" spans="1:21" s="22" customFormat="1" ht="17.649999999999999" customHeight="1" x14ac:dyDescent="0.35">
      <c r="A164" s="175"/>
      <c r="B164" s="175"/>
      <c r="C164" s="175"/>
      <c r="D164" s="175"/>
      <c r="E164" s="148" t="s">
        <v>302</v>
      </c>
      <c r="F164" s="130"/>
      <c r="G164" s="130"/>
      <c r="H164" s="147"/>
      <c r="I164" s="147"/>
      <c r="J164" s="146"/>
      <c r="K164" s="147"/>
      <c r="L164" s="146"/>
      <c r="M164" s="147"/>
      <c r="N164" s="146"/>
      <c r="O164" s="147"/>
      <c r="P164" s="146"/>
      <c r="Q164" s="147"/>
      <c r="R164" s="146"/>
      <c r="S164" s="146"/>
      <c r="T164" s="147"/>
      <c r="U164" s="146"/>
    </row>
    <row r="165" spans="1:21" s="22" customFormat="1" ht="10.199999999999999" x14ac:dyDescent="0.35">
      <c r="A165" s="46" t="s">
        <v>303</v>
      </c>
      <c r="B165" s="46">
        <v>82420</v>
      </c>
      <c r="C165" s="12" t="s">
        <v>40</v>
      </c>
      <c r="D165" s="12">
        <v>0</v>
      </c>
      <c r="E165" s="1" t="s">
        <v>304</v>
      </c>
      <c r="F165" s="2" t="s">
        <v>284</v>
      </c>
      <c r="G165" s="2" t="s">
        <v>115</v>
      </c>
      <c r="H165" s="93">
        <v>0</v>
      </c>
      <c r="I165" s="93">
        <v>350</v>
      </c>
      <c r="J165" s="133">
        <f>I165*H165</f>
        <v>0</v>
      </c>
      <c r="K165" s="93">
        <v>4</v>
      </c>
      <c r="L165" s="133">
        <f>K165*I165</f>
        <v>1400</v>
      </c>
      <c r="M165" s="93">
        <v>4</v>
      </c>
      <c r="N165" s="133">
        <f>M165*I165</f>
        <v>1400</v>
      </c>
      <c r="O165" s="93">
        <v>4</v>
      </c>
      <c r="P165" s="133">
        <f>O165*I165</f>
        <v>1400</v>
      </c>
      <c r="Q165" s="93">
        <v>1</v>
      </c>
      <c r="R165" s="133">
        <f>Q165*I165</f>
        <v>350</v>
      </c>
      <c r="S165" s="133">
        <f>SUM(J165,L165,N165,P165,R165)</f>
        <v>4550</v>
      </c>
      <c r="T165" s="93">
        <v>0</v>
      </c>
      <c r="U165" s="133">
        <f>SUM(S165:T165)</f>
        <v>4550</v>
      </c>
    </row>
    <row r="166" spans="1:21" s="22" customFormat="1" ht="20.399999999999999" x14ac:dyDescent="0.35">
      <c r="A166" s="46" t="s">
        <v>305</v>
      </c>
      <c r="B166" s="33">
        <v>85300</v>
      </c>
      <c r="C166" s="12" t="s">
        <v>40</v>
      </c>
      <c r="D166" s="12">
        <v>0</v>
      </c>
      <c r="E166" s="1" t="s">
        <v>306</v>
      </c>
      <c r="F166" s="2" t="s">
        <v>284</v>
      </c>
      <c r="G166" s="2" t="s">
        <v>115</v>
      </c>
      <c r="H166" s="93">
        <v>0</v>
      </c>
      <c r="I166" s="93">
        <v>100</v>
      </c>
      <c r="J166" s="133">
        <f>I166*H166</f>
        <v>0</v>
      </c>
      <c r="K166" s="93">
        <v>4</v>
      </c>
      <c r="L166" s="133">
        <f>K166*I166</f>
        <v>400</v>
      </c>
      <c r="M166" s="93">
        <v>4</v>
      </c>
      <c r="N166" s="133">
        <f>M166*I166</f>
        <v>400</v>
      </c>
      <c r="O166" s="93">
        <v>4</v>
      </c>
      <c r="P166" s="133">
        <f>O166*I166</f>
        <v>400</v>
      </c>
      <c r="Q166" s="93">
        <v>1</v>
      </c>
      <c r="R166" s="133">
        <f>Q166*I166</f>
        <v>100</v>
      </c>
      <c r="S166" s="133">
        <f>SUM(J166,L166,N166,P166,R166)</f>
        <v>1300</v>
      </c>
      <c r="T166" s="93">
        <v>0</v>
      </c>
      <c r="U166" s="133">
        <f>SUM(S166:T166)</f>
        <v>1300</v>
      </c>
    </row>
    <row r="167" spans="1:21" s="22" customFormat="1" ht="20.399999999999999" x14ac:dyDescent="0.35">
      <c r="A167" s="46" t="s">
        <v>307</v>
      </c>
      <c r="B167" s="33" t="s">
        <v>85</v>
      </c>
      <c r="C167" s="12" t="s">
        <v>40</v>
      </c>
      <c r="D167" s="12">
        <v>0</v>
      </c>
      <c r="E167" s="1" t="s">
        <v>308</v>
      </c>
      <c r="F167" s="2" t="s">
        <v>77</v>
      </c>
      <c r="G167" s="2" t="s">
        <v>87</v>
      </c>
      <c r="H167" s="93">
        <v>0</v>
      </c>
      <c r="I167" s="93">
        <v>110</v>
      </c>
      <c r="J167" s="133">
        <f>I167*H167</f>
        <v>0</v>
      </c>
      <c r="K167" s="93">
        <v>8</v>
      </c>
      <c r="L167" s="133">
        <f>K167*I167</f>
        <v>880</v>
      </c>
      <c r="M167" s="93">
        <v>8</v>
      </c>
      <c r="N167" s="133">
        <f>M167*I167</f>
        <v>880</v>
      </c>
      <c r="O167" s="93">
        <v>8</v>
      </c>
      <c r="P167" s="133">
        <f>O167*I167</f>
        <v>880</v>
      </c>
      <c r="Q167" s="93">
        <v>2</v>
      </c>
      <c r="R167" s="133">
        <f>Q167*I167</f>
        <v>220</v>
      </c>
      <c r="S167" s="133">
        <f>SUM(J167,L167,N167,P167,R167)</f>
        <v>2860</v>
      </c>
      <c r="T167" s="93">
        <v>0</v>
      </c>
      <c r="U167" s="133">
        <f>SUM(S167:T167)</f>
        <v>2860</v>
      </c>
    </row>
    <row r="168" spans="1:21" s="22" customFormat="1" ht="20.399999999999999" x14ac:dyDescent="0.35">
      <c r="A168" s="46" t="s">
        <v>309</v>
      </c>
      <c r="B168" s="46">
        <v>86000</v>
      </c>
      <c r="C168" s="12" t="s">
        <v>40</v>
      </c>
      <c r="D168" s="12">
        <v>0</v>
      </c>
      <c r="E168" s="1" t="s">
        <v>310</v>
      </c>
      <c r="F168" s="2" t="s">
        <v>77</v>
      </c>
      <c r="G168" s="2" t="s">
        <v>87</v>
      </c>
      <c r="H168" s="93">
        <v>0</v>
      </c>
      <c r="I168" s="93">
        <v>60</v>
      </c>
      <c r="J168" s="133">
        <f>I168*H168</f>
        <v>0</v>
      </c>
      <c r="K168" s="93">
        <v>8</v>
      </c>
      <c r="L168" s="133">
        <f>K168*I168</f>
        <v>480</v>
      </c>
      <c r="M168" s="93">
        <v>8</v>
      </c>
      <c r="N168" s="133">
        <f>M168*I168</f>
        <v>480</v>
      </c>
      <c r="O168" s="93">
        <v>8</v>
      </c>
      <c r="P168" s="133">
        <f>O168*I168</f>
        <v>480</v>
      </c>
      <c r="Q168" s="93">
        <v>2</v>
      </c>
      <c r="R168" s="133">
        <f>Q168*I168</f>
        <v>120</v>
      </c>
      <c r="S168" s="133">
        <f>SUM(J168,L168,N168,P168,R168)</f>
        <v>1560</v>
      </c>
      <c r="T168" s="93">
        <v>0</v>
      </c>
      <c r="U168" s="133">
        <f>SUM(S168:T168)</f>
        <v>1560</v>
      </c>
    </row>
    <row r="169" spans="1:21" s="22" customFormat="1" ht="30.6" x14ac:dyDescent="0.35">
      <c r="A169" s="175"/>
      <c r="B169" s="175"/>
      <c r="C169" s="175"/>
      <c r="D169" s="175"/>
      <c r="E169" s="150" t="s">
        <v>311</v>
      </c>
      <c r="F169" s="130"/>
      <c r="G169" s="130"/>
      <c r="H169" s="147"/>
      <c r="I169" s="147"/>
      <c r="J169" s="146"/>
      <c r="K169" s="147"/>
      <c r="L169" s="146"/>
      <c r="M169" s="130"/>
      <c r="N169" s="146"/>
      <c r="O169" s="130"/>
      <c r="P169" s="146"/>
      <c r="Q169" s="130"/>
      <c r="R169" s="146"/>
      <c r="S169" s="146"/>
      <c r="T169" s="147"/>
      <c r="U169" s="146"/>
    </row>
    <row r="170" spans="1:21" s="22" customFormat="1" ht="20.399999999999999" x14ac:dyDescent="0.35">
      <c r="A170" s="46" t="s">
        <v>312</v>
      </c>
      <c r="B170" s="33">
        <v>85300</v>
      </c>
      <c r="C170" s="12" t="s">
        <v>40</v>
      </c>
      <c r="D170" s="12">
        <v>0</v>
      </c>
      <c r="E170" s="1" t="s">
        <v>313</v>
      </c>
      <c r="F170" s="2" t="s">
        <v>284</v>
      </c>
      <c r="G170" s="2" t="s">
        <v>210</v>
      </c>
      <c r="H170" s="93"/>
      <c r="I170" s="259">
        <v>500</v>
      </c>
      <c r="J170" s="260">
        <f>I170*H170</f>
        <v>0</v>
      </c>
      <c r="K170" s="259">
        <v>6</v>
      </c>
      <c r="L170" s="260">
        <f>K170*I170</f>
        <v>3000</v>
      </c>
      <c r="M170" s="2">
        <v>6</v>
      </c>
      <c r="N170" s="260">
        <f>M170*I170</f>
        <v>3000</v>
      </c>
      <c r="O170" s="259">
        <v>6</v>
      </c>
      <c r="P170" s="260">
        <f>O170*I170</f>
        <v>3000</v>
      </c>
      <c r="Q170" s="259">
        <v>1</v>
      </c>
      <c r="R170" s="260">
        <f>Q170*I170</f>
        <v>500</v>
      </c>
      <c r="S170" s="260">
        <f>SUM(J170,L170,N170,P170,R170)</f>
        <v>9500</v>
      </c>
      <c r="T170" s="259">
        <v>0</v>
      </c>
      <c r="U170" s="260">
        <f>SUM(S170:T170)</f>
        <v>9500</v>
      </c>
    </row>
    <row r="171" spans="1:21" s="22" customFormat="1" ht="10.199999999999999" x14ac:dyDescent="0.35">
      <c r="A171" s="46" t="s">
        <v>314</v>
      </c>
      <c r="B171" s="46">
        <v>85300</v>
      </c>
      <c r="C171" s="12" t="s">
        <v>40</v>
      </c>
      <c r="D171" s="12">
        <v>0</v>
      </c>
      <c r="E171" s="1" t="s">
        <v>315</v>
      </c>
      <c r="F171" s="2" t="s">
        <v>284</v>
      </c>
      <c r="G171" s="2" t="s">
        <v>115</v>
      </c>
      <c r="H171" s="93"/>
      <c r="I171" s="93">
        <v>100</v>
      </c>
      <c r="J171" s="133">
        <f>I171*H171</f>
        <v>0</v>
      </c>
      <c r="K171" s="259">
        <v>3</v>
      </c>
      <c r="L171" s="260">
        <f>K171*I171</f>
        <v>300</v>
      </c>
      <c r="M171" s="2">
        <v>3</v>
      </c>
      <c r="N171" s="260">
        <f>M171*I171</f>
        <v>300</v>
      </c>
      <c r="O171" s="259">
        <v>3</v>
      </c>
      <c r="P171" s="260">
        <f>O171*I171</f>
        <v>300</v>
      </c>
      <c r="Q171" s="259">
        <v>0</v>
      </c>
      <c r="R171" s="260">
        <f>Q171*I171</f>
        <v>0</v>
      </c>
      <c r="S171" s="260">
        <f>SUM(J171,L171,N171,P171,R171)</f>
        <v>900</v>
      </c>
      <c r="T171" s="259">
        <v>0</v>
      </c>
      <c r="U171" s="260">
        <f>SUM(S171:T171)</f>
        <v>900</v>
      </c>
    </row>
    <row r="172" spans="1:21" s="22" customFormat="1" ht="20.399999999999999" x14ac:dyDescent="0.35">
      <c r="A172" s="175"/>
      <c r="B172" s="175"/>
      <c r="C172" s="175"/>
      <c r="D172" s="175"/>
      <c r="E172" s="150" t="s">
        <v>316</v>
      </c>
      <c r="F172" s="130"/>
      <c r="G172" s="130"/>
      <c r="H172" s="147"/>
      <c r="I172" s="147"/>
      <c r="J172" s="146"/>
      <c r="K172" s="147"/>
      <c r="L172" s="146"/>
      <c r="M172" s="147"/>
      <c r="N172" s="146"/>
      <c r="O172" s="147"/>
      <c r="P172" s="146"/>
      <c r="Q172" s="147"/>
      <c r="R172" s="146"/>
      <c r="S172" s="146"/>
      <c r="T172" s="147"/>
      <c r="U172" s="146"/>
    </row>
    <row r="173" spans="1:21" s="22" customFormat="1" ht="20.399999999999999" x14ac:dyDescent="0.35">
      <c r="A173" s="46" t="s">
        <v>317</v>
      </c>
      <c r="B173" s="46">
        <v>87000</v>
      </c>
      <c r="C173" s="12" t="s">
        <v>40</v>
      </c>
      <c r="D173" s="12">
        <v>0</v>
      </c>
      <c r="E173" s="1" t="s">
        <v>318</v>
      </c>
      <c r="F173" s="2" t="s">
        <v>161</v>
      </c>
      <c r="G173" s="2" t="s">
        <v>210</v>
      </c>
      <c r="H173" s="259">
        <v>0</v>
      </c>
      <c r="I173" s="259">
        <v>500</v>
      </c>
      <c r="J173" s="260">
        <f>I173*H173</f>
        <v>0</v>
      </c>
      <c r="K173" s="259">
        <v>6</v>
      </c>
      <c r="L173" s="260">
        <f>K173*I173</f>
        <v>3000</v>
      </c>
      <c r="M173" s="259">
        <v>6</v>
      </c>
      <c r="N173" s="260">
        <f>M173*I173</f>
        <v>3000</v>
      </c>
      <c r="O173" s="259">
        <v>6</v>
      </c>
      <c r="P173" s="260">
        <f>O173*I173</f>
        <v>3000</v>
      </c>
      <c r="Q173" s="259">
        <v>1</v>
      </c>
      <c r="R173" s="260">
        <f>Q173*I173</f>
        <v>500</v>
      </c>
      <c r="S173" s="260">
        <f>SUM(J173,L173,N173,P173,R173)</f>
        <v>9500</v>
      </c>
      <c r="T173" s="259">
        <v>0</v>
      </c>
      <c r="U173" s="260">
        <f>SUM(S173:T173)</f>
        <v>9500</v>
      </c>
    </row>
    <row r="174" spans="1:21" s="22" customFormat="1" ht="11.5" customHeight="1" x14ac:dyDescent="0.35">
      <c r="A174" s="46" t="s">
        <v>319</v>
      </c>
      <c r="B174" s="33">
        <v>81010</v>
      </c>
      <c r="C174" s="12" t="s">
        <v>40</v>
      </c>
      <c r="D174" s="12">
        <v>0</v>
      </c>
      <c r="E174" s="1" t="s">
        <v>320</v>
      </c>
      <c r="F174" s="2" t="s">
        <v>284</v>
      </c>
      <c r="G174" s="2" t="s">
        <v>115</v>
      </c>
      <c r="H174" s="259">
        <v>0</v>
      </c>
      <c r="I174" s="259">
        <v>2500</v>
      </c>
      <c r="J174" s="260">
        <f>I174*H174</f>
        <v>0</v>
      </c>
      <c r="K174" s="259">
        <v>1</v>
      </c>
      <c r="L174" s="260">
        <f>K174*I174</f>
        <v>2500</v>
      </c>
      <c r="M174" s="259">
        <v>1</v>
      </c>
      <c r="N174" s="260">
        <f>M174*I174</f>
        <v>2500</v>
      </c>
      <c r="O174" s="259">
        <v>1</v>
      </c>
      <c r="P174" s="260">
        <f>O174*I174</f>
        <v>2500</v>
      </c>
      <c r="Q174" s="259"/>
      <c r="R174" s="260">
        <f>Q174*I174</f>
        <v>0</v>
      </c>
      <c r="S174" s="260">
        <f>SUM(J174,L174,N174,P174,R174)</f>
        <v>7500</v>
      </c>
      <c r="T174" s="259">
        <v>0</v>
      </c>
      <c r="U174" s="260">
        <f>SUM(S174:T174)</f>
        <v>7500</v>
      </c>
    </row>
    <row r="175" spans="1:21" s="22" customFormat="1" ht="20.399999999999999" x14ac:dyDescent="0.35">
      <c r="A175" s="46" t="s">
        <v>321</v>
      </c>
      <c r="B175" s="46">
        <v>85300</v>
      </c>
      <c r="C175" s="12" t="s">
        <v>40</v>
      </c>
      <c r="D175" s="12">
        <v>0</v>
      </c>
      <c r="E175" s="1" t="s">
        <v>322</v>
      </c>
      <c r="F175" s="2" t="s">
        <v>284</v>
      </c>
      <c r="G175" s="2" t="s">
        <v>115</v>
      </c>
      <c r="H175" s="259">
        <v>0</v>
      </c>
      <c r="I175" s="259">
        <v>1000</v>
      </c>
      <c r="J175" s="260">
        <f>I175*H175</f>
        <v>0</v>
      </c>
      <c r="K175" s="259">
        <v>1</v>
      </c>
      <c r="L175" s="260">
        <f>K175*I175</f>
        <v>1000</v>
      </c>
      <c r="M175" s="259">
        <v>1</v>
      </c>
      <c r="N175" s="260">
        <f>M175*I175</f>
        <v>1000</v>
      </c>
      <c r="O175" s="259">
        <v>1</v>
      </c>
      <c r="P175" s="260">
        <f>O175*I175</f>
        <v>1000</v>
      </c>
      <c r="Q175" s="259"/>
      <c r="R175" s="260">
        <f>Q175*I175</f>
        <v>0</v>
      </c>
      <c r="S175" s="260">
        <f>SUM(J175,L175,N175,P175,R175)</f>
        <v>3000</v>
      </c>
      <c r="T175" s="259">
        <v>0</v>
      </c>
      <c r="U175" s="260">
        <f>SUM(S175:T175)</f>
        <v>3000</v>
      </c>
    </row>
    <row r="176" spans="1:21" s="22" customFormat="1" ht="10.199999999999999" x14ac:dyDescent="0.35">
      <c r="A176" s="46" t="s">
        <v>323</v>
      </c>
      <c r="B176" s="46">
        <v>81000</v>
      </c>
      <c r="C176" s="12" t="s">
        <v>40</v>
      </c>
      <c r="D176" s="12">
        <v>0</v>
      </c>
      <c r="E176" s="1" t="s">
        <v>324</v>
      </c>
      <c r="F176" s="2" t="s">
        <v>161</v>
      </c>
      <c r="G176" s="2" t="s">
        <v>228</v>
      </c>
      <c r="H176" s="259">
        <v>0</v>
      </c>
      <c r="I176" s="259">
        <v>350</v>
      </c>
      <c r="J176" s="260">
        <f>I176*H176</f>
        <v>0</v>
      </c>
      <c r="K176" s="259">
        <v>15</v>
      </c>
      <c r="L176" s="260">
        <f>K176*I176</f>
        <v>5250</v>
      </c>
      <c r="M176" s="259">
        <v>15</v>
      </c>
      <c r="N176" s="260">
        <f>M176*I176</f>
        <v>5250</v>
      </c>
      <c r="O176" s="259">
        <v>10</v>
      </c>
      <c r="P176" s="260">
        <f>O176*I176</f>
        <v>3500</v>
      </c>
      <c r="Q176" s="259">
        <v>0</v>
      </c>
      <c r="R176" s="260">
        <f>Q176*I176</f>
        <v>0</v>
      </c>
      <c r="S176" s="260">
        <f>SUM(J176,L176,N176,P176,R176)</f>
        <v>14000</v>
      </c>
      <c r="T176" s="259">
        <v>0</v>
      </c>
      <c r="U176" s="260">
        <f>SUM(S176:T176)</f>
        <v>14000</v>
      </c>
    </row>
    <row r="177" spans="1:21" s="22" customFormat="1" ht="20.399999999999999" x14ac:dyDescent="0.35">
      <c r="A177" s="46" t="s">
        <v>325</v>
      </c>
      <c r="B177" s="46">
        <v>81000</v>
      </c>
      <c r="C177" s="12" t="s">
        <v>40</v>
      </c>
      <c r="D177" s="12">
        <v>0</v>
      </c>
      <c r="E177" s="1" t="s">
        <v>326</v>
      </c>
      <c r="F177" s="2" t="s">
        <v>161</v>
      </c>
      <c r="G177" s="2" t="s">
        <v>228</v>
      </c>
      <c r="H177" s="93">
        <v>0</v>
      </c>
      <c r="I177" s="93">
        <v>300</v>
      </c>
      <c r="J177" s="133">
        <f>I177*H177</f>
        <v>0</v>
      </c>
      <c r="K177" s="93">
        <v>15</v>
      </c>
      <c r="L177" s="133">
        <f>K177*I177</f>
        <v>4500</v>
      </c>
      <c r="M177" s="93">
        <v>15</v>
      </c>
      <c r="N177" s="133">
        <f>M177*I177</f>
        <v>4500</v>
      </c>
      <c r="O177" s="93">
        <v>10</v>
      </c>
      <c r="P177" s="133">
        <f>O177*I177</f>
        <v>3000</v>
      </c>
      <c r="Q177" s="93">
        <v>0</v>
      </c>
      <c r="R177" s="133">
        <f>Q177*I177</f>
        <v>0</v>
      </c>
      <c r="S177" s="133">
        <f>SUM(J177,L177,N177,P177,R177)</f>
        <v>12000</v>
      </c>
      <c r="T177" s="93">
        <v>0</v>
      </c>
      <c r="U177" s="133">
        <f>SUM(S177:T177)</f>
        <v>12000</v>
      </c>
    </row>
    <row r="178" spans="1:21" s="22" customFormat="1" ht="30.6" x14ac:dyDescent="0.35">
      <c r="A178" s="92"/>
      <c r="B178" s="92"/>
      <c r="C178" s="92"/>
      <c r="D178" s="92"/>
      <c r="E178" s="150" t="s">
        <v>327</v>
      </c>
      <c r="F178" s="91"/>
      <c r="G178" s="91"/>
      <c r="H178" s="106"/>
      <c r="I178" s="106"/>
      <c r="J178" s="336"/>
      <c r="K178" s="106"/>
      <c r="L178" s="336"/>
      <c r="M178" s="106"/>
      <c r="N178" s="336"/>
      <c r="O178" s="106"/>
      <c r="P178" s="336"/>
      <c r="Q178" s="106"/>
      <c r="R178" s="336"/>
      <c r="S178" s="336"/>
      <c r="T178" s="106"/>
      <c r="U178" s="336"/>
    </row>
    <row r="179" spans="1:21" s="22" customFormat="1" ht="10.199999999999999" x14ac:dyDescent="0.35">
      <c r="A179" s="46" t="s">
        <v>328</v>
      </c>
      <c r="B179" s="46">
        <v>87010</v>
      </c>
      <c r="C179" s="12" t="s">
        <v>40</v>
      </c>
      <c r="D179" s="12">
        <v>0</v>
      </c>
      <c r="E179" s="1" t="s">
        <v>329</v>
      </c>
      <c r="F179" s="2" t="s">
        <v>284</v>
      </c>
      <c r="G179" s="2" t="s">
        <v>201</v>
      </c>
      <c r="H179" s="93"/>
      <c r="I179" s="93">
        <v>200</v>
      </c>
      <c r="J179" s="133">
        <f t="shared" ref="J179" si="81">I179*H179</f>
        <v>0</v>
      </c>
      <c r="K179" s="93">
        <v>5</v>
      </c>
      <c r="L179" s="133">
        <f>K179*I179</f>
        <v>1000</v>
      </c>
      <c r="M179" s="93">
        <v>6</v>
      </c>
      <c r="N179" s="133">
        <f>M179*I179</f>
        <v>1200</v>
      </c>
      <c r="O179" s="93">
        <v>6</v>
      </c>
      <c r="P179" s="133">
        <f>O179*I179</f>
        <v>1200</v>
      </c>
      <c r="Q179" s="93">
        <v>1</v>
      </c>
      <c r="R179" s="133">
        <f>Q179*I179</f>
        <v>200</v>
      </c>
      <c r="S179" s="133">
        <f>SUM(J179,L179,N179,P179,R179)</f>
        <v>3600</v>
      </c>
      <c r="T179" s="93">
        <v>0</v>
      </c>
      <c r="U179" s="133">
        <f t="shared" ref="U179" si="82">SUM(S179:T179)</f>
        <v>3600</v>
      </c>
    </row>
    <row r="180" spans="1:21" s="22" customFormat="1" ht="20.399999999999999" x14ac:dyDescent="0.35">
      <c r="A180" s="46" t="s">
        <v>330</v>
      </c>
      <c r="B180" s="33">
        <v>81010</v>
      </c>
      <c r="C180" s="12" t="s">
        <v>40</v>
      </c>
      <c r="D180" s="12">
        <v>0</v>
      </c>
      <c r="E180" s="1" t="s">
        <v>331</v>
      </c>
      <c r="F180" s="2" t="s">
        <v>284</v>
      </c>
      <c r="G180" s="2" t="s">
        <v>115</v>
      </c>
      <c r="H180" s="93">
        <v>0</v>
      </c>
      <c r="I180" s="93">
        <v>500</v>
      </c>
      <c r="J180" s="133">
        <f>I180*H180</f>
        <v>0</v>
      </c>
      <c r="K180" s="93">
        <v>9</v>
      </c>
      <c r="L180" s="133">
        <f>K180*I180</f>
        <v>4500</v>
      </c>
      <c r="M180" s="93">
        <v>9</v>
      </c>
      <c r="N180" s="133">
        <f>M180*I180</f>
        <v>4500</v>
      </c>
      <c r="O180" s="93">
        <f>3*3</f>
        <v>9</v>
      </c>
      <c r="P180" s="133">
        <f>O180*I180</f>
        <v>4500</v>
      </c>
      <c r="Q180" s="93">
        <v>2</v>
      </c>
      <c r="R180" s="133">
        <f>Q180*I180</f>
        <v>1000</v>
      </c>
      <c r="S180" s="133">
        <f>SUM(J180,L180,N180,P180,R180)</f>
        <v>14500</v>
      </c>
      <c r="T180" s="93">
        <v>0</v>
      </c>
      <c r="U180" s="133">
        <f>SUM(S180:T180)</f>
        <v>14500</v>
      </c>
    </row>
    <row r="181" spans="1:21" s="22" customFormat="1" ht="10.199999999999999" x14ac:dyDescent="0.35">
      <c r="A181" s="46" t="s">
        <v>332</v>
      </c>
      <c r="B181" s="46">
        <v>85300</v>
      </c>
      <c r="C181" s="12" t="s">
        <v>40</v>
      </c>
      <c r="D181" s="12">
        <v>0</v>
      </c>
      <c r="E181" s="1" t="s">
        <v>333</v>
      </c>
      <c r="F181" s="2" t="s">
        <v>284</v>
      </c>
      <c r="G181" s="2" t="s">
        <v>115</v>
      </c>
      <c r="H181" s="93"/>
      <c r="I181" s="93">
        <v>150</v>
      </c>
      <c r="J181" s="133">
        <f>I181*H181</f>
        <v>0</v>
      </c>
      <c r="K181" s="93">
        <v>9</v>
      </c>
      <c r="L181" s="133">
        <f>K181*I181</f>
        <v>1350</v>
      </c>
      <c r="M181" s="93">
        <v>9</v>
      </c>
      <c r="N181" s="133">
        <f>M181*I181</f>
        <v>1350</v>
      </c>
      <c r="O181" s="93">
        <f>3*3</f>
        <v>9</v>
      </c>
      <c r="P181" s="133">
        <f>O181*I181</f>
        <v>1350</v>
      </c>
      <c r="Q181" s="93">
        <v>2</v>
      </c>
      <c r="R181" s="133">
        <f>Q181*I181</f>
        <v>300</v>
      </c>
      <c r="S181" s="133">
        <f>SUM(J181,L181,N181,P181,R181)</f>
        <v>4350</v>
      </c>
      <c r="T181" s="93">
        <v>0</v>
      </c>
      <c r="U181" s="133">
        <f>SUM(S181:T181)</f>
        <v>4350</v>
      </c>
    </row>
    <row r="182" spans="1:21" s="22" customFormat="1" ht="20.399999999999999" x14ac:dyDescent="0.35">
      <c r="A182" s="46" t="s">
        <v>334</v>
      </c>
      <c r="B182" s="33" t="s">
        <v>85</v>
      </c>
      <c r="C182" s="12" t="s">
        <v>40</v>
      </c>
      <c r="D182" s="12">
        <v>0</v>
      </c>
      <c r="E182" s="1" t="s">
        <v>335</v>
      </c>
      <c r="F182" s="2" t="s">
        <v>77</v>
      </c>
      <c r="G182" s="2" t="s">
        <v>228</v>
      </c>
      <c r="H182" s="93"/>
      <c r="I182" s="93">
        <v>110</v>
      </c>
      <c r="J182" s="133">
        <f>I182*H182</f>
        <v>0</v>
      </c>
      <c r="K182" s="93">
        <v>10</v>
      </c>
      <c r="L182" s="133">
        <f>K182*I182</f>
        <v>1100</v>
      </c>
      <c r="M182" s="93">
        <v>12</v>
      </c>
      <c r="N182" s="133">
        <f>M182*I182</f>
        <v>1320</v>
      </c>
      <c r="O182" s="93">
        <v>12</v>
      </c>
      <c r="P182" s="133">
        <f>O182*I182</f>
        <v>1320</v>
      </c>
      <c r="Q182" s="93">
        <v>2</v>
      </c>
      <c r="R182" s="133">
        <f>Q182*I182</f>
        <v>220</v>
      </c>
      <c r="S182" s="133">
        <f>SUM(J182,L182,N182,P182,R182)</f>
        <v>3960</v>
      </c>
      <c r="T182" s="93">
        <v>0</v>
      </c>
      <c r="U182" s="133">
        <f>SUM(S182:T182)</f>
        <v>3960</v>
      </c>
    </row>
    <row r="183" spans="1:21" s="22" customFormat="1" ht="10.199999999999999" x14ac:dyDescent="0.35">
      <c r="A183" s="46" t="s">
        <v>336</v>
      </c>
      <c r="B183" s="46">
        <v>86000</v>
      </c>
      <c r="C183" s="12" t="s">
        <v>40</v>
      </c>
      <c r="D183" s="12">
        <v>0</v>
      </c>
      <c r="E183" s="1" t="s">
        <v>337</v>
      </c>
      <c r="F183" s="2" t="s">
        <v>77</v>
      </c>
      <c r="G183" s="2" t="s">
        <v>228</v>
      </c>
      <c r="H183" s="93"/>
      <c r="I183" s="93">
        <v>60</v>
      </c>
      <c r="J183" s="133">
        <f>I183*H183</f>
        <v>0</v>
      </c>
      <c r="K183" s="93">
        <v>10</v>
      </c>
      <c r="L183" s="133">
        <f>K183*I183</f>
        <v>600</v>
      </c>
      <c r="M183" s="93">
        <v>12</v>
      </c>
      <c r="N183" s="133">
        <f>M183*I183</f>
        <v>720</v>
      </c>
      <c r="O183" s="93">
        <v>12</v>
      </c>
      <c r="P183" s="133">
        <f>O183*I183</f>
        <v>720</v>
      </c>
      <c r="Q183" s="93">
        <v>2</v>
      </c>
      <c r="R183" s="133">
        <f>Q183*I183</f>
        <v>120</v>
      </c>
      <c r="S183" s="133">
        <f>SUM(J183,L183,N183,P183,R183)</f>
        <v>2160</v>
      </c>
      <c r="T183" s="93">
        <v>0</v>
      </c>
      <c r="U183" s="133">
        <f>SUM(S183:T183)</f>
        <v>2160</v>
      </c>
    </row>
    <row r="184" spans="1:21" ht="10.8" thickBot="1" x14ac:dyDescent="0.45">
      <c r="A184" s="34"/>
      <c r="B184" s="34"/>
      <c r="C184" s="34"/>
      <c r="D184" s="34"/>
      <c r="E184" s="18" t="s">
        <v>338</v>
      </c>
      <c r="F184" s="18"/>
      <c r="G184" s="18"/>
      <c r="H184" s="26"/>
      <c r="I184" s="26"/>
      <c r="J184" s="31">
        <f>SUM(J146:J183)</f>
        <v>700</v>
      </c>
      <c r="K184" s="31"/>
      <c r="L184" s="31">
        <f>SUM(L146:L183)</f>
        <v>56710</v>
      </c>
      <c r="M184" s="31"/>
      <c r="N184" s="31">
        <f>SUM(N146:N183)</f>
        <v>54490</v>
      </c>
      <c r="O184" s="31"/>
      <c r="P184" s="31">
        <f>SUM(P146:P183)</f>
        <v>44740</v>
      </c>
      <c r="Q184" s="31"/>
      <c r="R184" s="31">
        <f>SUM(R146:R183)</f>
        <v>8100</v>
      </c>
      <c r="S184" s="31">
        <f>J184+L184+N184+P184+R184</f>
        <v>164740</v>
      </c>
      <c r="T184" s="31">
        <f>SUM(T146:T183)</f>
        <v>0</v>
      </c>
      <c r="U184" s="19">
        <f>SUM(S184+T184)</f>
        <v>164740</v>
      </c>
    </row>
    <row r="185" spans="1:21" ht="10.5" x14ac:dyDescent="0.35">
      <c r="A185" s="178"/>
      <c r="B185" s="178"/>
      <c r="C185" s="178"/>
      <c r="D185" s="178"/>
      <c r="E185" s="80" t="s">
        <v>339</v>
      </c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6"/>
      <c r="T185" s="80"/>
      <c r="U185" s="86"/>
    </row>
    <row r="186" spans="1:21" ht="10.5" x14ac:dyDescent="0.4">
      <c r="A186" s="44"/>
      <c r="B186" s="44"/>
      <c r="C186" s="44"/>
      <c r="D186" s="44"/>
      <c r="E186" s="38" t="s">
        <v>196</v>
      </c>
      <c r="F186" s="38"/>
      <c r="G186" s="38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3"/>
      <c r="U186" s="42"/>
    </row>
    <row r="187" spans="1:21" ht="10.5" x14ac:dyDescent="0.4">
      <c r="A187" s="101"/>
      <c r="B187" s="101"/>
      <c r="C187" s="101"/>
      <c r="D187" s="101"/>
      <c r="E187" s="61" t="s">
        <v>340</v>
      </c>
      <c r="F187" s="61"/>
      <c r="G187" s="77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69"/>
      <c r="U187" s="96"/>
    </row>
    <row r="188" spans="1:21" ht="10.199999999999999" x14ac:dyDescent="0.35">
      <c r="A188" s="33" t="s">
        <v>341</v>
      </c>
      <c r="B188" s="33">
        <v>81000</v>
      </c>
      <c r="C188" s="33" t="s">
        <v>40</v>
      </c>
      <c r="D188" s="33">
        <v>0</v>
      </c>
      <c r="E188" s="1" t="s">
        <v>342</v>
      </c>
      <c r="F188" s="1" t="s">
        <v>343</v>
      </c>
      <c r="G188" s="33" t="s">
        <v>87</v>
      </c>
      <c r="H188" s="8"/>
      <c r="I188" s="8">
        <v>350</v>
      </c>
      <c r="J188" s="8">
        <f>H188*I188</f>
        <v>0</v>
      </c>
      <c r="K188" s="8">
        <v>170</v>
      </c>
      <c r="L188" s="8">
        <f>K188*I188</f>
        <v>59500</v>
      </c>
      <c r="M188" s="8">
        <v>40</v>
      </c>
      <c r="N188" s="8">
        <f>M188*I188</f>
        <v>14000</v>
      </c>
      <c r="O188" s="8">
        <v>0</v>
      </c>
      <c r="P188" s="8">
        <f>O188*I188</f>
        <v>0</v>
      </c>
      <c r="Q188" s="8">
        <v>0</v>
      </c>
      <c r="R188" s="8">
        <f>Q188*I188</f>
        <v>0</v>
      </c>
      <c r="S188" s="17">
        <f>SUM(J188,L188,N188,P188,R188)</f>
        <v>73500</v>
      </c>
      <c r="T188" s="8">
        <v>0</v>
      </c>
      <c r="U188" s="8">
        <f>SUM(S188:T188)</f>
        <v>73500</v>
      </c>
    </row>
    <row r="189" spans="1:21" ht="10.199999999999999" x14ac:dyDescent="0.35">
      <c r="A189" s="68"/>
      <c r="B189" s="68"/>
      <c r="C189" s="68"/>
      <c r="D189" s="68"/>
      <c r="E189" s="59" t="s">
        <v>344</v>
      </c>
      <c r="F189" s="59"/>
      <c r="G189" s="68"/>
      <c r="H189" s="67"/>
      <c r="I189" s="60"/>
      <c r="J189" s="69"/>
      <c r="K189" s="75"/>
      <c r="L189" s="69"/>
      <c r="M189" s="75"/>
      <c r="N189" s="69"/>
      <c r="O189" s="69"/>
      <c r="P189" s="69"/>
      <c r="Q189" s="69"/>
      <c r="R189" s="69"/>
      <c r="S189" s="69"/>
      <c r="T189" s="69"/>
      <c r="U189" s="88"/>
    </row>
    <row r="190" spans="1:21" ht="10.199999999999999" x14ac:dyDescent="0.35">
      <c r="A190" s="33" t="s">
        <v>345</v>
      </c>
      <c r="B190" s="33">
        <v>85300</v>
      </c>
      <c r="C190" s="33" t="s">
        <v>40</v>
      </c>
      <c r="D190" s="33">
        <v>0</v>
      </c>
      <c r="E190" s="12" t="s">
        <v>346</v>
      </c>
      <c r="F190" s="1" t="s">
        <v>343</v>
      </c>
      <c r="G190" s="33" t="s">
        <v>347</v>
      </c>
      <c r="H190" s="8"/>
      <c r="I190" s="8">
        <v>7486</v>
      </c>
      <c r="J190" s="8">
        <f>H190*I190</f>
        <v>0</v>
      </c>
      <c r="K190" s="8">
        <v>1</v>
      </c>
      <c r="L190" s="8">
        <f>K190*I190</f>
        <v>7486</v>
      </c>
      <c r="M190" s="8">
        <v>0</v>
      </c>
      <c r="N190" s="8">
        <f>M190*I190</f>
        <v>0</v>
      </c>
      <c r="O190" s="8">
        <v>0</v>
      </c>
      <c r="P190" s="8">
        <f>O190*I190</f>
        <v>0</v>
      </c>
      <c r="Q190" s="8">
        <v>0</v>
      </c>
      <c r="R190" s="8">
        <f>Q190*I190</f>
        <v>0</v>
      </c>
      <c r="S190" s="17">
        <f>SUM(J190,L190,N190,P190,R190)</f>
        <v>7486</v>
      </c>
      <c r="T190" s="8" t="s">
        <v>83</v>
      </c>
      <c r="U190" s="8">
        <f>SUM(S190:T190)</f>
        <v>7486</v>
      </c>
    </row>
    <row r="191" spans="1:21" ht="10.199999999999999" x14ac:dyDescent="0.35">
      <c r="A191" s="125"/>
      <c r="B191" s="125"/>
      <c r="C191" s="125"/>
      <c r="D191" s="125"/>
      <c r="E191" s="125" t="s">
        <v>348</v>
      </c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</row>
    <row r="192" spans="1:21" ht="10.199999999999999" x14ac:dyDescent="0.35">
      <c r="A192" s="33" t="s">
        <v>349</v>
      </c>
      <c r="B192" s="33">
        <v>81000</v>
      </c>
      <c r="C192" s="33" t="s">
        <v>40</v>
      </c>
      <c r="D192" s="33">
        <v>0</v>
      </c>
      <c r="E192" s="12" t="s">
        <v>350</v>
      </c>
      <c r="F192" s="1" t="s">
        <v>343</v>
      </c>
      <c r="G192" s="12" t="s">
        <v>228</v>
      </c>
      <c r="H192" s="8"/>
      <c r="I192" s="8">
        <v>350</v>
      </c>
      <c r="J192" s="8">
        <f>I192*H192</f>
        <v>0</v>
      </c>
      <c r="K192" s="8">
        <v>80</v>
      </c>
      <c r="L192" s="8">
        <f>K192*I192</f>
        <v>28000</v>
      </c>
      <c r="M192" s="8"/>
      <c r="N192" s="8">
        <f>M192*K192</f>
        <v>0</v>
      </c>
      <c r="O192" s="8">
        <v>0</v>
      </c>
      <c r="P192" s="8">
        <f t="shared" ref="P192:R194" si="83">O192*M192</f>
        <v>0</v>
      </c>
      <c r="Q192" s="8">
        <f t="shared" si="83"/>
        <v>0</v>
      </c>
      <c r="R192" s="8">
        <f t="shared" si="83"/>
        <v>0</v>
      </c>
      <c r="S192" s="8">
        <f>SUM(J192,L192,N192,P192,R192)</f>
        <v>28000</v>
      </c>
      <c r="T192" s="28" t="s">
        <v>145</v>
      </c>
      <c r="U192" s="8">
        <f>SUM(S192:T192)</f>
        <v>28000</v>
      </c>
    </row>
    <row r="193" spans="1:21" ht="10.199999999999999" x14ac:dyDescent="0.35">
      <c r="A193" s="33" t="s">
        <v>351</v>
      </c>
      <c r="B193" s="33">
        <v>81000</v>
      </c>
      <c r="C193" s="33" t="s">
        <v>40</v>
      </c>
      <c r="D193" s="33">
        <v>0</v>
      </c>
      <c r="E193" s="12" t="s">
        <v>352</v>
      </c>
      <c r="F193" s="1" t="s">
        <v>343</v>
      </c>
      <c r="G193" s="12" t="s">
        <v>228</v>
      </c>
      <c r="H193" s="8"/>
      <c r="I193" s="8">
        <v>300</v>
      </c>
      <c r="J193" s="8">
        <f>I193*H193</f>
        <v>0</v>
      </c>
      <c r="K193" s="8">
        <v>50</v>
      </c>
      <c r="L193" s="8">
        <f>K193*I193</f>
        <v>15000</v>
      </c>
      <c r="M193" s="8"/>
      <c r="N193" s="8">
        <f>M193*K193</f>
        <v>0</v>
      </c>
      <c r="O193" s="8">
        <v>0</v>
      </c>
      <c r="P193" s="8">
        <f t="shared" ref="P193:R193" si="84">O193*M193</f>
        <v>0</v>
      </c>
      <c r="Q193" s="8">
        <f t="shared" si="84"/>
        <v>0</v>
      </c>
      <c r="R193" s="8">
        <f t="shared" si="84"/>
        <v>0</v>
      </c>
      <c r="S193" s="8">
        <f>SUM(J193,L193,N193,P193,R193)</f>
        <v>15000</v>
      </c>
      <c r="T193" s="28" t="s">
        <v>145</v>
      </c>
      <c r="U193" s="8">
        <f>SUM(S193:T193)</f>
        <v>15000</v>
      </c>
    </row>
    <row r="194" spans="1:21" ht="10.199999999999999" x14ac:dyDescent="0.35">
      <c r="A194" s="33" t="s">
        <v>353</v>
      </c>
      <c r="B194" s="33">
        <v>87000</v>
      </c>
      <c r="C194" s="33" t="s">
        <v>40</v>
      </c>
      <c r="D194" s="33">
        <v>0</v>
      </c>
      <c r="E194" s="12" t="s">
        <v>354</v>
      </c>
      <c r="F194" s="1" t="s">
        <v>343</v>
      </c>
      <c r="G194" s="33" t="s">
        <v>210</v>
      </c>
      <c r="H194" s="8"/>
      <c r="I194" s="8">
        <v>500</v>
      </c>
      <c r="J194" s="8">
        <f>I194*H194</f>
        <v>0</v>
      </c>
      <c r="K194" s="8">
        <v>2</v>
      </c>
      <c r="L194" s="8">
        <f>K194*I194</f>
        <v>1000</v>
      </c>
      <c r="M194" s="8"/>
      <c r="N194" s="8">
        <f>M194*K194</f>
        <v>0</v>
      </c>
      <c r="O194" s="8">
        <v>0</v>
      </c>
      <c r="P194" s="8">
        <f t="shared" si="83"/>
        <v>0</v>
      </c>
      <c r="Q194" s="8">
        <f t="shared" si="83"/>
        <v>0</v>
      </c>
      <c r="R194" s="8">
        <f t="shared" si="83"/>
        <v>0</v>
      </c>
      <c r="S194" s="8">
        <f>SUM(J194,L194,N194,P194,R194)</f>
        <v>1000</v>
      </c>
      <c r="T194" s="28" t="s">
        <v>145</v>
      </c>
      <c r="U194" s="8">
        <f>SUM(S194:T194)</f>
        <v>1000</v>
      </c>
    </row>
    <row r="195" spans="1:21" ht="10.199999999999999" x14ac:dyDescent="0.35">
      <c r="A195" s="33" t="s">
        <v>355</v>
      </c>
      <c r="B195" s="33">
        <v>81021</v>
      </c>
      <c r="C195" s="33" t="s">
        <v>40</v>
      </c>
      <c r="D195" s="33">
        <v>0</v>
      </c>
      <c r="E195" s="12" t="s">
        <v>356</v>
      </c>
      <c r="F195" s="1" t="s">
        <v>343</v>
      </c>
      <c r="G195" s="33" t="s">
        <v>347</v>
      </c>
      <c r="H195" s="8"/>
      <c r="I195" s="8">
        <v>3500</v>
      </c>
      <c r="J195" s="8">
        <f>I195*H195</f>
        <v>0</v>
      </c>
      <c r="K195" s="8">
        <v>1</v>
      </c>
      <c r="L195" s="8">
        <f>K195*I195</f>
        <v>3500</v>
      </c>
      <c r="M195" s="8"/>
      <c r="N195" s="8">
        <f>M195*I195</f>
        <v>0</v>
      </c>
      <c r="O195" s="8">
        <v>0</v>
      </c>
      <c r="P195" s="8">
        <f>O195*I195</f>
        <v>0</v>
      </c>
      <c r="Q195" s="8">
        <v>0</v>
      </c>
      <c r="R195" s="8">
        <f>Q195*I195</f>
        <v>0</v>
      </c>
      <c r="S195" s="8">
        <f>SUM(J195,L195,N195,P195,R195)</f>
        <v>3500</v>
      </c>
      <c r="T195" s="28" t="s">
        <v>83</v>
      </c>
      <c r="U195" s="8">
        <f>SUM(S195:T195)</f>
        <v>3500</v>
      </c>
    </row>
    <row r="196" spans="1:21" ht="10.199999999999999" x14ac:dyDescent="0.35">
      <c r="A196" s="33" t="s">
        <v>357</v>
      </c>
      <c r="B196" s="33">
        <v>81000</v>
      </c>
      <c r="C196" s="33" t="s">
        <v>40</v>
      </c>
      <c r="D196" s="33">
        <v>0</v>
      </c>
      <c r="E196" s="12" t="s">
        <v>358</v>
      </c>
      <c r="F196" s="1" t="s">
        <v>343</v>
      </c>
      <c r="G196" s="33" t="s">
        <v>228</v>
      </c>
      <c r="H196" s="8"/>
      <c r="I196" s="8">
        <v>300</v>
      </c>
      <c r="J196" s="8">
        <f>I196*H196</f>
        <v>0</v>
      </c>
      <c r="K196" s="8">
        <v>0</v>
      </c>
      <c r="L196" s="8">
        <f>K196*I196</f>
        <v>0</v>
      </c>
      <c r="M196" s="8"/>
      <c r="N196" s="8">
        <f>M196*I196</f>
        <v>0</v>
      </c>
      <c r="O196" s="8">
        <v>0</v>
      </c>
      <c r="P196" s="8">
        <f>O196*I196</f>
        <v>0</v>
      </c>
      <c r="Q196" s="8">
        <v>40</v>
      </c>
      <c r="R196" s="8">
        <f>Q196*I196</f>
        <v>12000</v>
      </c>
      <c r="S196" s="8">
        <f>SUM(J196,L196,N196,P196,R196)</f>
        <v>12000</v>
      </c>
      <c r="T196" s="28" t="s">
        <v>83</v>
      </c>
      <c r="U196" s="8">
        <f>SUM(S196:T196)</f>
        <v>12000</v>
      </c>
    </row>
    <row r="197" spans="1:21" ht="10.199999999999999" x14ac:dyDescent="0.35">
      <c r="A197" s="68"/>
      <c r="B197" s="68"/>
      <c r="C197" s="68"/>
      <c r="D197" s="68"/>
      <c r="E197" s="59" t="s">
        <v>359</v>
      </c>
      <c r="F197" s="59"/>
      <c r="G197" s="68"/>
      <c r="H197" s="67"/>
      <c r="I197" s="60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</row>
    <row r="198" spans="1:21" ht="10.199999999999999" x14ac:dyDescent="0.35">
      <c r="A198" s="33" t="s">
        <v>360</v>
      </c>
      <c r="B198" s="33">
        <v>87000</v>
      </c>
      <c r="C198" s="33" t="s">
        <v>40</v>
      </c>
      <c r="D198" s="33">
        <v>0</v>
      </c>
      <c r="E198" s="1" t="s">
        <v>361</v>
      </c>
      <c r="F198" s="1" t="s">
        <v>343</v>
      </c>
      <c r="G198" s="33" t="s">
        <v>210</v>
      </c>
      <c r="H198" s="8"/>
      <c r="I198" s="8">
        <v>1000</v>
      </c>
      <c r="J198" s="8">
        <f>H198*I198</f>
        <v>0</v>
      </c>
      <c r="K198" s="8">
        <v>5</v>
      </c>
      <c r="L198" s="8">
        <f>K198*I198</f>
        <v>5000</v>
      </c>
      <c r="M198" s="8">
        <v>3</v>
      </c>
      <c r="N198" s="8">
        <f>M198*I198</f>
        <v>3000</v>
      </c>
      <c r="O198" s="8">
        <v>3</v>
      </c>
      <c r="P198" s="8">
        <f>O198*I198</f>
        <v>3000</v>
      </c>
      <c r="Q198" s="8">
        <v>3</v>
      </c>
      <c r="R198" s="8">
        <f>Q198*I198</f>
        <v>3000</v>
      </c>
      <c r="S198" s="8">
        <f>SUM(J198,L198,N198,P198,R198)</f>
        <v>14000</v>
      </c>
      <c r="T198" s="8" t="s">
        <v>83</v>
      </c>
      <c r="U198" s="8">
        <f>SUM(S198:T198)</f>
        <v>14000</v>
      </c>
    </row>
    <row r="199" spans="1:21" ht="20.399999999999999" x14ac:dyDescent="0.35">
      <c r="A199" s="33" t="s">
        <v>362</v>
      </c>
      <c r="B199" s="33" t="s">
        <v>85</v>
      </c>
      <c r="C199" s="33" t="s">
        <v>40</v>
      </c>
      <c r="D199" s="33">
        <v>0</v>
      </c>
      <c r="E199" s="1" t="s">
        <v>363</v>
      </c>
      <c r="F199" s="1" t="s">
        <v>343</v>
      </c>
      <c r="G199" s="33" t="s">
        <v>228</v>
      </c>
      <c r="H199" s="8"/>
      <c r="I199" s="8">
        <v>110</v>
      </c>
      <c r="J199" s="8">
        <f>H199*I199</f>
        <v>0</v>
      </c>
      <c r="K199" s="8">
        <v>12</v>
      </c>
      <c r="L199" s="8">
        <f>K199*I199</f>
        <v>1320</v>
      </c>
      <c r="M199" s="8">
        <v>20</v>
      </c>
      <c r="N199" s="8">
        <f>M199*I199</f>
        <v>2200</v>
      </c>
      <c r="O199" s="8">
        <v>20</v>
      </c>
      <c r="P199" s="8">
        <f>O199*I199</f>
        <v>2200</v>
      </c>
      <c r="Q199" s="8">
        <v>12</v>
      </c>
      <c r="R199" s="8">
        <f>Q199*I199</f>
        <v>1320</v>
      </c>
      <c r="S199" s="8">
        <f>SUM(J199,L199,N199,P199,R199)</f>
        <v>7040</v>
      </c>
      <c r="T199" s="8" t="s">
        <v>83</v>
      </c>
      <c r="U199" s="8">
        <f>SUM(S199:T199)</f>
        <v>7040</v>
      </c>
    </row>
    <row r="200" spans="1:21" ht="10.199999999999999" x14ac:dyDescent="0.35">
      <c r="A200" s="33" t="s">
        <v>364</v>
      </c>
      <c r="B200" s="46">
        <v>86000</v>
      </c>
      <c r="C200" s="33" t="s">
        <v>40</v>
      </c>
      <c r="D200" s="33">
        <v>0</v>
      </c>
      <c r="E200" s="1" t="s">
        <v>365</v>
      </c>
      <c r="F200" s="1" t="s">
        <v>343</v>
      </c>
      <c r="G200" s="33" t="s">
        <v>228</v>
      </c>
      <c r="H200" s="8"/>
      <c r="I200" s="8">
        <v>60</v>
      </c>
      <c r="J200" s="8">
        <f>H200*I200</f>
        <v>0</v>
      </c>
      <c r="K200" s="8">
        <v>12</v>
      </c>
      <c r="L200" s="8">
        <f>K200*I200</f>
        <v>720</v>
      </c>
      <c r="M200" s="8">
        <v>20</v>
      </c>
      <c r="N200" s="8">
        <f>M200*I200</f>
        <v>1200</v>
      </c>
      <c r="O200" s="8">
        <v>20</v>
      </c>
      <c r="P200" s="8">
        <f>O200*I200</f>
        <v>1200</v>
      </c>
      <c r="Q200" s="8">
        <v>12</v>
      </c>
      <c r="R200" s="8">
        <f>Q200*I200</f>
        <v>720</v>
      </c>
      <c r="S200" s="8">
        <f>SUM(J200,L200,N200,P200,R200)</f>
        <v>3840</v>
      </c>
      <c r="T200" s="8" t="s">
        <v>83</v>
      </c>
      <c r="U200" s="8">
        <f>SUM(S200:T200)</f>
        <v>3840</v>
      </c>
    </row>
    <row r="201" spans="1:21" ht="10.199999999999999" x14ac:dyDescent="0.35">
      <c r="A201" s="68"/>
      <c r="B201" s="68"/>
      <c r="C201" s="68"/>
      <c r="D201" s="68"/>
      <c r="E201" s="61" t="s">
        <v>366</v>
      </c>
      <c r="F201" s="61"/>
      <c r="G201" s="68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</row>
    <row r="202" spans="1:21" ht="10.199999999999999" x14ac:dyDescent="0.35">
      <c r="A202" s="33" t="s">
        <v>367</v>
      </c>
      <c r="B202" s="33">
        <v>81010</v>
      </c>
      <c r="C202" s="33">
        <v>0</v>
      </c>
      <c r="D202" s="33">
        <v>0</v>
      </c>
      <c r="E202" s="1" t="s">
        <v>368</v>
      </c>
      <c r="F202" s="1" t="s">
        <v>343</v>
      </c>
      <c r="G202" s="33" t="s">
        <v>369</v>
      </c>
      <c r="H202" s="8"/>
      <c r="I202" s="8">
        <v>40000</v>
      </c>
      <c r="J202" s="8">
        <f>H202*I202</f>
        <v>0</v>
      </c>
      <c r="K202" s="8">
        <v>1</v>
      </c>
      <c r="L202" s="8">
        <f>K202*I202</f>
        <v>40000</v>
      </c>
      <c r="M202" s="8"/>
      <c r="N202" s="8">
        <f>M202*I202</f>
        <v>0</v>
      </c>
      <c r="O202" s="8">
        <v>0</v>
      </c>
      <c r="P202" s="8">
        <f>O202*I202</f>
        <v>0</v>
      </c>
      <c r="Q202" s="8">
        <v>0</v>
      </c>
      <c r="R202" s="8">
        <f>Q202*I202</f>
        <v>0</v>
      </c>
      <c r="S202" s="8">
        <f>SUM(J202,L202,N202,P202,R202)</f>
        <v>40000</v>
      </c>
      <c r="T202" s="8" t="s">
        <v>83</v>
      </c>
      <c r="U202" s="8">
        <f>SUM(S202:T202)</f>
        <v>40000</v>
      </c>
    </row>
    <row r="203" spans="1:21" ht="10.199999999999999" x14ac:dyDescent="0.35">
      <c r="A203" s="33" t="s">
        <v>370</v>
      </c>
      <c r="B203" s="33">
        <v>81010</v>
      </c>
      <c r="C203" s="33">
        <v>0</v>
      </c>
      <c r="D203" s="33">
        <v>0</v>
      </c>
      <c r="E203" s="1" t="s">
        <v>371</v>
      </c>
      <c r="F203" s="1" t="s">
        <v>343</v>
      </c>
      <c r="G203" s="33" t="s">
        <v>369</v>
      </c>
      <c r="H203" s="8"/>
      <c r="I203" s="8">
        <v>40000</v>
      </c>
      <c r="J203" s="8">
        <f>H203*I203</f>
        <v>0</v>
      </c>
      <c r="K203" s="8">
        <v>0</v>
      </c>
      <c r="L203" s="8">
        <f>K203*I203</f>
        <v>0</v>
      </c>
      <c r="M203" s="8">
        <v>0</v>
      </c>
      <c r="N203" s="8">
        <f>M203*I203</f>
        <v>0</v>
      </c>
      <c r="O203" s="8">
        <v>1</v>
      </c>
      <c r="P203" s="8">
        <f>O203*I203</f>
        <v>40000</v>
      </c>
      <c r="Q203" s="8">
        <v>0</v>
      </c>
      <c r="R203" s="8">
        <f>Q203*I203</f>
        <v>0</v>
      </c>
      <c r="S203" s="8">
        <f>SUM(J203,L203,N203,P203,R203)</f>
        <v>40000</v>
      </c>
      <c r="T203" s="8" t="s">
        <v>83</v>
      </c>
      <c r="U203" s="8">
        <f>SUM(S203:T203)</f>
        <v>40000</v>
      </c>
    </row>
    <row r="204" spans="1:21" ht="10.199999999999999" x14ac:dyDescent="0.35">
      <c r="A204" s="156"/>
      <c r="B204" s="156"/>
      <c r="C204" s="156"/>
      <c r="D204" s="156"/>
      <c r="E204" s="154" t="s">
        <v>372</v>
      </c>
      <c r="F204" s="155"/>
      <c r="G204" s="156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</row>
    <row r="205" spans="1:21" ht="19.899999999999999" customHeight="1" x14ac:dyDescent="0.35">
      <c r="A205" s="33" t="s">
        <v>373</v>
      </c>
      <c r="B205" s="33">
        <v>87000</v>
      </c>
      <c r="C205" s="33" t="s">
        <v>40</v>
      </c>
      <c r="D205" s="33">
        <v>0</v>
      </c>
      <c r="E205" s="1" t="s">
        <v>374</v>
      </c>
      <c r="F205" s="1" t="s">
        <v>343</v>
      </c>
      <c r="G205" s="33" t="s">
        <v>210</v>
      </c>
      <c r="H205" s="8"/>
      <c r="I205" s="8">
        <v>750</v>
      </c>
      <c r="J205" s="8">
        <f>H205*I205</f>
        <v>0</v>
      </c>
      <c r="K205" s="8">
        <v>0</v>
      </c>
      <c r="L205" s="8">
        <f>K205*I205</f>
        <v>0</v>
      </c>
      <c r="M205" s="8">
        <v>3</v>
      </c>
      <c r="N205" s="8">
        <f>M205*I205</f>
        <v>2250</v>
      </c>
      <c r="O205" s="8">
        <v>0</v>
      </c>
      <c r="P205" s="8">
        <f>O205*I205</f>
        <v>0</v>
      </c>
      <c r="Q205" s="8">
        <v>0</v>
      </c>
      <c r="R205" s="8">
        <f>Q205*I205</f>
        <v>0</v>
      </c>
      <c r="S205" s="8">
        <f>SUM(J205,L205,N205,P205,R205)</f>
        <v>2250</v>
      </c>
      <c r="T205" s="8" t="s">
        <v>83</v>
      </c>
      <c r="U205" s="8">
        <f>SUM(S205:T205)</f>
        <v>2250</v>
      </c>
    </row>
    <row r="206" spans="1:21" ht="19.899999999999999" customHeight="1" x14ac:dyDescent="0.35">
      <c r="A206" s="33" t="s">
        <v>375</v>
      </c>
      <c r="B206" s="33">
        <v>87000</v>
      </c>
      <c r="C206" s="33" t="s">
        <v>40</v>
      </c>
      <c r="D206" s="33">
        <v>0</v>
      </c>
      <c r="E206" s="1" t="s">
        <v>376</v>
      </c>
      <c r="F206" s="1" t="s">
        <v>343</v>
      </c>
      <c r="G206" s="33" t="s">
        <v>210</v>
      </c>
      <c r="H206" s="8"/>
      <c r="I206" s="8">
        <v>750</v>
      </c>
      <c r="J206" s="8">
        <f>H206*I206</f>
        <v>0</v>
      </c>
      <c r="K206" s="8">
        <v>1</v>
      </c>
      <c r="L206" s="8">
        <f>K206*I206</f>
        <v>750</v>
      </c>
      <c r="M206" s="8">
        <v>1</v>
      </c>
      <c r="N206" s="8">
        <f>M206*I206</f>
        <v>750</v>
      </c>
      <c r="O206" s="8">
        <v>1</v>
      </c>
      <c r="P206" s="8">
        <f>O206*I206</f>
        <v>750</v>
      </c>
      <c r="Q206" s="8">
        <v>1</v>
      </c>
      <c r="R206" s="8">
        <f>Q206*I206</f>
        <v>750</v>
      </c>
      <c r="S206" s="8">
        <f>SUM(J206,L206,N206,P206,R206)</f>
        <v>3000</v>
      </c>
      <c r="T206" s="8" t="s">
        <v>83</v>
      </c>
      <c r="U206" s="8">
        <f>SUM(S206:T206)</f>
        <v>3000</v>
      </c>
    </row>
    <row r="207" spans="1:21" ht="10.199999999999999" x14ac:dyDescent="0.35">
      <c r="A207" s="68"/>
      <c r="B207" s="68"/>
      <c r="C207" s="68"/>
      <c r="D207" s="68"/>
      <c r="E207" s="61" t="s">
        <v>377</v>
      </c>
      <c r="F207" s="67"/>
      <c r="G207" s="68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</row>
    <row r="208" spans="1:21" ht="12.6" customHeight="1" x14ac:dyDescent="0.35">
      <c r="A208" s="33" t="s">
        <v>378</v>
      </c>
      <c r="B208" s="33" t="s">
        <v>85</v>
      </c>
      <c r="C208" s="33" t="s">
        <v>40</v>
      </c>
      <c r="D208" s="33">
        <v>0</v>
      </c>
      <c r="E208" s="1" t="s">
        <v>379</v>
      </c>
      <c r="F208" s="1" t="s">
        <v>343</v>
      </c>
      <c r="G208" s="33" t="s">
        <v>228</v>
      </c>
      <c r="H208" s="8"/>
      <c r="I208" s="8">
        <v>110</v>
      </c>
      <c r="J208" s="8">
        <f>I208*H208</f>
        <v>0</v>
      </c>
      <c r="K208" s="8">
        <v>24</v>
      </c>
      <c r="L208" s="8">
        <f>K208*I208</f>
        <v>2640</v>
      </c>
      <c r="M208" s="8">
        <v>48</v>
      </c>
      <c r="N208" s="8">
        <f>M208*I208</f>
        <v>5280</v>
      </c>
      <c r="O208" s="8">
        <v>48</v>
      </c>
      <c r="P208" s="8">
        <f>O208*I208</f>
        <v>5280</v>
      </c>
      <c r="Q208" s="8">
        <v>8</v>
      </c>
      <c r="R208" s="8">
        <f>Q208*I208</f>
        <v>880</v>
      </c>
      <c r="S208" s="8">
        <f>SUM(J208,L208,N208,P208,R208)</f>
        <v>14080</v>
      </c>
      <c r="T208" s="8" t="s">
        <v>145</v>
      </c>
      <c r="U208" s="8">
        <f>SUM(S208:T208)</f>
        <v>14080</v>
      </c>
    </row>
    <row r="209" spans="1:21" ht="10.199999999999999" x14ac:dyDescent="0.35">
      <c r="A209" s="33" t="s">
        <v>380</v>
      </c>
      <c r="B209" s="46">
        <v>86000</v>
      </c>
      <c r="C209" s="33" t="s">
        <v>40</v>
      </c>
      <c r="D209" s="33">
        <v>0</v>
      </c>
      <c r="E209" s="1" t="s">
        <v>381</v>
      </c>
      <c r="F209" s="1" t="s">
        <v>343</v>
      </c>
      <c r="G209" s="33" t="s">
        <v>228</v>
      </c>
      <c r="H209" s="8"/>
      <c r="I209" s="8">
        <v>60</v>
      </c>
      <c r="J209" s="8">
        <f t="shared" ref="J209:J210" si="85">I209*H209</f>
        <v>0</v>
      </c>
      <c r="K209" s="8">
        <v>24</v>
      </c>
      <c r="L209" s="8">
        <f>K209*I209</f>
        <v>1440</v>
      </c>
      <c r="M209" s="8">
        <v>48</v>
      </c>
      <c r="N209" s="8">
        <f>M209*I209</f>
        <v>2880</v>
      </c>
      <c r="O209" s="8">
        <v>48</v>
      </c>
      <c r="P209" s="8">
        <f>O209*I209</f>
        <v>2880</v>
      </c>
      <c r="Q209" s="8">
        <v>8</v>
      </c>
      <c r="R209" s="8">
        <f>Q209*I209</f>
        <v>480</v>
      </c>
      <c r="S209" s="8">
        <f>SUM(J209,L209,N209,P209,R209)</f>
        <v>7680</v>
      </c>
      <c r="T209" s="8" t="s">
        <v>145</v>
      </c>
      <c r="U209" s="8">
        <f t="shared" ref="U209:U210" si="86">SUM(S209:T209)</f>
        <v>7680</v>
      </c>
    </row>
    <row r="210" spans="1:21" ht="10.199999999999999" x14ac:dyDescent="0.35">
      <c r="A210" s="33" t="s">
        <v>382</v>
      </c>
      <c r="B210" s="33">
        <v>7710</v>
      </c>
      <c r="C210" s="33" t="s">
        <v>40</v>
      </c>
      <c r="D210" s="33">
        <v>0</v>
      </c>
      <c r="E210" s="1" t="s">
        <v>383</v>
      </c>
      <c r="F210" s="1" t="s">
        <v>343</v>
      </c>
      <c r="G210" s="33" t="s">
        <v>115</v>
      </c>
      <c r="H210" s="8"/>
      <c r="I210" s="8">
        <v>1000</v>
      </c>
      <c r="J210" s="8">
        <f t="shared" si="85"/>
        <v>0</v>
      </c>
      <c r="K210" s="8">
        <v>12</v>
      </c>
      <c r="L210" s="8">
        <f>K210*I210</f>
        <v>12000</v>
      </c>
      <c r="M210" s="8">
        <v>20</v>
      </c>
      <c r="N210" s="8">
        <f>M210*I210</f>
        <v>20000</v>
      </c>
      <c r="O210" s="8">
        <v>10</v>
      </c>
      <c r="P210" s="8">
        <f>O210*I210</f>
        <v>10000</v>
      </c>
      <c r="Q210" s="8">
        <v>4</v>
      </c>
      <c r="R210" s="8">
        <f>Q210*I210</f>
        <v>4000</v>
      </c>
      <c r="S210" s="8">
        <f>SUM(J210,L210,N210,P210,R210)</f>
        <v>46000</v>
      </c>
      <c r="T210" s="8" t="s">
        <v>145</v>
      </c>
      <c r="U210" s="8">
        <f t="shared" si="86"/>
        <v>46000</v>
      </c>
    </row>
    <row r="211" spans="1:21" ht="10.5" x14ac:dyDescent="0.4">
      <c r="A211" s="101"/>
      <c r="B211" s="101"/>
      <c r="C211" s="101"/>
      <c r="D211" s="101"/>
      <c r="E211" s="61" t="s">
        <v>384</v>
      </c>
      <c r="F211" s="61"/>
      <c r="G211" s="77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69"/>
      <c r="U211" s="96"/>
    </row>
    <row r="212" spans="1:21" ht="10.199999999999999" x14ac:dyDescent="0.35">
      <c r="A212" s="33" t="s">
        <v>385</v>
      </c>
      <c r="B212" s="33">
        <v>81000</v>
      </c>
      <c r="C212" s="33" t="s">
        <v>40</v>
      </c>
      <c r="D212" s="33">
        <v>0</v>
      </c>
      <c r="E212" s="1" t="s">
        <v>386</v>
      </c>
      <c r="F212" s="1" t="s">
        <v>343</v>
      </c>
      <c r="G212" s="33" t="s">
        <v>87</v>
      </c>
      <c r="H212" s="8">
        <v>90</v>
      </c>
      <c r="I212" s="8">
        <v>350</v>
      </c>
      <c r="J212" s="8">
        <f>H212*I212</f>
        <v>31500</v>
      </c>
      <c r="K212" s="8"/>
      <c r="L212" s="8">
        <f>K212*I212</f>
        <v>0</v>
      </c>
      <c r="M212" s="8">
        <v>0</v>
      </c>
      <c r="N212" s="8">
        <f>M212*I212</f>
        <v>0</v>
      </c>
      <c r="O212" s="8">
        <v>0</v>
      </c>
      <c r="P212" s="8">
        <f>O212*I212</f>
        <v>0</v>
      </c>
      <c r="Q212" s="8">
        <v>0</v>
      </c>
      <c r="R212" s="8">
        <f>Q212*I212</f>
        <v>0</v>
      </c>
      <c r="S212" s="17">
        <f>SUM(J212,L212,N212,P212,R212)</f>
        <v>31500</v>
      </c>
      <c r="T212" s="8">
        <v>0</v>
      </c>
      <c r="U212" s="8">
        <f>SUM(S212:T212)</f>
        <v>31500</v>
      </c>
    </row>
    <row r="213" spans="1:21" ht="10.199999999999999" x14ac:dyDescent="0.35">
      <c r="A213" s="33" t="s">
        <v>387</v>
      </c>
      <c r="B213" s="33">
        <v>81000</v>
      </c>
      <c r="C213" s="33" t="s">
        <v>40</v>
      </c>
      <c r="D213" s="33">
        <v>0</v>
      </c>
      <c r="E213" s="1" t="s">
        <v>388</v>
      </c>
      <c r="F213" s="1" t="s">
        <v>343</v>
      </c>
      <c r="G213" s="33" t="s">
        <v>389</v>
      </c>
      <c r="H213" s="8">
        <v>15</v>
      </c>
      <c r="I213" s="8">
        <v>1500</v>
      </c>
      <c r="J213" s="8">
        <f>H213*I213</f>
        <v>22500</v>
      </c>
      <c r="K213" s="8"/>
      <c r="L213" s="8">
        <f>K213*I213</f>
        <v>0</v>
      </c>
      <c r="M213" s="8">
        <v>0</v>
      </c>
      <c r="N213" s="8">
        <f>M213*I213</f>
        <v>0</v>
      </c>
      <c r="O213" s="8">
        <v>0</v>
      </c>
      <c r="P213" s="8">
        <f>O213*I213</f>
        <v>0</v>
      </c>
      <c r="Q213" s="8">
        <v>0</v>
      </c>
      <c r="R213" s="8">
        <f>Q213*I213</f>
        <v>0</v>
      </c>
      <c r="S213" s="17">
        <f>SUM(J213,L213,N213,P213,R213)</f>
        <v>22500</v>
      </c>
      <c r="T213" s="8">
        <v>0</v>
      </c>
      <c r="U213" s="8">
        <f>SUM(S213:T213)</f>
        <v>22500</v>
      </c>
    </row>
    <row r="214" spans="1:21" ht="40.799999999999997" x14ac:dyDescent="0.35">
      <c r="A214" s="33" t="s">
        <v>390</v>
      </c>
      <c r="B214" s="33" t="s">
        <v>391</v>
      </c>
      <c r="C214" s="33" t="s">
        <v>40</v>
      </c>
      <c r="D214" s="33">
        <v>0</v>
      </c>
      <c r="E214" s="1" t="s">
        <v>392</v>
      </c>
      <c r="F214" s="1" t="s">
        <v>343</v>
      </c>
      <c r="G214" s="33" t="s">
        <v>82</v>
      </c>
      <c r="H214" s="8">
        <v>45</v>
      </c>
      <c r="I214" s="8">
        <v>350</v>
      </c>
      <c r="J214" s="8">
        <f>H214*I214</f>
        <v>15750</v>
      </c>
      <c r="K214" s="8"/>
      <c r="L214" s="8">
        <f>K214*I214</f>
        <v>0</v>
      </c>
      <c r="M214" s="8">
        <v>0</v>
      </c>
      <c r="N214" s="8">
        <f>M214*I214</f>
        <v>0</v>
      </c>
      <c r="O214" s="8">
        <v>0</v>
      </c>
      <c r="P214" s="8">
        <f>O214*I214</f>
        <v>0</v>
      </c>
      <c r="Q214" s="8">
        <v>0</v>
      </c>
      <c r="R214" s="8">
        <f>Q214*I214</f>
        <v>0</v>
      </c>
      <c r="S214" s="17">
        <f>SUM(J214,L214,N214,P214,R214)</f>
        <v>15750</v>
      </c>
      <c r="T214" s="8">
        <v>0</v>
      </c>
      <c r="U214" s="8">
        <f>SUM(S214:T214)</f>
        <v>15750</v>
      </c>
    </row>
    <row r="215" spans="1:21" ht="10.199999999999999" x14ac:dyDescent="0.35">
      <c r="A215" s="33" t="s">
        <v>393</v>
      </c>
      <c r="B215" s="33">
        <v>87010</v>
      </c>
      <c r="C215" s="33" t="s">
        <v>40</v>
      </c>
      <c r="D215" s="33">
        <v>0</v>
      </c>
      <c r="E215" s="1" t="s">
        <v>394</v>
      </c>
      <c r="F215" s="1" t="s">
        <v>343</v>
      </c>
      <c r="G215" s="33" t="s">
        <v>201</v>
      </c>
      <c r="H215" s="8">
        <v>2</v>
      </c>
      <c r="I215" s="8">
        <v>1500</v>
      </c>
      <c r="J215" s="8">
        <f>H215*I215</f>
        <v>3000</v>
      </c>
      <c r="K215" s="8"/>
      <c r="L215" s="8">
        <f>K215*I215</f>
        <v>0</v>
      </c>
      <c r="M215" s="8">
        <v>0</v>
      </c>
      <c r="N215" s="8">
        <f>M215*I215</f>
        <v>0</v>
      </c>
      <c r="O215" s="8">
        <v>0</v>
      </c>
      <c r="P215" s="8">
        <f>O215*I215</f>
        <v>0</v>
      </c>
      <c r="Q215" s="8">
        <v>0</v>
      </c>
      <c r="R215" s="8">
        <f>Q215*I215</f>
        <v>0</v>
      </c>
      <c r="S215" s="17">
        <f>SUM(J215,L215,N215,P215,R215)</f>
        <v>3000</v>
      </c>
      <c r="T215" s="8">
        <v>0</v>
      </c>
      <c r="U215" s="8">
        <f>SUM(S215:T215)</f>
        <v>3000</v>
      </c>
    </row>
    <row r="216" spans="1:21" ht="10.199999999999999" x14ac:dyDescent="0.35"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10.8" thickBot="1" x14ac:dyDescent="0.45">
      <c r="A217" s="34"/>
      <c r="B217" s="34"/>
      <c r="C217" s="34"/>
      <c r="D217" s="34"/>
      <c r="E217" s="18" t="s">
        <v>395</v>
      </c>
      <c r="F217" s="18"/>
      <c r="G217" s="18"/>
      <c r="H217" s="26"/>
      <c r="I217" s="26"/>
      <c r="J217" s="31">
        <f>SUM(J187:J216)</f>
        <v>72750</v>
      </c>
      <c r="K217" s="31"/>
      <c r="L217" s="31">
        <f>SUM(L187:L216)</f>
        <v>178356</v>
      </c>
      <c r="M217" s="31"/>
      <c r="N217" s="31">
        <f>SUM(N187:N216)</f>
        <v>51560</v>
      </c>
      <c r="O217" s="31"/>
      <c r="P217" s="31">
        <f>SUM(P187:P216)</f>
        <v>65310</v>
      </c>
      <c r="Q217" s="31"/>
      <c r="R217" s="31">
        <f>SUM(R187:R216)</f>
        <v>23150</v>
      </c>
      <c r="S217" s="31">
        <f>SUM(S187:S216)</f>
        <v>391126</v>
      </c>
      <c r="T217" s="31">
        <f>SUM(T187:T216)</f>
        <v>0</v>
      </c>
      <c r="U217" s="31">
        <f>SUM(U187:U216)</f>
        <v>391126</v>
      </c>
    </row>
    <row r="218" spans="1:21" ht="10.5" x14ac:dyDescent="0.4">
      <c r="E218" s="3"/>
      <c r="F218" s="3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T218" s="8"/>
    </row>
    <row r="219" spans="1:21" ht="10.8" thickBot="1" x14ac:dyDescent="0.45">
      <c r="A219" s="179"/>
      <c r="B219" s="179"/>
      <c r="C219" s="179"/>
      <c r="D219" s="179"/>
      <c r="E219" s="14" t="s">
        <v>396</v>
      </c>
      <c r="F219" s="14"/>
      <c r="G219" s="14"/>
      <c r="H219" s="14"/>
      <c r="I219" s="97"/>
      <c r="J219" s="98">
        <f>SUM(J42+J62+J88+J143+J184+J217+J102+J66)</f>
        <v>931612</v>
      </c>
      <c r="K219" s="98"/>
      <c r="L219" s="98">
        <f>SUM(L42+L62+L88+L143+L184+L217+L102+L66)</f>
        <v>2228527</v>
      </c>
      <c r="M219" s="98"/>
      <c r="N219" s="98">
        <f>SUM(N42+N62+N88+N143+N184+N217+N102+N66)</f>
        <v>2128839</v>
      </c>
      <c r="O219" s="98"/>
      <c r="P219" s="98">
        <f>SUM(P42+P62+P88+P143+P184+P217+P102+P66)</f>
        <v>1927779</v>
      </c>
      <c r="Q219" s="98"/>
      <c r="R219" s="98">
        <f>SUM(R42+R62+R88+R143+R184+R217+R102+R66)</f>
        <v>553855</v>
      </c>
      <c r="S219" s="98">
        <f>SUM(S42+S62+S88+S143+S184+S217+S102+S66)</f>
        <v>7770612</v>
      </c>
      <c r="T219" s="98">
        <f>SUM(T42+T62+T88+T143+T184+T217+T102+T66)</f>
        <v>0</v>
      </c>
      <c r="U219" s="98">
        <f>SUM(U42+U62+U88+U143+U184+U217+U102+U66)</f>
        <v>7770612</v>
      </c>
    </row>
    <row r="220" spans="1:21" ht="10.199999999999999" x14ac:dyDescent="0.35">
      <c r="E220" s="4"/>
      <c r="F220" s="4"/>
      <c r="I220" s="17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</row>
    <row r="221" spans="1:21" ht="20.7" x14ac:dyDescent="0.4">
      <c r="A221" s="184" t="s">
        <v>397</v>
      </c>
      <c r="B221" s="184">
        <v>94050</v>
      </c>
      <c r="C221" s="184">
        <v>0</v>
      </c>
      <c r="D221" s="184">
        <v>0</v>
      </c>
      <c r="E221" s="4" t="s">
        <v>398</v>
      </c>
      <c r="F221" s="1" t="s">
        <v>399</v>
      </c>
      <c r="G221" s="3"/>
      <c r="H221" s="3"/>
      <c r="I221" s="27">
        <v>0.28689999999999999</v>
      </c>
      <c r="J221" s="45">
        <f>(J219)*I221</f>
        <v>267279</v>
      </c>
      <c r="K221" s="45"/>
      <c r="L221" s="45">
        <f>(L219)*I221</f>
        <v>639364</v>
      </c>
      <c r="M221" s="45"/>
      <c r="N221" s="45">
        <f>(N219)*I221</f>
        <v>610764</v>
      </c>
      <c r="P221" s="45">
        <f>(P219)*I221</f>
        <v>553080</v>
      </c>
      <c r="Q221" s="45"/>
      <c r="R221" s="45">
        <f>(R219)*I221</f>
        <v>158901</v>
      </c>
      <c r="S221" s="45">
        <f>SUM(J221+L221+N221+P221,R221)</f>
        <v>2229388</v>
      </c>
      <c r="T221" s="45">
        <v>0</v>
      </c>
      <c r="U221" s="45">
        <f>SUM(S221:T221)</f>
        <v>2229388</v>
      </c>
    </row>
    <row r="222" spans="1:21" ht="10.5" x14ac:dyDescent="0.4">
      <c r="A222" s="180"/>
      <c r="B222" s="180"/>
      <c r="C222" s="180"/>
      <c r="D222" s="180"/>
      <c r="E222" s="22"/>
      <c r="F222" s="22"/>
      <c r="G222" s="23"/>
      <c r="H222" s="24"/>
      <c r="I222" s="36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</row>
    <row r="223" spans="1:21" ht="10.8" thickBot="1" x14ac:dyDescent="0.45">
      <c r="A223" s="181"/>
      <c r="B223" s="181"/>
      <c r="C223" s="181"/>
      <c r="D223" s="181"/>
      <c r="E223" s="10" t="s">
        <v>400</v>
      </c>
      <c r="F223" s="10"/>
      <c r="G223" s="10"/>
      <c r="H223" s="10"/>
      <c r="I223" s="37"/>
      <c r="J223" s="99">
        <f>J219+J221</f>
        <v>1198891</v>
      </c>
      <c r="K223" s="99"/>
      <c r="L223" s="99">
        <f t="shared" ref="L223:S223" si="87">L219+L221</f>
        <v>2867891</v>
      </c>
      <c r="M223" s="99"/>
      <c r="N223" s="99">
        <f t="shared" si="87"/>
        <v>2739603</v>
      </c>
      <c r="O223" s="99"/>
      <c r="P223" s="99">
        <f t="shared" si="87"/>
        <v>2480859</v>
      </c>
      <c r="Q223" s="99"/>
      <c r="R223" s="99">
        <f t="shared" si="87"/>
        <v>712756</v>
      </c>
      <c r="S223" s="99">
        <f t="shared" si="87"/>
        <v>10000000</v>
      </c>
      <c r="T223" s="99">
        <f>T219+T221</f>
        <v>0</v>
      </c>
      <c r="U223" s="99">
        <f>SUM(S223:T223)</f>
        <v>10000000</v>
      </c>
    </row>
    <row r="224" spans="1:21" ht="10.5" thickTop="1" x14ac:dyDescent="0.35"/>
    <row r="225" spans="1:21" ht="10.199999999999999" x14ac:dyDescent="0.35">
      <c r="U225" s="112"/>
    </row>
    <row r="226" spans="1:21" ht="10.199999999999999" x14ac:dyDescent="0.35"/>
    <row r="227" spans="1:21" ht="12" customHeight="1" x14ac:dyDescent="0.35">
      <c r="A227" s="182"/>
      <c r="B227" s="182"/>
      <c r="C227" s="182"/>
      <c r="D227" s="182"/>
      <c r="E227" s="7"/>
      <c r="F227" s="7"/>
      <c r="G227" s="51"/>
    </row>
    <row r="228" spans="1:21" ht="12" customHeight="1" x14ac:dyDescent="0.35">
      <c r="A228" s="183"/>
      <c r="B228" s="183"/>
      <c r="C228" s="183"/>
      <c r="D228" s="183"/>
      <c r="E228" s="7"/>
      <c r="F228" s="7"/>
      <c r="G228" s="52"/>
    </row>
  </sheetData>
  <mergeCells count="8">
    <mergeCell ref="E1:U1"/>
    <mergeCell ref="E2:U2"/>
    <mergeCell ref="E3:U3"/>
    <mergeCell ref="E8:F8"/>
    <mergeCell ref="E5:U5"/>
    <mergeCell ref="E7:U7"/>
    <mergeCell ref="E4:U4"/>
    <mergeCell ref="E6:U6"/>
  </mergeCells>
  <phoneticPr fontId="2" type="noConversion"/>
  <pageMargins left="0.7" right="0.7" top="0.75" bottom="0.75" header="0.3" footer="0.3"/>
  <pageSetup paperSize="17" scale="94" fitToHeight="0" orientation="landscape" r:id="rId1"/>
  <headerFooter alignWithMargins="0"/>
  <rowBreaks count="2" manualBreakCount="2">
    <brk id="102" min="4" max="15" man="1"/>
    <brk id="184" min="4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C667-8414-4B63-9854-8EF175100424}">
  <sheetPr>
    <pageSetUpPr fitToPage="1"/>
  </sheetPr>
  <dimension ref="A1:D300"/>
  <sheetViews>
    <sheetView topLeftCell="A258" workbookViewId="0">
      <selection activeCell="K282" sqref="K282"/>
    </sheetView>
  </sheetViews>
  <sheetFormatPr defaultColWidth="10.71875" defaultRowHeight="10.199999999999999" x14ac:dyDescent="0.35"/>
  <cols>
    <col min="1" max="1" width="59.27734375" style="207" customWidth="1"/>
    <col min="2" max="3" width="12.27734375" style="202" customWidth="1"/>
    <col min="4" max="4" width="12.27734375" style="318" customWidth="1"/>
    <col min="5" max="5" width="11.44140625" style="192" bestFit="1" customWidth="1"/>
    <col min="6" max="16384" width="10.71875" style="192"/>
  </cols>
  <sheetData>
    <row r="1" spans="1:4" ht="10.5" x14ac:dyDescent="0.4">
      <c r="A1" s="347" t="s">
        <v>0</v>
      </c>
      <c r="B1" s="347"/>
      <c r="C1" s="192"/>
      <c r="D1" s="314"/>
    </row>
    <row r="2" spans="1:4" ht="10.5" x14ac:dyDescent="0.35">
      <c r="A2" s="348" t="s">
        <v>1</v>
      </c>
      <c r="B2" s="348"/>
      <c r="C2" s="192"/>
      <c r="D2" s="314"/>
    </row>
    <row r="3" spans="1:4" ht="10.5" x14ac:dyDescent="0.35">
      <c r="A3" s="349" t="s">
        <v>2</v>
      </c>
      <c r="B3" s="349"/>
      <c r="C3" s="192"/>
      <c r="D3" s="314"/>
    </row>
    <row r="4" spans="1:4" s="292" customFormat="1" ht="13.5" customHeight="1" x14ac:dyDescent="0.45">
      <c r="A4" s="346" t="s">
        <v>5</v>
      </c>
      <c r="B4" s="346"/>
      <c r="C4" s="346"/>
      <c r="D4" s="346"/>
    </row>
    <row r="5" spans="1:4" ht="31.5" x14ac:dyDescent="0.4">
      <c r="A5" s="193" t="s">
        <v>20</v>
      </c>
      <c r="B5" s="311" t="s">
        <v>413</v>
      </c>
      <c r="C5" s="311" t="s">
        <v>414</v>
      </c>
      <c r="D5" s="315" t="s">
        <v>414</v>
      </c>
    </row>
    <row r="6" spans="1:4" ht="10.5" x14ac:dyDescent="0.35">
      <c r="A6" s="195" t="s">
        <v>33</v>
      </c>
      <c r="B6" s="293"/>
      <c r="C6" s="293"/>
      <c r="D6" s="316"/>
    </row>
    <row r="7" spans="1:4" ht="10.5" x14ac:dyDescent="0.4">
      <c r="A7" s="232" t="s">
        <v>34</v>
      </c>
      <c r="B7" s="294"/>
      <c r="C7" s="294"/>
      <c r="D7" s="317"/>
    </row>
    <row r="8" spans="1:4" x14ac:dyDescent="0.35">
      <c r="A8" s="203" t="s">
        <v>36</v>
      </c>
      <c r="B8" s="205">
        <v>453777</v>
      </c>
      <c r="C8" s="205">
        <f>'Project Budget'!S15</f>
        <v>459716</v>
      </c>
      <c r="D8" s="318">
        <f>'Project Budget'!U15</f>
        <v>459716</v>
      </c>
    </row>
    <row r="9" spans="1:4" x14ac:dyDescent="0.35">
      <c r="A9" s="203" t="s">
        <v>415</v>
      </c>
      <c r="B9" s="205">
        <v>253722</v>
      </c>
      <c r="C9" s="205">
        <f>'Project Budget'!S16</f>
        <v>248444</v>
      </c>
      <c r="D9" s="318">
        <f>'Project Budget'!U16</f>
        <v>248444</v>
      </c>
    </row>
    <row r="10" spans="1:4" x14ac:dyDescent="0.35">
      <c r="A10" s="203"/>
      <c r="B10" s="205"/>
      <c r="C10" s="205"/>
    </row>
    <row r="11" spans="1:4" ht="10.5" x14ac:dyDescent="0.4">
      <c r="A11" s="232" t="s">
        <v>42</v>
      </c>
      <c r="B11" s="225"/>
      <c r="C11" s="225"/>
      <c r="D11" s="317"/>
    </row>
    <row r="12" spans="1:4" x14ac:dyDescent="0.35">
      <c r="A12" s="203" t="s">
        <v>416</v>
      </c>
      <c r="B12" s="205">
        <v>200619</v>
      </c>
      <c r="C12" s="205">
        <f>'Project Budget'!U19</f>
        <v>153066</v>
      </c>
      <c r="D12" s="318">
        <f t="shared" ref="D12:D25" si="0">B12-C12</f>
        <v>47553</v>
      </c>
    </row>
    <row r="13" spans="1:4" x14ac:dyDescent="0.35">
      <c r="A13" s="12" t="s">
        <v>46</v>
      </c>
      <c r="B13" s="205">
        <v>0</v>
      </c>
      <c r="C13" s="205">
        <f>'Project Budget'!U20</f>
        <v>168076</v>
      </c>
      <c r="D13" s="318">
        <f t="shared" si="0"/>
        <v>-168076</v>
      </c>
    </row>
    <row r="14" spans="1:4" x14ac:dyDescent="0.35">
      <c r="A14" s="12" t="s">
        <v>48</v>
      </c>
      <c r="B14" s="205">
        <v>0</v>
      </c>
      <c r="C14" s="205">
        <f>'Project Budget'!U21</f>
        <v>134461</v>
      </c>
      <c r="D14" s="318">
        <f t="shared" si="0"/>
        <v>-134461</v>
      </c>
    </row>
    <row r="15" spans="1:4" x14ac:dyDescent="0.35">
      <c r="A15" s="203" t="s">
        <v>417</v>
      </c>
      <c r="B15" s="205">
        <v>112871</v>
      </c>
      <c r="C15" s="205">
        <f>'Project Budget'!U22</f>
        <v>114733</v>
      </c>
      <c r="D15" s="318">
        <f t="shared" si="0"/>
        <v>-1862</v>
      </c>
    </row>
    <row r="16" spans="1:4" x14ac:dyDescent="0.35">
      <c r="A16" s="203" t="s">
        <v>418</v>
      </c>
      <c r="B16" s="205">
        <v>112871</v>
      </c>
      <c r="C16" s="205">
        <f>'Project Budget'!U23</f>
        <v>114733</v>
      </c>
      <c r="D16" s="318">
        <f t="shared" si="0"/>
        <v>-1862</v>
      </c>
    </row>
    <row r="17" spans="1:4" x14ac:dyDescent="0.35">
      <c r="A17" s="203" t="s">
        <v>419</v>
      </c>
      <c r="B17" s="205">
        <v>112871</v>
      </c>
      <c r="C17" s="205">
        <f>'Project Budget'!U24</f>
        <v>114733</v>
      </c>
      <c r="D17" s="318">
        <f t="shared" si="0"/>
        <v>-1862</v>
      </c>
    </row>
    <row r="18" spans="1:4" x14ac:dyDescent="0.35">
      <c r="A18" s="203" t="s">
        <v>420</v>
      </c>
      <c r="B18" s="205">
        <v>146220</v>
      </c>
      <c r="C18" s="205">
        <v>0</v>
      </c>
      <c r="D18" s="318">
        <f t="shared" si="0"/>
        <v>146220</v>
      </c>
    </row>
    <row r="19" spans="1:4" x14ac:dyDescent="0.35">
      <c r="A19" s="12" t="s">
        <v>54</v>
      </c>
      <c r="B19" s="205">
        <v>0</v>
      </c>
      <c r="C19" s="205">
        <f>'Project Budget'!S25</f>
        <v>115055</v>
      </c>
      <c r="D19" s="318">
        <f t="shared" si="0"/>
        <v>-115055</v>
      </c>
    </row>
    <row r="20" spans="1:4" x14ac:dyDescent="0.35">
      <c r="A20" s="12" t="s">
        <v>56</v>
      </c>
      <c r="B20" s="205">
        <v>0</v>
      </c>
      <c r="C20" s="205">
        <f>'Project Budget'!S26</f>
        <v>105453</v>
      </c>
      <c r="D20" s="318">
        <f t="shared" si="0"/>
        <v>-105453</v>
      </c>
    </row>
    <row r="21" spans="1:4" x14ac:dyDescent="0.35">
      <c r="A21" s="188" t="s">
        <v>58</v>
      </c>
      <c r="B21" s="205">
        <v>169992</v>
      </c>
      <c r="C21" s="205">
        <f>'Project Budget'!S27</f>
        <v>174577</v>
      </c>
      <c r="D21" s="318">
        <f t="shared" si="0"/>
        <v>-4585</v>
      </c>
    </row>
    <row r="22" spans="1:4" x14ac:dyDescent="0.35">
      <c r="A22" s="203" t="s">
        <v>421</v>
      </c>
      <c r="B22" s="205">
        <v>94264</v>
      </c>
      <c r="C22" s="205">
        <v>0</v>
      </c>
      <c r="D22" s="318">
        <f t="shared" si="0"/>
        <v>94264</v>
      </c>
    </row>
    <row r="23" spans="1:4" x14ac:dyDescent="0.35">
      <c r="A23" s="203" t="s">
        <v>422</v>
      </c>
      <c r="B23" s="205">
        <v>98130</v>
      </c>
      <c r="C23" s="205">
        <v>0</v>
      </c>
      <c r="D23" s="318">
        <f t="shared" si="0"/>
        <v>98130</v>
      </c>
    </row>
    <row r="24" spans="1:4" x14ac:dyDescent="0.35">
      <c r="A24" s="12" t="s">
        <v>60</v>
      </c>
      <c r="B24" s="205">
        <v>0</v>
      </c>
      <c r="C24" s="205">
        <f>'Project Budget'!U28</f>
        <v>57752</v>
      </c>
      <c r="D24" s="318">
        <f t="shared" si="0"/>
        <v>-57752</v>
      </c>
    </row>
    <row r="25" spans="1:4" x14ac:dyDescent="0.35">
      <c r="A25" s="12" t="s">
        <v>62</v>
      </c>
      <c r="B25" s="205">
        <v>0</v>
      </c>
      <c r="C25" s="205">
        <f>'Project Budget'!U29</f>
        <v>101583</v>
      </c>
      <c r="D25" s="318">
        <f t="shared" si="0"/>
        <v>-101583</v>
      </c>
    </row>
    <row r="26" spans="1:4" x14ac:dyDescent="0.35">
      <c r="A26" s="203"/>
      <c r="B26" s="205"/>
      <c r="C26" s="205"/>
    </row>
    <row r="27" spans="1:4" ht="10.5" x14ac:dyDescent="0.4">
      <c r="A27" s="232" t="s">
        <v>63</v>
      </c>
      <c r="B27" s="225"/>
      <c r="C27" s="225"/>
      <c r="D27" s="317"/>
    </row>
    <row r="28" spans="1:4" x14ac:dyDescent="0.35">
      <c r="A28" s="203" t="s">
        <v>66</v>
      </c>
      <c r="B28" s="205">
        <v>72078</v>
      </c>
      <c r="C28" s="205">
        <f>'Project Budget'!S32</f>
        <v>74704</v>
      </c>
      <c r="D28" s="318">
        <f>B28-C28</f>
        <v>-2626</v>
      </c>
    </row>
    <row r="29" spans="1:4" x14ac:dyDescent="0.35">
      <c r="A29" s="203" t="s">
        <v>68</v>
      </c>
      <c r="B29" s="205">
        <v>126860</v>
      </c>
      <c r="C29" s="205">
        <f>'Project Budget'!S33</f>
        <v>126421</v>
      </c>
      <c r="D29" s="318">
        <f>B29-C29</f>
        <v>439</v>
      </c>
    </row>
    <row r="30" spans="1:4" x14ac:dyDescent="0.35">
      <c r="A30" s="203"/>
      <c r="B30" s="205"/>
      <c r="C30" s="205"/>
    </row>
    <row r="31" spans="1:4" ht="10.5" x14ac:dyDescent="0.4">
      <c r="A31" s="232" t="s">
        <v>69</v>
      </c>
      <c r="B31" s="295">
        <f>SUM(B8:B29)</f>
        <v>1954275</v>
      </c>
      <c r="C31" s="295">
        <f>SUM(C8:C29)</f>
        <v>2263507</v>
      </c>
      <c r="D31" s="319">
        <f>B31-C31</f>
        <v>-309232</v>
      </c>
    </row>
    <row r="32" spans="1:4" ht="10.5" x14ac:dyDescent="0.4">
      <c r="A32" s="199"/>
      <c r="B32" s="206"/>
      <c r="C32" s="206"/>
      <c r="D32" s="320"/>
    </row>
    <row r="33" spans="1:4" ht="10.5" x14ac:dyDescent="0.4">
      <c r="A33" s="199" t="s">
        <v>70</v>
      </c>
      <c r="B33" s="206"/>
      <c r="C33" s="206"/>
      <c r="D33" s="320"/>
    </row>
    <row r="34" spans="1:4" x14ac:dyDescent="0.35">
      <c r="A34" s="203" t="s">
        <v>423</v>
      </c>
      <c r="B34" s="205">
        <v>644385</v>
      </c>
      <c r="C34" s="205">
        <f>'Project Budget'!S38</f>
        <v>757100</v>
      </c>
      <c r="D34" s="318">
        <f>B34-C34</f>
        <v>-112715</v>
      </c>
    </row>
    <row r="35" spans="1:4" x14ac:dyDescent="0.35">
      <c r="A35" s="203" t="s">
        <v>74</v>
      </c>
      <c r="B35" s="205">
        <v>43388</v>
      </c>
      <c r="C35" s="205">
        <f>'Project Budget'!S39</f>
        <v>43866</v>
      </c>
      <c r="D35" s="318">
        <f>B35-C35</f>
        <v>-478</v>
      </c>
    </row>
    <row r="37" spans="1:4" ht="10.5" x14ac:dyDescent="0.4">
      <c r="A37" s="212" t="s">
        <v>75</v>
      </c>
      <c r="B37" s="321">
        <f>SUM(B33:B35)</f>
        <v>687773</v>
      </c>
      <c r="C37" s="321">
        <f>SUM(C33:C35)</f>
        <v>800966</v>
      </c>
      <c r="D37" s="321">
        <f>B37-C37</f>
        <v>-113193</v>
      </c>
    </row>
    <row r="38" spans="1:4" ht="10.5" x14ac:dyDescent="0.4">
      <c r="A38" s="212" t="s">
        <v>76</v>
      </c>
      <c r="B38" s="321">
        <f>B37+B31</f>
        <v>2642048</v>
      </c>
      <c r="C38" s="321">
        <f>C37+C31</f>
        <v>3064473</v>
      </c>
      <c r="D38" s="321">
        <f>B38-C38</f>
        <v>-422425</v>
      </c>
    </row>
    <row r="39" spans="1:4" ht="10.5" x14ac:dyDescent="0.4">
      <c r="A39" s="218" t="s">
        <v>77</v>
      </c>
      <c r="B39" s="221"/>
      <c r="C39" s="221"/>
      <c r="D39" s="322"/>
    </row>
    <row r="40" spans="1:4" ht="10.5" x14ac:dyDescent="0.4">
      <c r="A40" s="296" t="s">
        <v>78</v>
      </c>
      <c r="B40" s="236"/>
      <c r="C40" s="236"/>
      <c r="D40" s="319"/>
    </row>
    <row r="41" spans="1:4" x14ac:dyDescent="0.35">
      <c r="A41" s="207" t="s">
        <v>81</v>
      </c>
      <c r="B41" s="205">
        <v>1300</v>
      </c>
      <c r="C41" s="205">
        <f>'Project Budget'!U45</f>
        <v>1352</v>
      </c>
      <c r="D41" s="318">
        <f>B41-C41</f>
        <v>-52</v>
      </c>
    </row>
    <row r="42" spans="1:4" x14ac:dyDescent="0.35">
      <c r="A42" s="207" t="s">
        <v>86</v>
      </c>
      <c r="B42" s="205">
        <v>2184</v>
      </c>
      <c r="C42" s="205">
        <f>'Project Budget'!U46</f>
        <v>2267</v>
      </c>
      <c r="D42" s="318">
        <f>B42-C42</f>
        <v>-83</v>
      </c>
    </row>
    <row r="43" spans="1:4" x14ac:dyDescent="0.35">
      <c r="A43" s="207" t="s">
        <v>89</v>
      </c>
      <c r="B43" s="205">
        <v>600</v>
      </c>
      <c r="C43" s="205">
        <f>'Project Budget'!U47</f>
        <v>624</v>
      </c>
      <c r="D43" s="318">
        <f>B43-C43</f>
        <v>-24</v>
      </c>
    </row>
    <row r="44" spans="1:4" x14ac:dyDescent="0.35">
      <c r="A44" s="207" t="s">
        <v>91</v>
      </c>
      <c r="B44" s="205">
        <v>320</v>
      </c>
      <c r="C44" s="205">
        <f>'Project Budget'!U48</f>
        <v>333</v>
      </c>
      <c r="D44" s="318">
        <f>B44-C44</f>
        <v>-13</v>
      </c>
    </row>
    <row r="45" spans="1:4" x14ac:dyDescent="0.35">
      <c r="A45" s="296" t="s">
        <v>92</v>
      </c>
      <c r="B45" s="225"/>
      <c r="C45" s="225"/>
      <c r="D45" s="317"/>
    </row>
    <row r="46" spans="1:4" x14ac:dyDescent="0.35">
      <c r="A46" s="207" t="s">
        <v>94</v>
      </c>
      <c r="B46" s="205">
        <v>3575</v>
      </c>
      <c r="C46" s="205">
        <f>'Project Budget'!U50</f>
        <v>7041</v>
      </c>
      <c r="D46" s="318">
        <f>B46-C46</f>
        <v>-3466</v>
      </c>
    </row>
    <row r="47" spans="1:4" x14ac:dyDescent="0.35">
      <c r="A47" s="207" t="s">
        <v>86</v>
      </c>
      <c r="B47" s="205">
        <v>9606</v>
      </c>
      <c r="C47" s="205">
        <f>'Project Budget'!U51</f>
        <v>10717</v>
      </c>
      <c r="D47" s="318">
        <f>B47-C47</f>
        <v>-1111</v>
      </c>
    </row>
    <row r="48" spans="1:4" x14ac:dyDescent="0.35">
      <c r="A48" s="207" t="s">
        <v>89</v>
      </c>
      <c r="B48" s="205">
        <v>2639</v>
      </c>
      <c r="C48" s="205">
        <f>'Project Budget'!U52</f>
        <v>2950</v>
      </c>
      <c r="D48" s="318">
        <f>B48-C48</f>
        <v>-311</v>
      </c>
    </row>
    <row r="49" spans="1:4" x14ac:dyDescent="0.35">
      <c r="A49" s="296" t="s">
        <v>97</v>
      </c>
      <c r="B49" s="225"/>
      <c r="C49" s="225"/>
      <c r="D49" s="317"/>
    </row>
    <row r="50" spans="1:4" x14ac:dyDescent="0.35">
      <c r="A50" s="207" t="s">
        <v>99</v>
      </c>
      <c r="B50" s="205">
        <v>5631</v>
      </c>
      <c r="C50" s="205">
        <f>'Project Budget'!U54</f>
        <v>16462</v>
      </c>
      <c r="D50" s="318">
        <f>B50-C50</f>
        <v>-10831</v>
      </c>
    </row>
    <row r="51" spans="1:4" x14ac:dyDescent="0.35">
      <c r="A51" s="207" t="s">
        <v>101</v>
      </c>
      <c r="B51" s="205">
        <v>9364</v>
      </c>
      <c r="C51" s="205">
        <f>'Project Budget'!U55</f>
        <v>27352</v>
      </c>
      <c r="D51" s="318">
        <f>B51-C51</f>
        <v>-17988</v>
      </c>
    </row>
    <row r="52" spans="1:4" x14ac:dyDescent="0.35">
      <c r="A52" s="207" t="s">
        <v>103</v>
      </c>
      <c r="B52" s="205">
        <v>4331</v>
      </c>
      <c r="C52" s="205">
        <f>'Project Budget'!U56</f>
        <v>7598</v>
      </c>
      <c r="D52" s="318">
        <f>B52-C52</f>
        <v>-3267</v>
      </c>
    </row>
    <row r="53" spans="1:4" x14ac:dyDescent="0.35">
      <c r="A53" s="296" t="s">
        <v>104</v>
      </c>
      <c r="B53" s="225"/>
      <c r="C53" s="225"/>
      <c r="D53" s="317"/>
    </row>
    <row r="54" spans="1:4" x14ac:dyDescent="0.35">
      <c r="A54" s="203" t="s">
        <v>106</v>
      </c>
      <c r="B54" s="205">
        <v>82662</v>
      </c>
      <c r="C54" s="205">
        <f>'Project Budget'!U58</f>
        <v>4928</v>
      </c>
      <c r="D54" s="318">
        <f>B54-C54</f>
        <v>77734</v>
      </c>
    </row>
    <row r="55" spans="1:4" x14ac:dyDescent="0.35">
      <c r="A55" s="203" t="s">
        <v>108</v>
      </c>
      <c r="B55" s="205">
        <v>21991</v>
      </c>
      <c r="C55" s="205">
        <f>'Project Budget'!U59</f>
        <v>2688</v>
      </c>
      <c r="D55" s="318">
        <f>B55-C55</f>
        <v>19303</v>
      </c>
    </row>
    <row r="56" spans="1:4" x14ac:dyDescent="0.35">
      <c r="A56" s="203" t="s">
        <v>110</v>
      </c>
      <c r="B56" s="205">
        <v>65972</v>
      </c>
      <c r="C56" s="205">
        <f>'Project Budget'!U60</f>
        <v>23485</v>
      </c>
      <c r="D56" s="318">
        <f>B56-C56</f>
        <v>42487</v>
      </c>
    </row>
    <row r="57" spans="1:4" x14ac:dyDescent="0.35">
      <c r="A57" s="296" t="s">
        <v>424</v>
      </c>
      <c r="B57" s="225"/>
      <c r="C57" s="225"/>
      <c r="D57" s="317"/>
    </row>
    <row r="58" spans="1:4" x14ac:dyDescent="0.35">
      <c r="A58" s="203" t="s">
        <v>425</v>
      </c>
      <c r="B58" s="205">
        <v>28180</v>
      </c>
      <c r="C58" s="205">
        <v>0</v>
      </c>
      <c r="D58" s="318">
        <f>B58-C58</f>
        <v>28180</v>
      </c>
    </row>
    <row r="59" spans="1:4" x14ac:dyDescent="0.35">
      <c r="A59" s="203"/>
      <c r="B59" s="205"/>
      <c r="C59" s="205"/>
    </row>
    <row r="60" spans="1:4" ht="10.5" x14ac:dyDescent="0.4">
      <c r="A60" s="212" t="s">
        <v>111</v>
      </c>
      <c r="B60" s="321">
        <f>SUM(B41:B58)</f>
        <v>238355</v>
      </c>
      <c r="C60" s="321">
        <f>SUM(C41:C58)</f>
        <v>107797</v>
      </c>
      <c r="D60" s="321">
        <f>B60-C60</f>
        <v>130558</v>
      </c>
    </row>
    <row r="61" spans="1:4" ht="10.5" x14ac:dyDescent="0.4">
      <c r="A61" s="196" t="s">
        <v>112</v>
      </c>
      <c r="B61" s="316"/>
      <c r="C61" s="316"/>
      <c r="D61" s="316"/>
    </row>
    <row r="62" spans="1:4" x14ac:dyDescent="0.35">
      <c r="A62" s="207" t="s">
        <v>114</v>
      </c>
      <c r="B62" s="318">
        <v>45000</v>
      </c>
      <c r="C62" s="318">
        <v>0</v>
      </c>
      <c r="D62" s="318">
        <f>B62-C62</f>
        <v>45000</v>
      </c>
    </row>
    <row r="63" spans="1:4" x14ac:dyDescent="0.35">
      <c r="A63" s="203"/>
      <c r="B63" s="318"/>
      <c r="C63" s="318"/>
    </row>
    <row r="64" spans="1:4" ht="10.5" x14ac:dyDescent="0.4">
      <c r="A64" s="212" t="s">
        <v>116</v>
      </c>
      <c r="B64" s="321">
        <f>SUM(B62)</f>
        <v>45000</v>
      </c>
      <c r="C64" s="321">
        <f>SUM(C62)</f>
        <v>0</v>
      </c>
      <c r="D64" s="321">
        <f>B64-C64</f>
        <v>45000</v>
      </c>
    </row>
    <row r="65" spans="1:4" ht="10.5" x14ac:dyDescent="0.4">
      <c r="A65" s="196" t="s">
        <v>117</v>
      </c>
      <c r="B65" s="316"/>
      <c r="C65" s="316"/>
      <c r="D65" s="316"/>
    </row>
    <row r="66" spans="1:4" x14ac:dyDescent="0.35">
      <c r="A66" s="296" t="s">
        <v>118</v>
      </c>
      <c r="B66" s="294"/>
      <c r="C66" s="294"/>
      <c r="D66" s="317"/>
    </row>
    <row r="67" spans="1:4" x14ac:dyDescent="0.35">
      <c r="A67" s="207" t="s">
        <v>120</v>
      </c>
      <c r="B67" s="205">
        <v>11400</v>
      </c>
      <c r="C67" s="205">
        <f>'Project Budget'!S69</f>
        <v>14400</v>
      </c>
      <c r="D67" s="318">
        <f t="shared" ref="D67:D79" si="1">B67-C67</f>
        <v>-3000</v>
      </c>
    </row>
    <row r="68" spans="1:4" x14ac:dyDescent="0.35">
      <c r="A68" s="203" t="s">
        <v>123</v>
      </c>
      <c r="B68" s="205">
        <v>3479</v>
      </c>
      <c r="C68" s="205">
        <f>'Project Budget'!S70</f>
        <v>2899</v>
      </c>
      <c r="D68" s="318">
        <f t="shared" si="1"/>
        <v>580</v>
      </c>
    </row>
    <row r="69" spans="1:4" x14ac:dyDescent="0.35">
      <c r="A69" s="203" t="s">
        <v>126</v>
      </c>
      <c r="B69" s="205">
        <v>542</v>
      </c>
      <c r="C69" s="205">
        <f>'Project Budget'!S71</f>
        <v>339</v>
      </c>
      <c r="D69" s="318">
        <f t="shared" si="1"/>
        <v>203</v>
      </c>
    </row>
    <row r="70" spans="1:4" x14ac:dyDescent="0.35">
      <c r="A70" s="203" t="s">
        <v>129</v>
      </c>
      <c r="B70" s="205">
        <v>2123</v>
      </c>
      <c r="C70" s="205">
        <f>'Project Budget'!S72</f>
        <v>7960</v>
      </c>
      <c r="D70" s="318">
        <f t="shared" si="1"/>
        <v>-5837</v>
      </c>
    </row>
    <row r="71" spans="1:4" x14ac:dyDescent="0.35">
      <c r="A71" s="203" t="s">
        <v>132</v>
      </c>
      <c r="B71" s="205">
        <v>8371</v>
      </c>
      <c r="C71" s="205">
        <f>'Project Budget'!S73</f>
        <v>18175</v>
      </c>
      <c r="D71" s="318">
        <f t="shared" si="1"/>
        <v>-9804</v>
      </c>
    </row>
    <row r="72" spans="1:4" x14ac:dyDescent="0.35">
      <c r="A72" s="203" t="s">
        <v>134</v>
      </c>
      <c r="B72" s="205">
        <v>14202</v>
      </c>
      <c r="C72" s="205">
        <f>'Project Budget'!S74</f>
        <v>55964</v>
      </c>
      <c r="D72" s="318">
        <f t="shared" si="1"/>
        <v>-41762</v>
      </c>
    </row>
    <row r="73" spans="1:4" x14ac:dyDescent="0.35">
      <c r="A73" s="203" t="s">
        <v>426</v>
      </c>
      <c r="B73" s="205">
        <v>68296</v>
      </c>
      <c r="C73" s="205">
        <f>'Project Budget'!S75</f>
        <v>182465</v>
      </c>
      <c r="D73" s="318">
        <f t="shared" si="1"/>
        <v>-114169</v>
      </c>
    </row>
    <row r="74" spans="1:4" x14ac:dyDescent="0.35">
      <c r="A74" s="203" t="s">
        <v>137</v>
      </c>
      <c r="B74" s="205">
        <v>24587</v>
      </c>
      <c r="C74" s="205">
        <f>'Project Budget'!S76</f>
        <v>19516</v>
      </c>
      <c r="D74" s="318">
        <f t="shared" si="1"/>
        <v>5071</v>
      </c>
    </row>
    <row r="75" spans="1:4" x14ac:dyDescent="0.35">
      <c r="A75" s="203" t="s">
        <v>138</v>
      </c>
      <c r="B75" s="205">
        <v>24587</v>
      </c>
      <c r="C75" s="205">
        <f>'Project Budget'!S77</f>
        <v>19516</v>
      </c>
      <c r="D75" s="318">
        <f t="shared" si="1"/>
        <v>5071</v>
      </c>
    </row>
    <row r="76" spans="1:4" x14ac:dyDescent="0.35">
      <c r="A76" s="203" t="s">
        <v>140</v>
      </c>
      <c r="B76" s="205">
        <v>1625</v>
      </c>
      <c r="C76" s="205">
        <f>'Project Budget'!S78</f>
        <v>1448</v>
      </c>
      <c r="D76" s="318">
        <f t="shared" si="1"/>
        <v>177</v>
      </c>
    </row>
    <row r="77" spans="1:4" x14ac:dyDescent="0.35">
      <c r="A77" s="203" t="s">
        <v>427</v>
      </c>
      <c r="B77" s="205">
        <v>8124</v>
      </c>
      <c r="C77" s="205">
        <v>0</v>
      </c>
      <c r="D77" s="318">
        <f t="shared" si="1"/>
        <v>8124</v>
      </c>
    </row>
    <row r="78" spans="1:4" x14ac:dyDescent="0.35">
      <c r="A78" s="203" t="s">
        <v>142</v>
      </c>
      <c r="B78" s="205">
        <v>6500</v>
      </c>
      <c r="C78" s="205">
        <f>'Project Budget'!S79</f>
        <v>11596</v>
      </c>
      <c r="D78" s="318">
        <f t="shared" si="1"/>
        <v>-5096</v>
      </c>
    </row>
    <row r="79" spans="1:4" x14ac:dyDescent="0.35">
      <c r="A79" s="203" t="s">
        <v>144</v>
      </c>
      <c r="B79" s="205">
        <v>21059</v>
      </c>
      <c r="C79" s="205">
        <f>'Project Budget'!S80</f>
        <v>17842</v>
      </c>
      <c r="D79" s="318">
        <f t="shared" si="1"/>
        <v>3217</v>
      </c>
    </row>
    <row r="80" spans="1:4" x14ac:dyDescent="0.35">
      <c r="A80" s="263" t="s">
        <v>146</v>
      </c>
      <c r="B80" s="225"/>
      <c r="C80" s="225"/>
      <c r="D80" s="317"/>
    </row>
    <row r="81" spans="1:4" x14ac:dyDescent="0.35">
      <c r="A81" s="203" t="s">
        <v>148</v>
      </c>
      <c r="B81" s="205">
        <v>20917</v>
      </c>
      <c r="C81" s="205">
        <f>'Project Budget'!S82</f>
        <v>12945</v>
      </c>
      <c r="D81" s="318">
        <f>B81-C81</f>
        <v>7972</v>
      </c>
    </row>
    <row r="82" spans="1:4" x14ac:dyDescent="0.35">
      <c r="A82" s="203" t="s">
        <v>150</v>
      </c>
      <c r="B82" s="205">
        <v>106090</v>
      </c>
      <c r="C82" s="205">
        <f>'Project Budget'!S83</f>
        <v>100000</v>
      </c>
      <c r="D82" s="318">
        <f>B82-C82</f>
        <v>6090</v>
      </c>
    </row>
    <row r="83" spans="1:4" x14ac:dyDescent="0.35">
      <c r="A83" s="263" t="s">
        <v>151</v>
      </c>
      <c r="B83" s="225"/>
      <c r="C83" s="225"/>
      <c r="D83" s="317"/>
    </row>
    <row r="84" spans="1:4" x14ac:dyDescent="0.35">
      <c r="A84" s="203" t="s">
        <v>154</v>
      </c>
      <c r="B84" s="205">
        <v>8543</v>
      </c>
      <c r="C84" s="205">
        <f>'Project Budget'!S85</f>
        <v>8562</v>
      </c>
      <c r="D84" s="318">
        <f>B84-C84</f>
        <v>-19</v>
      </c>
    </row>
    <row r="85" spans="1:4" x14ac:dyDescent="0.35">
      <c r="A85" s="203" t="s">
        <v>155</v>
      </c>
      <c r="B85" s="205">
        <v>1062</v>
      </c>
      <c r="C85" s="205">
        <f>'Project Budget'!S86</f>
        <v>862</v>
      </c>
      <c r="D85" s="318">
        <f>B85-C85</f>
        <v>200</v>
      </c>
    </row>
    <row r="86" spans="1:4" x14ac:dyDescent="0.35">
      <c r="A86" s="203"/>
    </row>
    <row r="87" spans="1:4" ht="10.5" x14ac:dyDescent="0.4">
      <c r="A87" s="230" t="s">
        <v>156</v>
      </c>
      <c r="B87" s="321">
        <f>SUM(B67:B85)</f>
        <v>331507</v>
      </c>
      <c r="C87" s="321">
        <f>SUM(C67:C85)</f>
        <v>474489</v>
      </c>
      <c r="D87" s="321">
        <f>B87-C87</f>
        <v>-142982</v>
      </c>
    </row>
    <row r="88" spans="1:4" ht="10.5" x14ac:dyDescent="0.35">
      <c r="A88" s="238" t="s">
        <v>157</v>
      </c>
      <c r="B88" s="323"/>
      <c r="C88" s="323"/>
      <c r="D88" s="323"/>
    </row>
    <row r="89" spans="1:4" x14ac:dyDescent="0.35">
      <c r="A89" s="203" t="s">
        <v>160</v>
      </c>
      <c r="B89" s="318">
        <v>0</v>
      </c>
      <c r="C89" s="318">
        <f>'Project Budget'!S90</f>
        <v>1730498</v>
      </c>
      <c r="D89" s="318">
        <f t="shared" ref="D89:D100" si="2">B89-C89</f>
        <v>-1730498</v>
      </c>
    </row>
    <row r="90" spans="1:4" x14ac:dyDescent="0.35">
      <c r="A90" s="203" t="s">
        <v>165</v>
      </c>
      <c r="B90" s="318">
        <v>1650433</v>
      </c>
      <c r="C90" s="318">
        <f>'Project Budget'!S91</f>
        <v>767624</v>
      </c>
      <c r="D90" s="318">
        <f t="shared" si="2"/>
        <v>882809</v>
      </c>
    </row>
    <row r="91" spans="1:4" x14ac:dyDescent="0.35">
      <c r="A91" s="188" t="s">
        <v>168</v>
      </c>
      <c r="B91" s="318">
        <v>532300</v>
      </c>
      <c r="C91" s="318">
        <f>'Project Budget'!S92</f>
        <v>167316</v>
      </c>
      <c r="D91" s="318">
        <f t="shared" si="2"/>
        <v>364984</v>
      </c>
    </row>
    <row r="92" spans="1:4" x14ac:dyDescent="0.35">
      <c r="A92" s="188" t="s">
        <v>171</v>
      </c>
      <c r="B92" s="318">
        <v>517187</v>
      </c>
      <c r="C92" s="318">
        <f>'Project Budget'!S93</f>
        <v>415299</v>
      </c>
      <c r="D92" s="318">
        <f t="shared" si="2"/>
        <v>101888</v>
      </c>
    </row>
    <row r="93" spans="1:4" x14ac:dyDescent="0.35">
      <c r="A93" s="203" t="s">
        <v>175</v>
      </c>
      <c r="B93" s="318">
        <v>50000</v>
      </c>
      <c r="C93" s="318">
        <f>'Project Budget'!S94</f>
        <v>40000</v>
      </c>
      <c r="D93" s="318">
        <f t="shared" si="2"/>
        <v>10000</v>
      </c>
    </row>
    <row r="94" spans="1:4" x14ac:dyDescent="0.35">
      <c r="A94" s="203" t="s">
        <v>178</v>
      </c>
      <c r="B94" s="318">
        <v>200000</v>
      </c>
      <c r="C94" s="318">
        <f>'Project Budget'!S95</f>
        <v>30000</v>
      </c>
      <c r="D94" s="318">
        <f t="shared" si="2"/>
        <v>170000</v>
      </c>
    </row>
    <row r="95" spans="1:4" x14ac:dyDescent="0.35">
      <c r="A95" s="203" t="s">
        <v>181</v>
      </c>
      <c r="B95" s="318">
        <v>250000</v>
      </c>
      <c r="C95" s="318">
        <f>'Project Budget'!S96</f>
        <v>65000</v>
      </c>
      <c r="D95" s="318">
        <f t="shared" si="2"/>
        <v>185000</v>
      </c>
    </row>
    <row r="96" spans="1:4" x14ac:dyDescent="0.35">
      <c r="A96" s="203" t="s">
        <v>428</v>
      </c>
      <c r="B96" s="318">
        <v>100000</v>
      </c>
      <c r="C96" s="318">
        <v>0</v>
      </c>
      <c r="D96" s="318">
        <f t="shared" si="2"/>
        <v>100000</v>
      </c>
    </row>
    <row r="97" spans="1:4" x14ac:dyDescent="0.35">
      <c r="A97" s="203" t="s">
        <v>184</v>
      </c>
      <c r="B97" s="318">
        <v>50000</v>
      </c>
      <c r="C97" s="318">
        <f>'Project Budget'!S97</f>
        <v>25000</v>
      </c>
      <c r="D97" s="318">
        <f t="shared" si="2"/>
        <v>25000</v>
      </c>
    </row>
    <row r="98" spans="1:4" x14ac:dyDescent="0.35">
      <c r="A98" s="12" t="s">
        <v>187</v>
      </c>
      <c r="B98" s="318">
        <v>0</v>
      </c>
      <c r="C98" s="318">
        <f>'Project Budget'!S98</f>
        <v>40000</v>
      </c>
      <c r="D98" s="318">
        <f t="shared" si="2"/>
        <v>-40000</v>
      </c>
    </row>
    <row r="99" spans="1:4" x14ac:dyDescent="0.35">
      <c r="A99" s="203" t="s">
        <v>190</v>
      </c>
      <c r="B99" s="318">
        <v>50000</v>
      </c>
      <c r="C99" s="318">
        <f>'Project Budget'!S99</f>
        <v>50000</v>
      </c>
      <c r="D99" s="318">
        <f t="shared" si="2"/>
        <v>0</v>
      </c>
    </row>
    <row r="100" spans="1:4" x14ac:dyDescent="0.35">
      <c r="A100" s="203" t="s">
        <v>193</v>
      </c>
      <c r="B100" s="318">
        <v>50000</v>
      </c>
      <c r="C100" s="318">
        <f>'Project Budget'!S100</f>
        <v>50000</v>
      </c>
      <c r="D100" s="318">
        <f t="shared" si="2"/>
        <v>0</v>
      </c>
    </row>
    <row r="101" spans="1:4" x14ac:dyDescent="0.35">
      <c r="A101" s="203"/>
      <c r="B101" s="318"/>
      <c r="C101" s="318"/>
    </row>
    <row r="102" spans="1:4" ht="10.5" x14ac:dyDescent="0.4">
      <c r="A102" s="230" t="s">
        <v>194</v>
      </c>
      <c r="B102" s="324">
        <f>SUM(B89:B100)</f>
        <v>3449920</v>
      </c>
      <c r="C102" s="324">
        <f>SUM(C89:C100)</f>
        <v>3380737</v>
      </c>
      <c r="D102" s="324">
        <f>B102-C102</f>
        <v>69183</v>
      </c>
    </row>
    <row r="103" spans="1:4" ht="10.5" x14ac:dyDescent="0.35">
      <c r="A103" s="350" t="s">
        <v>429</v>
      </c>
      <c r="B103" s="350"/>
      <c r="C103" s="350"/>
      <c r="D103" s="350"/>
    </row>
    <row r="104" spans="1:4" ht="10.5" x14ac:dyDescent="0.4">
      <c r="A104" s="297" t="s">
        <v>196</v>
      </c>
      <c r="B104" s="298"/>
      <c r="C104" s="298"/>
      <c r="D104" s="325"/>
    </row>
    <row r="105" spans="1:4" ht="20.399999999999999" x14ac:dyDescent="0.35">
      <c r="A105" s="263" t="s">
        <v>430</v>
      </c>
      <c r="B105" s="225"/>
      <c r="C105" s="225"/>
      <c r="D105" s="317"/>
    </row>
    <row r="106" spans="1:4" x14ac:dyDescent="0.35">
      <c r="A106" s="203" t="s">
        <v>431</v>
      </c>
      <c r="B106" s="205">
        <v>4200</v>
      </c>
      <c r="C106" s="205">
        <v>0</v>
      </c>
      <c r="D106" s="318">
        <f t="shared" ref="D106:D112" si="3">B106-C106</f>
        <v>4200</v>
      </c>
    </row>
    <row r="107" spans="1:4" ht="12.4" customHeight="1" x14ac:dyDescent="0.35">
      <c r="A107" s="12" t="s">
        <v>199</v>
      </c>
      <c r="B107" s="205">
        <v>0</v>
      </c>
      <c r="C107" s="205">
        <f>'Project Budget'!S106</f>
        <v>4000</v>
      </c>
      <c r="D107" s="318">
        <f t="shared" si="3"/>
        <v>-4000</v>
      </c>
    </row>
    <row r="108" spans="1:4" x14ac:dyDescent="0.35">
      <c r="A108" s="203" t="s">
        <v>203</v>
      </c>
      <c r="B108" s="205">
        <v>14190</v>
      </c>
      <c r="C108" s="205">
        <f>'Project Budget'!S107</f>
        <v>2200</v>
      </c>
      <c r="D108" s="318">
        <f t="shared" si="3"/>
        <v>11990</v>
      </c>
    </row>
    <row r="109" spans="1:4" x14ac:dyDescent="0.35">
      <c r="A109" s="203" t="s">
        <v>205</v>
      </c>
      <c r="B109" s="205">
        <v>12900</v>
      </c>
      <c r="C109" s="205">
        <f>'Project Budget'!S108</f>
        <v>1200</v>
      </c>
      <c r="D109" s="318">
        <f t="shared" si="3"/>
        <v>11700</v>
      </c>
    </row>
    <row r="110" spans="1:4" ht="20.399999999999999" x14ac:dyDescent="0.35">
      <c r="A110" s="203" t="s">
        <v>207</v>
      </c>
      <c r="B110" s="205">
        <v>17500</v>
      </c>
      <c r="C110" s="205">
        <f>'Project Budget'!S109</f>
        <v>17500</v>
      </c>
      <c r="D110" s="318">
        <f t="shared" si="3"/>
        <v>0</v>
      </c>
    </row>
    <row r="111" spans="1:4" x14ac:dyDescent="0.35">
      <c r="A111" s="203" t="s">
        <v>209</v>
      </c>
      <c r="B111" s="205">
        <v>1000</v>
      </c>
      <c r="C111" s="205">
        <f>'Project Budget'!S110</f>
        <v>1000</v>
      </c>
      <c r="D111" s="318">
        <f t="shared" si="3"/>
        <v>0</v>
      </c>
    </row>
    <row r="112" spans="1:4" x14ac:dyDescent="0.35">
      <c r="A112" s="203" t="s">
        <v>212</v>
      </c>
      <c r="B112" s="205">
        <v>1000</v>
      </c>
      <c r="C112" s="205">
        <f>'Project Budget'!S111</f>
        <v>4500</v>
      </c>
      <c r="D112" s="318">
        <f t="shared" si="3"/>
        <v>-3500</v>
      </c>
    </row>
    <row r="113" spans="1:4" x14ac:dyDescent="0.35">
      <c r="A113" s="263" t="s">
        <v>432</v>
      </c>
      <c r="B113" s="299"/>
      <c r="C113" s="299"/>
      <c r="D113" s="326"/>
    </row>
    <row r="114" spans="1:4" x14ac:dyDescent="0.35">
      <c r="A114" s="203" t="s">
        <v>433</v>
      </c>
      <c r="B114" s="205">
        <v>9600</v>
      </c>
      <c r="C114" s="205">
        <v>0</v>
      </c>
      <c r="D114" s="318">
        <f t="shared" ref="D114:D119" si="4">B114-C114</f>
        <v>9600</v>
      </c>
    </row>
    <row r="115" spans="1:4" x14ac:dyDescent="0.35">
      <c r="A115" s="203" t="s">
        <v>434</v>
      </c>
      <c r="B115" s="205">
        <v>10500</v>
      </c>
      <c r="C115" s="205">
        <v>0</v>
      </c>
      <c r="D115" s="318">
        <f t="shared" si="4"/>
        <v>10500</v>
      </c>
    </row>
    <row r="116" spans="1:4" ht="20.399999999999999" x14ac:dyDescent="0.35">
      <c r="A116" s="203" t="s">
        <v>242</v>
      </c>
      <c r="B116" s="205">
        <v>2000</v>
      </c>
      <c r="C116" s="205">
        <v>0</v>
      </c>
      <c r="D116" s="318">
        <f t="shared" si="4"/>
        <v>2000</v>
      </c>
    </row>
    <row r="117" spans="1:4" x14ac:dyDescent="0.35">
      <c r="A117" s="203" t="s">
        <v>247</v>
      </c>
      <c r="B117" s="205">
        <v>1500</v>
      </c>
      <c r="C117" s="205">
        <v>0</v>
      </c>
      <c r="D117" s="318">
        <f t="shared" si="4"/>
        <v>1500</v>
      </c>
    </row>
    <row r="118" spans="1:4" x14ac:dyDescent="0.35">
      <c r="A118" s="203" t="s">
        <v>250</v>
      </c>
      <c r="B118" s="205">
        <v>22770</v>
      </c>
      <c r="C118" s="205">
        <v>0</v>
      </c>
      <c r="D118" s="318">
        <f t="shared" si="4"/>
        <v>22770</v>
      </c>
    </row>
    <row r="119" spans="1:4" x14ac:dyDescent="0.35">
      <c r="A119" s="203" t="s">
        <v>252</v>
      </c>
      <c r="B119" s="205">
        <v>20700</v>
      </c>
      <c r="C119" s="205">
        <v>0</v>
      </c>
      <c r="D119" s="318">
        <f t="shared" si="4"/>
        <v>20700</v>
      </c>
    </row>
    <row r="120" spans="1:4" ht="30.6" x14ac:dyDescent="0.35">
      <c r="A120" s="263" t="s">
        <v>435</v>
      </c>
      <c r="B120" s="299"/>
      <c r="C120" s="299"/>
      <c r="D120" s="326"/>
    </row>
    <row r="121" spans="1:4" ht="20.399999999999999" x14ac:dyDescent="0.35">
      <c r="A121" s="203" t="s">
        <v>436</v>
      </c>
      <c r="B121" s="205">
        <v>11400</v>
      </c>
      <c r="C121" s="205">
        <v>0</v>
      </c>
      <c r="D121" s="318">
        <f>B121-C121</f>
        <v>11400</v>
      </c>
    </row>
    <row r="122" spans="1:4" x14ac:dyDescent="0.35">
      <c r="A122" s="203" t="s">
        <v>235</v>
      </c>
      <c r="B122" s="205">
        <v>11880</v>
      </c>
      <c r="C122" s="205">
        <v>0</v>
      </c>
      <c r="D122" s="318">
        <f>B122-C122</f>
        <v>11880</v>
      </c>
    </row>
    <row r="123" spans="1:4" x14ac:dyDescent="0.35">
      <c r="A123" s="203" t="s">
        <v>237</v>
      </c>
      <c r="B123" s="205">
        <v>10800</v>
      </c>
      <c r="C123" s="205">
        <v>0</v>
      </c>
      <c r="D123" s="318">
        <f>B123-C123</f>
        <v>10800</v>
      </c>
    </row>
    <row r="124" spans="1:4" ht="20.399999999999999" x14ac:dyDescent="0.35">
      <c r="A124" s="263" t="s">
        <v>437</v>
      </c>
      <c r="B124" s="299"/>
      <c r="C124" s="299"/>
      <c r="D124" s="326"/>
    </row>
    <row r="125" spans="1:4" ht="20.399999999999999" x14ac:dyDescent="0.35">
      <c r="A125" s="203" t="s">
        <v>438</v>
      </c>
      <c r="B125" s="205">
        <v>7200</v>
      </c>
      <c r="C125" s="205">
        <v>0</v>
      </c>
      <c r="D125" s="318">
        <f>B125-C125</f>
        <v>7200</v>
      </c>
    </row>
    <row r="126" spans="1:4" x14ac:dyDescent="0.35">
      <c r="A126" s="203" t="s">
        <v>257</v>
      </c>
      <c r="B126" s="205">
        <v>24500</v>
      </c>
      <c r="C126" s="205">
        <v>0</v>
      </c>
      <c r="D126" s="318">
        <f>B126-C126</f>
        <v>24500</v>
      </c>
    </row>
    <row r="127" spans="1:4" x14ac:dyDescent="0.35">
      <c r="A127" s="203" t="s">
        <v>259</v>
      </c>
      <c r="B127" s="205">
        <v>9000</v>
      </c>
      <c r="C127" s="205">
        <v>0</v>
      </c>
      <c r="D127" s="318">
        <f>B127-C127</f>
        <v>9000</v>
      </c>
    </row>
    <row r="128" spans="1:4" x14ac:dyDescent="0.35">
      <c r="A128" s="203" t="s">
        <v>261</v>
      </c>
      <c r="B128" s="205">
        <v>6000</v>
      </c>
      <c r="C128" s="205">
        <v>0</v>
      </c>
      <c r="D128" s="318">
        <f>B128-C128</f>
        <v>6000</v>
      </c>
    </row>
    <row r="129" spans="1:4" x14ac:dyDescent="0.35">
      <c r="A129" s="203" t="s">
        <v>263</v>
      </c>
      <c r="B129" s="205">
        <v>12500</v>
      </c>
      <c r="C129" s="205">
        <v>0</v>
      </c>
      <c r="D129" s="318">
        <f>B129-C129</f>
        <v>12500</v>
      </c>
    </row>
    <row r="130" spans="1:4" ht="20.399999999999999" x14ac:dyDescent="0.35">
      <c r="A130" s="263" t="s">
        <v>439</v>
      </c>
      <c r="B130" s="299"/>
      <c r="C130" s="299"/>
      <c r="D130" s="326"/>
    </row>
    <row r="131" spans="1:4" x14ac:dyDescent="0.35">
      <c r="A131" s="203" t="s">
        <v>440</v>
      </c>
      <c r="B131" s="205">
        <v>6200</v>
      </c>
      <c r="C131" s="205">
        <v>0</v>
      </c>
      <c r="D131" s="318">
        <f>B131-C131</f>
        <v>6200</v>
      </c>
    </row>
    <row r="132" spans="1:4" x14ac:dyDescent="0.35">
      <c r="A132" s="203" t="s">
        <v>441</v>
      </c>
      <c r="B132" s="205">
        <v>9000</v>
      </c>
      <c r="C132" s="205">
        <v>0</v>
      </c>
      <c r="D132" s="318">
        <f>B132-C132</f>
        <v>9000</v>
      </c>
    </row>
    <row r="133" spans="1:4" x14ac:dyDescent="0.35">
      <c r="A133" s="203" t="s">
        <v>442</v>
      </c>
      <c r="B133" s="205">
        <v>5100</v>
      </c>
      <c r="C133" s="205">
        <v>0</v>
      </c>
      <c r="D133" s="318">
        <f>B133-C133</f>
        <v>5100</v>
      </c>
    </row>
    <row r="134" spans="1:4" ht="20.399999999999999" x14ac:dyDescent="0.35">
      <c r="A134" s="296" t="s">
        <v>443</v>
      </c>
      <c r="B134" s="299"/>
      <c r="C134" s="299"/>
      <c r="D134" s="326"/>
    </row>
    <row r="135" spans="1:4" x14ac:dyDescent="0.35">
      <c r="A135" s="203" t="s">
        <v>444</v>
      </c>
      <c r="B135" s="205">
        <v>9000</v>
      </c>
      <c r="C135" s="205">
        <v>0</v>
      </c>
      <c r="D135" s="318">
        <f>B135-C135</f>
        <v>9000</v>
      </c>
    </row>
    <row r="136" spans="1:4" x14ac:dyDescent="0.35">
      <c r="A136" s="203" t="s">
        <v>445</v>
      </c>
      <c r="B136" s="205">
        <v>3000</v>
      </c>
      <c r="C136" s="205">
        <v>0</v>
      </c>
      <c r="D136" s="318">
        <f>B136-C136</f>
        <v>3000</v>
      </c>
    </row>
    <row r="137" spans="1:4" x14ac:dyDescent="0.35">
      <c r="A137" s="203" t="s">
        <v>446</v>
      </c>
      <c r="B137" s="205">
        <v>42000</v>
      </c>
      <c r="C137" s="205">
        <v>0</v>
      </c>
      <c r="D137" s="318">
        <f>B137-C137</f>
        <v>42000</v>
      </c>
    </row>
    <row r="138" spans="1:4" x14ac:dyDescent="0.35">
      <c r="A138" s="296" t="s">
        <v>447</v>
      </c>
      <c r="B138" s="299"/>
      <c r="C138" s="299"/>
      <c r="D138" s="326"/>
    </row>
    <row r="139" spans="1:4" x14ac:dyDescent="0.35">
      <c r="A139" s="203" t="s">
        <v>448</v>
      </c>
      <c r="B139" s="205">
        <v>9900</v>
      </c>
      <c r="C139" s="205">
        <v>0</v>
      </c>
      <c r="D139" s="318">
        <f>B139-C139</f>
        <v>9900</v>
      </c>
    </row>
    <row r="140" spans="1:4" x14ac:dyDescent="0.35">
      <c r="A140" s="203" t="s">
        <v>276</v>
      </c>
      <c r="B140" s="205">
        <v>12100</v>
      </c>
      <c r="C140" s="205">
        <v>0</v>
      </c>
      <c r="D140" s="318">
        <f>B140-C140</f>
        <v>12100</v>
      </c>
    </row>
    <row r="141" spans="1:4" x14ac:dyDescent="0.35">
      <c r="A141" s="203" t="s">
        <v>278</v>
      </c>
      <c r="B141" s="205">
        <v>11000</v>
      </c>
      <c r="C141" s="205">
        <v>0</v>
      </c>
      <c r="D141" s="318">
        <f>B141-C141</f>
        <v>11000</v>
      </c>
    </row>
    <row r="142" spans="1:4" ht="20.399999999999999" x14ac:dyDescent="0.35">
      <c r="A142" s="59" t="s">
        <v>213</v>
      </c>
      <c r="B142" s="59"/>
      <c r="C142" s="59"/>
      <c r="D142" s="327"/>
    </row>
    <row r="143" spans="1:4" x14ac:dyDescent="0.35">
      <c r="A143" s="12" t="s">
        <v>215</v>
      </c>
      <c r="B143" s="205">
        <v>0</v>
      </c>
      <c r="C143" s="205">
        <f>'Project Budget'!S113</f>
        <v>17600</v>
      </c>
      <c r="D143" s="318">
        <f>B143-C143</f>
        <v>-17600</v>
      </c>
    </row>
    <row r="144" spans="1:4" x14ac:dyDescent="0.35">
      <c r="A144" s="12" t="s">
        <v>217</v>
      </c>
      <c r="B144" s="205">
        <v>0</v>
      </c>
      <c r="C144" s="205">
        <f>'Project Budget'!S114</f>
        <v>3200</v>
      </c>
      <c r="D144" s="318">
        <f>B144-C144</f>
        <v>-3200</v>
      </c>
    </row>
    <row r="145" spans="1:4" x14ac:dyDescent="0.35">
      <c r="A145" s="12" t="s">
        <v>219</v>
      </c>
      <c r="B145" s="205">
        <v>0</v>
      </c>
      <c r="C145" s="205">
        <f>'Project Budget'!S115</f>
        <v>14000</v>
      </c>
      <c r="D145" s="318">
        <f>B145-C145</f>
        <v>-14000</v>
      </c>
    </row>
    <row r="146" spans="1:4" x14ac:dyDescent="0.35">
      <c r="A146" s="12" t="s">
        <v>203</v>
      </c>
      <c r="B146" s="205">
        <v>0</v>
      </c>
      <c r="C146" s="205">
        <f>'Project Budget'!S116</f>
        <v>3080</v>
      </c>
      <c r="D146" s="318">
        <f>B146-C146</f>
        <v>-3080</v>
      </c>
    </row>
    <row r="147" spans="1:4" x14ac:dyDescent="0.35">
      <c r="A147" s="12" t="s">
        <v>205</v>
      </c>
      <c r="B147" s="205">
        <v>0</v>
      </c>
      <c r="C147" s="205">
        <f>'Project Budget'!S117</f>
        <v>1680</v>
      </c>
      <c r="D147" s="318">
        <f>B147-C147</f>
        <v>-1680</v>
      </c>
    </row>
    <row r="148" spans="1:4" x14ac:dyDescent="0.35">
      <c r="A148" s="150" t="s">
        <v>222</v>
      </c>
      <c r="B148" s="59"/>
      <c r="C148" s="59"/>
      <c r="D148" s="327"/>
    </row>
    <row r="149" spans="1:4" x14ac:dyDescent="0.35">
      <c r="A149" s="12" t="s">
        <v>217</v>
      </c>
      <c r="B149" s="205">
        <v>0</v>
      </c>
      <c r="C149" s="205">
        <f>'Project Budget'!S119</f>
        <v>13200</v>
      </c>
      <c r="D149" s="318">
        <f>B149-C149</f>
        <v>-13200</v>
      </c>
    </row>
    <row r="150" spans="1:4" x14ac:dyDescent="0.35">
      <c r="A150" s="1" t="s">
        <v>225</v>
      </c>
      <c r="B150" s="205">
        <v>0</v>
      </c>
      <c r="C150" s="205">
        <f>'Project Budget'!S120</f>
        <v>7000</v>
      </c>
      <c r="D150" s="318">
        <f>B150-C150</f>
        <v>-7000</v>
      </c>
    </row>
    <row r="151" spans="1:4" x14ac:dyDescent="0.35">
      <c r="A151" s="1" t="s">
        <v>227</v>
      </c>
      <c r="B151" s="205">
        <v>0</v>
      </c>
      <c r="C151" s="205">
        <f>'Project Budget'!S121</f>
        <v>3080</v>
      </c>
      <c r="D151" s="318">
        <f>B151-C151</f>
        <v>-3080</v>
      </c>
    </row>
    <row r="152" spans="1:4" x14ac:dyDescent="0.35">
      <c r="A152" s="1" t="s">
        <v>230</v>
      </c>
      <c r="B152" s="205">
        <v>0</v>
      </c>
      <c r="C152" s="205">
        <f>'Project Budget'!S122</f>
        <v>1680</v>
      </c>
      <c r="D152" s="318">
        <f>B152-C152</f>
        <v>-1680</v>
      </c>
    </row>
    <row r="153" spans="1:4" ht="20.399999999999999" x14ac:dyDescent="0.35">
      <c r="A153" s="59" t="s">
        <v>231</v>
      </c>
      <c r="B153" s="59"/>
      <c r="C153" s="59"/>
      <c r="D153" s="327"/>
    </row>
    <row r="154" spans="1:4" ht="20.399999999999999" x14ac:dyDescent="0.35">
      <c r="A154" s="12" t="s">
        <v>233</v>
      </c>
      <c r="B154" s="205">
        <v>0</v>
      </c>
      <c r="C154" s="205">
        <f>'Project Budget'!S124</f>
        <v>9750</v>
      </c>
      <c r="D154" s="318">
        <f>B154-C154</f>
        <v>-9750</v>
      </c>
    </row>
    <row r="155" spans="1:4" x14ac:dyDescent="0.35">
      <c r="A155" s="12" t="s">
        <v>235</v>
      </c>
      <c r="B155" s="205">
        <v>0</v>
      </c>
      <c r="C155" s="205">
        <f>'Project Budget'!S125</f>
        <v>4840</v>
      </c>
      <c r="D155" s="318">
        <f>B155-C155</f>
        <v>-4840</v>
      </c>
    </row>
    <row r="156" spans="1:4" x14ac:dyDescent="0.35">
      <c r="A156" s="12" t="s">
        <v>237</v>
      </c>
      <c r="B156" s="205">
        <v>0</v>
      </c>
      <c r="C156" s="205">
        <f>'Project Budget'!S126</f>
        <v>2640</v>
      </c>
      <c r="D156" s="318">
        <f>B156-C156</f>
        <v>-2640</v>
      </c>
    </row>
    <row r="157" spans="1:4" x14ac:dyDescent="0.35">
      <c r="A157" s="59" t="s">
        <v>238</v>
      </c>
      <c r="B157" s="59"/>
      <c r="C157" s="59"/>
      <c r="D157" s="327"/>
    </row>
    <row r="158" spans="1:4" x14ac:dyDescent="0.35">
      <c r="A158" s="12" t="s">
        <v>240</v>
      </c>
      <c r="B158" s="205">
        <v>0</v>
      </c>
      <c r="C158" s="205">
        <f>'Project Budget'!S128</f>
        <v>6500</v>
      </c>
      <c r="D158" s="318">
        <f>B158-C158</f>
        <v>-6500</v>
      </c>
    </row>
    <row r="159" spans="1:4" ht="20.399999999999999" x14ac:dyDescent="0.35">
      <c r="A159" s="12" t="s">
        <v>242</v>
      </c>
      <c r="B159" s="205">
        <v>0</v>
      </c>
      <c r="C159" s="205">
        <f>'Project Budget'!S129</f>
        <v>2000</v>
      </c>
      <c r="D159" s="318">
        <f>B159-C159</f>
        <v>-2000</v>
      </c>
    </row>
    <row r="160" spans="1:4" ht="20.399999999999999" x14ac:dyDescent="0.35">
      <c r="A160" s="59" t="s">
        <v>243</v>
      </c>
      <c r="B160" s="59"/>
      <c r="C160" s="59"/>
      <c r="D160" s="327"/>
    </row>
    <row r="161" spans="1:4" ht="20.399999999999999" x14ac:dyDescent="0.35">
      <c r="A161" s="12" t="s">
        <v>245</v>
      </c>
      <c r="B161" s="205">
        <v>0</v>
      </c>
      <c r="C161" s="205">
        <f>'Project Budget'!S131</f>
        <v>8750</v>
      </c>
      <c r="D161" s="318">
        <f>B161-C161</f>
        <v>-8750</v>
      </c>
    </row>
    <row r="162" spans="1:4" x14ac:dyDescent="0.35">
      <c r="A162" s="12" t="s">
        <v>247</v>
      </c>
      <c r="B162" s="205">
        <v>0</v>
      </c>
      <c r="C162" s="205">
        <f>'Project Budget'!S132</f>
        <v>1500</v>
      </c>
      <c r="D162" s="318">
        <f>B162-C162</f>
        <v>-1500</v>
      </c>
    </row>
    <row r="163" spans="1:4" x14ac:dyDescent="0.35">
      <c r="A163" s="12" t="s">
        <v>250</v>
      </c>
      <c r="B163" s="205">
        <v>0</v>
      </c>
      <c r="C163" s="205">
        <f>'Project Budget'!S133</f>
        <v>4400</v>
      </c>
      <c r="D163" s="318">
        <f>B163-C163</f>
        <v>-4400</v>
      </c>
    </row>
    <row r="164" spans="1:4" x14ac:dyDescent="0.35">
      <c r="A164" s="12" t="s">
        <v>252</v>
      </c>
      <c r="B164" s="205">
        <v>0</v>
      </c>
      <c r="C164" s="205">
        <f>'Project Budget'!S134</f>
        <v>2400</v>
      </c>
      <c r="D164" s="318">
        <f>B164-C164</f>
        <v>-2400</v>
      </c>
    </row>
    <row r="165" spans="1:4" ht="20.399999999999999" x14ac:dyDescent="0.35">
      <c r="A165" s="59" t="s">
        <v>253</v>
      </c>
      <c r="B165" s="59"/>
      <c r="C165" s="59"/>
      <c r="D165" s="327"/>
    </row>
    <row r="166" spans="1:4" x14ac:dyDescent="0.35">
      <c r="A166" s="12" t="s">
        <v>255</v>
      </c>
      <c r="B166" s="205">
        <v>0</v>
      </c>
      <c r="C166" s="205">
        <f>'Project Budget'!S136</f>
        <v>6500</v>
      </c>
      <c r="D166" s="318">
        <f>B166-C166</f>
        <v>-6500</v>
      </c>
    </row>
    <row r="167" spans="1:4" x14ac:dyDescent="0.35">
      <c r="A167" s="12" t="s">
        <v>257</v>
      </c>
      <c r="B167" s="205">
        <v>0</v>
      </c>
      <c r="C167" s="205">
        <f>'Project Budget'!S137</f>
        <v>16800</v>
      </c>
      <c r="D167" s="318">
        <f>B167-C167</f>
        <v>-16800</v>
      </c>
    </row>
    <row r="168" spans="1:4" x14ac:dyDescent="0.35">
      <c r="A168" s="12" t="s">
        <v>259</v>
      </c>
      <c r="B168" s="205">
        <v>0</v>
      </c>
      <c r="C168" s="205">
        <f>'Project Budget'!S138</f>
        <v>6000</v>
      </c>
      <c r="D168" s="318">
        <f>B168-C168</f>
        <v>-6000</v>
      </c>
    </row>
    <row r="169" spans="1:4" x14ac:dyDescent="0.35">
      <c r="A169" s="12" t="s">
        <v>261</v>
      </c>
      <c r="B169" s="205">
        <v>0</v>
      </c>
      <c r="C169" s="205">
        <f>'Project Budget'!S139</f>
        <v>3000</v>
      </c>
      <c r="D169" s="318">
        <f>B169-C169</f>
        <v>-3000</v>
      </c>
    </row>
    <row r="170" spans="1:4" x14ac:dyDescent="0.35">
      <c r="A170" s="12" t="s">
        <v>263</v>
      </c>
      <c r="B170" s="205">
        <v>0</v>
      </c>
      <c r="C170" s="205">
        <f>'Project Budget'!S140</f>
        <v>12000</v>
      </c>
      <c r="D170" s="318">
        <f>B170-C170</f>
        <v>-12000</v>
      </c>
    </row>
    <row r="171" spans="1:4" ht="20.399999999999999" x14ac:dyDescent="0.35">
      <c r="A171" s="274" t="s">
        <v>264</v>
      </c>
      <c r="B171" s="59"/>
      <c r="C171" s="59"/>
      <c r="D171" s="327"/>
    </row>
    <row r="172" spans="1:4" ht="20.399999999999999" x14ac:dyDescent="0.35">
      <c r="A172" s="136" t="s">
        <v>266</v>
      </c>
      <c r="B172" s="205">
        <v>0</v>
      </c>
      <c r="C172" s="205">
        <f>'Project Budget'!S142</f>
        <v>5250</v>
      </c>
      <c r="D172" s="318">
        <f>B172-C172</f>
        <v>-5250</v>
      </c>
    </row>
    <row r="173" spans="1:4" ht="10.5" x14ac:dyDescent="0.4">
      <c r="A173" s="212" t="s">
        <v>267</v>
      </c>
      <c r="B173" s="321">
        <f>SUM(B106:B172)</f>
        <v>318440</v>
      </c>
      <c r="C173" s="321">
        <f>SUM(C106:C172)</f>
        <v>187250</v>
      </c>
      <c r="D173" s="321">
        <f>B173-C173</f>
        <v>131190</v>
      </c>
    </row>
    <row r="174" spans="1:4" ht="10.5" x14ac:dyDescent="0.35">
      <c r="A174" s="238" t="s">
        <v>268</v>
      </c>
      <c r="B174" s="300"/>
      <c r="C174" s="300"/>
      <c r="D174" s="328"/>
    </row>
    <row r="175" spans="1:4" ht="10.5" x14ac:dyDescent="0.4">
      <c r="A175" s="297" t="s">
        <v>196</v>
      </c>
      <c r="B175" s="298"/>
      <c r="C175" s="298"/>
      <c r="D175" s="325"/>
    </row>
    <row r="176" spans="1:4" ht="20.399999999999999" x14ac:dyDescent="0.35">
      <c r="A176" s="291" t="s">
        <v>449</v>
      </c>
      <c r="B176" s="301"/>
      <c r="C176" s="301"/>
      <c r="D176" s="329"/>
    </row>
    <row r="177" spans="1:4" x14ac:dyDescent="0.35">
      <c r="A177" s="227" t="s">
        <v>450</v>
      </c>
      <c r="B177" s="302">
        <v>4200</v>
      </c>
      <c r="C177" s="302">
        <v>0</v>
      </c>
      <c r="D177" s="318">
        <f>B177-C177</f>
        <v>4200</v>
      </c>
    </row>
    <row r="178" spans="1:4" x14ac:dyDescent="0.35">
      <c r="A178" s="227" t="s">
        <v>203</v>
      </c>
      <c r="B178" s="302">
        <v>5280</v>
      </c>
      <c r="C178" s="302">
        <v>0</v>
      </c>
      <c r="D178" s="318">
        <f>B178-C178</f>
        <v>5280</v>
      </c>
    </row>
    <row r="179" spans="1:4" x14ac:dyDescent="0.35">
      <c r="A179" s="207" t="s">
        <v>205</v>
      </c>
      <c r="B179" s="302">
        <v>4800</v>
      </c>
      <c r="C179" s="302">
        <v>0</v>
      </c>
      <c r="D179" s="318">
        <f>B179-C179</f>
        <v>4800</v>
      </c>
    </row>
    <row r="180" spans="1:4" ht="20.399999999999999" x14ac:dyDescent="0.35">
      <c r="A180" s="227" t="s">
        <v>451</v>
      </c>
      <c r="B180" s="302">
        <v>17500</v>
      </c>
      <c r="C180" s="302">
        <v>0</v>
      </c>
      <c r="D180" s="318">
        <f>B180-C180</f>
        <v>17500</v>
      </c>
    </row>
    <row r="181" spans="1:4" ht="20.399999999999999" x14ac:dyDescent="0.35">
      <c r="A181" s="227" t="s">
        <v>452</v>
      </c>
      <c r="B181" s="302">
        <v>4500</v>
      </c>
      <c r="C181" s="302">
        <f>'Project Budget'!S147</f>
        <v>4500</v>
      </c>
      <c r="D181" s="318">
        <f>B181-C181</f>
        <v>0</v>
      </c>
    </row>
    <row r="182" spans="1:4" ht="20.399999999999999" x14ac:dyDescent="0.35">
      <c r="A182" s="291" t="s">
        <v>453</v>
      </c>
      <c r="B182" s="303"/>
      <c r="C182" s="303"/>
      <c r="D182" s="330"/>
    </row>
    <row r="183" spans="1:4" x14ac:dyDescent="0.35">
      <c r="A183" s="227" t="s">
        <v>283</v>
      </c>
      <c r="B183" s="302">
        <v>5000</v>
      </c>
      <c r="C183" s="302">
        <v>0</v>
      </c>
      <c r="D183" s="318">
        <f>B183-C183</f>
        <v>5000</v>
      </c>
    </row>
    <row r="184" spans="1:4" x14ac:dyDescent="0.35">
      <c r="A184" s="227" t="s">
        <v>286</v>
      </c>
      <c r="B184" s="302">
        <v>4200</v>
      </c>
      <c r="C184" s="302">
        <v>0</v>
      </c>
      <c r="D184" s="318">
        <f>B184-C184</f>
        <v>4200</v>
      </c>
    </row>
    <row r="185" spans="1:4" x14ac:dyDescent="0.35">
      <c r="A185" s="227" t="s">
        <v>288</v>
      </c>
      <c r="B185" s="302">
        <v>6600</v>
      </c>
      <c r="C185" s="302">
        <v>0</v>
      </c>
      <c r="D185" s="318">
        <f>B185-C185</f>
        <v>6600</v>
      </c>
    </row>
    <row r="186" spans="1:4" s="240" customFormat="1" x14ac:dyDescent="0.35">
      <c r="A186" s="207" t="s">
        <v>290</v>
      </c>
      <c r="B186" s="302">
        <v>6000</v>
      </c>
      <c r="C186" s="302">
        <v>0</v>
      </c>
      <c r="D186" s="318">
        <f>B186-C186</f>
        <v>6000</v>
      </c>
    </row>
    <row r="187" spans="1:4" s="240" customFormat="1" x14ac:dyDescent="0.35">
      <c r="A187" s="227" t="s">
        <v>454</v>
      </c>
      <c r="B187" s="302">
        <v>6000</v>
      </c>
      <c r="C187" s="302">
        <v>0</v>
      </c>
      <c r="D187" s="318">
        <f>B187-C187</f>
        <v>6000</v>
      </c>
    </row>
    <row r="188" spans="1:4" s="240" customFormat="1" ht="20.399999999999999" x14ac:dyDescent="0.35">
      <c r="A188" s="291" t="s">
        <v>455</v>
      </c>
      <c r="B188" s="303"/>
      <c r="C188" s="303"/>
      <c r="D188" s="330"/>
    </row>
    <row r="189" spans="1:4" s="240" customFormat="1" x14ac:dyDescent="0.35">
      <c r="A189" s="207" t="s">
        <v>456</v>
      </c>
      <c r="B189" s="302">
        <v>10560</v>
      </c>
      <c r="C189" s="302">
        <v>0</v>
      </c>
      <c r="D189" s="318">
        <f>B189-C189</f>
        <v>10560</v>
      </c>
    </row>
    <row r="190" spans="1:4" s="240" customFormat="1" x14ac:dyDescent="0.35">
      <c r="A190" s="207" t="s">
        <v>457</v>
      </c>
      <c r="B190" s="302">
        <v>9600</v>
      </c>
      <c r="C190" s="302">
        <v>0</v>
      </c>
      <c r="D190" s="318">
        <f>B190-C190</f>
        <v>9600</v>
      </c>
    </row>
    <row r="191" spans="1:4" s="240" customFormat="1" ht="30.6" x14ac:dyDescent="0.35">
      <c r="A191" s="291" t="s">
        <v>458</v>
      </c>
      <c r="B191" s="303"/>
      <c r="C191" s="303"/>
      <c r="D191" s="330"/>
    </row>
    <row r="192" spans="1:4" s="240" customFormat="1" x14ac:dyDescent="0.35">
      <c r="A192" s="207" t="s">
        <v>227</v>
      </c>
      <c r="B192" s="302">
        <v>21120</v>
      </c>
      <c r="C192" s="302">
        <v>0</v>
      </c>
      <c r="D192" s="318">
        <f>B192-C192</f>
        <v>21120</v>
      </c>
    </row>
    <row r="193" spans="1:4" s="240" customFormat="1" x14ac:dyDescent="0.35">
      <c r="A193" s="207" t="s">
        <v>230</v>
      </c>
      <c r="B193" s="302">
        <v>19200</v>
      </c>
      <c r="C193" s="302">
        <v>0</v>
      </c>
      <c r="D193" s="318">
        <f>B193-C193</f>
        <v>19200</v>
      </c>
    </row>
    <row r="194" spans="1:4" s="240" customFormat="1" ht="30.6" x14ac:dyDescent="0.35">
      <c r="A194" s="291" t="s">
        <v>459</v>
      </c>
      <c r="B194" s="303"/>
      <c r="C194" s="303"/>
      <c r="D194" s="330"/>
    </row>
    <row r="195" spans="1:4" s="240" customFormat="1" x14ac:dyDescent="0.35">
      <c r="A195" s="207" t="s">
        <v>460</v>
      </c>
      <c r="B195" s="302">
        <v>8100</v>
      </c>
      <c r="C195" s="302">
        <v>0</v>
      </c>
      <c r="D195" s="318">
        <f>B195-C195</f>
        <v>8100</v>
      </c>
    </row>
    <row r="196" spans="1:4" s="240" customFormat="1" x14ac:dyDescent="0.35">
      <c r="A196" s="207" t="s">
        <v>295</v>
      </c>
      <c r="B196" s="302">
        <v>7810</v>
      </c>
      <c r="C196" s="302">
        <v>0</v>
      </c>
      <c r="D196" s="318">
        <f>B196-C196</f>
        <v>7810</v>
      </c>
    </row>
    <row r="197" spans="1:4" s="240" customFormat="1" x14ac:dyDescent="0.35">
      <c r="A197" s="207" t="s">
        <v>297</v>
      </c>
      <c r="B197" s="302">
        <v>7100</v>
      </c>
      <c r="C197" s="302">
        <v>0</v>
      </c>
      <c r="D197" s="318">
        <f>B197-C197</f>
        <v>7100</v>
      </c>
    </row>
    <row r="198" spans="1:4" s="240" customFormat="1" ht="20.399999999999999" x14ac:dyDescent="0.35">
      <c r="A198" s="207" t="s">
        <v>461</v>
      </c>
      <c r="B198" s="302">
        <v>12000</v>
      </c>
      <c r="C198" s="302">
        <v>0</v>
      </c>
      <c r="D198" s="318">
        <f>B198-C198</f>
        <v>12000</v>
      </c>
    </row>
    <row r="199" spans="1:4" s="240" customFormat="1" ht="20.399999999999999" x14ac:dyDescent="0.35">
      <c r="A199" s="207" t="s">
        <v>462</v>
      </c>
      <c r="B199" s="302">
        <v>6000</v>
      </c>
      <c r="C199" s="302">
        <v>0</v>
      </c>
      <c r="D199" s="318">
        <f>B199-C199</f>
        <v>6000</v>
      </c>
    </row>
    <row r="200" spans="1:4" s="240" customFormat="1" ht="30.6" x14ac:dyDescent="0.35">
      <c r="A200" s="291" t="s">
        <v>463</v>
      </c>
      <c r="B200" s="303"/>
      <c r="C200" s="303"/>
      <c r="D200" s="330"/>
    </row>
    <row r="201" spans="1:4" s="240" customFormat="1" x14ac:dyDescent="0.35">
      <c r="A201" s="207" t="s">
        <v>464</v>
      </c>
      <c r="B201" s="302">
        <v>15750</v>
      </c>
      <c r="C201" s="302">
        <v>0</v>
      </c>
      <c r="D201" s="318">
        <f>B201-C201</f>
        <v>15750</v>
      </c>
    </row>
    <row r="202" spans="1:4" s="240" customFormat="1" x14ac:dyDescent="0.35">
      <c r="A202" s="207" t="s">
        <v>320</v>
      </c>
      <c r="B202" s="302">
        <v>7500</v>
      </c>
      <c r="C202" s="302">
        <v>0</v>
      </c>
      <c r="D202" s="318">
        <f>B202-C202</f>
        <v>7500</v>
      </c>
    </row>
    <row r="203" spans="1:4" s="240" customFormat="1" x14ac:dyDescent="0.35">
      <c r="A203" s="207" t="s">
        <v>322</v>
      </c>
      <c r="B203" s="302">
        <v>6000</v>
      </c>
      <c r="C203" s="302">
        <v>0</v>
      </c>
      <c r="D203" s="318">
        <f>B203-C203</f>
        <v>6000</v>
      </c>
    </row>
    <row r="204" spans="1:4" s="240" customFormat="1" x14ac:dyDescent="0.35">
      <c r="A204" s="207" t="s">
        <v>324</v>
      </c>
      <c r="B204" s="302">
        <v>14000</v>
      </c>
      <c r="C204" s="302">
        <v>0</v>
      </c>
      <c r="D204" s="318">
        <f>B204-C204</f>
        <v>14000</v>
      </c>
    </row>
    <row r="205" spans="1:4" s="240" customFormat="1" ht="20.399999999999999" x14ac:dyDescent="0.35">
      <c r="A205" s="207" t="s">
        <v>326</v>
      </c>
      <c r="B205" s="302">
        <v>12000</v>
      </c>
      <c r="C205" s="302">
        <v>0</v>
      </c>
      <c r="D205" s="318">
        <f>B205-C205</f>
        <v>12000</v>
      </c>
    </row>
    <row r="206" spans="1:4" s="240" customFormat="1" ht="30.6" x14ac:dyDescent="0.35">
      <c r="A206" s="291" t="s">
        <v>465</v>
      </c>
      <c r="B206" s="303"/>
      <c r="C206" s="303"/>
      <c r="D206" s="330"/>
    </row>
    <row r="207" spans="1:4" s="240" customFormat="1" x14ac:dyDescent="0.35">
      <c r="A207" s="207" t="s">
        <v>466</v>
      </c>
      <c r="B207" s="302">
        <v>4800</v>
      </c>
      <c r="C207" s="302">
        <v>0</v>
      </c>
      <c r="D207" s="318">
        <f>B207-C207</f>
        <v>4800</v>
      </c>
    </row>
    <row r="208" spans="1:4" s="240" customFormat="1" x14ac:dyDescent="0.35">
      <c r="A208" s="207" t="s">
        <v>467</v>
      </c>
      <c r="B208" s="302">
        <v>15500</v>
      </c>
      <c r="C208" s="302">
        <v>0</v>
      </c>
      <c r="D208" s="318">
        <f>B208-C208</f>
        <v>15500</v>
      </c>
    </row>
    <row r="209" spans="1:4" s="240" customFormat="1" x14ac:dyDescent="0.35">
      <c r="A209" s="207" t="s">
        <v>333</v>
      </c>
      <c r="B209" s="302">
        <v>4500</v>
      </c>
      <c r="C209" s="302">
        <v>0</v>
      </c>
      <c r="D209" s="318">
        <f>B209-C209</f>
        <v>4500</v>
      </c>
    </row>
    <row r="210" spans="1:4" s="240" customFormat="1" x14ac:dyDescent="0.35">
      <c r="A210" s="207" t="s">
        <v>335</v>
      </c>
      <c r="B210" s="302">
        <v>20900</v>
      </c>
      <c r="C210" s="302">
        <v>0</v>
      </c>
      <c r="D210" s="318">
        <f>B210-C210</f>
        <v>20900</v>
      </c>
    </row>
    <row r="211" spans="1:4" s="240" customFormat="1" x14ac:dyDescent="0.35">
      <c r="A211" s="207" t="s">
        <v>337</v>
      </c>
      <c r="B211" s="302">
        <v>19000</v>
      </c>
      <c r="C211" s="302">
        <v>0</v>
      </c>
      <c r="D211" s="318">
        <f>B211-C211</f>
        <v>19000</v>
      </c>
    </row>
    <row r="212" spans="1:4" s="240" customFormat="1" ht="30.6" x14ac:dyDescent="0.35">
      <c r="A212" s="291" t="s">
        <v>468</v>
      </c>
      <c r="B212" s="303"/>
      <c r="C212" s="303"/>
      <c r="D212" s="330"/>
    </row>
    <row r="213" spans="1:4" s="240" customFormat="1" x14ac:dyDescent="0.35">
      <c r="A213" s="207" t="s">
        <v>469</v>
      </c>
      <c r="B213" s="302">
        <v>17600</v>
      </c>
      <c r="C213" s="302">
        <v>0</v>
      </c>
      <c r="D213" s="318">
        <f>B213-C213</f>
        <v>17600</v>
      </c>
    </row>
    <row r="214" spans="1:4" s="240" customFormat="1" x14ac:dyDescent="0.35">
      <c r="A214" s="207" t="s">
        <v>470</v>
      </c>
      <c r="B214" s="302">
        <v>16000</v>
      </c>
      <c r="C214" s="302">
        <v>0</v>
      </c>
      <c r="D214" s="318">
        <f>B214-C214</f>
        <v>16000</v>
      </c>
    </row>
    <row r="215" spans="1:4" s="240" customFormat="1" ht="20.399999999999999" x14ac:dyDescent="0.35">
      <c r="A215" s="304" t="s">
        <v>471</v>
      </c>
      <c r="B215" s="303"/>
      <c r="C215" s="303"/>
      <c r="D215" s="330"/>
    </row>
    <row r="216" spans="1:4" s="240" customFormat="1" x14ac:dyDescent="0.35">
      <c r="A216" s="207" t="s">
        <v>472</v>
      </c>
      <c r="B216" s="302">
        <v>4800</v>
      </c>
      <c r="C216" s="302">
        <v>0</v>
      </c>
      <c r="D216" s="318">
        <f>B216-C216</f>
        <v>4800</v>
      </c>
    </row>
    <row r="217" spans="1:4" s="240" customFormat="1" ht="20.399999999999999" x14ac:dyDescent="0.35">
      <c r="A217" s="207" t="s">
        <v>306</v>
      </c>
      <c r="B217" s="302">
        <v>1600</v>
      </c>
      <c r="C217" s="302">
        <v>0</v>
      </c>
      <c r="D217" s="318">
        <f>B217-C217</f>
        <v>1600</v>
      </c>
    </row>
    <row r="218" spans="1:4" s="240" customFormat="1" ht="20.399999999999999" x14ac:dyDescent="0.35">
      <c r="A218" s="207" t="s">
        <v>308</v>
      </c>
      <c r="B218" s="302">
        <v>8800</v>
      </c>
      <c r="C218" s="302">
        <v>0</v>
      </c>
      <c r="D218" s="318">
        <f>B218-C218</f>
        <v>8800</v>
      </c>
    </row>
    <row r="219" spans="1:4" s="240" customFormat="1" ht="20.399999999999999" x14ac:dyDescent="0.35">
      <c r="A219" s="207" t="s">
        <v>310</v>
      </c>
      <c r="B219" s="302">
        <v>8000</v>
      </c>
      <c r="C219" s="302">
        <v>0</v>
      </c>
      <c r="D219" s="318">
        <f>B219-C219</f>
        <v>8000</v>
      </c>
    </row>
    <row r="220" spans="1:4" s="240" customFormat="1" ht="20.399999999999999" x14ac:dyDescent="0.35">
      <c r="A220" s="61" t="s">
        <v>272</v>
      </c>
      <c r="B220" s="61"/>
      <c r="C220" s="61"/>
      <c r="D220" s="331"/>
    </row>
    <row r="221" spans="1:4" s="240" customFormat="1" ht="20.399999999999999" x14ac:dyDescent="0.35">
      <c r="A221" s="12" t="s">
        <v>274</v>
      </c>
      <c r="B221" s="302">
        <v>0</v>
      </c>
      <c r="C221" s="302">
        <f>'Project Budget'!S149</f>
        <v>14000</v>
      </c>
      <c r="D221" s="318">
        <f>B221-C221</f>
        <v>-14000</v>
      </c>
    </row>
    <row r="222" spans="1:4" s="240" customFormat="1" x14ac:dyDescent="0.35">
      <c r="A222" s="12" t="s">
        <v>276</v>
      </c>
      <c r="B222" s="302">
        <v>0</v>
      </c>
      <c r="C222" s="302">
        <f>'Project Budget'!S150</f>
        <v>5280</v>
      </c>
      <c r="D222" s="318">
        <f>B222-C222</f>
        <v>-5280</v>
      </c>
    </row>
    <row r="223" spans="1:4" s="240" customFormat="1" x14ac:dyDescent="0.35">
      <c r="A223" s="12" t="s">
        <v>278</v>
      </c>
      <c r="B223" s="302">
        <v>0</v>
      </c>
      <c r="C223" s="302">
        <f>'Project Budget'!S151</f>
        <v>2880</v>
      </c>
      <c r="D223" s="318">
        <f>B223-C223</f>
        <v>-2880</v>
      </c>
    </row>
    <row r="224" spans="1:4" s="240" customFormat="1" ht="20.399999999999999" x14ac:dyDescent="0.35">
      <c r="A224" s="150" t="s">
        <v>279</v>
      </c>
      <c r="B224" s="61"/>
      <c r="C224" s="61"/>
      <c r="D224" s="331"/>
    </row>
    <row r="225" spans="1:4" s="240" customFormat="1" ht="20.399999999999999" x14ac:dyDescent="0.35">
      <c r="A225" s="33" t="s">
        <v>281</v>
      </c>
      <c r="B225" s="302">
        <v>0</v>
      </c>
      <c r="C225" s="302">
        <f>'Project Budget'!S153</f>
        <v>6000</v>
      </c>
      <c r="D225" s="318">
        <f>B225-C225</f>
        <v>-6000</v>
      </c>
    </row>
    <row r="226" spans="1:4" s="240" customFormat="1" x14ac:dyDescent="0.35">
      <c r="A226" s="33" t="s">
        <v>283</v>
      </c>
      <c r="B226" s="302">
        <v>0</v>
      </c>
      <c r="C226" s="302">
        <f>'Project Budget'!S154</f>
        <v>5000</v>
      </c>
      <c r="D226" s="318">
        <f>B226-C226</f>
        <v>-5000</v>
      </c>
    </row>
    <row r="227" spans="1:4" s="240" customFormat="1" x14ac:dyDescent="0.35">
      <c r="A227" s="33" t="s">
        <v>286</v>
      </c>
      <c r="B227" s="302">
        <v>0</v>
      </c>
      <c r="C227" s="302">
        <f>'Project Budget'!S155</f>
        <v>1000</v>
      </c>
      <c r="D227" s="318">
        <f>B227-C227</f>
        <v>-1000</v>
      </c>
    </row>
    <row r="228" spans="1:4" s="240" customFormat="1" x14ac:dyDescent="0.35">
      <c r="A228" s="33" t="s">
        <v>288</v>
      </c>
      <c r="B228" s="302">
        <v>0</v>
      </c>
      <c r="C228" s="302">
        <f>'Project Budget'!S156</f>
        <v>880</v>
      </c>
      <c r="D228" s="318">
        <f>B228-C228</f>
        <v>-880</v>
      </c>
    </row>
    <row r="229" spans="1:4" s="240" customFormat="1" x14ac:dyDescent="0.35">
      <c r="A229" s="1" t="s">
        <v>290</v>
      </c>
      <c r="B229" s="302">
        <v>0</v>
      </c>
      <c r="C229" s="302">
        <f>'Project Budget'!S157</f>
        <v>480</v>
      </c>
      <c r="D229" s="318">
        <f>B229-C229</f>
        <v>-480</v>
      </c>
    </row>
    <row r="230" spans="1:4" s="240" customFormat="1" ht="20.399999999999999" x14ac:dyDescent="0.35">
      <c r="A230" s="150" t="s">
        <v>291</v>
      </c>
      <c r="B230" s="61"/>
      <c r="C230" s="61"/>
      <c r="D230" s="331"/>
    </row>
    <row r="231" spans="1:4" s="240" customFormat="1" x14ac:dyDescent="0.35">
      <c r="A231" s="1" t="s">
        <v>293</v>
      </c>
      <c r="B231" s="302">
        <v>0</v>
      </c>
      <c r="C231" s="302">
        <f>'Project Budget'!S159</f>
        <v>9500</v>
      </c>
      <c r="D231" s="318">
        <f>B231-C231</f>
        <v>-9500</v>
      </c>
    </row>
    <row r="232" spans="1:4" s="240" customFormat="1" x14ac:dyDescent="0.35">
      <c r="A232" s="1" t="s">
        <v>295</v>
      </c>
      <c r="B232" s="302">
        <v>0</v>
      </c>
      <c r="C232" s="302">
        <f>'Project Budget'!S160</f>
        <v>4840</v>
      </c>
      <c r="D232" s="318">
        <f>B232-C232</f>
        <v>-4840</v>
      </c>
    </row>
    <row r="233" spans="1:4" s="240" customFormat="1" x14ac:dyDescent="0.35">
      <c r="A233" s="1" t="s">
        <v>297</v>
      </c>
      <c r="B233" s="302">
        <v>0</v>
      </c>
      <c r="C233" s="302">
        <f>'Project Budget'!S161</f>
        <v>2640</v>
      </c>
      <c r="D233" s="318">
        <f>B233-C233</f>
        <v>-2640</v>
      </c>
    </row>
    <row r="234" spans="1:4" s="240" customFormat="1" ht="20.399999999999999" x14ac:dyDescent="0.35">
      <c r="A234" s="1" t="s">
        <v>299</v>
      </c>
      <c r="B234" s="302">
        <v>0</v>
      </c>
      <c r="C234" s="302">
        <f>'Project Budget'!S162</f>
        <v>9500</v>
      </c>
      <c r="D234" s="318">
        <f>B234-C234</f>
        <v>-9500</v>
      </c>
    </row>
    <row r="235" spans="1:4" s="240" customFormat="1" ht="20.399999999999999" x14ac:dyDescent="0.35">
      <c r="A235" s="1" t="s">
        <v>301</v>
      </c>
      <c r="B235" s="302">
        <v>0</v>
      </c>
      <c r="C235" s="302">
        <f>'Project Budget'!S163</f>
        <v>3000</v>
      </c>
      <c r="D235" s="318">
        <f>B235-C235</f>
        <v>-3000</v>
      </c>
    </row>
    <row r="236" spans="1:4" s="240" customFormat="1" x14ac:dyDescent="0.35">
      <c r="A236" s="148" t="s">
        <v>302</v>
      </c>
      <c r="B236" s="61"/>
      <c r="C236" s="61"/>
      <c r="D236" s="331"/>
    </row>
    <row r="237" spans="1:4" s="240" customFormat="1" x14ac:dyDescent="0.35">
      <c r="A237" s="1" t="s">
        <v>304</v>
      </c>
      <c r="B237" s="302">
        <v>0</v>
      </c>
      <c r="C237" s="302">
        <f>'Project Budget'!S165</f>
        <v>4550</v>
      </c>
      <c r="D237" s="318">
        <f>B237-C237</f>
        <v>-4550</v>
      </c>
    </row>
    <row r="238" spans="1:4" s="240" customFormat="1" ht="20.399999999999999" x14ac:dyDescent="0.35">
      <c r="A238" s="1" t="s">
        <v>306</v>
      </c>
      <c r="B238" s="302">
        <v>0</v>
      </c>
      <c r="C238" s="302">
        <f>'Project Budget'!S166</f>
        <v>1300</v>
      </c>
      <c r="D238" s="318">
        <f>B238-C238</f>
        <v>-1300</v>
      </c>
    </row>
    <row r="239" spans="1:4" s="240" customFormat="1" ht="20.399999999999999" x14ac:dyDescent="0.35">
      <c r="A239" s="1" t="s">
        <v>308</v>
      </c>
      <c r="B239" s="302">
        <v>0</v>
      </c>
      <c r="C239" s="302">
        <f>'Project Budget'!S167</f>
        <v>2860</v>
      </c>
      <c r="D239" s="318">
        <f>B239-C239</f>
        <v>-2860</v>
      </c>
    </row>
    <row r="240" spans="1:4" s="240" customFormat="1" ht="20.399999999999999" x14ac:dyDescent="0.35">
      <c r="A240" s="1" t="s">
        <v>310</v>
      </c>
      <c r="B240" s="302">
        <v>0</v>
      </c>
      <c r="C240" s="302">
        <f>'Project Budget'!S168</f>
        <v>1560</v>
      </c>
      <c r="D240" s="318">
        <f>B240-C240</f>
        <v>-1560</v>
      </c>
    </row>
    <row r="241" spans="1:4" s="240" customFormat="1" ht="20.399999999999999" x14ac:dyDescent="0.35">
      <c r="A241" s="150" t="s">
        <v>311</v>
      </c>
      <c r="B241" s="61"/>
      <c r="C241" s="61"/>
      <c r="D241" s="331"/>
    </row>
    <row r="242" spans="1:4" s="240" customFormat="1" ht="20.399999999999999" x14ac:dyDescent="0.35">
      <c r="A242" s="1" t="s">
        <v>313</v>
      </c>
      <c r="B242" s="302">
        <v>0</v>
      </c>
      <c r="C242" s="302">
        <f>'Project Budget'!S170</f>
        <v>9500</v>
      </c>
      <c r="D242" s="318">
        <f>B242-C242</f>
        <v>-9500</v>
      </c>
    </row>
    <row r="243" spans="1:4" s="240" customFormat="1" x14ac:dyDescent="0.35">
      <c r="A243" s="1" t="s">
        <v>315</v>
      </c>
      <c r="B243" s="302">
        <v>0</v>
      </c>
      <c r="C243" s="302">
        <f>'Project Budget'!S171</f>
        <v>900</v>
      </c>
      <c r="D243" s="318">
        <f>B243-C243</f>
        <v>-900</v>
      </c>
    </row>
    <row r="244" spans="1:4" s="240" customFormat="1" ht="20.399999999999999" x14ac:dyDescent="0.35">
      <c r="A244" s="150" t="s">
        <v>316</v>
      </c>
      <c r="B244" s="61"/>
      <c r="C244" s="61"/>
      <c r="D244" s="331"/>
    </row>
    <row r="245" spans="1:4" s="240" customFormat="1" ht="20.399999999999999" x14ac:dyDescent="0.35">
      <c r="A245" s="1" t="s">
        <v>318</v>
      </c>
      <c r="B245" s="302">
        <v>0</v>
      </c>
      <c r="C245" s="302">
        <f>'Project Budget'!S173</f>
        <v>9500</v>
      </c>
      <c r="D245" s="318">
        <f>B245-C245</f>
        <v>-9500</v>
      </c>
    </row>
    <row r="246" spans="1:4" s="240" customFormat="1" x14ac:dyDescent="0.35">
      <c r="A246" s="1" t="s">
        <v>320</v>
      </c>
      <c r="B246" s="302">
        <v>0</v>
      </c>
      <c r="C246" s="302">
        <f>'Project Budget'!S174</f>
        <v>7500</v>
      </c>
      <c r="D246" s="318">
        <f>B246-C246</f>
        <v>-7500</v>
      </c>
    </row>
    <row r="247" spans="1:4" s="240" customFormat="1" x14ac:dyDescent="0.35">
      <c r="A247" s="1" t="s">
        <v>322</v>
      </c>
      <c r="B247" s="302">
        <v>0</v>
      </c>
      <c r="C247" s="302">
        <f>'Project Budget'!S175</f>
        <v>3000</v>
      </c>
      <c r="D247" s="318">
        <f>B247-C247</f>
        <v>-3000</v>
      </c>
    </row>
    <row r="248" spans="1:4" s="240" customFormat="1" x14ac:dyDescent="0.35">
      <c r="A248" s="1" t="s">
        <v>324</v>
      </c>
      <c r="B248" s="302">
        <v>0</v>
      </c>
      <c r="C248" s="302">
        <f>'Project Budget'!S176</f>
        <v>14000</v>
      </c>
      <c r="D248" s="318">
        <f>B248-C248</f>
        <v>-14000</v>
      </c>
    </row>
    <row r="249" spans="1:4" s="240" customFormat="1" ht="20.399999999999999" x14ac:dyDescent="0.35">
      <c r="A249" s="1" t="s">
        <v>326</v>
      </c>
      <c r="B249" s="302">
        <v>0</v>
      </c>
      <c r="C249" s="302">
        <f>'Project Budget'!S177</f>
        <v>12000</v>
      </c>
      <c r="D249" s="318">
        <f>B249-C249</f>
        <v>-12000</v>
      </c>
    </row>
    <row r="250" spans="1:4" s="240" customFormat="1" ht="30.6" x14ac:dyDescent="0.35">
      <c r="A250" s="150" t="s">
        <v>327</v>
      </c>
      <c r="B250" s="61"/>
      <c r="C250" s="61"/>
      <c r="D250" s="331"/>
    </row>
    <row r="251" spans="1:4" s="240" customFormat="1" x14ac:dyDescent="0.35">
      <c r="A251" s="1" t="s">
        <v>329</v>
      </c>
      <c r="B251" s="302">
        <v>0</v>
      </c>
      <c r="C251" s="302">
        <f>'Project Budget'!S179</f>
        <v>3600</v>
      </c>
      <c r="D251" s="318">
        <f t="shared" ref="D251:D256" si="5">B251-C251</f>
        <v>-3600</v>
      </c>
    </row>
    <row r="252" spans="1:4" s="240" customFormat="1" ht="20.399999999999999" x14ac:dyDescent="0.35">
      <c r="A252" s="1" t="s">
        <v>331</v>
      </c>
      <c r="B252" s="302">
        <v>0</v>
      </c>
      <c r="C252" s="302">
        <f>'Project Budget'!S180</f>
        <v>14500</v>
      </c>
      <c r="D252" s="318">
        <f t="shared" si="5"/>
        <v>-14500</v>
      </c>
    </row>
    <row r="253" spans="1:4" s="240" customFormat="1" x14ac:dyDescent="0.35">
      <c r="A253" s="1" t="s">
        <v>333</v>
      </c>
      <c r="B253" s="302">
        <v>0</v>
      </c>
      <c r="C253" s="302">
        <f>'Project Budget'!S181</f>
        <v>4350</v>
      </c>
      <c r="D253" s="318">
        <f t="shared" si="5"/>
        <v>-4350</v>
      </c>
    </row>
    <row r="254" spans="1:4" s="240" customFormat="1" x14ac:dyDescent="0.35">
      <c r="A254" s="1" t="s">
        <v>335</v>
      </c>
      <c r="B254" s="302">
        <v>0</v>
      </c>
      <c r="C254" s="302">
        <f>'Project Budget'!S182</f>
        <v>3960</v>
      </c>
      <c r="D254" s="318">
        <f t="shared" si="5"/>
        <v>-3960</v>
      </c>
    </row>
    <row r="255" spans="1:4" s="240" customFormat="1" x14ac:dyDescent="0.35">
      <c r="A255" s="1" t="s">
        <v>337</v>
      </c>
      <c r="B255" s="302">
        <v>0</v>
      </c>
      <c r="C255" s="302">
        <f>'Project Budget'!S183</f>
        <v>2160</v>
      </c>
      <c r="D255" s="318">
        <f t="shared" si="5"/>
        <v>-2160</v>
      </c>
    </row>
    <row r="256" spans="1:4" ht="10.5" x14ac:dyDescent="0.4">
      <c r="A256" s="212" t="s">
        <v>338</v>
      </c>
      <c r="B256" s="321">
        <f>SUM(B177:B255)</f>
        <v>342320</v>
      </c>
      <c r="C256" s="321">
        <f>SUM(C177:C255)</f>
        <v>164740</v>
      </c>
      <c r="D256" s="321">
        <f t="shared" si="5"/>
        <v>177580</v>
      </c>
    </row>
    <row r="257" spans="1:4" ht="10.5" x14ac:dyDescent="0.35">
      <c r="A257" s="305" t="s">
        <v>339</v>
      </c>
      <c r="B257" s="306"/>
      <c r="C257" s="306"/>
      <c r="D257" s="332"/>
    </row>
    <row r="258" spans="1:4" ht="10.5" x14ac:dyDescent="0.4">
      <c r="A258" s="307" t="s">
        <v>196</v>
      </c>
      <c r="B258" s="298"/>
      <c r="C258" s="298"/>
      <c r="D258" s="325"/>
    </row>
    <row r="259" spans="1:4" ht="10.5" x14ac:dyDescent="0.4">
      <c r="A259" s="296" t="s">
        <v>340</v>
      </c>
      <c r="B259" s="295"/>
      <c r="C259" s="295"/>
      <c r="D259" s="319"/>
    </row>
    <row r="260" spans="1:4" x14ac:dyDescent="0.35">
      <c r="A260" s="207" t="s">
        <v>342</v>
      </c>
      <c r="B260" s="202">
        <v>77000</v>
      </c>
      <c r="C260" s="202">
        <f>'Project Budget'!S188</f>
        <v>73500</v>
      </c>
      <c r="D260" s="318">
        <f>B260-C260</f>
        <v>3500</v>
      </c>
    </row>
    <row r="261" spans="1:4" x14ac:dyDescent="0.35">
      <c r="A261" s="263" t="s">
        <v>344</v>
      </c>
      <c r="B261" s="225"/>
      <c r="C261" s="225"/>
      <c r="D261" s="317"/>
    </row>
    <row r="262" spans="1:4" x14ac:dyDescent="0.35">
      <c r="A262" s="203" t="s">
        <v>346</v>
      </c>
      <c r="B262" s="202">
        <v>7972</v>
      </c>
      <c r="C262" s="202">
        <f>'Project Budget'!S190</f>
        <v>7486</v>
      </c>
      <c r="D262" s="318">
        <f>B262-C262</f>
        <v>486</v>
      </c>
    </row>
    <row r="263" spans="1:4" x14ac:dyDescent="0.35">
      <c r="A263" s="308" t="s">
        <v>348</v>
      </c>
      <c r="B263" s="308"/>
      <c r="C263" s="308"/>
      <c r="D263" s="333"/>
    </row>
    <row r="264" spans="1:4" x14ac:dyDescent="0.35">
      <c r="A264" s="203" t="s">
        <v>350</v>
      </c>
      <c r="B264" s="205">
        <v>28000</v>
      </c>
      <c r="C264" s="202">
        <f>'Project Budget'!S192</f>
        <v>28000</v>
      </c>
      <c r="D264" s="318">
        <f>B264-C264</f>
        <v>0</v>
      </c>
    </row>
    <row r="265" spans="1:4" x14ac:dyDescent="0.35">
      <c r="A265" s="203" t="s">
        <v>352</v>
      </c>
      <c r="B265" s="205">
        <v>15000</v>
      </c>
      <c r="C265" s="202">
        <f>'Project Budget'!S193</f>
        <v>15000</v>
      </c>
      <c r="D265" s="318">
        <f>B265-C265</f>
        <v>0</v>
      </c>
    </row>
    <row r="266" spans="1:4" x14ac:dyDescent="0.35">
      <c r="A266" s="203" t="s">
        <v>354</v>
      </c>
      <c r="B266" s="205">
        <v>1000</v>
      </c>
      <c r="C266" s="202">
        <f>'Project Budget'!S194</f>
        <v>1000</v>
      </c>
      <c r="D266" s="318">
        <f>B266-C266</f>
        <v>0</v>
      </c>
    </row>
    <row r="267" spans="1:4" x14ac:dyDescent="0.35">
      <c r="A267" s="203" t="s">
        <v>356</v>
      </c>
      <c r="B267" s="205">
        <v>3500</v>
      </c>
      <c r="C267" s="202">
        <f>'Project Budget'!S195</f>
        <v>3500</v>
      </c>
      <c r="D267" s="318">
        <f>B267-C267</f>
        <v>0</v>
      </c>
    </row>
    <row r="268" spans="1:4" x14ac:dyDescent="0.35">
      <c r="A268" s="203" t="s">
        <v>358</v>
      </c>
      <c r="B268" s="205">
        <v>12000</v>
      </c>
      <c r="C268" s="202">
        <f>'Project Budget'!S196</f>
        <v>12000</v>
      </c>
      <c r="D268" s="318">
        <f>B268-C268</f>
        <v>0</v>
      </c>
    </row>
    <row r="269" spans="1:4" x14ac:dyDescent="0.35">
      <c r="A269" s="263" t="s">
        <v>359</v>
      </c>
      <c r="B269" s="225"/>
      <c r="C269" s="225"/>
      <c r="D269" s="317"/>
    </row>
    <row r="270" spans="1:4" x14ac:dyDescent="0.35">
      <c r="A270" s="207" t="s">
        <v>361</v>
      </c>
      <c r="B270" s="205">
        <v>9000</v>
      </c>
      <c r="C270" s="202">
        <f>'Project Budget'!S198</f>
        <v>14000</v>
      </c>
      <c r="D270" s="318">
        <f>B270-C270</f>
        <v>-5000</v>
      </c>
    </row>
    <row r="271" spans="1:4" x14ac:dyDescent="0.35">
      <c r="A271" s="207" t="s">
        <v>363</v>
      </c>
      <c r="B271" s="205">
        <v>19800</v>
      </c>
      <c r="C271" s="202">
        <f>'Project Budget'!S199</f>
        <v>7040</v>
      </c>
      <c r="D271" s="318">
        <f>B271-C271</f>
        <v>12760</v>
      </c>
    </row>
    <row r="272" spans="1:4" x14ac:dyDescent="0.35">
      <c r="A272" s="207" t="s">
        <v>365</v>
      </c>
      <c r="B272" s="205">
        <v>18000</v>
      </c>
      <c r="C272" s="202">
        <f>'Project Budget'!S200</f>
        <v>3840</v>
      </c>
      <c r="D272" s="318">
        <f>B272-C272</f>
        <v>14160</v>
      </c>
    </row>
    <row r="273" spans="1:4" x14ac:dyDescent="0.35">
      <c r="A273" s="296" t="s">
        <v>366</v>
      </c>
      <c r="B273" s="225"/>
      <c r="C273" s="225"/>
      <c r="D273" s="317"/>
    </row>
    <row r="274" spans="1:4" x14ac:dyDescent="0.35">
      <c r="A274" s="207" t="s">
        <v>368</v>
      </c>
      <c r="B274" s="205">
        <v>40000</v>
      </c>
      <c r="C274" s="202">
        <f>'Project Budget'!S202</f>
        <v>40000</v>
      </c>
      <c r="D274" s="318">
        <f>B274-C274</f>
        <v>0</v>
      </c>
    </row>
    <row r="275" spans="1:4" x14ac:dyDescent="0.35">
      <c r="A275" s="207" t="s">
        <v>371</v>
      </c>
      <c r="B275" s="205">
        <v>40000</v>
      </c>
      <c r="C275" s="202">
        <f>'Project Budget'!S203</f>
        <v>40000</v>
      </c>
      <c r="D275" s="318">
        <f>B275-C275</f>
        <v>0</v>
      </c>
    </row>
    <row r="276" spans="1:4" x14ac:dyDescent="0.35">
      <c r="A276" s="309" t="s">
        <v>372</v>
      </c>
      <c r="B276" s="299"/>
      <c r="C276" s="299"/>
      <c r="D276" s="326"/>
    </row>
    <row r="277" spans="1:4" ht="20.399999999999999" x14ac:dyDescent="0.35">
      <c r="A277" s="207" t="s">
        <v>374</v>
      </c>
      <c r="B277" s="205">
        <v>2250</v>
      </c>
      <c r="C277" s="202">
        <f>'Project Budget'!S205</f>
        <v>2250</v>
      </c>
      <c r="D277" s="318">
        <f>B277-C277</f>
        <v>0</v>
      </c>
    </row>
    <row r="278" spans="1:4" x14ac:dyDescent="0.35">
      <c r="A278" s="207" t="s">
        <v>376</v>
      </c>
      <c r="B278" s="205">
        <v>3000</v>
      </c>
      <c r="C278" s="202">
        <f>'Project Budget'!S206</f>
        <v>3000</v>
      </c>
      <c r="D278" s="318">
        <f>B278-C278</f>
        <v>0</v>
      </c>
    </row>
    <row r="279" spans="1:4" x14ac:dyDescent="0.35">
      <c r="A279" s="296" t="s">
        <v>377</v>
      </c>
      <c r="B279" s="225"/>
      <c r="C279" s="225"/>
      <c r="D279" s="317"/>
    </row>
    <row r="280" spans="1:4" x14ac:dyDescent="0.35">
      <c r="A280" s="207" t="s">
        <v>379</v>
      </c>
      <c r="B280" s="205">
        <v>30250</v>
      </c>
      <c r="C280" s="202">
        <f>'Project Budget'!S208</f>
        <v>14080</v>
      </c>
      <c r="D280" s="318">
        <f>B280-C280</f>
        <v>16170</v>
      </c>
    </row>
    <row r="281" spans="1:4" x14ac:dyDescent="0.35">
      <c r="A281" s="207" t="s">
        <v>381</v>
      </c>
      <c r="B281" s="205">
        <v>27500</v>
      </c>
      <c r="C281" s="202">
        <f>'Project Budget'!S209</f>
        <v>7680</v>
      </c>
      <c r="D281" s="318">
        <f>B281-C281</f>
        <v>19820</v>
      </c>
    </row>
    <row r="282" spans="1:4" x14ac:dyDescent="0.35">
      <c r="A282" s="207" t="s">
        <v>383</v>
      </c>
      <c r="B282" s="205">
        <v>68750</v>
      </c>
      <c r="C282" s="202">
        <f>'Project Budget'!S210</f>
        <v>46000</v>
      </c>
      <c r="D282" s="318">
        <f>B282-C282</f>
        <v>22750</v>
      </c>
    </row>
    <row r="283" spans="1:4" x14ac:dyDescent="0.35">
      <c r="A283" s="61" t="s">
        <v>384</v>
      </c>
      <c r="B283" s="61"/>
      <c r="C283" s="61"/>
      <c r="D283" s="331"/>
    </row>
    <row r="284" spans="1:4" x14ac:dyDescent="0.35">
      <c r="A284" s="1" t="s">
        <v>386</v>
      </c>
      <c r="B284" s="205">
        <v>0</v>
      </c>
      <c r="C284" s="202">
        <f>'Project Budget'!S212</f>
        <v>31500</v>
      </c>
    </row>
    <row r="285" spans="1:4" x14ac:dyDescent="0.35">
      <c r="A285" s="1" t="s">
        <v>388</v>
      </c>
      <c r="B285" s="205">
        <v>0</v>
      </c>
      <c r="C285" s="202">
        <f>'Project Budget'!S213</f>
        <v>22500</v>
      </c>
    </row>
    <row r="286" spans="1:4" x14ac:dyDescent="0.35">
      <c r="A286" s="1" t="s">
        <v>392</v>
      </c>
      <c r="B286" s="205">
        <v>0</v>
      </c>
      <c r="C286" s="202">
        <f>'Project Budget'!S214</f>
        <v>15750</v>
      </c>
    </row>
    <row r="287" spans="1:4" x14ac:dyDescent="0.35">
      <c r="A287" s="1" t="s">
        <v>394</v>
      </c>
      <c r="B287" s="205">
        <v>0</v>
      </c>
      <c r="C287" s="202">
        <f>'Project Budget'!S215</f>
        <v>3000</v>
      </c>
    </row>
    <row r="288" spans="1:4" x14ac:dyDescent="0.35">
      <c r="B288" s="205"/>
      <c r="C288" s="205"/>
    </row>
    <row r="289" spans="1:4" ht="10.5" x14ac:dyDescent="0.4">
      <c r="A289" s="212" t="s">
        <v>395</v>
      </c>
      <c r="B289" s="321">
        <f>SUM(B260:B288)</f>
        <v>403022</v>
      </c>
      <c r="C289" s="321">
        <f>SUM(C260:C288)</f>
        <v>391126</v>
      </c>
      <c r="D289" s="321">
        <f>B289-C289</f>
        <v>11896</v>
      </c>
    </row>
    <row r="290" spans="1:4" ht="10.5" x14ac:dyDescent="0.4">
      <c r="A290" s="247"/>
      <c r="B290" s="318"/>
      <c r="C290" s="318"/>
    </row>
    <row r="291" spans="1:4" ht="10.5" x14ac:dyDescent="0.4">
      <c r="A291" s="310" t="s">
        <v>396</v>
      </c>
      <c r="B291" s="334">
        <v>7770611</v>
      </c>
      <c r="C291" s="334">
        <f>C289+C256+C173+C102+C87+C64+C60+C38</f>
        <v>7770612</v>
      </c>
      <c r="D291" s="334">
        <v>0</v>
      </c>
    </row>
    <row r="292" spans="1:4" x14ac:dyDescent="0.35">
      <c r="A292" s="246"/>
      <c r="B292" s="318"/>
      <c r="C292" s="318"/>
    </row>
    <row r="293" spans="1:4" x14ac:dyDescent="0.35">
      <c r="A293" s="246" t="s">
        <v>398</v>
      </c>
      <c r="B293" s="318">
        <v>2229388</v>
      </c>
      <c r="C293" s="318">
        <f>'Project Budget'!S221</f>
        <v>2229388</v>
      </c>
      <c r="D293" s="318">
        <f>B293-C293</f>
        <v>0</v>
      </c>
    </row>
    <row r="294" spans="1:4" x14ac:dyDescent="0.35">
      <c r="A294" s="240"/>
      <c r="B294" s="318"/>
      <c r="C294" s="318"/>
    </row>
    <row r="295" spans="1:4" ht="10.5" x14ac:dyDescent="0.4">
      <c r="A295" s="251" t="s">
        <v>400</v>
      </c>
      <c r="B295" s="335">
        <v>10000000</v>
      </c>
      <c r="C295" s="335">
        <f>C293+C291</f>
        <v>10000000</v>
      </c>
      <c r="D295" s="335">
        <f>B295-C295</f>
        <v>0</v>
      </c>
    </row>
    <row r="299" spans="1:4" x14ac:dyDescent="0.35">
      <c r="A299" s="254"/>
    </row>
    <row r="300" spans="1:4" x14ac:dyDescent="0.35">
      <c r="A300" s="254"/>
    </row>
  </sheetData>
  <mergeCells count="5">
    <mergeCell ref="A4:D4"/>
    <mergeCell ref="A1:B1"/>
    <mergeCell ref="A2:B2"/>
    <mergeCell ref="A3:B3"/>
    <mergeCell ref="A103:D103"/>
  </mergeCells>
  <pageMargins left="0.7" right="0.7" top="0.75" bottom="0.75" header="0.3" footer="0.3"/>
  <pageSetup paperSize="17" scale="94" fitToHeight="0" orientation="landscape" r:id="rId1"/>
  <headerFooter alignWithMargins="0"/>
  <rowBreaks count="2" manualBreakCount="2">
    <brk id="102" max="11" man="1"/>
    <brk id="256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EEE8-12D0-43D1-B86A-350EC71A99FB}">
  <sheetPr>
    <pageSetUpPr fitToPage="1"/>
  </sheetPr>
  <dimension ref="A1:AF139"/>
  <sheetViews>
    <sheetView topLeftCell="A79" zoomScale="85" zoomScaleNormal="85" zoomScaleSheetLayoutView="90" workbookViewId="0">
      <pane xSplit="6" topLeftCell="G1" activePane="topRight" state="frozen"/>
      <selection pane="topRight" activeCell="E94" sqref="E94"/>
    </sheetView>
  </sheetViews>
  <sheetFormatPr defaultColWidth="11.44140625" defaultRowHeight="12" customHeight="1" x14ac:dyDescent="0.35"/>
  <cols>
    <col min="1" max="4" width="9.71875" style="207" customWidth="1"/>
    <col min="5" max="5" width="16.71875" style="207" customWidth="1"/>
    <col min="6" max="6" width="69.1640625" style="207" customWidth="1"/>
    <col min="7" max="7" width="10.83203125" style="207" bestFit="1" customWidth="1"/>
    <col min="8" max="8" width="7.44140625" style="207" bestFit="1" customWidth="1"/>
    <col min="9" max="9" width="8.1640625" style="207" customWidth="1"/>
    <col min="10" max="10" width="8.71875" style="229" bestFit="1" customWidth="1"/>
    <col min="11" max="11" width="9.83203125" style="228" customWidth="1"/>
    <col min="12" max="12" width="8.71875" style="228" customWidth="1"/>
    <col min="13" max="13" width="8.44140625" style="228" bestFit="1" customWidth="1"/>
    <col min="14" max="14" width="8.83203125" style="228" customWidth="1"/>
    <col min="15" max="15" width="8.44140625" style="228" bestFit="1" customWidth="1"/>
    <col min="16" max="16" width="9.44140625" style="228" customWidth="1"/>
    <col min="17" max="17" width="8.44140625" style="228" bestFit="1" customWidth="1"/>
    <col min="18" max="18" width="8.83203125" style="228" customWidth="1"/>
    <col min="19" max="19" width="7.71875" style="228" bestFit="1" customWidth="1"/>
    <col min="20" max="20" width="11.5546875" style="228" bestFit="1" customWidth="1"/>
    <col min="21" max="21" width="9.83203125" style="228" bestFit="1" customWidth="1"/>
    <col min="22" max="22" width="11.1640625" style="228" bestFit="1" customWidth="1"/>
    <col min="23" max="23" width="12" style="192" customWidth="1"/>
    <col min="24" max="16384" width="11.44140625" style="192"/>
  </cols>
  <sheetData>
    <row r="1" spans="1:23" ht="12" customHeight="1" x14ac:dyDescent="0.4">
      <c r="A1" s="192"/>
      <c r="B1" s="192"/>
      <c r="C1" s="192"/>
      <c r="D1" s="192"/>
      <c r="E1" s="192"/>
      <c r="F1" s="351" t="s">
        <v>473</v>
      </c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191"/>
    </row>
    <row r="2" spans="1:23" ht="12" customHeight="1" x14ac:dyDescent="0.35">
      <c r="A2" s="192"/>
      <c r="B2" s="192"/>
      <c r="C2" s="192"/>
      <c r="D2" s="192"/>
      <c r="E2" s="192"/>
      <c r="F2" s="352" t="s">
        <v>474</v>
      </c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</row>
    <row r="3" spans="1:23" ht="12" customHeight="1" x14ac:dyDescent="0.35">
      <c r="A3" s="192"/>
      <c r="B3" s="192"/>
      <c r="C3" s="192"/>
      <c r="D3" s="192"/>
      <c r="E3" s="192"/>
      <c r="F3" s="353" t="s">
        <v>475</v>
      </c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</row>
    <row r="4" spans="1:23" s="114" customFormat="1" ht="12" customHeight="1" x14ac:dyDescent="0.45">
      <c r="A4" s="169" t="s">
        <v>7</v>
      </c>
      <c r="B4" s="169" t="s">
        <v>8</v>
      </c>
      <c r="C4" s="2"/>
      <c r="D4" s="2"/>
      <c r="E4" s="2"/>
      <c r="F4" s="355" t="s">
        <v>9</v>
      </c>
      <c r="G4" s="35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</row>
    <row r="5" spans="1:23" s="114" customFormat="1" ht="12" customHeight="1" x14ac:dyDescent="0.45">
      <c r="A5" s="169" t="s">
        <v>10</v>
      </c>
      <c r="B5" s="169">
        <v>20200</v>
      </c>
      <c r="C5" s="2"/>
      <c r="D5" s="2"/>
      <c r="E5" s="2"/>
      <c r="F5" s="116" t="s">
        <v>14</v>
      </c>
      <c r="G5" s="126">
        <v>1.04</v>
      </c>
      <c r="H5" s="115"/>
      <c r="I5" s="119"/>
      <c r="J5" s="119"/>
      <c r="K5" s="120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</row>
    <row r="6" spans="1:23" s="114" customFormat="1" ht="12" customHeight="1" x14ac:dyDescent="0.45">
      <c r="A6" s="169" t="s">
        <v>12</v>
      </c>
      <c r="B6" s="169" t="s">
        <v>13</v>
      </c>
      <c r="C6" s="2"/>
      <c r="D6" s="2"/>
      <c r="E6" s="2"/>
      <c r="F6" s="116" t="s">
        <v>476</v>
      </c>
      <c r="G6" s="124">
        <v>1.0349999999999999</v>
      </c>
      <c r="H6" s="115"/>
      <c r="I6" s="119"/>
      <c r="J6" s="119"/>
      <c r="K6" s="120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</row>
    <row r="7" spans="1:23" ht="31.9" customHeight="1" thickBot="1" x14ac:dyDescent="0.45">
      <c r="A7" s="186" t="s">
        <v>16</v>
      </c>
      <c r="B7" s="186" t="s">
        <v>17</v>
      </c>
      <c r="C7" s="186" t="s">
        <v>18</v>
      </c>
      <c r="D7" s="186" t="s">
        <v>19</v>
      </c>
      <c r="E7" s="186" t="s">
        <v>477</v>
      </c>
      <c r="F7" s="193" t="s">
        <v>20</v>
      </c>
      <c r="G7" s="193" t="s">
        <v>21</v>
      </c>
      <c r="H7" s="193" t="s">
        <v>22</v>
      </c>
      <c r="I7" s="193" t="s">
        <v>23</v>
      </c>
      <c r="J7" s="194" t="s">
        <v>478</v>
      </c>
      <c r="K7" s="194" t="s">
        <v>25</v>
      </c>
      <c r="L7" s="193" t="s">
        <v>23</v>
      </c>
      <c r="M7" s="194" t="s">
        <v>26</v>
      </c>
      <c r="N7" s="193" t="s">
        <v>23</v>
      </c>
      <c r="O7" s="194" t="s">
        <v>27</v>
      </c>
      <c r="P7" s="193" t="s">
        <v>23</v>
      </c>
      <c r="Q7" s="194" t="s">
        <v>28</v>
      </c>
      <c r="R7" s="193" t="s">
        <v>23</v>
      </c>
      <c r="S7" s="194" t="s">
        <v>29</v>
      </c>
      <c r="T7" s="194" t="s">
        <v>479</v>
      </c>
      <c r="U7" s="194" t="s">
        <v>404</v>
      </c>
      <c r="V7" s="194" t="s">
        <v>32</v>
      </c>
    </row>
    <row r="8" spans="1:23" ht="10.5" x14ac:dyDescent="0.4">
      <c r="A8" s="195"/>
      <c r="B8" s="195"/>
      <c r="C8" s="195"/>
      <c r="D8" s="195"/>
      <c r="E8" s="195"/>
      <c r="F8" s="195" t="s">
        <v>480</v>
      </c>
      <c r="G8" s="195"/>
      <c r="H8" s="196"/>
      <c r="I8" s="196"/>
      <c r="J8" s="197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</row>
    <row r="9" spans="1:23" ht="10.199999999999999" x14ac:dyDescent="0.35">
      <c r="A9" s="33" t="s">
        <v>158</v>
      </c>
      <c r="B9" s="268">
        <v>89050</v>
      </c>
      <c r="C9" s="268" t="s">
        <v>40</v>
      </c>
      <c r="D9" s="12" t="s">
        <v>159</v>
      </c>
      <c r="E9" s="12" t="s">
        <v>481</v>
      </c>
      <c r="F9" s="12" t="s">
        <v>482</v>
      </c>
      <c r="G9" s="203" t="s">
        <v>37</v>
      </c>
      <c r="H9" s="204" t="s">
        <v>38</v>
      </c>
      <c r="I9" s="205">
        <v>3</v>
      </c>
      <c r="J9" s="205">
        <f>4500*0.5</f>
        <v>2250</v>
      </c>
      <c r="K9" s="205">
        <f>I9*J9</f>
        <v>6750</v>
      </c>
      <c r="L9" s="205">
        <v>12</v>
      </c>
      <c r="M9" s="137">
        <f t="shared" ref="M9:M23" si="0">L9*J9*$G$6</f>
        <v>27945</v>
      </c>
      <c r="N9" s="205">
        <v>12</v>
      </c>
      <c r="O9" s="137">
        <f t="shared" ref="O9:O23" si="1">N9*J9*$G$6*$G$6</f>
        <v>28923</v>
      </c>
      <c r="P9" s="205">
        <v>12</v>
      </c>
      <c r="Q9" s="137">
        <f>P9*J9*$G$6*$G$6*$G$6</f>
        <v>29935</v>
      </c>
      <c r="R9" s="205">
        <v>2</v>
      </c>
      <c r="S9" s="137">
        <f>R9*J9*$G$6*$G$6*$G$6*$G$6</f>
        <v>5164</v>
      </c>
      <c r="T9" s="205">
        <f>SUM(K9+M9+O9+Q9+S9)</f>
        <v>98717</v>
      </c>
      <c r="U9" s="205">
        <v>0</v>
      </c>
      <c r="V9" s="205">
        <f>SUM(T9:U9)</f>
        <v>98717</v>
      </c>
    </row>
    <row r="10" spans="1:23" ht="10.199999999999999" x14ac:dyDescent="0.35">
      <c r="A10" s="33" t="s">
        <v>158</v>
      </c>
      <c r="B10" s="268">
        <v>89050</v>
      </c>
      <c r="C10" s="268" t="s">
        <v>40</v>
      </c>
      <c r="D10" s="12" t="s">
        <v>159</v>
      </c>
      <c r="E10" s="12" t="s">
        <v>483</v>
      </c>
      <c r="F10" s="12" t="s">
        <v>484</v>
      </c>
      <c r="G10" s="203" t="s">
        <v>37</v>
      </c>
      <c r="H10" s="204" t="s">
        <v>38</v>
      </c>
      <c r="I10" s="205">
        <v>3</v>
      </c>
      <c r="J10" s="205">
        <f>4500*0.5</f>
        <v>2250</v>
      </c>
      <c r="K10" s="205">
        <f t="shared" ref="K10:K23" si="2">I10*J10</f>
        <v>6750</v>
      </c>
      <c r="L10" s="205">
        <v>12</v>
      </c>
      <c r="M10" s="137">
        <f t="shared" si="0"/>
        <v>27945</v>
      </c>
      <c r="N10" s="205">
        <v>12</v>
      </c>
      <c r="O10" s="137">
        <f t="shared" si="1"/>
        <v>28923</v>
      </c>
      <c r="P10" s="205">
        <v>12</v>
      </c>
      <c r="Q10" s="137">
        <f t="shared" ref="Q10:Q23" si="3">P10*J10*$G$6*$G$6*$G$6</f>
        <v>29935</v>
      </c>
      <c r="R10" s="205">
        <v>2</v>
      </c>
      <c r="S10" s="137">
        <f t="shared" ref="S10:S23" si="4">R10*J10*$G$6*$G$6*$G$6*$G$6</f>
        <v>5164</v>
      </c>
      <c r="T10" s="205">
        <f t="shared" ref="T10:T23" si="5">SUM(K10+M10+O10+Q10+S10)</f>
        <v>98717</v>
      </c>
      <c r="U10" s="205">
        <v>0</v>
      </c>
      <c r="V10" s="205">
        <f t="shared" ref="V10:V23" si="6">SUM(T10:U10)</f>
        <v>98717</v>
      </c>
    </row>
    <row r="11" spans="1:23" ht="10.199999999999999" x14ac:dyDescent="0.35">
      <c r="A11" s="33" t="s">
        <v>158</v>
      </c>
      <c r="B11" s="268">
        <v>89050</v>
      </c>
      <c r="C11" s="268" t="s">
        <v>40</v>
      </c>
      <c r="D11" s="12" t="s">
        <v>159</v>
      </c>
      <c r="E11" s="12" t="s">
        <v>485</v>
      </c>
      <c r="F11" s="12" t="s">
        <v>486</v>
      </c>
      <c r="G11" s="203" t="s">
        <v>37</v>
      </c>
      <c r="H11" s="204" t="s">
        <v>38</v>
      </c>
      <c r="I11" s="205">
        <v>3</v>
      </c>
      <c r="J11" s="205">
        <f>4500*0.5</f>
        <v>2250</v>
      </c>
      <c r="K11" s="205">
        <f t="shared" si="2"/>
        <v>6750</v>
      </c>
      <c r="L11" s="205">
        <v>12</v>
      </c>
      <c r="M11" s="137">
        <f t="shared" si="0"/>
        <v>27945</v>
      </c>
      <c r="N11" s="205">
        <v>12</v>
      </c>
      <c r="O11" s="137">
        <f t="shared" si="1"/>
        <v>28923</v>
      </c>
      <c r="P11" s="205">
        <v>12</v>
      </c>
      <c r="Q11" s="137">
        <f t="shared" si="3"/>
        <v>29935</v>
      </c>
      <c r="R11" s="205">
        <v>2</v>
      </c>
      <c r="S11" s="137">
        <f t="shared" si="4"/>
        <v>5164</v>
      </c>
      <c r="T11" s="205">
        <f t="shared" si="5"/>
        <v>98717</v>
      </c>
      <c r="U11" s="205">
        <v>0</v>
      </c>
      <c r="V11" s="205">
        <f t="shared" si="6"/>
        <v>98717</v>
      </c>
    </row>
    <row r="12" spans="1:23" ht="10.199999999999999" x14ac:dyDescent="0.35">
      <c r="A12" s="33" t="s">
        <v>158</v>
      </c>
      <c r="B12" s="268">
        <v>89050</v>
      </c>
      <c r="C12" s="268" t="s">
        <v>40</v>
      </c>
      <c r="D12" s="12" t="s">
        <v>159</v>
      </c>
      <c r="E12" s="12" t="s">
        <v>487</v>
      </c>
      <c r="F12" s="12" t="s">
        <v>488</v>
      </c>
      <c r="G12" s="203" t="s">
        <v>37</v>
      </c>
      <c r="H12" s="204" t="s">
        <v>38</v>
      </c>
      <c r="I12" s="205">
        <v>3</v>
      </c>
      <c r="J12" s="205">
        <f>2500*0.5</f>
        <v>1250</v>
      </c>
      <c r="K12" s="205">
        <f t="shared" si="2"/>
        <v>3750</v>
      </c>
      <c r="L12" s="205">
        <v>12</v>
      </c>
      <c r="M12" s="137">
        <f t="shared" si="0"/>
        <v>15525</v>
      </c>
      <c r="N12" s="205">
        <v>12</v>
      </c>
      <c r="O12" s="137">
        <f t="shared" si="1"/>
        <v>16068</v>
      </c>
      <c r="P12" s="205">
        <v>12</v>
      </c>
      <c r="Q12" s="137">
        <f t="shared" si="3"/>
        <v>16631</v>
      </c>
      <c r="R12" s="205">
        <v>2</v>
      </c>
      <c r="S12" s="137">
        <f t="shared" si="4"/>
        <v>2869</v>
      </c>
      <c r="T12" s="205">
        <f t="shared" si="5"/>
        <v>54843</v>
      </c>
      <c r="U12" s="205">
        <v>0</v>
      </c>
      <c r="V12" s="205">
        <f t="shared" si="6"/>
        <v>54843</v>
      </c>
      <c r="W12" s="50"/>
    </row>
    <row r="13" spans="1:23" ht="10.199999999999999" x14ac:dyDescent="0.35">
      <c r="A13" s="33" t="s">
        <v>158</v>
      </c>
      <c r="B13" s="268">
        <v>89050</v>
      </c>
      <c r="C13" s="268" t="s">
        <v>40</v>
      </c>
      <c r="D13" s="12" t="s">
        <v>159</v>
      </c>
      <c r="E13" s="12" t="s">
        <v>489</v>
      </c>
      <c r="F13" s="12" t="s">
        <v>490</v>
      </c>
      <c r="G13" s="203" t="s">
        <v>37</v>
      </c>
      <c r="H13" s="204" t="s">
        <v>38</v>
      </c>
      <c r="I13" s="205">
        <v>2</v>
      </c>
      <c r="J13" s="205">
        <v>1752</v>
      </c>
      <c r="K13" s="205">
        <f t="shared" si="2"/>
        <v>3504</v>
      </c>
      <c r="L13" s="205">
        <v>12</v>
      </c>
      <c r="M13" s="137">
        <f t="shared" si="0"/>
        <v>21760</v>
      </c>
      <c r="N13" s="205">
        <v>12</v>
      </c>
      <c r="O13" s="137">
        <f t="shared" si="1"/>
        <v>22521</v>
      </c>
      <c r="P13" s="205">
        <v>12</v>
      </c>
      <c r="Q13" s="137">
        <f t="shared" si="3"/>
        <v>23310</v>
      </c>
      <c r="R13" s="205">
        <v>2</v>
      </c>
      <c r="S13" s="137">
        <f t="shared" si="4"/>
        <v>4021</v>
      </c>
      <c r="T13" s="205">
        <f t="shared" si="5"/>
        <v>75116</v>
      </c>
      <c r="U13" s="205">
        <v>0</v>
      </c>
      <c r="V13" s="205">
        <f t="shared" si="6"/>
        <v>75116</v>
      </c>
      <c r="W13" s="13"/>
    </row>
    <row r="14" spans="1:23" ht="10.199999999999999" x14ac:dyDescent="0.35">
      <c r="A14" s="33" t="s">
        <v>158</v>
      </c>
      <c r="B14" s="268">
        <v>89050</v>
      </c>
      <c r="C14" s="268" t="s">
        <v>40</v>
      </c>
      <c r="D14" s="12" t="s">
        <v>159</v>
      </c>
      <c r="E14" s="12" t="s">
        <v>491</v>
      </c>
      <c r="F14" s="12" t="s">
        <v>492</v>
      </c>
      <c r="G14" s="203" t="s">
        <v>37</v>
      </c>
      <c r="H14" s="204" t="s">
        <v>38</v>
      </c>
      <c r="I14" s="205">
        <v>2</v>
      </c>
      <c r="J14" s="205">
        <v>1502</v>
      </c>
      <c r="K14" s="205">
        <f t="shared" si="2"/>
        <v>3004</v>
      </c>
      <c r="L14" s="205">
        <v>12</v>
      </c>
      <c r="M14" s="137">
        <f t="shared" si="0"/>
        <v>18655</v>
      </c>
      <c r="N14" s="205">
        <v>12</v>
      </c>
      <c r="O14" s="137">
        <f t="shared" si="1"/>
        <v>19308</v>
      </c>
      <c r="P14" s="205">
        <v>12</v>
      </c>
      <c r="Q14" s="137">
        <f t="shared" si="3"/>
        <v>19984</v>
      </c>
      <c r="R14" s="205">
        <v>2</v>
      </c>
      <c r="S14" s="137">
        <f t="shared" si="4"/>
        <v>3447</v>
      </c>
      <c r="T14" s="205">
        <f t="shared" si="5"/>
        <v>64398</v>
      </c>
      <c r="U14" s="205">
        <v>0</v>
      </c>
      <c r="V14" s="205">
        <f t="shared" si="6"/>
        <v>64398</v>
      </c>
    </row>
    <row r="15" spans="1:23" ht="10.199999999999999" x14ac:dyDescent="0.35">
      <c r="A15" s="33" t="s">
        <v>158</v>
      </c>
      <c r="B15" s="268">
        <v>89050</v>
      </c>
      <c r="C15" s="268" t="s">
        <v>40</v>
      </c>
      <c r="D15" s="12" t="s">
        <v>159</v>
      </c>
      <c r="E15" s="12" t="s">
        <v>493</v>
      </c>
      <c r="F15" s="12" t="s">
        <v>494</v>
      </c>
      <c r="G15" s="203" t="s">
        <v>37</v>
      </c>
      <c r="H15" s="204" t="s">
        <v>38</v>
      </c>
      <c r="I15" s="205">
        <v>2</v>
      </c>
      <c r="J15" s="205">
        <f>1001*0.5</f>
        <v>501</v>
      </c>
      <c r="K15" s="205">
        <f t="shared" si="2"/>
        <v>1002</v>
      </c>
      <c r="L15" s="205">
        <v>12</v>
      </c>
      <c r="M15" s="137">
        <f t="shared" si="0"/>
        <v>6222</v>
      </c>
      <c r="N15" s="205">
        <v>12</v>
      </c>
      <c r="O15" s="137">
        <f t="shared" si="1"/>
        <v>6440</v>
      </c>
      <c r="P15" s="205">
        <v>12</v>
      </c>
      <c r="Q15" s="137">
        <f t="shared" si="3"/>
        <v>6666</v>
      </c>
      <c r="R15" s="205">
        <v>2</v>
      </c>
      <c r="S15" s="137">
        <f t="shared" si="4"/>
        <v>1150</v>
      </c>
      <c r="T15" s="205">
        <f t="shared" si="5"/>
        <v>21480</v>
      </c>
      <c r="U15" s="205">
        <v>0</v>
      </c>
      <c r="V15" s="205">
        <f t="shared" si="6"/>
        <v>21480</v>
      </c>
    </row>
    <row r="16" spans="1:23" ht="10.199999999999999" x14ac:dyDescent="0.35">
      <c r="A16" s="33" t="s">
        <v>158</v>
      </c>
      <c r="B16" s="268">
        <v>89050</v>
      </c>
      <c r="C16" s="268" t="s">
        <v>40</v>
      </c>
      <c r="D16" s="12" t="s">
        <v>159</v>
      </c>
      <c r="E16" s="12" t="s">
        <v>495</v>
      </c>
      <c r="F16" s="12" t="s">
        <v>496</v>
      </c>
      <c r="G16" s="203" t="s">
        <v>37</v>
      </c>
      <c r="H16" s="204" t="s">
        <v>38</v>
      </c>
      <c r="I16" s="205">
        <v>2</v>
      </c>
      <c r="J16" s="205">
        <v>1001</v>
      </c>
      <c r="K16" s="205">
        <f t="shared" si="2"/>
        <v>2002</v>
      </c>
      <c r="L16" s="205">
        <v>12</v>
      </c>
      <c r="M16" s="137">
        <f t="shared" si="0"/>
        <v>12432</v>
      </c>
      <c r="N16" s="205">
        <v>12</v>
      </c>
      <c r="O16" s="137">
        <f t="shared" si="1"/>
        <v>12868</v>
      </c>
      <c r="P16" s="205">
        <v>12</v>
      </c>
      <c r="Q16" s="137">
        <f t="shared" si="3"/>
        <v>13318</v>
      </c>
      <c r="R16" s="205">
        <v>2</v>
      </c>
      <c r="S16" s="137">
        <f t="shared" si="4"/>
        <v>2297</v>
      </c>
      <c r="T16" s="205">
        <f t="shared" si="5"/>
        <v>42917</v>
      </c>
      <c r="U16" s="205">
        <v>0</v>
      </c>
      <c r="V16" s="205">
        <f t="shared" si="6"/>
        <v>42917</v>
      </c>
    </row>
    <row r="17" spans="1:23" ht="10.199999999999999" x14ac:dyDescent="0.35">
      <c r="A17" s="33" t="s">
        <v>158</v>
      </c>
      <c r="B17" s="268">
        <v>89050</v>
      </c>
      <c r="C17" s="268" t="s">
        <v>40</v>
      </c>
      <c r="D17" s="12" t="s">
        <v>159</v>
      </c>
      <c r="E17" s="12" t="s">
        <v>497</v>
      </c>
      <c r="F17" s="12" t="s">
        <v>498</v>
      </c>
      <c r="G17" s="203" t="s">
        <v>37</v>
      </c>
      <c r="H17" s="204" t="s">
        <v>38</v>
      </c>
      <c r="I17" s="205">
        <v>2</v>
      </c>
      <c r="J17" s="205">
        <v>1001</v>
      </c>
      <c r="K17" s="205">
        <f t="shared" si="2"/>
        <v>2002</v>
      </c>
      <c r="L17" s="205">
        <v>12</v>
      </c>
      <c r="M17" s="137">
        <f t="shared" si="0"/>
        <v>12432</v>
      </c>
      <c r="N17" s="205">
        <v>12</v>
      </c>
      <c r="O17" s="137">
        <f t="shared" si="1"/>
        <v>12868</v>
      </c>
      <c r="P17" s="205">
        <v>12</v>
      </c>
      <c r="Q17" s="137">
        <f t="shared" si="3"/>
        <v>13318</v>
      </c>
      <c r="R17" s="205">
        <v>2</v>
      </c>
      <c r="S17" s="137">
        <f t="shared" si="4"/>
        <v>2297</v>
      </c>
      <c r="T17" s="205">
        <f t="shared" si="5"/>
        <v>42917</v>
      </c>
      <c r="U17" s="205">
        <v>0</v>
      </c>
      <c r="V17" s="205">
        <f t="shared" si="6"/>
        <v>42917</v>
      </c>
    </row>
    <row r="18" spans="1:23" ht="10.199999999999999" x14ac:dyDescent="0.35">
      <c r="A18" s="33" t="s">
        <v>158</v>
      </c>
      <c r="B18" s="268">
        <v>89050</v>
      </c>
      <c r="C18" s="268" t="s">
        <v>40</v>
      </c>
      <c r="D18" s="12" t="s">
        <v>159</v>
      </c>
      <c r="E18" s="12" t="s">
        <v>499</v>
      </c>
      <c r="F18" s="12" t="s">
        <v>422</v>
      </c>
      <c r="G18" s="203" t="s">
        <v>37</v>
      </c>
      <c r="H18" s="204" t="s">
        <v>38</v>
      </c>
      <c r="I18" s="205">
        <v>3</v>
      </c>
      <c r="J18" s="205">
        <v>1001</v>
      </c>
      <c r="K18" s="205">
        <f t="shared" si="2"/>
        <v>3003</v>
      </c>
      <c r="L18" s="205">
        <v>12</v>
      </c>
      <c r="M18" s="137">
        <f t="shared" si="0"/>
        <v>12432</v>
      </c>
      <c r="N18" s="205">
        <v>12</v>
      </c>
      <c r="O18" s="137">
        <f t="shared" si="1"/>
        <v>12868</v>
      </c>
      <c r="P18" s="205">
        <v>12</v>
      </c>
      <c r="Q18" s="137">
        <f t="shared" si="3"/>
        <v>13318</v>
      </c>
      <c r="R18" s="205">
        <v>2</v>
      </c>
      <c r="S18" s="137">
        <f t="shared" si="4"/>
        <v>2297</v>
      </c>
      <c r="T18" s="205">
        <f t="shared" si="5"/>
        <v>43918</v>
      </c>
      <c r="U18" s="205">
        <v>0</v>
      </c>
      <c r="V18" s="205">
        <f t="shared" si="6"/>
        <v>43918</v>
      </c>
    </row>
    <row r="19" spans="1:23" ht="10.199999999999999" x14ac:dyDescent="0.35">
      <c r="A19" s="33" t="s">
        <v>158</v>
      </c>
      <c r="B19" s="268">
        <v>89050</v>
      </c>
      <c r="C19" s="268" t="s">
        <v>40</v>
      </c>
      <c r="D19" s="12" t="s">
        <v>159</v>
      </c>
      <c r="E19" s="12" t="s">
        <v>500</v>
      </c>
      <c r="F19" s="12" t="s">
        <v>501</v>
      </c>
      <c r="G19" s="203" t="s">
        <v>37</v>
      </c>
      <c r="H19" s="204" t="s">
        <v>38</v>
      </c>
      <c r="I19" s="205">
        <v>2</v>
      </c>
      <c r="J19" s="205">
        <f>1001*0.5</f>
        <v>501</v>
      </c>
      <c r="K19" s="205">
        <f t="shared" si="2"/>
        <v>1002</v>
      </c>
      <c r="L19" s="205">
        <v>12</v>
      </c>
      <c r="M19" s="137">
        <f t="shared" si="0"/>
        <v>6222</v>
      </c>
      <c r="N19" s="205">
        <v>12</v>
      </c>
      <c r="O19" s="137">
        <f t="shared" si="1"/>
        <v>6440</v>
      </c>
      <c r="P19" s="205">
        <v>12</v>
      </c>
      <c r="Q19" s="137">
        <f t="shared" si="3"/>
        <v>6666</v>
      </c>
      <c r="R19" s="205">
        <v>2</v>
      </c>
      <c r="S19" s="137">
        <f t="shared" si="4"/>
        <v>1150</v>
      </c>
      <c r="T19" s="205">
        <f t="shared" si="5"/>
        <v>21480</v>
      </c>
      <c r="U19" s="205">
        <v>0</v>
      </c>
      <c r="V19" s="205">
        <f t="shared" si="6"/>
        <v>21480</v>
      </c>
    </row>
    <row r="20" spans="1:23" ht="10.199999999999999" x14ac:dyDescent="0.35">
      <c r="A20" s="33" t="s">
        <v>158</v>
      </c>
      <c r="B20" s="268">
        <v>89050</v>
      </c>
      <c r="C20" s="268" t="s">
        <v>40</v>
      </c>
      <c r="D20" s="12" t="s">
        <v>159</v>
      </c>
      <c r="E20" s="12" t="s">
        <v>502</v>
      </c>
      <c r="F20" s="12" t="s">
        <v>503</v>
      </c>
      <c r="G20" s="203" t="s">
        <v>37</v>
      </c>
      <c r="H20" s="204" t="s">
        <v>38</v>
      </c>
      <c r="I20" s="205">
        <v>2</v>
      </c>
      <c r="J20" s="205">
        <f>1001*0.5</f>
        <v>501</v>
      </c>
      <c r="K20" s="205">
        <f t="shared" si="2"/>
        <v>1002</v>
      </c>
      <c r="L20" s="205">
        <v>12</v>
      </c>
      <c r="M20" s="137">
        <f t="shared" si="0"/>
        <v>6222</v>
      </c>
      <c r="N20" s="205">
        <v>12</v>
      </c>
      <c r="O20" s="137">
        <f t="shared" si="1"/>
        <v>6440</v>
      </c>
      <c r="P20" s="205">
        <v>12</v>
      </c>
      <c r="Q20" s="137">
        <f t="shared" si="3"/>
        <v>6666</v>
      </c>
      <c r="R20" s="205">
        <v>2</v>
      </c>
      <c r="S20" s="137">
        <f t="shared" si="4"/>
        <v>1150</v>
      </c>
      <c r="T20" s="205">
        <f t="shared" si="5"/>
        <v>21480</v>
      </c>
      <c r="U20" s="205">
        <v>0</v>
      </c>
      <c r="V20" s="205">
        <f t="shared" si="6"/>
        <v>21480</v>
      </c>
    </row>
    <row r="21" spans="1:23" ht="10.199999999999999" x14ac:dyDescent="0.35">
      <c r="A21" s="33" t="s">
        <v>158</v>
      </c>
      <c r="B21" s="268">
        <v>89050</v>
      </c>
      <c r="C21" s="268" t="s">
        <v>40</v>
      </c>
      <c r="D21" s="12" t="s">
        <v>159</v>
      </c>
      <c r="E21" s="12" t="s">
        <v>504</v>
      </c>
      <c r="F21" s="12" t="s">
        <v>505</v>
      </c>
      <c r="G21" s="203" t="s">
        <v>37</v>
      </c>
      <c r="H21" s="204" t="s">
        <v>38</v>
      </c>
      <c r="I21" s="205">
        <v>2</v>
      </c>
      <c r="J21" s="205">
        <v>1001</v>
      </c>
      <c r="K21" s="205">
        <f t="shared" si="2"/>
        <v>2002</v>
      </c>
      <c r="L21" s="205">
        <v>12</v>
      </c>
      <c r="M21" s="137">
        <f t="shared" si="0"/>
        <v>12432</v>
      </c>
      <c r="N21" s="205">
        <v>12</v>
      </c>
      <c r="O21" s="137">
        <f t="shared" si="1"/>
        <v>12868</v>
      </c>
      <c r="P21" s="205">
        <v>12</v>
      </c>
      <c r="Q21" s="137">
        <f t="shared" si="3"/>
        <v>13318</v>
      </c>
      <c r="R21" s="205">
        <v>2</v>
      </c>
      <c r="S21" s="137">
        <f t="shared" si="4"/>
        <v>2297</v>
      </c>
      <c r="T21" s="205">
        <f t="shared" si="5"/>
        <v>42917</v>
      </c>
      <c r="U21" s="205">
        <v>0</v>
      </c>
      <c r="V21" s="205">
        <f t="shared" si="6"/>
        <v>42917</v>
      </c>
    </row>
    <row r="22" spans="1:23" ht="10.199999999999999" x14ac:dyDescent="0.35">
      <c r="A22" s="33" t="s">
        <v>158</v>
      </c>
      <c r="B22" s="268">
        <v>89050</v>
      </c>
      <c r="C22" s="268" t="s">
        <v>40</v>
      </c>
      <c r="D22" s="12" t="s">
        <v>159</v>
      </c>
      <c r="E22" s="12" t="s">
        <v>506</v>
      </c>
      <c r="F22" s="12" t="s">
        <v>507</v>
      </c>
      <c r="G22" s="203" t="s">
        <v>37</v>
      </c>
      <c r="H22" s="204" t="s">
        <v>38</v>
      </c>
      <c r="I22" s="205">
        <v>2</v>
      </c>
      <c r="J22" s="205">
        <v>851</v>
      </c>
      <c r="K22" s="205">
        <f t="shared" si="2"/>
        <v>1702</v>
      </c>
      <c r="L22" s="205">
        <v>12</v>
      </c>
      <c r="M22" s="137">
        <f t="shared" si="0"/>
        <v>10569</v>
      </c>
      <c r="N22" s="205">
        <v>12</v>
      </c>
      <c r="O22" s="137">
        <f t="shared" si="1"/>
        <v>10939</v>
      </c>
      <c r="P22" s="205">
        <v>12</v>
      </c>
      <c r="Q22" s="137">
        <f t="shared" si="3"/>
        <v>11322</v>
      </c>
      <c r="R22" s="205">
        <v>2</v>
      </c>
      <c r="S22" s="137">
        <f t="shared" si="4"/>
        <v>1953</v>
      </c>
      <c r="T22" s="205">
        <f t="shared" si="5"/>
        <v>36485</v>
      </c>
      <c r="U22" s="205">
        <v>0</v>
      </c>
      <c r="V22" s="205">
        <f t="shared" si="6"/>
        <v>36485</v>
      </c>
    </row>
    <row r="23" spans="1:23" ht="10.199999999999999" x14ac:dyDescent="0.35">
      <c r="A23" s="33" t="s">
        <v>158</v>
      </c>
      <c r="B23" s="268">
        <v>89050</v>
      </c>
      <c r="C23" s="268" t="s">
        <v>40</v>
      </c>
      <c r="D23" s="12" t="s">
        <v>159</v>
      </c>
      <c r="E23" s="12" t="s">
        <v>508</v>
      </c>
      <c r="F23" s="12" t="s">
        <v>509</v>
      </c>
      <c r="G23" s="203" t="s">
        <v>37</v>
      </c>
      <c r="H23" s="204" t="s">
        <v>38</v>
      </c>
      <c r="I23" s="205">
        <v>2</v>
      </c>
      <c r="J23" s="205">
        <v>851</v>
      </c>
      <c r="K23" s="205">
        <f t="shared" si="2"/>
        <v>1702</v>
      </c>
      <c r="L23" s="205">
        <v>12</v>
      </c>
      <c r="M23" s="137">
        <f t="shared" si="0"/>
        <v>10569</v>
      </c>
      <c r="N23" s="205">
        <v>12</v>
      </c>
      <c r="O23" s="137">
        <f t="shared" si="1"/>
        <v>10939</v>
      </c>
      <c r="P23" s="205">
        <v>12</v>
      </c>
      <c r="Q23" s="137">
        <f t="shared" si="3"/>
        <v>11322</v>
      </c>
      <c r="R23" s="205">
        <v>2</v>
      </c>
      <c r="S23" s="137">
        <f t="shared" si="4"/>
        <v>1953</v>
      </c>
      <c r="T23" s="205">
        <f t="shared" si="5"/>
        <v>36485</v>
      </c>
      <c r="U23" s="205">
        <v>0</v>
      </c>
      <c r="V23" s="205">
        <f t="shared" si="6"/>
        <v>36485</v>
      </c>
    </row>
    <row r="24" spans="1:23" ht="10.5" x14ac:dyDescent="0.4">
      <c r="A24" s="199"/>
      <c r="B24" s="199"/>
      <c r="C24" s="199"/>
      <c r="D24" s="199"/>
      <c r="E24" s="199"/>
      <c r="F24" s="199" t="s">
        <v>510</v>
      </c>
      <c r="G24" s="206"/>
      <c r="H24" s="200"/>
      <c r="I24" s="206"/>
      <c r="K24" s="206">
        <f>SUM(K9:K23)</f>
        <v>45927</v>
      </c>
      <c r="L24" s="206"/>
      <c r="M24" s="206">
        <f>SUM(M9:M23)</f>
        <v>229307</v>
      </c>
      <c r="N24" s="206"/>
      <c r="O24" s="206">
        <f>SUM(O9:O23)</f>
        <v>237336</v>
      </c>
      <c r="P24" s="206"/>
      <c r="Q24" s="206">
        <f>SUM(Q9:Q23)</f>
        <v>245644</v>
      </c>
      <c r="R24" s="206"/>
      <c r="S24" s="206">
        <f>SUM(S9:S23)</f>
        <v>42373</v>
      </c>
      <c r="T24" s="206">
        <f>SUM(T9:T23)</f>
        <v>800587</v>
      </c>
      <c r="U24" s="206">
        <f>SUM(U9:U23)</f>
        <v>0</v>
      </c>
      <c r="V24" s="206">
        <f>SUM(V9:V23)</f>
        <v>800587</v>
      </c>
    </row>
    <row r="25" spans="1:23" ht="10.5" x14ac:dyDescent="0.4">
      <c r="A25" s="199"/>
      <c r="B25" s="199"/>
      <c r="C25" s="199"/>
      <c r="D25" s="199"/>
      <c r="E25" s="199"/>
      <c r="F25" s="199"/>
      <c r="G25" s="199"/>
      <c r="H25" s="200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</row>
    <row r="26" spans="1:23" ht="10.5" x14ac:dyDescent="0.4">
      <c r="A26" s="199"/>
      <c r="B26" s="199"/>
      <c r="C26" s="199"/>
      <c r="D26" s="199"/>
      <c r="E26" s="199"/>
      <c r="F26" s="199" t="s">
        <v>511</v>
      </c>
      <c r="G26" s="199"/>
      <c r="H26" s="200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5"/>
      <c r="U26" s="206"/>
      <c r="V26" s="206"/>
    </row>
    <row r="27" spans="1:23" ht="10.5" x14ac:dyDescent="0.4">
      <c r="A27" s="33" t="s">
        <v>158</v>
      </c>
      <c r="B27" s="268">
        <v>89050</v>
      </c>
      <c r="C27" s="268" t="s">
        <v>40</v>
      </c>
      <c r="D27" s="12" t="s">
        <v>159</v>
      </c>
      <c r="E27" s="12" t="s">
        <v>512</v>
      </c>
      <c r="F27" s="203" t="s">
        <v>513</v>
      </c>
      <c r="G27" s="203" t="s">
        <v>70</v>
      </c>
      <c r="H27" s="200"/>
      <c r="I27" s="206"/>
      <c r="J27" s="107">
        <v>0.2</v>
      </c>
      <c r="K27" s="205">
        <f>K24*$J$27</f>
        <v>9185</v>
      </c>
      <c r="L27" s="205"/>
      <c r="M27" s="205">
        <f>M24*$J$27</f>
        <v>45861</v>
      </c>
      <c r="N27" s="205"/>
      <c r="O27" s="205">
        <f>O24*$J$27</f>
        <v>47467</v>
      </c>
      <c r="P27" s="205"/>
      <c r="Q27" s="205">
        <f>Q24*$J$27</f>
        <v>49129</v>
      </c>
      <c r="R27" s="205"/>
      <c r="S27" s="205">
        <f>S24*$J$27</f>
        <v>8475</v>
      </c>
      <c r="T27" s="205">
        <f>SUM(K27+M27+O27+Q27+S27)</f>
        <v>160117</v>
      </c>
      <c r="U27" s="205">
        <v>0</v>
      </c>
      <c r="V27" s="205">
        <f>SUM(T27:U27)</f>
        <v>160117</v>
      </c>
    </row>
    <row r="28" spans="1:23" ht="10.199999999999999" x14ac:dyDescent="0.35">
      <c r="G28" s="209"/>
      <c r="H28" s="210"/>
      <c r="I28" s="211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5"/>
      <c r="V28" s="202"/>
    </row>
    <row r="29" spans="1:23" ht="10.8" thickBot="1" x14ac:dyDescent="0.45">
      <c r="A29" s="212"/>
      <c r="B29" s="212"/>
      <c r="C29" s="212"/>
      <c r="D29" s="212"/>
      <c r="E29" s="212"/>
      <c r="F29" s="212" t="s">
        <v>514</v>
      </c>
      <c r="G29" s="212"/>
      <c r="H29" s="213"/>
      <c r="I29" s="213"/>
      <c r="J29" s="214"/>
      <c r="K29" s="215">
        <f>SUM(K24:K27)</f>
        <v>55112</v>
      </c>
      <c r="L29" s="215"/>
      <c r="M29" s="215">
        <f>SUM(M24:M27)</f>
        <v>275168</v>
      </c>
      <c r="N29" s="215"/>
      <c r="O29" s="215">
        <f>SUM(O24:O27)</f>
        <v>284803</v>
      </c>
      <c r="P29" s="215"/>
      <c r="Q29" s="215">
        <f>SUM(Q24:Q27)</f>
        <v>294773</v>
      </c>
      <c r="R29" s="215"/>
      <c r="S29" s="215">
        <f>SUM(S24:S27)</f>
        <v>50848</v>
      </c>
      <c r="T29" s="215">
        <f>K29+M29+O29+Q29+S29</f>
        <v>960704</v>
      </c>
      <c r="U29" s="215">
        <f>SUM(U9:U27)</f>
        <v>0</v>
      </c>
      <c r="V29" s="216">
        <f>SUM(T29:U29)</f>
        <v>960704</v>
      </c>
      <c r="W29" s="226"/>
    </row>
    <row r="30" spans="1:23" ht="10.199999999999999" x14ac:dyDescent="0.35">
      <c r="H30" s="217"/>
      <c r="I30" s="211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5"/>
      <c r="V30" s="202"/>
    </row>
    <row r="31" spans="1:23" ht="10.5" x14ac:dyDescent="0.4">
      <c r="A31" s="218"/>
      <c r="B31" s="218"/>
      <c r="C31" s="218"/>
      <c r="D31" s="218"/>
      <c r="E31" s="218"/>
      <c r="F31" s="218" t="s">
        <v>77</v>
      </c>
      <c r="G31" s="218"/>
      <c r="H31" s="219"/>
      <c r="I31" s="219"/>
      <c r="J31" s="220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2"/>
    </row>
    <row r="32" spans="1:23" ht="10.199999999999999" x14ac:dyDescent="0.35">
      <c r="A32" s="61"/>
      <c r="B32" s="61"/>
      <c r="C32" s="61"/>
      <c r="D32" s="61"/>
      <c r="E32" s="61"/>
      <c r="F32" s="61" t="s">
        <v>515</v>
      </c>
      <c r="G32" s="223"/>
      <c r="H32" s="224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</row>
    <row r="33" spans="1:32" ht="10.199999999999999" x14ac:dyDescent="0.35">
      <c r="A33" s="33" t="s">
        <v>158</v>
      </c>
      <c r="B33" s="268">
        <v>89050</v>
      </c>
      <c r="C33" s="268" t="s">
        <v>40</v>
      </c>
      <c r="D33" s="12" t="s">
        <v>159</v>
      </c>
      <c r="E33" s="12" t="s">
        <v>516</v>
      </c>
      <c r="F33" s="207" t="s">
        <v>517</v>
      </c>
      <c r="G33" s="207" t="s">
        <v>77</v>
      </c>
      <c r="H33" s="227" t="s">
        <v>82</v>
      </c>
      <c r="I33" s="205">
        <v>9</v>
      </c>
      <c r="J33" s="205">
        <v>300</v>
      </c>
      <c r="K33" s="205">
        <f>I33*J33</f>
        <v>2700</v>
      </c>
      <c r="L33" s="205">
        <v>32</v>
      </c>
      <c r="M33" s="205">
        <f>L33*J33</f>
        <v>9600</v>
      </c>
      <c r="N33" s="205">
        <v>60</v>
      </c>
      <c r="O33" s="205">
        <f>N33*J33</f>
        <v>18000</v>
      </c>
      <c r="P33" s="205">
        <v>36</v>
      </c>
      <c r="Q33" s="205">
        <f>P33*J33</f>
        <v>10800</v>
      </c>
      <c r="R33" s="205">
        <v>4</v>
      </c>
      <c r="S33" s="205">
        <f>R33*J33</f>
        <v>1200</v>
      </c>
      <c r="T33" s="205">
        <f>K33+M33+O33+Q33+S33</f>
        <v>42300</v>
      </c>
      <c r="U33" s="205">
        <v>0</v>
      </c>
      <c r="V33" s="205">
        <f>SUM(T33:U33)</f>
        <v>42300</v>
      </c>
    </row>
    <row r="34" spans="1:32" ht="10.199999999999999" x14ac:dyDescent="0.35">
      <c r="A34" s="33" t="s">
        <v>158</v>
      </c>
      <c r="B34" s="268">
        <v>89050</v>
      </c>
      <c r="C34" s="268" t="s">
        <v>40</v>
      </c>
      <c r="D34" s="12" t="s">
        <v>159</v>
      </c>
      <c r="E34" s="12" t="s">
        <v>518</v>
      </c>
      <c r="F34" s="207" t="s">
        <v>519</v>
      </c>
      <c r="G34" s="207" t="s">
        <v>77</v>
      </c>
      <c r="H34" s="227" t="s">
        <v>87</v>
      </c>
      <c r="I34" s="205">
        <f>9+9+6+3</f>
        <v>27</v>
      </c>
      <c r="J34" s="205">
        <v>75</v>
      </c>
      <c r="K34" s="205">
        <f>I34*J34</f>
        <v>2025</v>
      </c>
      <c r="L34" s="205">
        <f>20+18+14+12</f>
        <v>64</v>
      </c>
      <c r="M34" s="205">
        <f>L34*J34</f>
        <v>4800</v>
      </c>
      <c r="N34" s="205">
        <f>36+36+36+12</f>
        <v>120</v>
      </c>
      <c r="O34" s="205">
        <f>N34*J34</f>
        <v>9000</v>
      </c>
      <c r="P34" s="205">
        <f>28+22+22</f>
        <v>72</v>
      </c>
      <c r="Q34" s="205">
        <f>P34*J34</f>
        <v>5400</v>
      </c>
      <c r="R34" s="205">
        <v>16</v>
      </c>
      <c r="S34" s="205">
        <f>R34*J34</f>
        <v>1200</v>
      </c>
      <c r="T34" s="205">
        <f>K34+M34+O34+Q34+S34</f>
        <v>22425</v>
      </c>
      <c r="U34" s="205">
        <v>0</v>
      </c>
      <c r="V34" s="205">
        <f>SUM(T34:U34)</f>
        <v>22425</v>
      </c>
    </row>
    <row r="35" spans="1:32" ht="10.199999999999999" x14ac:dyDescent="0.35">
      <c r="A35" s="33" t="s">
        <v>158</v>
      </c>
      <c r="B35" s="268">
        <v>89050</v>
      </c>
      <c r="C35" s="268" t="s">
        <v>40</v>
      </c>
      <c r="D35" s="12" t="s">
        <v>159</v>
      </c>
      <c r="E35" s="12" t="s">
        <v>520</v>
      </c>
      <c r="F35" s="207" t="s">
        <v>521</v>
      </c>
      <c r="G35" s="207" t="s">
        <v>77</v>
      </c>
      <c r="H35" s="227" t="s">
        <v>87</v>
      </c>
      <c r="I35" s="205">
        <f>9+9+6+1</f>
        <v>25</v>
      </c>
      <c r="J35" s="205">
        <v>40</v>
      </c>
      <c r="K35" s="205">
        <f>I35*J35</f>
        <v>1000</v>
      </c>
      <c r="L35" s="205">
        <f>20+18+14+6</f>
        <v>58</v>
      </c>
      <c r="M35" s="205">
        <f>L35*J35</f>
        <v>2320</v>
      </c>
      <c r="N35" s="205">
        <f>36+36+36+36+6</f>
        <v>150</v>
      </c>
      <c r="O35" s="205">
        <f>N35*J35</f>
        <v>6000</v>
      </c>
      <c r="P35" s="205">
        <f>28+22+22</f>
        <v>72</v>
      </c>
      <c r="Q35" s="205">
        <f>P35*J35</f>
        <v>2880</v>
      </c>
      <c r="R35" s="205">
        <v>16</v>
      </c>
      <c r="S35" s="205">
        <f>R35*J35</f>
        <v>640</v>
      </c>
      <c r="T35" s="205">
        <f>K35+M35+O35+Q35+S35</f>
        <v>12840</v>
      </c>
      <c r="U35" s="205">
        <v>0</v>
      </c>
      <c r="V35" s="205">
        <f>SUM(T35:U35)</f>
        <v>12840</v>
      </c>
    </row>
    <row r="36" spans="1:32" ht="10.199999999999999" x14ac:dyDescent="0.35">
      <c r="A36" s="33" t="s">
        <v>158</v>
      </c>
      <c r="B36" s="268">
        <v>89050</v>
      </c>
      <c r="C36" s="268" t="s">
        <v>40</v>
      </c>
      <c r="D36" s="12" t="s">
        <v>159</v>
      </c>
      <c r="E36" s="12" t="s">
        <v>522</v>
      </c>
      <c r="F36" s="207" t="s">
        <v>523</v>
      </c>
      <c r="G36" s="207" t="s">
        <v>77</v>
      </c>
      <c r="H36" s="227" t="s">
        <v>87</v>
      </c>
      <c r="I36" s="205">
        <f>9+9+6+3</f>
        <v>27</v>
      </c>
      <c r="J36" s="205">
        <v>35</v>
      </c>
      <c r="K36" s="205">
        <f>I36*J36</f>
        <v>945</v>
      </c>
      <c r="L36" s="205">
        <f>20+18+14+12</f>
        <v>64</v>
      </c>
      <c r="M36" s="205">
        <f>L36*J36</f>
        <v>2240</v>
      </c>
      <c r="N36" s="205">
        <f>36+36+36+12</f>
        <v>120</v>
      </c>
      <c r="O36" s="205">
        <f>N36*J36</f>
        <v>4200</v>
      </c>
      <c r="P36" s="205">
        <f>28+22+22</f>
        <v>72</v>
      </c>
      <c r="Q36" s="205">
        <f>P36*J36</f>
        <v>2520</v>
      </c>
      <c r="R36" s="205">
        <v>16</v>
      </c>
      <c r="S36" s="205">
        <f>R36*J36</f>
        <v>560</v>
      </c>
      <c r="T36" s="205">
        <f>K36+M36+O36+Q36+S36</f>
        <v>10465</v>
      </c>
      <c r="U36" s="205">
        <v>0</v>
      </c>
      <c r="V36" s="205">
        <f>SUM(T36:U36)</f>
        <v>10465</v>
      </c>
    </row>
    <row r="37" spans="1:32" ht="10.199999999999999" x14ac:dyDescent="0.35">
      <c r="A37" s="33" t="s">
        <v>158</v>
      </c>
      <c r="B37" s="268">
        <v>89050</v>
      </c>
      <c r="C37" s="268" t="s">
        <v>40</v>
      </c>
      <c r="D37" s="12" t="s">
        <v>159</v>
      </c>
      <c r="E37" s="12" t="s">
        <v>524</v>
      </c>
      <c r="F37" s="207" t="s">
        <v>525</v>
      </c>
      <c r="G37" s="207" t="s">
        <v>77</v>
      </c>
      <c r="H37" s="227" t="s">
        <v>87</v>
      </c>
      <c r="I37" s="205">
        <f>3+9</f>
        <v>12</v>
      </c>
      <c r="J37" s="205">
        <v>25</v>
      </c>
      <c r="K37" s="205">
        <f>I37*J37</f>
        <v>300</v>
      </c>
      <c r="L37" s="205">
        <f>10+18+14</f>
        <v>42</v>
      </c>
      <c r="M37" s="205">
        <f>L37*J37</f>
        <v>1050</v>
      </c>
      <c r="N37" s="205">
        <f>18+36</f>
        <v>54</v>
      </c>
      <c r="O37" s="205">
        <f>N37*J37</f>
        <v>1350</v>
      </c>
      <c r="P37" s="205">
        <f>14+22</f>
        <v>36</v>
      </c>
      <c r="Q37" s="205">
        <f>P37*J37</f>
        <v>900</v>
      </c>
      <c r="R37" s="205">
        <v>5</v>
      </c>
      <c r="S37" s="205">
        <f>R37*J37</f>
        <v>125</v>
      </c>
      <c r="T37" s="205">
        <f>K37+M37+O37+Q37+S37</f>
        <v>3725</v>
      </c>
      <c r="U37" s="205">
        <v>0</v>
      </c>
      <c r="V37" s="205">
        <f>SUM(T37:U37)</f>
        <v>3725</v>
      </c>
    </row>
    <row r="38" spans="1:32" ht="10.199999999999999" x14ac:dyDescent="0.35">
      <c r="A38" s="203"/>
      <c r="B38" s="203"/>
      <c r="C38" s="203"/>
      <c r="D38" s="203"/>
      <c r="E38" s="203"/>
      <c r="F38" s="203"/>
      <c r="G38" s="203"/>
      <c r="H38" s="227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</row>
    <row r="39" spans="1:32" ht="10.8" thickBot="1" x14ac:dyDescent="0.45">
      <c r="A39" s="212"/>
      <c r="B39" s="212"/>
      <c r="C39" s="212"/>
      <c r="D39" s="212"/>
      <c r="E39" s="212"/>
      <c r="F39" s="212" t="s">
        <v>111</v>
      </c>
      <c r="G39" s="212"/>
      <c r="H39" s="213"/>
      <c r="I39" s="213"/>
      <c r="J39" s="214"/>
      <c r="K39" s="215">
        <f>SUM(K33:K37)</f>
        <v>6970</v>
      </c>
      <c r="L39" s="215"/>
      <c r="M39" s="215">
        <f>SUM(M33:M37)</f>
        <v>20010</v>
      </c>
      <c r="N39" s="215"/>
      <c r="O39" s="215">
        <f>SUM(O33:O37)</f>
        <v>38550</v>
      </c>
      <c r="P39" s="215"/>
      <c r="Q39" s="215">
        <f>SUM(Q33:Q37)</f>
        <v>22500</v>
      </c>
      <c r="R39" s="215"/>
      <c r="S39" s="215">
        <f>SUM(S33:S37)</f>
        <v>3725</v>
      </c>
      <c r="T39" s="215">
        <f>K39+M39+O39+Q39+S39</f>
        <v>91755</v>
      </c>
      <c r="U39" s="215">
        <f>SUM(U33:U37)</f>
        <v>0</v>
      </c>
      <c r="V39" s="216">
        <f>SUM(T39:U39)</f>
        <v>91755</v>
      </c>
    </row>
    <row r="40" spans="1:32" ht="10.5" x14ac:dyDescent="0.4">
      <c r="A40" s="196"/>
      <c r="B40" s="196"/>
      <c r="C40" s="196"/>
      <c r="D40" s="196"/>
      <c r="E40" s="196"/>
      <c r="F40" s="196" t="s">
        <v>526</v>
      </c>
      <c r="G40" s="196"/>
      <c r="H40" s="196"/>
      <c r="I40" s="196"/>
      <c r="J40" s="197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</row>
    <row r="41" spans="1:32" ht="10.199999999999999" x14ac:dyDescent="0.35">
      <c r="A41" s="33" t="s">
        <v>158</v>
      </c>
      <c r="B41" s="268">
        <v>89050</v>
      </c>
      <c r="C41" s="268" t="s">
        <v>40</v>
      </c>
      <c r="D41" s="12" t="s">
        <v>159</v>
      </c>
      <c r="E41" s="12" t="s">
        <v>527</v>
      </c>
      <c r="F41" s="192" t="s">
        <v>528</v>
      </c>
      <c r="G41" s="203" t="s">
        <v>121</v>
      </c>
      <c r="H41" s="217" t="s">
        <v>115</v>
      </c>
      <c r="I41" s="205">
        <v>5</v>
      </c>
      <c r="J41" s="205">
        <v>751</v>
      </c>
      <c r="K41" s="205">
        <f t="shared" ref="K41:K46" si="7">I41*J41</f>
        <v>3755</v>
      </c>
      <c r="L41" s="205">
        <v>5</v>
      </c>
      <c r="M41" s="205">
        <f t="shared" ref="M41:M46" si="8">L41*J41</f>
        <v>3755</v>
      </c>
      <c r="N41" s="205">
        <v>0</v>
      </c>
      <c r="O41" s="205">
        <f t="shared" ref="O41:O46" si="9">N41*J41</f>
        <v>0</v>
      </c>
      <c r="P41" s="205">
        <v>0</v>
      </c>
      <c r="Q41" s="205">
        <f t="shared" ref="Q41:Q46" si="10">P41*J41</f>
        <v>0</v>
      </c>
      <c r="R41" s="205">
        <v>0</v>
      </c>
      <c r="S41" s="205">
        <f t="shared" ref="S41:S46" si="11">R41*J41</f>
        <v>0</v>
      </c>
      <c r="T41" s="205">
        <f t="shared" ref="T41:T46" si="12">K41+M41+O41+Q41+S41</f>
        <v>7510</v>
      </c>
      <c r="U41" s="205">
        <v>0</v>
      </c>
      <c r="V41" s="205">
        <f t="shared" ref="V41:V46" si="13">SUM(T41:U41)</f>
        <v>7510</v>
      </c>
    </row>
    <row r="42" spans="1:32" ht="10.199999999999999" x14ac:dyDescent="0.35">
      <c r="A42" s="33" t="s">
        <v>158</v>
      </c>
      <c r="B42" s="268">
        <v>89050</v>
      </c>
      <c r="C42" s="268" t="s">
        <v>40</v>
      </c>
      <c r="D42" s="12" t="s">
        <v>159</v>
      </c>
      <c r="E42" s="12" t="s">
        <v>529</v>
      </c>
      <c r="F42" s="203" t="s">
        <v>530</v>
      </c>
      <c r="G42" s="203" t="s">
        <v>121</v>
      </c>
      <c r="H42" s="217" t="s">
        <v>115</v>
      </c>
      <c r="I42" s="205">
        <v>1</v>
      </c>
      <c r="J42" s="205">
        <v>100</v>
      </c>
      <c r="K42" s="205">
        <f t="shared" si="7"/>
        <v>100</v>
      </c>
      <c r="L42" s="205">
        <v>12</v>
      </c>
      <c r="M42" s="205">
        <f t="shared" si="8"/>
        <v>1200</v>
      </c>
      <c r="N42" s="205">
        <v>12</v>
      </c>
      <c r="O42" s="205">
        <f t="shared" si="9"/>
        <v>1200</v>
      </c>
      <c r="P42" s="205">
        <v>12</v>
      </c>
      <c r="Q42" s="205">
        <f t="shared" si="10"/>
        <v>1200</v>
      </c>
      <c r="R42" s="205">
        <v>3</v>
      </c>
      <c r="S42" s="205">
        <f t="shared" si="11"/>
        <v>300</v>
      </c>
      <c r="T42" s="205">
        <f t="shared" si="12"/>
        <v>4000</v>
      </c>
      <c r="U42" s="205">
        <v>0</v>
      </c>
      <c r="V42" s="205">
        <f t="shared" si="13"/>
        <v>4000</v>
      </c>
    </row>
    <row r="43" spans="1:32" ht="10.199999999999999" x14ac:dyDescent="0.35">
      <c r="A43" s="33" t="s">
        <v>158</v>
      </c>
      <c r="B43" s="268">
        <v>89050</v>
      </c>
      <c r="C43" s="268" t="s">
        <v>40</v>
      </c>
      <c r="D43" s="12" t="s">
        <v>159</v>
      </c>
      <c r="E43" s="12" t="s">
        <v>531</v>
      </c>
      <c r="F43" s="203" t="s">
        <v>532</v>
      </c>
      <c r="G43" s="203" t="s">
        <v>121</v>
      </c>
      <c r="H43" s="217" t="s">
        <v>115</v>
      </c>
      <c r="I43" s="205">
        <v>7</v>
      </c>
      <c r="J43" s="205">
        <v>300</v>
      </c>
      <c r="K43" s="205">
        <f t="shared" si="7"/>
        <v>2100</v>
      </c>
      <c r="L43" s="205">
        <v>0</v>
      </c>
      <c r="M43" s="205">
        <f t="shared" si="8"/>
        <v>0</v>
      </c>
      <c r="N43" s="205">
        <v>2</v>
      </c>
      <c r="O43" s="205">
        <f t="shared" si="9"/>
        <v>600</v>
      </c>
      <c r="P43" s="205">
        <v>0</v>
      </c>
      <c r="Q43" s="205">
        <f t="shared" si="10"/>
        <v>0</v>
      </c>
      <c r="R43" s="205">
        <v>0</v>
      </c>
      <c r="S43" s="205">
        <f t="shared" si="11"/>
        <v>0</v>
      </c>
      <c r="T43" s="205">
        <f t="shared" si="12"/>
        <v>2700</v>
      </c>
      <c r="U43" s="205">
        <v>0</v>
      </c>
      <c r="V43" s="205">
        <f t="shared" si="13"/>
        <v>2700</v>
      </c>
      <c r="X43" s="205"/>
      <c r="Y43" s="205"/>
      <c r="Z43" s="228"/>
      <c r="AA43" s="205"/>
      <c r="AB43" s="228"/>
      <c r="AC43" s="228"/>
      <c r="AD43" s="228"/>
      <c r="AE43" s="13"/>
      <c r="AF43" s="13"/>
    </row>
    <row r="44" spans="1:32" ht="10.199999999999999" x14ac:dyDescent="0.35">
      <c r="A44" s="33" t="s">
        <v>158</v>
      </c>
      <c r="B44" s="268">
        <v>89050</v>
      </c>
      <c r="C44" s="268" t="s">
        <v>40</v>
      </c>
      <c r="D44" s="12" t="s">
        <v>159</v>
      </c>
      <c r="E44" s="12" t="s">
        <v>533</v>
      </c>
      <c r="F44" s="203" t="s">
        <v>534</v>
      </c>
      <c r="G44" s="203" t="s">
        <v>121</v>
      </c>
      <c r="H44" s="217" t="s">
        <v>38</v>
      </c>
      <c r="I44" s="205">
        <v>1</v>
      </c>
      <c r="J44" s="205">
        <v>75</v>
      </c>
      <c r="K44" s="205">
        <f>I44*J44</f>
        <v>75</v>
      </c>
      <c r="L44" s="205">
        <v>12</v>
      </c>
      <c r="M44" s="205">
        <f>L44*J44</f>
        <v>900</v>
      </c>
      <c r="N44" s="205">
        <v>12</v>
      </c>
      <c r="O44" s="205">
        <f>N44*J44</f>
        <v>900</v>
      </c>
      <c r="P44" s="205">
        <v>12</v>
      </c>
      <c r="Q44" s="205">
        <f>P44*J44</f>
        <v>900</v>
      </c>
      <c r="R44" s="205">
        <v>1</v>
      </c>
      <c r="S44" s="205">
        <f>R44*J44</f>
        <v>75</v>
      </c>
      <c r="T44" s="205">
        <f>K44+M44+O44+Q44+S44</f>
        <v>2850</v>
      </c>
      <c r="U44" s="205">
        <v>0</v>
      </c>
      <c r="V44" s="205">
        <f>SUM(T44:U44)</f>
        <v>2850</v>
      </c>
    </row>
    <row r="45" spans="1:32" ht="10.199999999999999" x14ac:dyDescent="0.35">
      <c r="A45" s="33" t="s">
        <v>158</v>
      </c>
      <c r="B45" s="268">
        <v>89050</v>
      </c>
      <c r="C45" s="268" t="s">
        <v>40</v>
      </c>
      <c r="D45" s="12" t="s">
        <v>159</v>
      </c>
      <c r="E45" s="12" t="s">
        <v>535</v>
      </c>
      <c r="F45" s="203" t="s">
        <v>536</v>
      </c>
      <c r="G45" s="203" t="s">
        <v>121</v>
      </c>
      <c r="H45" s="217" t="s">
        <v>115</v>
      </c>
      <c r="I45" s="205">
        <v>1</v>
      </c>
      <c r="J45" s="205">
        <v>100</v>
      </c>
      <c r="K45" s="205">
        <f t="shared" si="7"/>
        <v>100</v>
      </c>
      <c r="L45" s="205">
        <v>4</v>
      </c>
      <c r="M45" s="205">
        <f t="shared" si="8"/>
        <v>400</v>
      </c>
      <c r="N45" s="205">
        <v>4</v>
      </c>
      <c r="O45" s="205">
        <f t="shared" si="9"/>
        <v>400</v>
      </c>
      <c r="P45" s="205">
        <v>4</v>
      </c>
      <c r="Q45" s="205">
        <f t="shared" si="10"/>
        <v>400</v>
      </c>
      <c r="R45" s="205">
        <v>1</v>
      </c>
      <c r="S45" s="205">
        <f t="shared" si="11"/>
        <v>100</v>
      </c>
      <c r="T45" s="205">
        <f t="shared" si="12"/>
        <v>1400</v>
      </c>
      <c r="U45" s="205">
        <v>0</v>
      </c>
      <c r="V45" s="205">
        <f t="shared" si="13"/>
        <v>1400</v>
      </c>
    </row>
    <row r="46" spans="1:32" ht="10.199999999999999" x14ac:dyDescent="0.35">
      <c r="A46" s="33" t="s">
        <v>158</v>
      </c>
      <c r="B46" s="268">
        <v>89050</v>
      </c>
      <c r="C46" s="268" t="s">
        <v>40</v>
      </c>
      <c r="D46" s="12" t="s">
        <v>159</v>
      </c>
      <c r="E46" s="12" t="s">
        <v>537</v>
      </c>
      <c r="F46" s="203" t="s">
        <v>538</v>
      </c>
      <c r="G46" s="203" t="s">
        <v>121</v>
      </c>
      <c r="H46" s="217" t="s">
        <v>115</v>
      </c>
      <c r="I46" s="205">
        <v>1</v>
      </c>
      <c r="J46" s="205">
        <v>1252</v>
      </c>
      <c r="K46" s="205">
        <f t="shared" si="7"/>
        <v>1252</v>
      </c>
      <c r="L46" s="205">
        <v>1</v>
      </c>
      <c r="M46" s="205">
        <f t="shared" si="8"/>
        <v>1252</v>
      </c>
      <c r="N46" s="205">
        <v>0</v>
      </c>
      <c r="O46" s="205">
        <f t="shared" si="9"/>
        <v>0</v>
      </c>
      <c r="P46" s="205">
        <v>0</v>
      </c>
      <c r="Q46" s="205">
        <f t="shared" si="10"/>
        <v>0</v>
      </c>
      <c r="R46" s="205">
        <v>0</v>
      </c>
      <c r="S46" s="205">
        <f t="shared" si="11"/>
        <v>0</v>
      </c>
      <c r="T46" s="205">
        <f t="shared" si="12"/>
        <v>2504</v>
      </c>
      <c r="U46" s="205">
        <v>0</v>
      </c>
      <c r="V46" s="205">
        <f t="shared" si="13"/>
        <v>2504</v>
      </c>
    </row>
    <row r="47" spans="1:32" ht="10.199999999999999" x14ac:dyDescent="0.35">
      <c r="A47" s="203"/>
      <c r="B47" s="203"/>
      <c r="C47" s="203"/>
      <c r="D47" s="203"/>
      <c r="E47" s="203"/>
      <c r="F47" s="203"/>
      <c r="G47" s="203"/>
      <c r="H47" s="227"/>
      <c r="U47" s="205"/>
    </row>
    <row r="48" spans="1:32" ht="10.8" thickBot="1" x14ac:dyDescent="0.45">
      <c r="A48" s="230"/>
      <c r="B48" s="230"/>
      <c r="C48" s="230"/>
      <c r="D48" s="230"/>
      <c r="E48" s="230"/>
      <c r="F48" s="230" t="s">
        <v>539</v>
      </c>
      <c r="G48" s="230"/>
      <c r="H48" s="212"/>
      <c r="I48" s="212"/>
      <c r="J48" s="231"/>
      <c r="K48" s="95">
        <f>SUM(K41:K46)</f>
        <v>7382</v>
      </c>
      <c r="L48" s="95"/>
      <c r="M48" s="95">
        <f>SUM(M41:M46)</f>
        <v>7507</v>
      </c>
      <c r="N48" s="95"/>
      <c r="O48" s="95">
        <f>SUM(O41:O46)</f>
        <v>3100</v>
      </c>
      <c r="P48" s="95"/>
      <c r="Q48" s="95">
        <f>SUM(Q41:Q46)</f>
        <v>2500</v>
      </c>
      <c r="R48" s="95"/>
      <c r="S48" s="95">
        <f>SUM(S41:S46)</f>
        <v>475</v>
      </c>
      <c r="T48" s="215">
        <f>K48+M48+O48+Q48+S48</f>
        <v>20964</v>
      </c>
      <c r="U48" s="95">
        <f>SUM(U41:U46)</f>
        <v>0</v>
      </c>
      <c r="V48" s="216">
        <f>SUM(T48:U48)</f>
        <v>20964</v>
      </c>
    </row>
    <row r="49" spans="1:23" ht="10.5" x14ac:dyDescent="0.4">
      <c r="A49" s="196"/>
      <c r="B49" s="196"/>
      <c r="C49" s="196"/>
      <c r="D49" s="196"/>
      <c r="E49" s="196"/>
      <c r="F49" s="196" t="s">
        <v>540</v>
      </c>
      <c r="G49" s="196"/>
      <c r="H49" s="196"/>
      <c r="I49" s="196"/>
      <c r="J49" s="197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</row>
    <row r="50" spans="1:23" ht="20.399999999999999" x14ac:dyDescent="0.35">
      <c r="A50" s="33" t="s">
        <v>158</v>
      </c>
      <c r="B50" s="268">
        <v>89050</v>
      </c>
      <c r="C50" s="268" t="s">
        <v>40</v>
      </c>
      <c r="D50" s="12" t="s">
        <v>159</v>
      </c>
      <c r="E50" s="12" t="s">
        <v>541</v>
      </c>
      <c r="F50" s="203" t="s">
        <v>542</v>
      </c>
      <c r="G50" s="203" t="s">
        <v>124</v>
      </c>
      <c r="H50" s="227" t="s">
        <v>38</v>
      </c>
      <c r="I50" s="205">
        <v>3</v>
      </c>
      <c r="J50" s="205">
        <v>50</v>
      </c>
      <c r="K50" s="205">
        <f t="shared" ref="K50:K55" si="14">I50*J50</f>
        <v>150</v>
      </c>
      <c r="L50" s="205">
        <v>12</v>
      </c>
      <c r="M50" s="205">
        <f t="shared" ref="M50:M55" si="15">L50*J50</f>
        <v>600</v>
      </c>
      <c r="N50" s="205">
        <v>12</v>
      </c>
      <c r="O50" s="205">
        <f t="shared" ref="O50:O55" si="16">N50*J50</f>
        <v>600</v>
      </c>
      <c r="P50" s="205">
        <v>12</v>
      </c>
      <c r="Q50" s="205">
        <f t="shared" ref="Q50:Q55" si="17">P50*J50</f>
        <v>600</v>
      </c>
      <c r="R50" s="205">
        <v>2</v>
      </c>
      <c r="S50" s="205">
        <f t="shared" ref="S50:S55" si="18">R50*J50</f>
        <v>100</v>
      </c>
      <c r="T50" s="205">
        <f t="shared" ref="T50:T55" si="19">K50+M50+O50+Q50+S50</f>
        <v>2050</v>
      </c>
      <c r="U50" s="205">
        <v>0</v>
      </c>
      <c r="V50" s="205">
        <f t="shared" ref="V50:V55" si="20">SUM(T50:U50)</f>
        <v>2050</v>
      </c>
    </row>
    <row r="51" spans="1:23" ht="20.399999999999999" x14ac:dyDescent="0.35">
      <c r="A51" s="33" t="s">
        <v>158</v>
      </c>
      <c r="B51" s="268">
        <v>89050</v>
      </c>
      <c r="C51" s="268" t="s">
        <v>40</v>
      </c>
      <c r="D51" s="12" t="s">
        <v>159</v>
      </c>
      <c r="E51" s="12" t="s">
        <v>543</v>
      </c>
      <c r="F51" s="203" t="s">
        <v>544</v>
      </c>
      <c r="G51" s="203" t="s">
        <v>124</v>
      </c>
      <c r="H51" s="227" t="s">
        <v>38</v>
      </c>
      <c r="I51" s="205">
        <v>1</v>
      </c>
      <c r="J51" s="205">
        <v>35</v>
      </c>
      <c r="K51" s="205">
        <f t="shared" si="14"/>
        <v>35</v>
      </c>
      <c r="L51" s="205">
        <v>5</v>
      </c>
      <c r="M51" s="205">
        <f t="shared" si="15"/>
        <v>175</v>
      </c>
      <c r="N51" s="205">
        <v>5</v>
      </c>
      <c r="O51" s="205">
        <f t="shared" si="16"/>
        <v>175</v>
      </c>
      <c r="P51" s="205">
        <v>5</v>
      </c>
      <c r="Q51" s="205">
        <f t="shared" si="17"/>
        <v>175</v>
      </c>
      <c r="R51" s="205">
        <v>2</v>
      </c>
      <c r="S51" s="205">
        <f t="shared" si="18"/>
        <v>70</v>
      </c>
      <c r="T51" s="205">
        <f t="shared" si="19"/>
        <v>630</v>
      </c>
      <c r="U51" s="205">
        <v>0</v>
      </c>
      <c r="V51" s="205">
        <f t="shared" si="20"/>
        <v>630</v>
      </c>
    </row>
    <row r="52" spans="1:23" ht="20.399999999999999" x14ac:dyDescent="0.35">
      <c r="A52" s="33" t="s">
        <v>158</v>
      </c>
      <c r="B52" s="268">
        <v>89050</v>
      </c>
      <c r="C52" s="268" t="s">
        <v>40</v>
      </c>
      <c r="D52" s="12" t="s">
        <v>159</v>
      </c>
      <c r="E52" s="12" t="s">
        <v>545</v>
      </c>
      <c r="F52" s="203" t="s">
        <v>546</v>
      </c>
      <c r="G52" s="203" t="s">
        <v>124</v>
      </c>
      <c r="H52" s="227" t="s">
        <v>38</v>
      </c>
      <c r="I52" s="205">
        <v>3</v>
      </c>
      <c r="J52" s="205">
        <v>50</v>
      </c>
      <c r="K52" s="205">
        <f t="shared" si="14"/>
        <v>150</v>
      </c>
      <c r="L52" s="205">
        <v>12</v>
      </c>
      <c r="M52" s="205">
        <f t="shared" si="15"/>
        <v>600</v>
      </c>
      <c r="N52" s="205">
        <v>12</v>
      </c>
      <c r="O52" s="205">
        <f t="shared" si="16"/>
        <v>600</v>
      </c>
      <c r="P52" s="205">
        <v>12</v>
      </c>
      <c r="Q52" s="205">
        <f t="shared" si="17"/>
        <v>600</v>
      </c>
      <c r="R52" s="205">
        <v>2</v>
      </c>
      <c r="S52" s="205">
        <f t="shared" si="18"/>
        <v>100</v>
      </c>
      <c r="T52" s="205">
        <f t="shared" si="19"/>
        <v>2050</v>
      </c>
      <c r="U52" s="205">
        <v>0</v>
      </c>
      <c r="V52" s="205">
        <f t="shared" si="20"/>
        <v>2050</v>
      </c>
    </row>
    <row r="53" spans="1:23" ht="20.399999999999999" x14ac:dyDescent="0.35">
      <c r="A53" s="33" t="s">
        <v>158</v>
      </c>
      <c r="B53" s="268">
        <v>89050</v>
      </c>
      <c r="C53" s="268" t="s">
        <v>40</v>
      </c>
      <c r="D53" s="12" t="s">
        <v>159</v>
      </c>
      <c r="E53" s="12" t="s">
        <v>531</v>
      </c>
      <c r="F53" s="203" t="s">
        <v>547</v>
      </c>
      <c r="G53" s="203" t="s">
        <v>124</v>
      </c>
      <c r="H53" s="227" t="s">
        <v>38</v>
      </c>
      <c r="I53" s="205">
        <v>2</v>
      </c>
      <c r="J53" s="205">
        <f>30*7</f>
        <v>210</v>
      </c>
      <c r="K53" s="205">
        <f t="shared" si="14"/>
        <v>420</v>
      </c>
      <c r="L53" s="205">
        <v>12</v>
      </c>
      <c r="M53" s="205">
        <f t="shared" si="15"/>
        <v>2520</v>
      </c>
      <c r="N53" s="205">
        <v>12</v>
      </c>
      <c r="O53" s="205">
        <f t="shared" si="16"/>
        <v>2520</v>
      </c>
      <c r="P53" s="205">
        <v>12</v>
      </c>
      <c r="Q53" s="205">
        <f t="shared" si="17"/>
        <v>2520</v>
      </c>
      <c r="R53" s="205">
        <v>2</v>
      </c>
      <c r="S53" s="205">
        <f t="shared" si="18"/>
        <v>420</v>
      </c>
      <c r="T53" s="205">
        <f t="shared" si="19"/>
        <v>8400</v>
      </c>
      <c r="U53" s="205">
        <v>0</v>
      </c>
      <c r="V53" s="205">
        <f t="shared" si="20"/>
        <v>8400</v>
      </c>
    </row>
    <row r="54" spans="1:23" ht="20.399999999999999" x14ac:dyDescent="0.35">
      <c r="A54" s="33" t="s">
        <v>158</v>
      </c>
      <c r="B54" s="268">
        <v>89050</v>
      </c>
      <c r="C54" s="268" t="s">
        <v>40</v>
      </c>
      <c r="D54" s="12" t="s">
        <v>159</v>
      </c>
      <c r="E54" s="12" t="s">
        <v>548</v>
      </c>
      <c r="F54" s="203" t="s">
        <v>549</v>
      </c>
      <c r="G54" s="203" t="s">
        <v>124</v>
      </c>
      <c r="H54" s="227" t="s">
        <v>38</v>
      </c>
      <c r="I54" s="205">
        <v>2</v>
      </c>
      <c r="J54" s="205">
        <v>1250</v>
      </c>
      <c r="K54" s="205">
        <f t="shared" si="14"/>
        <v>2500</v>
      </c>
      <c r="L54" s="205">
        <v>12</v>
      </c>
      <c r="M54" s="205">
        <f t="shared" si="15"/>
        <v>15000</v>
      </c>
      <c r="N54" s="205">
        <v>12</v>
      </c>
      <c r="O54" s="205">
        <f t="shared" si="16"/>
        <v>15000</v>
      </c>
      <c r="P54" s="205">
        <v>12</v>
      </c>
      <c r="Q54" s="205">
        <f t="shared" si="17"/>
        <v>15000</v>
      </c>
      <c r="R54" s="205">
        <v>2</v>
      </c>
      <c r="S54" s="205">
        <f t="shared" si="18"/>
        <v>2500</v>
      </c>
      <c r="T54" s="205">
        <f t="shared" si="19"/>
        <v>50000</v>
      </c>
      <c r="U54" s="205">
        <v>0</v>
      </c>
      <c r="V54" s="205">
        <f t="shared" si="20"/>
        <v>50000</v>
      </c>
    </row>
    <row r="55" spans="1:23" ht="20.399999999999999" x14ac:dyDescent="0.35">
      <c r="A55" s="33" t="s">
        <v>158</v>
      </c>
      <c r="B55" s="268">
        <v>89050</v>
      </c>
      <c r="C55" s="268" t="s">
        <v>40</v>
      </c>
      <c r="D55" s="12" t="s">
        <v>159</v>
      </c>
      <c r="E55" s="12" t="s">
        <v>550</v>
      </c>
      <c r="F55" s="203" t="s">
        <v>551</v>
      </c>
      <c r="G55" s="203" t="s">
        <v>124</v>
      </c>
      <c r="H55" s="203" t="s">
        <v>38</v>
      </c>
      <c r="I55" s="205">
        <v>0</v>
      </c>
      <c r="J55" s="205">
        <v>100</v>
      </c>
      <c r="K55" s="205">
        <f t="shared" si="14"/>
        <v>0</v>
      </c>
      <c r="L55" s="205">
        <v>4</v>
      </c>
      <c r="M55" s="205">
        <f t="shared" si="15"/>
        <v>400</v>
      </c>
      <c r="N55" s="205">
        <v>4</v>
      </c>
      <c r="O55" s="205">
        <f t="shared" si="16"/>
        <v>400</v>
      </c>
      <c r="P55" s="205">
        <v>4</v>
      </c>
      <c r="Q55" s="205">
        <f t="shared" si="17"/>
        <v>400</v>
      </c>
      <c r="R55" s="205">
        <v>1</v>
      </c>
      <c r="S55" s="205">
        <f t="shared" si="18"/>
        <v>100</v>
      </c>
      <c r="T55" s="205">
        <f t="shared" si="19"/>
        <v>1300</v>
      </c>
      <c r="U55" s="205">
        <v>0</v>
      </c>
      <c r="V55" s="205">
        <f t="shared" si="20"/>
        <v>1300</v>
      </c>
    </row>
    <row r="56" spans="1:23" ht="10.199999999999999" x14ac:dyDescent="0.35">
      <c r="A56" s="203"/>
      <c r="B56" s="203"/>
      <c r="C56" s="203"/>
      <c r="D56" s="203"/>
      <c r="E56" s="203"/>
      <c r="F56" s="203"/>
      <c r="G56" s="203"/>
      <c r="H56" s="227"/>
    </row>
    <row r="57" spans="1:23" ht="10.8" thickBot="1" x14ac:dyDescent="0.45">
      <c r="A57" s="230"/>
      <c r="B57" s="230"/>
      <c r="C57" s="230"/>
      <c r="D57" s="230"/>
      <c r="E57" s="230"/>
      <c r="F57" s="230" t="s">
        <v>552</v>
      </c>
      <c r="G57" s="230"/>
      <c r="H57" s="212"/>
      <c r="I57" s="212"/>
      <c r="J57" s="231"/>
      <c r="K57" s="95">
        <f>SUM(K50:K55)</f>
        <v>3255</v>
      </c>
      <c r="L57" s="95"/>
      <c r="M57" s="95">
        <f>SUM(M50:M55)</f>
        <v>19295</v>
      </c>
      <c r="N57" s="95"/>
      <c r="O57" s="95">
        <f>SUM(O50:O55)</f>
        <v>19295</v>
      </c>
      <c r="P57" s="95"/>
      <c r="Q57" s="95">
        <f>SUM(Q50:Q55)</f>
        <v>19295</v>
      </c>
      <c r="R57" s="95"/>
      <c r="S57" s="95">
        <f>SUM(S50:S55)</f>
        <v>3290</v>
      </c>
      <c r="T57" s="215">
        <f>K57+M57+O57+Q57+S57</f>
        <v>64430</v>
      </c>
      <c r="U57" s="95">
        <f>SUM(U50:U55)</f>
        <v>0</v>
      </c>
      <c r="V57" s="216">
        <f>SUM(T57:U57)</f>
        <v>64430</v>
      </c>
    </row>
    <row r="58" spans="1:23" ht="17.7" x14ac:dyDescent="0.35">
      <c r="A58" s="192"/>
      <c r="B58" s="192"/>
      <c r="C58" s="192"/>
      <c r="D58" s="192"/>
      <c r="E58" s="192"/>
      <c r="F58" s="354" t="s">
        <v>553</v>
      </c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</row>
    <row r="59" spans="1:23" ht="10.8" thickBot="1" x14ac:dyDescent="0.45">
      <c r="A59" s="232"/>
      <c r="B59" s="232"/>
      <c r="C59" s="232"/>
      <c r="D59" s="232"/>
      <c r="E59" s="232"/>
      <c r="F59" s="232"/>
      <c r="G59" s="232"/>
      <c r="H59" s="233"/>
      <c r="I59" s="233"/>
      <c r="J59" s="234"/>
      <c r="K59" s="235"/>
      <c r="L59" s="235"/>
      <c r="M59" s="235"/>
      <c r="N59" s="235"/>
      <c r="O59" s="235"/>
      <c r="P59" s="235"/>
      <c r="Q59" s="235"/>
      <c r="R59" s="235"/>
      <c r="S59" s="235"/>
      <c r="T59" s="236"/>
      <c r="U59" s="235"/>
      <c r="V59" s="237"/>
    </row>
    <row r="60" spans="1:23" ht="10.5" x14ac:dyDescent="0.4">
      <c r="A60" s="238"/>
      <c r="B60" s="238"/>
      <c r="C60" s="238"/>
      <c r="D60" s="238"/>
      <c r="E60" s="238"/>
      <c r="F60" s="238" t="s">
        <v>195</v>
      </c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191"/>
    </row>
    <row r="61" spans="1:23" ht="10.5" x14ac:dyDescent="0.4">
      <c r="A61" s="241"/>
      <c r="B61" s="241"/>
      <c r="C61" s="241"/>
      <c r="D61" s="241"/>
      <c r="E61" s="241"/>
      <c r="F61" s="241" t="s">
        <v>196</v>
      </c>
      <c r="G61" s="242"/>
      <c r="H61" s="243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</row>
    <row r="62" spans="1:23" ht="10.199999999999999" x14ac:dyDescent="0.35">
      <c r="A62" s="203"/>
      <c r="B62" s="203"/>
      <c r="C62" s="203"/>
      <c r="D62" s="203"/>
      <c r="E62" s="203"/>
      <c r="F62" s="203" t="s">
        <v>554</v>
      </c>
      <c r="G62" s="203" t="s">
        <v>200</v>
      </c>
      <c r="H62" s="217" t="s">
        <v>115</v>
      </c>
      <c r="I62" s="205">
        <f>$K$29</f>
        <v>55112</v>
      </c>
      <c r="J62" s="107">
        <v>0.6</v>
      </c>
      <c r="K62" s="205">
        <f>I62*J62</f>
        <v>33067</v>
      </c>
      <c r="L62" s="205">
        <f>$M$29</f>
        <v>275168</v>
      </c>
      <c r="M62" s="205">
        <f t="shared" ref="M62:M65" si="21">L62*J62</f>
        <v>165101</v>
      </c>
      <c r="N62" s="205">
        <f>$O$29</f>
        <v>284803</v>
      </c>
      <c r="O62" s="205">
        <f t="shared" ref="O62:O65" si="22">N62*J62</f>
        <v>170882</v>
      </c>
      <c r="P62" s="205">
        <f>$Q$29</f>
        <v>294773</v>
      </c>
      <c r="Q62" s="205">
        <f>P62*J62</f>
        <v>176864</v>
      </c>
      <c r="R62" s="205">
        <f>$S$29</f>
        <v>50848</v>
      </c>
      <c r="S62" s="205">
        <f t="shared" ref="S62:S65" si="23">R62*J62</f>
        <v>30509</v>
      </c>
      <c r="T62" s="205">
        <f t="shared" ref="T62:T65" si="24">K62+M62+O62+Q62+S62</f>
        <v>576423</v>
      </c>
      <c r="U62" s="205">
        <v>0</v>
      </c>
      <c r="V62" s="205">
        <f t="shared" ref="V62:V65" si="25">SUM(T62:U62)</f>
        <v>576423</v>
      </c>
    </row>
    <row r="63" spans="1:23" ht="10.199999999999999" x14ac:dyDescent="0.35">
      <c r="A63" s="203"/>
      <c r="B63" s="203"/>
      <c r="C63" s="203"/>
      <c r="D63" s="203"/>
      <c r="E63" s="203"/>
      <c r="F63" s="203" t="s">
        <v>555</v>
      </c>
      <c r="G63" s="203" t="s">
        <v>200</v>
      </c>
      <c r="H63" s="217" t="s">
        <v>115</v>
      </c>
      <c r="I63" s="205">
        <f>$K$39</f>
        <v>6970</v>
      </c>
      <c r="J63" s="107">
        <v>0.6</v>
      </c>
      <c r="K63" s="205">
        <f>I63*J63</f>
        <v>4182</v>
      </c>
      <c r="L63" s="205">
        <f>$M$39</f>
        <v>20010</v>
      </c>
      <c r="M63" s="205">
        <f t="shared" si="21"/>
        <v>12006</v>
      </c>
      <c r="N63" s="205">
        <f>$O$39</f>
        <v>38550</v>
      </c>
      <c r="O63" s="205">
        <f t="shared" si="22"/>
        <v>23130</v>
      </c>
      <c r="P63" s="205">
        <f>$Q$39</f>
        <v>22500</v>
      </c>
      <c r="Q63" s="205">
        <f t="shared" ref="Q63:Q65" si="26">P63*J63</f>
        <v>13500</v>
      </c>
      <c r="R63" s="205">
        <f>$S$39</f>
        <v>3725</v>
      </c>
      <c r="S63" s="205">
        <f t="shared" si="23"/>
        <v>2235</v>
      </c>
      <c r="T63" s="205">
        <f t="shared" si="24"/>
        <v>55053</v>
      </c>
      <c r="U63" s="205">
        <v>0</v>
      </c>
      <c r="V63" s="205">
        <f t="shared" si="25"/>
        <v>55053</v>
      </c>
    </row>
    <row r="64" spans="1:23" ht="10.199999999999999" x14ac:dyDescent="0.35">
      <c r="A64" s="203"/>
      <c r="B64" s="203"/>
      <c r="C64" s="203"/>
      <c r="D64" s="203"/>
      <c r="E64" s="203"/>
      <c r="F64" s="203" t="s">
        <v>556</v>
      </c>
      <c r="G64" s="203" t="s">
        <v>200</v>
      </c>
      <c r="H64" s="217" t="s">
        <v>115</v>
      </c>
      <c r="I64" s="205">
        <f>$K$48</f>
        <v>7382</v>
      </c>
      <c r="J64" s="107">
        <v>0.6</v>
      </c>
      <c r="K64" s="205">
        <f t="shared" ref="K64:K65" si="27">I64*J64</f>
        <v>4429</v>
      </c>
      <c r="L64" s="205">
        <f>$M$48</f>
        <v>7507</v>
      </c>
      <c r="M64" s="205">
        <f t="shared" si="21"/>
        <v>4504</v>
      </c>
      <c r="N64" s="205">
        <f>$O$48</f>
        <v>3100</v>
      </c>
      <c r="O64" s="205">
        <f t="shared" si="22"/>
        <v>1860</v>
      </c>
      <c r="P64" s="205">
        <f>$Q$48</f>
        <v>2500</v>
      </c>
      <c r="Q64" s="205">
        <f t="shared" si="26"/>
        <v>1500</v>
      </c>
      <c r="R64" s="205">
        <f>$S$48</f>
        <v>475</v>
      </c>
      <c r="S64" s="205">
        <f t="shared" si="23"/>
        <v>285</v>
      </c>
      <c r="T64" s="205">
        <f>K64+M64+O64+Q64+S64</f>
        <v>12578</v>
      </c>
      <c r="U64" s="205">
        <v>0</v>
      </c>
      <c r="V64" s="205">
        <f t="shared" si="25"/>
        <v>12578</v>
      </c>
    </row>
    <row r="65" spans="1:22" ht="10.199999999999999" x14ac:dyDescent="0.35">
      <c r="A65" s="203"/>
      <c r="B65" s="203"/>
      <c r="C65" s="203"/>
      <c r="D65" s="203"/>
      <c r="E65" s="203"/>
      <c r="F65" s="203" t="s">
        <v>557</v>
      </c>
      <c r="G65" s="203" t="s">
        <v>200</v>
      </c>
      <c r="H65" s="217" t="s">
        <v>115</v>
      </c>
      <c r="I65" s="205">
        <f>$K$57</f>
        <v>3255</v>
      </c>
      <c r="J65" s="208">
        <v>0.6</v>
      </c>
      <c r="K65" s="205">
        <f t="shared" si="27"/>
        <v>1953</v>
      </c>
      <c r="L65" s="205">
        <f>$M$57</f>
        <v>19295</v>
      </c>
      <c r="M65" s="205">
        <f t="shared" si="21"/>
        <v>11577</v>
      </c>
      <c r="N65" s="205">
        <f>$O$57</f>
        <v>19295</v>
      </c>
      <c r="O65" s="205">
        <f t="shared" si="22"/>
        <v>11577</v>
      </c>
      <c r="P65" s="205">
        <f>$Q$57</f>
        <v>19295</v>
      </c>
      <c r="Q65" s="205">
        <f t="shared" si="26"/>
        <v>11577</v>
      </c>
      <c r="R65" s="205">
        <f>$S$57</f>
        <v>3290</v>
      </c>
      <c r="S65" s="205">
        <f t="shared" si="23"/>
        <v>1974</v>
      </c>
      <c r="T65" s="205">
        <f t="shared" si="24"/>
        <v>38658</v>
      </c>
      <c r="U65" s="205">
        <v>0</v>
      </c>
      <c r="V65" s="205">
        <f t="shared" si="25"/>
        <v>38658</v>
      </c>
    </row>
    <row r="66" spans="1:22" ht="10.199999999999999" x14ac:dyDescent="0.35">
      <c r="A66" s="263"/>
      <c r="B66" s="263"/>
      <c r="C66" s="263"/>
      <c r="D66" s="263"/>
      <c r="E66" s="263"/>
      <c r="F66" s="263" t="s">
        <v>558</v>
      </c>
      <c r="G66" s="223" t="s">
        <v>200</v>
      </c>
      <c r="H66" s="264" t="s">
        <v>115</v>
      </c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</row>
    <row r="67" spans="1:22" ht="10.199999999999999" x14ac:dyDescent="0.35">
      <c r="A67" s="33" t="s">
        <v>158</v>
      </c>
      <c r="B67" s="268">
        <v>89050</v>
      </c>
      <c r="C67" s="268" t="s">
        <v>40</v>
      </c>
      <c r="D67" s="12" t="s">
        <v>159</v>
      </c>
      <c r="E67" s="142" t="s">
        <v>559</v>
      </c>
      <c r="F67" s="203" t="s">
        <v>199</v>
      </c>
      <c r="G67" s="203" t="s">
        <v>200</v>
      </c>
      <c r="H67" s="204" t="s">
        <v>115</v>
      </c>
      <c r="I67" s="205">
        <v>0</v>
      </c>
      <c r="J67" s="205">
        <v>23337</v>
      </c>
      <c r="K67" s="205">
        <f>I67*J67</f>
        <v>0</v>
      </c>
      <c r="L67" s="205">
        <v>1</v>
      </c>
      <c r="M67" s="205">
        <f>L67*J67</f>
        <v>23337</v>
      </c>
      <c r="N67" s="205">
        <v>0</v>
      </c>
      <c r="O67" s="205">
        <f>J67*N67</f>
        <v>0</v>
      </c>
      <c r="P67" s="205">
        <v>0</v>
      </c>
      <c r="Q67" s="205">
        <f>J67*P67</f>
        <v>0</v>
      </c>
      <c r="R67" s="205">
        <v>0</v>
      </c>
      <c r="S67" s="205">
        <f>J67*R67</f>
        <v>0</v>
      </c>
      <c r="T67" s="205">
        <f>K67+M67+O67+Q67+S67</f>
        <v>23337</v>
      </c>
      <c r="U67" s="205">
        <v>0</v>
      </c>
      <c r="V67" s="205">
        <f t="shared" ref="V67" si="28">SUM(T67:U67)</f>
        <v>23337</v>
      </c>
    </row>
    <row r="68" spans="1:22" ht="10.199999999999999" x14ac:dyDescent="0.35">
      <c r="A68" s="263"/>
      <c r="B68" s="263"/>
      <c r="C68" s="263"/>
      <c r="D68" s="263"/>
      <c r="E68" s="263"/>
      <c r="F68" s="263" t="s">
        <v>560</v>
      </c>
      <c r="G68" s="265"/>
      <c r="H68" s="265"/>
      <c r="I68" s="265"/>
      <c r="J68" s="265"/>
      <c r="K68" s="223"/>
      <c r="L68" s="265"/>
      <c r="M68" s="265"/>
      <c r="N68" s="265"/>
      <c r="O68" s="265"/>
      <c r="P68" s="223"/>
      <c r="Q68" s="265"/>
      <c r="R68" s="265"/>
      <c r="S68" s="265"/>
      <c r="T68" s="265"/>
      <c r="U68" s="223"/>
      <c r="V68" s="265"/>
    </row>
    <row r="69" spans="1:22" ht="10.199999999999999" x14ac:dyDescent="0.35">
      <c r="A69" s="33" t="s">
        <v>158</v>
      </c>
      <c r="B69" s="268">
        <v>89050</v>
      </c>
      <c r="C69" s="268" t="s">
        <v>40</v>
      </c>
      <c r="D69" s="12" t="s">
        <v>159</v>
      </c>
      <c r="E69" s="142" t="s">
        <v>561</v>
      </c>
      <c r="F69" s="203" t="s">
        <v>215</v>
      </c>
      <c r="G69" s="203" t="s">
        <v>200</v>
      </c>
      <c r="H69" s="204" t="s">
        <v>115</v>
      </c>
      <c r="I69" s="205">
        <v>0</v>
      </c>
      <c r="J69" s="205">
        <v>36354</v>
      </c>
      <c r="K69" s="205">
        <f>I69*J69</f>
        <v>0</v>
      </c>
      <c r="L69" s="205">
        <v>0</v>
      </c>
      <c r="M69" s="205">
        <f>L69*J69</f>
        <v>0</v>
      </c>
      <c r="N69" s="205">
        <v>1</v>
      </c>
      <c r="O69" s="205">
        <f>J69*N69</f>
        <v>36354</v>
      </c>
      <c r="P69" s="205">
        <v>1</v>
      </c>
      <c r="Q69" s="205">
        <f>J69*P69</f>
        <v>36354</v>
      </c>
      <c r="R69" s="205">
        <v>0</v>
      </c>
      <c r="S69" s="205">
        <f>J69*R69</f>
        <v>0</v>
      </c>
      <c r="T69" s="205">
        <f>K69+M69+O69+Q69+S69</f>
        <v>72708</v>
      </c>
      <c r="U69" s="205">
        <v>0</v>
      </c>
      <c r="V69" s="205">
        <f>SUM(T69:U69)</f>
        <v>72708</v>
      </c>
    </row>
    <row r="70" spans="1:22" ht="10.199999999999999" x14ac:dyDescent="0.35">
      <c r="A70" s="263"/>
      <c r="B70" s="263"/>
      <c r="C70" s="263"/>
      <c r="D70" s="263"/>
      <c r="E70" s="263"/>
      <c r="F70" s="263" t="s">
        <v>562</v>
      </c>
      <c r="G70" s="265"/>
      <c r="H70" s="265"/>
      <c r="I70" s="265"/>
      <c r="J70" s="265"/>
      <c r="K70" s="223"/>
      <c r="L70" s="265"/>
      <c r="M70" s="265"/>
      <c r="N70" s="265"/>
      <c r="O70" s="265"/>
      <c r="P70" s="223"/>
      <c r="Q70" s="265"/>
      <c r="R70" s="265"/>
      <c r="S70" s="265"/>
      <c r="T70" s="265"/>
      <c r="U70" s="223"/>
      <c r="V70" s="265"/>
    </row>
    <row r="71" spans="1:22" ht="10.199999999999999" x14ac:dyDescent="0.35">
      <c r="A71" s="33" t="s">
        <v>158</v>
      </c>
      <c r="B71" s="268">
        <v>89050</v>
      </c>
      <c r="C71" s="268" t="s">
        <v>40</v>
      </c>
      <c r="D71" s="12" t="s">
        <v>159</v>
      </c>
      <c r="E71" s="142" t="s">
        <v>563</v>
      </c>
      <c r="F71" s="203" t="s">
        <v>564</v>
      </c>
      <c r="G71" s="203" t="s">
        <v>200</v>
      </c>
      <c r="H71" s="204" t="s">
        <v>115</v>
      </c>
      <c r="I71" s="205">
        <v>0</v>
      </c>
      <c r="J71" s="205">
        <f>80058/3</f>
        <v>26686</v>
      </c>
      <c r="K71" s="205">
        <f>I71*J71</f>
        <v>0</v>
      </c>
      <c r="L71" s="205">
        <v>0</v>
      </c>
      <c r="M71" s="205">
        <f>L71*J71</f>
        <v>0</v>
      </c>
      <c r="N71" s="205">
        <v>1</v>
      </c>
      <c r="O71" s="205">
        <f>J71*N71</f>
        <v>26686</v>
      </c>
      <c r="P71" s="205">
        <v>1</v>
      </c>
      <c r="Q71" s="205">
        <f>J71*P71</f>
        <v>26686</v>
      </c>
      <c r="R71" s="205">
        <v>1</v>
      </c>
      <c r="S71" s="205">
        <f>J71*R71</f>
        <v>26686</v>
      </c>
      <c r="T71" s="205">
        <f>K71+M71+O71+Q71+S71</f>
        <v>80058</v>
      </c>
      <c r="U71" s="205"/>
      <c r="V71" s="205">
        <f t="shared" ref="V71" si="29">SUM(T71:U71)</f>
        <v>80058</v>
      </c>
    </row>
    <row r="72" spans="1:22" ht="10.199999999999999" x14ac:dyDescent="0.35">
      <c r="A72" s="263"/>
      <c r="B72" s="263"/>
      <c r="C72" s="263"/>
      <c r="D72" s="263"/>
      <c r="E72" s="263"/>
      <c r="F72" s="263" t="s">
        <v>243</v>
      </c>
      <c r="G72" s="265"/>
      <c r="H72" s="265"/>
      <c r="I72" s="266"/>
      <c r="J72" s="266"/>
      <c r="K72" s="265"/>
      <c r="L72" s="265"/>
      <c r="M72" s="266"/>
      <c r="N72" s="266"/>
      <c r="O72" s="265"/>
      <c r="P72" s="265"/>
      <c r="Q72" s="266"/>
      <c r="R72" s="266"/>
      <c r="S72" s="265"/>
      <c r="T72" s="265"/>
      <c r="U72" s="266"/>
      <c r="V72" s="266"/>
    </row>
    <row r="73" spans="1:22" ht="10.199999999999999" x14ac:dyDescent="0.35">
      <c r="A73" s="33" t="s">
        <v>158</v>
      </c>
      <c r="B73" s="268">
        <v>89050</v>
      </c>
      <c r="C73" s="268" t="s">
        <v>40</v>
      </c>
      <c r="D73" s="12" t="s">
        <v>159</v>
      </c>
      <c r="E73" s="142" t="s">
        <v>565</v>
      </c>
      <c r="F73" s="203" t="s">
        <v>566</v>
      </c>
      <c r="G73" s="203" t="s">
        <v>200</v>
      </c>
      <c r="H73" s="204" t="s">
        <v>115</v>
      </c>
      <c r="I73" s="205">
        <v>0</v>
      </c>
      <c r="J73" s="205">
        <v>43614</v>
      </c>
      <c r="K73" s="205">
        <f>I73*J73</f>
        <v>0</v>
      </c>
      <c r="L73" s="205">
        <v>1</v>
      </c>
      <c r="M73" s="205">
        <f>L73*J73</f>
        <v>43614</v>
      </c>
      <c r="N73" s="205">
        <v>0</v>
      </c>
      <c r="O73" s="205">
        <f>J73*N73</f>
        <v>0</v>
      </c>
      <c r="P73" s="205">
        <v>0</v>
      </c>
      <c r="Q73" s="205">
        <f>J73*P73</f>
        <v>0</v>
      </c>
      <c r="R73" s="205">
        <v>0</v>
      </c>
      <c r="S73" s="205">
        <f>J73*R73</f>
        <v>0</v>
      </c>
      <c r="T73" s="205">
        <f>K73+M73+O73+Q73+S73</f>
        <v>43614</v>
      </c>
      <c r="U73" s="205">
        <v>0</v>
      </c>
      <c r="V73" s="205">
        <f>SUM(T73:U73)</f>
        <v>43614</v>
      </c>
    </row>
    <row r="74" spans="1:22" ht="20.399999999999999" x14ac:dyDescent="0.35">
      <c r="A74" s="263"/>
      <c r="B74" s="263"/>
      <c r="C74" s="263"/>
      <c r="D74" s="263"/>
      <c r="E74" s="263"/>
      <c r="F74" s="263" t="s">
        <v>253</v>
      </c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</row>
    <row r="75" spans="1:22" ht="10.199999999999999" x14ac:dyDescent="0.35">
      <c r="A75" s="33" t="s">
        <v>158</v>
      </c>
      <c r="B75" s="268">
        <v>89050</v>
      </c>
      <c r="C75" s="268" t="s">
        <v>40</v>
      </c>
      <c r="D75" s="12" t="s">
        <v>159</v>
      </c>
      <c r="E75" s="142" t="s">
        <v>567</v>
      </c>
      <c r="F75" s="203" t="s">
        <v>255</v>
      </c>
      <c r="G75" s="203" t="s">
        <v>200</v>
      </c>
      <c r="H75" s="204" t="s">
        <v>115</v>
      </c>
      <c r="I75" s="205">
        <v>0</v>
      </c>
      <c r="J75" s="205">
        <v>25170</v>
      </c>
      <c r="K75" s="205">
        <f>I75*J75</f>
        <v>0</v>
      </c>
      <c r="L75" s="205">
        <v>1</v>
      </c>
      <c r="M75" s="205">
        <f>L75*J75</f>
        <v>25170</v>
      </c>
      <c r="N75" s="205">
        <v>0</v>
      </c>
      <c r="O75" s="205">
        <f>J75*N75</f>
        <v>0</v>
      </c>
      <c r="P75" s="205">
        <v>0</v>
      </c>
      <c r="Q75" s="205">
        <f>J75*P75</f>
        <v>0</v>
      </c>
      <c r="R75" s="205">
        <v>0</v>
      </c>
      <c r="S75" s="205">
        <f>J75*R75</f>
        <v>0</v>
      </c>
      <c r="T75" s="205">
        <f>K75+M75+O75+Q75+S75</f>
        <v>25170</v>
      </c>
      <c r="U75" s="205">
        <v>0</v>
      </c>
      <c r="V75" s="205">
        <f>SUM(T75:U75)</f>
        <v>25170</v>
      </c>
    </row>
    <row r="76" spans="1:22" ht="10.199999999999999" x14ac:dyDescent="0.35">
      <c r="A76" s="203"/>
      <c r="B76" s="203"/>
      <c r="C76" s="203"/>
      <c r="D76" s="203"/>
      <c r="E76" s="203"/>
      <c r="F76" s="203"/>
      <c r="G76" s="203"/>
      <c r="H76" s="227"/>
    </row>
    <row r="77" spans="1:22" ht="10.8" thickBot="1" x14ac:dyDescent="0.45">
      <c r="A77" s="212"/>
      <c r="B77" s="212"/>
      <c r="C77" s="212"/>
      <c r="D77" s="212"/>
      <c r="E77" s="212"/>
      <c r="F77" s="212" t="s">
        <v>568</v>
      </c>
      <c r="G77" s="212"/>
      <c r="H77" s="212"/>
      <c r="I77" s="245"/>
      <c r="J77" s="245"/>
      <c r="K77" s="216">
        <f>SUM(K62:K75)</f>
        <v>43631</v>
      </c>
      <c r="L77" s="216"/>
      <c r="M77" s="216">
        <f>SUM(M62:M75)</f>
        <v>285309</v>
      </c>
      <c r="N77" s="216"/>
      <c r="O77" s="216">
        <f>SUM(O62:O75)</f>
        <v>270489</v>
      </c>
      <c r="P77" s="216"/>
      <c r="Q77" s="216">
        <f>SUM(Q62:Q75)</f>
        <v>266481</v>
      </c>
      <c r="R77" s="216"/>
      <c r="S77" s="216">
        <f>SUM(S62:S75)</f>
        <v>61689</v>
      </c>
      <c r="T77" s="216">
        <f>K77+M77+O77+Q77+S77</f>
        <v>927599</v>
      </c>
      <c r="U77" s="216">
        <f>SUM(U62:U69)</f>
        <v>0</v>
      </c>
      <c r="V77" s="216">
        <f>SUM(T77:U77)</f>
        <v>927599</v>
      </c>
    </row>
    <row r="78" spans="1:22" ht="10.199999999999999" x14ac:dyDescent="0.35">
      <c r="A78" s="203"/>
      <c r="B78" s="203"/>
      <c r="C78" s="203"/>
      <c r="D78" s="203"/>
      <c r="E78" s="203"/>
      <c r="F78" s="203"/>
      <c r="G78" s="203"/>
      <c r="H78" s="227"/>
    </row>
    <row r="79" spans="1:22" ht="20.7" x14ac:dyDescent="0.4">
      <c r="A79" s="33" t="s">
        <v>158</v>
      </c>
      <c r="B79" s="268">
        <v>89050</v>
      </c>
      <c r="C79" s="268" t="s">
        <v>40</v>
      </c>
      <c r="D79" s="12" t="s">
        <v>159</v>
      </c>
      <c r="E79" s="142" t="s">
        <v>569</v>
      </c>
      <c r="F79" s="246" t="s">
        <v>570</v>
      </c>
      <c r="G79" s="207" t="s">
        <v>399</v>
      </c>
      <c r="H79" s="247"/>
      <c r="I79" s="247"/>
      <c r="J79" s="208">
        <v>0.1</v>
      </c>
      <c r="K79" s="248">
        <f>(K77)*J79</f>
        <v>4363</v>
      </c>
      <c r="L79" s="248"/>
      <c r="M79" s="248">
        <f>(M77)*J79</f>
        <v>28531</v>
      </c>
      <c r="N79" s="248"/>
      <c r="O79" s="248">
        <f>(O77)*J79</f>
        <v>27049</v>
      </c>
      <c r="Q79" s="248">
        <f>(Q77)*J79</f>
        <v>26648</v>
      </c>
      <c r="S79" s="248">
        <f>(S77)*J79</f>
        <v>6169</v>
      </c>
      <c r="T79" s="248">
        <f>SUM(K79+M79+O79+Q79+S79)</f>
        <v>92760</v>
      </c>
      <c r="U79" s="248">
        <v>0</v>
      </c>
      <c r="V79" s="248">
        <f>SUM(T79:U79)</f>
        <v>92760</v>
      </c>
    </row>
    <row r="80" spans="1:22" ht="10.199999999999999" x14ac:dyDescent="0.35">
      <c r="A80" s="203"/>
      <c r="B80" s="203"/>
      <c r="C80" s="203"/>
      <c r="D80" s="203"/>
      <c r="E80" s="203"/>
      <c r="F80" s="203"/>
      <c r="G80" s="203"/>
      <c r="H80" s="227"/>
    </row>
    <row r="81" spans="1:23" ht="10.8" thickBot="1" x14ac:dyDescent="0.45">
      <c r="A81" s="212"/>
      <c r="B81" s="212"/>
      <c r="C81" s="212"/>
      <c r="D81" s="212"/>
      <c r="E81" s="212"/>
      <c r="F81" s="212" t="s">
        <v>267</v>
      </c>
      <c r="G81" s="212"/>
      <c r="H81" s="212"/>
      <c r="I81" s="245"/>
      <c r="J81" s="245"/>
      <c r="K81" s="216">
        <f>SUM(K77:K79)</f>
        <v>47994</v>
      </c>
      <c r="L81" s="216"/>
      <c r="M81" s="216">
        <f>SUM(M77:M79)</f>
        <v>313840</v>
      </c>
      <c r="N81" s="216"/>
      <c r="O81" s="216">
        <f>SUM(O77:O79)</f>
        <v>297538</v>
      </c>
      <c r="P81" s="216"/>
      <c r="Q81" s="216">
        <f>SUM(Q77:Q79)</f>
        <v>293129</v>
      </c>
      <c r="R81" s="216"/>
      <c r="S81" s="216">
        <f>SUM(S77:S79)</f>
        <v>67858</v>
      </c>
      <c r="T81" s="216">
        <f>K81+M81+O81+Q81+S81</f>
        <v>1020359</v>
      </c>
      <c r="U81" s="216">
        <f>SUM(U77:U80)</f>
        <v>0</v>
      </c>
      <c r="V81" s="216">
        <f>SUM(T81:U81)</f>
        <v>1020359</v>
      </c>
    </row>
    <row r="82" spans="1:23" ht="10.5" x14ac:dyDescent="0.4">
      <c r="A82" s="238"/>
      <c r="B82" s="238"/>
      <c r="C82" s="238"/>
      <c r="D82" s="238"/>
      <c r="E82" s="238"/>
      <c r="F82" s="238" t="s">
        <v>571</v>
      </c>
      <c r="G82" s="239"/>
      <c r="H82" s="239"/>
      <c r="I82" s="239"/>
      <c r="J82" s="239"/>
      <c r="K82" s="262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191"/>
    </row>
    <row r="83" spans="1:23" ht="10.5" x14ac:dyDescent="0.4">
      <c r="A83" s="241"/>
      <c r="B83" s="241"/>
      <c r="C83" s="241"/>
      <c r="D83" s="241"/>
      <c r="E83" s="241"/>
      <c r="F83" s="241" t="s">
        <v>196</v>
      </c>
      <c r="G83" s="242"/>
      <c r="H83" s="243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</row>
    <row r="84" spans="1:23" ht="10.199999999999999" x14ac:dyDescent="0.35">
      <c r="A84" s="203"/>
      <c r="B84" s="203"/>
      <c r="C84" s="203"/>
      <c r="D84" s="203"/>
      <c r="E84" s="203"/>
      <c r="F84" s="203" t="s">
        <v>572</v>
      </c>
      <c r="G84" s="203" t="s">
        <v>284</v>
      </c>
      <c r="H84" s="217" t="s">
        <v>115</v>
      </c>
      <c r="I84" s="205">
        <f>$K$29</f>
        <v>55112</v>
      </c>
      <c r="J84" s="107">
        <v>0.35</v>
      </c>
      <c r="K84" s="205">
        <f>I84*J84</f>
        <v>19289</v>
      </c>
      <c r="L84" s="205">
        <f>$M$29</f>
        <v>275168</v>
      </c>
      <c r="M84" s="205">
        <f t="shared" ref="M84:M87" si="30">L84*J84</f>
        <v>96309</v>
      </c>
      <c r="N84" s="205">
        <f>$O$29</f>
        <v>284803</v>
      </c>
      <c r="O84" s="205">
        <f t="shared" ref="O84:O87" si="31">N84*J84</f>
        <v>99681</v>
      </c>
      <c r="P84" s="205">
        <f>$Q$29</f>
        <v>294773</v>
      </c>
      <c r="Q84" s="205">
        <f t="shared" ref="Q84:Q87" si="32">P84*J84</f>
        <v>103171</v>
      </c>
      <c r="R84" s="205">
        <f>$S$29</f>
        <v>50848</v>
      </c>
      <c r="S84" s="205">
        <f t="shared" ref="S84:S87" si="33">R84*J84</f>
        <v>17797</v>
      </c>
      <c r="T84" s="205">
        <f t="shared" ref="T84:T87" si="34">K84+M84+O84+Q84+S84</f>
        <v>336247</v>
      </c>
      <c r="U84" s="205">
        <v>0</v>
      </c>
      <c r="V84" s="205">
        <f t="shared" ref="V84:V87" si="35">SUM(T84:U84)</f>
        <v>336247</v>
      </c>
    </row>
    <row r="85" spans="1:23" ht="10.199999999999999" x14ac:dyDescent="0.35">
      <c r="A85" s="203"/>
      <c r="B85" s="203"/>
      <c r="C85" s="203"/>
      <c r="D85" s="203"/>
      <c r="E85" s="203"/>
      <c r="F85" s="203" t="s">
        <v>573</v>
      </c>
      <c r="G85" s="203" t="s">
        <v>284</v>
      </c>
      <c r="H85" s="217" t="s">
        <v>115</v>
      </c>
      <c r="I85" s="205">
        <f>$K$39</f>
        <v>6970</v>
      </c>
      <c r="J85" s="107">
        <v>0.35</v>
      </c>
      <c r="K85" s="205">
        <f t="shared" ref="K85:K86" si="36">I85*J85</f>
        <v>2440</v>
      </c>
      <c r="L85" s="205">
        <f>$M$39</f>
        <v>20010</v>
      </c>
      <c r="M85" s="205">
        <f t="shared" si="30"/>
        <v>7004</v>
      </c>
      <c r="N85" s="205">
        <f>$O$39</f>
        <v>38550</v>
      </c>
      <c r="O85" s="205">
        <f t="shared" si="31"/>
        <v>13493</v>
      </c>
      <c r="P85" s="205">
        <f>$Q$39</f>
        <v>22500</v>
      </c>
      <c r="Q85" s="205">
        <f t="shared" si="32"/>
        <v>7875</v>
      </c>
      <c r="R85" s="205">
        <f>$S$39</f>
        <v>3725</v>
      </c>
      <c r="S85" s="205">
        <f t="shared" si="33"/>
        <v>1304</v>
      </c>
      <c r="T85" s="205">
        <f t="shared" si="34"/>
        <v>32116</v>
      </c>
      <c r="U85" s="205">
        <v>0</v>
      </c>
      <c r="V85" s="205">
        <f t="shared" si="35"/>
        <v>32116</v>
      </c>
    </row>
    <row r="86" spans="1:23" ht="10.199999999999999" x14ac:dyDescent="0.35">
      <c r="A86" s="203"/>
      <c r="B86" s="203"/>
      <c r="C86" s="203"/>
      <c r="D86" s="203"/>
      <c r="E86" s="203"/>
      <c r="F86" s="203" t="s">
        <v>574</v>
      </c>
      <c r="G86" s="203" t="s">
        <v>284</v>
      </c>
      <c r="H86" s="217" t="s">
        <v>115</v>
      </c>
      <c r="I86" s="205">
        <f>$K$48</f>
        <v>7382</v>
      </c>
      <c r="J86" s="107">
        <v>0.35</v>
      </c>
      <c r="K86" s="205">
        <f t="shared" si="36"/>
        <v>2584</v>
      </c>
      <c r="L86" s="205">
        <f>$M$48</f>
        <v>7507</v>
      </c>
      <c r="M86" s="205">
        <f t="shared" si="30"/>
        <v>2627</v>
      </c>
      <c r="N86" s="205">
        <f>$O$48</f>
        <v>3100</v>
      </c>
      <c r="O86" s="205">
        <f t="shared" si="31"/>
        <v>1085</v>
      </c>
      <c r="P86" s="205">
        <f>$Q$48</f>
        <v>2500</v>
      </c>
      <c r="Q86" s="205">
        <f t="shared" si="32"/>
        <v>875</v>
      </c>
      <c r="R86" s="205">
        <f>$S$48</f>
        <v>475</v>
      </c>
      <c r="S86" s="205">
        <f t="shared" si="33"/>
        <v>166</v>
      </c>
      <c r="T86" s="205">
        <f t="shared" si="34"/>
        <v>7337</v>
      </c>
      <c r="U86" s="205">
        <v>0</v>
      </c>
      <c r="V86" s="205">
        <f t="shared" si="35"/>
        <v>7337</v>
      </c>
    </row>
    <row r="87" spans="1:23" ht="10.199999999999999" x14ac:dyDescent="0.35">
      <c r="A87" s="203"/>
      <c r="B87" s="203"/>
      <c r="C87" s="203"/>
      <c r="D87" s="203"/>
      <c r="E87" s="203"/>
      <c r="F87" s="203" t="s">
        <v>575</v>
      </c>
      <c r="G87" s="203" t="s">
        <v>284</v>
      </c>
      <c r="H87" s="217" t="s">
        <v>115</v>
      </c>
      <c r="I87" s="205">
        <f>$K$57</f>
        <v>3255</v>
      </c>
      <c r="J87" s="208">
        <v>0.35</v>
      </c>
      <c r="K87" s="205">
        <f>I87*J87</f>
        <v>1139</v>
      </c>
      <c r="L87" s="205">
        <f>$M$57</f>
        <v>19295</v>
      </c>
      <c r="M87" s="205">
        <f t="shared" si="30"/>
        <v>6753</v>
      </c>
      <c r="N87" s="205">
        <f>$O$57</f>
        <v>19295</v>
      </c>
      <c r="O87" s="205">
        <f t="shared" si="31"/>
        <v>6753</v>
      </c>
      <c r="P87" s="205">
        <f>$Q$57</f>
        <v>19295</v>
      </c>
      <c r="Q87" s="205">
        <f t="shared" si="32"/>
        <v>6753</v>
      </c>
      <c r="R87" s="205">
        <f>$S$57</f>
        <v>3290</v>
      </c>
      <c r="S87" s="205">
        <f t="shared" si="33"/>
        <v>1152</v>
      </c>
      <c r="T87" s="205">
        <f t="shared" si="34"/>
        <v>22550</v>
      </c>
      <c r="U87" s="205">
        <v>0</v>
      </c>
      <c r="V87" s="205">
        <f t="shared" si="35"/>
        <v>22550</v>
      </c>
    </row>
    <row r="88" spans="1:23" ht="20.399999999999999" x14ac:dyDescent="0.35">
      <c r="A88" s="263"/>
      <c r="B88" s="263"/>
      <c r="C88" s="263"/>
      <c r="D88" s="263"/>
      <c r="E88" s="263"/>
      <c r="F88" s="263" t="s">
        <v>316</v>
      </c>
      <c r="G88" s="223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</row>
    <row r="89" spans="1:23" ht="20.399999999999999" x14ac:dyDescent="0.35">
      <c r="A89" s="33" t="s">
        <v>158</v>
      </c>
      <c r="B89" s="268">
        <v>89050</v>
      </c>
      <c r="C89" s="268" t="s">
        <v>40</v>
      </c>
      <c r="D89" s="12" t="s">
        <v>159</v>
      </c>
      <c r="E89" s="142" t="s">
        <v>576</v>
      </c>
      <c r="F89" s="203" t="s">
        <v>318</v>
      </c>
      <c r="G89" s="203" t="s">
        <v>284</v>
      </c>
      <c r="H89" s="267" t="s">
        <v>115</v>
      </c>
      <c r="I89" s="205">
        <v>0</v>
      </c>
      <c r="J89" s="205">
        <v>62890</v>
      </c>
      <c r="K89" s="205">
        <f>I89*J89</f>
        <v>0</v>
      </c>
      <c r="L89" s="205">
        <v>0</v>
      </c>
      <c r="M89" s="205">
        <f>L89*J89</f>
        <v>0</v>
      </c>
      <c r="N89" s="205">
        <v>1</v>
      </c>
      <c r="O89" s="205">
        <f>N89*J89</f>
        <v>62890</v>
      </c>
      <c r="P89" s="205">
        <v>0</v>
      </c>
      <c r="Q89" s="205">
        <f>P89*J89</f>
        <v>0</v>
      </c>
      <c r="R89" s="205">
        <v>0</v>
      </c>
      <c r="S89" s="205">
        <f>R89*J89</f>
        <v>0</v>
      </c>
      <c r="T89" s="205">
        <f>K89+M89+O89+Q89+S89</f>
        <v>62890</v>
      </c>
      <c r="U89" s="205">
        <v>0</v>
      </c>
      <c r="V89" s="205">
        <f>SUM(T89:U89)</f>
        <v>62890</v>
      </c>
    </row>
    <row r="90" spans="1:23" ht="24.6" customHeight="1" x14ac:dyDescent="0.35">
      <c r="A90" s="291"/>
      <c r="B90" s="291"/>
      <c r="C90" s="291"/>
      <c r="D90" s="291"/>
      <c r="E90" s="291"/>
      <c r="F90" s="291" t="s">
        <v>577</v>
      </c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</row>
    <row r="91" spans="1:23" ht="10.199999999999999" x14ac:dyDescent="0.35">
      <c r="A91" s="33" t="s">
        <v>158</v>
      </c>
      <c r="B91" s="268">
        <v>89050</v>
      </c>
      <c r="C91" s="268" t="s">
        <v>40</v>
      </c>
      <c r="D91" s="12" t="s">
        <v>159</v>
      </c>
      <c r="E91" s="142" t="s">
        <v>578</v>
      </c>
      <c r="F91" s="203" t="s">
        <v>329</v>
      </c>
      <c r="G91" s="203" t="s">
        <v>284</v>
      </c>
      <c r="H91" s="267" t="s">
        <v>115</v>
      </c>
      <c r="I91" s="207">
        <v>1</v>
      </c>
      <c r="J91" s="229">
        <v>1000</v>
      </c>
      <c r="K91" s="205">
        <f>I91*J91</f>
        <v>1000</v>
      </c>
      <c r="L91" s="228">
        <v>1</v>
      </c>
      <c r="M91" s="205">
        <f>L91*J91</f>
        <v>1000</v>
      </c>
      <c r="N91" s="228">
        <v>1</v>
      </c>
      <c r="O91" s="205">
        <f>N91*J91</f>
        <v>1000</v>
      </c>
      <c r="P91" s="205">
        <v>0</v>
      </c>
      <c r="Q91" s="205">
        <f>P91*J91</f>
        <v>0</v>
      </c>
      <c r="R91" s="205">
        <v>0</v>
      </c>
      <c r="S91" s="205">
        <f>R91*J91</f>
        <v>0</v>
      </c>
      <c r="T91" s="205">
        <f>K91+M91+O91+Q91+S91</f>
        <v>3000</v>
      </c>
      <c r="U91" s="205">
        <v>0</v>
      </c>
      <c r="V91" s="205">
        <f>SUM(T91:U91)</f>
        <v>3000</v>
      </c>
    </row>
    <row r="92" spans="1:23" s="207" customFormat="1" ht="10.199999999999999" x14ac:dyDescent="0.35">
      <c r="A92" s="33" t="s">
        <v>158</v>
      </c>
      <c r="B92" s="268">
        <v>89050</v>
      </c>
      <c r="C92" s="268" t="s">
        <v>40</v>
      </c>
      <c r="D92" s="12" t="s">
        <v>159</v>
      </c>
      <c r="E92" s="142" t="s">
        <v>579</v>
      </c>
      <c r="F92" s="203" t="s">
        <v>580</v>
      </c>
      <c r="G92" s="203" t="s">
        <v>284</v>
      </c>
      <c r="H92" s="267" t="s">
        <v>38</v>
      </c>
      <c r="I92" s="205">
        <v>4</v>
      </c>
      <c r="J92" s="205">
        <v>2000</v>
      </c>
      <c r="K92" s="205">
        <f>I92*J92</f>
        <v>8000</v>
      </c>
      <c r="L92" s="205">
        <v>24</v>
      </c>
      <c r="M92" s="205">
        <f>L92*J92</f>
        <v>48000</v>
      </c>
      <c r="N92" s="205">
        <v>0</v>
      </c>
      <c r="O92" s="205">
        <f>N92*J92</f>
        <v>0</v>
      </c>
      <c r="P92" s="205">
        <v>0</v>
      </c>
      <c r="Q92" s="205">
        <f>P92*J92</f>
        <v>0</v>
      </c>
      <c r="R92" s="205">
        <v>0</v>
      </c>
      <c r="S92" s="205">
        <f>R92*J92</f>
        <v>0</v>
      </c>
      <c r="T92" s="205">
        <f>K92+M92+O92+Q92+S92</f>
        <v>56000</v>
      </c>
      <c r="U92" s="205">
        <v>0</v>
      </c>
      <c r="V92" s="205">
        <f>SUM(T92:U92)</f>
        <v>56000</v>
      </c>
      <c r="W92" s="255"/>
    </row>
    <row r="93" spans="1:23" s="207" customFormat="1" ht="30.6" x14ac:dyDescent="0.35">
      <c r="A93" s="33" t="s">
        <v>158</v>
      </c>
      <c r="B93" s="268">
        <v>89050</v>
      </c>
      <c r="C93" s="268" t="s">
        <v>40</v>
      </c>
      <c r="D93" s="12" t="s">
        <v>159</v>
      </c>
      <c r="E93" s="142" t="s">
        <v>581</v>
      </c>
      <c r="F93" s="203" t="s">
        <v>331</v>
      </c>
      <c r="G93" s="203" t="s">
        <v>284</v>
      </c>
      <c r="H93" s="267" t="s">
        <v>210</v>
      </c>
      <c r="I93" s="205"/>
      <c r="J93" s="205">
        <v>20862</v>
      </c>
      <c r="K93" s="205">
        <f>I93*J93</f>
        <v>0</v>
      </c>
      <c r="L93" s="205">
        <v>3</v>
      </c>
      <c r="M93" s="205">
        <f>L93*J93</f>
        <v>62586</v>
      </c>
      <c r="N93" s="205">
        <v>0</v>
      </c>
      <c r="O93" s="205">
        <f>N93*J93</f>
        <v>0</v>
      </c>
      <c r="P93" s="205">
        <v>0</v>
      </c>
      <c r="Q93" s="205">
        <f>P93*J93</f>
        <v>0</v>
      </c>
      <c r="R93" s="205">
        <v>0</v>
      </c>
      <c r="S93" s="205">
        <f>R93*J93</f>
        <v>0</v>
      </c>
      <c r="T93" s="205">
        <f>K93+M93+O93+Q93+S93</f>
        <v>62586</v>
      </c>
      <c r="U93" s="205">
        <v>0</v>
      </c>
      <c r="V93" s="205">
        <f>SUM(T93:U93)</f>
        <v>62586</v>
      </c>
      <c r="W93" s="255"/>
    </row>
    <row r="94" spans="1:23" ht="10.8" thickBot="1" x14ac:dyDescent="0.45">
      <c r="A94" s="212"/>
      <c r="B94" s="212"/>
      <c r="C94" s="212"/>
      <c r="D94" s="212"/>
      <c r="E94" s="212"/>
      <c r="F94" s="212" t="s">
        <v>582</v>
      </c>
      <c r="G94" s="212"/>
      <c r="H94" s="212"/>
      <c r="I94" s="245"/>
      <c r="J94" s="245"/>
      <c r="K94" s="216">
        <f>SUM(K84:K93)</f>
        <v>34452</v>
      </c>
      <c r="L94" s="216"/>
      <c r="M94" s="216">
        <f>SUM(M84:M93)</f>
        <v>224279</v>
      </c>
      <c r="N94" s="216"/>
      <c r="O94" s="216">
        <f>SUM(O84:O93)</f>
        <v>184902</v>
      </c>
      <c r="P94" s="216"/>
      <c r="Q94" s="216">
        <f>SUM(Q84:Q93)</f>
        <v>118674</v>
      </c>
      <c r="R94" s="216"/>
      <c r="S94" s="216">
        <f>SUM(S84:S93)</f>
        <v>20419</v>
      </c>
      <c r="T94" s="216">
        <f>SUM(T84:T93)</f>
        <v>582726</v>
      </c>
      <c r="U94" s="216">
        <f>SUM(U84:U93)</f>
        <v>0</v>
      </c>
      <c r="V94" s="216">
        <f>SUM(T94:U94)</f>
        <v>582726</v>
      </c>
    </row>
    <row r="95" spans="1:23" ht="10.199999999999999" x14ac:dyDescent="0.35">
      <c r="A95" s="203"/>
      <c r="B95" s="203"/>
      <c r="C95" s="203"/>
      <c r="D95" s="203"/>
      <c r="E95" s="203"/>
      <c r="F95" s="203"/>
      <c r="G95" s="203"/>
      <c r="H95" s="227"/>
    </row>
    <row r="96" spans="1:23" ht="20.7" x14ac:dyDescent="0.4">
      <c r="A96" s="33" t="s">
        <v>158</v>
      </c>
      <c r="B96" s="268">
        <v>89050</v>
      </c>
      <c r="C96" s="268" t="s">
        <v>40</v>
      </c>
      <c r="D96" s="12" t="s">
        <v>159</v>
      </c>
      <c r="E96" s="142" t="s">
        <v>569</v>
      </c>
      <c r="F96" s="246" t="s">
        <v>583</v>
      </c>
      <c r="G96" s="207" t="s">
        <v>399</v>
      </c>
      <c r="H96" s="247"/>
      <c r="I96" s="247"/>
      <c r="J96" s="208">
        <v>0.1</v>
      </c>
      <c r="K96" s="248">
        <f>(K94)*J96</f>
        <v>3445</v>
      </c>
      <c r="L96" s="248"/>
      <c r="M96" s="248">
        <f>(M94)*J96</f>
        <v>22428</v>
      </c>
      <c r="N96" s="248"/>
      <c r="O96" s="248">
        <f>(O94)*J96</f>
        <v>18490</v>
      </c>
      <c r="Q96" s="248">
        <f>(Q94)*J96</f>
        <v>11867</v>
      </c>
      <c r="S96" s="248">
        <f>(S94)*J96</f>
        <v>2042</v>
      </c>
      <c r="T96" s="248">
        <f>SUM(K96+M96+O96+Q96+S96)</f>
        <v>58272</v>
      </c>
      <c r="U96" s="248">
        <v>0</v>
      </c>
      <c r="V96" s="248">
        <f>SUM(T96:U96)</f>
        <v>58272</v>
      </c>
    </row>
    <row r="97" spans="1:23" ht="10.199999999999999" x14ac:dyDescent="0.35">
      <c r="A97" s="203"/>
      <c r="B97" s="203"/>
      <c r="C97" s="203"/>
      <c r="D97" s="203"/>
      <c r="E97" s="203"/>
      <c r="F97" s="203"/>
      <c r="G97" s="203"/>
      <c r="H97" s="227"/>
    </row>
    <row r="98" spans="1:23" ht="10.8" thickBot="1" x14ac:dyDescent="0.45">
      <c r="A98" s="212"/>
      <c r="B98" s="212"/>
      <c r="C98" s="212"/>
      <c r="D98" s="212"/>
      <c r="E98" s="212"/>
      <c r="F98" s="212" t="s">
        <v>338</v>
      </c>
      <c r="G98" s="212"/>
      <c r="H98" s="212"/>
      <c r="I98" s="245"/>
      <c r="J98" s="245"/>
      <c r="K98" s="216">
        <f>SUM(K94:K96)</f>
        <v>37897</v>
      </c>
      <c r="L98" s="216"/>
      <c r="M98" s="216">
        <f>SUM(M94:M96)</f>
        <v>246707</v>
      </c>
      <c r="N98" s="216"/>
      <c r="O98" s="216">
        <f>SUM(O94:O96)</f>
        <v>203392</v>
      </c>
      <c r="P98" s="216"/>
      <c r="Q98" s="216">
        <f>SUM(Q94:Q96)</f>
        <v>130541</v>
      </c>
      <c r="R98" s="216"/>
      <c r="S98" s="216">
        <f>SUM(S94:S96)</f>
        <v>22461</v>
      </c>
      <c r="T98" s="216">
        <f>K98+M98+O98+Q98+S98</f>
        <v>640998</v>
      </c>
      <c r="U98" s="216">
        <f>SUM(U89:U93)</f>
        <v>0</v>
      </c>
      <c r="V98" s="216">
        <f>SUM(T98:U98)</f>
        <v>640998</v>
      </c>
    </row>
    <row r="99" spans="1:23" ht="10.5" x14ac:dyDescent="0.4">
      <c r="A99" s="238"/>
      <c r="B99" s="238"/>
      <c r="C99" s="238"/>
      <c r="D99" s="238"/>
      <c r="E99" s="238"/>
      <c r="F99" s="238" t="s">
        <v>339</v>
      </c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191"/>
    </row>
    <row r="100" spans="1:23" ht="10.5" x14ac:dyDescent="0.4">
      <c r="A100" s="241"/>
      <c r="B100" s="241"/>
      <c r="C100" s="241"/>
      <c r="D100" s="241"/>
      <c r="E100" s="241"/>
      <c r="F100" s="241" t="s">
        <v>196</v>
      </c>
      <c r="G100" s="242"/>
      <c r="H100" s="243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 s="244"/>
      <c r="V100" s="244"/>
    </row>
    <row r="101" spans="1:23" ht="10.199999999999999" x14ac:dyDescent="0.35">
      <c r="A101" s="203"/>
      <c r="B101" s="203"/>
      <c r="C101" s="203"/>
      <c r="D101" s="203"/>
      <c r="E101" s="203"/>
      <c r="F101" s="203" t="s">
        <v>584</v>
      </c>
      <c r="G101" s="203" t="s">
        <v>343</v>
      </c>
      <c r="H101" s="217" t="s">
        <v>115</v>
      </c>
      <c r="I101" s="205">
        <f>K29</f>
        <v>55112</v>
      </c>
      <c r="J101" s="107">
        <v>0.05</v>
      </c>
      <c r="K101" s="205">
        <f t="shared" ref="K101:K104" si="37">I101*J101</f>
        <v>2756</v>
      </c>
      <c r="L101" s="205">
        <f>$M$29</f>
        <v>275168</v>
      </c>
      <c r="M101" s="205">
        <f t="shared" ref="M101:M104" si="38">L101*J101</f>
        <v>13758</v>
      </c>
      <c r="N101" s="205">
        <f>$O$29</f>
        <v>284803</v>
      </c>
      <c r="O101" s="205">
        <f t="shared" ref="O101:O104" si="39">N101*J101</f>
        <v>14240</v>
      </c>
      <c r="P101" s="205">
        <f>$Q$29</f>
        <v>294773</v>
      </c>
      <c r="Q101" s="205">
        <f t="shared" ref="Q101:Q104" si="40">P101*J101</f>
        <v>14739</v>
      </c>
      <c r="R101" s="205">
        <f>$S$29</f>
        <v>50848</v>
      </c>
      <c r="S101" s="205">
        <f t="shared" ref="S101:S104" si="41">R101*J101</f>
        <v>2542</v>
      </c>
      <c r="T101" s="205">
        <f t="shared" ref="T101:T107" si="42">K101+M101+O101+Q101+S101</f>
        <v>48035</v>
      </c>
      <c r="U101" s="205">
        <v>0</v>
      </c>
      <c r="V101" s="205">
        <f t="shared" ref="V101:V107" si="43">SUM(T101:U101)</f>
        <v>48035</v>
      </c>
    </row>
    <row r="102" spans="1:23" ht="10.199999999999999" x14ac:dyDescent="0.35">
      <c r="A102" s="203"/>
      <c r="B102" s="203"/>
      <c r="C102" s="203"/>
      <c r="D102" s="203"/>
      <c r="E102" s="203"/>
      <c r="F102" s="203" t="s">
        <v>585</v>
      </c>
      <c r="G102" s="203" t="s">
        <v>343</v>
      </c>
      <c r="H102" s="217" t="s">
        <v>115</v>
      </c>
      <c r="I102" s="205">
        <f>$K$39</f>
        <v>6970</v>
      </c>
      <c r="J102" s="107">
        <v>0.05</v>
      </c>
      <c r="K102" s="205">
        <f t="shared" si="37"/>
        <v>349</v>
      </c>
      <c r="L102" s="205">
        <f>$M$39</f>
        <v>20010</v>
      </c>
      <c r="M102" s="205">
        <f t="shared" si="38"/>
        <v>1001</v>
      </c>
      <c r="N102" s="205">
        <f>$O$39</f>
        <v>38550</v>
      </c>
      <c r="O102" s="205">
        <f t="shared" si="39"/>
        <v>1928</v>
      </c>
      <c r="P102" s="205">
        <f>$Q$39</f>
        <v>22500</v>
      </c>
      <c r="Q102" s="205">
        <f t="shared" si="40"/>
        <v>1125</v>
      </c>
      <c r="R102" s="205">
        <f>$S$39</f>
        <v>3725</v>
      </c>
      <c r="S102" s="205">
        <f t="shared" si="41"/>
        <v>186</v>
      </c>
      <c r="T102" s="205">
        <f t="shared" si="42"/>
        <v>4589</v>
      </c>
      <c r="U102" s="205">
        <v>0</v>
      </c>
      <c r="V102" s="205">
        <f t="shared" si="43"/>
        <v>4589</v>
      </c>
    </row>
    <row r="103" spans="1:23" ht="10.199999999999999" x14ac:dyDescent="0.35">
      <c r="A103" s="203"/>
      <c r="B103" s="203"/>
      <c r="C103" s="203"/>
      <c r="D103" s="203"/>
      <c r="E103" s="203"/>
      <c r="F103" s="203" t="s">
        <v>586</v>
      </c>
      <c r="G103" s="203" t="s">
        <v>343</v>
      </c>
      <c r="H103" s="217" t="s">
        <v>115</v>
      </c>
      <c r="I103" s="205">
        <f>$K$48</f>
        <v>7382</v>
      </c>
      <c r="J103" s="107">
        <v>0.05</v>
      </c>
      <c r="K103" s="205">
        <f t="shared" si="37"/>
        <v>369</v>
      </c>
      <c r="L103" s="205">
        <f>$M$48</f>
        <v>7507</v>
      </c>
      <c r="M103" s="205">
        <f t="shared" si="38"/>
        <v>375</v>
      </c>
      <c r="N103" s="205">
        <f>$O$48</f>
        <v>3100</v>
      </c>
      <c r="O103" s="205">
        <f t="shared" si="39"/>
        <v>155</v>
      </c>
      <c r="P103" s="205">
        <f>$Q$48</f>
        <v>2500</v>
      </c>
      <c r="Q103" s="205">
        <f t="shared" si="40"/>
        <v>125</v>
      </c>
      <c r="R103" s="205">
        <f>$S$48</f>
        <v>475</v>
      </c>
      <c r="S103" s="205">
        <f t="shared" si="41"/>
        <v>24</v>
      </c>
      <c r="T103" s="205">
        <f t="shared" si="42"/>
        <v>1048</v>
      </c>
      <c r="U103" s="205">
        <v>0</v>
      </c>
      <c r="V103" s="205">
        <f t="shared" si="43"/>
        <v>1048</v>
      </c>
    </row>
    <row r="104" spans="1:23" ht="10.199999999999999" x14ac:dyDescent="0.35">
      <c r="A104" s="203"/>
      <c r="B104" s="203"/>
      <c r="C104" s="203"/>
      <c r="D104" s="203"/>
      <c r="E104" s="203"/>
      <c r="F104" s="203" t="s">
        <v>587</v>
      </c>
      <c r="G104" s="203" t="s">
        <v>343</v>
      </c>
      <c r="H104" s="217" t="s">
        <v>115</v>
      </c>
      <c r="I104" s="205">
        <f>$K$57</f>
        <v>3255</v>
      </c>
      <c r="J104" s="208">
        <v>0.05</v>
      </c>
      <c r="K104" s="205">
        <f t="shared" si="37"/>
        <v>163</v>
      </c>
      <c r="L104" s="205">
        <f>$M$57</f>
        <v>19295</v>
      </c>
      <c r="M104" s="205">
        <f t="shared" si="38"/>
        <v>965</v>
      </c>
      <c r="N104" s="205">
        <f>$O$57</f>
        <v>19295</v>
      </c>
      <c r="O104" s="205">
        <f t="shared" si="39"/>
        <v>965</v>
      </c>
      <c r="P104" s="205">
        <f>$Q$57</f>
        <v>19295</v>
      </c>
      <c r="Q104" s="205">
        <f t="shared" si="40"/>
        <v>965</v>
      </c>
      <c r="R104" s="205">
        <f>$S$57</f>
        <v>3290</v>
      </c>
      <c r="S104" s="205">
        <f t="shared" si="41"/>
        <v>165</v>
      </c>
      <c r="T104" s="205">
        <f t="shared" si="42"/>
        <v>3223</v>
      </c>
      <c r="U104" s="205">
        <v>0</v>
      </c>
      <c r="V104" s="205">
        <f t="shared" si="43"/>
        <v>3223</v>
      </c>
    </row>
    <row r="105" spans="1:23" ht="10.199999999999999" x14ac:dyDescent="0.35">
      <c r="A105" s="33" t="s">
        <v>158</v>
      </c>
      <c r="B105" s="268">
        <v>89050</v>
      </c>
      <c r="C105" s="268" t="s">
        <v>40</v>
      </c>
      <c r="D105" s="12" t="s">
        <v>159</v>
      </c>
      <c r="E105" s="142" t="s">
        <v>588</v>
      </c>
      <c r="F105" s="203" t="s">
        <v>379</v>
      </c>
      <c r="G105" s="203" t="s">
        <v>343</v>
      </c>
      <c r="H105" s="217" t="s">
        <v>228</v>
      </c>
      <c r="I105" s="205">
        <v>4</v>
      </c>
      <c r="J105" s="205">
        <v>110</v>
      </c>
      <c r="K105" s="205">
        <f>I105*J105</f>
        <v>440</v>
      </c>
      <c r="L105" s="205">
        <v>6</v>
      </c>
      <c r="M105" s="205">
        <f>L105*J105</f>
        <v>660</v>
      </c>
      <c r="N105" s="205">
        <v>6</v>
      </c>
      <c r="O105" s="205">
        <f>N105*J105</f>
        <v>660</v>
      </c>
      <c r="P105" s="205">
        <v>6</v>
      </c>
      <c r="Q105" s="205">
        <f>P105*J105</f>
        <v>660</v>
      </c>
      <c r="R105" s="205">
        <v>4</v>
      </c>
      <c r="S105" s="205">
        <f>R105*J105</f>
        <v>440</v>
      </c>
      <c r="T105" s="205">
        <f t="shared" si="42"/>
        <v>2860</v>
      </c>
      <c r="U105" s="205">
        <v>0</v>
      </c>
      <c r="V105" s="205">
        <f t="shared" si="43"/>
        <v>2860</v>
      </c>
    </row>
    <row r="106" spans="1:23" ht="10.199999999999999" x14ac:dyDescent="0.35">
      <c r="A106" s="33" t="s">
        <v>158</v>
      </c>
      <c r="B106" s="268">
        <v>89050</v>
      </c>
      <c r="C106" s="268" t="s">
        <v>40</v>
      </c>
      <c r="D106" s="12" t="s">
        <v>159</v>
      </c>
      <c r="E106" s="142" t="s">
        <v>589</v>
      </c>
      <c r="F106" s="203" t="s">
        <v>381</v>
      </c>
      <c r="G106" s="203" t="s">
        <v>343</v>
      </c>
      <c r="H106" s="217" t="s">
        <v>228</v>
      </c>
      <c r="I106" s="205">
        <v>4</v>
      </c>
      <c r="J106" s="205">
        <v>100</v>
      </c>
      <c r="K106" s="205">
        <f>I106*J106</f>
        <v>400</v>
      </c>
      <c r="L106" s="205">
        <v>6</v>
      </c>
      <c r="M106" s="205">
        <f>L106*J106</f>
        <v>600</v>
      </c>
      <c r="N106" s="205">
        <v>6</v>
      </c>
      <c r="O106" s="205">
        <f>N106*J106</f>
        <v>600</v>
      </c>
      <c r="P106" s="205">
        <v>6</v>
      </c>
      <c r="Q106" s="205">
        <f>P106*J106</f>
        <v>600</v>
      </c>
      <c r="R106" s="205">
        <v>4</v>
      </c>
      <c r="S106" s="205">
        <f>R106*J106</f>
        <v>400</v>
      </c>
      <c r="T106" s="205">
        <f t="shared" si="42"/>
        <v>2600</v>
      </c>
      <c r="U106" s="205">
        <v>0</v>
      </c>
      <c r="V106" s="205">
        <f t="shared" si="43"/>
        <v>2600</v>
      </c>
    </row>
    <row r="107" spans="1:23" ht="10.199999999999999" x14ac:dyDescent="0.35">
      <c r="A107" s="33" t="s">
        <v>158</v>
      </c>
      <c r="B107" s="268">
        <v>89050</v>
      </c>
      <c r="C107" s="268" t="s">
        <v>40</v>
      </c>
      <c r="D107" s="12" t="s">
        <v>159</v>
      </c>
      <c r="E107" s="142" t="s">
        <v>590</v>
      </c>
      <c r="F107" s="203" t="s">
        <v>383</v>
      </c>
      <c r="G107" s="203" t="s">
        <v>343</v>
      </c>
      <c r="H107" s="217" t="s">
        <v>115</v>
      </c>
      <c r="I107" s="205">
        <v>1</v>
      </c>
      <c r="J107" s="205">
        <v>100</v>
      </c>
      <c r="K107" s="205">
        <f>I107*J107</f>
        <v>100</v>
      </c>
      <c r="L107" s="205">
        <v>1</v>
      </c>
      <c r="M107" s="205">
        <f>L107*J107</f>
        <v>100</v>
      </c>
      <c r="N107" s="205">
        <v>1</v>
      </c>
      <c r="O107" s="205">
        <f>N107*J107</f>
        <v>100</v>
      </c>
      <c r="P107" s="205">
        <v>1</v>
      </c>
      <c r="Q107" s="205">
        <f>P107*J107</f>
        <v>100</v>
      </c>
      <c r="R107" s="205">
        <v>1</v>
      </c>
      <c r="S107" s="205">
        <f>R107*J107</f>
        <v>100</v>
      </c>
      <c r="T107" s="205">
        <f t="shared" si="42"/>
        <v>500</v>
      </c>
      <c r="U107" s="205">
        <v>0</v>
      </c>
      <c r="V107" s="205">
        <f t="shared" si="43"/>
        <v>500</v>
      </c>
    </row>
    <row r="108" spans="1:23" ht="10.199999999999999" x14ac:dyDescent="0.35">
      <c r="A108" s="203"/>
      <c r="B108" s="268"/>
      <c r="C108" s="268"/>
      <c r="D108" s="12"/>
      <c r="E108" s="12"/>
      <c r="F108" s="203"/>
      <c r="G108" s="203"/>
      <c r="H108" s="227"/>
    </row>
    <row r="109" spans="1:23" ht="10.8" thickBot="1" x14ac:dyDescent="0.45">
      <c r="A109" s="212"/>
      <c r="B109" s="212"/>
      <c r="C109" s="212"/>
      <c r="D109" s="212"/>
      <c r="E109" s="212"/>
      <c r="F109" s="212" t="s">
        <v>591</v>
      </c>
      <c r="G109" s="212"/>
      <c r="H109" s="212"/>
      <c r="I109" s="245"/>
      <c r="J109" s="245"/>
      <c r="K109" s="216">
        <f>SUM(K101:K107)</f>
        <v>4577</v>
      </c>
      <c r="L109" s="216"/>
      <c r="M109" s="216">
        <f>SUM(M101:M107)</f>
        <v>17459</v>
      </c>
      <c r="N109" s="216"/>
      <c r="O109" s="216">
        <f>SUM(O101:O107)</f>
        <v>18648</v>
      </c>
      <c r="P109" s="216"/>
      <c r="Q109" s="216">
        <f>SUM(Q101:Q107)</f>
        <v>18314</v>
      </c>
      <c r="R109" s="216"/>
      <c r="S109" s="216">
        <f>SUM(S101:S107)</f>
        <v>3857</v>
      </c>
      <c r="T109" s="216">
        <f>K109+M109+O109+Q109+S109</f>
        <v>62855</v>
      </c>
      <c r="U109" s="216">
        <f>SUM(U101:U107)</f>
        <v>0</v>
      </c>
      <c r="V109" s="216">
        <f>SUM(T109:U109)</f>
        <v>62855</v>
      </c>
    </row>
    <row r="110" spans="1:23" ht="10.199999999999999" x14ac:dyDescent="0.35">
      <c r="A110" s="203"/>
      <c r="B110" s="203"/>
      <c r="C110" s="203"/>
      <c r="D110" s="203"/>
      <c r="E110" s="203"/>
      <c r="F110" s="203"/>
      <c r="G110" s="203"/>
      <c r="H110" s="227"/>
    </row>
    <row r="111" spans="1:23" ht="20.7" x14ac:dyDescent="0.4">
      <c r="A111" s="33" t="s">
        <v>158</v>
      </c>
      <c r="B111" s="268">
        <v>89050</v>
      </c>
      <c r="C111" s="268" t="s">
        <v>40</v>
      </c>
      <c r="D111" s="12" t="s">
        <v>159</v>
      </c>
      <c r="E111" s="142" t="s">
        <v>569</v>
      </c>
      <c r="F111" s="246" t="s">
        <v>592</v>
      </c>
      <c r="G111" s="207" t="s">
        <v>399</v>
      </c>
      <c r="H111" s="247"/>
      <c r="I111" s="247"/>
      <c r="J111" s="208">
        <v>0.1</v>
      </c>
      <c r="K111" s="248">
        <f>(K109)*J111</f>
        <v>458</v>
      </c>
      <c r="L111" s="248"/>
      <c r="M111" s="248">
        <f>(M109)*J111</f>
        <v>1746</v>
      </c>
      <c r="N111" s="248"/>
      <c r="O111" s="248">
        <f>(O109)*J111</f>
        <v>1865</v>
      </c>
      <c r="Q111" s="248">
        <f>(Q109)*J111</f>
        <v>1831</v>
      </c>
      <c r="S111" s="248">
        <f>(S109)*J111</f>
        <v>386</v>
      </c>
      <c r="T111" s="248">
        <f>SUM(K111+M111+O111+Q111+S111)</f>
        <v>6286</v>
      </c>
      <c r="U111" s="248">
        <v>0</v>
      </c>
      <c r="V111" s="248">
        <f>SUM(T111:U111)</f>
        <v>6286</v>
      </c>
    </row>
    <row r="112" spans="1:23" ht="10.199999999999999" x14ac:dyDescent="0.35">
      <c r="A112" s="203"/>
      <c r="B112" s="203"/>
      <c r="C112" s="203"/>
      <c r="D112" s="203"/>
      <c r="E112" s="203"/>
      <c r="F112" s="203"/>
      <c r="G112" s="203"/>
      <c r="H112" s="227"/>
    </row>
    <row r="113" spans="1:22" ht="10.8" thickBot="1" x14ac:dyDescent="0.45">
      <c r="A113" s="212"/>
      <c r="B113" s="212"/>
      <c r="C113" s="212"/>
      <c r="D113" s="212"/>
      <c r="E113" s="212"/>
      <c r="F113" s="212" t="s">
        <v>395</v>
      </c>
      <c r="G113" s="212"/>
      <c r="H113" s="212"/>
      <c r="I113" s="245"/>
      <c r="J113" s="245"/>
      <c r="K113" s="216">
        <f>SUM(K109:K111)</f>
        <v>5035</v>
      </c>
      <c r="L113" s="216"/>
      <c r="M113" s="216">
        <f>SUM(M109:M111)</f>
        <v>19205</v>
      </c>
      <c r="N113" s="216"/>
      <c r="O113" s="216">
        <f>SUM(O109:O111)</f>
        <v>20513</v>
      </c>
      <c r="P113" s="216"/>
      <c r="Q113" s="216">
        <f>SUM(Q109:Q111)</f>
        <v>20145</v>
      </c>
      <c r="R113" s="216"/>
      <c r="S113" s="216">
        <f>SUM(S109:S111)</f>
        <v>4243</v>
      </c>
      <c r="T113" s="216">
        <f>K113+M113+O113+Q113+S113</f>
        <v>69141</v>
      </c>
      <c r="U113" s="216">
        <f>SUM(U109:U111)</f>
        <v>0</v>
      </c>
      <c r="V113" s="216">
        <f>SUM(T113:U113)</f>
        <v>69141</v>
      </c>
    </row>
    <row r="114" spans="1:22" ht="10.5" x14ac:dyDescent="0.4">
      <c r="A114" s="240"/>
      <c r="B114" s="240"/>
      <c r="C114" s="240"/>
      <c r="D114" s="240"/>
      <c r="E114" s="240"/>
      <c r="F114" s="240"/>
      <c r="G114" s="240"/>
      <c r="H114" s="249"/>
      <c r="I114" s="191"/>
      <c r="J114" s="201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</row>
    <row r="115" spans="1:22" ht="10.8" thickBot="1" x14ac:dyDescent="0.45">
      <c r="A115" s="251"/>
      <c r="B115" s="251"/>
      <c r="C115" s="251"/>
      <c r="D115" s="251"/>
      <c r="E115" s="251"/>
      <c r="F115" s="251" t="s">
        <v>400</v>
      </c>
      <c r="G115" s="251"/>
      <c r="H115" s="251"/>
      <c r="I115" s="251"/>
      <c r="J115" s="252"/>
      <c r="K115" s="99">
        <f>K113+K98+K81</f>
        <v>90926</v>
      </c>
      <c r="L115" s="99"/>
      <c r="M115" s="99">
        <f>M113+M98+M81</f>
        <v>579752</v>
      </c>
      <c r="N115" s="99"/>
      <c r="O115" s="99">
        <f>O113+O98+O81</f>
        <v>521443</v>
      </c>
      <c r="P115" s="99"/>
      <c r="Q115" s="99">
        <f>Q113+Q98+Q81</f>
        <v>443815</v>
      </c>
      <c r="R115" s="99"/>
      <c r="S115" s="99">
        <f>S113+S98+S81</f>
        <v>94562</v>
      </c>
      <c r="T115" s="99">
        <f>S115+Q115+O115+M115+K115</f>
        <v>1730498</v>
      </c>
      <c r="U115" s="99">
        <f>U113+U98+U81</f>
        <v>0</v>
      </c>
      <c r="V115" s="99">
        <f>SUM(T115:U115)</f>
        <v>1730498</v>
      </c>
    </row>
    <row r="116" spans="1:22" ht="10.5" thickTop="1" x14ac:dyDescent="0.35"/>
    <row r="117" spans="1:22" ht="10.199999999999999" x14ac:dyDescent="0.35"/>
    <row r="118" spans="1:22" ht="10.199999999999999" x14ac:dyDescent="0.35">
      <c r="T118" s="253"/>
    </row>
    <row r="119" spans="1:22" ht="10.199999999999999" x14ac:dyDescent="0.35">
      <c r="J119" s="192"/>
      <c r="U119" s="70"/>
    </row>
    <row r="120" spans="1:22" ht="10.199999999999999" x14ac:dyDescent="0.35">
      <c r="A120" s="254"/>
      <c r="B120" s="254"/>
      <c r="C120" s="254"/>
      <c r="D120" s="254"/>
      <c r="E120" s="254"/>
      <c r="F120" s="254"/>
      <c r="G120" s="254"/>
      <c r="H120" s="255"/>
    </row>
    <row r="121" spans="1:22" ht="10.199999999999999" x14ac:dyDescent="0.35">
      <c r="A121" s="254"/>
      <c r="B121" s="254"/>
      <c r="C121" s="254"/>
      <c r="D121" s="254"/>
      <c r="E121" s="254"/>
      <c r="F121" s="254"/>
      <c r="G121" s="254"/>
      <c r="H121" s="52"/>
    </row>
    <row r="122" spans="1:22" ht="10.199999999999999" x14ac:dyDescent="0.35"/>
    <row r="123" spans="1:22" ht="10.199999999999999" x14ac:dyDescent="0.35">
      <c r="A123" s="254"/>
      <c r="B123" s="254"/>
      <c r="C123" s="254"/>
      <c r="D123" s="254"/>
      <c r="E123" s="254"/>
      <c r="F123" s="254"/>
      <c r="G123" s="254"/>
      <c r="H123" s="255"/>
    </row>
    <row r="124" spans="1:22" ht="10.199999999999999" x14ac:dyDescent="0.35">
      <c r="A124" s="254"/>
      <c r="B124" s="254"/>
      <c r="C124" s="254"/>
      <c r="D124" s="254"/>
      <c r="E124" s="254"/>
      <c r="F124" s="254"/>
      <c r="G124" s="254"/>
      <c r="H124" s="52"/>
    </row>
    <row r="125" spans="1:22" ht="10.199999999999999" x14ac:dyDescent="0.35"/>
    <row r="126" spans="1:22" ht="10.199999999999999" x14ac:dyDescent="0.35">
      <c r="A126" s="254"/>
      <c r="B126" s="254"/>
      <c r="C126" s="254"/>
      <c r="D126" s="254"/>
      <c r="E126" s="254"/>
      <c r="F126" s="254"/>
      <c r="G126" s="254"/>
      <c r="H126" s="255"/>
    </row>
    <row r="127" spans="1:22" ht="10.199999999999999" x14ac:dyDescent="0.35">
      <c r="A127" s="254"/>
      <c r="B127" s="254"/>
      <c r="C127" s="254"/>
      <c r="D127" s="254"/>
      <c r="E127" s="254"/>
      <c r="F127" s="254"/>
      <c r="G127" s="254"/>
      <c r="H127" s="52"/>
    </row>
    <row r="128" spans="1:22" ht="10.199999999999999" x14ac:dyDescent="0.35"/>
    <row r="129" spans="1:22" ht="10.199999999999999" x14ac:dyDescent="0.35">
      <c r="A129" s="254"/>
      <c r="B129" s="254"/>
      <c r="C129" s="254"/>
      <c r="D129" s="254"/>
      <c r="E129" s="254"/>
      <c r="F129" s="254"/>
      <c r="G129" s="254"/>
      <c r="H129" s="255"/>
    </row>
    <row r="130" spans="1:22" ht="10.199999999999999" x14ac:dyDescent="0.35">
      <c r="A130" s="254"/>
      <c r="B130" s="254"/>
      <c r="C130" s="254"/>
      <c r="D130" s="254"/>
      <c r="E130" s="254"/>
      <c r="F130" s="254"/>
      <c r="G130" s="254"/>
      <c r="H130" s="52"/>
    </row>
    <row r="131" spans="1:22" ht="10.199999999999999" x14ac:dyDescent="0.35"/>
    <row r="132" spans="1:22" ht="10.199999999999999" x14ac:dyDescent="0.35">
      <c r="A132" s="254"/>
      <c r="B132" s="254"/>
      <c r="C132" s="254"/>
      <c r="D132" s="254"/>
      <c r="E132" s="254"/>
      <c r="F132" s="254"/>
      <c r="G132" s="254"/>
      <c r="H132" s="255"/>
    </row>
    <row r="133" spans="1:22" ht="10.199999999999999" x14ac:dyDescent="0.35">
      <c r="A133" s="254"/>
      <c r="B133" s="254"/>
      <c r="C133" s="254"/>
      <c r="D133" s="254"/>
      <c r="E133" s="254"/>
      <c r="F133" s="254"/>
      <c r="G133" s="254"/>
      <c r="H133" s="52"/>
    </row>
    <row r="134" spans="1:22" ht="10.199999999999999" x14ac:dyDescent="0.35"/>
    <row r="135" spans="1:22" ht="10.199999999999999" x14ac:dyDescent="0.35"/>
    <row r="136" spans="1:22" ht="10.199999999999999" x14ac:dyDescent="0.35"/>
    <row r="137" spans="1:22" ht="10.199999999999999" x14ac:dyDescent="0.35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</row>
    <row r="138" spans="1:22" ht="10.199999999999999" x14ac:dyDescent="0.35"/>
    <row r="139" spans="1:22" ht="10.199999999999999" x14ac:dyDescent="0.35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</row>
  </sheetData>
  <mergeCells count="5">
    <mergeCell ref="F1:V1"/>
    <mergeCell ref="F2:V2"/>
    <mergeCell ref="F3:V3"/>
    <mergeCell ref="F58:V58"/>
    <mergeCell ref="F4:G4"/>
  </mergeCells>
  <phoneticPr fontId="42" type="noConversion"/>
  <pageMargins left="0.7" right="0.7" top="0.75" bottom="0.75" header="0.3" footer="0.3"/>
  <pageSetup scale="1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2DD1-B969-426A-A179-F2ED7FCC87C0}">
  <sheetPr>
    <pageSetUpPr fitToPage="1"/>
  </sheetPr>
  <dimension ref="A1:AK123"/>
  <sheetViews>
    <sheetView zoomScaleNormal="100" zoomScaleSheetLayoutView="90" workbookViewId="0">
      <pane xSplit="10" ySplit="8" topLeftCell="AC48" activePane="bottomRight" state="frozen"/>
      <selection pane="topRight" activeCell="F1" sqref="F1"/>
      <selection pane="bottomLeft" activeCell="A11" sqref="A11"/>
      <selection pane="bottomRight" activeCell="F87" sqref="F87"/>
    </sheetView>
  </sheetViews>
  <sheetFormatPr defaultColWidth="11.44140625" defaultRowHeight="12" customHeight="1" x14ac:dyDescent="0.35"/>
  <cols>
    <col min="1" max="1" width="14" style="1" bestFit="1" customWidth="1"/>
    <col min="2" max="2" width="12" style="1" bestFit="1" customWidth="1"/>
    <col min="3" max="3" width="11.71875" style="1" bestFit="1" customWidth="1"/>
    <col min="4" max="4" width="15.1640625" style="1" bestFit="1" customWidth="1"/>
    <col min="5" max="5" width="14.5546875" style="1" bestFit="1" customWidth="1"/>
    <col min="6" max="6" width="65.44140625" style="1" customWidth="1"/>
    <col min="7" max="7" width="10.83203125" style="1" bestFit="1" customWidth="1"/>
    <col min="8" max="8" width="7.71875" style="1" bestFit="1" customWidth="1"/>
    <col min="9" max="9" width="8.44140625" style="1" customWidth="1"/>
    <col min="10" max="10" width="9.1640625" style="6" customWidth="1"/>
    <col min="11" max="11" width="9.83203125" style="5" customWidth="1"/>
    <col min="12" max="12" width="9" style="5" customWidth="1"/>
    <col min="13" max="13" width="8.71875" style="5" customWidth="1"/>
    <col min="14" max="14" width="9.27734375" style="5" customWidth="1"/>
    <col min="15" max="15" width="8.27734375" style="5" customWidth="1"/>
    <col min="16" max="16" width="8.83203125" style="5" customWidth="1"/>
    <col min="17" max="17" width="9.1640625" style="5" customWidth="1"/>
    <col min="18" max="18" width="9" style="5" customWidth="1"/>
    <col min="19" max="19" width="7.71875" style="5" customWidth="1"/>
    <col min="20" max="20" width="9.71875" style="5" customWidth="1"/>
    <col min="21" max="21" width="7.83203125" style="5" customWidth="1"/>
    <col min="22" max="22" width="11.71875" style="5" bestFit="1" customWidth="1"/>
    <col min="23" max="23" width="13" style="2" customWidth="1"/>
    <col min="24" max="24" width="12" style="2" customWidth="1"/>
    <col min="25" max="25" width="18.44140625" style="2" customWidth="1"/>
    <col min="26" max="257" width="11.44140625" style="2"/>
    <col min="258" max="258" width="58.44140625" style="2" customWidth="1"/>
    <col min="259" max="259" width="8.44140625" style="2" customWidth="1"/>
    <col min="260" max="260" width="11.44140625" style="2" customWidth="1"/>
    <col min="261" max="261" width="7.83203125" style="2" customWidth="1"/>
    <col min="262" max="262" width="9.44140625" style="2" customWidth="1"/>
    <col min="263" max="263" width="8.83203125" style="2" customWidth="1"/>
    <col min="264" max="264" width="14.44140625" style="2" customWidth="1"/>
    <col min="265" max="265" width="8.83203125" style="2" customWidth="1"/>
    <col min="266" max="266" width="12.1640625" style="2" customWidth="1"/>
    <col min="267" max="267" width="8.44140625" style="2" customWidth="1"/>
    <col min="268" max="269" width="11.44140625" style="2" customWidth="1"/>
    <col min="270" max="270" width="11.83203125" style="2" customWidth="1"/>
    <col min="271" max="271" width="11.44140625" style="2" customWidth="1"/>
    <col min="272" max="272" width="10.44140625" style="2" customWidth="1"/>
    <col min="273" max="273" width="11.83203125" style="2" customWidth="1"/>
    <col min="274" max="274" width="10.44140625" style="2" customWidth="1"/>
    <col min="275" max="275" width="12" style="2" customWidth="1"/>
    <col min="276" max="276" width="16.83203125" style="2" customWidth="1"/>
    <col min="277" max="277" width="12.44140625" style="2" customWidth="1"/>
    <col min="278" max="278" width="9.1640625" style="2" customWidth="1"/>
    <col min="279" max="279" width="13" style="2" customWidth="1"/>
    <col min="280" max="280" width="12" style="2" customWidth="1"/>
    <col min="281" max="281" width="18.44140625" style="2" customWidth="1"/>
    <col min="282" max="513" width="11.44140625" style="2"/>
    <col min="514" max="514" width="58.44140625" style="2" customWidth="1"/>
    <col min="515" max="515" width="8.44140625" style="2" customWidth="1"/>
    <col min="516" max="516" width="11.44140625" style="2" customWidth="1"/>
    <col min="517" max="517" width="7.83203125" style="2" customWidth="1"/>
    <col min="518" max="518" width="9.44140625" style="2" customWidth="1"/>
    <col min="519" max="519" width="8.83203125" style="2" customWidth="1"/>
    <col min="520" max="520" width="14.44140625" style="2" customWidth="1"/>
    <col min="521" max="521" width="8.83203125" style="2" customWidth="1"/>
    <col min="522" max="522" width="12.1640625" style="2" customWidth="1"/>
    <col min="523" max="523" width="8.44140625" style="2" customWidth="1"/>
    <col min="524" max="525" width="11.44140625" style="2" customWidth="1"/>
    <col min="526" max="526" width="11.83203125" style="2" customWidth="1"/>
    <col min="527" max="527" width="11.44140625" style="2" customWidth="1"/>
    <col min="528" max="528" width="10.44140625" style="2" customWidth="1"/>
    <col min="529" max="529" width="11.83203125" style="2" customWidth="1"/>
    <col min="530" max="530" width="10.44140625" style="2" customWidth="1"/>
    <col min="531" max="531" width="12" style="2" customWidth="1"/>
    <col min="532" max="532" width="16.83203125" style="2" customWidth="1"/>
    <col min="533" max="533" width="12.44140625" style="2" customWidth="1"/>
    <col min="534" max="534" width="9.1640625" style="2" customWidth="1"/>
    <col min="535" max="535" width="13" style="2" customWidth="1"/>
    <col min="536" max="536" width="12" style="2" customWidth="1"/>
    <col min="537" max="537" width="18.44140625" style="2" customWidth="1"/>
    <col min="538" max="769" width="11.44140625" style="2"/>
    <col min="770" max="770" width="58.44140625" style="2" customWidth="1"/>
    <col min="771" max="771" width="8.44140625" style="2" customWidth="1"/>
    <col min="772" max="772" width="11.44140625" style="2" customWidth="1"/>
    <col min="773" max="773" width="7.83203125" style="2" customWidth="1"/>
    <col min="774" max="774" width="9.44140625" style="2" customWidth="1"/>
    <col min="775" max="775" width="8.83203125" style="2" customWidth="1"/>
    <col min="776" max="776" width="14.44140625" style="2" customWidth="1"/>
    <col min="777" max="777" width="8.83203125" style="2" customWidth="1"/>
    <col min="778" max="778" width="12.1640625" style="2" customWidth="1"/>
    <col min="779" max="779" width="8.44140625" style="2" customWidth="1"/>
    <col min="780" max="781" width="11.44140625" style="2" customWidth="1"/>
    <col min="782" max="782" width="11.83203125" style="2" customWidth="1"/>
    <col min="783" max="783" width="11.44140625" style="2" customWidth="1"/>
    <col min="784" max="784" width="10.44140625" style="2" customWidth="1"/>
    <col min="785" max="785" width="11.83203125" style="2" customWidth="1"/>
    <col min="786" max="786" width="10.44140625" style="2" customWidth="1"/>
    <col min="787" max="787" width="12" style="2" customWidth="1"/>
    <col min="788" max="788" width="16.83203125" style="2" customWidth="1"/>
    <col min="789" max="789" width="12.44140625" style="2" customWidth="1"/>
    <col min="790" max="790" width="9.1640625" style="2" customWidth="1"/>
    <col min="791" max="791" width="13" style="2" customWidth="1"/>
    <col min="792" max="792" width="12" style="2" customWidth="1"/>
    <col min="793" max="793" width="18.44140625" style="2" customWidth="1"/>
    <col min="794" max="1025" width="11.44140625" style="2"/>
    <col min="1026" max="1026" width="58.44140625" style="2" customWidth="1"/>
    <col min="1027" max="1027" width="8.44140625" style="2" customWidth="1"/>
    <col min="1028" max="1028" width="11.44140625" style="2" customWidth="1"/>
    <col min="1029" max="1029" width="7.83203125" style="2" customWidth="1"/>
    <col min="1030" max="1030" width="9.44140625" style="2" customWidth="1"/>
    <col min="1031" max="1031" width="8.83203125" style="2" customWidth="1"/>
    <col min="1032" max="1032" width="14.44140625" style="2" customWidth="1"/>
    <col min="1033" max="1033" width="8.83203125" style="2" customWidth="1"/>
    <col min="1034" max="1034" width="12.1640625" style="2" customWidth="1"/>
    <col min="1035" max="1035" width="8.44140625" style="2" customWidth="1"/>
    <col min="1036" max="1037" width="11.44140625" style="2" customWidth="1"/>
    <col min="1038" max="1038" width="11.83203125" style="2" customWidth="1"/>
    <col min="1039" max="1039" width="11.44140625" style="2" customWidth="1"/>
    <col min="1040" max="1040" width="10.44140625" style="2" customWidth="1"/>
    <col min="1041" max="1041" width="11.83203125" style="2" customWidth="1"/>
    <col min="1042" max="1042" width="10.44140625" style="2" customWidth="1"/>
    <col min="1043" max="1043" width="12" style="2" customWidth="1"/>
    <col min="1044" max="1044" width="16.83203125" style="2" customWidth="1"/>
    <col min="1045" max="1045" width="12.44140625" style="2" customWidth="1"/>
    <col min="1046" max="1046" width="9.1640625" style="2" customWidth="1"/>
    <col min="1047" max="1047" width="13" style="2" customWidth="1"/>
    <col min="1048" max="1048" width="12" style="2" customWidth="1"/>
    <col min="1049" max="1049" width="18.44140625" style="2" customWidth="1"/>
    <col min="1050" max="1281" width="11.44140625" style="2"/>
    <col min="1282" max="1282" width="58.44140625" style="2" customWidth="1"/>
    <col min="1283" max="1283" width="8.44140625" style="2" customWidth="1"/>
    <col min="1284" max="1284" width="11.44140625" style="2" customWidth="1"/>
    <col min="1285" max="1285" width="7.83203125" style="2" customWidth="1"/>
    <col min="1286" max="1286" width="9.44140625" style="2" customWidth="1"/>
    <col min="1287" max="1287" width="8.83203125" style="2" customWidth="1"/>
    <col min="1288" max="1288" width="14.44140625" style="2" customWidth="1"/>
    <col min="1289" max="1289" width="8.83203125" style="2" customWidth="1"/>
    <col min="1290" max="1290" width="12.1640625" style="2" customWidth="1"/>
    <col min="1291" max="1291" width="8.44140625" style="2" customWidth="1"/>
    <col min="1292" max="1293" width="11.44140625" style="2" customWidth="1"/>
    <col min="1294" max="1294" width="11.83203125" style="2" customWidth="1"/>
    <col min="1295" max="1295" width="11.44140625" style="2" customWidth="1"/>
    <col min="1296" max="1296" width="10.44140625" style="2" customWidth="1"/>
    <col min="1297" max="1297" width="11.83203125" style="2" customWidth="1"/>
    <col min="1298" max="1298" width="10.44140625" style="2" customWidth="1"/>
    <col min="1299" max="1299" width="12" style="2" customWidth="1"/>
    <col min="1300" max="1300" width="16.83203125" style="2" customWidth="1"/>
    <col min="1301" max="1301" width="12.44140625" style="2" customWidth="1"/>
    <col min="1302" max="1302" width="9.1640625" style="2" customWidth="1"/>
    <col min="1303" max="1303" width="13" style="2" customWidth="1"/>
    <col min="1304" max="1304" width="12" style="2" customWidth="1"/>
    <col min="1305" max="1305" width="18.44140625" style="2" customWidth="1"/>
    <col min="1306" max="1537" width="11.44140625" style="2"/>
    <col min="1538" max="1538" width="58.44140625" style="2" customWidth="1"/>
    <col min="1539" max="1539" width="8.44140625" style="2" customWidth="1"/>
    <col min="1540" max="1540" width="11.44140625" style="2" customWidth="1"/>
    <col min="1541" max="1541" width="7.83203125" style="2" customWidth="1"/>
    <col min="1542" max="1542" width="9.44140625" style="2" customWidth="1"/>
    <col min="1543" max="1543" width="8.83203125" style="2" customWidth="1"/>
    <col min="1544" max="1544" width="14.44140625" style="2" customWidth="1"/>
    <col min="1545" max="1545" width="8.83203125" style="2" customWidth="1"/>
    <col min="1546" max="1546" width="12.1640625" style="2" customWidth="1"/>
    <col min="1547" max="1547" width="8.44140625" style="2" customWidth="1"/>
    <col min="1548" max="1549" width="11.44140625" style="2" customWidth="1"/>
    <col min="1550" max="1550" width="11.83203125" style="2" customWidth="1"/>
    <col min="1551" max="1551" width="11.44140625" style="2" customWidth="1"/>
    <col min="1552" max="1552" width="10.44140625" style="2" customWidth="1"/>
    <col min="1553" max="1553" width="11.83203125" style="2" customWidth="1"/>
    <col min="1554" max="1554" width="10.44140625" style="2" customWidth="1"/>
    <col min="1555" max="1555" width="12" style="2" customWidth="1"/>
    <col min="1556" max="1556" width="16.83203125" style="2" customWidth="1"/>
    <col min="1557" max="1557" width="12.44140625" style="2" customWidth="1"/>
    <col min="1558" max="1558" width="9.1640625" style="2" customWidth="1"/>
    <col min="1559" max="1559" width="13" style="2" customWidth="1"/>
    <col min="1560" max="1560" width="12" style="2" customWidth="1"/>
    <col min="1561" max="1561" width="18.44140625" style="2" customWidth="1"/>
    <col min="1562" max="1793" width="11.44140625" style="2"/>
    <col min="1794" max="1794" width="58.44140625" style="2" customWidth="1"/>
    <col min="1795" max="1795" width="8.44140625" style="2" customWidth="1"/>
    <col min="1796" max="1796" width="11.44140625" style="2" customWidth="1"/>
    <col min="1797" max="1797" width="7.83203125" style="2" customWidth="1"/>
    <col min="1798" max="1798" width="9.44140625" style="2" customWidth="1"/>
    <col min="1799" max="1799" width="8.83203125" style="2" customWidth="1"/>
    <col min="1800" max="1800" width="14.44140625" style="2" customWidth="1"/>
    <col min="1801" max="1801" width="8.83203125" style="2" customWidth="1"/>
    <col min="1802" max="1802" width="12.1640625" style="2" customWidth="1"/>
    <col min="1803" max="1803" width="8.44140625" style="2" customWidth="1"/>
    <col min="1804" max="1805" width="11.44140625" style="2" customWidth="1"/>
    <col min="1806" max="1806" width="11.83203125" style="2" customWidth="1"/>
    <col min="1807" max="1807" width="11.44140625" style="2" customWidth="1"/>
    <col min="1808" max="1808" width="10.44140625" style="2" customWidth="1"/>
    <col min="1809" max="1809" width="11.83203125" style="2" customWidth="1"/>
    <col min="1810" max="1810" width="10.44140625" style="2" customWidth="1"/>
    <col min="1811" max="1811" width="12" style="2" customWidth="1"/>
    <col min="1812" max="1812" width="16.83203125" style="2" customWidth="1"/>
    <col min="1813" max="1813" width="12.44140625" style="2" customWidth="1"/>
    <col min="1814" max="1814" width="9.1640625" style="2" customWidth="1"/>
    <col min="1815" max="1815" width="13" style="2" customWidth="1"/>
    <col min="1816" max="1816" width="12" style="2" customWidth="1"/>
    <col min="1817" max="1817" width="18.44140625" style="2" customWidth="1"/>
    <col min="1818" max="2049" width="11.44140625" style="2"/>
    <col min="2050" max="2050" width="58.44140625" style="2" customWidth="1"/>
    <col min="2051" max="2051" width="8.44140625" style="2" customWidth="1"/>
    <col min="2052" max="2052" width="11.44140625" style="2" customWidth="1"/>
    <col min="2053" max="2053" width="7.83203125" style="2" customWidth="1"/>
    <col min="2054" max="2054" width="9.44140625" style="2" customWidth="1"/>
    <col min="2055" max="2055" width="8.83203125" style="2" customWidth="1"/>
    <col min="2056" max="2056" width="14.44140625" style="2" customWidth="1"/>
    <col min="2057" max="2057" width="8.83203125" style="2" customWidth="1"/>
    <col min="2058" max="2058" width="12.1640625" style="2" customWidth="1"/>
    <col min="2059" max="2059" width="8.44140625" style="2" customWidth="1"/>
    <col min="2060" max="2061" width="11.44140625" style="2" customWidth="1"/>
    <col min="2062" max="2062" width="11.83203125" style="2" customWidth="1"/>
    <col min="2063" max="2063" width="11.44140625" style="2" customWidth="1"/>
    <col min="2064" max="2064" width="10.44140625" style="2" customWidth="1"/>
    <col min="2065" max="2065" width="11.83203125" style="2" customWidth="1"/>
    <col min="2066" max="2066" width="10.44140625" style="2" customWidth="1"/>
    <col min="2067" max="2067" width="12" style="2" customWidth="1"/>
    <col min="2068" max="2068" width="16.83203125" style="2" customWidth="1"/>
    <col min="2069" max="2069" width="12.44140625" style="2" customWidth="1"/>
    <col min="2070" max="2070" width="9.1640625" style="2" customWidth="1"/>
    <col min="2071" max="2071" width="13" style="2" customWidth="1"/>
    <col min="2072" max="2072" width="12" style="2" customWidth="1"/>
    <col min="2073" max="2073" width="18.44140625" style="2" customWidth="1"/>
    <col min="2074" max="2305" width="11.44140625" style="2"/>
    <col min="2306" max="2306" width="58.44140625" style="2" customWidth="1"/>
    <col min="2307" max="2307" width="8.44140625" style="2" customWidth="1"/>
    <col min="2308" max="2308" width="11.44140625" style="2" customWidth="1"/>
    <col min="2309" max="2309" width="7.83203125" style="2" customWidth="1"/>
    <col min="2310" max="2310" width="9.44140625" style="2" customWidth="1"/>
    <col min="2311" max="2311" width="8.83203125" style="2" customWidth="1"/>
    <col min="2312" max="2312" width="14.44140625" style="2" customWidth="1"/>
    <col min="2313" max="2313" width="8.83203125" style="2" customWidth="1"/>
    <col min="2314" max="2314" width="12.1640625" style="2" customWidth="1"/>
    <col min="2315" max="2315" width="8.44140625" style="2" customWidth="1"/>
    <col min="2316" max="2317" width="11.44140625" style="2" customWidth="1"/>
    <col min="2318" max="2318" width="11.83203125" style="2" customWidth="1"/>
    <col min="2319" max="2319" width="11.44140625" style="2" customWidth="1"/>
    <col min="2320" max="2320" width="10.44140625" style="2" customWidth="1"/>
    <col min="2321" max="2321" width="11.83203125" style="2" customWidth="1"/>
    <col min="2322" max="2322" width="10.44140625" style="2" customWidth="1"/>
    <col min="2323" max="2323" width="12" style="2" customWidth="1"/>
    <col min="2324" max="2324" width="16.83203125" style="2" customWidth="1"/>
    <col min="2325" max="2325" width="12.44140625" style="2" customWidth="1"/>
    <col min="2326" max="2326" width="9.1640625" style="2" customWidth="1"/>
    <col min="2327" max="2327" width="13" style="2" customWidth="1"/>
    <col min="2328" max="2328" width="12" style="2" customWidth="1"/>
    <col min="2329" max="2329" width="18.44140625" style="2" customWidth="1"/>
    <col min="2330" max="2561" width="11.44140625" style="2"/>
    <col min="2562" max="2562" width="58.44140625" style="2" customWidth="1"/>
    <col min="2563" max="2563" width="8.44140625" style="2" customWidth="1"/>
    <col min="2564" max="2564" width="11.44140625" style="2" customWidth="1"/>
    <col min="2565" max="2565" width="7.83203125" style="2" customWidth="1"/>
    <col min="2566" max="2566" width="9.44140625" style="2" customWidth="1"/>
    <col min="2567" max="2567" width="8.83203125" style="2" customWidth="1"/>
    <col min="2568" max="2568" width="14.44140625" style="2" customWidth="1"/>
    <col min="2569" max="2569" width="8.83203125" style="2" customWidth="1"/>
    <col min="2570" max="2570" width="12.1640625" style="2" customWidth="1"/>
    <col min="2571" max="2571" width="8.44140625" style="2" customWidth="1"/>
    <col min="2572" max="2573" width="11.44140625" style="2" customWidth="1"/>
    <col min="2574" max="2574" width="11.83203125" style="2" customWidth="1"/>
    <col min="2575" max="2575" width="11.44140625" style="2" customWidth="1"/>
    <col min="2576" max="2576" width="10.44140625" style="2" customWidth="1"/>
    <col min="2577" max="2577" width="11.83203125" style="2" customWidth="1"/>
    <col min="2578" max="2578" width="10.44140625" style="2" customWidth="1"/>
    <col min="2579" max="2579" width="12" style="2" customWidth="1"/>
    <col min="2580" max="2580" width="16.83203125" style="2" customWidth="1"/>
    <col min="2581" max="2581" width="12.44140625" style="2" customWidth="1"/>
    <col min="2582" max="2582" width="9.1640625" style="2" customWidth="1"/>
    <col min="2583" max="2583" width="13" style="2" customWidth="1"/>
    <col min="2584" max="2584" width="12" style="2" customWidth="1"/>
    <col min="2585" max="2585" width="18.44140625" style="2" customWidth="1"/>
    <col min="2586" max="2817" width="11.44140625" style="2"/>
    <col min="2818" max="2818" width="58.44140625" style="2" customWidth="1"/>
    <col min="2819" max="2819" width="8.44140625" style="2" customWidth="1"/>
    <col min="2820" max="2820" width="11.44140625" style="2" customWidth="1"/>
    <col min="2821" max="2821" width="7.83203125" style="2" customWidth="1"/>
    <col min="2822" max="2822" width="9.44140625" style="2" customWidth="1"/>
    <col min="2823" max="2823" width="8.83203125" style="2" customWidth="1"/>
    <col min="2824" max="2824" width="14.44140625" style="2" customWidth="1"/>
    <col min="2825" max="2825" width="8.83203125" style="2" customWidth="1"/>
    <col min="2826" max="2826" width="12.1640625" style="2" customWidth="1"/>
    <col min="2827" max="2827" width="8.44140625" style="2" customWidth="1"/>
    <col min="2828" max="2829" width="11.44140625" style="2" customWidth="1"/>
    <col min="2830" max="2830" width="11.83203125" style="2" customWidth="1"/>
    <col min="2831" max="2831" width="11.44140625" style="2" customWidth="1"/>
    <col min="2832" max="2832" width="10.44140625" style="2" customWidth="1"/>
    <col min="2833" max="2833" width="11.83203125" style="2" customWidth="1"/>
    <col min="2834" max="2834" width="10.44140625" style="2" customWidth="1"/>
    <col min="2835" max="2835" width="12" style="2" customWidth="1"/>
    <col min="2836" max="2836" width="16.83203125" style="2" customWidth="1"/>
    <col min="2837" max="2837" width="12.44140625" style="2" customWidth="1"/>
    <col min="2838" max="2838" width="9.1640625" style="2" customWidth="1"/>
    <col min="2839" max="2839" width="13" style="2" customWidth="1"/>
    <col min="2840" max="2840" width="12" style="2" customWidth="1"/>
    <col min="2841" max="2841" width="18.44140625" style="2" customWidth="1"/>
    <col min="2842" max="3073" width="11.44140625" style="2"/>
    <col min="3074" max="3074" width="58.44140625" style="2" customWidth="1"/>
    <col min="3075" max="3075" width="8.44140625" style="2" customWidth="1"/>
    <col min="3076" max="3076" width="11.44140625" style="2" customWidth="1"/>
    <col min="3077" max="3077" width="7.83203125" style="2" customWidth="1"/>
    <col min="3078" max="3078" width="9.44140625" style="2" customWidth="1"/>
    <col min="3079" max="3079" width="8.83203125" style="2" customWidth="1"/>
    <col min="3080" max="3080" width="14.44140625" style="2" customWidth="1"/>
    <col min="3081" max="3081" width="8.83203125" style="2" customWidth="1"/>
    <col min="3082" max="3082" width="12.1640625" style="2" customWidth="1"/>
    <col min="3083" max="3083" width="8.44140625" style="2" customWidth="1"/>
    <col min="3084" max="3085" width="11.44140625" style="2" customWidth="1"/>
    <col min="3086" max="3086" width="11.83203125" style="2" customWidth="1"/>
    <col min="3087" max="3087" width="11.44140625" style="2" customWidth="1"/>
    <col min="3088" max="3088" width="10.44140625" style="2" customWidth="1"/>
    <col min="3089" max="3089" width="11.83203125" style="2" customWidth="1"/>
    <col min="3090" max="3090" width="10.44140625" style="2" customWidth="1"/>
    <col min="3091" max="3091" width="12" style="2" customWidth="1"/>
    <col min="3092" max="3092" width="16.83203125" style="2" customWidth="1"/>
    <col min="3093" max="3093" width="12.44140625" style="2" customWidth="1"/>
    <col min="3094" max="3094" width="9.1640625" style="2" customWidth="1"/>
    <col min="3095" max="3095" width="13" style="2" customWidth="1"/>
    <col min="3096" max="3096" width="12" style="2" customWidth="1"/>
    <col min="3097" max="3097" width="18.44140625" style="2" customWidth="1"/>
    <col min="3098" max="3329" width="11.44140625" style="2"/>
    <col min="3330" max="3330" width="58.44140625" style="2" customWidth="1"/>
    <col min="3331" max="3331" width="8.44140625" style="2" customWidth="1"/>
    <col min="3332" max="3332" width="11.44140625" style="2" customWidth="1"/>
    <col min="3333" max="3333" width="7.83203125" style="2" customWidth="1"/>
    <col min="3334" max="3334" width="9.44140625" style="2" customWidth="1"/>
    <col min="3335" max="3335" width="8.83203125" style="2" customWidth="1"/>
    <col min="3336" max="3336" width="14.44140625" style="2" customWidth="1"/>
    <col min="3337" max="3337" width="8.83203125" style="2" customWidth="1"/>
    <col min="3338" max="3338" width="12.1640625" style="2" customWidth="1"/>
    <col min="3339" max="3339" width="8.44140625" style="2" customWidth="1"/>
    <col min="3340" max="3341" width="11.44140625" style="2" customWidth="1"/>
    <col min="3342" max="3342" width="11.83203125" style="2" customWidth="1"/>
    <col min="3343" max="3343" width="11.44140625" style="2" customWidth="1"/>
    <col min="3344" max="3344" width="10.44140625" style="2" customWidth="1"/>
    <col min="3345" max="3345" width="11.83203125" style="2" customWidth="1"/>
    <col min="3346" max="3346" width="10.44140625" style="2" customWidth="1"/>
    <col min="3347" max="3347" width="12" style="2" customWidth="1"/>
    <col min="3348" max="3348" width="16.83203125" style="2" customWidth="1"/>
    <col min="3349" max="3349" width="12.44140625" style="2" customWidth="1"/>
    <col min="3350" max="3350" width="9.1640625" style="2" customWidth="1"/>
    <col min="3351" max="3351" width="13" style="2" customWidth="1"/>
    <col min="3352" max="3352" width="12" style="2" customWidth="1"/>
    <col min="3353" max="3353" width="18.44140625" style="2" customWidth="1"/>
    <col min="3354" max="3585" width="11.44140625" style="2"/>
    <col min="3586" max="3586" width="58.44140625" style="2" customWidth="1"/>
    <col min="3587" max="3587" width="8.44140625" style="2" customWidth="1"/>
    <col min="3588" max="3588" width="11.44140625" style="2" customWidth="1"/>
    <col min="3589" max="3589" width="7.83203125" style="2" customWidth="1"/>
    <col min="3590" max="3590" width="9.44140625" style="2" customWidth="1"/>
    <col min="3591" max="3591" width="8.83203125" style="2" customWidth="1"/>
    <col min="3592" max="3592" width="14.44140625" style="2" customWidth="1"/>
    <col min="3593" max="3593" width="8.83203125" style="2" customWidth="1"/>
    <col min="3594" max="3594" width="12.1640625" style="2" customWidth="1"/>
    <col min="3595" max="3595" width="8.44140625" style="2" customWidth="1"/>
    <col min="3596" max="3597" width="11.44140625" style="2" customWidth="1"/>
    <col min="3598" max="3598" width="11.83203125" style="2" customWidth="1"/>
    <col min="3599" max="3599" width="11.44140625" style="2" customWidth="1"/>
    <col min="3600" max="3600" width="10.44140625" style="2" customWidth="1"/>
    <col min="3601" max="3601" width="11.83203125" style="2" customWidth="1"/>
    <col min="3602" max="3602" width="10.44140625" style="2" customWidth="1"/>
    <col min="3603" max="3603" width="12" style="2" customWidth="1"/>
    <col min="3604" max="3604" width="16.83203125" style="2" customWidth="1"/>
    <col min="3605" max="3605" width="12.44140625" style="2" customWidth="1"/>
    <col min="3606" max="3606" width="9.1640625" style="2" customWidth="1"/>
    <col min="3607" max="3607" width="13" style="2" customWidth="1"/>
    <col min="3608" max="3608" width="12" style="2" customWidth="1"/>
    <col min="3609" max="3609" width="18.44140625" style="2" customWidth="1"/>
    <col min="3610" max="3841" width="11.44140625" style="2"/>
    <col min="3842" max="3842" width="58.44140625" style="2" customWidth="1"/>
    <col min="3843" max="3843" width="8.44140625" style="2" customWidth="1"/>
    <col min="3844" max="3844" width="11.44140625" style="2" customWidth="1"/>
    <col min="3845" max="3845" width="7.83203125" style="2" customWidth="1"/>
    <col min="3846" max="3846" width="9.44140625" style="2" customWidth="1"/>
    <col min="3847" max="3847" width="8.83203125" style="2" customWidth="1"/>
    <col min="3848" max="3848" width="14.44140625" style="2" customWidth="1"/>
    <col min="3849" max="3849" width="8.83203125" style="2" customWidth="1"/>
    <col min="3850" max="3850" width="12.1640625" style="2" customWidth="1"/>
    <col min="3851" max="3851" width="8.44140625" style="2" customWidth="1"/>
    <col min="3852" max="3853" width="11.44140625" style="2" customWidth="1"/>
    <col min="3854" max="3854" width="11.83203125" style="2" customWidth="1"/>
    <col min="3855" max="3855" width="11.44140625" style="2" customWidth="1"/>
    <col min="3856" max="3856" width="10.44140625" style="2" customWidth="1"/>
    <col min="3857" max="3857" width="11.83203125" style="2" customWidth="1"/>
    <col min="3858" max="3858" width="10.44140625" style="2" customWidth="1"/>
    <col min="3859" max="3859" width="12" style="2" customWidth="1"/>
    <col min="3860" max="3860" width="16.83203125" style="2" customWidth="1"/>
    <col min="3861" max="3861" width="12.44140625" style="2" customWidth="1"/>
    <col min="3862" max="3862" width="9.1640625" style="2" customWidth="1"/>
    <col min="3863" max="3863" width="13" style="2" customWidth="1"/>
    <col min="3864" max="3864" width="12" style="2" customWidth="1"/>
    <col min="3865" max="3865" width="18.44140625" style="2" customWidth="1"/>
    <col min="3866" max="4097" width="11.44140625" style="2"/>
    <col min="4098" max="4098" width="58.44140625" style="2" customWidth="1"/>
    <col min="4099" max="4099" width="8.44140625" style="2" customWidth="1"/>
    <col min="4100" max="4100" width="11.44140625" style="2" customWidth="1"/>
    <col min="4101" max="4101" width="7.83203125" style="2" customWidth="1"/>
    <col min="4102" max="4102" width="9.44140625" style="2" customWidth="1"/>
    <col min="4103" max="4103" width="8.83203125" style="2" customWidth="1"/>
    <col min="4104" max="4104" width="14.44140625" style="2" customWidth="1"/>
    <col min="4105" max="4105" width="8.83203125" style="2" customWidth="1"/>
    <col min="4106" max="4106" width="12.1640625" style="2" customWidth="1"/>
    <col min="4107" max="4107" width="8.44140625" style="2" customWidth="1"/>
    <col min="4108" max="4109" width="11.44140625" style="2" customWidth="1"/>
    <col min="4110" max="4110" width="11.83203125" style="2" customWidth="1"/>
    <col min="4111" max="4111" width="11.44140625" style="2" customWidth="1"/>
    <col min="4112" max="4112" width="10.44140625" style="2" customWidth="1"/>
    <col min="4113" max="4113" width="11.83203125" style="2" customWidth="1"/>
    <col min="4114" max="4114" width="10.44140625" style="2" customWidth="1"/>
    <col min="4115" max="4115" width="12" style="2" customWidth="1"/>
    <col min="4116" max="4116" width="16.83203125" style="2" customWidth="1"/>
    <col min="4117" max="4117" width="12.44140625" style="2" customWidth="1"/>
    <col min="4118" max="4118" width="9.1640625" style="2" customWidth="1"/>
    <col min="4119" max="4119" width="13" style="2" customWidth="1"/>
    <col min="4120" max="4120" width="12" style="2" customWidth="1"/>
    <col min="4121" max="4121" width="18.44140625" style="2" customWidth="1"/>
    <col min="4122" max="4353" width="11.44140625" style="2"/>
    <col min="4354" max="4354" width="58.44140625" style="2" customWidth="1"/>
    <col min="4355" max="4355" width="8.44140625" style="2" customWidth="1"/>
    <col min="4356" max="4356" width="11.44140625" style="2" customWidth="1"/>
    <col min="4357" max="4357" width="7.83203125" style="2" customWidth="1"/>
    <col min="4358" max="4358" width="9.44140625" style="2" customWidth="1"/>
    <col min="4359" max="4359" width="8.83203125" style="2" customWidth="1"/>
    <col min="4360" max="4360" width="14.44140625" style="2" customWidth="1"/>
    <col min="4361" max="4361" width="8.83203125" style="2" customWidth="1"/>
    <col min="4362" max="4362" width="12.1640625" style="2" customWidth="1"/>
    <col min="4363" max="4363" width="8.44140625" style="2" customWidth="1"/>
    <col min="4364" max="4365" width="11.44140625" style="2" customWidth="1"/>
    <col min="4366" max="4366" width="11.83203125" style="2" customWidth="1"/>
    <col min="4367" max="4367" width="11.44140625" style="2" customWidth="1"/>
    <col min="4368" max="4368" width="10.44140625" style="2" customWidth="1"/>
    <col min="4369" max="4369" width="11.83203125" style="2" customWidth="1"/>
    <col min="4370" max="4370" width="10.44140625" style="2" customWidth="1"/>
    <col min="4371" max="4371" width="12" style="2" customWidth="1"/>
    <col min="4372" max="4372" width="16.83203125" style="2" customWidth="1"/>
    <col min="4373" max="4373" width="12.44140625" style="2" customWidth="1"/>
    <col min="4374" max="4374" width="9.1640625" style="2" customWidth="1"/>
    <col min="4375" max="4375" width="13" style="2" customWidth="1"/>
    <col min="4376" max="4376" width="12" style="2" customWidth="1"/>
    <col min="4377" max="4377" width="18.44140625" style="2" customWidth="1"/>
    <col min="4378" max="4609" width="11.44140625" style="2"/>
    <col min="4610" max="4610" width="58.44140625" style="2" customWidth="1"/>
    <col min="4611" max="4611" width="8.44140625" style="2" customWidth="1"/>
    <col min="4612" max="4612" width="11.44140625" style="2" customWidth="1"/>
    <col min="4613" max="4613" width="7.83203125" style="2" customWidth="1"/>
    <col min="4614" max="4614" width="9.44140625" style="2" customWidth="1"/>
    <col min="4615" max="4615" width="8.83203125" style="2" customWidth="1"/>
    <col min="4616" max="4616" width="14.44140625" style="2" customWidth="1"/>
    <col min="4617" max="4617" width="8.83203125" style="2" customWidth="1"/>
    <col min="4618" max="4618" width="12.1640625" style="2" customWidth="1"/>
    <col min="4619" max="4619" width="8.44140625" style="2" customWidth="1"/>
    <col min="4620" max="4621" width="11.44140625" style="2" customWidth="1"/>
    <col min="4622" max="4622" width="11.83203125" style="2" customWidth="1"/>
    <col min="4623" max="4623" width="11.44140625" style="2" customWidth="1"/>
    <col min="4624" max="4624" width="10.44140625" style="2" customWidth="1"/>
    <col min="4625" max="4625" width="11.83203125" style="2" customWidth="1"/>
    <col min="4626" max="4626" width="10.44140625" style="2" customWidth="1"/>
    <col min="4627" max="4627" width="12" style="2" customWidth="1"/>
    <col min="4628" max="4628" width="16.83203125" style="2" customWidth="1"/>
    <col min="4629" max="4629" width="12.44140625" style="2" customWidth="1"/>
    <col min="4630" max="4630" width="9.1640625" style="2" customWidth="1"/>
    <col min="4631" max="4631" width="13" style="2" customWidth="1"/>
    <col min="4632" max="4632" width="12" style="2" customWidth="1"/>
    <col min="4633" max="4633" width="18.44140625" style="2" customWidth="1"/>
    <col min="4634" max="4865" width="11.44140625" style="2"/>
    <col min="4866" max="4866" width="58.44140625" style="2" customWidth="1"/>
    <col min="4867" max="4867" width="8.44140625" style="2" customWidth="1"/>
    <col min="4868" max="4868" width="11.44140625" style="2" customWidth="1"/>
    <col min="4869" max="4869" width="7.83203125" style="2" customWidth="1"/>
    <col min="4870" max="4870" width="9.44140625" style="2" customWidth="1"/>
    <col min="4871" max="4871" width="8.83203125" style="2" customWidth="1"/>
    <col min="4872" max="4872" width="14.44140625" style="2" customWidth="1"/>
    <col min="4873" max="4873" width="8.83203125" style="2" customWidth="1"/>
    <col min="4874" max="4874" width="12.1640625" style="2" customWidth="1"/>
    <col min="4875" max="4875" width="8.44140625" style="2" customWidth="1"/>
    <col min="4876" max="4877" width="11.44140625" style="2" customWidth="1"/>
    <col min="4878" max="4878" width="11.83203125" style="2" customWidth="1"/>
    <col min="4879" max="4879" width="11.44140625" style="2" customWidth="1"/>
    <col min="4880" max="4880" width="10.44140625" style="2" customWidth="1"/>
    <col min="4881" max="4881" width="11.83203125" style="2" customWidth="1"/>
    <col min="4882" max="4882" width="10.44140625" style="2" customWidth="1"/>
    <col min="4883" max="4883" width="12" style="2" customWidth="1"/>
    <col min="4884" max="4884" width="16.83203125" style="2" customWidth="1"/>
    <col min="4885" max="4885" width="12.44140625" style="2" customWidth="1"/>
    <col min="4886" max="4886" width="9.1640625" style="2" customWidth="1"/>
    <col min="4887" max="4887" width="13" style="2" customWidth="1"/>
    <col min="4888" max="4888" width="12" style="2" customWidth="1"/>
    <col min="4889" max="4889" width="18.44140625" style="2" customWidth="1"/>
    <col min="4890" max="5121" width="11.44140625" style="2"/>
    <col min="5122" max="5122" width="58.44140625" style="2" customWidth="1"/>
    <col min="5123" max="5123" width="8.44140625" style="2" customWidth="1"/>
    <col min="5124" max="5124" width="11.44140625" style="2" customWidth="1"/>
    <col min="5125" max="5125" width="7.83203125" style="2" customWidth="1"/>
    <col min="5126" max="5126" width="9.44140625" style="2" customWidth="1"/>
    <col min="5127" max="5127" width="8.83203125" style="2" customWidth="1"/>
    <col min="5128" max="5128" width="14.44140625" style="2" customWidth="1"/>
    <col min="5129" max="5129" width="8.83203125" style="2" customWidth="1"/>
    <col min="5130" max="5130" width="12.1640625" style="2" customWidth="1"/>
    <col min="5131" max="5131" width="8.44140625" style="2" customWidth="1"/>
    <col min="5132" max="5133" width="11.44140625" style="2" customWidth="1"/>
    <col min="5134" max="5134" width="11.83203125" style="2" customWidth="1"/>
    <col min="5135" max="5135" width="11.44140625" style="2" customWidth="1"/>
    <col min="5136" max="5136" width="10.44140625" style="2" customWidth="1"/>
    <col min="5137" max="5137" width="11.83203125" style="2" customWidth="1"/>
    <col min="5138" max="5138" width="10.44140625" style="2" customWidth="1"/>
    <col min="5139" max="5139" width="12" style="2" customWidth="1"/>
    <col min="5140" max="5140" width="16.83203125" style="2" customWidth="1"/>
    <col min="5141" max="5141" width="12.44140625" style="2" customWidth="1"/>
    <col min="5142" max="5142" width="9.1640625" style="2" customWidth="1"/>
    <col min="5143" max="5143" width="13" style="2" customWidth="1"/>
    <col min="5144" max="5144" width="12" style="2" customWidth="1"/>
    <col min="5145" max="5145" width="18.44140625" style="2" customWidth="1"/>
    <col min="5146" max="5377" width="11.44140625" style="2"/>
    <col min="5378" max="5378" width="58.44140625" style="2" customWidth="1"/>
    <col min="5379" max="5379" width="8.44140625" style="2" customWidth="1"/>
    <col min="5380" max="5380" width="11.44140625" style="2" customWidth="1"/>
    <col min="5381" max="5381" width="7.83203125" style="2" customWidth="1"/>
    <col min="5382" max="5382" width="9.44140625" style="2" customWidth="1"/>
    <col min="5383" max="5383" width="8.83203125" style="2" customWidth="1"/>
    <col min="5384" max="5384" width="14.44140625" style="2" customWidth="1"/>
    <col min="5385" max="5385" width="8.83203125" style="2" customWidth="1"/>
    <col min="5386" max="5386" width="12.1640625" style="2" customWidth="1"/>
    <col min="5387" max="5387" width="8.44140625" style="2" customWidth="1"/>
    <col min="5388" max="5389" width="11.44140625" style="2" customWidth="1"/>
    <col min="5390" max="5390" width="11.83203125" style="2" customWidth="1"/>
    <col min="5391" max="5391" width="11.44140625" style="2" customWidth="1"/>
    <col min="5392" max="5392" width="10.44140625" style="2" customWidth="1"/>
    <col min="5393" max="5393" width="11.83203125" style="2" customWidth="1"/>
    <col min="5394" max="5394" width="10.44140625" style="2" customWidth="1"/>
    <col min="5395" max="5395" width="12" style="2" customWidth="1"/>
    <col min="5396" max="5396" width="16.83203125" style="2" customWidth="1"/>
    <col min="5397" max="5397" width="12.44140625" style="2" customWidth="1"/>
    <col min="5398" max="5398" width="9.1640625" style="2" customWidth="1"/>
    <col min="5399" max="5399" width="13" style="2" customWidth="1"/>
    <col min="5400" max="5400" width="12" style="2" customWidth="1"/>
    <col min="5401" max="5401" width="18.44140625" style="2" customWidth="1"/>
    <col min="5402" max="5633" width="11.44140625" style="2"/>
    <col min="5634" max="5634" width="58.44140625" style="2" customWidth="1"/>
    <col min="5635" max="5635" width="8.44140625" style="2" customWidth="1"/>
    <col min="5636" max="5636" width="11.44140625" style="2" customWidth="1"/>
    <col min="5637" max="5637" width="7.83203125" style="2" customWidth="1"/>
    <col min="5638" max="5638" width="9.44140625" style="2" customWidth="1"/>
    <col min="5639" max="5639" width="8.83203125" style="2" customWidth="1"/>
    <col min="5640" max="5640" width="14.44140625" style="2" customWidth="1"/>
    <col min="5641" max="5641" width="8.83203125" style="2" customWidth="1"/>
    <col min="5642" max="5642" width="12.1640625" style="2" customWidth="1"/>
    <col min="5643" max="5643" width="8.44140625" style="2" customWidth="1"/>
    <col min="5644" max="5645" width="11.44140625" style="2" customWidth="1"/>
    <col min="5646" max="5646" width="11.83203125" style="2" customWidth="1"/>
    <col min="5647" max="5647" width="11.44140625" style="2" customWidth="1"/>
    <col min="5648" max="5648" width="10.44140625" style="2" customWidth="1"/>
    <col min="5649" max="5649" width="11.83203125" style="2" customWidth="1"/>
    <col min="5650" max="5650" width="10.44140625" style="2" customWidth="1"/>
    <col min="5651" max="5651" width="12" style="2" customWidth="1"/>
    <col min="5652" max="5652" width="16.83203125" style="2" customWidth="1"/>
    <col min="5653" max="5653" width="12.44140625" style="2" customWidth="1"/>
    <col min="5654" max="5654" width="9.1640625" style="2" customWidth="1"/>
    <col min="5655" max="5655" width="13" style="2" customWidth="1"/>
    <col min="5656" max="5656" width="12" style="2" customWidth="1"/>
    <col min="5657" max="5657" width="18.44140625" style="2" customWidth="1"/>
    <col min="5658" max="5889" width="11.44140625" style="2"/>
    <col min="5890" max="5890" width="58.44140625" style="2" customWidth="1"/>
    <col min="5891" max="5891" width="8.44140625" style="2" customWidth="1"/>
    <col min="5892" max="5892" width="11.44140625" style="2" customWidth="1"/>
    <col min="5893" max="5893" width="7.83203125" style="2" customWidth="1"/>
    <col min="5894" max="5894" width="9.44140625" style="2" customWidth="1"/>
    <col min="5895" max="5895" width="8.83203125" style="2" customWidth="1"/>
    <col min="5896" max="5896" width="14.44140625" style="2" customWidth="1"/>
    <col min="5897" max="5897" width="8.83203125" style="2" customWidth="1"/>
    <col min="5898" max="5898" width="12.1640625" style="2" customWidth="1"/>
    <col min="5899" max="5899" width="8.44140625" style="2" customWidth="1"/>
    <col min="5900" max="5901" width="11.44140625" style="2" customWidth="1"/>
    <col min="5902" max="5902" width="11.83203125" style="2" customWidth="1"/>
    <col min="5903" max="5903" width="11.44140625" style="2" customWidth="1"/>
    <col min="5904" max="5904" width="10.44140625" style="2" customWidth="1"/>
    <col min="5905" max="5905" width="11.83203125" style="2" customWidth="1"/>
    <col min="5906" max="5906" width="10.44140625" style="2" customWidth="1"/>
    <col min="5907" max="5907" width="12" style="2" customWidth="1"/>
    <col min="5908" max="5908" width="16.83203125" style="2" customWidth="1"/>
    <col min="5909" max="5909" width="12.44140625" style="2" customWidth="1"/>
    <col min="5910" max="5910" width="9.1640625" style="2" customWidth="1"/>
    <col min="5911" max="5911" width="13" style="2" customWidth="1"/>
    <col min="5912" max="5912" width="12" style="2" customWidth="1"/>
    <col min="5913" max="5913" width="18.44140625" style="2" customWidth="1"/>
    <col min="5914" max="6145" width="11.44140625" style="2"/>
    <col min="6146" max="6146" width="58.44140625" style="2" customWidth="1"/>
    <col min="6147" max="6147" width="8.44140625" style="2" customWidth="1"/>
    <col min="6148" max="6148" width="11.44140625" style="2" customWidth="1"/>
    <col min="6149" max="6149" width="7.83203125" style="2" customWidth="1"/>
    <col min="6150" max="6150" width="9.44140625" style="2" customWidth="1"/>
    <col min="6151" max="6151" width="8.83203125" style="2" customWidth="1"/>
    <col min="6152" max="6152" width="14.44140625" style="2" customWidth="1"/>
    <col min="6153" max="6153" width="8.83203125" style="2" customWidth="1"/>
    <col min="6154" max="6154" width="12.1640625" style="2" customWidth="1"/>
    <col min="6155" max="6155" width="8.44140625" style="2" customWidth="1"/>
    <col min="6156" max="6157" width="11.44140625" style="2" customWidth="1"/>
    <col min="6158" max="6158" width="11.83203125" style="2" customWidth="1"/>
    <col min="6159" max="6159" width="11.44140625" style="2" customWidth="1"/>
    <col min="6160" max="6160" width="10.44140625" style="2" customWidth="1"/>
    <col min="6161" max="6161" width="11.83203125" style="2" customWidth="1"/>
    <col min="6162" max="6162" width="10.44140625" style="2" customWidth="1"/>
    <col min="6163" max="6163" width="12" style="2" customWidth="1"/>
    <col min="6164" max="6164" width="16.83203125" style="2" customWidth="1"/>
    <col min="6165" max="6165" width="12.44140625" style="2" customWidth="1"/>
    <col min="6166" max="6166" width="9.1640625" style="2" customWidth="1"/>
    <col min="6167" max="6167" width="13" style="2" customWidth="1"/>
    <col min="6168" max="6168" width="12" style="2" customWidth="1"/>
    <col min="6169" max="6169" width="18.44140625" style="2" customWidth="1"/>
    <col min="6170" max="6401" width="11.44140625" style="2"/>
    <col min="6402" max="6402" width="58.44140625" style="2" customWidth="1"/>
    <col min="6403" max="6403" width="8.44140625" style="2" customWidth="1"/>
    <col min="6404" max="6404" width="11.44140625" style="2" customWidth="1"/>
    <col min="6405" max="6405" width="7.83203125" style="2" customWidth="1"/>
    <col min="6406" max="6406" width="9.44140625" style="2" customWidth="1"/>
    <col min="6407" max="6407" width="8.83203125" style="2" customWidth="1"/>
    <col min="6408" max="6408" width="14.44140625" style="2" customWidth="1"/>
    <col min="6409" max="6409" width="8.83203125" style="2" customWidth="1"/>
    <col min="6410" max="6410" width="12.1640625" style="2" customWidth="1"/>
    <col min="6411" max="6411" width="8.44140625" style="2" customWidth="1"/>
    <col min="6412" max="6413" width="11.44140625" style="2" customWidth="1"/>
    <col min="6414" max="6414" width="11.83203125" style="2" customWidth="1"/>
    <col min="6415" max="6415" width="11.44140625" style="2" customWidth="1"/>
    <col min="6416" max="6416" width="10.44140625" style="2" customWidth="1"/>
    <col min="6417" max="6417" width="11.83203125" style="2" customWidth="1"/>
    <col min="6418" max="6418" width="10.44140625" style="2" customWidth="1"/>
    <col min="6419" max="6419" width="12" style="2" customWidth="1"/>
    <col min="6420" max="6420" width="16.83203125" style="2" customWidth="1"/>
    <col min="6421" max="6421" width="12.44140625" style="2" customWidth="1"/>
    <col min="6422" max="6422" width="9.1640625" style="2" customWidth="1"/>
    <col min="6423" max="6423" width="13" style="2" customWidth="1"/>
    <col min="6424" max="6424" width="12" style="2" customWidth="1"/>
    <col min="6425" max="6425" width="18.44140625" style="2" customWidth="1"/>
    <col min="6426" max="6657" width="11.44140625" style="2"/>
    <col min="6658" max="6658" width="58.44140625" style="2" customWidth="1"/>
    <col min="6659" max="6659" width="8.44140625" style="2" customWidth="1"/>
    <col min="6660" max="6660" width="11.44140625" style="2" customWidth="1"/>
    <col min="6661" max="6661" width="7.83203125" style="2" customWidth="1"/>
    <col min="6662" max="6662" width="9.44140625" style="2" customWidth="1"/>
    <col min="6663" max="6663" width="8.83203125" style="2" customWidth="1"/>
    <col min="6664" max="6664" width="14.44140625" style="2" customWidth="1"/>
    <col min="6665" max="6665" width="8.83203125" style="2" customWidth="1"/>
    <col min="6666" max="6666" width="12.1640625" style="2" customWidth="1"/>
    <col min="6667" max="6667" width="8.44140625" style="2" customWidth="1"/>
    <col min="6668" max="6669" width="11.44140625" style="2" customWidth="1"/>
    <col min="6670" max="6670" width="11.83203125" style="2" customWidth="1"/>
    <col min="6671" max="6671" width="11.44140625" style="2" customWidth="1"/>
    <col min="6672" max="6672" width="10.44140625" style="2" customWidth="1"/>
    <col min="6673" max="6673" width="11.83203125" style="2" customWidth="1"/>
    <col min="6674" max="6674" width="10.44140625" style="2" customWidth="1"/>
    <col min="6675" max="6675" width="12" style="2" customWidth="1"/>
    <col min="6676" max="6676" width="16.83203125" style="2" customWidth="1"/>
    <col min="6677" max="6677" width="12.44140625" style="2" customWidth="1"/>
    <col min="6678" max="6678" width="9.1640625" style="2" customWidth="1"/>
    <col min="6679" max="6679" width="13" style="2" customWidth="1"/>
    <col min="6680" max="6680" width="12" style="2" customWidth="1"/>
    <col min="6681" max="6681" width="18.44140625" style="2" customWidth="1"/>
    <col min="6682" max="6913" width="11.44140625" style="2"/>
    <col min="6914" max="6914" width="58.44140625" style="2" customWidth="1"/>
    <col min="6915" max="6915" width="8.44140625" style="2" customWidth="1"/>
    <col min="6916" max="6916" width="11.44140625" style="2" customWidth="1"/>
    <col min="6917" max="6917" width="7.83203125" style="2" customWidth="1"/>
    <col min="6918" max="6918" width="9.44140625" style="2" customWidth="1"/>
    <col min="6919" max="6919" width="8.83203125" style="2" customWidth="1"/>
    <col min="6920" max="6920" width="14.44140625" style="2" customWidth="1"/>
    <col min="6921" max="6921" width="8.83203125" style="2" customWidth="1"/>
    <col min="6922" max="6922" width="12.1640625" style="2" customWidth="1"/>
    <col min="6923" max="6923" width="8.44140625" style="2" customWidth="1"/>
    <col min="6924" max="6925" width="11.44140625" style="2" customWidth="1"/>
    <col min="6926" max="6926" width="11.83203125" style="2" customWidth="1"/>
    <col min="6927" max="6927" width="11.44140625" style="2" customWidth="1"/>
    <col min="6928" max="6928" width="10.44140625" style="2" customWidth="1"/>
    <col min="6929" max="6929" width="11.83203125" style="2" customWidth="1"/>
    <col min="6930" max="6930" width="10.44140625" style="2" customWidth="1"/>
    <col min="6931" max="6931" width="12" style="2" customWidth="1"/>
    <col min="6932" max="6932" width="16.83203125" style="2" customWidth="1"/>
    <col min="6933" max="6933" width="12.44140625" style="2" customWidth="1"/>
    <col min="6934" max="6934" width="9.1640625" style="2" customWidth="1"/>
    <col min="6935" max="6935" width="13" style="2" customWidth="1"/>
    <col min="6936" max="6936" width="12" style="2" customWidth="1"/>
    <col min="6937" max="6937" width="18.44140625" style="2" customWidth="1"/>
    <col min="6938" max="7169" width="11.44140625" style="2"/>
    <col min="7170" max="7170" width="58.44140625" style="2" customWidth="1"/>
    <col min="7171" max="7171" width="8.44140625" style="2" customWidth="1"/>
    <col min="7172" max="7172" width="11.44140625" style="2" customWidth="1"/>
    <col min="7173" max="7173" width="7.83203125" style="2" customWidth="1"/>
    <col min="7174" max="7174" width="9.44140625" style="2" customWidth="1"/>
    <col min="7175" max="7175" width="8.83203125" style="2" customWidth="1"/>
    <col min="7176" max="7176" width="14.44140625" style="2" customWidth="1"/>
    <col min="7177" max="7177" width="8.83203125" style="2" customWidth="1"/>
    <col min="7178" max="7178" width="12.1640625" style="2" customWidth="1"/>
    <col min="7179" max="7179" width="8.44140625" style="2" customWidth="1"/>
    <col min="7180" max="7181" width="11.44140625" style="2" customWidth="1"/>
    <col min="7182" max="7182" width="11.83203125" style="2" customWidth="1"/>
    <col min="7183" max="7183" width="11.44140625" style="2" customWidth="1"/>
    <col min="7184" max="7184" width="10.44140625" style="2" customWidth="1"/>
    <col min="7185" max="7185" width="11.83203125" style="2" customWidth="1"/>
    <col min="7186" max="7186" width="10.44140625" style="2" customWidth="1"/>
    <col min="7187" max="7187" width="12" style="2" customWidth="1"/>
    <col min="7188" max="7188" width="16.83203125" style="2" customWidth="1"/>
    <col min="7189" max="7189" width="12.44140625" style="2" customWidth="1"/>
    <col min="7190" max="7190" width="9.1640625" style="2" customWidth="1"/>
    <col min="7191" max="7191" width="13" style="2" customWidth="1"/>
    <col min="7192" max="7192" width="12" style="2" customWidth="1"/>
    <col min="7193" max="7193" width="18.44140625" style="2" customWidth="1"/>
    <col min="7194" max="7425" width="11.44140625" style="2"/>
    <col min="7426" max="7426" width="58.44140625" style="2" customWidth="1"/>
    <col min="7427" max="7427" width="8.44140625" style="2" customWidth="1"/>
    <col min="7428" max="7428" width="11.44140625" style="2" customWidth="1"/>
    <col min="7429" max="7429" width="7.83203125" style="2" customWidth="1"/>
    <col min="7430" max="7430" width="9.44140625" style="2" customWidth="1"/>
    <col min="7431" max="7431" width="8.83203125" style="2" customWidth="1"/>
    <col min="7432" max="7432" width="14.44140625" style="2" customWidth="1"/>
    <col min="7433" max="7433" width="8.83203125" style="2" customWidth="1"/>
    <col min="7434" max="7434" width="12.1640625" style="2" customWidth="1"/>
    <col min="7435" max="7435" width="8.44140625" style="2" customWidth="1"/>
    <col min="7436" max="7437" width="11.44140625" style="2" customWidth="1"/>
    <col min="7438" max="7438" width="11.83203125" style="2" customWidth="1"/>
    <col min="7439" max="7439" width="11.44140625" style="2" customWidth="1"/>
    <col min="7440" max="7440" width="10.44140625" style="2" customWidth="1"/>
    <col min="7441" max="7441" width="11.83203125" style="2" customWidth="1"/>
    <col min="7442" max="7442" width="10.44140625" style="2" customWidth="1"/>
    <col min="7443" max="7443" width="12" style="2" customWidth="1"/>
    <col min="7444" max="7444" width="16.83203125" style="2" customWidth="1"/>
    <col min="7445" max="7445" width="12.44140625" style="2" customWidth="1"/>
    <col min="7446" max="7446" width="9.1640625" style="2" customWidth="1"/>
    <col min="7447" max="7447" width="13" style="2" customWidth="1"/>
    <col min="7448" max="7448" width="12" style="2" customWidth="1"/>
    <col min="7449" max="7449" width="18.44140625" style="2" customWidth="1"/>
    <col min="7450" max="7681" width="11.44140625" style="2"/>
    <col min="7682" max="7682" width="58.44140625" style="2" customWidth="1"/>
    <col min="7683" max="7683" width="8.44140625" style="2" customWidth="1"/>
    <col min="7684" max="7684" width="11.44140625" style="2" customWidth="1"/>
    <col min="7685" max="7685" width="7.83203125" style="2" customWidth="1"/>
    <col min="7686" max="7686" width="9.44140625" style="2" customWidth="1"/>
    <col min="7687" max="7687" width="8.83203125" style="2" customWidth="1"/>
    <col min="7688" max="7688" width="14.44140625" style="2" customWidth="1"/>
    <col min="7689" max="7689" width="8.83203125" style="2" customWidth="1"/>
    <col min="7690" max="7690" width="12.1640625" style="2" customWidth="1"/>
    <col min="7691" max="7691" width="8.44140625" style="2" customWidth="1"/>
    <col min="7692" max="7693" width="11.44140625" style="2" customWidth="1"/>
    <col min="7694" max="7694" width="11.83203125" style="2" customWidth="1"/>
    <col min="7695" max="7695" width="11.44140625" style="2" customWidth="1"/>
    <col min="7696" max="7696" width="10.44140625" style="2" customWidth="1"/>
    <col min="7697" max="7697" width="11.83203125" style="2" customWidth="1"/>
    <col min="7698" max="7698" width="10.44140625" style="2" customWidth="1"/>
    <col min="7699" max="7699" width="12" style="2" customWidth="1"/>
    <col min="7700" max="7700" width="16.83203125" style="2" customWidth="1"/>
    <col min="7701" max="7701" width="12.44140625" style="2" customWidth="1"/>
    <col min="7702" max="7702" width="9.1640625" style="2" customWidth="1"/>
    <col min="7703" max="7703" width="13" style="2" customWidth="1"/>
    <col min="7704" max="7704" width="12" style="2" customWidth="1"/>
    <col min="7705" max="7705" width="18.44140625" style="2" customWidth="1"/>
    <col min="7706" max="7937" width="11.44140625" style="2"/>
    <col min="7938" max="7938" width="58.44140625" style="2" customWidth="1"/>
    <col min="7939" max="7939" width="8.44140625" style="2" customWidth="1"/>
    <col min="7940" max="7940" width="11.44140625" style="2" customWidth="1"/>
    <col min="7941" max="7941" width="7.83203125" style="2" customWidth="1"/>
    <col min="7942" max="7942" width="9.44140625" style="2" customWidth="1"/>
    <col min="7943" max="7943" width="8.83203125" style="2" customWidth="1"/>
    <col min="7944" max="7944" width="14.44140625" style="2" customWidth="1"/>
    <col min="7945" max="7945" width="8.83203125" style="2" customWidth="1"/>
    <col min="7946" max="7946" width="12.1640625" style="2" customWidth="1"/>
    <col min="7947" max="7947" width="8.44140625" style="2" customWidth="1"/>
    <col min="7948" max="7949" width="11.44140625" style="2" customWidth="1"/>
    <col min="7950" max="7950" width="11.83203125" style="2" customWidth="1"/>
    <col min="7951" max="7951" width="11.44140625" style="2" customWidth="1"/>
    <col min="7952" max="7952" width="10.44140625" style="2" customWidth="1"/>
    <col min="7953" max="7953" width="11.83203125" style="2" customWidth="1"/>
    <col min="7954" max="7954" width="10.44140625" style="2" customWidth="1"/>
    <col min="7955" max="7955" width="12" style="2" customWidth="1"/>
    <col min="7956" max="7956" width="16.83203125" style="2" customWidth="1"/>
    <col min="7957" max="7957" width="12.44140625" style="2" customWidth="1"/>
    <col min="7958" max="7958" width="9.1640625" style="2" customWidth="1"/>
    <col min="7959" max="7959" width="13" style="2" customWidth="1"/>
    <col min="7960" max="7960" width="12" style="2" customWidth="1"/>
    <col min="7961" max="7961" width="18.44140625" style="2" customWidth="1"/>
    <col min="7962" max="8193" width="11.44140625" style="2"/>
    <col min="8194" max="8194" width="58.44140625" style="2" customWidth="1"/>
    <col min="8195" max="8195" width="8.44140625" style="2" customWidth="1"/>
    <col min="8196" max="8196" width="11.44140625" style="2" customWidth="1"/>
    <col min="8197" max="8197" width="7.83203125" style="2" customWidth="1"/>
    <col min="8198" max="8198" width="9.44140625" style="2" customWidth="1"/>
    <col min="8199" max="8199" width="8.83203125" style="2" customWidth="1"/>
    <col min="8200" max="8200" width="14.44140625" style="2" customWidth="1"/>
    <col min="8201" max="8201" width="8.83203125" style="2" customWidth="1"/>
    <col min="8202" max="8202" width="12.1640625" style="2" customWidth="1"/>
    <col min="8203" max="8203" width="8.44140625" style="2" customWidth="1"/>
    <col min="8204" max="8205" width="11.44140625" style="2" customWidth="1"/>
    <col min="8206" max="8206" width="11.83203125" style="2" customWidth="1"/>
    <col min="8207" max="8207" width="11.44140625" style="2" customWidth="1"/>
    <col min="8208" max="8208" width="10.44140625" style="2" customWidth="1"/>
    <col min="8209" max="8209" width="11.83203125" style="2" customWidth="1"/>
    <col min="8210" max="8210" width="10.44140625" style="2" customWidth="1"/>
    <col min="8211" max="8211" width="12" style="2" customWidth="1"/>
    <col min="8212" max="8212" width="16.83203125" style="2" customWidth="1"/>
    <col min="8213" max="8213" width="12.44140625" style="2" customWidth="1"/>
    <col min="8214" max="8214" width="9.1640625" style="2" customWidth="1"/>
    <col min="8215" max="8215" width="13" style="2" customWidth="1"/>
    <col min="8216" max="8216" width="12" style="2" customWidth="1"/>
    <col min="8217" max="8217" width="18.44140625" style="2" customWidth="1"/>
    <col min="8218" max="8449" width="11.44140625" style="2"/>
    <col min="8450" max="8450" width="58.44140625" style="2" customWidth="1"/>
    <col min="8451" max="8451" width="8.44140625" style="2" customWidth="1"/>
    <col min="8452" max="8452" width="11.44140625" style="2" customWidth="1"/>
    <col min="8453" max="8453" width="7.83203125" style="2" customWidth="1"/>
    <col min="8454" max="8454" width="9.44140625" style="2" customWidth="1"/>
    <col min="8455" max="8455" width="8.83203125" style="2" customWidth="1"/>
    <col min="8456" max="8456" width="14.44140625" style="2" customWidth="1"/>
    <col min="8457" max="8457" width="8.83203125" style="2" customWidth="1"/>
    <col min="8458" max="8458" width="12.1640625" style="2" customWidth="1"/>
    <col min="8459" max="8459" width="8.44140625" style="2" customWidth="1"/>
    <col min="8460" max="8461" width="11.44140625" style="2" customWidth="1"/>
    <col min="8462" max="8462" width="11.83203125" style="2" customWidth="1"/>
    <col min="8463" max="8463" width="11.44140625" style="2" customWidth="1"/>
    <col min="8464" max="8464" width="10.44140625" style="2" customWidth="1"/>
    <col min="8465" max="8465" width="11.83203125" style="2" customWidth="1"/>
    <col min="8466" max="8466" width="10.44140625" style="2" customWidth="1"/>
    <col min="8467" max="8467" width="12" style="2" customWidth="1"/>
    <col min="8468" max="8468" width="16.83203125" style="2" customWidth="1"/>
    <col min="8469" max="8469" width="12.44140625" style="2" customWidth="1"/>
    <col min="8470" max="8470" width="9.1640625" style="2" customWidth="1"/>
    <col min="8471" max="8471" width="13" style="2" customWidth="1"/>
    <col min="8472" max="8472" width="12" style="2" customWidth="1"/>
    <col min="8473" max="8473" width="18.44140625" style="2" customWidth="1"/>
    <col min="8474" max="8705" width="11.44140625" style="2"/>
    <col min="8706" max="8706" width="58.44140625" style="2" customWidth="1"/>
    <col min="8707" max="8707" width="8.44140625" style="2" customWidth="1"/>
    <col min="8708" max="8708" width="11.44140625" style="2" customWidth="1"/>
    <col min="8709" max="8709" width="7.83203125" style="2" customWidth="1"/>
    <col min="8710" max="8710" width="9.44140625" style="2" customWidth="1"/>
    <col min="8711" max="8711" width="8.83203125" style="2" customWidth="1"/>
    <col min="8712" max="8712" width="14.44140625" style="2" customWidth="1"/>
    <col min="8713" max="8713" width="8.83203125" style="2" customWidth="1"/>
    <col min="8714" max="8714" width="12.1640625" style="2" customWidth="1"/>
    <col min="8715" max="8715" width="8.44140625" style="2" customWidth="1"/>
    <col min="8716" max="8717" width="11.44140625" style="2" customWidth="1"/>
    <col min="8718" max="8718" width="11.83203125" style="2" customWidth="1"/>
    <col min="8719" max="8719" width="11.44140625" style="2" customWidth="1"/>
    <col min="8720" max="8720" width="10.44140625" style="2" customWidth="1"/>
    <col min="8721" max="8721" width="11.83203125" style="2" customWidth="1"/>
    <col min="8722" max="8722" width="10.44140625" style="2" customWidth="1"/>
    <col min="8723" max="8723" width="12" style="2" customWidth="1"/>
    <col min="8724" max="8724" width="16.83203125" style="2" customWidth="1"/>
    <col min="8725" max="8725" width="12.44140625" style="2" customWidth="1"/>
    <col min="8726" max="8726" width="9.1640625" style="2" customWidth="1"/>
    <col min="8727" max="8727" width="13" style="2" customWidth="1"/>
    <col min="8728" max="8728" width="12" style="2" customWidth="1"/>
    <col min="8729" max="8729" width="18.44140625" style="2" customWidth="1"/>
    <col min="8730" max="8961" width="11.44140625" style="2"/>
    <col min="8962" max="8962" width="58.44140625" style="2" customWidth="1"/>
    <col min="8963" max="8963" width="8.44140625" style="2" customWidth="1"/>
    <col min="8964" max="8964" width="11.44140625" style="2" customWidth="1"/>
    <col min="8965" max="8965" width="7.83203125" style="2" customWidth="1"/>
    <col min="8966" max="8966" width="9.44140625" style="2" customWidth="1"/>
    <col min="8967" max="8967" width="8.83203125" style="2" customWidth="1"/>
    <col min="8968" max="8968" width="14.44140625" style="2" customWidth="1"/>
    <col min="8969" max="8969" width="8.83203125" style="2" customWidth="1"/>
    <col min="8970" max="8970" width="12.1640625" style="2" customWidth="1"/>
    <col min="8971" max="8971" width="8.44140625" style="2" customWidth="1"/>
    <col min="8972" max="8973" width="11.44140625" style="2" customWidth="1"/>
    <col min="8974" max="8974" width="11.83203125" style="2" customWidth="1"/>
    <col min="8975" max="8975" width="11.44140625" style="2" customWidth="1"/>
    <col min="8976" max="8976" width="10.44140625" style="2" customWidth="1"/>
    <col min="8977" max="8977" width="11.83203125" style="2" customWidth="1"/>
    <col min="8978" max="8978" width="10.44140625" style="2" customWidth="1"/>
    <col min="8979" max="8979" width="12" style="2" customWidth="1"/>
    <col min="8980" max="8980" width="16.83203125" style="2" customWidth="1"/>
    <col min="8981" max="8981" width="12.44140625" style="2" customWidth="1"/>
    <col min="8982" max="8982" width="9.1640625" style="2" customWidth="1"/>
    <col min="8983" max="8983" width="13" style="2" customWidth="1"/>
    <col min="8984" max="8984" width="12" style="2" customWidth="1"/>
    <col min="8985" max="8985" width="18.44140625" style="2" customWidth="1"/>
    <col min="8986" max="9217" width="11.44140625" style="2"/>
    <col min="9218" max="9218" width="58.44140625" style="2" customWidth="1"/>
    <col min="9219" max="9219" width="8.44140625" style="2" customWidth="1"/>
    <col min="9220" max="9220" width="11.44140625" style="2" customWidth="1"/>
    <col min="9221" max="9221" width="7.83203125" style="2" customWidth="1"/>
    <col min="9222" max="9222" width="9.44140625" style="2" customWidth="1"/>
    <col min="9223" max="9223" width="8.83203125" style="2" customWidth="1"/>
    <col min="9224" max="9224" width="14.44140625" style="2" customWidth="1"/>
    <col min="9225" max="9225" width="8.83203125" style="2" customWidth="1"/>
    <col min="9226" max="9226" width="12.1640625" style="2" customWidth="1"/>
    <col min="9227" max="9227" width="8.44140625" style="2" customWidth="1"/>
    <col min="9228" max="9229" width="11.44140625" style="2" customWidth="1"/>
    <col min="9230" max="9230" width="11.83203125" style="2" customWidth="1"/>
    <col min="9231" max="9231" width="11.44140625" style="2" customWidth="1"/>
    <col min="9232" max="9232" width="10.44140625" style="2" customWidth="1"/>
    <col min="9233" max="9233" width="11.83203125" style="2" customWidth="1"/>
    <col min="9234" max="9234" width="10.44140625" style="2" customWidth="1"/>
    <col min="9235" max="9235" width="12" style="2" customWidth="1"/>
    <col min="9236" max="9236" width="16.83203125" style="2" customWidth="1"/>
    <col min="9237" max="9237" width="12.44140625" style="2" customWidth="1"/>
    <col min="9238" max="9238" width="9.1640625" style="2" customWidth="1"/>
    <col min="9239" max="9239" width="13" style="2" customWidth="1"/>
    <col min="9240" max="9240" width="12" style="2" customWidth="1"/>
    <col min="9241" max="9241" width="18.44140625" style="2" customWidth="1"/>
    <col min="9242" max="9473" width="11.44140625" style="2"/>
    <col min="9474" max="9474" width="58.44140625" style="2" customWidth="1"/>
    <col min="9475" max="9475" width="8.44140625" style="2" customWidth="1"/>
    <col min="9476" max="9476" width="11.44140625" style="2" customWidth="1"/>
    <col min="9477" max="9477" width="7.83203125" style="2" customWidth="1"/>
    <col min="9478" max="9478" width="9.44140625" style="2" customWidth="1"/>
    <col min="9479" max="9479" width="8.83203125" style="2" customWidth="1"/>
    <col min="9480" max="9480" width="14.44140625" style="2" customWidth="1"/>
    <col min="9481" max="9481" width="8.83203125" style="2" customWidth="1"/>
    <col min="9482" max="9482" width="12.1640625" style="2" customWidth="1"/>
    <col min="9483" max="9483" width="8.44140625" style="2" customWidth="1"/>
    <col min="9484" max="9485" width="11.44140625" style="2" customWidth="1"/>
    <col min="9486" max="9486" width="11.83203125" style="2" customWidth="1"/>
    <col min="9487" max="9487" width="11.44140625" style="2" customWidth="1"/>
    <col min="9488" max="9488" width="10.44140625" style="2" customWidth="1"/>
    <col min="9489" max="9489" width="11.83203125" style="2" customWidth="1"/>
    <col min="9490" max="9490" width="10.44140625" style="2" customWidth="1"/>
    <col min="9491" max="9491" width="12" style="2" customWidth="1"/>
    <col min="9492" max="9492" width="16.83203125" style="2" customWidth="1"/>
    <col min="9493" max="9493" width="12.44140625" style="2" customWidth="1"/>
    <col min="9494" max="9494" width="9.1640625" style="2" customWidth="1"/>
    <col min="9495" max="9495" width="13" style="2" customWidth="1"/>
    <col min="9496" max="9496" width="12" style="2" customWidth="1"/>
    <col min="9497" max="9497" width="18.44140625" style="2" customWidth="1"/>
    <col min="9498" max="9729" width="11.44140625" style="2"/>
    <col min="9730" max="9730" width="58.44140625" style="2" customWidth="1"/>
    <col min="9731" max="9731" width="8.44140625" style="2" customWidth="1"/>
    <col min="9732" max="9732" width="11.44140625" style="2" customWidth="1"/>
    <col min="9733" max="9733" width="7.83203125" style="2" customWidth="1"/>
    <col min="9734" max="9734" width="9.44140625" style="2" customWidth="1"/>
    <col min="9735" max="9735" width="8.83203125" style="2" customWidth="1"/>
    <col min="9736" max="9736" width="14.44140625" style="2" customWidth="1"/>
    <col min="9737" max="9737" width="8.83203125" style="2" customWidth="1"/>
    <col min="9738" max="9738" width="12.1640625" style="2" customWidth="1"/>
    <col min="9739" max="9739" width="8.44140625" style="2" customWidth="1"/>
    <col min="9740" max="9741" width="11.44140625" style="2" customWidth="1"/>
    <col min="9742" max="9742" width="11.83203125" style="2" customWidth="1"/>
    <col min="9743" max="9743" width="11.44140625" style="2" customWidth="1"/>
    <col min="9744" max="9744" width="10.44140625" style="2" customWidth="1"/>
    <col min="9745" max="9745" width="11.83203125" style="2" customWidth="1"/>
    <col min="9746" max="9746" width="10.44140625" style="2" customWidth="1"/>
    <col min="9747" max="9747" width="12" style="2" customWidth="1"/>
    <col min="9748" max="9748" width="16.83203125" style="2" customWidth="1"/>
    <col min="9749" max="9749" width="12.44140625" style="2" customWidth="1"/>
    <col min="9750" max="9750" width="9.1640625" style="2" customWidth="1"/>
    <col min="9751" max="9751" width="13" style="2" customWidth="1"/>
    <col min="9752" max="9752" width="12" style="2" customWidth="1"/>
    <col min="9753" max="9753" width="18.44140625" style="2" customWidth="1"/>
    <col min="9754" max="9985" width="11.44140625" style="2"/>
    <col min="9986" max="9986" width="58.44140625" style="2" customWidth="1"/>
    <col min="9987" max="9987" width="8.44140625" style="2" customWidth="1"/>
    <col min="9988" max="9988" width="11.44140625" style="2" customWidth="1"/>
    <col min="9989" max="9989" width="7.83203125" style="2" customWidth="1"/>
    <col min="9990" max="9990" width="9.44140625" style="2" customWidth="1"/>
    <col min="9991" max="9991" width="8.83203125" style="2" customWidth="1"/>
    <col min="9992" max="9992" width="14.44140625" style="2" customWidth="1"/>
    <col min="9993" max="9993" width="8.83203125" style="2" customWidth="1"/>
    <col min="9994" max="9994" width="12.1640625" style="2" customWidth="1"/>
    <col min="9995" max="9995" width="8.44140625" style="2" customWidth="1"/>
    <col min="9996" max="9997" width="11.44140625" style="2" customWidth="1"/>
    <col min="9998" max="9998" width="11.83203125" style="2" customWidth="1"/>
    <col min="9999" max="9999" width="11.44140625" style="2" customWidth="1"/>
    <col min="10000" max="10000" width="10.44140625" style="2" customWidth="1"/>
    <col min="10001" max="10001" width="11.83203125" style="2" customWidth="1"/>
    <col min="10002" max="10002" width="10.44140625" style="2" customWidth="1"/>
    <col min="10003" max="10003" width="12" style="2" customWidth="1"/>
    <col min="10004" max="10004" width="16.83203125" style="2" customWidth="1"/>
    <col min="10005" max="10005" width="12.44140625" style="2" customWidth="1"/>
    <col min="10006" max="10006" width="9.1640625" style="2" customWidth="1"/>
    <col min="10007" max="10007" width="13" style="2" customWidth="1"/>
    <col min="10008" max="10008" width="12" style="2" customWidth="1"/>
    <col min="10009" max="10009" width="18.44140625" style="2" customWidth="1"/>
    <col min="10010" max="10241" width="11.44140625" style="2"/>
    <col min="10242" max="10242" width="58.44140625" style="2" customWidth="1"/>
    <col min="10243" max="10243" width="8.44140625" style="2" customWidth="1"/>
    <col min="10244" max="10244" width="11.44140625" style="2" customWidth="1"/>
    <col min="10245" max="10245" width="7.83203125" style="2" customWidth="1"/>
    <col min="10246" max="10246" width="9.44140625" style="2" customWidth="1"/>
    <col min="10247" max="10247" width="8.83203125" style="2" customWidth="1"/>
    <col min="10248" max="10248" width="14.44140625" style="2" customWidth="1"/>
    <col min="10249" max="10249" width="8.83203125" style="2" customWidth="1"/>
    <col min="10250" max="10250" width="12.1640625" style="2" customWidth="1"/>
    <col min="10251" max="10251" width="8.44140625" style="2" customWidth="1"/>
    <col min="10252" max="10253" width="11.44140625" style="2" customWidth="1"/>
    <col min="10254" max="10254" width="11.83203125" style="2" customWidth="1"/>
    <col min="10255" max="10255" width="11.44140625" style="2" customWidth="1"/>
    <col min="10256" max="10256" width="10.44140625" style="2" customWidth="1"/>
    <col min="10257" max="10257" width="11.83203125" style="2" customWidth="1"/>
    <col min="10258" max="10258" width="10.44140625" style="2" customWidth="1"/>
    <col min="10259" max="10259" width="12" style="2" customWidth="1"/>
    <col min="10260" max="10260" width="16.83203125" style="2" customWidth="1"/>
    <col min="10261" max="10261" width="12.44140625" style="2" customWidth="1"/>
    <col min="10262" max="10262" width="9.1640625" style="2" customWidth="1"/>
    <col min="10263" max="10263" width="13" style="2" customWidth="1"/>
    <col min="10264" max="10264" width="12" style="2" customWidth="1"/>
    <col min="10265" max="10265" width="18.44140625" style="2" customWidth="1"/>
    <col min="10266" max="10497" width="11.44140625" style="2"/>
    <col min="10498" max="10498" width="58.44140625" style="2" customWidth="1"/>
    <col min="10499" max="10499" width="8.44140625" style="2" customWidth="1"/>
    <col min="10500" max="10500" width="11.44140625" style="2" customWidth="1"/>
    <col min="10501" max="10501" width="7.83203125" style="2" customWidth="1"/>
    <col min="10502" max="10502" width="9.44140625" style="2" customWidth="1"/>
    <col min="10503" max="10503" width="8.83203125" style="2" customWidth="1"/>
    <col min="10504" max="10504" width="14.44140625" style="2" customWidth="1"/>
    <col min="10505" max="10505" width="8.83203125" style="2" customWidth="1"/>
    <col min="10506" max="10506" width="12.1640625" style="2" customWidth="1"/>
    <col min="10507" max="10507" width="8.44140625" style="2" customWidth="1"/>
    <col min="10508" max="10509" width="11.44140625" style="2" customWidth="1"/>
    <col min="10510" max="10510" width="11.83203125" style="2" customWidth="1"/>
    <col min="10511" max="10511" width="11.44140625" style="2" customWidth="1"/>
    <col min="10512" max="10512" width="10.44140625" style="2" customWidth="1"/>
    <col min="10513" max="10513" width="11.83203125" style="2" customWidth="1"/>
    <col min="10514" max="10514" width="10.44140625" style="2" customWidth="1"/>
    <col min="10515" max="10515" width="12" style="2" customWidth="1"/>
    <col min="10516" max="10516" width="16.83203125" style="2" customWidth="1"/>
    <col min="10517" max="10517" width="12.44140625" style="2" customWidth="1"/>
    <col min="10518" max="10518" width="9.1640625" style="2" customWidth="1"/>
    <col min="10519" max="10519" width="13" style="2" customWidth="1"/>
    <col min="10520" max="10520" width="12" style="2" customWidth="1"/>
    <col min="10521" max="10521" width="18.44140625" style="2" customWidth="1"/>
    <col min="10522" max="10753" width="11.44140625" style="2"/>
    <col min="10754" max="10754" width="58.44140625" style="2" customWidth="1"/>
    <col min="10755" max="10755" width="8.44140625" style="2" customWidth="1"/>
    <col min="10756" max="10756" width="11.44140625" style="2" customWidth="1"/>
    <col min="10757" max="10757" width="7.83203125" style="2" customWidth="1"/>
    <col min="10758" max="10758" width="9.44140625" style="2" customWidth="1"/>
    <col min="10759" max="10759" width="8.83203125" style="2" customWidth="1"/>
    <col min="10760" max="10760" width="14.44140625" style="2" customWidth="1"/>
    <col min="10761" max="10761" width="8.83203125" style="2" customWidth="1"/>
    <col min="10762" max="10762" width="12.1640625" style="2" customWidth="1"/>
    <col min="10763" max="10763" width="8.44140625" style="2" customWidth="1"/>
    <col min="10764" max="10765" width="11.44140625" style="2" customWidth="1"/>
    <col min="10766" max="10766" width="11.83203125" style="2" customWidth="1"/>
    <col min="10767" max="10767" width="11.44140625" style="2" customWidth="1"/>
    <col min="10768" max="10768" width="10.44140625" style="2" customWidth="1"/>
    <col min="10769" max="10769" width="11.83203125" style="2" customWidth="1"/>
    <col min="10770" max="10770" width="10.44140625" style="2" customWidth="1"/>
    <col min="10771" max="10771" width="12" style="2" customWidth="1"/>
    <col min="10772" max="10772" width="16.83203125" style="2" customWidth="1"/>
    <col min="10773" max="10773" width="12.44140625" style="2" customWidth="1"/>
    <col min="10774" max="10774" width="9.1640625" style="2" customWidth="1"/>
    <col min="10775" max="10775" width="13" style="2" customWidth="1"/>
    <col min="10776" max="10776" width="12" style="2" customWidth="1"/>
    <col min="10777" max="10777" width="18.44140625" style="2" customWidth="1"/>
    <col min="10778" max="11009" width="11.44140625" style="2"/>
    <col min="11010" max="11010" width="58.44140625" style="2" customWidth="1"/>
    <col min="11011" max="11011" width="8.44140625" style="2" customWidth="1"/>
    <col min="11012" max="11012" width="11.44140625" style="2" customWidth="1"/>
    <col min="11013" max="11013" width="7.83203125" style="2" customWidth="1"/>
    <col min="11014" max="11014" width="9.44140625" style="2" customWidth="1"/>
    <col min="11015" max="11015" width="8.83203125" style="2" customWidth="1"/>
    <col min="11016" max="11016" width="14.44140625" style="2" customWidth="1"/>
    <col min="11017" max="11017" width="8.83203125" style="2" customWidth="1"/>
    <col min="11018" max="11018" width="12.1640625" style="2" customWidth="1"/>
    <col min="11019" max="11019" width="8.44140625" style="2" customWidth="1"/>
    <col min="11020" max="11021" width="11.44140625" style="2" customWidth="1"/>
    <col min="11022" max="11022" width="11.83203125" style="2" customWidth="1"/>
    <col min="11023" max="11023" width="11.44140625" style="2" customWidth="1"/>
    <col min="11024" max="11024" width="10.44140625" style="2" customWidth="1"/>
    <col min="11025" max="11025" width="11.83203125" style="2" customWidth="1"/>
    <col min="11026" max="11026" width="10.44140625" style="2" customWidth="1"/>
    <col min="11027" max="11027" width="12" style="2" customWidth="1"/>
    <col min="11028" max="11028" width="16.83203125" style="2" customWidth="1"/>
    <col min="11029" max="11029" width="12.44140625" style="2" customWidth="1"/>
    <col min="11030" max="11030" width="9.1640625" style="2" customWidth="1"/>
    <col min="11031" max="11031" width="13" style="2" customWidth="1"/>
    <col min="11032" max="11032" width="12" style="2" customWidth="1"/>
    <col min="11033" max="11033" width="18.44140625" style="2" customWidth="1"/>
    <col min="11034" max="11265" width="11.44140625" style="2"/>
    <col min="11266" max="11266" width="58.44140625" style="2" customWidth="1"/>
    <col min="11267" max="11267" width="8.44140625" style="2" customWidth="1"/>
    <col min="11268" max="11268" width="11.44140625" style="2" customWidth="1"/>
    <col min="11269" max="11269" width="7.83203125" style="2" customWidth="1"/>
    <col min="11270" max="11270" width="9.44140625" style="2" customWidth="1"/>
    <col min="11271" max="11271" width="8.83203125" style="2" customWidth="1"/>
    <col min="11272" max="11272" width="14.44140625" style="2" customWidth="1"/>
    <col min="11273" max="11273" width="8.83203125" style="2" customWidth="1"/>
    <col min="11274" max="11274" width="12.1640625" style="2" customWidth="1"/>
    <col min="11275" max="11275" width="8.44140625" style="2" customWidth="1"/>
    <col min="11276" max="11277" width="11.44140625" style="2" customWidth="1"/>
    <col min="11278" max="11278" width="11.83203125" style="2" customWidth="1"/>
    <col min="11279" max="11279" width="11.44140625" style="2" customWidth="1"/>
    <col min="11280" max="11280" width="10.44140625" style="2" customWidth="1"/>
    <col min="11281" max="11281" width="11.83203125" style="2" customWidth="1"/>
    <col min="11282" max="11282" width="10.44140625" style="2" customWidth="1"/>
    <col min="11283" max="11283" width="12" style="2" customWidth="1"/>
    <col min="11284" max="11284" width="16.83203125" style="2" customWidth="1"/>
    <col min="11285" max="11285" width="12.44140625" style="2" customWidth="1"/>
    <col min="11286" max="11286" width="9.1640625" style="2" customWidth="1"/>
    <col min="11287" max="11287" width="13" style="2" customWidth="1"/>
    <col min="11288" max="11288" width="12" style="2" customWidth="1"/>
    <col min="11289" max="11289" width="18.44140625" style="2" customWidth="1"/>
    <col min="11290" max="11521" width="11.44140625" style="2"/>
    <col min="11522" max="11522" width="58.44140625" style="2" customWidth="1"/>
    <col min="11523" max="11523" width="8.44140625" style="2" customWidth="1"/>
    <col min="11524" max="11524" width="11.44140625" style="2" customWidth="1"/>
    <col min="11525" max="11525" width="7.83203125" style="2" customWidth="1"/>
    <col min="11526" max="11526" width="9.44140625" style="2" customWidth="1"/>
    <col min="11527" max="11527" width="8.83203125" style="2" customWidth="1"/>
    <col min="11528" max="11528" width="14.44140625" style="2" customWidth="1"/>
    <col min="11529" max="11529" width="8.83203125" style="2" customWidth="1"/>
    <col min="11530" max="11530" width="12.1640625" style="2" customWidth="1"/>
    <col min="11531" max="11531" width="8.44140625" style="2" customWidth="1"/>
    <col min="11532" max="11533" width="11.44140625" style="2" customWidth="1"/>
    <col min="11534" max="11534" width="11.83203125" style="2" customWidth="1"/>
    <col min="11535" max="11535" width="11.44140625" style="2" customWidth="1"/>
    <col min="11536" max="11536" width="10.44140625" style="2" customWidth="1"/>
    <col min="11537" max="11537" width="11.83203125" style="2" customWidth="1"/>
    <col min="11538" max="11538" width="10.44140625" style="2" customWidth="1"/>
    <col min="11539" max="11539" width="12" style="2" customWidth="1"/>
    <col min="11540" max="11540" width="16.83203125" style="2" customWidth="1"/>
    <col min="11541" max="11541" width="12.44140625" style="2" customWidth="1"/>
    <col min="11542" max="11542" width="9.1640625" style="2" customWidth="1"/>
    <col min="11543" max="11543" width="13" style="2" customWidth="1"/>
    <col min="11544" max="11544" width="12" style="2" customWidth="1"/>
    <col min="11545" max="11545" width="18.44140625" style="2" customWidth="1"/>
    <col min="11546" max="11777" width="11.44140625" style="2"/>
    <col min="11778" max="11778" width="58.44140625" style="2" customWidth="1"/>
    <col min="11779" max="11779" width="8.44140625" style="2" customWidth="1"/>
    <col min="11780" max="11780" width="11.44140625" style="2" customWidth="1"/>
    <col min="11781" max="11781" width="7.83203125" style="2" customWidth="1"/>
    <col min="11782" max="11782" width="9.44140625" style="2" customWidth="1"/>
    <col min="11783" max="11783" width="8.83203125" style="2" customWidth="1"/>
    <col min="11784" max="11784" width="14.44140625" style="2" customWidth="1"/>
    <col min="11785" max="11785" width="8.83203125" style="2" customWidth="1"/>
    <col min="11786" max="11786" width="12.1640625" style="2" customWidth="1"/>
    <col min="11787" max="11787" width="8.44140625" style="2" customWidth="1"/>
    <col min="11788" max="11789" width="11.44140625" style="2" customWidth="1"/>
    <col min="11790" max="11790" width="11.83203125" style="2" customWidth="1"/>
    <col min="11791" max="11791" width="11.44140625" style="2" customWidth="1"/>
    <col min="11792" max="11792" width="10.44140625" style="2" customWidth="1"/>
    <col min="11793" max="11793" width="11.83203125" style="2" customWidth="1"/>
    <col min="11794" max="11794" width="10.44140625" style="2" customWidth="1"/>
    <col min="11795" max="11795" width="12" style="2" customWidth="1"/>
    <col min="11796" max="11796" width="16.83203125" style="2" customWidth="1"/>
    <col min="11797" max="11797" width="12.44140625" style="2" customWidth="1"/>
    <col min="11798" max="11798" width="9.1640625" style="2" customWidth="1"/>
    <col min="11799" max="11799" width="13" style="2" customWidth="1"/>
    <col min="11800" max="11800" width="12" style="2" customWidth="1"/>
    <col min="11801" max="11801" width="18.44140625" style="2" customWidth="1"/>
    <col min="11802" max="12033" width="11.44140625" style="2"/>
    <col min="12034" max="12034" width="58.44140625" style="2" customWidth="1"/>
    <col min="12035" max="12035" width="8.44140625" style="2" customWidth="1"/>
    <col min="12036" max="12036" width="11.44140625" style="2" customWidth="1"/>
    <col min="12037" max="12037" width="7.83203125" style="2" customWidth="1"/>
    <col min="12038" max="12038" width="9.44140625" style="2" customWidth="1"/>
    <col min="12039" max="12039" width="8.83203125" style="2" customWidth="1"/>
    <col min="12040" max="12040" width="14.44140625" style="2" customWidth="1"/>
    <col min="12041" max="12041" width="8.83203125" style="2" customWidth="1"/>
    <col min="12042" max="12042" width="12.1640625" style="2" customWidth="1"/>
    <col min="12043" max="12043" width="8.44140625" style="2" customWidth="1"/>
    <col min="12044" max="12045" width="11.44140625" style="2" customWidth="1"/>
    <col min="12046" max="12046" width="11.83203125" style="2" customWidth="1"/>
    <col min="12047" max="12047" width="11.44140625" style="2" customWidth="1"/>
    <col min="12048" max="12048" width="10.44140625" style="2" customWidth="1"/>
    <col min="12049" max="12049" width="11.83203125" style="2" customWidth="1"/>
    <col min="12050" max="12050" width="10.44140625" style="2" customWidth="1"/>
    <col min="12051" max="12051" width="12" style="2" customWidth="1"/>
    <col min="12052" max="12052" width="16.83203125" style="2" customWidth="1"/>
    <col min="12053" max="12053" width="12.44140625" style="2" customWidth="1"/>
    <col min="12054" max="12054" width="9.1640625" style="2" customWidth="1"/>
    <col min="12055" max="12055" width="13" style="2" customWidth="1"/>
    <col min="12056" max="12056" width="12" style="2" customWidth="1"/>
    <col min="12057" max="12057" width="18.44140625" style="2" customWidth="1"/>
    <col min="12058" max="12289" width="11.44140625" style="2"/>
    <col min="12290" max="12290" width="58.44140625" style="2" customWidth="1"/>
    <col min="12291" max="12291" width="8.44140625" style="2" customWidth="1"/>
    <col min="12292" max="12292" width="11.44140625" style="2" customWidth="1"/>
    <col min="12293" max="12293" width="7.83203125" style="2" customWidth="1"/>
    <col min="12294" max="12294" width="9.44140625" style="2" customWidth="1"/>
    <col min="12295" max="12295" width="8.83203125" style="2" customWidth="1"/>
    <col min="12296" max="12296" width="14.44140625" style="2" customWidth="1"/>
    <col min="12297" max="12297" width="8.83203125" style="2" customWidth="1"/>
    <col min="12298" max="12298" width="12.1640625" style="2" customWidth="1"/>
    <col min="12299" max="12299" width="8.44140625" style="2" customWidth="1"/>
    <col min="12300" max="12301" width="11.44140625" style="2" customWidth="1"/>
    <col min="12302" max="12302" width="11.83203125" style="2" customWidth="1"/>
    <col min="12303" max="12303" width="11.44140625" style="2" customWidth="1"/>
    <col min="12304" max="12304" width="10.44140625" style="2" customWidth="1"/>
    <col min="12305" max="12305" width="11.83203125" style="2" customWidth="1"/>
    <col min="12306" max="12306" width="10.44140625" style="2" customWidth="1"/>
    <col min="12307" max="12307" width="12" style="2" customWidth="1"/>
    <col min="12308" max="12308" width="16.83203125" style="2" customWidth="1"/>
    <col min="12309" max="12309" width="12.44140625" style="2" customWidth="1"/>
    <col min="12310" max="12310" width="9.1640625" style="2" customWidth="1"/>
    <col min="12311" max="12311" width="13" style="2" customWidth="1"/>
    <col min="12312" max="12312" width="12" style="2" customWidth="1"/>
    <col min="12313" max="12313" width="18.44140625" style="2" customWidth="1"/>
    <col min="12314" max="12545" width="11.44140625" style="2"/>
    <col min="12546" max="12546" width="58.44140625" style="2" customWidth="1"/>
    <col min="12547" max="12547" width="8.44140625" style="2" customWidth="1"/>
    <col min="12548" max="12548" width="11.44140625" style="2" customWidth="1"/>
    <col min="12549" max="12549" width="7.83203125" style="2" customWidth="1"/>
    <col min="12550" max="12550" width="9.44140625" style="2" customWidth="1"/>
    <col min="12551" max="12551" width="8.83203125" style="2" customWidth="1"/>
    <col min="12552" max="12552" width="14.44140625" style="2" customWidth="1"/>
    <col min="12553" max="12553" width="8.83203125" style="2" customWidth="1"/>
    <col min="12554" max="12554" width="12.1640625" style="2" customWidth="1"/>
    <col min="12555" max="12555" width="8.44140625" style="2" customWidth="1"/>
    <col min="12556" max="12557" width="11.44140625" style="2" customWidth="1"/>
    <col min="12558" max="12558" width="11.83203125" style="2" customWidth="1"/>
    <col min="12559" max="12559" width="11.44140625" style="2" customWidth="1"/>
    <col min="12560" max="12560" width="10.44140625" style="2" customWidth="1"/>
    <col min="12561" max="12561" width="11.83203125" style="2" customWidth="1"/>
    <col min="12562" max="12562" width="10.44140625" style="2" customWidth="1"/>
    <col min="12563" max="12563" width="12" style="2" customWidth="1"/>
    <col min="12564" max="12564" width="16.83203125" style="2" customWidth="1"/>
    <col min="12565" max="12565" width="12.44140625" style="2" customWidth="1"/>
    <col min="12566" max="12566" width="9.1640625" style="2" customWidth="1"/>
    <col min="12567" max="12567" width="13" style="2" customWidth="1"/>
    <col min="12568" max="12568" width="12" style="2" customWidth="1"/>
    <col min="12569" max="12569" width="18.44140625" style="2" customWidth="1"/>
    <col min="12570" max="12801" width="11.44140625" style="2"/>
    <col min="12802" max="12802" width="58.44140625" style="2" customWidth="1"/>
    <col min="12803" max="12803" width="8.44140625" style="2" customWidth="1"/>
    <col min="12804" max="12804" width="11.44140625" style="2" customWidth="1"/>
    <col min="12805" max="12805" width="7.83203125" style="2" customWidth="1"/>
    <col min="12806" max="12806" width="9.44140625" style="2" customWidth="1"/>
    <col min="12807" max="12807" width="8.83203125" style="2" customWidth="1"/>
    <col min="12808" max="12808" width="14.44140625" style="2" customWidth="1"/>
    <col min="12809" max="12809" width="8.83203125" style="2" customWidth="1"/>
    <col min="12810" max="12810" width="12.1640625" style="2" customWidth="1"/>
    <col min="12811" max="12811" width="8.44140625" style="2" customWidth="1"/>
    <col min="12812" max="12813" width="11.44140625" style="2" customWidth="1"/>
    <col min="12814" max="12814" width="11.83203125" style="2" customWidth="1"/>
    <col min="12815" max="12815" width="11.44140625" style="2" customWidth="1"/>
    <col min="12816" max="12816" width="10.44140625" style="2" customWidth="1"/>
    <col min="12817" max="12817" width="11.83203125" style="2" customWidth="1"/>
    <col min="12818" max="12818" width="10.44140625" style="2" customWidth="1"/>
    <col min="12819" max="12819" width="12" style="2" customWidth="1"/>
    <col min="12820" max="12820" width="16.83203125" style="2" customWidth="1"/>
    <col min="12821" max="12821" width="12.44140625" style="2" customWidth="1"/>
    <col min="12822" max="12822" width="9.1640625" style="2" customWidth="1"/>
    <col min="12823" max="12823" width="13" style="2" customWidth="1"/>
    <col min="12824" max="12824" width="12" style="2" customWidth="1"/>
    <col min="12825" max="12825" width="18.44140625" style="2" customWidth="1"/>
    <col min="12826" max="13057" width="11.44140625" style="2"/>
    <col min="13058" max="13058" width="58.44140625" style="2" customWidth="1"/>
    <col min="13059" max="13059" width="8.44140625" style="2" customWidth="1"/>
    <col min="13060" max="13060" width="11.44140625" style="2" customWidth="1"/>
    <col min="13061" max="13061" width="7.83203125" style="2" customWidth="1"/>
    <col min="13062" max="13062" width="9.44140625" style="2" customWidth="1"/>
    <col min="13063" max="13063" width="8.83203125" style="2" customWidth="1"/>
    <col min="13064" max="13064" width="14.44140625" style="2" customWidth="1"/>
    <col min="13065" max="13065" width="8.83203125" style="2" customWidth="1"/>
    <col min="13066" max="13066" width="12.1640625" style="2" customWidth="1"/>
    <col min="13067" max="13067" width="8.44140625" style="2" customWidth="1"/>
    <col min="13068" max="13069" width="11.44140625" style="2" customWidth="1"/>
    <col min="13070" max="13070" width="11.83203125" style="2" customWidth="1"/>
    <col min="13071" max="13071" width="11.44140625" style="2" customWidth="1"/>
    <col min="13072" max="13072" width="10.44140625" style="2" customWidth="1"/>
    <col min="13073" max="13073" width="11.83203125" style="2" customWidth="1"/>
    <col min="13074" max="13074" width="10.44140625" style="2" customWidth="1"/>
    <col min="13075" max="13075" width="12" style="2" customWidth="1"/>
    <col min="13076" max="13076" width="16.83203125" style="2" customWidth="1"/>
    <col min="13077" max="13077" width="12.44140625" style="2" customWidth="1"/>
    <col min="13078" max="13078" width="9.1640625" style="2" customWidth="1"/>
    <col min="13079" max="13079" width="13" style="2" customWidth="1"/>
    <col min="13080" max="13080" width="12" style="2" customWidth="1"/>
    <col min="13081" max="13081" width="18.44140625" style="2" customWidth="1"/>
    <col min="13082" max="13313" width="11.44140625" style="2"/>
    <col min="13314" max="13314" width="58.44140625" style="2" customWidth="1"/>
    <col min="13315" max="13315" width="8.44140625" style="2" customWidth="1"/>
    <col min="13316" max="13316" width="11.44140625" style="2" customWidth="1"/>
    <col min="13317" max="13317" width="7.83203125" style="2" customWidth="1"/>
    <col min="13318" max="13318" width="9.44140625" style="2" customWidth="1"/>
    <col min="13319" max="13319" width="8.83203125" style="2" customWidth="1"/>
    <col min="13320" max="13320" width="14.44140625" style="2" customWidth="1"/>
    <col min="13321" max="13321" width="8.83203125" style="2" customWidth="1"/>
    <col min="13322" max="13322" width="12.1640625" style="2" customWidth="1"/>
    <col min="13323" max="13323" width="8.44140625" style="2" customWidth="1"/>
    <col min="13324" max="13325" width="11.44140625" style="2" customWidth="1"/>
    <col min="13326" max="13326" width="11.83203125" style="2" customWidth="1"/>
    <col min="13327" max="13327" width="11.44140625" style="2" customWidth="1"/>
    <col min="13328" max="13328" width="10.44140625" style="2" customWidth="1"/>
    <col min="13329" max="13329" width="11.83203125" style="2" customWidth="1"/>
    <col min="13330" max="13330" width="10.44140625" style="2" customWidth="1"/>
    <col min="13331" max="13331" width="12" style="2" customWidth="1"/>
    <col min="13332" max="13332" width="16.83203125" style="2" customWidth="1"/>
    <col min="13333" max="13333" width="12.44140625" style="2" customWidth="1"/>
    <col min="13334" max="13334" width="9.1640625" style="2" customWidth="1"/>
    <col min="13335" max="13335" width="13" style="2" customWidth="1"/>
    <col min="13336" max="13336" width="12" style="2" customWidth="1"/>
    <col min="13337" max="13337" width="18.44140625" style="2" customWidth="1"/>
    <col min="13338" max="13569" width="11.44140625" style="2"/>
    <col min="13570" max="13570" width="58.44140625" style="2" customWidth="1"/>
    <col min="13571" max="13571" width="8.44140625" style="2" customWidth="1"/>
    <col min="13572" max="13572" width="11.44140625" style="2" customWidth="1"/>
    <col min="13573" max="13573" width="7.83203125" style="2" customWidth="1"/>
    <col min="13574" max="13574" width="9.44140625" style="2" customWidth="1"/>
    <col min="13575" max="13575" width="8.83203125" style="2" customWidth="1"/>
    <col min="13576" max="13576" width="14.44140625" style="2" customWidth="1"/>
    <col min="13577" max="13577" width="8.83203125" style="2" customWidth="1"/>
    <col min="13578" max="13578" width="12.1640625" style="2" customWidth="1"/>
    <col min="13579" max="13579" width="8.44140625" style="2" customWidth="1"/>
    <col min="13580" max="13581" width="11.44140625" style="2" customWidth="1"/>
    <col min="13582" max="13582" width="11.83203125" style="2" customWidth="1"/>
    <col min="13583" max="13583" width="11.44140625" style="2" customWidth="1"/>
    <col min="13584" max="13584" width="10.44140625" style="2" customWidth="1"/>
    <col min="13585" max="13585" width="11.83203125" style="2" customWidth="1"/>
    <col min="13586" max="13586" width="10.44140625" style="2" customWidth="1"/>
    <col min="13587" max="13587" width="12" style="2" customWidth="1"/>
    <col min="13588" max="13588" width="16.83203125" style="2" customWidth="1"/>
    <col min="13589" max="13589" width="12.44140625" style="2" customWidth="1"/>
    <col min="13590" max="13590" width="9.1640625" style="2" customWidth="1"/>
    <col min="13591" max="13591" width="13" style="2" customWidth="1"/>
    <col min="13592" max="13592" width="12" style="2" customWidth="1"/>
    <col min="13593" max="13593" width="18.44140625" style="2" customWidth="1"/>
    <col min="13594" max="13825" width="11.44140625" style="2"/>
    <col min="13826" max="13826" width="58.44140625" style="2" customWidth="1"/>
    <col min="13827" max="13827" width="8.44140625" style="2" customWidth="1"/>
    <col min="13828" max="13828" width="11.44140625" style="2" customWidth="1"/>
    <col min="13829" max="13829" width="7.83203125" style="2" customWidth="1"/>
    <col min="13830" max="13830" width="9.44140625" style="2" customWidth="1"/>
    <col min="13831" max="13831" width="8.83203125" style="2" customWidth="1"/>
    <col min="13832" max="13832" width="14.44140625" style="2" customWidth="1"/>
    <col min="13833" max="13833" width="8.83203125" style="2" customWidth="1"/>
    <col min="13834" max="13834" width="12.1640625" style="2" customWidth="1"/>
    <col min="13835" max="13835" width="8.44140625" style="2" customWidth="1"/>
    <col min="13836" max="13837" width="11.44140625" style="2" customWidth="1"/>
    <col min="13838" max="13838" width="11.83203125" style="2" customWidth="1"/>
    <col min="13839" max="13839" width="11.44140625" style="2" customWidth="1"/>
    <col min="13840" max="13840" width="10.44140625" style="2" customWidth="1"/>
    <col min="13841" max="13841" width="11.83203125" style="2" customWidth="1"/>
    <col min="13842" max="13842" width="10.44140625" style="2" customWidth="1"/>
    <col min="13843" max="13843" width="12" style="2" customWidth="1"/>
    <col min="13844" max="13844" width="16.83203125" style="2" customWidth="1"/>
    <col min="13845" max="13845" width="12.44140625" style="2" customWidth="1"/>
    <col min="13846" max="13846" width="9.1640625" style="2" customWidth="1"/>
    <col min="13847" max="13847" width="13" style="2" customWidth="1"/>
    <col min="13848" max="13848" width="12" style="2" customWidth="1"/>
    <col min="13849" max="13849" width="18.44140625" style="2" customWidth="1"/>
    <col min="13850" max="14081" width="11.44140625" style="2"/>
    <col min="14082" max="14082" width="58.44140625" style="2" customWidth="1"/>
    <col min="14083" max="14083" width="8.44140625" style="2" customWidth="1"/>
    <col min="14084" max="14084" width="11.44140625" style="2" customWidth="1"/>
    <col min="14085" max="14085" width="7.83203125" style="2" customWidth="1"/>
    <col min="14086" max="14086" width="9.44140625" style="2" customWidth="1"/>
    <col min="14087" max="14087" width="8.83203125" style="2" customWidth="1"/>
    <col min="14088" max="14088" width="14.44140625" style="2" customWidth="1"/>
    <col min="14089" max="14089" width="8.83203125" style="2" customWidth="1"/>
    <col min="14090" max="14090" width="12.1640625" style="2" customWidth="1"/>
    <col min="14091" max="14091" width="8.44140625" style="2" customWidth="1"/>
    <col min="14092" max="14093" width="11.44140625" style="2" customWidth="1"/>
    <col min="14094" max="14094" width="11.83203125" style="2" customWidth="1"/>
    <col min="14095" max="14095" width="11.44140625" style="2" customWidth="1"/>
    <col min="14096" max="14096" width="10.44140625" style="2" customWidth="1"/>
    <col min="14097" max="14097" width="11.83203125" style="2" customWidth="1"/>
    <col min="14098" max="14098" width="10.44140625" style="2" customWidth="1"/>
    <col min="14099" max="14099" width="12" style="2" customWidth="1"/>
    <col min="14100" max="14100" width="16.83203125" style="2" customWidth="1"/>
    <col min="14101" max="14101" width="12.44140625" style="2" customWidth="1"/>
    <col min="14102" max="14102" width="9.1640625" style="2" customWidth="1"/>
    <col min="14103" max="14103" width="13" style="2" customWidth="1"/>
    <col min="14104" max="14104" width="12" style="2" customWidth="1"/>
    <col min="14105" max="14105" width="18.44140625" style="2" customWidth="1"/>
    <col min="14106" max="14337" width="11.44140625" style="2"/>
    <col min="14338" max="14338" width="58.44140625" style="2" customWidth="1"/>
    <col min="14339" max="14339" width="8.44140625" style="2" customWidth="1"/>
    <col min="14340" max="14340" width="11.44140625" style="2" customWidth="1"/>
    <col min="14341" max="14341" width="7.83203125" style="2" customWidth="1"/>
    <col min="14342" max="14342" width="9.44140625" style="2" customWidth="1"/>
    <col min="14343" max="14343" width="8.83203125" style="2" customWidth="1"/>
    <col min="14344" max="14344" width="14.44140625" style="2" customWidth="1"/>
    <col min="14345" max="14345" width="8.83203125" style="2" customWidth="1"/>
    <col min="14346" max="14346" width="12.1640625" style="2" customWidth="1"/>
    <col min="14347" max="14347" width="8.44140625" style="2" customWidth="1"/>
    <col min="14348" max="14349" width="11.44140625" style="2" customWidth="1"/>
    <col min="14350" max="14350" width="11.83203125" style="2" customWidth="1"/>
    <col min="14351" max="14351" width="11.44140625" style="2" customWidth="1"/>
    <col min="14352" max="14352" width="10.44140625" style="2" customWidth="1"/>
    <col min="14353" max="14353" width="11.83203125" style="2" customWidth="1"/>
    <col min="14354" max="14354" width="10.44140625" style="2" customWidth="1"/>
    <col min="14355" max="14355" width="12" style="2" customWidth="1"/>
    <col min="14356" max="14356" width="16.83203125" style="2" customWidth="1"/>
    <col min="14357" max="14357" width="12.44140625" style="2" customWidth="1"/>
    <col min="14358" max="14358" width="9.1640625" style="2" customWidth="1"/>
    <col min="14359" max="14359" width="13" style="2" customWidth="1"/>
    <col min="14360" max="14360" width="12" style="2" customWidth="1"/>
    <col min="14361" max="14361" width="18.44140625" style="2" customWidth="1"/>
    <col min="14362" max="14593" width="11.44140625" style="2"/>
    <col min="14594" max="14594" width="58.44140625" style="2" customWidth="1"/>
    <col min="14595" max="14595" width="8.44140625" style="2" customWidth="1"/>
    <col min="14596" max="14596" width="11.44140625" style="2" customWidth="1"/>
    <col min="14597" max="14597" width="7.83203125" style="2" customWidth="1"/>
    <col min="14598" max="14598" width="9.44140625" style="2" customWidth="1"/>
    <col min="14599" max="14599" width="8.83203125" style="2" customWidth="1"/>
    <col min="14600" max="14600" width="14.44140625" style="2" customWidth="1"/>
    <col min="14601" max="14601" width="8.83203125" style="2" customWidth="1"/>
    <col min="14602" max="14602" width="12.1640625" style="2" customWidth="1"/>
    <col min="14603" max="14603" width="8.44140625" style="2" customWidth="1"/>
    <col min="14604" max="14605" width="11.44140625" style="2" customWidth="1"/>
    <col min="14606" max="14606" width="11.83203125" style="2" customWidth="1"/>
    <col min="14607" max="14607" width="11.44140625" style="2" customWidth="1"/>
    <col min="14608" max="14608" width="10.44140625" style="2" customWidth="1"/>
    <col min="14609" max="14609" width="11.83203125" style="2" customWidth="1"/>
    <col min="14610" max="14610" width="10.44140625" style="2" customWidth="1"/>
    <col min="14611" max="14611" width="12" style="2" customWidth="1"/>
    <col min="14612" max="14612" width="16.83203125" style="2" customWidth="1"/>
    <col min="14613" max="14613" width="12.44140625" style="2" customWidth="1"/>
    <col min="14614" max="14614" width="9.1640625" style="2" customWidth="1"/>
    <col min="14615" max="14615" width="13" style="2" customWidth="1"/>
    <col min="14616" max="14616" width="12" style="2" customWidth="1"/>
    <col min="14617" max="14617" width="18.44140625" style="2" customWidth="1"/>
    <col min="14618" max="14849" width="11.44140625" style="2"/>
    <col min="14850" max="14850" width="58.44140625" style="2" customWidth="1"/>
    <col min="14851" max="14851" width="8.44140625" style="2" customWidth="1"/>
    <col min="14852" max="14852" width="11.44140625" style="2" customWidth="1"/>
    <col min="14853" max="14853" width="7.83203125" style="2" customWidth="1"/>
    <col min="14854" max="14854" width="9.44140625" style="2" customWidth="1"/>
    <col min="14855" max="14855" width="8.83203125" style="2" customWidth="1"/>
    <col min="14856" max="14856" width="14.44140625" style="2" customWidth="1"/>
    <col min="14857" max="14857" width="8.83203125" style="2" customWidth="1"/>
    <col min="14858" max="14858" width="12.1640625" style="2" customWidth="1"/>
    <col min="14859" max="14859" width="8.44140625" style="2" customWidth="1"/>
    <col min="14860" max="14861" width="11.44140625" style="2" customWidth="1"/>
    <col min="14862" max="14862" width="11.83203125" style="2" customWidth="1"/>
    <col min="14863" max="14863" width="11.44140625" style="2" customWidth="1"/>
    <col min="14864" max="14864" width="10.44140625" style="2" customWidth="1"/>
    <col min="14865" max="14865" width="11.83203125" style="2" customWidth="1"/>
    <col min="14866" max="14866" width="10.44140625" style="2" customWidth="1"/>
    <col min="14867" max="14867" width="12" style="2" customWidth="1"/>
    <col min="14868" max="14868" width="16.83203125" style="2" customWidth="1"/>
    <col min="14869" max="14869" width="12.44140625" style="2" customWidth="1"/>
    <col min="14870" max="14870" width="9.1640625" style="2" customWidth="1"/>
    <col min="14871" max="14871" width="13" style="2" customWidth="1"/>
    <col min="14872" max="14872" width="12" style="2" customWidth="1"/>
    <col min="14873" max="14873" width="18.44140625" style="2" customWidth="1"/>
    <col min="14874" max="15105" width="11.44140625" style="2"/>
    <col min="15106" max="15106" width="58.44140625" style="2" customWidth="1"/>
    <col min="15107" max="15107" width="8.44140625" style="2" customWidth="1"/>
    <col min="15108" max="15108" width="11.44140625" style="2" customWidth="1"/>
    <col min="15109" max="15109" width="7.83203125" style="2" customWidth="1"/>
    <col min="15110" max="15110" width="9.44140625" style="2" customWidth="1"/>
    <col min="15111" max="15111" width="8.83203125" style="2" customWidth="1"/>
    <col min="15112" max="15112" width="14.44140625" style="2" customWidth="1"/>
    <col min="15113" max="15113" width="8.83203125" style="2" customWidth="1"/>
    <col min="15114" max="15114" width="12.1640625" style="2" customWidth="1"/>
    <col min="15115" max="15115" width="8.44140625" style="2" customWidth="1"/>
    <col min="15116" max="15117" width="11.44140625" style="2" customWidth="1"/>
    <col min="15118" max="15118" width="11.83203125" style="2" customWidth="1"/>
    <col min="15119" max="15119" width="11.44140625" style="2" customWidth="1"/>
    <col min="15120" max="15120" width="10.44140625" style="2" customWidth="1"/>
    <col min="15121" max="15121" width="11.83203125" style="2" customWidth="1"/>
    <col min="15122" max="15122" width="10.44140625" style="2" customWidth="1"/>
    <col min="15123" max="15123" width="12" style="2" customWidth="1"/>
    <col min="15124" max="15124" width="16.83203125" style="2" customWidth="1"/>
    <col min="15125" max="15125" width="12.44140625" style="2" customWidth="1"/>
    <col min="15126" max="15126" width="9.1640625" style="2" customWidth="1"/>
    <col min="15127" max="15127" width="13" style="2" customWidth="1"/>
    <col min="15128" max="15128" width="12" style="2" customWidth="1"/>
    <col min="15129" max="15129" width="18.44140625" style="2" customWidth="1"/>
    <col min="15130" max="15361" width="11.44140625" style="2"/>
    <col min="15362" max="15362" width="58.44140625" style="2" customWidth="1"/>
    <col min="15363" max="15363" width="8.44140625" style="2" customWidth="1"/>
    <col min="15364" max="15364" width="11.44140625" style="2" customWidth="1"/>
    <col min="15365" max="15365" width="7.83203125" style="2" customWidth="1"/>
    <col min="15366" max="15366" width="9.44140625" style="2" customWidth="1"/>
    <col min="15367" max="15367" width="8.83203125" style="2" customWidth="1"/>
    <col min="15368" max="15368" width="14.44140625" style="2" customWidth="1"/>
    <col min="15369" max="15369" width="8.83203125" style="2" customWidth="1"/>
    <col min="15370" max="15370" width="12.1640625" style="2" customWidth="1"/>
    <col min="15371" max="15371" width="8.44140625" style="2" customWidth="1"/>
    <col min="15372" max="15373" width="11.44140625" style="2" customWidth="1"/>
    <col min="15374" max="15374" width="11.83203125" style="2" customWidth="1"/>
    <col min="15375" max="15375" width="11.44140625" style="2" customWidth="1"/>
    <col min="15376" max="15376" width="10.44140625" style="2" customWidth="1"/>
    <col min="15377" max="15377" width="11.83203125" style="2" customWidth="1"/>
    <col min="15378" max="15378" width="10.44140625" style="2" customWidth="1"/>
    <col min="15379" max="15379" width="12" style="2" customWidth="1"/>
    <col min="15380" max="15380" width="16.83203125" style="2" customWidth="1"/>
    <col min="15381" max="15381" width="12.44140625" style="2" customWidth="1"/>
    <col min="15382" max="15382" width="9.1640625" style="2" customWidth="1"/>
    <col min="15383" max="15383" width="13" style="2" customWidth="1"/>
    <col min="15384" max="15384" width="12" style="2" customWidth="1"/>
    <col min="15385" max="15385" width="18.44140625" style="2" customWidth="1"/>
    <col min="15386" max="15617" width="11.44140625" style="2"/>
    <col min="15618" max="15618" width="58.44140625" style="2" customWidth="1"/>
    <col min="15619" max="15619" width="8.44140625" style="2" customWidth="1"/>
    <col min="15620" max="15620" width="11.44140625" style="2" customWidth="1"/>
    <col min="15621" max="15621" width="7.83203125" style="2" customWidth="1"/>
    <col min="15622" max="15622" width="9.44140625" style="2" customWidth="1"/>
    <col min="15623" max="15623" width="8.83203125" style="2" customWidth="1"/>
    <col min="15624" max="15624" width="14.44140625" style="2" customWidth="1"/>
    <col min="15625" max="15625" width="8.83203125" style="2" customWidth="1"/>
    <col min="15626" max="15626" width="12.1640625" style="2" customWidth="1"/>
    <col min="15627" max="15627" width="8.44140625" style="2" customWidth="1"/>
    <col min="15628" max="15629" width="11.44140625" style="2" customWidth="1"/>
    <col min="15630" max="15630" width="11.83203125" style="2" customWidth="1"/>
    <col min="15631" max="15631" width="11.44140625" style="2" customWidth="1"/>
    <col min="15632" max="15632" width="10.44140625" style="2" customWidth="1"/>
    <col min="15633" max="15633" width="11.83203125" style="2" customWidth="1"/>
    <col min="15634" max="15634" width="10.44140625" style="2" customWidth="1"/>
    <col min="15635" max="15635" width="12" style="2" customWidth="1"/>
    <col min="15636" max="15636" width="16.83203125" style="2" customWidth="1"/>
    <col min="15637" max="15637" width="12.44140625" style="2" customWidth="1"/>
    <col min="15638" max="15638" width="9.1640625" style="2" customWidth="1"/>
    <col min="15639" max="15639" width="13" style="2" customWidth="1"/>
    <col min="15640" max="15640" width="12" style="2" customWidth="1"/>
    <col min="15641" max="15641" width="18.44140625" style="2" customWidth="1"/>
    <col min="15642" max="15873" width="11.44140625" style="2"/>
    <col min="15874" max="15874" width="58.44140625" style="2" customWidth="1"/>
    <col min="15875" max="15875" width="8.44140625" style="2" customWidth="1"/>
    <col min="15876" max="15876" width="11.44140625" style="2" customWidth="1"/>
    <col min="15877" max="15877" width="7.83203125" style="2" customWidth="1"/>
    <col min="15878" max="15878" width="9.44140625" style="2" customWidth="1"/>
    <col min="15879" max="15879" width="8.83203125" style="2" customWidth="1"/>
    <col min="15880" max="15880" width="14.44140625" style="2" customWidth="1"/>
    <col min="15881" max="15881" width="8.83203125" style="2" customWidth="1"/>
    <col min="15882" max="15882" width="12.1640625" style="2" customWidth="1"/>
    <col min="15883" max="15883" width="8.44140625" style="2" customWidth="1"/>
    <col min="15884" max="15885" width="11.44140625" style="2" customWidth="1"/>
    <col min="15886" max="15886" width="11.83203125" style="2" customWidth="1"/>
    <col min="15887" max="15887" width="11.44140625" style="2" customWidth="1"/>
    <col min="15888" max="15888" width="10.44140625" style="2" customWidth="1"/>
    <col min="15889" max="15889" width="11.83203125" style="2" customWidth="1"/>
    <col min="15890" max="15890" width="10.44140625" style="2" customWidth="1"/>
    <col min="15891" max="15891" width="12" style="2" customWidth="1"/>
    <col min="15892" max="15892" width="16.83203125" style="2" customWidth="1"/>
    <col min="15893" max="15893" width="12.44140625" style="2" customWidth="1"/>
    <col min="15894" max="15894" width="9.1640625" style="2" customWidth="1"/>
    <col min="15895" max="15895" width="13" style="2" customWidth="1"/>
    <col min="15896" max="15896" width="12" style="2" customWidth="1"/>
    <col min="15897" max="15897" width="18.44140625" style="2" customWidth="1"/>
    <col min="15898" max="16129" width="11.44140625" style="2"/>
    <col min="16130" max="16130" width="58.44140625" style="2" customWidth="1"/>
    <col min="16131" max="16131" width="8.44140625" style="2" customWidth="1"/>
    <col min="16132" max="16132" width="11.44140625" style="2" customWidth="1"/>
    <col min="16133" max="16133" width="7.83203125" style="2" customWidth="1"/>
    <col min="16134" max="16134" width="9.44140625" style="2" customWidth="1"/>
    <col min="16135" max="16135" width="8.83203125" style="2" customWidth="1"/>
    <col min="16136" max="16136" width="14.44140625" style="2" customWidth="1"/>
    <col min="16137" max="16137" width="8.83203125" style="2" customWidth="1"/>
    <col min="16138" max="16138" width="12.1640625" style="2" customWidth="1"/>
    <col min="16139" max="16139" width="8.44140625" style="2" customWidth="1"/>
    <col min="16140" max="16141" width="11.44140625" style="2" customWidth="1"/>
    <col min="16142" max="16142" width="11.83203125" style="2" customWidth="1"/>
    <col min="16143" max="16143" width="11.44140625" style="2" customWidth="1"/>
    <col min="16144" max="16144" width="10.44140625" style="2" customWidth="1"/>
    <col min="16145" max="16145" width="11.83203125" style="2" customWidth="1"/>
    <col min="16146" max="16146" width="10.44140625" style="2" customWidth="1"/>
    <col min="16147" max="16147" width="12" style="2" customWidth="1"/>
    <col min="16148" max="16148" width="16.83203125" style="2" customWidth="1"/>
    <col min="16149" max="16149" width="12.44140625" style="2" customWidth="1"/>
    <col min="16150" max="16150" width="9.1640625" style="2" customWidth="1"/>
    <col min="16151" max="16151" width="13" style="2" customWidth="1"/>
    <col min="16152" max="16152" width="12" style="2" customWidth="1"/>
    <col min="16153" max="16153" width="18.44140625" style="2" customWidth="1"/>
    <col min="16154" max="16384" width="11.44140625" style="2"/>
  </cols>
  <sheetData>
    <row r="1" spans="1:37" ht="12" customHeight="1" x14ac:dyDescent="0.4">
      <c r="A1" s="2"/>
      <c r="B1" s="2"/>
      <c r="C1" s="2"/>
      <c r="D1" s="2"/>
      <c r="E1" s="2"/>
      <c r="F1" s="356" t="s">
        <v>593</v>
      </c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24"/>
      <c r="X1" s="24"/>
      <c r="Y1" s="24"/>
    </row>
    <row r="2" spans="1:37" ht="12" customHeight="1" x14ac:dyDescent="0.35">
      <c r="A2" s="2"/>
      <c r="B2" s="2"/>
      <c r="C2" s="2"/>
      <c r="D2" s="2"/>
      <c r="E2" s="2"/>
      <c r="F2" s="357" t="s">
        <v>594</v>
      </c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</row>
    <row r="3" spans="1:37" ht="12" customHeight="1" x14ac:dyDescent="0.35">
      <c r="A3" s="2"/>
      <c r="B3" s="2"/>
      <c r="C3" s="2"/>
      <c r="D3" s="2"/>
      <c r="E3" s="2"/>
      <c r="F3" s="358" t="s">
        <v>475</v>
      </c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</row>
    <row r="4" spans="1:37" s="114" customFormat="1" ht="12" customHeight="1" x14ac:dyDescent="0.45">
      <c r="A4" s="169" t="s">
        <v>7</v>
      </c>
      <c r="B4" s="169" t="s">
        <v>8</v>
      </c>
      <c r="C4" s="2"/>
      <c r="D4" s="2"/>
      <c r="E4" s="2"/>
      <c r="F4" s="355" t="s">
        <v>9</v>
      </c>
      <c r="G4" s="35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</row>
    <row r="5" spans="1:37" s="114" customFormat="1" ht="12" customHeight="1" x14ac:dyDescent="0.45">
      <c r="A5" s="169" t="s">
        <v>10</v>
      </c>
      <c r="B5" s="169">
        <v>20200</v>
      </c>
      <c r="C5" s="2"/>
      <c r="D5" s="2"/>
      <c r="E5" s="2"/>
      <c r="F5" s="116" t="s">
        <v>14</v>
      </c>
      <c r="G5" s="126">
        <v>1.04</v>
      </c>
      <c r="H5" s="115"/>
      <c r="I5" s="119"/>
      <c r="J5" s="119"/>
      <c r="K5" s="120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</row>
    <row r="6" spans="1:37" s="114" customFormat="1" ht="12" customHeight="1" x14ac:dyDescent="0.45">
      <c r="A6" s="169" t="s">
        <v>12</v>
      </c>
      <c r="B6" s="169" t="s">
        <v>13</v>
      </c>
      <c r="C6" s="2"/>
      <c r="D6" s="2"/>
      <c r="E6" s="2"/>
      <c r="F6" s="116" t="s">
        <v>476</v>
      </c>
      <c r="G6" s="124">
        <v>1.0349999999999999</v>
      </c>
      <c r="H6" s="115"/>
      <c r="I6" s="119"/>
      <c r="J6" s="119"/>
      <c r="K6" s="120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</row>
    <row r="7" spans="1:37" ht="31.8" thickBot="1" x14ac:dyDescent="0.45">
      <c r="A7" s="186" t="s">
        <v>16</v>
      </c>
      <c r="B7" s="186" t="s">
        <v>17</v>
      </c>
      <c r="C7" s="186" t="s">
        <v>18</v>
      </c>
      <c r="D7" s="186" t="s">
        <v>19</v>
      </c>
      <c r="E7" s="186" t="s">
        <v>477</v>
      </c>
      <c r="F7" s="15" t="s">
        <v>20</v>
      </c>
      <c r="G7" s="15" t="s">
        <v>21</v>
      </c>
      <c r="H7" s="15" t="s">
        <v>22</v>
      </c>
      <c r="I7" s="15" t="s">
        <v>23</v>
      </c>
      <c r="J7" s="16" t="s">
        <v>478</v>
      </c>
      <c r="K7" s="194" t="s">
        <v>25</v>
      </c>
      <c r="L7" s="193" t="s">
        <v>23</v>
      </c>
      <c r="M7" s="194" t="s">
        <v>26</v>
      </c>
      <c r="N7" s="193" t="s">
        <v>23</v>
      </c>
      <c r="O7" s="194" t="s">
        <v>27</v>
      </c>
      <c r="P7" s="193" t="s">
        <v>23</v>
      </c>
      <c r="Q7" s="194" t="s">
        <v>28</v>
      </c>
      <c r="R7" s="193" t="s">
        <v>23</v>
      </c>
      <c r="S7" s="194" t="s">
        <v>29</v>
      </c>
      <c r="T7" s="16" t="s">
        <v>595</v>
      </c>
      <c r="U7" s="16" t="s">
        <v>404</v>
      </c>
      <c r="V7" s="16" t="s">
        <v>32</v>
      </c>
    </row>
    <row r="8" spans="1:37" ht="13.5" customHeight="1" x14ac:dyDescent="0.4">
      <c r="A8" s="66"/>
      <c r="B8" s="66"/>
      <c r="C8" s="66"/>
      <c r="D8" s="66"/>
      <c r="E8" s="66"/>
      <c r="F8" s="66" t="s">
        <v>480</v>
      </c>
      <c r="G8" s="66"/>
      <c r="H8" s="39"/>
      <c r="I8" s="39"/>
      <c r="J8" s="40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37" s="135" customFormat="1" ht="12" customHeight="1" x14ac:dyDescent="0.4">
      <c r="A9" s="268" t="s">
        <v>163</v>
      </c>
      <c r="B9" s="268">
        <v>89050</v>
      </c>
      <c r="C9" s="268" t="s">
        <v>40</v>
      </c>
      <c r="D9" s="268" t="s">
        <v>164</v>
      </c>
      <c r="E9" s="268" t="s">
        <v>596</v>
      </c>
      <c r="F9" s="268" t="s">
        <v>597</v>
      </c>
      <c r="G9" s="136" t="s">
        <v>37</v>
      </c>
      <c r="H9" s="140" t="s">
        <v>38</v>
      </c>
      <c r="I9" s="137">
        <v>3</v>
      </c>
      <c r="J9" s="190">
        <v>1586</v>
      </c>
      <c r="K9" s="137">
        <f t="shared" ref="K9:K18" si="0">I9*J9</f>
        <v>4758</v>
      </c>
      <c r="L9" s="137">
        <v>12</v>
      </c>
      <c r="M9" s="137">
        <f>L9*J9*$G$6</f>
        <v>19698</v>
      </c>
      <c r="N9" s="137">
        <v>12</v>
      </c>
      <c r="O9" s="137">
        <f t="shared" ref="O9:O18" si="1">N9*J9*$G$6*$G$6</f>
        <v>20388</v>
      </c>
      <c r="P9" s="137">
        <v>12</v>
      </c>
      <c r="Q9" s="137">
        <f>P9*J9*$G$6*$G$6*$G$6</f>
        <v>21101</v>
      </c>
      <c r="R9" s="137">
        <v>2</v>
      </c>
      <c r="S9" s="137">
        <f>R9*J9*$G$6*$G$6*$G$6*$G$6</f>
        <v>3640</v>
      </c>
      <c r="T9" s="137">
        <f t="shared" ref="T9" si="2">SUM(K9+M9+O9+Q9+S9)</f>
        <v>69585</v>
      </c>
      <c r="U9" s="137">
        <v>0</v>
      </c>
      <c r="V9" s="137">
        <f t="shared" ref="V9:V18" si="3">SUM(T9:U9)</f>
        <v>69585</v>
      </c>
      <c r="W9" s="138"/>
      <c r="X9" s="139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</row>
    <row r="10" spans="1:37" s="135" customFormat="1" ht="12" customHeight="1" x14ac:dyDescent="0.4">
      <c r="A10" s="268" t="s">
        <v>163</v>
      </c>
      <c r="B10" s="268">
        <v>89050</v>
      </c>
      <c r="C10" s="268" t="s">
        <v>40</v>
      </c>
      <c r="D10" s="268" t="s">
        <v>164</v>
      </c>
      <c r="E10" s="268" t="s">
        <v>598</v>
      </c>
      <c r="F10" s="268" t="s">
        <v>599</v>
      </c>
      <c r="G10" s="136" t="s">
        <v>37</v>
      </c>
      <c r="H10" s="140" t="s">
        <v>38</v>
      </c>
      <c r="I10" s="137">
        <v>3</v>
      </c>
      <c r="J10" s="190">
        <v>1458</v>
      </c>
      <c r="K10" s="137">
        <f t="shared" si="0"/>
        <v>4374</v>
      </c>
      <c r="L10" s="137">
        <v>12</v>
      </c>
      <c r="M10" s="137">
        <f t="shared" ref="M10:M18" si="4">L10*J10*$G$6</f>
        <v>18108</v>
      </c>
      <c r="N10" s="137">
        <v>12</v>
      </c>
      <c r="O10" s="137">
        <f t="shared" si="1"/>
        <v>18742</v>
      </c>
      <c r="P10" s="137">
        <v>12</v>
      </c>
      <c r="Q10" s="137">
        <f t="shared" ref="Q10:Q18" si="5">P10*J10*$G$6*$G$6*$G$6</f>
        <v>19398</v>
      </c>
      <c r="R10" s="137">
        <v>2</v>
      </c>
      <c r="S10" s="137">
        <f t="shared" ref="S10:S18" si="6">R10*J10*$G$6*$G$6*$G$6*$G$6</f>
        <v>3346</v>
      </c>
      <c r="T10" s="137">
        <f t="shared" ref="T10:T18" si="7">SUM(K10+M10+O10+Q10+S10)</f>
        <v>63968</v>
      </c>
      <c r="U10" s="137">
        <v>0</v>
      </c>
      <c r="V10" s="137">
        <f t="shared" si="3"/>
        <v>63968</v>
      </c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</row>
    <row r="11" spans="1:37" s="135" customFormat="1" ht="12.3" x14ac:dyDescent="0.4">
      <c r="A11" s="268" t="s">
        <v>163</v>
      </c>
      <c r="B11" s="268">
        <v>89050</v>
      </c>
      <c r="C11" s="268" t="s">
        <v>40</v>
      </c>
      <c r="D11" s="268" t="s">
        <v>164</v>
      </c>
      <c r="E11" s="268" t="s">
        <v>600</v>
      </c>
      <c r="F11" s="268" t="s">
        <v>601</v>
      </c>
      <c r="G11" s="136" t="s">
        <v>37</v>
      </c>
      <c r="H11" s="140" t="s">
        <v>38</v>
      </c>
      <c r="I11" s="137">
        <v>3</v>
      </c>
      <c r="J11" s="190">
        <v>1458</v>
      </c>
      <c r="K11" s="137">
        <f t="shared" si="0"/>
        <v>4374</v>
      </c>
      <c r="L11" s="137">
        <v>12</v>
      </c>
      <c r="M11" s="137">
        <f t="shared" si="4"/>
        <v>18108</v>
      </c>
      <c r="N11" s="137">
        <v>12</v>
      </c>
      <c r="O11" s="137">
        <f t="shared" si="1"/>
        <v>18742</v>
      </c>
      <c r="P11" s="137">
        <v>12</v>
      </c>
      <c r="Q11" s="137">
        <f t="shared" si="5"/>
        <v>19398</v>
      </c>
      <c r="R11" s="137">
        <v>2</v>
      </c>
      <c r="S11" s="137">
        <f t="shared" si="6"/>
        <v>3346</v>
      </c>
      <c r="T11" s="137">
        <f t="shared" si="7"/>
        <v>63968</v>
      </c>
      <c r="U11" s="137">
        <v>0</v>
      </c>
      <c r="V11" s="137">
        <f t="shared" si="3"/>
        <v>63968</v>
      </c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</row>
    <row r="12" spans="1:37" s="135" customFormat="1" ht="12.3" x14ac:dyDescent="0.4">
      <c r="A12" s="268" t="s">
        <v>163</v>
      </c>
      <c r="B12" s="268">
        <v>89050</v>
      </c>
      <c r="C12" s="268" t="s">
        <v>40</v>
      </c>
      <c r="D12" s="268" t="s">
        <v>164</v>
      </c>
      <c r="E12" s="268" t="s">
        <v>602</v>
      </c>
      <c r="F12" s="268" t="s">
        <v>603</v>
      </c>
      <c r="G12" s="136" t="s">
        <v>37</v>
      </c>
      <c r="H12" s="140" t="s">
        <v>38</v>
      </c>
      <c r="I12" s="137">
        <v>3</v>
      </c>
      <c r="J12" s="151">
        <v>1458</v>
      </c>
      <c r="K12" s="137">
        <f t="shared" si="0"/>
        <v>4374</v>
      </c>
      <c r="L12" s="137">
        <v>12</v>
      </c>
      <c r="M12" s="137">
        <f t="shared" si="4"/>
        <v>18108</v>
      </c>
      <c r="N12" s="137">
        <v>12</v>
      </c>
      <c r="O12" s="137">
        <f t="shared" si="1"/>
        <v>18742</v>
      </c>
      <c r="P12" s="137">
        <v>12</v>
      </c>
      <c r="Q12" s="137">
        <f t="shared" si="5"/>
        <v>19398</v>
      </c>
      <c r="R12" s="137">
        <v>2</v>
      </c>
      <c r="S12" s="137">
        <f t="shared" si="6"/>
        <v>3346</v>
      </c>
      <c r="T12" s="137">
        <f t="shared" si="7"/>
        <v>63968</v>
      </c>
      <c r="U12" s="137">
        <v>0</v>
      </c>
      <c r="V12" s="137">
        <f t="shared" si="3"/>
        <v>63968</v>
      </c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</row>
    <row r="13" spans="1:37" s="135" customFormat="1" ht="12.3" x14ac:dyDescent="0.4">
      <c r="A13" s="268" t="s">
        <v>163</v>
      </c>
      <c r="B13" s="268">
        <v>89050</v>
      </c>
      <c r="C13" s="268" t="s">
        <v>40</v>
      </c>
      <c r="D13" s="268" t="s">
        <v>164</v>
      </c>
      <c r="E13" s="268" t="s">
        <v>604</v>
      </c>
      <c r="F13" s="268" t="s">
        <v>605</v>
      </c>
      <c r="G13" s="136" t="s">
        <v>37</v>
      </c>
      <c r="H13" s="140" t="s">
        <v>38</v>
      </c>
      <c r="I13" s="137">
        <v>3</v>
      </c>
      <c r="J13" s="151">
        <v>1458</v>
      </c>
      <c r="K13" s="137">
        <f t="shared" si="0"/>
        <v>4374</v>
      </c>
      <c r="L13" s="137">
        <v>12</v>
      </c>
      <c r="M13" s="137">
        <f t="shared" si="4"/>
        <v>18108</v>
      </c>
      <c r="N13" s="137">
        <v>12</v>
      </c>
      <c r="O13" s="137">
        <f t="shared" si="1"/>
        <v>18742</v>
      </c>
      <c r="P13" s="137">
        <v>12</v>
      </c>
      <c r="Q13" s="137">
        <f t="shared" si="5"/>
        <v>19398</v>
      </c>
      <c r="R13" s="137">
        <v>2</v>
      </c>
      <c r="S13" s="137">
        <f t="shared" si="6"/>
        <v>3346</v>
      </c>
      <c r="T13" s="137">
        <f t="shared" si="7"/>
        <v>63968</v>
      </c>
      <c r="U13" s="137">
        <v>0</v>
      </c>
      <c r="V13" s="137">
        <f t="shared" si="3"/>
        <v>63968</v>
      </c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</row>
    <row r="14" spans="1:37" s="135" customFormat="1" ht="12.3" x14ac:dyDescent="0.4">
      <c r="A14" s="268" t="s">
        <v>163</v>
      </c>
      <c r="B14" s="268">
        <v>89050</v>
      </c>
      <c r="C14" s="268" t="s">
        <v>40</v>
      </c>
      <c r="D14" s="268" t="s">
        <v>164</v>
      </c>
      <c r="E14" s="268" t="s">
        <v>606</v>
      </c>
      <c r="F14" s="268" t="s">
        <v>607</v>
      </c>
      <c r="G14" s="136" t="s">
        <v>37</v>
      </c>
      <c r="H14" s="140" t="s">
        <v>38</v>
      </c>
      <c r="I14" s="137">
        <v>3</v>
      </c>
      <c r="J14" s="151">
        <v>1458</v>
      </c>
      <c r="K14" s="137">
        <f t="shared" si="0"/>
        <v>4374</v>
      </c>
      <c r="L14" s="137">
        <v>12</v>
      </c>
      <c r="M14" s="137">
        <f t="shared" si="4"/>
        <v>18108</v>
      </c>
      <c r="N14" s="137">
        <v>12</v>
      </c>
      <c r="O14" s="137">
        <f t="shared" si="1"/>
        <v>18742</v>
      </c>
      <c r="P14" s="137">
        <v>12</v>
      </c>
      <c r="Q14" s="137">
        <f t="shared" si="5"/>
        <v>19398</v>
      </c>
      <c r="R14" s="137"/>
      <c r="S14" s="137">
        <f t="shared" si="6"/>
        <v>0</v>
      </c>
      <c r="T14" s="137">
        <f t="shared" si="7"/>
        <v>60622</v>
      </c>
      <c r="U14" s="137">
        <v>0</v>
      </c>
      <c r="V14" s="137">
        <f t="shared" si="3"/>
        <v>60622</v>
      </c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</row>
    <row r="15" spans="1:37" s="135" customFormat="1" ht="12.3" x14ac:dyDescent="0.4">
      <c r="A15" s="268" t="s">
        <v>163</v>
      </c>
      <c r="B15" s="268">
        <v>89050</v>
      </c>
      <c r="C15" s="268" t="s">
        <v>40</v>
      </c>
      <c r="D15" s="268" t="s">
        <v>164</v>
      </c>
      <c r="E15" s="268" t="s">
        <v>608</v>
      </c>
      <c r="F15" s="268" t="s">
        <v>609</v>
      </c>
      <c r="G15" s="136" t="s">
        <v>37</v>
      </c>
      <c r="H15" s="140" t="s">
        <v>38</v>
      </c>
      <c r="I15" s="137">
        <v>2</v>
      </c>
      <c r="J15" s="151">
        <v>125</v>
      </c>
      <c r="K15" s="137">
        <f>I15*J15</f>
        <v>250</v>
      </c>
      <c r="L15" s="137">
        <v>12</v>
      </c>
      <c r="M15" s="137">
        <f t="shared" ref="M15:M17" si="8">L15*J15*$G$6</f>
        <v>1553</v>
      </c>
      <c r="N15" s="137">
        <v>12</v>
      </c>
      <c r="O15" s="137">
        <f t="shared" ref="O15:O17" si="9">N15*J15*$G$6*$G$6</f>
        <v>1607</v>
      </c>
      <c r="P15" s="137">
        <v>12</v>
      </c>
      <c r="Q15" s="137">
        <f t="shared" ref="Q15:Q17" si="10">P15*J15*$G$6*$G$6*$G$6</f>
        <v>1663</v>
      </c>
      <c r="R15" s="137"/>
      <c r="S15" s="137">
        <f t="shared" ref="S15:S17" si="11">R15*J15*$G$6*$G$6*$G$6*$G$6</f>
        <v>0</v>
      </c>
      <c r="T15" s="137">
        <f t="shared" si="7"/>
        <v>5073</v>
      </c>
      <c r="U15" s="137">
        <v>0</v>
      </c>
      <c r="V15" s="137">
        <f t="shared" si="3"/>
        <v>5073</v>
      </c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</row>
    <row r="16" spans="1:37" s="135" customFormat="1" ht="12.3" x14ac:dyDescent="0.4">
      <c r="A16" s="268" t="s">
        <v>163</v>
      </c>
      <c r="B16" s="268">
        <v>89050</v>
      </c>
      <c r="C16" s="268" t="s">
        <v>40</v>
      </c>
      <c r="D16" s="268" t="s">
        <v>164</v>
      </c>
      <c r="E16" s="268" t="s">
        <v>608</v>
      </c>
      <c r="F16" s="268" t="s">
        <v>610</v>
      </c>
      <c r="G16" s="136" t="s">
        <v>37</v>
      </c>
      <c r="H16" s="140" t="s">
        <v>38</v>
      </c>
      <c r="I16" s="137">
        <v>2</v>
      </c>
      <c r="J16" s="151">
        <v>125</v>
      </c>
      <c r="K16" s="137">
        <f t="shared" ref="K16" si="12">I16*J16</f>
        <v>250</v>
      </c>
      <c r="L16" s="137">
        <v>12</v>
      </c>
      <c r="M16" s="137">
        <f t="shared" ref="M16" si="13">L16*J16*$G$6</f>
        <v>1553</v>
      </c>
      <c r="N16" s="137">
        <v>12</v>
      </c>
      <c r="O16" s="137">
        <f t="shared" ref="O16" si="14">N16*J16*$G$6*$G$6</f>
        <v>1607</v>
      </c>
      <c r="P16" s="137">
        <v>12</v>
      </c>
      <c r="Q16" s="137">
        <f t="shared" ref="Q16" si="15">P16*J16*$G$6*$G$6*$G$6</f>
        <v>1663</v>
      </c>
      <c r="R16" s="137"/>
      <c r="S16" s="137">
        <f t="shared" ref="S16" si="16">R16*J16*$G$6*$G$6*$G$6*$G$6</f>
        <v>0</v>
      </c>
      <c r="T16" s="137">
        <f t="shared" si="7"/>
        <v>5073</v>
      </c>
      <c r="U16" s="137">
        <v>0</v>
      </c>
      <c r="V16" s="137">
        <f t="shared" si="3"/>
        <v>5073</v>
      </c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</row>
    <row r="17" spans="1:37" s="135" customFormat="1" ht="12.3" x14ac:dyDescent="0.4">
      <c r="A17" s="268" t="s">
        <v>163</v>
      </c>
      <c r="B17" s="268">
        <v>89050</v>
      </c>
      <c r="C17" s="268" t="s">
        <v>40</v>
      </c>
      <c r="D17" s="268" t="s">
        <v>164</v>
      </c>
      <c r="E17" s="268" t="s">
        <v>608</v>
      </c>
      <c r="F17" s="268" t="s">
        <v>611</v>
      </c>
      <c r="G17" s="136" t="s">
        <v>37</v>
      </c>
      <c r="H17" s="140" t="s">
        <v>38</v>
      </c>
      <c r="I17" s="137">
        <v>2</v>
      </c>
      <c r="J17" s="151">
        <v>125</v>
      </c>
      <c r="K17" s="137">
        <f t="shared" ref="K17" si="17">I17*J17</f>
        <v>250</v>
      </c>
      <c r="L17" s="137">
        <v>12</v>
      </c>
      <c r="M17" s="137">
        <f t="shared" si="8"/>
        <v>1553</v>
      </c>
      <c r="N17" s="137">
        <v>12</v>
      </c>
      <c r="O17" s="137">
        <f t="shared" si="9"/>
        <v>1607</v>
      </c>
      <c r="P17" s="137">
        <v>12</v>
      </c>
      <c r="Q17" s="137">
        <f t="shared" si="10"/>
        <v>1663</v>
      </c>
      <c r="R17" s="137"/>
      <c r="S17" s="137">
        <f t="shared" si="11"/>
        <v>0</v>
      </c>
      <c r="T17" s="137">
        <f t="shared" si="7"/>
        <v>5073</v>
      </c>
      <c r="U17" s="137">
        <v>0</v>
      </c>
      <c r="V17" s="137">
        <f t="shared" si="3"/>
        <v>5073</v>
      </c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</row>
    <row r="18" spans="1:37" s="135" customFormat="1" ht="12.3" x14ac:dyDescent="0.4">
      <c r="A18" s="268" t="s">
        <v>163</v>
      </c>
      <c r="B18" s="268">
        <v>89050</v>
      </c>
      <c r="C18" s="268" t="s">
        <v>40</v>
      </c>
      <c r="D18" s="268" t="s">
        <v>164</v>
      </c>
      <c r="E18" s="268" t="s">
        <v>608</v>
      </c>
      <c r="F18" s="268" t="s">
        <v>612</v>
      </c>
      <c r="G18" s="136" t="s">
        <v>37</v>
      </c>
      <c r="H18" s="140" t="s">
        <v>38</v>
      </c>
      <c r="I18" s="137">
        <v>2</v>
      </c>
      <c r="J18" s="151">
        <v>125</v>
      </c>
      <c r="K18" s="137">
        <f t="shared" si="0"/>
        <v>250</v>
      </c>
      <c r="L18" s="137">
        <v>12</v>
      </c>
      <c r="M18" s="137">
        <f t="shared" si="4"/>
        <v>1553</v>
      </c>
      <c r="N18" s="137">
        <v>12</v>
      </c>
      <c r="O18" s="137">
        <f t="shared" si="1"/>
        <v>1607</v>
      </c>
      <c r="P18" s="137">
        <v>12</v>
      </c>
      <c r="Q18" s="137">
        <f t="shared" si="5"/>
        <v>1663</v>
      </c>
      <c r="R18" s="137"/>
      <c r="S18" s="137">
        <f t="shared" si="6"/>
        <v>0</v>
      </c>
      <c r="T18" s="137">
        <f t="shared" si="7"/>
        <v>5073</v>
      </c>
      <c r="U18" s="137">
        <v>0</v>
      </c>
      <c r="V18" s="137">
        <f t="shared" si="3"/>
        <v>5073</v>
      </c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</row>
    <row r="19" spans="1:37" s="135" customFormat="1" ht="12.3" x14ac:dyDescent="0.4">
      <c r="A19" s="269"/>
      <c r="B19" s="269"/>
      <c r="C19" s="269"/>
      <c r="D19" s="269"/>
      <c r="E19" s="269"/>
      <c r="F19" s="269"/>
      <c r="G19" s="136"/>
      <c r="H19" s="140"/>
      <c r="I19" s="137"/>
      <c r="J19" s="151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</row>
    <row r="20" spans="1:37" ht="10.8" thickBot="1" x14ac:dyDescent="0.45">
      <c r="A20" s="18"/>
      <c r="B20" s="18"/>
      <c r="C20" s="18"/>
      <c r="D20" s="18"/>
      <c r="E20" s="18"/>
      <c r="F20" s="18" t="s">
        <v>514</v>
      </c>
      <c r="G20" s="18"/>
      <c r="H20" s="29"/>
      <c r="I20" s="29"/>
      <c r="J20" s="30"/>
      <c r="K20" s="19">
        <f>SUM(K9:K19)</f>
        <v>27628</v>
      </c>
      <c r="L20" s="19"/>
      <c r="M20" s="19">
        <f>SUM(M9:M19)</f>
        <v>116450</v>
      </c>
      <c r="N20" s="19"/>
      <c r="O20" s="19">
        <f>SUM(O9:O19)</f>
        <v>120526</v>
      </c>
      <c r="P20" s="19"/>
      <c r="Q20" s="19">
        <f>SUM(Q9:Q19)</f>
        <v>124743</v>
      </c>
      <c r="R20" s="19"/>
      <c r="S20" s="19">
        <f>SUM(S9:S19)</f>
        <v>17024</v>
      </c>
      <c r="T20" s="19">
        <f>SUM(T9:T19)</f>
        <v>406371</v>
      </c>
      <c r="U20" s="19">
        <f>SUM(U9:U19)</f>
        <v>0</v>
      </c>
      <c r="V20" s="19">
        <f>SUM(V9:V19)</f>
        <v>406371</v>
      </c>
    </row>
    <row r="21" spans="1:37" ht="10.199999999999999" x14ac:dyDescent="0.35">
      <c r="A21" s="12"/>
      <c r="B21" s="12"/>
      <c r="C21" s="12"/>
      <c r="D21" s="12"/>
      <c r="E21" s="12"/>
      <c r="F21" s="12"/>
      <c r="G21" s="12"/>
      <c r="H21" s="3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37" ht="10.8" thickBot="1" x14ac:dyDescent="0.45">
      <c r="A22" s="18"/>
      <c r="B22" s="18"/>
      <c r="C22" s="18"/>
      <c r="D22" s="18"/>
      <c r="E22" s="18"/>
      <c r="F22" s="18" t="s">
        <v>111</v>
      </c>
      <c r="G22" s="18"/>
      <c r="H22" s="29"/>
      <c r="I22" s="29"/>
      <c r="J22" s="30"/>
      <c r="K22" s="19">
        <f>SUM(K21:K21)</f>
        <v>0</v>
      </c>
      <c r="L22" s="19"/>
      <c r="M22" s="19">
        <f>SUM(M21:M21)</f>
        <v>0</v>
      </c>
      <c r="N22" s="19"/>
      <c r="O22" s="19">
        <f>SUM(O21:O21)</f>
        <v>0</v>
      </c>
      <c r="P22" s="19"/>
      <c r="Q22" s="19">
        <f>SUM(Q21:Q21)</f>
        <v>0</v>
      </c>
      <c r="R22" s="19"/>
      <c r="S22" s="19">
        <f>SUM(S21:S21)</f>
        <v>0</v>
      </c>
      <c r="T22" s="19">
        <f>SUM(T21:T21)</f>
        <v>0</v>
      </c>
      <c r="U22" s="19">
        <f>SUM(U21:U21)</f>
        <v>0</v>
      </c>
      <c r="V22" s="19">
        <f>SUM(V21:V21)</f>
        <v>0</v>
      </c>
    </row>
    <row r="23" spans="1:37" ht="10.5" x14ac:dyDescent="0.4">
      <c r="A23" s="39"/>
      <c r="B23" s="39"/>
      <c r="C23" s="39"/>
      <c r="D23" s="39"/>
      <c r="E23" s="39"/>
      <c r="F23" s="39" t="s">
        <v>613</v>
      </c>
      <c r="G23" s="39"/>
      <c r="H23" s="39"/>
      <c r="I23" s="39"/>
      <c r="J23" s="4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37" s="135" customFormat="1" ht="12.3" x14ac:dyDescent="0.4">
      <c r="A24" s="268" t="s">
        <v>163</v>
      </c>
      <c r="B24" s="268">
        <v>89050</v>
      </c>
      <c r="C24" s="268" t="s">
        <v>40</v>
      </c>
      <c r="D24" s="268" t="s">
        <v>164</v>
      </c>
      <c r="E24" s="142" t="s">
        <v>614</v>
      </c>
      <c r="F24" s="142" t="s">
        <v>615</v>
      </c>
      <c r="G24" s="136" t="s">
        <v>121</v>
      </c>
      <c r="H24" s="143" t="s">
        <v>115</v>
      </c>
      <c r="I24" s="137">
        <v>4</v>
      </c>
      <c r="J24" s="137">
        <v>1000</v>
      </c>
      <c r="K24" s="137">
        <f t="shared" ref="K24:K37" si="18">I24*J24</f>
        <v>4000</v>
      </c>
      <c r="L24" s="137">
        <v>0</v>
      </c>
      <c r="M24" s="137">
        <f t="shared" ref="M24:M37" si="19">L24*J24*$G$5</f>
        <v>0</v>
      </c>
      <c r="N24" s="137">
        <v>0</v>
      </c>
      <c r="O24" s="137">
        <f t="shared" ref="O24:O37" si="20">N24*J24*$G$5*$G$5</f>
        <v>0</v>
      </c>
      <c r="P24" s="137">
        <v>0</v>
      </c>
      <c r="Q24" s="137">
        <f t="shared" ref="Q24:Q37" si="21">P24*J24*$G$5*$G$5*$G$5</f>
        <v>0</v>
      </c>
      <c r="R24" s="137">
        <v>0</v>
      </c>
      <c r="S24" s="137">
        <f t="shared" ref="S24:S37" si="22">R24*J24*$G$5*$G$5*$G$5*$G$5</f>
        <v>0</v>
      </c>
      <c r="T24" s="137">
        <f t="shared" ref="T24:T36" si="23">K24+M24+O24+Q24+S24</f>
        <v>4000</v>
      </c>
      <c r="U24" s="137">
        <v>0</v>
      </c>
      <c r="V24" s="137">
        <f t="shared" ref="V24:V36" si="24">SUM(T24:U24)</f>
        <v>4000</v>
      </c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</row>
    <row r="25" spans="1:37" s="135" customFormat="1" ht="12.3" x14ac:dyDescent="0.4">
      <c r="A25" s="268" t="s">
        <v>163</v>
      </c>
      <c r="B25" s="268">
        <v>89050</v>
      </c>
      <c r="C25" s="268" t="s">
        <v>40</v>
      </c>
      <c r="D25" s="268" t="s">
        <v>164</v>
      </c>
      <c r="E25" s="142" t="s">
        <v>616</v>
      </c>
      <c r="F25" s="136" t="s">
        <v>617</v>
      </c>
      <c r="G25" s="136" t="s">
        <v>121</v>
      </c>
      <c r="H25" s="143" t="s">
        <v>127</v>
      </c>
      <c r="I25" s="137">
        <v>1</v>
      </c>
      <c r="J25" s="137">
        <v>1000</v>
      </c>
      <c r="K25" s="137">
        <f t="shared" si="18"/>
        <v>1000</v>
      </c>
      <c r="L25" s="137">
        <v>1</v>
      </c>
      <c r="M25" s="137">
        <f t="shared" si="19"/>
        <v>1040</v>
      </c>
      <c r="N25" s="137">
        <v>1</v>
      </c>
      <c r="O25" s="137">
        <f t="shared" si="20"/>
        <v>1082</v>
      </c>
      <c r="P25" s="137">
        <v>1</v>
      </c>
      <c r="Q25" s="137">
        <f t="shared" si="21"/>
        <v>1125</v>
      </c>
      <c r="R25" s="189">
        <v>0.25</v>
      </c>
      <c r="S25" s="137">
        <f t="shared" si="22"/>
        <v>292</v>
      </c>
      <c r="T25" s="137">
        <f t="shared" si="23"/>
        <v>4539</v>
      </c>
      <c r="U25" s="137">
        <v>0</v>
      </c>
      <c r="V25" s="137">
        <f t="shared" si="24"/>
        <v>4539</v>
      </c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</row>
    <row r="26" spans="1:37" s="135" customFormat="1" ht="12.3" x14ac:dyDescent="0.4">
      <c r="A26" s="268" t="s">
        <v>163</v>
      </c>
      <c r="B26" s="268">
        <v>89050</v>
      </c>
      <c r="C26" s="268" t="s">
        <v>40</v>
      </c>
      <c r="D26" s="268" t="s">
        <v>164</v>
      </c>
      <c r="E26" s="142" t="s">
        <v>618</v>
      </c>
      <c r="F26" s="136" t="s">
        <v>532</v>
      </c>
      <c r="G26" s="136" t="s">
        <v>121</v>
      </c>
      <c r="H26" s="143" t="s">
        <v>115</v>
      </c>
      <c r="I26" s="151">
        <v>4</v>
      </c>
      <c r="J26" s="137">
        <v>300</v>
      </c>
      <c r="K26" s="137">
        <f t="shared" si="18"/>
        <v>1200</v>
      </c>
      <c r="L26" s="137">
        <v>0</v>
      </c>
      <c r="M26" s="137">
        <f t="shared" si="19"/>
        <v>0</v>
      </c>
      <c r="N26" s="137">
        <v>0</v>
      </c>
      <c r="O26" s="137">
        <f t="shared" si="20"/>
        <v>0</v>
      </c>
      <c r="P26" s="137">
        <v>0</v>
      </c>
      <c r="Q26" s="137">
        <f t="shared" si="21"/>
        <v>0</v>
      </c>
      <c r="R26" s="137">
        <v>0</v>
      </c>
      <c r="S26" s="137">
        <f t="shared" si="22"/>
        <v>0</v>
      </c>
      <c r="T26" s="137">
        <f t="shared" si="23"/>
        <v>1200</v>
      </c>
      <c r="U26" s="137">
        <v>0</v>
      </c>
      <c r="V26" s="137">
        <f t="shared" si="24"/>
        <v>1200</v>
      </c>
      <c r="W26" s="134"/>
      <c r="X26" s="134"/>
      <c r="Y26" s="145"/>
      <c r="Z26" s="137"/>
      <c r="AA26" s="137"/>
      <c r="AB26" s="137"/>
      <c r="AC26" s="137"/>
      <c r="AD26" s="137"/>
      <c r="AE26" s="145"/>
      <c r="AF26" s="137"/>
      <c r="AG26" s="145"/>
      <c r="AH26" s="145"/>
      <c r="AI26" s="145"/>
      <c r="AJ26" s="141"/>
      <c r="AK26" s="141"/>
    </row>
    <row r="27" spans="1:37" s="135" customFormat="1" ht="12.3" x14ac:dyDescent="0.4">
      <c r="A27" s="268" t="s">
        <v>163</v>
      </c>
      <c r="B27" s="268">
        <v>89050</v>
      </c>
      <c r="C27" s="268" t="s">
        <v>40</v>
      </c>
      <c r="D27" s="268" t="s">
        <v>164</v>
      </c>
      <c r="E27" s="142" t="s">
        <v>619</v>
      </c>
      <c r="F27" s="136" t="s">
        <v>620</v>
      </c>
      <c r="G27" s="136" t="s">
        <v>121</v>
      </c>
      <c r="H27" s="143" t="s">
        <v>127</v>
      </c>
      <c r="I27" s="137">
        <v>1</v>
      </c>
      <c r="J27" s="137">
        <v>900</v>
      </c>
      <c r="K27" s="137">
        <f t="shared" si="18"/>
        <v>900</v>
      </c>
      <c r="L27" s="137">
        <v>1</v>
      </c>
      <c r="M27" s="137">
        <f t="shared" si="19"/>
        <v>936</v>
      </c>
      <c r="N27" s="137">
        <v>1</v>
      </c>
      <c r="O27" s="137">
        <f t="shared" si="20"/>
        <v>973</v>
      </c>
      <c r="P27" s="137">
        <v>1</v>
      </c>
      <c r="Q27" s="137">
        <f t="shared" si="21"/>
        <v>1012</v>
      </c>
      <c r="R27" s="189">
        <v>0.25</v>
      </c>
      <c r="S27" s="137">
        <f t="shared" si="22"/>
        <v>263</v>
      </c>
      <c r="T27" s="137">
        <f t="shared" si="23"/>
        <v>4084</v>
      </c>
      <c r="U27" s="137">
        <v>0</v>
      </c>
      <c r="V27" s="137">
        <f t="shared" si="24"/>
        <v>4084</v>
      </c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</row>
    <row r="28" spans="1:37" s="135" customFormat="1" ht="12.3" x14ac:dyDescent="0.4">
      <c r="A28" s="268" t="s">
        <v>163</v>
      </c>
      <c r="B28" s="268">
        <v>89050</v>
      </c>
      <c r="C28" s="268" t="s">
        <v>40</v>
      </c>
      <c r="D28" s="268" t="s">
        <v>164</v>
      </c>
      <c r="E28" s="142" t="s">
        <v>621</v>
      </c>
      <c r="F28" s="152" t="s">
        <v>622</v>
      </c>
      <c r="G28" s="136" t="s">
        <v>121</v>
      </c>
      <c r="H28" s="143" t="s">
        <v>623</v>
      </c>
      <c r="I28" s="137">
        <v>1</v>
      </c>
      <c r="J28" s="137">
        <v>1000</v>
      </c>
      <c r="K28" s="137">
        <f t="shared" si="18"/>
        <v>1000</v>
      </c>
      <c r="L28" s="137">
        <v>0</v>
      </c>
      <c r="M28" s="137">
        <f t="shared" si="19"/>
        <v>0</v>
      </c>
      <c r="N28" s="137">
        <v>0</v>
      </c>
      <c r="O28" s="137">
        <f t="shared" si="20"/>
        <v>0</v>
      </c>
      <c r="P28" s="137">
        <v>0</v>
      </c>
      <c r="Q28" s="137">
        <f t="shared" si="21"/>
        <v>0</v>
      </c>
      <c r="R28" s="137">
        <v>0</v>
      </c>
      <c r="S28" s="137">
        <f t="shared" si="22"/>
        <v>0</v>
      </c>
      <c r="T28" s="137">
        <f t="shared" si="23"/>
        <v>1000</v>
      </c>
      <c r="U28" s="137">
        <v>0</v>
      </c>
      <c r="V28" s="137">
        <f t="shared" si="24"/>
        <v>1000</v>
      </c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</row>
    <row r="29" spans="1:37" s="135" customFormat="1" ht="12.3" x14ac:dyDescent="0.4">
      <c r="A29" s="268" t="s">
        <v>163</v>
      </c>
      <c r="B29" s="268">
        <v>89050</v>
      </c>
      <c r="C29" s="268" t="s">
        <v>40</v>
      </c>
      <c r="D29" s="268" t="s">
        <v>164</v>
      </c>
      <c r="E29" s="142" t="s">
        <v>624</v>
      </c>
      <c r="F29" s="152" t="s">
        <v>625</v>
      </c>
      <c r="G29" s="136" t="s">
        <v>121</v>
      </c>
      <c r="H29" s="143" t="s">
        <v>623</v>
      </c>
      <c r="I29" s="137">
        <v>1</v>
      </c>
      <c r="J29" s="137">
        <v>550</v>
      </c>
      <c r="K29" s="137">
        <f t="shared" si="18"/>
        <v>550</v>
      </c>
      <c r="L29" s="137">
        <v>0</v>
      </c>
      <c r="M29" s="137">
        <f t="shared" si="19"/>
        <v>0</v>
      </c>
      <c r="N29" s="137">
        <v>0</v>
      </c>
      <c r="O29" s="137">
        <f t="shared" si="20"/>
        <v>0</v>
      </c>
      <c r="P29" s="137">
        <v>0</v>
      </c>
      <c r="Q29" s="137">
        <f t="shared" si="21"/>
        <v>0</v>
      </c>
      <c r="R29" s="137">
        <v>0</v>
      </c>
      <c r="S29" s="137">
        <f t="shared" si="22"/>
        <v>0</v>
      </c>
      <c r="T29" s="137">
        <f t="shared" ref="T29" si="25">K29+M29+O29+Q29+S29</f>
        <v>550</v>
      </c>
      <c r="U29" s="137">
        <v>0</v>
      </c>
      <c r="V29" s="137">
        <f t="shared" ref="V29" si="26">SUM(T29:U29)</f>
        <v>550</v>
      </c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</row>
    <row r="30" spans="1:37" s="135" customFormat="1" ht="12.3" x14ac:dyDescent="0.4">
      <c r="A30" s="268" t="s">
        <v>163</v>
      </c>
      <c r="B30" s="268">
        <v>89050</v>
      </c>
      <c r="C30" s="268" t="s">
        <v>40</v>
      </c>
      <c r="D30" s="268" t="s">
        <v>164</v>
      </c>
      <c r="E30" s="142" t="s">
        <v>626</v>
      </c>
      <c r="F30" s="152" t="s">
        <v>627</v>
      </c>
      <c r="G30" s="136" t="s">
        <v>121</v>
      </c>
      <c r="H30" s="143" t="s">
        <v>623</v>
      </c>
      <c r="I30" s="137">
        <v>1</v>
      </c>
      <c r="J30" s="137">
        <v>250</v>
      </c>
      <c r="K30" s="137">
        <f t="shared" si="18"/>
        <v>250</v>
      </c>
      <c r="L30" s="137">
        <v>0</v>
      </c>
      <c r="M30" s="137">
        <f t="shared" si="19"/>
        <v>0</v>
      </c>
      <c r="N30" s="137">
        <v>0</v>
      </c>
      <c r="O30" s="137">
        <f t="shared" si="20"/>
        <v>0</v>
      </c>
      <c r="P30" s="137">
        <v>0</v>
      </c>
      <c r="Q30" s="137">
        <f t="shared" si="21"/>
        <v>0</v>
      </c>
      <c r="R30" s="137">
        <v>0</v>
      </c>
      <c r="S30" s="137">
        <f t="shared" si="22"/>
        <v>0</v>
      </c>
      <c r="T30" s="137">
        <f t="shared" si="23"/>
        <v>250</v>
      </c>
      <c r="U30" s="137">
        <v>0</v>
      </c>
      <c r="V30" s="137">
        <f t="shared" si="24"/>
        <v>250</v>
      </c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</row>
    <row r="31" spans="1:37" s="135" customFormat="1" ht="20.7" x14ac:dyDescent="0.4">
      <c r="A31" s="268" t="s">
        <v>163</v>
      </c>
      <c r="B31" s="268">
        <v>89050</v>
      </c>
      <c r="C31" s="268" t="s">
        <v>40</v>
      </c>
      <c r="D31" s="268" t="s">
        <v>164</v>
      </c>
      <c r="E31" s="142" t="s">
        <v>628</v>
      </c>
      <c r="F31" s="136" t="s">
        <v>629</v>
      </c>
      <c r="G31" s="136" t="s">
        <v>124</v>
      </c>
      <c r="H31" s="144" t="s">
        <v>38</v>
      </c>
      <c r="I31" s="137">
        <v>3</v>
      </c>
      <c r="J31" s="137">
        <v>40</v>
      </c>
      <c r="K31" s="137">
        <f t="shared" si="18"/>
        <v>120</v>
      </c>
      <c r="L31" s="137">
        <v>12</v>
      </c>
      <c r="M31" s="137">
        <f t="shared" si="19"/>
        <v>499</v>
      </c>
      <c r="N31" s="137">
        <v>12</v>
      </c>
      <c r="O31" s="137">
        <f t="shared" si="20"/>
        <v>519</v>
      </c>
      <c r="P31" s="137">
        <v>12</v>
      </c>
      <c r="Q31" s="137">
        <f t="shared" si="21"/>
        <v>540</v>
      </c>
      <c r="R31" s="137">
        <v>2</v>
      </c>
      <c r="S31" s="137">
        <f t="shared" si="22"/>
        <v>94</v>
      </c>
      <c r="T31" s="137">
        <f t="shared" si="23"/>
        <v>1772</v>
      </c>
      <c r="U31" s="137">
        <v>0</v>
      </c>
      <c r="V31" s="137">
        <f t="shared" si="24"/>
        <v>1772</v>
      </c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</row>
    <row r="32" spans="1:37" s="135" customFormat="1" ht="20.7" x14ac:dyDescent="0.4">
      <c r="A32" s="268" t="s">
        <v>163</v>
      </c>
      <c r="B32" s="268">
        <v>89050</v>
      </c>
      <c r="C32" s="268" t="s">
        <v>40</v>
      </c>
      <c r="D32" s="268" t="s">
        <v>164</v>
      </c>
      <c r="E32" s="142" t="s">
        <v>630</v>
      </c>
      <c r="F32" s="136" t="s">
        <v>546</v>
      </c>
      <c r="G32" s="136" t="s">
        <v>124</v>
      </c>
      <c r="H32" s="144" t="s">
        <v>38</v>
      </c>
      <c r="I32" s="137">
        <v>3</v>
      </c>
      <c r="J32" s="137">
        <v>100</v>
      </c>
      <c r="K32" s="137">
        <f t="shared" si="18"/>
        <v>300</v>
      </c>
      <c r="L32" s="137">
        <v>12</v>
      </c>
      <c r="M32" s="137">
        <f t="shared" si="19"/>
        <v>1248</v>
      </c>
      <c r="N32" s="137">
        <v>12</v>
      </c>
      <c r="O32" s="137">
        <f t="shared" si="20"/>
        <v>1298</v>
      </c>
      <c r="P32" s="137">
        <v>12</v>
      </c>
      <c r="Q32" s="137">
        <f t="shared" si="21"/>
        <v>1350</v>
      </c>
      <c r="R32" s="137">
        <v>2</v>
      </c>
      <c r="S32" s="137">
        <f t="shared" si="22"/>
        <v>234</v>
      </c>
      <c r="T32" s="137">
        <f t="shared" si="23"/>
        <v>4430</v>
      </c>
      <c r="U32" s="137">
        <v>0</v>
      </c>
      <c r="V32" s="137">
        <f t="shared" si="24"/>
        <v>4430</v>
      </c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</row>
    <row r="33" spans="1:37" s="161" customFormat="1" ht="20.7" x14ac:dyDescent="0.4">
      <c r="A33" s="268" t="s">
        <v>163</v>
      </c>
      <c r="B33" s="268">
        <v>89050</v>
      </c>
      <c r="C33" s="268" t="s">
        <v>40</v>
      </c>
      <c r="D33" s="268" t="s">
        <v>164</v>
      </c>
      <c r="E33" s="142" t="s">
        <v>631</v>
      </c>
      <c r="F33" s="136" t="s">
        <v>632</v>
      </c>
      <c r="G33" s="136" t="s">
        <v>124</v>
      </c>
      <c r="H33" s="144" t="s">
        <v>38</v>
      </c>
      <c r="I33" s="137">
        <v>3</v>
      </c>
      <c r="J33" s="137">
        <f>(30*4)</f>
        <v>120</v>
      </c>
      <c r="K33" s="137">
        <f t="shared" si="18"/>
        <v>360</v>
      </c>
      <c r="L33" s="137">
        <v>12</v>
      </c>
      <c r="M33" s="137">
        <f t="shared" si="19"/>
        <v>1498</v>
      </c>
      <c r="N33" s="137">
        <v>12</v>
      </c>
      <c r="O33" s="137">
        <f t="shared" si="20"/>
        <v>1558</v>
      </c>
      <c r="P33" s="137">
        <v>12</v>
      </c>
      <c r="Q33" s="137">
        <f t="shared" si="21"/>
        <v>1620</v>
      </c>
      <c r="R33" s="137">
        <v>2</v>
      </c>
      <c r="S33" s="137">
        <f t="shared" si="22"/>
        <v>281</v>
      </c>
      <c r="T33" s="137">
        <f t="shared" si="23"/>
        <v>5317</v>
      </c>
      <c r="U33" s="137">
        <v>0</v>
      </c>
      <c r="V33" s="137">
        <f t="shared" si="24"/>
        <v>5317</v>
      </c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</row>
    <row r="34" spans="1:37" s="135" customFormat="1" ht="20.7" x14ac:dyDescent="0.4">
      <c r="A34" s="268" t="s">
        <v>163</v>
      </c>
      <c r="B34" s="268">
        <v>89050</v>
      </c>
      <c r="C34" s="268" t="s">
        <v>40</v>
      </c>
      <c r="D34" s="268" t="s">
        <v>164</v>
      </c>
      <c r="E34" s="142" t="s">
        <v>633</v>
      </c>
      <c r="F34" s="136" t="s">
        <v>634</v>
      </c>
      <c r="G34" s="136" t="s">
        <v>124</v>
      </c>
      <c r="H34" s="144" t="s">
        <v>38</v>
      </c>
      <c r="I34" s="137">
        <v>2</v>
      </c>
      <c r="J34" s="137">
        <v>1000</v>
      </c>
      <c r="K34" s="137">
        <f t="shared" si="18"/>
        <v>2000</v>
      </c>
      <c r="L34" s="137">
        <v>12</v>
      </c>
      <c r="M34" s="137">
        <f t="shared" si="19"/>
        <v>12480</v>
      </c>
      <c r="N34" s="137">
        <v>12</v>
      </c>
      <c r="O34" s="137">
        <f t="shared" si="20"/>
        <v>12979</v>
      </c>
      <c r="P34" s="137">
        <v>12</v>
      </c>
      <c r="Q34" s="137">
        <f t="shared" si="21"/>
        <v>13498</v>
      </c>
      <c r="R34" s="137">
        <v>2</v>
      </c>
      <c r="S34" s="137">
        <f t="shared" si="22"/>
        <v>2340</v>
      </c>
      <c r="T34" s="137">
        <f t="shared" si="23"/>
        <v>43297</v>
      </c>
      <c r="U34" s="137">
        <v>0</v>
      </c>
      <c r="V34" s="137">
        <f t="shared" si="24"/>
        <v>43297</v>
      </c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</row>
    <row r="35" spans="1:37" s="135" customFormat="1" ht="20.7" x14ac:dyDescent="0.4">
      <c r="A35" s="268" t="s">
        <v>163</v>
      </c>
      <c r="B35" s="268">
        <v>89050</v>
      </c>
      <c r="C35" s="268" t="s">
        <v>40</v>
      </c>
      <c r="D35" s="268" t="s">
        <v>164</v>
      </c>
      <c r="E35" s="142" t="s">
        <v>635</v>
      </c>
      <c r="F35" s="136" t="s">
        <v>636</v>
      </c>
      <c r="G35" s="136" t="s">
        <v>124</v>
      </c>
      <c r="H35" s="144" t="s">
        <v>38</v>
      </c>
      <c r="I35" s="137">
        <v>0</v>
      </c>
      <c r="J35" s="137">
        <v>250</v>
      </c>
      <c r="K35" s="137">
        <f t="shared" si="18"/>
        <v>0</v>
      </c>
      <c r="L35" s="137">
        <v>3</v>
      </c>
      <c r="M35" s="137">
        <f t="shared" si="19"/>
        <v>780</v>
      </c>
      <c r="N35" s="137">
        <v>3</v>
      </c>
      <c r="O35" s="137">
        <f t="shared" si="20"/>
        <v>811</v>
      </c>
      <c r="P35" s="137">
        <v>3</v>
      </c>
      <c r="Q35" s="137">
        <f t="shared" si="21"/>
        <v>844</v>
      </c>
      <c r="R35" s="187">
        <v>1</v>
      </c>
      <c r="S35" s="137">
        <f t="shared" si="22"/>
        <v>292</v>
      </c>
      <c r="T35" s="137">
        <f t="shared" si="23"/>
        <v>2727</v>
      </c>
      <c r="U35" s="137">
        <v>0</v>
      </c>
      <c r="V35" s="137">
        <f t="shared" si="24"/>
        <v>2727</v>
      </c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</row>
    <row r="36" spans="1:37" s="135" customFormat="1" ht="20.7" x14ac:dyDescent="0.4">
      <c r="A36" s="268" t="s">
        <v>163</v>
      </c>
      <c r="B36" s="268">
        <v>89050</v>
      </c>
      <c r="C36" s="268" t="s">
        <v>40</v>
      </c>
      <c r="D36" s="268" t="s">
        <v>164</v>
      </c>
      <c r="E36" s="142" t="s">
        <v>637</v>
      </c>
      <c r="F36" s="136" t="s">
        <v>638</v>
      </c>
      <c r="G36" s="136" t="s">
        <v>124</v>
      </c>
      <c r="H36" s="144" t="s">
        <v>127</v>
      </c>
      <c r="I36" s="137">
        <v>1</v>
      </c>
      <c r="J36" s="137">
        <v>250</v>
      </c>
      <c r="K36" s="137">
        <f t="shared" si="18"/>
        <v>250</v>
      </c>
      <c r="L36" s="137">
        <v>1</v>
      </c>
      <c r="M36" s="137">
        <f t="shared" si="19"/>
        <v>260</v>
      </c>
      <c r="N36" s="137">
        <v>1</v>
      </c>
      <c r="O36" s="137">
        <f t="shared" si="20"/>
        <v>270</v>
      </c>
      <c r="P36" s="137">
        <v>1</v>
      </c>
      <c r="Q36" s="137">
        <f t="shared" si="21"/>
        <v>281</v>
      </c>
      <c r="R36" s="189">
        <v>0.25</v>
      </c>
      <c r="S36" s="137">
        <f t="shared" si="22"/>
        <v>73</v>
      </c>
      <c r="T36" s="137">
        <f t="shared" si="23"/>
        <v>1134</v>
      </c>
      <c r="U36" s="137">
        <v>0</v>
      </c>
      <c r="V36" s="137">
        <f t="shared" si="24"/>
        <v>1134</v>
      </c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</row>
    <row r="37" spans="1:37" s="135" customFormat="1" ht="20.7" x14ac:dyDescent="0.4">
      <c r="A37" s="268" t="s">
        <v>163</v>
      </c>
      <c r="B37" s="268">
        <v>89050</v>
      </c>
      <c r="C37" s="268" t="s">
        <v>40</v>
      </c>
      <c r="D37" s="268" t="s">
        <v>164</v>
      </c>
      <c r="E37" s="142" t="s">
        <v>639</v>
      </c>
      <c r="F37" s="1" t="s">
        <v>640</v>
      </c>
      <c r="G37" s="136" t="s">
        <v>124</v>
      </c>
      <c r="H37" s="144" t="s">
        <v>127</v>
      </c>
      <c r="I37" s="137">
        <v>1</v>
      </c>
      <c r="J37" s="137">
        <v>250</v>
      </c>
      <c r="K37" s="137">
        <f t="shared" si="18"/>
        <v>250</v>
      </c>
      <c r="L37" s="137">
        <v>1</v>
      </c>
      <c r="M37" s="137">
        <f t="shared" si="19"/>
        <v>260</v>
      </c>
      <c r="N37" s="137">
        <v>1</v>
      </c>
      <c r="O37" s="137">
        <f t="shared" si="20"/>
        <v>270</v>
      </c>
      <c r="P37" s="137">
        <v>1</v>
      </c>
      <c r="Q37" s="137">
        <f t="shared" si="21"/>
        <v>281</v>
      </c>
      <c r="R37" s="137">
        <v>1</v>
      </c>
      <c r="S37" s="137">
        <f t="shared" si="22"/>
        <v>292</v>
      </c>
      <c r="T37" s="137">
        <f t="shared" ref="T37" si="27">K37+M37+O37+Q37+S37</f>
        <v>1353</v>
      </c>
      <c r="U37" s="137">
        <v>0</v>
      </c>
      <c r="V37" s="137">
        <f t="shared" ref="V37" si="28">SUM(T37:U37)</f>
        <v>1353</v>
      </c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</row>
    <row r="38" spans="1:37" ht="10.199999999999999" x14ac:dyDescent="0.35">
      <c r="A38" s="12"/>
      <c r="B38" s="12"/>
      <c r="C38" s="12"/>
      <c r="D38" s="12"/>
      <c r="E38" s="12"/>
      <c r="F38" s="12"/>
      <c r="G38" s="12"/>
      <c r="H38" s="33"/>
    </row>
    <row r="39" spans="1:37" ht="10.8" thickBot="1" x14ac:dyDescent="0.45">
      <c r="A39" s="34"/>
      <c r="B39" s="34"/>
      <c r="C39" s="34"/>
      <c r="D39" s="34"/>
      <c r="E39" s="34"/>
      <c r="F39" s="34" t="s">
        <v>641</v>
      </c>
      <c r="G39" s="34"/>
      <c r="H39" s="18"/>
      <c r="I39" s="18"/>
      <c r="J39" s="9"/>
      <c r="K39" s="95">
        <f>SUM(K24:K37)</f>
        <v>12180</v>
      </c>
      <c r="L39" s="95"/>
      <c r="M39" s="95">
        <f>SUM(M24:M37)</f>
        <v>19001</v>
      </c>
      <c r="N39" s="95"/>
      <c r="O39" s="95">
        <f>SUM(O24:O37)</f>
        <v>19760</v>
      </c>
      <c r="P39" s="95"/>
      <c r="Q39" s="95">
        <f>SUM(Q24:Q37)</f>
        <v>20551</v>
      </c>
      <c r="R39" s="95"/>
      <c r="S39" s="95">
        <f>SUM(S24:S37)</f>
        <v>4161</v>
      </c>
      <c r="T39" s="95">
        <f>SUM(T24:T37)</f>
        <v>75653</v>
      </c>
      <c r="U39" s="95">
        <f>SUM(U24:U37)</f>
        <v>0</v>
      </c>
      <c r="V39" s="95">
        <f>SUM(V24:V37)</f>
        <v>75653</v>
      </c>
    </row>
    <row r="40" spans="1:37" ht="18" thickBot="1" x14ac:dyDescent="0.4">
      <c r="A40" s="2"/>
      <c r="B40" s="2"/>
      <c r="C40" s="2"/>
      <c r="D40" s="2"/>
      <c r="E40" s="2"/>
      <c r="F40" s="359" t="s">
        <v>553</v>
      </c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</row>
    <row r="41" spans="1:37" ht="10.5" x14ac:dyDescent="0.4">
      <c r="A41" s="104"/>
      <c r="B41" s="104"/>
      <c r="C41" s="104"/>
      <c r="D41" s="104"/>
      <c r="E41" s="104"/>
      <c r="F41" s="104" t="s">
        <v>195</v>
      </c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X41" s="24"/>
    </row>
    <row r="42" spans="1:37" ht="10.5" x14ac:dyDescent="0.4">
      <c r="A42" s="108"/>
      <c r="B42" s="108"/>
      <c r="C42" s="108"/>
      <c r="D42" s="108"/>
      <c r="E42" s="108"/>
      <c r="F42" s="108" t="s">
        <v>196</v>
      </c>
      <c r="G42" s="109"/>
      <c r="H42" s="110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</row>
    <row r="43" spans="1:37" ht="10.199999999999999" x14ac:dyDescent="0.35">
      <c r="A43" s="12"/>
      <c r="B43" s="12"/>
      <c r="C43" s="12"/>
      <c r="D43" s="12"/>
      <c r="E43" s="12"/>
      <c r="F43" s="12" t="s">
        <v>642</v>
      </c>
      <c r="G43" s="279" t="s">
        <v>200</v>
      </c>
      <c r="H43" s="283" t="s">
        <v>115</v>
      </c>
      <c r="I43" s="8">
        <f>$K$20</f>
        <v>27628</v>
      </c>
      <c r="J43" s="107">
        <v>0.4</v>
      </c>
      <c r="K43" s="8">
        <f>I43*J43</f>
        <v>11051</v>
      </c>
      <c r="L43" s="8">
        <f>$M$20</f>
        <v>116450</v>
      </c>
      <c r="M43" s="8">
        <f>L43*J43</f>
        <v>46580</v>
      </c>
      <c r="N43" s="8">
        <f>$O$20</f>
        <v>120526</v>
      </c>
      <c r="O43" s="8">
        <f>N43*J43</f>
        <v>48210</v>
      </c>
      <c r="P43" s="8">
        <f>$Q$20</f>
        <v>124743</v>
      </c>
      <c r="Q43" s="8">
        <f>P43*J43</f>
        <v>49897</v>
      </c>
      <c r="R43" s="8">
        <f>$S$20</f>
        <v>17024</v>
      </c>
      <c r="S43" s="8">
        <f>R43*J43</f>
        <v>6810</v>
      </c>
      <c r="T43" s="8">
        <f>K43+M43+O43+Q43+S43</f>
        <v>162548</v>
      </c>
      <c r="U43" s="8">
        <v>0</v>
      </c>
      <c r="V43" s="8">
        <f>SUM(T43:U43)</f>
        <v>162548</v>
      </c>
    </row>
    <row r="44" spans="1:37" ht="10.199999999999999" x14ac:dyDescent="0.35">
      <c r="A44" s="12"/>
      <c r="B44" s="12"/>
      <c r="C44" s="12"/>
      <c r="D44" s="12"/>
      <c r="E44" s="12"/>
      <c r="F44" s="12" t="s">
        <v>643</v>
      </c>
      <c r="G44" s="279" t="s">
        <v>200</v>
      </c>
      <c r="H44" s="283" t="s">
        <v>115</v>
      </c>
      <c r="I44" s="8">
        <f>$K$39</f>
        <v>12180</v>
      </c>
      <c r="J44" s="27">
        <v>0.4</v>
      </c>
      <c r="K44" s="8">
        <f>I44*J44</f>
        <v>4872</v>
      </c>
      <c r="L44" s="8">
        <f>$M$39</f>
        <v>19001</v>
      </c>
      <c r="M44" s="8">
        <f t="shared" ref="M44" si="29">L44*J44</f>
        <v>7600</v>
      </c>
      <c r="N44" s="8">
        <f>$O$39</f>
        <v>19760</v>
      </c>
      <c r="O44" s="8">
        <f t="shared" ref="O44" si="30">N44*J44</f>
        <v>7904</v>
      </c>
      <c r="P44" s="8">
        <f>$Q$39</f>
        <v>20551</v>
      </c>
      <c r="Q44" s="8">
        <f t="shared" ref="Q44" si="31">P44*J44</f>
        <v>8220</v>
      </c>
      <c r="R44" s="8">
        <f>$S$39</f>
        <v>4161</v>
      </c>
      <c r="S44" s="8">
        <f t="shared" ref="S44" si="32">R44*J44</f>
        <v>1664</v>
      </c>
      <c r="T44" s="8">
        <f t="shared" ref="T44" si="33">K44+M44+O44+Q44+S44</f>
        <v>30260</v>
      </c>
      <c r="U44" s="8">
        <v>0</v>
      </c>
      <c r="V44" s="8">
        <f t="shared" ref="V44" si="34">SUM(T44:U44)</f>
        <v>30260</v>
      </c>
    </row>
    <row r="45" spans="1:37" ht="10.199999999999999" x14ac:dyDescent="0.35">
      <c r="A45" s="167"/>
      <c r="B45" s="167"/>
      <c r="C45" s="167"/>
      <c r="D45" s="167"/>
      <c r="E45" s="167"/>
      <c r="F45" s="167" t="s">
        <v>558</v>
      </c>
      <c r="G45" s="280"/>
      <c r="H45" s="284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</row>
    <row r="46" spans="1:37" s="135" customFormat="1" ht="12.3" x14ac:dyDescent="0.4">
      <c r="A46" s="268" t="s">
        <v>163</v>
      </c>
      <c r="B46" s="268">
        <v>89050</v>
      </c>
      <c r="C46" s="268" t="s">
        <v>40</v>
      </c>
      <c r="D46" s="268" t="s">
        <v>164</v>
      </c>
      <c r="E46" s="142" t="s">
        <v>644</v>
      </c>
      <c r="F46" s="136" t="s">
        <v>199</v>
      </c>
      <c r="G46" s="275" t="s">
        <v>200</v>
      </c>
      <c r="H46" s="275" t="s">
        <v>115</v>
      </c>
      <c r="I46" s="137">
        <v>0</v>
      </c>
      <c r="J46" s="151">
        <v>20000</v>
      </c>
      <c r="K46" s="137">
        <f t="shared" ref="K46:K52" si="35">I46*J46</f>
        <v>0</v>
      </c>
      <c r="L46" s="137">
        <v>1</v>
      </c>
      <c r="M46" s="137">
        <f>J46*L46</f>
        <v>20000</v>
      </c>
      <c r="N46" s="158"/>
      <c r="O46" s="137"/>
      <c r="P46" s="158"/>
      <c r="Q46" s="137"/>
      <c r="R46" s="158"/>
      <c r="S46" s="137">
        <f t="shared" ref="S46:S52" si="36">R46*J46</f>
        <v>0</v>
      </c>
      <c r="T46" s="137">
        <f t="shared" ref="T46:T56" si="37">K46+M46+O46+Q46+S46</f>
        <v>20000</v>
      </c>
      <c r="U46" s="137">
        <v>0</v>
      </c>
      <c r="V46" s="137">
        <f t="shared" ref="V46:V56" si="38">SUM(T46:U46)</f>
        <v>20000</v>
      </c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</row>
    <row r="47" spans="1:37" s="135" customFormat="1" ht="12.3" x14ac:dyDescent="0.4">
      <c r="A47" s="167"/>
      <c r="B47" s="167"/>
      <c r="C47" s="167"/>
      <c r="D47" s="167"/>
      <c r="E47" s="167"/>
      <c r="F47" s="167" t="s">
        <v>560</v>
      </c>
      <c r="G47" s="281"/>
      <c r="H47" s="281"/>
      <c r="I47" s="164"/>
      <c r="J47" s="165"/>
      <c r="K47" s="164"/>
      <c r="L47" s="165"/>
      <c r="M47" s="164"/>
      <c r="N47" s="165"/>
      <c r="O47" s="164"/>
      <c r="P47" s="165"/>
      <c r="Q47" s="164"/>
      <c r="R47" s="166"/>
      <c r="S47" s="164"/>
      <c r="T47" s="164"/>
      <c r="U47" s="164"/>
      <c r="V47" s="16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</row>
    <row r="48" spans="1:37" s="135" customFormat="1" ht="12.3" x14ac:dyDescent="0.4">
      <c r="A48" s="268" t="s">
        <v>163</v>
      </c>
      <c r="B48" s="268">
        <v>89050</v>
      </c>
      <c r="C48" s="268" t="s">
        <v>40</v>
      </c>
      <c r="D48" s="268" t="s">
        <v>164</v>
      </c>
      <c r="E48" s="142" t="s">
        <v>645</v>
      </c>
      <c r="F48" s="136" t="s">
        <v>215</v>
      </c>
      <c r="G48" s="157" t="s">
        <v>200</v>
      </c>
      <c r="H48" s="157" t="s">
        <v>115</v>
      </c>
      <c r="I48" s="137">
        <v>1</v>
      </c>
      <c r="J48" s="151">
        <f>17116-9000-6000</f>
        <v>2116</v>
      </c>
      <c r="K48" s="137">
        <f>$J48*I48</f>
        <v>2116</v>
      </c>
      <c r="L48" s="151">
        <v>6</v>
      </c>
      <c r="M48" s="137">
        <f>$J48*L48</f>
        <v>12696</v>
      </c>
      <c r="N48" s="151">
        <v>6</v>
      </c>
      <c r="O48" s="137">
        <f>$J48*N48</f>
        <v>12696</v>
      </c>
      <c r="P48" s="151">
        <v>6</v>
      </c>
      <c r="Q48" s="137">
        <f>$J48*P48</f>
        <v>12696</v>
      </c>
      <c r="R48" s="151">
        <v>2</v>
      </c>
      <c r="S48" s="137">
        <f>$J48*R48</f>
        <v>4232</v>
      </c>
      <c r="T48" s="137">
        <f>K48+M48+O48+Q48+S48</f>
        <v>44436</v>
      </c>
      <c r="U48" s="137">
        <v>0</v>
      </c>
      <c r="V48" s="137">
        <f>SUM(T48:U48)</f>
        <v>44436</v>
      </c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</row>
    <row r="49" spans="1:37" s="135" customFormat="1" ht="12.3" x14ac:dyDescent="0.4">
      <c r="A49" s="313"/>
      <c r="B49" s="313"/>
      <c r="C49" s="313"/>
      <c r="D49" s="313"/>
      <c r="E49" s="313"/>
      <c r="F49" s="313" t="s">
        <v>231</v>
      </c>
      <c r="G49" s="276"/>
      <c r="H49" s="276"/>
      <c r="I49" s="164"/>
      <c r="J49" s="165"/>
      <c r="K49" s="164"/>
      <c r="L49" s="166"/>
      <c r="M49" s="164"/>
      <c r="N49" s="166"/>
      <c r="O49" s="164"/>
      <c r="P49" s="166"/>
      <c r="Q49" s="164"/>
      <c r="R49" s="166"/>
      <c r="S49" s="164"/>
      <c r="T49" s="164"/>
      <c r="U49" s="164"/>
      <c r="V49" s="16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</row>
    <row r="50" spans="1:37" s="135" customFormat="1" ht="12.3" x14ac:dyDescent="0.4">
      <c r="A50" s="268" t="s">
        <v>163</v>
      </c>
      <c r="B50" s="268">
        <v>89050</v>
      </c>
      <c r="C50" s="268" t="s">
        <v>40</v>
      </c>
      <c r="D50" s="268" t="s">
        <v>164</v>
      </c>
      <c r="E50" s="142" t="s">
        <v>646</v>
      </c>
      <c r="F50" s="136" t="s">
        <v>233</v>
      </c>
      <c r="G50" s="157" t="s">
        <v>200</v>
      </c>
      <c r="H50" s="275" t="s">
        <v>115</v>
      </c>
      <c r="I50" s="137"/>
      <c r="J50" s="151">
        <v>5583</v>
      </c>
      <c r="K50" s="137">
        <f t="shared" si="35"/>
        <v>0</v>
      </c>
      <c r="L50" s="151">
        <v>1</v>
      </c>
      <c r="M50" s="137">
        <f t="shared" ref="M50" si="39">L50*J50</f>
        <v>5583</v>
      </c>
      <c r="N50" s="158"/>
      <c r="O50" s="137">
        <f t="shared" ref="O50:O52" si="40">N50*J50</f>
        <v>0</v>
      </c>
      <c r="P50" s="158"/>
      <c r="Q50" s="137">
        <f t="shared" ref="Q50:Q52" si="41">P50*J50</f>
        <v>0</v>
      </c>
      <c r="R50" s="158"/>
      <c r="S50" s="137">
        <f t="shared" si="36"/>
        <v>0</v>
      </c>
      <c r="T50" s="137">
        <f t="shared" si="37"/>
        <v>5583</v>
      </c>
      <c r="U50" s="137">
        <v>0</v>
      </c>
      <c r="V50" s="137">
        <f t="shared" si="38"/>
        <v>5583</v>
      </c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</row>
    <row r="51" spans="1:37" s="135" customFormat="1" ht="12.3" x14ac:dyDescent="0.4">
      <c r="A51" s="312"/>
      <c r="B51" s="312"/>
      <c r="C51" s="312"/>
      <c r="D51" s="312"/>
      <c r="E51" s="312"/>
      <c r="F51" s="312" t="s">
        <v>243</v>
      </c>
      <c r="G51" s="281"/>
      <c r="H51" s="276"/>
      <c r="I51" s="164"/>
      <c r="J51" s="165"/>
      <c r="K51" s="164"/>
      <c r="L51" s="165"/>
      <c r="M51" s="164"/>
      <c r="N51" s="166"/>
      <c r="O51" s="164"/>
      <c r="P51" s="166"/>
      <c r="Q51" s="164"/>
      <c r="R51" s="166"/>
      <c r="S51" s="164"/>
      <c r="T51" s="164"/>
      <c r="U51" s="164"/>
      <c r="V51" s="16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</row>
    <row r="52" spans="1:37" s="135" customFormat="1" ht="12.3" x14ac:dyDescent="0.4">
      <c r="A52" s="268" t="s">
        <v>163</v>
      </c>
      <c r="B52" s="268">
        <v>89050</v>
      </c>
      <c r="C52" s="268" t="s">
        <v>40</v>
      </c>
      <c r="D52" s="268" t="s">
        <v>164</v>
      </c>
      <c r="E52" s="142" t="s">
        <v>647</v>
      </c>
      <c r="F52" s="136" t="s">
        <v>566</v>
      </c>
      <c r="G52" s="157" t="s">
        <v>200</v>
      </c>
      <c r="H52" s="275" t="s">
        <v>115</v>
      </c>
      <c r="I52" s="137"/>
      <c r="J52" s="151">
        <v>5250</v>
      </c>
      <c r="K52" s="137">
        <f t="shared" si="35"/>
        <v>0</v>
      </c>
      <c r="L52" s="151">
        <v>1</v>
      </c>
      <c r="M52" s="137">
        <f>L52*J52</f>
        <v>5250</v>
      </c>
      <c r="N52" s="158"/>
      <c r="O52" s="137">
        <f t="shared" si="40"/>
        <v>0</v>
      </c>
      <c r="P52" s="158"/>
      <c r="Q52" s="137">
        <f t="shared" si="41"/>
        <v>0</v>
      </c>
      <c r="R52" s="158"/>
      <c r="S52" s="137">
        <f t="shared" si="36"/>
        <v>0</v>
      </c>
      <c r="T52" s="137">
        <f t="shared" si="37"/>
        <v>5250</v>
      </c>
      <c r="U52" s="137">
        <v>0</v>
      </c>
      <c r="V52" s="137">
        <f t="shared" si="38"/>
        <v>5250</v>
      </c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</row>
    <row r="53" spans="1:37" s="135" customFormat="1" ht="20.7" x14ac:dyDescent="0.4">
      <c r="A53" s="167"/>
      <c r="B53" s="167"/>
      <c r="C53" s="167"/>
      <c r="D53" s="167"/>
      <c r="E53" s="167"/>
      <c r="F53" s="167" t="s">
        <v>253</v>
      </c>
      <c r="G53" s="281"/>
      <c r="H53" s="281"/>
      <c r="I53" s="164"/>
      <c r="J53" s="165"/>
      <c r="K53" s="164"/>
      <c r="L53" s="165"/>
      <c r="M53" s="164"/>
      <c r="N53" s="166"/>
      <c r="O53" s="164"/>
      <c r="P53" s="166"/>
      <c r="Q53" s="164"/>
      <c r="R53" s="165"/>
      <c r="S53" s="164"/>
      <c r="T53" s="164"/>
      <c r="U53" s="164"/>
      <c r="V53" s="16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</row>
    <row r="54" spans="1:37" s="135" customFormat="1" ht="12.3" x14ac:dyDescent="0.4">
      <c r="A54" s="268" t="s">
        <v>163</v>
      </c>
      <c r="B54" s="268">
        <v>89050</v>
      </c>
      <c r="C54" s="268" t="s">
        <v>40</v>
      </c>
      <c r="D54" s="268" t="s">
        <v>164</v>
      </c>
      <c r="E54" s="142" t="s">
        <v>648</v>
      </c>
      <c r="F54" s="136" t="s">
        <v>255</v>
      </c>
      <c r="G54" s="157" t="s">
        <v>200</v>
      </c>
      <c r="H54" s="275" t="s">
        <v>115</v>
      </c>
      <c r="I54" s="137">
        <v>1</v>
      </c>
      <c r="J54" s="151">
        <f>8856-6000</f>
        <v>2856</v>
      </c>
      <c r="K54" s="137">
        <f>$J54*I54</f>
        <v>2856</v>
      </c>
      <c r="L54" s="137">
        <v>2</v>
      </c>
      <c r="M54" s="137">
        <f>$J54*L54</f>
        <v>5712</v>
      </c>
      <c r="N54" s="151">
        <v>2</v>
      </c>
      <c r="O54" s="137">
        <f>$J54*N54</f>
        <v>5712</v>
      </c>
      <c r="P54" s="151">
        <v>2</v>
      </c>
      <c r="Q54" s="137">
        <f>$J54*P54</f>
        <v>5712</v>
      </c>
      <c r="R54" s="151">
        <v>1</v>
      </c>
      <c r="S54" s="137">
        <f>$J54*R54</f>
        <v>2856</v>
      </c>
      <c r="T54" s="137">
        <f t="shared" si="37"/>
        <v>22848</v>
      </c>
      <c r="U54" s="137">
        <v>0</v>
      </c>
      <c r="V54" s="137">
        <f t="shared" si="38"/>
        <v>22848</v>
      </c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</row>
    <row r="55" spans="1:37" s="135" customFormat="1" ht="20.7" x14ac:dyDescent="0.4">
      <c r="A55" s="167"/>
      <c r="B55" s="167"/>
      <c r="C55" s="167"/>
      <c r="D55" s="167"/>
      <c r="E55" s="167"/>
      <c r="F55" s="167" t="s">
        <v>264</v>
      </c>
      <c r="G55" s="281"/>
      <c r="H55" s="276"/>
      <c r="I55" s="164"/>
      <c r="J55" s="165"/>
      <c r="K55" s="164"/>
      <c r="L55" s="166"/>
      <c r="M55" s="164"/>
      <c r="N55" s="165"/>
      <c r="O55" s="164"/>
      <c r="P55" s="165"/>
      <c r="Q55" s="164"/>
      <c r="R55" s="165"/>
      <c r="S55" s="164"/>
      <c r="T55" s="164"/>
      <c r="U55" s="164"/>
      <c r="V55" s="16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</row>
    <row r="56" spans="1:37" s="135" customFormat="1" ht="12.3" x14ac:dyDescent="0.4">
      <c r="A56" s="268" t="s">
        <v>163</v>
      </c>
      <c r="B56" s="268">
        <v>89050</v>
      </c>
      <c r="C56" s="268" t="s">
        <v>40</v>
      </c>
      <c r="D56" s="268" t="s">
        <v>164</v>
      </c>
      <c r="E56" s="142" t="s">
        <v>649</v>
      </c>
      <c r="F56" s="136" t="s">
        <v>650</v>
      </c>
      <c r="G56" s="157" t="s">
        <v>200</v>
      </c>
      <c r="H56" s="157" t="s">
        <v>115</v>
      </c>
      <c r="I56" s="137"/>
      <c r="J56" s="151">
        <v>1500</v>
      </c>
      <c r="K56" s="137">
        <f>$J56*I56</f>
        <v>0</v>
      </c>
      <c r="L56" s="151">
        <v>1</v>
      </c>
      <c r="M56" s="137">
        <f>$J56*L56</f>
        <v>1500</v>
      </c>
      <c r="N56" s="151">
        <v>2</v>
      </c>
      <c r="O56" s="137">
        <f>$J56*N56</f>
        <v>3000</v>
      </c>
      <c r="P56" s="151">
        <v>1</v>
      </c>
      <c r="Q56" s="137">
        <v>1500</v>
      </c>
      <c r="R56" s="151">
        <v>1</v>
      </c>
      <c r="S56" s="137">
        <f>$J56*R56</f>
        <v>1500</v>
      </c>
      <c r="T56" s="137">
        <f t="shared" si="37"/>
        <v>7500</v>
      </c>
      <c r="U56" s="137">
        <v>0</v>
      </c>
      <c r="V56" s="137">
        <f t="shared" si="38"/>
        <v>7500</v>
      </c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</row>
    <row r="57" spans="1:37" s="135" customFormat="1" ht="12.3" x14ac:dyDescent="0.4">
      <c r="G57" s="278"/>
      <c r="H57" s="278"/>
      <c r="R57" s="290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</row>
    <row r="58" spans="1:37" ht="10.8" thickBot="1" x14ac:dyDescent="0.45">
      <c r="A58" s="18"/>
      <c r="B58" s="18"/>
      <c r="C58" s="18"/>
      <c r="D58" s="18"/>
      <c r="E58" s="18"/>
      <c r="F58" s="18" t="s">
        <v>568</v>
      </c>
      <c r="G58" s="18"/>
      <c r="H58" s="285"/>
      <c r="I58" s="26"/>
      <c r="J58" s="26"/>
      <c r="K58" s="31">
        <f>SUM(K43:K56)</f>
        <v>20895</v>
      </c>
      <c r="L58" s="31"/>
      <c r="M58" s="31">
        <f>SUM(M43:M56)</f>
        <v>104921</v>
      </c>
      <c r="N58" s="31"/>
      <c r="O58" s="31">
        <f>SUM(O43:O56)</f>
        <v>77522</v>
      </c>
      <c r="P58" s="31"/>
      <c r="Q58" s="31">
        <f>SUM(Q43:Q56)</f>
        <v>78025</v>
      </c>
      <c r="R58" s="31"/>
      <c r="S58" s="31">
        <f>SUM(S43:S56)</f>
        <v>17062</v>
      </c>
      <c r="T58" s="31">
        <f>K58+M58+O58+Q58+S58</f>
        <v>298425</v>
      </c>
      <c r="U58" s="31">
        <f>SUM(U43:U56)</f>
        <v>0</v>
      </c>
      <c r="V58" s="31">
        <f>SUM(T58:U58)</f>
        <v>298425</v>
      </c>
    </row>
    <row r="59" spans="1:37" ht="10.199999999999999" x14ac:dyDescent="0.35">
      <c r="A59" s="12"/>
      <c r="B59" s="12"/>
      <c r="C59" s="12"/>
      <c r="D59" s="12"/>
      <c r="E59" s="12"/>
      <c r="F59" s="12"/>
      <c r="G59" s="12"/>
      <c r="H59" s="279"/>
    </row>
    <row r="60" spans="1:37" ht="20.7" x14ac:dyDescent="0.4">
      <c r="A60" s="268" t="s">
        <v>163</v>
      </c>
      <c r="B60" s="268">
        <v>89050</v>
      </c>
      <c r="C60" s="268" t="s">
        <v>40</v>
      </c>
      <c r="D60" s="268" t="s">
        <v>164</v>
      </c>
      <c r="E60" s="142" t="s">
        <v>651</v>
      </c>
      <c r="F60" s="4" t="s">
        <v>652</v>
      </c>
      <c r="G60" s="1" t="s">
        <v>399</v>
      </c>
      <c r="H60" s="286"/>
      <c r="I60" s="3"/>
      <c r="J60" s="27">
        <v>0.1</v>
      </c>
      <c r="K60" s="45">
        <f>(K58)*J60</f>
        <v>2090</v>
      </c>
      <c r="L60" s="45"/>
      <c r="M60" s="45">
        <f>(M58)*J60</f>
        <v>10492</v>
      </c>
      <c r="N60" s="45"/>
      <c r="O60" s="45">
        <f>(O58)*J60</f>
        <v>7752</v>
      </c>
      <c r="Q60" s="45">
        <f>(Q58)*$J60</f>
        <v>7803</v>
      </c>
      <c r="S60" s="45">
        <f>(S58)*$J60</f>
        <v>1706</v>
      </c>
      <c r="T60" s="45">
        <f>SUM(K60+M60+O60+Q60+S60)</f>
        <v>29843</v>
      </c>
      <c r="U60" s="45">
        <v>0</v>
      </c>
      <c r="V60" s="45">
        <f>SUM(T60:U60)</f>
        <v>29843</v>
      </c>
    </row>
    <row r="61" spans="1:37" ht="10.199999999999999" x14ac:dyDescent="0.35">
      <c r="A61" s="12"/>
      <c r="B61" s="12"/>
      <c r="C61" s="12"/>
      <c r="D61" s="12"/>
      <c r="E61" s="12"/>
      <c r="F61" s="12"/>
      <c r="G61" s="12"/>
      <c r="H61" s="33"/>
    </row>
    <row r="62" spans="1:37" ht="10.8" thickBot="1" x14ac:dyDescent="0.45">
      <c r="A62" s="18"/>
      <c r="B62" s="18"/>
      <c r="C62" s="18"/>
      <c r="D62" s="18"/>
      <c r="E62" s="18"/>
      <c r="F62" s="18" t="s">
        <v>267</v>
      </c>
      <c r="G62" s="18"/>
      <c r="H62" s="18"/>
      <c r="I62" s="26"/>
      <c r="J62" s="26"/>
      <c r="K62" s="31">
        <f>SUM(K58:K60)</f>
        <v>22985</v>
      </c>
      <c r="L62" s="31"/>
      <c r="M62" s="31">
        <f>SUM(M58:M60)</f>
        <v>115413</v>
      </c>
      <c r="N62" s="31"/>
      <c r="O62" s="31">
        <f>SUM(O58:O60)</f>
        <v>85274</v>
      </c>
      <c r="P62" s="31"/>
      <c r="Q62" s="31">
        <f>SUM(Q58:Q60)</f>
        <v>85828</v>
      </c>
      <c r="R62" s="31"/>
      <c r="S62" s="31">
        <f>SUM(S58:S60)</f>
        <v>18768</v>
      </c>
      <c r="T62" s="31">
        <f>K62+M62+O62+Q62+S62</f>
        <v>328268</v>
      </c>
      <c r="U62" s="31">
        <f>U60</f>
        <v>0</v>
      </c>
      <c r="V62" s="31">
        <f>SUM(T62:U62)</f>
        <v>328268</v>
      </c>
    </row>
    <row r="63" spans="1:37" ht="10.5" x14ac:dyDescent="0.4">
      <c r="A63" s="104"/>
      <c r="B63" s="104"/>
      <c r="C63" s="104"/>
      <c r="D63" s="104"/>
      <c r="E63" s="104"/>
      <c r="F63" s="104" t="s">
        <v>268</v>
      </c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X63" s="24"/>
    </row>
    <row r="64" spans="1:37" ht="10.5" x14ac:dyDescent="0.4">
      <c r="A64" s="108"/>
      <c r="B64" s="108"/>
      <c r="C64" s="108"/>
      <c r="D64" s="108"/>
      <c r="E64" s="108"/>
      <c r="F64" s="108" t="s">
        <v>196</v>
      </c>
      <c r="G64" s="109"/>
      <c r="H64" s="110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</row>
    <row r="65" spans="1:37" ht="10.199999999999999" x14ac:dyDescent="0.35">
      <c r="A65" s="12"/>
      <c r="B65" s="12"/>
      <c r="C65" s="12"/>
      <c r="D65" s="12"/>
      <c r="E65" s="12"/>
      <c r="F65" s="12" t="s">
        <v>653</v>
      </c>
      <c r="G65" s="33" t="s">
        <v>284</v>
      </c>
      <c r="H65" s="32" t="s">
        <v>115</v>
      </c>
      <c r="I65" s="8">
        <f>$K$20</f>
        <v>27628</v>
      </c>
      <c r="J65" s="107">
        <v>0.3</v>
      </c>
      <c r="K65" s="8">
        <f>I65*J65</f>
        <v>8288</v>
      </c>
      <c r="L65" s="8">
        <f>$M$20</f>
        <v>116450</v>
      </c>
      <c r="M65" s="8">
        <f>L65*J65</f>
        <v>34935</v>
      </c>
      <c r="N65" s="8">
        <f>$O$20</f>
        <v>120526</v>
      </c>
      <c r="O65" s="8">
        <f>N65*J65</f>
        <v>36158</v>
      </c>
      <c r="P65" s="8">
        <f>$Q$20</f>
        <v>124743</v>
      </c>
      <c r="Q65" s="8">
        <f>P65*J65</f>
        <v>37423</v>
      </c>
      <c r="R65" s="8">
        <f>$S$20</f>
        <v>17024</v>
      </c>
      <c r="S65" s="8">
        <f>R65*J65</f>
        <v>5107</v>
      </c>
      <c r="T65" s="8">
        <f>K65+M65+O65+Q65+S65</f>
        <v>121911</v>
      </c>
      <c r="U65" s="8">
        <v>0</v>
      </c>
      <c r="V65" s="8">
        <f>SUM(T65:U65)</f>
        <v>121911</v>
      </c>
    </row>
    <row r="66" spans="1:37" ht="10.199999999999999" x14ac:dyDescent="0.35">
      <c r="A66" s="12"/>
      <c r="B66" s="12"/>
      <c r="C66" s="12"/>
      <c r="D66" s="12"/>
      <c r="E66" s="12"/>
      <c r="F66" s="12" t="s">
        <v>654</v>
      </c>
      <c r="G66" s="33" t="s">
        <v>284</v>
      </c>
      <c r="H66" s="32" t="s">
        <v>115</v>
      </c>
      <c r="I66" s="8">
        <f>$K$39</f>
        <v>12180</v>
      </c>
      <c r="J66" s="27">
        <v>0.3</v>
      </c>
      <c r="K66" s="8">
        <f t="shared" ref="K66" si="42">I66*J66</f>
        <v>3654</v>
      </c>
      <c r="L66" s="8">
        <f>$M$39</f>
        <v>19001</v>
      </c>
      <c r="M66" s="8">
        <f>L66*J66</f>
        <v>5700</v>
      </c>
      <c r="N66" s="8">
        <f>$O$39</f>
        <v>19760</v>
      </c>
      <c r="O66" s="8">
        <f>N66*J66</f>
        <v>5928</v>
      </c>
      <c r="P66" s="8">
        <f>$Q$39</f>
        <v>20551</v>
      </c>
      <c r="Q66" s="8">
        <f>P66*J66</f>
        <v>6165</v>
      </c>
      <c r="R66" s="8">
        <f>$S$39</f>
        <v>4161</v>
      </c>
      <c r="S66" s="8">
        <f t="shared" ref="S66" si="43">R66*J66</f>
        <v>1248</v>
      </c>
      <c r="T66" s="8">
        <f t="shared" ref="T66:T74" si="44">K66+M66+O66+Q66+S66</f>
        <v>22695</v>
      </c>
      <c r="U66" s="8">
        <v>0</v>
      </c>
      <c r="V66" s="8">
        <f t="shared" ref="V66:V74" si="45">SUM(T66:U66)</f>
        <v>22695</v>
      </c>
    </row>
    <row r="67" spans="1:37" ht="20.399999999999999" x14ac:dyDescent="0.35">
      <c r="A67" s="167"/>
      <c r="B67" s="167"/>
      <c r="C67" s="167"/>
      <c r="D67" s="167"/>
      <c r="E67" s="167"/>
      <c r="F67" s="167" t="s">
        <v>269</v>
      </c>
      <c r="G67" s="156"/>
      <c r="H67" s="162"/>
      <c r="I67" s="128"/>
      <c r="J67" s="163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 spans="1:37" ht="20.399999999999999" x14ac:dyDescent="0.35">
      <c r="A68" s="268" t="s">
        <v>163</v>
      </c>
      <c r="B68" s="268">
        <v>89050</v>
      </c>
      <c r="C68" s="268" t="s">
        <v>40</v>
      </c>
      <c r="D68" s="268" t="s">
        <v>164</v>
      </c>
      <c r="E68" s="142" t="s">
        <v>655</v>
      </c>
      <c r="F68" s="136" t="s">
        <v>656</v>
      </c>
      <c r="G68" s="144" t="s">
        <v>284</v>
      </c>
      <c r="H68" s="143" t="s">
        <v>115</v>
      </c>
      <c r="I68" s="137">
        <v>1</v>
      </c>
      <c r="J68" s="151">
        <v>11650</v>
      </c>
      <c r="K68" s="137"/>
      <c r="L68" s="151">
        <v>1</v>
      </c>
      <c r="M68" s="137">
        <f>L68*$J68</f>
        <v>11650</v>
      </c>
      <c r="N68" s="151"/>
      <c r="O68" s="137">
        <f t="shared" ref="O68" si="46">N68*J68</f>
        <v>0</v>
      </c>
      <c r="P68" s="151"/>
      <c r="Q68" s="137">
        <f t="shared" ref="Q68" si="47">P68*J68</f>
        <v>0</v>
      </c>
      <c r="R68" s="151"/>
      <c r="S68" s="137">
        <f t="shared" ref="S68" si="48">R68*J68</f>
        <v>0</v>
      </c>
      <c r="T68" s="137">
        <f t="shared" ref="T68" si="49">K68+M68+O68+Q68+S68</f>
        <v>11650</v>
      </c>
      <c r="U68" s="137">
        <v>0</v>
      </c>
      <c r="V68" s="137">
        <f t="shared" ref="V68" si="50">SUM(T68:U68)</f>
        <v>11650</v>
      </c>
    </row>
    <row r="69" spans="1:37" ht="20.399999999999999" x14ac:dyDescent="0.35">
      <c r="A69" s="167"/>
      <c r="B69" s="167"/>
      <c r="C69" s="167"/>
      <c r="D69" s="167"/>
      <c r="E69" s="167"/>
      <c r="F69" s="167" t="s">
        <v>291</v>
      </c>
      <c r="G69" s="156"/>
      <c r="H69" s="162"/>
      <c r="I69" s="128"/>
      <c r="J69" s="163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</row>
    <row r="70" spans="1:37" s="135" customFormat="1" ht="12.3" x14ac:dyDescent="0.4">
      <c r="A70" s="268" t="s">
        <v>163</v>
      </c>
      <c r="B70" s="268">
        <v>89050</v>
      </c>
      <c r="C70" s="268" t="s">
        <v>40</v>
      </c>
      <c r="D70" s="268" t="s">
        <v>164</v>
      </c>
      <c r="E70" s="142" t="s">
        <v>657</v>
      </c>
      <c r="F70" s="136" t="s">
        <v>293</v>
      </c>
      <c r="G70" s="144" t="s">
        <v>284</v>
      </c>
      <c r="H70" s="143" t="s">
        <v>658</v>
      </c>
      <c r="I70" s="137"/>
      <c r="J70" s="151">
        <v>500</v>
      </c>
      <c r="K70" s="137">
        <f>I70*J70</f>
        <v>0</v>
      </c>
      <c r="L70" s="151">
        <v>12</v>
      </c>
      <c r="M70" s="137">
        <f>L70*$J70</f>
        <v>6000</v>
      </c>
      <c r="N70" s="151">
        <v>12</v>
      </c>
      <c r="O70" s="137">
        <f>N70*$J70</f>
        <v>6000</v>
      </c>
      <c r="P70" s="151">
        <v>12</v>
      </c>
      <c r="Q70" s="137">
        <f>P70*$J70</f>
        <v>6000</v>
      </c>
      <c r="R70" s="151">
        <v>6</v>
      </c>
      <c r="S70" s="137">
        <f>R70*$J70</f>
        <v>3000</v>
      </c>
      <c r="T70" s="137">
        <f t="shared" ref="T70" si="51">K70+M70+O70+Q70+S70</f>
        <v>21000</v>
      </c>
      <c r="U70" s="137">
        <v>0</v>
      </c>
      <c r="V70" s="137">
        <f t="shared" ref="V70" si="52">SUM(T70:U70)</f>
        <v>21000</v>
      </c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</row>
    <row r="71" spans="1:37" s="135" customFormat="1" ht="12.3" x14ac:dyDescent="0.4">
      <c r="A71" s="167"/>
      <c r="B71" s="167"/>
      <c r="C71" s="167"/>
      <c r="D71" s="167"/>
      <c r="E71" s="167"/>
      <c r="F71" s="167" t="s">
        <v>302</v>
      </c>
      <c r="G71" s="277"/>
      <c r="H71" s="168"/>
      <c r="I71" s="164"/>
      <c r="J71" s="165"/>
      <c r="K71" s="164"/>
      <c r="L71" s="165"/>
      <c r="M71" s="164"/>
      <c r="N71" s="165"/>
      <c r="O71" s="164"/>
      <c r="P71" s="165"/>
      <c r="Q71" s="164"/>
      <c r="R71" s="165"/>
      <c r="S71" s="164"/>
      <c r="T71" s="164"/>
      <c r="U71" s="164"/>
      <c r="V71" s="16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</row>
    <row r="72" spans="1:37" s="135" customFormat="1" ht="12.3" x14ac:dyDescent="0.4">
      <c r="A72" s="268" t="s">
        <v>163</v>
      </c>
      <c r="B72" s="268">
        <v>89050</v>
      </c>
      <c r="C72" s="268" t="s">
        <v>40</v>
      </c>
      <c r="D72" s="268" t="s">
        <v>164</v>
      </c>
      <c r="E72" s="142" t="s">
        <v>659</v>
      </c>
      <c r="F72" s="136" t="s">
        <v>304</v>
      </c>
      <c r="G72" s="144" t="s">
        <v>284</v>
      </c>
      <c r="H72" s="143" t="s">
        <v>115</v>
      </c>
      <c r="I72" s="137">
        <v>1</v>
      </c>
      <c r="J72" s="151">
        <v>1500</v>
      </c>
      <c r="K72" s="137"/>
      <c r="L72" s="151">
        <v>4</v>
      </c>
      <c r="M72" s="137">
        <f>L72*$J72</f>
        <v>6000</v>
      </c>
      <c r="N72" s="151">
        <v>4</v>
      </c>
      <c r="O72" s="137">
        <f>N72*$J72</f>
        <v>6000</v>
      </c>
      <c r="P72" s="151">
        <v>4</v>
      </c>
      <c r="Q72" s="137">
        <f>P72*$J72</f>
        <v>6000</v>
      </c>
      <c r="R72" s="151">
        <v>2</v>
      </c>
      <c r="S72" s="137">
        <f>R72*$J72</f>
        <v>3000</v>
      </c>
      <c r="T72" s="137">
        <f>K72+M72+O72+Q72+S72</f>
        <v>21000</v>
      </c>
      <c r="U72" s="137">
        <v>0</v>
      </c>
      <c r="V72" s="137">
        <f>SUM(T72:U72)</f>
        <v>21000</v>
      </c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</row>
    <row r="73" spans="1:37" ht="20.399999999999999" x14ac:dyDescent="0.35">
      <c r="A73" s="167"/>
      <c r="B73" s="167"/>
      <c r="C73" s="167"/>
      <c r="D73" s="167"/>
      <c r="E73" s="167"/>
      <c r="F73" s="167" t="s">
        <v>316</v>
      </c>
      <c r="G73" s="156"/>
      <c r="H73" s="162"/>
      <c r="I73" s="128"/>
      <c r="J73" s="163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</row>
    <row r="74" spans="1:37" s="135" customFormat="1" ht="20.7" x14ac:dyDescent="0.4">
      <c r="A74" s="268" t="s">
        <v>163</v>
      </c>
      <c r="B74" s="268">
        <v>89050</v>
      </c>
      <c r="C74" s="268" t="s">
        <v>40</v>
      </c>
      <c r="D74" s="268" t="s">
        <v>164</v>
      </c>
      <c r="E74" s="142" t="s">
        <v>660</v>
      </c>
      <c r="F74" s="136" t="s">
        <v>318</v>
      </c>
      <c r="G74" s="144" t="s">
        <v>284</v>
      </c>
      <c r="H74" s="143" t="s">
        <v>115</v>
      </c>
      <c r="I74" s="137">
        <v>1</v>
      </c>
      <c r="J74" s="151">
        <v>1200</v>
      </c>
      <c r="K74" s="137"/>
      <c r="L74" s="151">
        <v>5</v>
      </c>
      <c r="M74" s="137">
        <f>L74*$J74</f>
        <v>6000</v>
      </c>
      <c r="N74" s="151">
        <v>6</v>
      </c>
      <c r="O74" s="137">
        <f>N74*$J74</f>
        <v>7200</v>
      </c>
      <c r="P74" s="151">
        <v>6</v>
      </c>
      <c r="Q74" s="137">
        <f>P74*$J74</f>
        <v>7200</v>
      </c>
      <c r="R74" s="151"/>
      <c r="S74" s="137"/>
      <c r="T74" s="137">
        <f t="shared" si="44"/>
        <v>20400</v>
      </c>
      <c r="U74" s="137">
        <v>0</v>
      </c>
      <c r="V74" s="137">
        <f t="shared" si="45"/>
        <v>20400</v>
      </c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</row>
    <row r="75" spans="1:37" s="135" customFormat="1" ht="30.9" x14ac:dyDescent="0.4">
      <c r="A75" s="167"/>
      <c r="B75" s="167"/>
      <c r="C75" s="167"/>
      <c r="D75" s="167"/>
      <c r="E75" s="167"/>
      <c r="F75" s="167" t="s">
        <v>577</v>
      </c>
      <c r="G75" s="277"/>
      <c r="H75" s="168"/>
      <c r="I75" s="164"/>
      <c r="J75" s="165"/>
      <c r="K75" s="164"/>
      <c r="L75" s="165"/>
      <c r="M75" s="164"/>
      <c r="N75" s="165"/>
      <c r="O75" s="164"/>
      <c r="P75" s="165"/>
      <c r="Q75" s="164"/>
      <c r="R75" s="165"/>
      <c r="S75" s="164"/>
      <c r="T75" s="164"/>
      <c r="U75" s="164"/>
      <c r="V75" s="16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</row>
    <row r="76" spans="1:37" s="135" customFormat="1" ht="12.3" x14ac:dyDescent="0.4">
      <c r="A76" s="268" t="s">
        <v>163</v>
      </c>
      <c r="B76" s="268">
        <v>89050</v>
      </c>
      <c r="C76" s="268" t="s">
        <v>40</v>
      </c>
      <c r="D76" s="268" t="s">
        <v>164</v>
      </c>
      <c r="E76" s="142" t="s">
        <v>661</v>
      </c>
      <c r="F76" s="136" t="s">
        <v>329</v>
      </c>
      <c r="G76" s="144" t="s">
        <v>284</v>
      </c>
      <c r="H76" s="143" t="s">
        <v>115</v>
      </c>
      <c r="I76" s="137">
        <v>1</v>
      </c>
      <c r="J76" s="151">
        <v>1000</v>
      </c>
      <c r="K76" s="137">
        <f t="shared" ref="K76" si="53">I76*J76</f>
        <v>1000</v>
      </c>
      <c r="L76" s="151">
        <v>1</v>
      </c>
      <c r="M76" s="137">
        <f t="shared" ref="M76" si="54">L76*J76</f>
        <v>1000</v>
      </c>
      <c r="N76" s="151">
        <v>1</v>
      </c>
      <c r="O76" s="137">
        <f t="shared" ref="O76" si="55">N76*J76</f>
        <v>1000</v>
      </c>
      <c r="P76" s="151">
        <v>1</v>
      </c>
      <c r="Q76" s="137">
        <f>P76*$J76</f>
        <v>1000</v>
      </c>
      <c r="R76" s="151">
        <v>1</v>
      </c>
      <c r="S76" s="137">
        <f>R76*$J76</f>
        <v>1000</v>
      </c>
      <c r="T76" s="137">
        <f t="shared" ref="T76" si="56">K76+M76+O76+Q76+S76</f>
        <v>5000</v>
      </c>
      <c r="U76" s="137">
        <v>0</v>
      </c>
      <c r="V76" s="137">
        <f t="shared" ref="V76" si="57">SUM(T76:U76)</f>
        <v>5000</v>
      </c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</row>
    <row r="77" spans="1:37" s="135" customFormat="1" ht="20.7" x14ac:dyDescent="0.4">
      <c r="A77" s="268" t="s">
        <v>163</v>
      </c>
      <c r="B77" s="268">
        <v>89050</v>
      </c>
      <c r="C77" s="268" t="s">
        <v>40</v>
      </c>
      <c r="D77" s="268" t="s">
        <v>164</v>
      </c>
      <c r="E77" s="142" t="s">
        <v>661</v>
      </c>
      <c r="F77" s="136" t="s">
        <v>331</v>
      </c>
      <c r="G77" s="144" t="s">
        <v>284</v>
      </c>
      <c r="H77" s="143" t="s">
        <v>115</v>
      </c>
      <c r="I77" s="137">
        <v>0</v>
      </c>
      <c r="J77" s="151">
        <v>6100</v>
      </c>
      <c r="K77" s="137">
        <f>I77*J77</f>
        <v>0</v>
      </c>
      <c r="L77" s="151">
        <v>1</v>
      </c>
      <c r="M77" s="137">
        <f>L77*J77</f>
        <v>6100</v>
      </c>
      <c r="N77" s="151">
        <v>1</v>
      </c>
      <c r="O77" s="137">
        <f>N77*J77</f>
        <v>6100</v>
      </c>
      <c r="P77" s="151">
        <v>1</v>
      </c>
      <c r="Q77" s="137">
        <f>P77*$J77</f>
        <v>6100</v>
      </c>
      <c r="R77" s="158">
        <v>0.5</v>
      </c>
      <c r="S77" s="137">
        <f>R77*$J77</f>
        <v>3050</v>
      </c>
      <c r="T77" s="137">
        <f t="shared" ref="T77" si="58">K77+M77+O77+Q77+S77</f>
        <v>21350</v>
      </c>
      <c r="U77" s="137">
        <v>0</v>
      </c>
      <c r="V77" s="137">
        <f t="shared" ref="V77" si="59">SUM(T77:U77)</f>
        <v>21350</v>
      </c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</row>
    <row r="78" spans="1:37" s="135" customFormat="1" ht="12.3" x14ac:dyDescent="0.4">
      <c r="G78" s="282"/>
      <c r="K78" s="137">
        <f>I78*J78</f>
        <v>0</v>
      </c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</row>
    <row r="79" spans="1:37" ht="10.8" thickBot="1" x14ac:dyDescent="0.45">
      <c r="A79" s="18"/>
      <c r="B79" s="18"/>
      <c r="C79" s="18"/>
      <c r="D79" s="18"/>
      <c r="E79" s="18"/>
      <c r="F79" s="18" t="s">
        <v>582</v>
      </c>
      <c r="G79" s="18"/>
      <c r="H79" s="18"/>
      <c r="I79" s="26"/>
      <c r="J79" s="26"/>
      <c r="K79" s="31">
        <f>SUM(K65:K77)</f>
        <v>12942</v>
      </c>
      <c r="L79" s="31"/>
      <c r="M79" s="31">
        <f>SUM(M65:M77)</f>
        <v>77385</v>
      </c>
      <c r="N79" s="31"/>
      <c r="O79" s="31">
        <f>SUM(O65:O77)</f>
        <v>68386</v>
      </c>
      <c r="P79" s="31"/>
      <c r="Q79" s="31">
        <f>SUM(Q65:Q77)</f>
        <v>69888</v>
      </c>
      <c r="R79" s="31"/>
      <c r="S79" s="31">
        <f>SUM(S65:S77)</f>
        <v>16405</v>
      </c>
      <c r="T79" s="31">
        <f>SUM(T65:T77)</f>
        <v>245006</v>
      </c>
      <c r="U79" s="31">
        <f>SUM(U65:U77)</f>
        <v>0</v>
      </c>
      <c r="V79" s="31">
        <f>SUM(V65:V77)</f>
        <v>245006</v>
      </c>
    </row>
    <row r="80" spans="1:37" ht="10.199999999999999" x14ac:dyDescent="0.35">
      <c r="A80" s="12"/>
      <c r="B80" s="12"/>
      <c r="C80" s="12"/>
      <c r="D80" s="12"/>
      <c r="E80" s="12"/>
      <c r="F80" s="12"/>
      <c r="G80" s="12"/>
      <c r="H80" s="33"/>
    </row>
    <row r="81" spans="1:24" ht="20.7" x14ac:dyDescent="0.4">
      <c r="A81" s="268" t="s">
        <v>163</v>
      </c>
      <c r="B81" s="268">
        <v>89050</v>
      </c>
      <c r="C81" s="268" t="s">
        <v>40</v>
      </c>
      <c r="D81" s="268" t="s">
        <v>164</v>
      </c>
      <c r="E81" s="142" t="s">
        <v>651</v>
      </c>
      <c r="F81" s="4" t="s">
        <v>662</v>
      </c>
      <c r="G81" s="1" t="s">
        <v>399</v>
      </c>
      <c r="H81" s="3"/>
      <c r="I81" s="3"/>
      <c r="J81" s="27">
        <v>0.1</v>
      </c>
      <c r="K81" s="45">
        <f>(K79)*J81</f>
        <v>1294</v>
      </c>
      <c r="L81" s="45"/>
      <c r="M81" s="45">
        <f>(M79)*J81</f>
        <v>7739</v>
      </c>
      <c r="N81" s="45"/>
      <c r="O81" s="45">
        <f>(O79)*J81</f>
        <v>6839</v>
      </c>
      <c r="Q81" s="45">
        <f>(Q79)*$J81</f>
        <v>6989</v>
      </c>
      <c r="S81" s="45">
        <f>(S79)*$J81</f>
        <v>1641</v>
      </c>
      <c r="T81" s="45">
        <f>SUM(K81+M81+O81+Q81+S81)</f>
        <v>24502</v>
      </c>
      <c r="U81" s="45">
        <v>0</v>
      </c>
      <c r="V81" s="45">
        <f>SUM(T81:U81)</f>
        <v>24502</v>
      </c>
    </row>
    <row r="82" spans="1:24" ht="10.199999999999999" x14ac:dyDescent="0.35">
      <c r="A82" s="12"/>
      <c r="B82" s="12"/>
      <c r="C82" s="12"/>
      <c r="D82" s="12"/>
      <c r="E82" s="12"/>
      <c r="F82" s="12"/>
      <c r="G82" s="12"/>
      <c r="H82" s="33"/>
    </row>
    <row r="83" spans="1:24" ht="10.8" thickBot="1" x14ac:dyDescent="0.45">
      <c r="A83" s="18"/>
      <c r="B83" s="18"/>
      <c r="C83" s="18"/>
      <c r="D83" s="18"/>
      <c r="E83" s="18"/>
      <c r="F83" s="18" t="s">
        <v>338</v>
      </c>
      <c r="G83" s="18"/>
      <c r="H83" s="18"/>
      <c r="I83" s="26"/>
      <c r="J83" s="26"/>
      <c r="K83" s="31">
        <f>SUM(K79:K81)</f>
        <v>14236</v>
      </c>
      <c r="L83" s="31"/>
      <c r="M83" s="31">
        <f>SUM(M79:M81)</f>
        <v>85124</v>
      </c>
      <c r="N83" s="31"/>
      <c r="O83" s="31">
        <f>SUM(O79:O81)</f>
        <v>75225</v>
      </c>
      <c r="P83" s="31"/>
      <c r="Q83" s="31">
        <f>SUM(Q79:Q81)</f>
        <v>76877</v>
      </c>
      <c r="R83" s="31"/>
      <c r="S83" s="31">
        <f>SUM(S79:S81)</f>
        <v>18046</v>
      </c>
      <c r="T83" s="31">
        <f>K83+M83+O83+Q83+S83</f>
        <v>269508</v>
      </c>
      <c r="U83" s="31">
        <f>U81</f>
        <v>0</v>
      </c>
      <c r="V83" s="31">
        <f>SUM(T83:U83)</f>
        <v>269508</v>
      </c>
    </row>
    <row r="84" spans="1:24" ht="10.5" x14ac:dyDescent="0.4">
      <c r="A84" s="104"/>
      <c r="B84" s="104"/>
      <c r="C84" s="104"/>
      <c r="D84" s="104"/>
      <c r="E84" s="104"/>
      <c r="F84" s="104" t="s">
        <v>663</v>
      </c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X84" s="24"/>
    </row>
    <row r="85" spans="1:24" ht="10.5" x14ac:dyDescent="0.4">
      <c r="A85" s="108"/>
      <c r="B85" s="108"/>
      <c r="C85" s="108"/>
      <c r="D85" s="108"/>
      <c r="E85" s="108"/>
      <c r="F85" s="108" t="s">
        <v>196</v>
      </c>
      <c r="G85" s="109"/>
      <c r="H85" s="110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</row>
    <row r="86" spans="1:24" ht="10.199999999999999" x14ac:dyDescent="0.35">
      <c r="A86" s="12"/>
      <c r="B86" s="12"/>
      <c r="C86" s="12"/>
      <c r="D86" s="12"/>
      <c r="E86" s="12"/>
      <c r="F86" s="12" t="s">
        <v>653</v>
      </c>
      <c r="G86" s="33" t="s">
        <v>343</v>
      </c>
      <c r="H86" s="287" t="s">
        <v>115</v>
      </c>
      <c r="I86" s="8">
        <f>$K$20</f>
        <v>27628</v>
      </c>
      <c r="J86" s="107">
        <v>0.3</v>
      </c>
      <c r="K86" s="8">
        <f t="shared" ref="K86:K91" si="60">I86*J86</f>
        <v>8288</v>
      </c>
      <c r="L86" s="8">
        <f>$M$20</f>
        <v>116450</v>
      </c>
      <c r="M86" s="8">
        <f t="shared" ref="M86:M91" si="61">L86*J86</f>
        <v>34935</v>
      </c>
      <c r="N86" s="8">
        <f>$O$20</f>
        <v>120526</v>
      </c>
      <c r="O86" s="8">
        <f t="shared" ref="O86:O91" si="62">N86*J86</f>
        <v>36158</v>
      </c>
      <c r="P86" s="8">
        <f>$Q$20</f>
        <v>124743</v>
      </c>
      <c r="Q86" s="8">
        <f t="shared" ref="Q86:Q91" si="63">P86*J86</f>
        <v>37423</v>
      </c>
      <c r="R86" s="8">
        <f>$S$20</f>
        <v>17024</v>
      </c>
      <c r="S86" s="8">
        <f t="shared" ref="S86:S91" si="64">R86*J86</f>
        <v>5107</v>
      </c>
      <c r="T86" s="8">
        <f t="shared" ref="T86:T91" si="65">K86+M86+O86+Q86+S86</f>
        <v>121911</v>
      </c>
      <c r="U86" s="8">
        <v>0</v>
      </c>
      <c r="V86" s="8">
        <f t="shared" ref="V86:V91" si="66">SUM(T86:U86)</f>
        <v>121911</v>
      </c>
    </row>
    <row r="87" spans="1:24" ht="10.199999999999999" x14ac:dyDescent="0.35">
      <c r="A87" s="12"/>
      <c r="B87" s="12"/>
      <c r="C87" s="12"/>
      <c r="D87" s="12"/>
      <c r="E87" s="12"/>
      <c r="F87" s="12" t="s">
        <v>664</v>
      </c>
      <c r="G87" s="33" t="s">
        <v>343</v>
      </c>
      <c r="H87" s="287" t="s">
        <v>115</v>
      </c>
      <c r="I87" s="8">
        <f>$K$39</f>
        <v>12180</v>
      </c>
      <c r="J87" s="27">
        <v>0.3</v>
      </c>
      <c r="K87" s="8">
        <f t="shared" si="60"/>
        <v>3654</v>
      </c>
      <c r="L87" s="8">
        <f>$M$39</f>
        <v>19001</v>
      </c>
      <c r="M87" s="8">
        <f t="shared" si="61"/>
        <v>5700</v>
      </c>
      <c r="N87" s="8">
        <f>$O$39</f>
        <v>19760</v>
      </c>
      <c r="O87" s="8">
        <f t="shared" si="62"/>
        <v>5928</v>
      </c>
      <c r="P87" s="8">
        <f>$Q$39</f>
        <v>20551</v>
      </c>
      <c r="Q87" s="8">
        <f t="shared" si="63"/>
        <v>6165</v>
      </c>
      <c r="R87" s="8">
        <f>$S$39</f>
        <v>4161</v>
      </c>
      <c r="S87" s="8">
        <f t="shared" si="64"/>
        <v>1248</v>
      </c>
      <c r="T87" s="8">
        <f t="shared" si="65"/>
        <v>22695</v>
      </c>
      <c r="U87" s="8">
        <v>0</v>
      </c>
      <c r="V87" s="8">
        <f t="shared" si="66"/>
        <v>22695</v>
      </c>
    </row>
    <row r="88" spans="1:24" ht="10.199999999999999" x14ac:dyDescent="0.35">
      <c r="A88" s="59"/>
      <c r="B88" s="59"/>
      <c r="C88" s="59"/>
      <c r="D88" s="59"/>
      <c r="E88" s="59"/>
      <c r="F88" s="59" t="s">
        <v>665</v>
      </c>
      <c r="G88" s="68"/>
      <c r="H88" s="288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</row>
    <row r="89" spans="1:24" ht="10.199999999999999" x14ac:dyDescent="0.35">
      <c r="A89" s="268" t="s">
        <v>163</v>
      </c>
      <c r="B89" s="268">
        <v>89050</v>
      </c>
      <c r="C89" s="268" t="s">
        <v>40</v>
      </c>
      <c r="D89" s="268" t="s">
        <v>164</v>
      </c>
      <c r="E89" s="142" t="s">
        <v>666</v>
      </c>
      <c r="F89" s="12" t="s">
        <v>379</v>
      </c>
      <c r="G89" s="33" t="s">
        <v>343</v>
      </c>
      <c r="H89" s="287" t="s">
        <v>115</v>
      </c>
      <c r="I89" s="8">
        <v>2</v>
      </c>
      <c r="J89" s="8">
        <v>110</v>
      </c>
      <c r="K89" s="8">
        <f>I89*J89</f>
        <v>220</v>
      </c>
      <c r="L89" s="8">
        <v>12</v>
      </c>
      <c r="M89" s="8">
        <f t="shared" si="61"/>
        <v>1320</v>
      </c>
      <c r="N89" s="8">
        <v>12</v>
      </c>
      <c r="O89" s="8">
        <f t="shared" si="62"/>
        <v>1320</v>
      </c>
      <c r="P89" s="8">
        <v>12</v>
      </c>
      <c r="Q89" s="8">
        <f t="shared" si="63"/>
        <v>1320</v>
      </c>
      <c r="R89" s="8">
        <v>2</v>
      </c>
      <c r="S89" s="8">
        <f t="shared" si="64"/>
        <v>220</v>
      </c>
      <c r="T89" s="8">
        <f t="shared" si="65"/>
        <v>4400</v>
      </c>
      <c r="U89" s="8">
        <v>0</v>
      </c>
      <c r="V89" s="8">
        <f t="shared" si="66"/>
        <v>4400</v>
      </c>
    </row>
    <row r="90" spans="1:24" ht="10.199999999999999" x14ac:dyDescent="0.35">
      <c r="A90" s="268" t="s">
        <v>163</v>
      </c>
      <c r="B90" s="268">
        <v>89050</v>
      </c>
      <c r="C90" s="268" t="s">
        <v>40</v>
      </c>
      <c r="D90" s="268" t="s">
        <v>164</v>
      </c>
      <c r="E90" s="142" t="s">
        <v>667</v>
      </c>
      <c r="F90" s="12" t="s">
        <v>381</v>
      </c>
      <c r="G90" s="33" t="s">
        <v>343</v>
      </c>
      <c r="H90" s="287" t="s">
        <v>115</v>
      </c>
      <c r="I90" s="8">
        <v>2</v>
      </c>
      <c r="J90" s="8">
        <v>100</v>
      </c>
      <c r="K90" s="8">
        <f t="shared" si="60"/>
        <v>200</v>
      </c>
      <c r="L90" s="8">
        <v>12</v>
      </c>
      <c r="M90" s="8">
        <f t="shared" si="61"/>
        <v>1200</v>
      </c>
      <c r="N90" s="8">
        <v>12</v>
      </c>
      <c r="O90" s="8">
        <f t="shared" si="62"/>
        <v>1200</v>
      </c>
      <c r="P90" s="8">
        <v>12</v>
      </c>
      <c r="Q90" s="8">
        <f t="shared" si="63"/>
        <v>1200</v>
      </c>
      <c r="R90" s="8">
        <v>2</v>
      </c>
      <c r="S90" s="8">
        <f t="shared" si="64"/>
        <v>200</v>
      </c>
      <c r="T90" s="8">
        <f t="shared" si="65"/>
        <v>4000</v>
      </c>
      <c r="U90" s="8">
        <v>0</v>
      </c>
      <c r="V90" s="8">
        <f t="shared" si="66"/>
        <v>4000</v>
      </c>
    </row>
    <row r="91" spans="1:24" ht="10.199999999999999" x14ac:dyDescent="0.35">
      <c r="A91" s="268" t="s">
        <v>163</v>
      </c>
      <c r="B91" s="268">
        <v>89050</v>
      </c>
      <c r="C91" s="268" t="s">
        <v>40</v>
      </c>
      <c r="D91" s="268" t="s">
        <v>164</v>
      </c>
      <c r="E91" s="142" t="s">
        <v>668</v>
      </c>
      <c r="F91" s="12" t="s">
        <v>383</v>
      </c>
      <c r="G91" s="33" t="s">
        <v>343</v>
      </c>
      <c r="H91" s="287" t="s">
        <v>115</v>
      </c>
      <c r="I91" s="8">
        <v>1</v>
      </c>
      <c r="J91" s="8">
        <v>100</v>
      </c>
      <c r="K91" s="8">
        <f t="shared" si="60"/>
        <v>100</v>
      </c>
      <c r="L91" s="8">
        <v>4</v>
      </c>
      <c r="M91" s="8">
        <f t="shared" si="61"/>
        <v>400</v>
      </c>
      <c r="N91" s="8">
        <v>4</v>
      </c>
      <c r="O91" s="8">
        <f t="shared" si="62"/>
        <v>400</v>
      </c>
      <c r="P91" s="8">
        <v>4</v>
      </c>
      <c r="Q91" s="8">
        <f t="shared" si="63"/>
        <v>400</v>
      </c>
      <c r="R91" s="8">
        <v>1</v>
      </c>
      <c r="S91" s="8">
        <f t="shared" si="64"/>
        <v>100</v>
      </c>
      <c r="T91" s="8">
        <f t="shared" si="65"/>
        <v>1400</v>
      </c>
      <c r="U91" s="8">
        <v>0</v>
      </c>
      <c r="V91" s="8">
        <f t="shared" si="66"/>
        <v>1400</v>
      </c>
    </row>
    <row r="92" spans="1:24" ht="10.199999999999999" x14ac:dyDescent="0.35">
      <c r="A92" s="12"/>
      <c r="B92" s="12"/>
      <c r="C92" s="12"/>
      <c r="D92" s="12"/>
      <c r="E92" s="12"/>
      <c r="F92" s="12"/>
      <c r="G92" s="33"/>
      <c r="H92" s="33"/>
    </row>
    <row r="93" spans="1:24" ht="10.8" thickBot="1" x14ac:dyDescent="0.45">
      <c r="A93" s="18"/>
      <c r="B93" s="18"/>
      <c r="C93" s="18"/>
      <c r="D93" s="18"/>
      <c r="E93" s="18"/>
      <c r="F93" s="18" t="s">
        <v>591</v>
      </c>
      <c r="G93" s="289"/>
      <c r="H93" s="18"/>
      <c r="I93" s="26"/>
      <c r="J93" s="26"/>
      <c r="K93" s="31">
        <f>SUM(K86:K91)</f>
        <v>12462</v>
      </c>
      <c r="L93" s="31"/>
      <c r="M93" s="31">
        <f>SUM(M86:M91)</f>
        <v>43555</v>
      </c>
      <c r="N93" s="31"/>
      <c r="O93" s="31">
        <f>SUM(O86:O91)</f>
        <v>45006</v>
      </c>
      <c r="P93" s="31"/>
      <c r="Q93" s="31">
        <f>SUM(Q86:Q91)</f>
        <v>46508</v>
      </c>
      <c r="R93" s="31"/>
      <c r="S93" s="31">
        <f>SUM(S86:S91)</f>
        <v>6875</v>
      </c>
      <c r="T93" s="31">
        <f>K93+M93+O93+Q93+S93</f>
        <v>154406</v>
      </c>
      <c r="U93" s="31">
        <f>SUM(U86:U91)</f>
        <v>0</v>
      </c>
      <c r="V93" s="31">
        <f>SUM(T93:U93)</f>
        <v>154406</v>
      </c>
    </row>
    <row r="94" spans="1:24" ht="10.199999999999999" x14ac:dyDescent="0.35">
      <c r="A94" s="12"/>
      <c r="B94" s="12"/>
      <c r="C94" s="12"/>
      <c r="D94" s="12"/>
      <c r="E94" s="12"/>
      <c r="F94" s="12"/>
      <c r="G94" s="12"/>
      <c r="H94" s="33"/>
    </row>
    <row r="95" spans="1:24" ht="20.7" x14ac:dyDescent="0.4">
      <c r="A95" s="268" t="s">
        <v>163</v>
      </c>
      <c r="B95" s="268">
        <v>89050</v>
      </c>
      <c r="C95" s="268" t="s">
        <v>40</v>
      </c>
      <c r="D95" s="268" t="s">
        <v>164</v>
      </c>
      <c r="E95" s="142" t="s">
        <v>651</v>
      </c>
      <c r="F95" s="4" t="s">
        <v>669</v>
      </c>
      <c r="G95" s="1" t="s">
        <v>399</v>
      </c>
      <c r="H95" s="3"/>
      <c r="I95" s="3"/>
      <c r="J95" s="27">
        <v>0.1</v>
      </c>
      <c r="K95" s="45">
        <f>(K93)*J95</f>
        <v>1246</v>
      </c>
      <c r="L95" s="45"/>
      <c r="M95" s="45">
        <f>(M93)*J95</f>
        <v>4356</v>
      </c>
      <c r="N95" s="45"/>
      <c r="O95" s="45">
        <f>(O93)*J95</f>
        <v>4501</v>
      </c>
      <c r="Q95" s="45">
        <f>(Q93)*J95</f>
        <v>4651</v>
      </c>
      <c r="S95" s="45">
        <f>(S93)*J95</f>
        <v>688</v>
      </c>
      <c r="T95" s="45">
        <f>SUM(K95+M95+O95+Q95+S95)</f>
        <v>15442</v>
      </c>
      <c r="U95" s="45">
        <v>0</v>
      </c>
      <c r="V95" s="45">
        <f>SUM(T95:U95)</f>
        <v>15442</v>
      </c>
    </row>
    <row r="96" spans="1:24" ht="10.199999999999999" x14ac:dyDescent="0.35">
      <c r="A96" s="12"/>
      <c r="B96" s="12"/>
      <c r="C96" s="12"/>
      <c r="D96" s="12"/>
      <c r="E96" s="12"/>
      <c r="F96" s="12"/>
      <c r="G96" s="12"/>
      <c r="H96" s="33"/>
    </row>
    <row r="97" spans="1:22" ht="10.8" thickBot="1" x14ac:dyDescent="0.45">
      <c r="A97" s="18"/>
      <c r="B97" s="18"/>
      <c r="C97" s="18"/>
      <c r="D97" s="18"/>
      <c r="E97" s="18"/>
      <c r="F97" s="18" t="s">
        <v>670</v>
      </c>
      <c r="G97" s="18"/>
      <c r="H97" s="18"/>
      <c r="I97" s="26"/>
      <c r="J97" s="26"/>
      <c r="K97" s="31">
        <f>SUM(K93:K95)</f>
        <v>13708</v>
      </c>
      <c r="L97" s="31"/>
      <c r="M97" s="31">
        <f>SUM(M93:M95)</f>
        <v>47911</v>
      </c>
      <c r="N97" s="31"/>
      <c r="O97" s="31">
        <f>SUM(O93:O95)</f>
        <v>49507</v>
      </c>
      <c r="P97" s="31"/>
      <c r="Q97" s="31">
        <f>SUM(Q93:Q95)</f>
        <v>51159</v>
      </c>
      <c r="R97" s="31"/>
      <c r="S97" s="31">
        <f>SUM(S93:S95)</f>
        <v>7563</v>
      </c>
      <c r="T97" s="31">
        <f>K97+M97+O97+Q97+S97</f>
        <v>169848</v>
      </c>
      <c r="U97" s="31">
        <f>U95</f>
        <v>0</v>
      </c>
      <c r="V97" s="31">
        <f>SUM(T97:U97)</f>
        <v>169848</v>
      </c>
    </row>
    <row r="98" spans="1:22" ht="10.5" x14ac:dyDescent="0.4">
      <c r="A98" s="22"/>
      <c r="B98" s="22"/>
      <c r="C98" s="22"/>
      <c r="D98" s="22"/>
      <c r="E98" s="22"/>
      <c r="F98" s="22"/>
      <c r="G98" s="22"/>
      <c r="H98" s="23"/>
      <c r="I98" s="24"/>
      <c r="J98" s="36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spans="1:22" ht="10.8" thickBot="1" x14ac:dyDescent="0.45">
      <c r="A99" s="10"/>
      <c r="B99" s="10"/>
      <c r="C99" s="10"/>
      <c r="D99" s="10"/>
      <c r="E99" s="10"/>
      <c r="F99" s="10" t="s">
        <v>400</v>
      </c>
      <c r="G99" s="10"/>
      <c r="H99" s="10"/>
      <c r="I99" s="10"/>
      <c r="J99" s="37"/>
      <c r="K99" s="99">
        <f>K97+K62+K83</f>
        <v>50929</v>
      </c>
      <c r="L99" s="99"/>
      <c r="M99" s="99">
        <f>M97+M62+M83</f>
        <v>248448</v>
      </c>
      <c r="N99" s="99"/>
      <c r="O99" s="99">
        <f>O97+O62+O83</f>
        <v>210006</v>
      </c>
      <c r="P99" s="99"/>
      <c r="Q99" s="99">
        <f>Q97+Q62+Q83</f>
        <v>213864</v>
      </c>
      <c r="R99" s="99"/>
      <c r="S99" s="99">
        <f>S97+S62+S83</f>
        <v>44377</v>
      </c>
      <c r="T99" s="99">
        <f>T97+T62+T83</f>
        <v>767624</v>
      </c>
      <c r="U99" s="99">
        <f>U97+U62+U83</f>
        <v>0</v>
      </c>
      <c r="V99" s="99">
        <f>V97+V62+V83</f>
        <v>767624</v>
      </c>
    </row>
    <row r="100" spans="1:22" ht="10.5" thickTop="1" x14ac:dyDescent="0.35"/>
    <row r="101" spans="1:22" ht="10.199999999999999" x14ac:dyDescent="0.35"/>
    <row r="102" spans="1:22" ht="10.199999999999999" x14ac:dyDescent="0.35">
      <c r="T102" s="113"/>
    </row>
    <row r="103" spans="1:22" ht="10.199999999999999" x14ac:dyDescent="0.35">
      <c r="J103" s="2"/>
      <c r="U103" s="70"/>
    </row>
    <row r="104" spans="1:22" ht="10.199999999999999" x14ac:dyDescent="0.35">
      <c r="A104" s="7"/>
      <c r="B104" s="7"/>
      <c r="C104" s="7"/>
      <c r="D104" s="7"/>
      <c r="E104" s="7"/>
      <c r="F104" s="7"/>
      <c r="G104" s="7"/>
      <c r="H104" s="51"/>
    </row>
    <row r="105" spans="1:22" ht="10.199999999999999" x14ac:dyDescent="0.35">
      <c r="A105" s="7"/>
      <c r="B105" s="7"/>
      <c r="C105" s="7"/>
      <c r="D105" s="7"/>
      <c r="E105" s="7"/>
      <c r="F105" s="7"/>
      <c r="G105" s="7"/>
      <c r="H105" s="52"/>
    </row>
    <row r="106" spans="1:22" ht="10.199999999999999" x14ac:dyDescent="0.35"/>
    <row r="107" spans="1:22" ht="10.199999999999999" x14ac:dyDescent="0.35">
      <c r="A107" s="7"/>
      <c r="B107" s="7"/>
      <c r="C107" s="7"/>
      <c r="D107" s="7"/>
      <c r="E107" s="7"/>
      <c r="F107" s="7"/>
      <c r="G107" s="7"/>
      <c r="H107" s="51"/>
    </row>
    <row r="108" spans="1:22" ht="10.199999999999999" x14ac:dyDescent="0.35">
      <c r="A108" s="7"/>
      <c r="B108" s="7"/>
      <c r="C108" s="7"/>
      <c r="D108" s="7"/>
      <c r="E108" s="7"/>
      <c r="F108" s="7"/>
      <c r="G108" s="7"/>
      <c r="H108" s="52"/>
    </row>
    <row r="109" spans="1:22" ht="10.199999999999999" x14ac:dyDescent="0.35"/>
    <row r="110" spans="1:22" ht="10.199999999999999" x14ac:dyDescent="0.35">
      <c r="A110" s="7"/>
      <c r="B110" s="7"/>
      <c r="C110" s="7"/>
      <c r="D110" s="7"/>
      <c r="E110" s="7"/>
      <c r="F110" s="7"/>
      <c r="G110" s="7"/>
      <c r="H110" s="51"/>
    </row>
    <row r="111" spans="1:22" ht="10.199999999999999" x14ac:dyDescent="0.35">
      <c r="A111" s="7"/>
      <c r="B111" s="7"/>
      <c r="C111" s="7"/>
      <c r="D111" s="7"/>
      <c r="E111" s="7"/>
      <c r="F111" s="7"/>
      <c r="G111" s="7"/>
      <c r="H111" s="52"/>
    </row>
    <row r="112" spans="1:22" ht="10.199999999999999" x14ac:dyDescent="0.35"/>
    <row r="113" spans="1:26" ht="10.199999999999999" x14ac:dyDescent="0.35">
      <c r="A113" s="7"/>
      <c r="B113" s="7"/>
      <c r="C113" s="7"/>
      <c r="D113" s="7"/>
      <c r="E113" s="7"/>
      <c r="F113" s="7"/>
      <c r="G113" s="7"/>
      <c r="H113" s="51"/>
    </row>
    <row r="114" spans="1:26" ht="10.199999999999999" x14ac:dyDescent="0.35">
      <c r="A114" s="7"/>
      <c r="B114" s="7"/>
      <c r="C114" s="7"/>
      <c r="D114" s="7"/>
      <c r="E114" s="7"/>
      <c r="F114" s="7"/>
      <c r="G114" s="7"/>
      <c r="H114" s="52"/>
    </row>
    <row r="115" spans="1:26" ht="10.199999999999999" x14ac:dyDescent="0.35">
      <c r="Z115" s="1"/>
    </row>
    <row r="116" spans="1:26" ht="12" customHeight="1" x14ac:dyDescent="0.35">
      <c r="A116" s="7"/>
      <c r="B116" s="7"/>
      <c r="C116" s="7"/>
      <c r="D116" s="7"/>
      <c r="E116" s="7"/>
      <c r="F116" s="7"/>
      <c r="G116" s="7"/>
      <c r="H116" s="51"/>
    </row>
    <row r="117" spans="1:26" ht="12" customHeight="1" x14ac:dyDescent="0.35">
      <c r="A117" s="7"/>
      <c r="B117" s="7"/>
      <c r="C117" s="7"/>
      <c r="D117" s="7"/>
      <c r="E117" s="7"/>
      <c r="F117" s="7"/>
      <c r="G117" s="7"/>
      <c r="H117" s="52"/>
    </row>
    <row r="121" spans="1:26" ht="12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3" spans="1:26" ht="12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</sheetData>
  <mergeCells count="5">
    <mergeCell ref="F1:V1"/>
    <mergeCell ref="F2:V2"/>
    <mergeCell ref="F3:V3"/>
    <mergeCell ref="F4:G4"/>
    <mergeCell ref="F40:V40"/>
  </mergeCells>
  <phoneticPr fontId="42" type="noConversion"/>
  <pageMargins left="0.7" right="0.7" top="0.75" bottom="0.75" header="0.3" footer="0.3"/>
  <pageSetup scale="4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>Danielle Martin</DisplayName>
        <AccountId>23</AccountId>
        <AccountType/>
      </UserInfo>
    </SharedWithUsers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BFFC1C-35D3-48FC-AD6E-BA1190C07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D7816-1A2F-48DC-AE79-E934211CDC0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07D5FEB7-53D2-48FD-AA6F-8ADDC4F339C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000A6E6-5886-4F26-B6D1-DE3051D4E4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20</vt:i4>
      </vt:variant>
    </vt:vector>
  </HeadingPairs>
  <TitlesOfParts>
    <vt:vector size="25" baseType="lpstr">
      <vt:lpstr>Budget Summary</vt:lpstr>
      <vt:lpstr>Project Budget</vt:lpstr>
      <vt:lpstr>Comparasion</vt:lpstr>
      <vt:lpstr>RMS</vt:lpstr>
      <vt:lpstr>CEREAL</vt:lpstr>
      <vt:lpstr>RMS!Category</vt:lpstr>
      <vt:lpstr>Category</vt:lpstr>
      <vt:lpstr>Comparasion!DL_TotalDOL</vt:lpstr>
      <vt:lpstr>RMS!DL_TotalDOL</vt:lpstr>
      <vt:lpstr>DL_TotalDOL</vt:lpstr>
      <vt:lpstr>Comparasion!ME_TotalDOL</vt:lpstr>
      <vt:lpstr>ME_TotalDOL</vt:lpstr>
      <vt:lpstr>RMS!O1_TotalDOL</vt:lpstr>
      <vt:lpstr>Comparasion!Print_Area</vt:lpstr>
      <vt:lpstr>'Project Budget'!Print_Area</vt:lpstr>
      <vt:lpstr>RMS!Print_Area</vt:lpstr>
      <vt:lpstr>Comparasion!SU_TotalDOL</vt:lpstr>
      <vt:lpstr>RMS!SU_TotalDOL</vt:lpstr>
      <vt:lpstr>SU_TotalDOL</vt:lpstr>
      <vt:lpstr>Comparasion!TotalDOL</vt:lpstr>
      <vt:lpstr>RMS!TotalDOL</vt:lpstr>
      <vt:lpstr>TotalDOL</vt:lpstr>
      <vt:lpstr>Comparasion!TR_TotalDOL</vt:lpstr>
      <vt:lpstr>RMS!TR_TotalDOL</vt:lpstr>
      <vt:lpstr>TR_TotalDOL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Danielle Martin</cp:lastModifiedBy>
  <cp:revision/>
  <dcterms:created xsi:type="dcterms:W3CDTF">2007-06-26T13:33:20Z</dcterms:created>
  <dcterms:modified xsi:type="dcterms:W3CDTF">2025-02-14T19:21:40Z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