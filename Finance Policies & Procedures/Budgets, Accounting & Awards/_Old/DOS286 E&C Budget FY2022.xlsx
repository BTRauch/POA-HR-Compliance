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31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Budgets/"/>
    </mc:Choice>
  </mc:AlternateContent>
  <xr:revisionPtr revIDLastSave="167" documentId="13_ncr:1_{E69A0978-2721-44BC-B568-FCBF83807917}" xr6:coauthVersionLast="47" xr6:coauthVersionMax="47" xr10:uidLastSave="{AEC2C800-B4A3-42D3-BEE9-8BC5912BE680}"/>
  <bookViews>
    <workbookView xWindow="-96" yWindow="-96" windowWidth="23232" windowHeight="12552" firstSheet="1" activeTab="1" xr2:uid="{00000000-000D-0000-FFFF-FFFF00000000}"/>
  </bookViews>
  <sheets>
    <sheet name="Budget Summary" sheetId="1" r:id="rId1"/>
    <sheet name="Budget Details" sheetId="2" r:id="rId2"/>
    <sheet name="Volunteer Time Cost Share" sheetId="3" r:id="rId3"/>
  </sheets>
  <definedNames>
    <definedName name="_xlnm.Print_Area" localSheetId="1">'Budget Details'!$C$1:$I$55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2" l="1"/>
  <c r="G30" i="2"/>
  <c r="F29" i="2"/>
  <c r="F30" i="2"/>
  <c r="E30" i="2"/>
  <c r="E29" i="2"/>
  <c r="F8" i="2"/>
  <c r="F9" i="2" l="1"/>
  <c r="H8" i="2"/>
  <c r="H47" i="2"/>
  <c r="H41" i="2"/>
  <c r="H37" i="2"/>
  <c r="G10" i="2"/>
  <c r="H10" i="2" s="1"/>
  <c r="E5" i="3"/>
  <c r="C12" i="3"/>
  <c r="C11" i="3"/>
  <c r="C10" i="3"/>
  <c r="H9" i="2" l="1"/>
  <c r="G25" i="2"/>
  <c r="G14" i="2"/>
  <c r="G11" i="2"/>
  <c r="E45" i="2"/>
  <c r="E44" i="2"/>
  <c r="E43" i="2"/>
  <c r="E41" i="2"/>
  <c r="E39" i="2"/>
  <c r="E35" i="2"/>
  <c r="E23" i="2"/>
  <c r="E22" i="2"/>
  <c r="E9" i="2"/>
  <c r="E8" i="2"/>
  <c r="E7" i="2"/>
  <c r="E25" i="2" l="1"/>
  <c r="G31" i="2"/>
  <c r="F7" i="2"/>
  <c r="F17" i="2"/>
  <c r="F18" i="2"/>
  <c r="H18" i="2" s="1"/>
  <c r="F20" i="2"/>
  <c r="H20" i="2" s="1"/>
  <c r="F19" i="2"/>
  <c r="H19" i="2" s="1"/>
  <c r="F23" i="2"/>
  <c r="H23" i="2" s="1"/>
  <c r="H17" i="2" l="1"/>
  <c r="H7" i="2"/>
  <c r="F11" i="2"/>
  <c r="D30" i="2"/>
  <c r="D31" i="2" s="1"/>
  <c r="G54" i="2"/>
  <c r="E31" i="2"/>
  <c r="E11" i="2"/>
  <c r="E13" i="2" s="1"/>
  <c r="E14" i="2" s="1"/>
  <c r="F39" i="2"/>
  <c r="H39" i="2" s="1"/>
  <c r="H11" i="2" l="1"/>
  <c r="C7" i="1"/>
  <c r="F45" i="2"/>
  <c r="H45" i="2" s="1"/>
  <c r="F43" i="2"/>
  <c r="H43" i="2" s="1"/>
  <c r="F44" i="2"/>
  <c r="H44" i="2" s="1"/>
  <c r="F35" i="2" l="1"/>
  <c r="H30" i="2" l="1"/>
  <c r="I30" i="2"/>
  <c r="H35" i="2"/>
  <c r="F50" i="2"/>
  <c r="F31" i="2"/>
  <c r="H29" i="2"/>
  <c r="F13" i="2"/>
  <c r="B15" i="1"/>
  <c r="I47" i="2"/>
  <c r="I41" i="2"/>
  <c r="H31" i="2" l="1"/>
  <c r="B20" i="1"/>
  <c r="I31" i="2"/>
  <c r="F14" i="2"/>
  <c r="H13" i="2"/>
  <c r="E49" i="2"/>
  <c r="E50" i="2" s="1"/>
  <c r="E51" i="2" s="1"/>
  <c r="D45" i="2"/>
  <c r="D44" i="2"/>
  <c r="D43" i="2"/>
  <c r="I43" i="2" s="1"/>
  <c r="D39" i="2"/>
  <c r="D37" i="2"/>
  <c r="D35" i="2"/>
  <c r="D23" i="2"/>
  <c r="I23" i="2" s="1"/>
  <c r="D22" i="2"/>
  <c r="D20" i="2"/>
  <c r="D19" i="2"/>
  <c r="D18" i="2"/>
  <c r="D17" i="2"/>
  <c r="D9" i="2"/>
  <c r="I9" i="2" s="1"/>
  <c r="D8" i="2"/>
  <c r="I8" i="2" s="1"/>
  <c r="D7" i="2"/>
  <c r="B19" i="1"/>
  <c r="B21" i="1"/>
  <c r="B18" i="1"/>
  <c r="C5" i="3"/>
  <c r="C6" i="3"/>
  <c r="C7" i="3"/>
  <c r="F24" i="2"/>
  <c r="H24" i="2" s="1"/>
  <c r="F22" i="2"/>
  <c r="E7" i="3"/>
  <c r="E11" i="3"/>
  <c r="E12" i="3"/>
  <c r="E10" i="3"/>
  <c r="E6" i="3"/>
  <c r="H22" i="2" l="1"/>
  <c r="F25" i="2"/>
  <c r="H25" i="2" s="1"/>
  <c r="E53" i="2"/>
  <c r="E54" i="2" s="1"/>
  <c r="E55" i="2" s="1"/>
  <c r="H14" i="2"/>
  <c r="D11" i="2"/>
  <c r="I11" i="2" s="1"/>
  <c r="D50" i="2"/>
  <c r="D25" i="2"/>
  <c r="I18" i="2"/>
  <c r="I45" i="2"/>
  <c r="I35" i="2"/>
  <c r="I39" i="2"/>
  <c r="I44" i="2"/>
  <c r="I20" i="2"/>
  <c r="I37" i="2"/>
  <c r="I19" i="2"/>
  <c r="I22" i="2"/>
  <c r="B22" i="1"/>
  <c r="I17" i="2"/>
  <c r="I7" i="2"/>
  <c r="E13" i="3"/>
  <c r="E8" i="3"/>
  <c r="C8" i="1"/>
  <c r="B5" i="1" l="1"/>
  <c r="B6" i="1" s="1"/>
  <c r="D13" i="2"/>
  <c r="D14" i="2" s="1"/>
  <c r="D51" i="2" s="1"/>
  <c r="D53" i="2" s="1"/>
  <c r="F51" i="2"/>
  <c r="F53" i="2"/>
  <c r="F54" i="2" s="1"/>
  <c r="F55" i="2" s="1"/>
  <c r="E14" i="3"/>
  <c r="G49" i="2" s="1"/>
  <c r="B17" i="1"/>
  <c r="B27" i="1" s="1"/>
  <c r="I50" i="2"/>
  <c r="I25" i="2"/>
  <c r="I13" i="2" l="1"/>
  <c r="G50" i="2"/>
  <c r="H49" i="2"/>
  <c r="D54" i="2"/>
  <c r="D55" i="2" s="1"/>
  <c r="H50" i="2" l="1"/>
  <c r="G51" i="2"/>
  <c r="C5" i="1"/>
  <c r="D5" i="1" s="1"/>
  <c r="I14" i="2"/>
  <c r="B16" i="1"/>
  <c r="C6" i="1" l="1"/>
  <c r="D6" i="1" s="1"/>
  <c r="H51" i="2"/>
  <c r="G55" i="2"/>
  <c r="B26" i="1" s="1"/>
  <c r="C9" i="1"/>
  <c r="B23" i="1"/>
  <c r="H53" i="2"/>
  <c r="H54" i="2" s="1"/>
  <c r="I51" i="2"/>
  <c r="H55" i="2" l="1"/>
  <c r="C10" i="1"/>
  <c r="I53" i="2"/>
  <c r="I55" i="2" l="1"/>
  <c r="I54" i="2"/>
  <c r="B24" i="1"/>
  <c r="B7" i="1"/>
  <c r="B28" i="1" l="1"/>
  <c r="B25" i="1"/>
  <c r="B9" i="1"/>
  <c r="D9" i="1" s="1"/>
  <c r="D7" i="1"/>
  <c r="B8" i="1"/>
  <c r="D8" i="1" s="1"/>
  <c r="B10" i="1" l="1"/>
  <c r="D10" i="1" s="1"/>
</calcChain>
</file>

<file path=xl/sharedStrings.xml><?xml version="1.0" encoding="utf-8"?>
<sst xmlns="http://schemas.openxmlformats.org/spreadsheetml/2006/main" count="143" uniqueCount="126">
  <si>
    <t xml:space="preserve">Partners of the Americas </t>
  </si>
  <si>
    <t>FY 2022 Traditional Public-Private Partnership Program (Education and Culture Program)</t>
  </si>
  <si>
    <t>CFDA 19.415 / Funding Opportunity #SFOP0008415</t>
  </si>
  <si>
    <t>Budget Summary</t>
  </si>
  <si>
    <t>Educational and Cultural Affairs</t>
  </si>
  <si>
    <t>Cost Sharing</t>
  </si>
  <si>
    <t>Total</t>
  </si>
  <si>
    <t>Program Costs</t>
  </si>
  <si>
    <t>Program costs per participant</t>
  </si>
  <si>
    <t>Administrative Costs</t>
  </si>
  <si>
    <t>Administrative costs per participant</t>
  </si>
  <si>
    <t>Total Costs</t>
  </si>
  <si>
    <t>Total costs per participant
Number of Participants: 30</t>
  </si>
  <si>
    <t>Budget Categories</t>
  </si>
  <si>
    <t>Amount</t>
  </si>
  <si>
    <t>1. Personnel*</t>
  </si>
  <si>
    <t>2. Fringe Benefits*</t>
  </si>
  <si>
    <t>3. Travel</t>
  </si>
  <si>
    <t>4. Equipment</t>
  </si>
  <si>
    <t>5. Supplies*</t>
  </si>
  <si>
    <t>6. Contractual</t>
  </si>
  <si>
    <t>7. Construction</t>
  </si>
  <si>
    <t>8. Other Direct Costs</t>
  </si>
  <si>
    <t>9. Total Direct Costs (lines 1-8)</t>
  </si>
  <si>
    <t>10. Indirect Costs*</t>
  </si>
  <si>
    <t>11. Total Costs (lines 9-10)</t>
  </si>
  <si>
    <t>12. Cost-Sharing</t>
  </si>
  <si>
    <t>Program Costs Total</t>
  </si>
  <si>
    <t>Administrative Costs Total</t>
  </si>
  <si>
    <t>*Administrative Costs</t>
  </si>
  <si>
    <t>Partners of the Americas</t>
  </si>
  <si>
    <t>Program/Dept.:</t>
  </si>
  <si>
    <t>Funder-Grant:</t>
  </si>
  <si>
    <t>DOS286</t>
  </si>
  <si>
    <t>March 1, 2022 - September 30, 2023</t>
  </si>
  <si>
    <t>Budget (Activity) Code</t>
  </si>
  <si>
    <t>Account Code</t>
  </si>
  <si>
    <t>Budget Category</t>
  </si>
  <si>
    <t>Approved FY 2021 ECA Funding Level</t>
  </si>
  <si>
    <t>FY 2021 Actual Budget</t>
  </si>
  <si>
    <t>FY 2022 ECA Funds Request</t>
  </si>
  <si>
    <t>FY 2022 Cost Sharing</t>
  </si>
  <si>
    <t>FY 2022 Total Budget</t>
  </si>
  <si>
    <t>% Change</t>
  </si>
  <si>
    <t>I. Salaries*</t>
  </si>
  <si>
    <t>PERSNL</t>
  </si>
  <si>
    <t>50000 (Timesheets)</t>
  </si>
  <si>
    <t>1. Program Director - $12,938/Month 
March 2022 - Sept. 2022 at 10% LOE
Oct. 2022 - Sept. 2023 at 5% LOE</t>
  </si>
  <si>
    <t>2. Senior Program Officer - $6,416/Month 
March 2022 - June 2022 at 10% LOE
July 2022 - April 2023 at 50% LOE
May 2023 - Sept. 2023 at 20% LOE</t>
  </si>
  <si>
    <t>3. Program Assistant - $4,583/Month 
March 2022 - May 2022 at 25% LOE
June 2022 - Sept. 2023 at 50% LOE</t>
  </si>
  <si>
    <t>4. Program Support</t>
  </si>
  <si>
    <t>Total Salaries</t>
  </si>
  <si>
    <t>II. Fringe Benefits*</t>
  </si>
  <si>
    <t>FRINGE</t>
  </si>
  <si>
    <t>50900 (Timesheets)</t>
  </si>
  <si>
    <t>Total Fringe Benefits</t>
  </si>
  <si>
    <t>III. Travel</t>
  </si>
  <si>
    <t>1. Staff Travel</t>
  </si>
  <si>
    <t>STFTRAVEL</t>
  </si>
  <si>
    <t>a. Domestic Round Trip Airfare ($600 x 1 trip)</t>
  </si>
  <si>
    <t>STFCN DIEM</t>
  </si>
  <si>
    <t>86030 (Lodging) &amp; 86050 (M&amp;IE)</t>
  </si>
  <si>
    <t>b. Domestic Lodging &amp; Per Diem ($180 x 5 days x 1 trip)</t>
  </si>
  <si>
    <t>c. International Round Trip Airfare ($1,400 x 1 trip)</t>
  </si>
  <si>
    <t>d. International Lodging &amp; Per Diem ($225 x 7 days x 1 trip)</t>
  </si>
  <si>
    <t>2. Participant Travel</t>
  </si>
  <si>
    <t>PARTTRAVEL</t>
  </si>
  <si>
    <t>a. Round Trip Airfare ($1,800 x 30 trips)</t>
  </si>
  <si>
    <t>PARTPERDIE</t>
  </si>
  <si>
    <t>b. International/Domestic Per Diem ($50/day x 10 days x 30 trips)</t>
  </si>
  <si>
    <t>c. Visa Fees ($180 x 2 participants)</t>
  </si>
  <si>
    <t>Total Travel</t>
  </si>
  <si>
    <t>IV. Equipment</t>
  </si>
  <si>
    <t>V. Supplies*</t>
  </si>
  <si>
    <t>VI. Contractual</t>
  </si>
  <si>
    <t>GRANTS</t>
  </si>
  <si>
    <t>a. Large Subawards (2 subawards x $16,500)</t>
  </si>
  <si>
    <t>b. Small Subawards (3 subawards x $3,000)</t>
  </si>
  <si>
    <t>Total Contractual</t>
  </si>
  <si>
    <t>VII. Construction</t>
  </si>
  <si>
    <t>VIII. Other Direct Costs</t>
  </si>
  <si>
    <t>1. Honoraria</t>
  </si>
  <si>
    <t>CONSULT</t>
  </si>
  <si>
    <t>a. Logistics Consultant ($325/day x 96 days) (5 Days/Month)</t>
  </si>
  <si>
    <t xml:space="preserve">2. Allowances </t>
  </si>
  <si>
    <t>TEACHERAST</t>
  </si>
  <si>
    <t>a. Teacher Allowance ($400 x 2 trips)</t>
  </si>
  <si>
    <t xml:space="preserve">3. Fees </t>
  </si>
  <si>
    <t>MONEVAL</t>
  </si>
  <si>
    <t>a. Monitoring and Evaluation ($255 x 20 days)</t>
  </si>
  <si>
    <t>4. Events</t>
  </si>
  <si>
    <t>EVENT</t>
  </si>
  <si>
    <t>a. Event Costs - What Works Peer Learning Event</t>
  </si>
  <si>
    <t>5. Communications</t>
  </si>
  <si>
    <t>COMM</t>
  </si>
  <si>
    <t>82030 (Comm Costs) &amp; 81000 (Consultant</t>
  </si>
  <si>
    <t>a. Consultant for Promotion &amp; Program Communications ($150/month x 19 months)</t>
  </si>
  <si>
    <t>SUBSCRIPT</t>
  </si>
  <si>
    <t>b. Platform Subscriptions ($50/month x 19 months)</t>
  </si>
  <si>
    <t>c. Online Platform for E-Trainings and Subaward Management ($125/month x 19 months)</t>
  </si>
  <si>
    <t xml:space="preserve">6. Materials </t>
  </si>
  <si>
    <t>TRANS</t>
  </si>
  <si>
    <t>a. Translation</t>
  </si>
  <si>
    <t>7. Volunteer Time</t>
  </si>
  <si>
    <t>Partners</t>
  </si>
  <si>
    <t>Counts</t>
  </si>
  <si>
    <t xml:space="preserve">a.  U.S. and LAC Volunteer Time </t>
  </si>
  <si>
    <t>Total Other Direct Costs</t>
  </si>
  <si>
    <t>Total Direct Costs</t>
  </si>
  <si>
    <t>IX. Indirect Costs*</t>
  </si>
  <si>
    <t>IDC</t>
  </si>
  <si>
    <t>Total Indirect Costs</t>
  </si>
  <si>
    <t>TOTAL COSTS</t>
  </si>
  <si>
    <t>U.S. and LAC Volunteer Time</t>
  </si>
  <si>
    <t xml:space="preserve">Item </t>
  </si>
  <si>
    <t># Vol-days</t>
  </si>
  <si>
    <t>Daily Rate</t>
  </si>
  <si>
    <t>Travel/project grants</t>
  </si>
  <si>
    <t>Total Cost Share</t>
  </si>
  <si>
    <t>Non-US Volunteers</t>
  </si>
  <si>
    <t xml:space="preserve">  Participant selection/planning and preparation</t>
  </si>
  <si>
    <t xml:space="preserve">  Orientation</t>
  </si>
  <si>
    <t xml:space="preserve">  Follow-on engagement</t>
  </si>
  <si>
    <t>Sub total</t>
  </si>
  <si>
    <t>U.S. Volunteers</t>
  </si>
  <si>
    <t>Total volunteer time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</si>
</sst>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#,##0.00%"/>
    <numFmt numFmtId="166" formatCode="&quot;$&quot;#,##0.00"/>
    <numFmt numFmtId="167" formatCode="_(* #,##0_);_(* \(#,##0\);_(* &quot;-&quot;??_);_(@_)"/>
    <numFmt numFmtId="168" formatCode="_(&quot;$&quot;* #,##0_);_(&quot;$&quot;* \(#,##0\);_(&quot;$&quot;* &quot;-&quot;??_);_(@_)"/>
    <numFmt numFmtId="169" formatCode="0.0%"/>
  </numFmts>
  <fonts count="26">
    <font>
      <sz val="12"/>
      <color indexed="8"/>
      <name val="Verdana"/>
    </font>
    <font>
      <sz val="11"/>
      <color indexed="8"/>
      <name val="Calibri"/>
      <family val="2"/>
    </font>
    <font>
      <sz val="12"/>
      <color indexed="8"/>
      <name val="Verdana"/>
      <family val="2"/>
    </font>
    <font>
      <sz val="10"/>
      <color indexed="8"/>
      <name val="Helvetica"/>
      <family val="2"/>
    </font>
    <font>
      <sz val="11"/>
      <color rgb="FFFF0000"/>
      <name val="Calibri"/>
      <family val="2"/>
    </font>
    <font>
      <sz val="10"/>
      <color indexed="8"/>
      <name val="Helvetica"/>
      <family val="2"/>
      <scheme val="major"/>
    </font>
    <font>
      <b/>
      <sz val="10"/>
      <color indexed="8"/>
      <name val="Helvetica"/>
      <family val="2"/>
      <scheme val="major"/>
    </font>
    <font>
      <sz val="10"/>
      <color indexed="8"/>
      <name val="Helvetica"/>
      <family val="2"/>
      <scheme val="minor"/>
    </font>
    <font>
      <sz val="11"/>
      <color indexed="8"/>
      <name val="Helvetica"/>
      <family val="2"/>
      <scheme val="minor"/>
    </font>
    <font>
      <b/>
      <sz val="10"/>
      <color indexed="8"/>
      <name val="Helvetica"/>
      <family val="2"/>
      <scheme val="minor"/>
    </font>
    <font>
      <b/>
      <i/>
      <sz val="10"/>
      <color indexed="8"/>
      <name val="Helvetica"/>
      <family val="2"/>
      <scheme val="major"/>
    </font>
    <font>
      <i/>
      <sz val="10"/>
      <color indexed="8"/>
      <name val="Helvetica"/>
      <family val="2"/>
      <scheme val="minor"/>
    </font>
    <font>
      <sz val="10"/>
      <name val="Helvetica"/>
      <family val="2"/>
      <scheme val="minor"/>
    </font>
    <font>
      <b/>
      <sz val="10"/>
      <color rgb="FFFF0000"/>
      <name val="Helvetica"/>
      <family val="2"/>
      <scheme val="minor"/>
    </font>
    <font>
      <b/>
      <sz val="10"/>
      <name val="Helvetica"/>
      <family val="2"/>
      <scheme val="minor"/>
    </font>
    <font>
      <b/>
      <sz val="10"/>
      <color indexed="8"/>
      <name val="Helvetica"/>
      <scheme val="major"/>
    </font>
    <font>
      <sz val="11"/>
      <color indexed="8"/>
      <name val="Helvetica"/>
      <scheme val="major"/>
    </font>
    <font>
      <b/>
      <sz val="10"/>
      <name val="Helvetica"/>
      <scheme val="major"/>
    </font>
    <font>
      <u/>
      <sz val="11"/>
      <color indexed="8"/>
      <name val="Helvetica"/>
      <scheme val="major"/>
    </font>
    <font>
      <sz val="10"/>
      <color indexed="8"/>
      <name val="Helvetica"/>
      <scheme val="major"/>
    </font>
    <font>
      <b/>
      <i/>
      <sz val="11"/>
      <name val="Helvetica"/>
      <scheme val="major"/>
    </font>
    <font>
      <b/>
      <sz val="11"/>
      <color indexed="8"/>
      <name val="Helvetica"/>
      <scheme val="major"/>
    </font>
    <font>
      <b/>
      <sz val="10"/>
      <color indexed="8"/>
      <name val="Helvetica"/>
      <scheme val="minor"/>
    </font>
    <font>
      <sz val="10"/>
      <color indexed="8"/>
      <name val="Helvetica"/>
      <scheme val="minor"/>
    </font>
    <font>
      <b/>
      <sz val="11"/>
      <name val="Arial"/>
      <family val="2"/>
    </font>
    <font>
      <sz val="8"/>
      <name val="Verdana"/>
    </font>
  </fonts>
  <fills count="8">
    <fill>
      <patternFill patternType="none"/>
    </fill>
    <fill>
      <patternFill patternType="gray125"/>
    </fill>
    <fill>
      <patternFill patternType="solid">
        <fgColor theme="2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64"/>
      </right>
      <top style="medium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64"/>
      </right>
      <top style="medium">
        <color indexed="64"/>
      </top>
      <bottom style="medium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8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9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</borders>
  <cellStyleXfs count="5">
    <xf numFmtId="0" fontId="0" fillId="0" borderId="0" applyNumberFormat="0" applyFill="0" applyBorder="0" applyProtection="0">
      <alignment vertical="top" wrapText="1"/>
    </xf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 applyNumberFormat="0" applyFill="0" applyBorder="0" applyProtection="0">
      <alignment vertical="top" wrapText="1"/>
    </xf>
    <xf numFmtId="9" fontId="2" fillId="0" borderId="0" applyFont="0" applyFill="0" applyBorder="0" applyAlignment="0" applyProtection="0"/>
  </cellStyleXfs>
  <cellXfs count="192">
    <xf numFmtId="0" fontId="0" fillId="0" borderId="0" xfId="0">
      <alignment vertical="top" wrapText="1"/>
    </xf>
    <xf numFmtId="0" fontId="1" fillId="0" borderId="0" xfId="0" applyNumberFormat="1" applyFont="1" applyAlignment="1"/>
    <xf numFmtId="0" fontId="1" fillId="0" borderId="0" xfId="0" applyFont="1" applyBorder="1" applyAlignment="1"/>
    <xf numFmtId="168" fontId="1" fillId="0" borderId="0" xfId="0" applyNumberFormat="1" applyFont="1" applyAlignment="1"/>
    <xf numFmtId="164" fontId="4" fillId="0" borderId="0" xfId="0" applyNumberFormat="1" applyFont="1" applyBorder="1" applyAlignment="1"/>
    <xf numFmtId="1" fontId="5" fillId="0" borderId="1" xfId="0" applyNumberFormat="1" applyFont="1" applyBorder="1" applyAlignment="1">
      <alignment horizontal="center"/>
    </xf>
    <xf numFmtId="0" fontId="5" fillId="0" borderId="1" xfId="0" applyNumberFormat="1" applyFont="1" applyBorder="1" applyAlignment="1"/>
    <xf numFmtId="0" fontId="6" fillId="0" borderId="2" xfId="0" applyNumberFormat="1" applyFont="1" applyBorder="1" applyAlignment="1"/>
    <xf numFmtId="0" fontId="9" fillId="0" borderId="4" xfId="0" applyNumberFormat="1" applyFont="1" applyBorder="1" applyAlignment="1">
      <alignment vertical="top"/>
    </xf>
    <xf numFmtId="3" fontId="7" fillId="0" borderId="5" xfId="0" applyNumberFormat="1" applyFont="1" applyBorder="1" applyAlignment="1">
      <alignment vertical="center"/>
    </xf>
    <xf numFmtId="3" fontId="7" fillId="0" borderId="6" xfId="0" applyNumberFormat="1" applyFont="1" applyBorder="1" applyAlignment="1">
      <alignment vertical="center"/>
    </xf>
    <xf numFmtId="1" fontId="8" fillId="0" borderId="7" xfId="0" applyNumberFormat="1" applyFont="1" applyBorder="1" applyAlignment="1">
      <alignment vertical="center"/>
    </xf>
    <xf numFmtId="168" fontId="7" fillId="0" borderId="8" xfId="2" applyNumberFormat="1" applyFont="1" applyBorder="1" applyAlignment="1">
      <alignment vertical="center"/>
    </xf>
    <xf numFmtId="9" fontId="7" fillId="0" borderId="9" xfId="0" applyNumberFormat="1" applyFont="1" applyBorder="1" applyAlignment="1">
      <alignment vertical="center"/>
    </xf>
    <xf numFmtId="168" fontId="7" fillId="0" borderId="10" xfId="2" applyNumberFormat="1" applyFont="1" applyBorder="1" applyAlignment="1">
      <alignment vertical="center"/>
    </xf>
    <xf numFmtId="0" fontId="9" fillId="0" borderId="11" xfId="0" applyNumberFormat="1" applyFont="1" applyBorder="1" applyAlignment="1">
      <alignment vertical="top"/>
    </xf>
    <xf numFmtId="168" fontId="9" fillId="0" borderId="12" xfId="2" applyNumberFormat="1" applyFont="1" applyBorder="1" applyAlignment="1">
      <alignment vertical="center"/>
    </xf>
    <xf numFmtId="164" fontId="7" fillId="0" borderId="5" xfId="0" applyNumberFormat="1" applyFont="1" applyBorder="1" applyAlignment="1">
      <alignment vertical="center"/>
    </xf>
    <xf numFmtId="164" fontId="7" fillId="0" borderId="6" xfId="0" applyNumberFormat="1" applyFont="1" applyBorder="1" applyAlignment="1">
      <alignment vertical="center"/>
    </xf>
    <xf numFmtId="9" fontId="7" fillId="0" borderId="7" xfId="0" applyNumberFormat="1" applyFont="1" applyBorder="1" applyAlignment="1">
      <alignment vertical="center"/>
    </xf>
    <xf numFmtId="164" fontId="7" fillId="0" borderId="10" xfId="0" applyNumberFormat="1" applyFont="1" applyBorder="1" applyAlignment="1">
      <alignment vertical="center"/>
    </xf>
    <xf numFmtId="164" fontId="7" fillId="0" borderId="8" xfId="0" applyNumberFormat="1" applyFont="1" applyBorder="1" applyAlignment="1">
      <alignment vertical="center"/>
    </xf>
    <xf numFmtId="168" fontId="7" fillId="0" borderId="8" xfId="2" applyNumberFormat="1" applyFont="1" applyFill="1" applyBorder="1" applyAlignment="1">
      <alignment vertical="center"/>
    </xf>
    <xf numFmtId="168" fontId="7" fillId="0" borderId="15" xfId="2" applyNumberFormat="1" applyFont="1" applyFill="1" applyBorder="1" applyAlignment="1">
      <alignment vertical="center"/>
    </xf>
    <xf numFmtId="168" fontId="9" fillId="0" borderId="16" xfId="2" applyNumberFormat="1" applyFont="1" applyBorder="1" applyAlignment="1">
      <alignment vertical="center"/>
    </xf>
    <xf numFmtId="0" fontId="9" fillId="0" borderId="18" xfId="0" applyNumberFormat="1" applyFont="1" applyBorder="1" applyAlignment="1">
      <alignment vertical="top"/>
    </xf>
    <xf numFmtId="0" fontId="9" fillId="0" borderId="19" xfId="0" applyNumberFormat="1" applyFont="1" applyBorder="1" applyAlignment="1">
      <alignment vertical="top"/>
    </xf>
    <xf numFmtId="0" fontId="9" fillId="0" borderId="20" xfId="0" applyNumberFormat="1" applyFont="1" applyBorder="1" applyAlignment="1">
      <alignment vertical="top"/>
    </xf>
    <xf numFmtId="168" fontId="7" fillId="0" borderId="8" xfId="2" applyNumberFormat="1" applyFont="1" applyBorder="1" applyAlignment="1"/>
    <xf numFmtId="168" fontId="7" fillId="0" borderId="8" xfId="2" applyNumberFormat="1" applyFont="1" applyFill="1" applyBorder="1" applyAlignment="1"/>
    <xf numFmtId="168" fontId="9" fillId="0" borderId="13" xfId="2" applyNumberFormat="1" applyFont="1" applyBorder="1" applyAlignment="1"/>
    <xf numFmtId="0" fontId="9" fillId="0" borderId="21" xfId="0" applyNumberFormat="1" applyFont="1" applyBorder="1" applyAlignment="1">
      <alignment vertical="top"/>
    </xf>
    <xf numFmtId="168" fontId="7" fillId="0" borderId="22" xfId="2" applyNumberFormat="1" applyFont="1" applyFill="1" applyBorder="1" applyAlignment="1">
      <alignment vertical="center"/>
    </xf>
    <xf numFmtId="168" fontId="9" fillId="0" borderId="23" xfId="2" applyNumberFormat="1" applyFont="1" applyFill="1" applyBorder="1" applyAlignment="1">
      <alignment vertical="center"/>
    </xf>
    <xf numFmtId="43" fontId="5" fillId="0" borderId="8" xfId="1" applyFont="1" applyBorder="1" applyAlignment="1">
      <alignment horizontal="center"/>
    </xf>
    <xf numFmtId="44" fontId="5" fillId="0" borderId="8" xfId="2" applyFont="1" applyBorder="1" applyAlignment="1"/>
    <xf numFmtId="44" fontId="5" fillId="0" borderId="8" xfId="2" applyFont="1" applyBorder="1" applyAlignment="1">
      <alignment horizontal="center"/>
    </xf>
    <xf numFmtId="167" fontId="5" fillId="0" borderId="8" xfId="1" applyNumberFormat="1" applyFont="1" applyBorder="1" applyAlignment="1">
      <alignment horizontal="center"/>
    </xf>
    <xf numFmtId="167" fontId="5" fillId="0" borderId="8" xfId="2" applyNumberFormat="1" applyFont="1" applyBorder="1" applyAlignment="1">
      <alignment horizontal="center"/>
    </xf>
    <xf numFmtId="167" fontId="6" fillId="0" borderId="24" xfId="1" applyNumberFormat="1" applyFont="1" applyBorder="1" applyAlignment="1">
      <alignment horizontal="center"/>
    </xf>
    <xf numFmtId="0" fontId="7" fillId="0" borderId="25" xfId="0" applyNumberFormat="1" applyFont="1" applyFill="1" applyBorder="1" applyAlignment="1">
      <alignment vertical="top"/>
    </xf>
    <xf numFmtId="9" fontId="7" fillId="0" borderId="9" xfId="0" applyNumberFormat="1" applyFont="1" applyFill="1" applyBorder="1" applyAlignment="1">
      <alignment vertical="center"/>
    </xf>
    <xf numFmtId="0" fontId="6" fillId="2" borderId="1" xfId="0" applyNumberFormat="1" applyFont="1" applyFill="1" applyBorder="1" applyAlignment="1">
      <alignment horizontal="center"/>
    </xf>
    <xf numFmtId="0" fontId="6" fillId="2" borderId="8" xfId="0" applyNumberFormat="1" applyFont="1" applyFill="1" applyBorder="1" applyAlignment="1"/>
    <xf numFmtId="0" fontId="6" fillId="2" borderId="8" xfId="0" applyNumberFormat="1" applyFont="1" applyFill="1" applyBorder="1" applyAlignment="1">
      <alignment horizontal="right"/>
    </xf>
    <xf numFmtId="0" fontId="6" fillId="2" borderId="8" xfId="0" applyNumberFormat="1" applyFont="1" applyFill="1" applyBorder="1" applyAlignment="1">
      <alignment horizontal="center" wrapText="1"/>
    </xf>
    <xf numFmtId="0" fontId="6" fillId="2" borderId="9" xfId="0" applyNumberFormat="1" applyFont="1" applyFill="1" applyBorder="1" applyAlignment="1">
      <alignment horizontal="center" wrapText="1"/>
    </xf>
    <xf numFmtId="0" fontId="6" fillId="3" borderId="1" xfId="0" applyNumberFormat="1" applyFont="1" applyFill="1" applyBorder="1" applyAlignment="1"/>
    <xf numFmtId="167" fontId="6" fillId="3" borderId="8" xfId="1" applyNumberFormat="1" applyFont="1" applyFill="1" applyBorder="1" applyAlignment="1">
      <alignment horizontal="center"/>
    </xf>
    <xf numFmtId="44" fontId="6" fillId="3" borderId="8" xfId="2" applyFont="1" applyFill="1" applyBorder="1" applyAlignment="1">
      <alignment horizontal="center"/>
    </xf>
    <xf numFmtId="0" fontId="6" fillId="3" borderId="26" xfId="0" applyNumberFormat="1" applyFont="1" applyFill="1" applyBorder="1" applyAlignment="1"/>
    <xf numFmtId="167" fontId="6" fillId="3" borderId="27" xfId="1" applyNumberFormat="1" applyFont="1" applyFill="1" applyBorder="1" applyAlignment="1">
      <alignment horizontal="center"/>
    </xf>
    <xf numFmtId="43" fontId="6" fillId="3" borderId="27" xfId="1" applyFont="1" applyFill="1" applyBorder="1" applyAlignment="1">
      <alignment horizontal="center"/>
    </xf>
    <xf numFmtId="0" fontId="10" fillId="0" borderId="1" xfId="0" applyNumberFormat="1" applyFont="1" applyBorder="1" applyAlignment="1"/>
    <xf numFmtId="168" fontId="7" fillId="0" borderId="28" xfId="2" applyNumberFormat="1" applyFont="1" applyFill="1" applyBorder="1" applyAlignment="1">
      <alignment vertical="center"/>
    </xf>
    <xf numFmtId="0" fontId="9" fillId="0" borderId="11" xfId="0" applyNumberFormat="1" applyFont="1" applyFill="1" applyBorder="1" applyAlignment="1">
      <alignment vertical="top"/>
    </xf>
    <xf numFmtId="0" fontId="11" fillId="0" borderId="25" xfId="0" applyNumberFormat="1" applyFont="1" applyFill="1" applyBorder="1" applyAlignment="1">
      <alignment vertical="top"/>
    </xf>
    <xf numFmtId="168" fontId="5" fillId="0" borderId="9" xfId="2" applyNumberFormat="1" applyFont="1" applyBorder="1" applyAlignment="1"/>
    <xf numFmtId="168" fontId="5" fillId="0" borderId="9" xfId="1" applyNumberFormat="1" applyFont="1" applyBorder="1" applyAlignment="1">
      <alignment horizontal="center"/>
    </xf>
    <xf numFmtId="168" fontId="6" fillId="3" borderId="9" xfId="2" applyNumberFormat="1" applyFont="1" applyFill="1" applyBorder="1" applyAlignment="1">
      <alignment horizontal="center"/>
    </xf>
    <xf numFmtId="168" fontId="5" fillId="0" borderId="9" xfId="2" applyNumberFormat="1" applyFont="1" applyBorder="1" applyAlignment="1">
      <alignment horizontal="center"/>
    </xf>
    <xf numFmtId="168" fontId="6" fillId="3" borderId="30" xfId="2" applyNumberFormat="1" applyFont="1" applyFill="1" applyBorder="1" applyAlignment="1">
      <alignment horizontal="center"/>
    </xf>
    <xf numFmtId="168" fontId="6" fillId="0" borderId="17" xfId="2" applyNumberFormat="1" applyFont="1" applyBorder="1" applyAlignment="1">
      <alignment horizontal="center"/>
    </xf>
    <xf numFmtId="164" fontId="7" fillId="4" borderId="31" xfId="0" applyNumberFormat="1" applyFont="1" applyFill="1" applyBorder="1" applyAlignment="1">
      <alignment vertical="center"/>
    </xf>
    <xf numFmtId="164" fontId="7" fillId="4" borderId="32" xfId="0" applyNumberFormat="1" applyFont="1" applyFill="1" applyBorder="1" applyAlignment="1">
      <alignment vertical="center"/>
    </xf>
    <xf numFmtId="164" fontId="7" fillId="4" borderId="22" xfId="0" applyNumberFormat="1" applyFont="1" applyFill="1" applyBorder="1" applyAlignment="1">
      <alignment vertical="center"/>
    </xf>
    <xf numFmtId="164" fontId="7" fillId="4" borderId="33" xfId="0" applyNumberFormat="1" applyFont="1" applyFill="1" applyBorder="1" applyAlignment="1">
      <alignment vertical="center"/>
    </xf>
    <xf numFmtId="168" fontId="7" fillId="0" borderId="34" xfId="2" applyNumberFormat="1" applyFont="1" applyBorder="1" applyAlignment="1">
      <alignment vertical="center"/>
    </xf>
    <xf numFmtId="42" fontId="12" fillId="0" borderId="10" xfId="2" applyNumberFormat="1" applyFont="1" applyFill="1" applyBorder="1" applyAlignment="1">
      <alignment vertical="center"/>
    </xf>
    <xf numFmtId="44" fontId="1" fillId="0" borderId="0" xfId="0" applyNumberFormat="1" applyFont="1" applyAlignment="1"/>
    <xf numFmtId="0" fontId="11" fillId="0" borderId="35" xfId="0" applyNumberFormat="1" applyFont="1" applyFill="1" applyBorder="1" applyAlignment="1">
      <alignment vertical="top"/>
    </xf>
    <xf numFmtId="164" fontId="7" fillId="4" borderId="36" xfId="0" applyNumberFormat="1" applyFont="1" applyFill="1" applyBorder="1" applyAlignment="1">
      <alignment vertical="center"/>
    </xf>
    <xf numFmtId="164" fontId="7" fillId="4" borderId="37" xfId="0" applyNumberFormat="1" applyFont="1" applyFill="1" applyBorder="1" applyAlignment="1">
      <alignment vertical="center"/>
    </xf>
    <xf numFmtId="168" fontId="7" fillId="0" borderId="38" xfId="2" applyNumberFormat="1" applyFont="1" applyBorder="1" applyAlignment="1">
      <alignment vertical="top"/>
    </xf>
    <xf numFmtId="9" fontId="7" fillId="0" borderId="7" xfId="0" applyNumberFormat="1" applyFont="1" applyBorder="1" applyAlignment="1"/>
    <xf numFmtId="164" fontId="7" fillId="0" borderId="22" xfId="0" applyNumberFormat="1" applyFont="1" applyFill="1" applyBorder="1" applyAlignment="1">
      <alignment vertical="center"/>
    </xf>
    <xf numFmtId="164" fontId="7" fillId="0" borderId="40" xfId="0" applyNumberFormat="1" applyFont="1" applyBorder="1" applyAlignment="1">
      <alignment vertical="center"/>
    </xf>
    <xf numFmtId="9" fontId="7" fillId="0" borderId="41" xfId="0" applyNumberFormat="1" applyFont="1" applyBorder="1" applyAlignment="1">
      <alignment vertical="center"/>
    </xf>
    <xf numFmtId="9" fontId="7" fillId="0" borderId="33" xfId="0" applyNumberFormat="1" applyFont="1" applyFill="1" applyBorder="1" applyAlignment="1">
      <alignment vertical="center"/>
    </xf>
    <xf numFmtId="168" fontId="9" fillId="0" borderId="43" xfId="2" applyNumberFormat="1" applyFont="1" applyBorder="1" applyAlignment="1">
      <alignment vertical="center"/>
    </xf>
    <xf numFmtId="168" fontId="7" fillId="0" borderId="10" xfId="2" applyNumberFormat="1" applyFont="1" applyFill="1" applyBorder="1" applyAlignment="1">
      <alignment vertical="center"/>
    </xf>
    <xf numFmtId="165" fontId="7" fillId="0" borderId="25" xfId="0" applyNumberFormat="1" applyFont="1" applyFill="1" applyBorder="1" applyAlignment="1">
      <alignment horizontal="left" vertical="top"/>
    </xf>
    <xf numFmtId="0" fontId="9" fillId="0" borderId="4" xfId="0" applyNumberFormat="1" applyFont="1" applyFill="1" applyBorder="1" applyAlignment="1">
      <alignment vertical="top"/>
    </xf>
    <xf numFmtId="0" fontId="7" fillId="0" borderId="45" xfId="0" applyNumberFormat="1" applyFont="1" applyFill="1" applyBorder="1" applyAlignment="1">
      <alignment vertical="top"/>
    </xf>
    <xf numFmtId="0" fontId="9" fillId="0" borderId="46" xfId="0" applyNumberFormat="1" applyFont="1" applyFill="1" applyBorder="1" applyAlignment="1">
      <alignment vertical="top"/>
    </xf>
    <xf numFmtId="44" fontId="1" fillId="0" borderId="0" xfId="2" applyFont="1" applyAlignment="1"/>
    <xf numFmtId="0" fontId="0" fillId="0" borderId="0" xfId="0" applyNumberFormat="1">
      <alignment vertical="top" wrapText="1"/>
    </xf>
    <xf numFmtId="43" fontId="1" fillId="0" borderId="0" xfId="0" applyNumberFormat="1" applyFont="1" applyAlignment="1"/>
    <xf numFmtId="1" fontId="13" fillId="0" borderId="47" xfId="0" applyNumberFormat="1" applyFont="1" applyFill="1" applyBorder="1" applyAlignment="1">
      <alignment vertical="center"/>
    </xf>
    <xf numFmtId="0" fontId="14" fillId="5" borderId="48" xfId="0" applyNumberFormat="1" applyFont="1" applyFill="1" applyBorder="1" applyAlignment="1">
      <alignment horizontal="center" vertical="center" wrapText="1"/>
    </xf>
    <xf numFmtId="0" fontId="13" fillId="5" borderId="49" xfId="0" applyNumberFormat="1" applyFont="1" applyFill="1" applyBorder="1" applyAlignment="1">
      <alignment horizontal="center" vertical="center" wrapText="1"/>
    </xf>
    <xf numFmtId="0" fontId="14" fillId="5" borderId="50" xfId="0" applyNumberFormat="1" applyFont="1" applyFill="1" applyBorder="1" applyAlignment="1">
      <alignment horizontal="center" vertical="center" wrapText="1"/>
    </xf>
    <xf numFmtId="0" fontId="14" fillId="5" borderId="3" xfId="0" applyNumberFormat="1" applyFont="1" applyFill="1" applyBorder="1" applyAlignment="1">
      <alignment horizontal="center" vertical="center" wrapText="1"/>
    </xf>
    <xf numFmtId="168" fontId="1" fillId="0" borderId="0" xfId="0" applyNumberFormat="1" applyFont="1" applyBorder="1" applyAlignment="1"/>
    <xf numFmtId="0" fontId="3" fillId="0" borderId="25" xfId="0" applyNumberFormat="1" applyFont="1" applyFill="1" applyBorder="1">
      <alignment vertical="top" wrapText="1"/>
    </xf>
    <xf numFmtId="167" fontId="5" fillId="0" borderId="8" xfId="1" applyNumberFormat="1" applyFont="1" applyFill="1" applyBorder="1" applyAlignment="1">
      <alignment horizontal="center"/>
    </xf>
    <xf numFmtId="168" fontId="5" fillId="0" borderId="9" xfId="1" applyNumberFormat="1" applyFont="1" applyFill="1" applyBorder="1" applyAlignment="1">
      <alignment horizontal="center"/>
    </xf>
    <xf numFmtId="0" fontId="1" fillId="0" borderId="0" xfId="0" applyNumberFormat="1" applyFont="1" applyFill="1" applyAlignment="1"/>
    <xf numFmtId="167" fontId="5" fillId="0" borderId="51" xfId="1" applyNumberFormat="1" applyFont="1" applyFill="1" applyBorder="1" applyAlignment="1">
      <alignment horizontal="center"/>
    </xf>
    <xf numFmtId="168" fontId="5" fillId="0" borderId="52" xfId="1" applyNumberFormat="1" applyFont="1" applyFill="1" applyBorder="1" applyAlignment="1">
      <alignment horizontal="center"/>
    </xf>
    <xf numFmtId="168" fontId="7" fillId="0" borderId="53" xfId="2" applyNumberFormat="1" applyFont="1" applyBorder="1" applyAlignment="1">
      <alignment vertical="center"/>
    </xf>
    <xf numFmtId="168" fontId="7" fillId="0" borderId="54" xfId="2" applyNumberFormat="1" applyFont="1" applyBorder="1" applyAlignment="1">
      <alignment vertical="center"/>
    </xf>
    <xf numFmtId="1" fontId="9" fillId="0" borderId="55" xfId="0" applyNumberFormat="1" applyFont="1" applyBorder="1" applyAlignment="1">
      <alignment vertical="center"/>
    </xf>
    <xf numFmtId="0" fontId="16" fillId="0" borderId="0" xfId="0" applyNumberFormat="1" applyFont="1" applyAlignment="1"/>
    <xf numFmtId="0" fontId="17" fillId="5" borderId="39" xfId="0" applyNumberFormat="1" applyFont="1" applyFill="1" applyBorder="1" applyAlignment="1">
      <alignment horizontal="center" vertical="center"/>
    </xf>
    <xf numFmtId="0" fontId="17" fillId="5" borderId="40" xfId="0" applyFont="1" applyFill="1" applyBorder="1" applyAlignment="1">
      <alignment horizontal="center" vertical="center" wrapText="1"/>
    </xf>
    <xf numFmtId="0" fontId="17" fillId="5" borderId="41" xfId="0" applyFont="1" applyFill="1" applyBorder="1" applyAlignment="1">
      <alignment horizontal="center" vertical="center"/>
    </xf>
    <xf numFmtId="0" fontId="16" fillId="0" borderId="0" xfId="0" applyFont="1" applyBorder="1" applyAlignment="1"/>
    <xf numFmtId="0" fontId="18" fillId="0" borderId="0" xfId="0" applyNumberFormat="1" applyFont="1" applyAlignment="1">
      <alignment horizontal="center"/>
    </xf>
    <xf numFmtId="0" fontId="15" fillId="0" borderId="60" xfId="0" applyNumberFormat="1" applyFont="1" applyBorder="1" applyAlignment="1"/>
    <xf numFmtId="164" fontId="15" fillId="0" borderId="38" xfId="0" applyNumberFormat="1" applyFont="1" applyBorder="1" applyAlignment="1">
      <alignment horizontal="right"/>
    </xf>
    <xf numFmtId="164" fontId="15" fillId="0" borderId="61" xfId="0" applyNumberFormat="1" applyFont="1" applyBorder="1" applyAlignment="1">
      <alignment horizontal="right"/>
    </xf>
    <xf numFmtId="164" fontId="15" fillId="0" borderId="33" xfId="0" applyNumberFormat="1" applyFont="1" applyBorder="1" applyAlignment="1">
      <alignment horizontal="right"/>
    </xf>
    <xf numFmtId="0" fontId="16" fillId="0" borderId="0" xfId="0" applyFont="1" applyBorder="1" applyAlignment="1">
      <alignment horizontal="right"/>
    </xf>
    <xf numFmtId="169" fontId="16" fillId="0" borderId="0" xfId="4" applyNumberFormat="1" applyFont="1" applyAlignment="1"/>
    <xf numFmtId="0" fontId="19" fillId="0" borderId="1" xfId="0" applyNumberFormat="1" applyFont="1" applyBorder="1" applyAlignment="1"/>
    <xf numFmtId="164" fontId="19" fillId="0" borderId="8" xfId="0" applyNumberFormat="1" applyFont="1" applyBorder="1" applyAlignment="1">
      <alignment horizontal="right"/>
    </xf>
    <xf numFmtId="166" fontId="19" fillId="0" borderId="61" xfId="0" applyNumberFormat="1" applyFont="1" applyBorder="1" applyAlignment="1">
      <alignment horizontal="right"/>
    </xf>
    <xf numFmtId="164" fontId="19" fillId="0" borderId="33" xfId="0" applyNumberFormat="1" applyFont="1" applyBorder="1" applyAlignment="1">
      <alignment horizontal="right"/>
    </xf>
    <xf numFmtId="0" fontId="15" fillId="0" borderId="1" xfId="0" applyNumberFormat="1" applyFont="1" applyBorder="1" applyAlignment="1"/>
    <xf numFmtId="164" fontId="15" fillId="0" borderId="8" xfId="0" applyNumberFormat="1" applyFont="1" applyBorder="1" applyAlignment="1">
      <alignment horizontal="right"/>
    </xf>
    <xf numFmtId="169" fontId="16" fillId="0" borderId="0" xfId="4" applyNumberFormat="1" applyFont="1" applyBorder="1" applyAlignment="1"/>
    <xf numFmtId="9" fontId="16" fillId="0" borderId="0" xfId="0" applyNumberFormat="1" applyFont="1" applyAlignment="1"/>
    <xf numFmtId="0" fontId="18" fillId="0" borderId="0" xfId="0" applyNumberFormat="1" applyFont="1" applyAlignment="1">
      <alignment horizontal="right"/>
    </xf>
    <xf numFmtId="167" fontId="16" fillId="0" borderId="0" xfId="1" applyNumberFormat="1" applyFont="1" applyAlignment="1"/>
    <xf numFmtId="164" fontId="16" fillId="0" borderId="0" xfId="0" applyNumberFormat="1" applyFont="1" applyAlignment="1"/>
    <xf numFmtId="0" fontId="20" fillId="6" borderId="39" xfId="0" applyNumberFormat="1" applyFont="1" applyFill="1" applyBorder="1" applyAlignment="1">
      <alignment horizontal="center"/>
    </xf>
    <xf numFmtId="0" fontId="20" fillId="6" borderId="41" xfId="0" applyNumberFormat="1" applyFont="1" applyFill="1" applyBorder="1" applyAlignment="1">
      <alignment horizontal="center"/>
    </xf>
    <xf numFmtId="0" fontId="16" fillId="0" borderId="29" xfId="0" applyNumberFormat="1" applyFont="1" applyBorder="1" applyAlignment="1"/>
    <xf numFmtId="166" fontId="16" fillId="0" borderId="0" xfId="0" applyNumberFormat="1" applyFont="1" applyAlignment="1"/>
    <xf numFmtId="0" fontId="16" fillId="0" borderId="67" xfId="0" applyNumberFormat="1" applyFont="1" applyBorder="1" applyAlignment="1">
      <alignment horizontal="center"/>
    </xf>
    <xf numFmtId="0" fontId="16" fillId="0" borderId="42" xfId="0" applyNumberFormat="1" applyFont="1" applyBorder="1" applyAlignment="1">
      <alignment horizontal="center"/>
    </xf>
    <xf numFmtId="168" fontId="16" fillId="0" borderId="33" xfId="2" applyNumberFormat="1" applyFont="1" applyBorder="1" applyAlignment="1"/>
    <xf numFmtId="168" fontId="16" fillId="7" borderId="33" xfId="2" applyNumberFormat="1" applyFont="1" applyFill="1" applyBorder="1" applyAlignment="1"/>
    <xf numFmtId="168" fontId="16" fillId="0" borderId="44" xfId="2" applyNumberFormat="1" applyFont="1" applyBorder="1" applyAlignment="1"/>
    <xf numFmtId="168" fontId="16" fillId="0" borderId="68" xfId="2" applyNumberFormat="1" applyFont="1" applyBorder="1" applyAlignment="1"/>
    <xf numFmtId="0" fontId="21" fillId="0" borderId="29" xfId="0" applyNumberFormat="1" applyFont="1" applyBorder="1" applyAlignment="1"/>
    <xf numFmtId="168" fontId="21" fillId="0" borderId="33" xfId="2" applyNumberFormat="1" applyFont="1" applyBorder="1" applyAlignment="1"/>
    <xf numFmtId="0" fontId="21" fillId="0" borderId="0" xfId="0" applyNumberFormat="1" applyFont="1" applyAlignment="1"/>
    <xf numFmtId="0" fontId="21" fillId="0" borderId="42" xfId="0" applyNumberFormat="1" applyFont="1" applyBorder="1" applyAlignment="1"/>
    <xf numFmtId="168" fontId="21" fillId="0" borderId="44" xfId="2" applyNumberFormat="1" applyFont="1" applyBorder="1" applyAlignment="1"/>
    <xf numFmtId="0" fontId="14" fillId="5" borderId="69" xfId="0" applyNumberFormat="1" applyFont="1" applyFill="1" applyBorder="1" applyAlignment="1">
      <alignment horizontal="center" vertical="center" wrapText="1"/>
    </xf>
    <xf numFmtId="9" fontId="22" fillId="0" borderId="14" xfId="0" applyNumberFormat="1" applyFont="1" applyFill="1" applyBorder="1" applyAlignment="1">
      <alignment vertical="center"/>
    </xf>
    <xf numFmtId="9" fontId="22" fillId="0" borderId="14" xfId="0" applyNumberFormat="1" applyFont="1" applyBorder="1" applyAlignment="1">
      <alignment vertical="center"/>
    </xf>
    <xf numFmtId="9" fontId="22" fillId="0" borderId="17" xfId="0" applyNumberFormat="1" applyFont="1" applyBorder="1" applyAlignment="1">
      <alignment vertical="center"/>
    </xf>
    <xf numFmtId="9" fontId="22" fillId="0" borderId="44" xfId="0" applyNumberFormat="1" applyFont="1" applyBorder="1" applyAlignment="1">
      <alignment vertical="center"/>
    </xf>
    <xf numFmtId="9" fontId="22" fillId="0" borderId="17" xfId="0" applyNumberFormat="1" applyFont="1" applyBorder="1" applyAlignment="1"/>
    <xf numFmtId="9" fontId="22" fillId="0" borderId="3" xfId="0" applyNumberFormat="1" applyFont="1" applyBorder="1" applyAlignment="1"/>
    <xf numFmtId="168" fontId="16" fillId="0" borderId="33" xfId="2" applyNumberFormat="1" applyFont="1" applyFill="1" applyBorder="1" applyAlignment="1"/>
    <xf numFmtId="0" fontId="23" fillId="0" borderId="35" xfId="0" applyNumberFormat="1" applyFont="1" applyFill="1" applyBorder="1" applyAlignment="1">
      <alignment vertical="top"/>
    </xf>
    <xf numFmtId="168" fontId="7" fillId="0" borderId="53" xfId="2" applyNumberFormat="1" applyFont="1" applyFill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165" fontId="7" fillId="0" borderId="25" xfId="0" applyNumberFormat="1" applyFont="1" applyFill="1" applyBorder="1" applyAlignment="1">
      <alignment horizontal="left" vertical="center"/>
    </xf>
    <xf numFmtId="0" fontId="7" fillId="0" borderId="35" xfId="0" applyNumberFormat="1" applyFont="1" applyFill="1" applyBorder="1" applyAlignment="1">
      <alignment horizontal="left" vertical="center"/>
    </xf>
    <xf numFmtId="0" fontId="7" fillId="0" borderId="35" xfId="0" applyNumberFormat="1" applyFont="1" applyFill="1" applyBorder="1" applyAlignment="1">
      <alignment horizontal="left" vertical="top"/>
    </xf>
    <xf numFmtId="0" fontId="7" fillId="0" borderId="25" xfId="0" applyNumberFormat="1" applyFont="1" applyFill="1" applyBorder="1" applyAlignment="1">
      <alignment horizontal="left" vertical="center"/>
    </xf>
    <xf numFmtId="0" fontId="1" fillId="0" borderId="0" xfId="0" applyNumberFormat="1" applyFont="1" applyAlignment="1">
      <alignment horizontal="left"/>
    </xf>
    <xf numFmtId="0" fontId="14" fillId="5" borderId="69" xfId="0" applyNumberFormat="1" applyFont="1" applyFill="1" applyBorder="1" applyAlignment="1">
      <alignment horizontal="left" vertical="center" wrapText="1"/>
    </xf>
    <xf numFmtId="0" fontId="9" fillId="0" borderId="4" xfId="0" applyNumberFormat="1" applyFont="1" applyBorder="1" applyAlignment="1">
      <alignment horizontal="left" vertical="top"/>
    </xf>
    <xf numFmtId="0" fontId="3" fillId="0" borderId="25" xfId="0" applyNumberFormat="1" applyFont="1" applyFill="1" applyBorder="1" applyAlignment="1">
      <alignment horizontal="left" vertical="top" wrapText="1"/>
    </xf>
    <xf numFmtId="0" fontId="9" fillId="0" borderId="11" xfId="0" applyNumberFormat="1" applyFont="1" applyFill="1" applyBorder="1" applyAlignment="1">
      <alignment horizontal="left" vertical="top"/>
    </xf>
    <xf numFmtId="0" fontId="9" fillId="0" borderId="11" xfId="0" applyNumberFormat="1" applyFont="1" applyBorder="1" applyAlignment="1">
      <alignment horizontal="left" vertical="top"/>
    </xf>
    <xf numFmtId="0" fontId="9" fillId="0" borderId="4" xfId="0" applyNumberFormat="1" applyFont="1" applyFill="1" applyBorder="1" applyAlignment="1">
      <alignment horizontal="left" vertical="top"/>
    </xf>
    <xf numFmtId="0" fontId="11" fillId="0" borderId="25" xfId="0" applyNumberFormat="1" applyFont="1" applyFill="1" applyBorder="1" applyAlignment="1">
      <alignment horizontal="left" vertical="top"/>
    </xf>
    <xf numFmtId="0" fontId="7" fillId="0" borderId="25" xfId="0" applyNumberFormat="1" applyFont="1" applyFill="1" applyBorder="1" applyAlignment="1">
      <alignment horizontal="left" vertical="top"/>
    </xf>
    <xf numFmtId="0" fontId="7" fillId="0" borderId="25" xfId="0" applyNumberFormat="1" applyFont="1" applyFill="1" applyBorder="1" applyAlignment="1">
      <alignment horizontal="left" vertical="top" wrapText="1"/>
    </xf>
    <xf numFmtId="0" fontId="9" fillId="0" borderId="18" xfId="0" applyNumberFormat="1" applyFont="1" applyBorder="1" applyAlignment="1">
      <alignment horizontal="left" vertical="top"/>
    </xf>
    <xf numFmtId="0" fontId="9" fillId="0" borderId="19" xfId="0" applyNumberFormat="1" applyFont="1" applyBorder="1" applyAlignment="1">
      <alignment horizontal="left" vertical="top"/>
    </xf>
    <xf numFmtId="0" fontId="9" fillId="0" borderId="20" xfId="0" applyNumberFormat="1" applyFont="1" applyBorder="1" applyAlignment="1">
      <alignment horizontal="left" vertical="top"/>
    </xf>
    <xf numFmtId="0" fontId="11" fillId="0" borderId="35" xfId="0" applyNumberFormat="1" applyFont="1" applyFill="1" applyBorder="1" applyAlignment="1">
      <alignment horizontal="left" vertical="top"/>
    </xf>
    <xf numFmtId="0" fontId="23" fillId="0" borderId="35" xfId="0" applyNumberFormat="1" applyFont="1" applyFill="1" applyBorder="1" applyAlignment="1">
      <alignment horizontal="left" vertical="top"/>
    </xf>
    <xf numFmtId="0" fontId="9" fillId="0" borderId="46" xfId="0" applyNumberFormat="1" applyFont="1" applyFill="1" applyBorder="1" applyAlignment="1">
      <alignment horizontal="left" vertical="top"/>
    </xf>
    <xf numFmtId="0" fontId="9" fillId="0" borderId="21" xfId="0" applyNumberFormat="1" applyFont="1" applyBorder="1" applyAlignment="1">
      <alignment horizontal="left" vertical="top"/>
    </xf>
    <xf numFmtId="0" fontId="1" fillId="0" borderId="0" xfId="0" applyFont="1" applyBorder="1" applyAlignment="1">
      <alignment horizontal="left"/>
    </xf>
    <xf numFmtId="0" fontId="15" fillId="0" borderId="0" xfId="0" applyNumberFormat="1" applyFont="1" applyAlignment="1">
      <alignment horizontal="center"/>
    </xf>
    <xf numFmtId="0" fontId="15" fillId="0" borderId="59" xfId="0" applyNumberFormat="1" applyFont="1" applyFill="1" applyBorder="1" applyAlignment="1">
      <alignment horizontal="center"/>
    </xf>
    <xf numFmtId="0" fontId="19" fillId="0" borderId="62" xfId="0" applyNumberFormat="1" applyFont="1" applyBorder="1" applyAlignment="1">
      <alignment horizontal="left" vertical="top" wrapText="1"/>
    </xf>
    <xf numFmtId="1" fontId="19" fillId="0" borderId="64" xfId="0" applyNumberFormat="1" applyFont="1" applyBorder="1" applyAlignment="1">
      <alignment horizontal="left" vertical="top"/>
    </xf>
    <xf numFmtId="164" fontId="19" fillId="0" borderId="51" xfId="0" applyNumberFormat="1" applyFont="1" applyBorder="1" applyAlignment="1">
      <alignment horizontal="right"/>
    </xf>
    <xf numFmtId="164" fontId="19" fillId="0" borderId="24" xfId="0" applyNumberFormat="1" applyFont="1" applyBorder="1" applyAlignment="1">
      <alignment horizontal="right"/>
    </xf>
    <xf numFmtId="164" fontId="19" fillId="0" borderId="63" xfId="0" applyNumberFormat="1" applyFont="1" applyBorder="1" applyAlignment="1">
      <alignment horizontal="right"/>
    </xf>
    <xf numFmtId="164" fontId="19" fillId="0" borderId="65" xfId="0" applyNumberFormat="1" applyFont="1" applyBorder="1" applyAlignment="1">
      <alignment horizontal="right"/>
    </xf>
    <xf numFmtId="164" fontId="19" fillId="0" borderId="37" xfId="0" applyNumberFormat="1" applyFont="1" applyBorder="1" applyAlignment="1">
      <alignment horizontal="right"/>
    </xf>
    <xf numFmtId="164" fontId="19" fillId="0" borderId="66" xfId="0" applyNumberFormat="1" applyFont="1" applyBorder="1" applyAlignment="1">
      <alignment horizontal="right"/>
    </xf>
    <xf numFmtId="0" fontId="9" fillId="0" borderId="0" xfId="0" applyNumberFormat="1" applyFont="1" applyBorder="1" applyAlignment="1">
      <alignment horizontal="center" vertical="top"/>
    </xf>
    <xf numFmtId="0" fontId="9" fillId="0" borderId="0" xfId="0" applyNumberFormat="1" applyFont="1" applyFill="1" applyBorder="1" applyAlignment="1">
      <alignment horizontal="center" vertical="top"/>
    </xf>
    <xf numFmtId="0" fontId="9" fillId="0" borderId="59" xfId="0" applyNumberFormat="1" applyFont="1" applyFill="1" applyBorder="1" applyAlignment="1">
      <alignment horizontal="center" vertical="top"/>
    </xf>
    <xf numFmtId="0" fontId="6" fillId="5" borderId="56" xfId="0" applyNumberFormat="1" applyFont="1" applyFill="1" applyBorder="1" applyAlignment="1">
      <alignment horizontal="center"/>
    </xf>
    <xf numFmtId="1" fontId="6" fillId="5" borderId="57" xfId="0" applyNumberFormat="1" applyFont="1" applyFill="1" applyBorder="1" applyAlignment="1">
      <alignment horizontal="center"/>
    </xf>
    <xf numFmtId="1" fontId="6" fillId="5" borderId="58" xfId="0" applyNumberFormat="1" applyFont="1" applyFill="1" applyBorder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Normal 2" xfId="3" xr:uid="{00000000-0005-0000-0000-000003000000}"/>
    <cellStyle name="Percent" xfId="4" builtinId="5"/>
  </cellStyles>
  <dxfs count="0"/>
  <tableStyles count="0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D6D4CA"/>
      <rgbColor rgb="00B8CCE4"/>
      <rgbColor rgb="007F7F7F"/>
      <rgbColor rgb="00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showGridLines="0" zoomScaleNormal="100" workbookViewId="0">
      <selection activeCell="F19" sqref="F19"/>
    </sheetView>
  </sheetViews>
  <sheetFormatPr defaultColWidth="6.59765625" defaultRowHeight="15" customHeight="1"/>
  <cols>
    <col min="1" max="1" width="24" style="103" customWidth="1"/>
    <col min="2" max="2" width="10.3984375" style="103" customWidth="1"/>
    <col min="3" max="3" width="10.19921875" style="103" customWidth="1"/>
    <col min="4" max="4" width="11.09765625" style="103" customWidth="1"/>
    <col min="5" max="6" width="6.59765625" style="103"/>
    <col min="7" max="7" width="8.5" style="103" bestFit="1" customWidth="1"/>
    <col min="8" max="16384" width="6.59765625" style="103"/>
  </cols>
  <sheetData>
    <row r="1" spans="1:7" ht="15" customHeight="1">
      <c r="A1" s="176" t="s">
        <v>0</v>
      </c>
      <c r="B1" s="176"/>
      <c r="C1" s="176"/>
      <c r="D1" s="176"/>
    </row>
    <row r="2" spans="1:7" ht="15" customHeight="1">
      <c r="A2" s="176" t="s">
        <v>1</v>
      </c>
      <c r="B2" s="176"/>
      <c r="C2" s="176"/>
      <c r="D2" s="176"/>
    </row>
    <row r="3" spans="1:7" ht="14.1" thickBot="1">
      <c r="A3" s="177" t="s">
        <v>2</v>
      </c>
      <c r="B3" s="177"/>
      <c r="C3" s="177"/>
      <c r="D3" s="177"/>
    </row>
    <row r="4" spans="1:7" ht="36.950000000000003">
      <c r="A4" s="104" t="s">
        <v>3</v>
      </c>
      <c r="B4" s="105" t="s">
        <v>4</v>
      </c>
      <c r="C4" s="105" t="s">
        <v>5</v>
      </c>
      <c r="D4" s="106" t="s">
        <v>6</v>
      </c>
      <c r="E4" s="107"/>
      <c r="F4" s="108"/>
      <c r="G4" s="108"/>
    </row>
    <row r="5" spans="1:7" ht="17.100000000000001" customHeight="1">
      <c r="A5" s="109" t="s">
        <v>7</v>
      </c>
      <c r="B5" s="110">
        <f>'Budget Details'!F25+'Budget Details'!F50+'Budget Details'!F31</f>
        <v>163965.6</v>
      </c>
      <c r="C5" s="110">
        <f>'Budget Details'!G25+'Budget Details'!G50+'Budget Details'!G31</f>
        <v>57603.199999999997</v>
      </c>
      <c r="D5" s="112">
        <f t="shared" ref="D5:D10" si="0">B5+C5</f>
        <v>221568.8</v>
      </c>
      <c r="E5" s="113"/>
      <c r="F5" s="114"/>
      <c r="G5" s="114"/>
    </row>
    <row r="6" spans="1:7" ht="13.9">
      <c r="A6" s="115" t="s">
        <v>8</v>
      </c>
      <c r="B6" s="116">
        <f>B5/30</f>
        <v>5465.52</v>
      </c>
      <c r="C6" s="117">
        <f>C5/30</f>
        <v>1920.1066666666666</v>
      </c>
      <c r="D6" s="118">
        <f t="shared" si="0"/>
        <v>7385.626666666667</v>
      </c>
      <c r="G6" s="114"/>
    </row>
    <row r="7" spans="1:7" ht="15.75" customHeight="1">
      <c r="A7" s="119" t="s">
        <v>9</v>
      </c>
      <c r="B7" s="120">
        <f>'Budget Details'!F11+'Budget Details'!F14+'Budget Details'!F54</f>
        <v>203144.28520074213</v>
      </c>
      <c r="C7" s="120">
        <f>'Budget Details'!G11+'Budget Details'!G14+'Budget Details'!G54</f>
        <v>38668.799999999996</v>
      </c>
      <c r="D7" s="112">
        <f t="shared" si="0"/>
        <v>241813.08520074212</v>
      </c>
      <c r="E7" s="113"/>
      <c r="F7" s="121"/>
      <c r="G7" s="114"/>
    </row>
    <row r="8" spans="1:7" ht="17.100000000000001" customHeight="1">
      <c r="A8" s="115" t="s">
        <v>10</v>
      </c>
      <c r="B8" s="116">
        <f>B7/30</f>
        <v>6771.4761733580708</v>
      </c>
      <c r="C8" s="117">
        <f>C7/30</f>
        <v>1288.9599999999998</v>
      </c>
      <c r="D8" s="118">
        <f t="shared" si="0"/>
        <v>8060.4361733580708</v>
      </c>
      <c r="E8" s="107"/>
      <c r="F8" s="122"/>
      <c r="G8" s="122"/>
    </row>
    <row r="9" spans="1:7" ht="18" customHeight="1">
      <c r="A9" s="119" t="s">
        <v>11</v>
      </c>
      <c r="B9" s="120">
        <f>B5+B7</f>
        <v>367109.88520074217</v>
      </c>
      <c r="C9" s="111">
        <f>C5+C7</f>
        <v>96272</v>
      </c>
      <c r="D9" s="112">
        <f t="shared" si="0"/>
        <v>463381.88520074217</v>
      </c>
      <c r="E9" s="107"/>
    </row>
    <row r="10" spans="1:7" ht="17.100000000000001" customHeight="1">
      <c r="A10" s="178" t="s">
        <v>12</v>
      </c>
      <c r="B10" s="180">
        <f>B6+B8</f>
        <v>12236.996173358071</v>
      </c>
      <c r="C10" s="182">
        <f>C6+C8</f>
        <v>3209.0666666666666</v>
      </c>
      <c r="D10" s="184">
        <f t="shared" si="0"/>
        <v>15446.062840024737</v>
      </c>
      <c r="E10" s="107"/>
    </row>
    <row r="11" spans="1:7" ht="14.1" thickBot="1">
      <c r="A11" s="179"/>
      <c r="B11" s="181"/>
      <c r="C11" s="183"/>
      <c r="D11" s="185"/>
      <c r="E11" s="107"/>
    </row>
    <row r="12" spans="1:7" ht="17.100000000000001" customHeight="1">
      <c r="A12" s="123"/>
      <c r="B12" s="124"/>
      <c r="C12" s="124"/>
      <c r="D12" s="124"/>
      <c r="E12" s="107"/>
    </row>
    <row r="13" spans="1:7" ht="17.100000000000001" customHeight="1" thickBot="1">
      <c r="B13" s="125"/>
      <c r="C13" s="125"/>
      <c r="D13" s="125"/>
      <c r="E13" s="107"/>
    </row>
    <row r="14" spans="1:7" ht="13.9">
      <c r="A14" s="126" t="s">
        <v>13</v>
      </c>
      <c r="B14" s="127" t="s">
        <v>14</v>
      </c>
    </row>
    <row r="15" spans="1:7" ht="15" customHeight="1">
      <c r="A15" s="128" t="s">
        <v>15</v>
      </c>
      <c r="B15" s="132">
        <f>'Budget Details'!F11</f>
        <v>99582.326000000001</v>
      </c>
      <c r="C15" s="129"/>
    </row>
    <row r="16" spans="1:7" ht="15" customHeight="1">
      <c r="A16" s="128" t="s">
        <v>16</v>
      </c>
      <c r="B16" s="132">
        <f>'Budget Details'!F14</f>
        <v>21718.905300599999</v>
      </c>
    </row>
    <row r="17" spans="1:2" ht="15" customHeight="1">
      <c r="A17" s="128" t="s">
        <v>17</v>
      </c>
      <c r="B17" s="132">
        <f>'Budget Details'!F25</f>
        <v>73835</v>
      </c>
    </row>
    <row r="18" spans="1:2" ht="15" customHeight="1">
      <c r="A18" s="128" t="s">
        <v>18</v>
      </c>
      <c r="B18" s="133">
        <f>'Budget Details'!F26</f>
        <v>0</v>
      </c>
    </row>
    <row r="19" spans="1:2" ht="15" customHeight="1">
      <c r="A19" s="128" t="s">
        <v>19</v>
      </c>
      <c r="B19" s="133">
        <f>'Budget Details'!F27</f>
        <v>0</v>
      </c>
    </row>
    <row r="20" spans="1:2" ht="15" customHeight="1">
      <c r="A20" s="128" t="s">
        <v>20</v>
      </c>
      <c r="B20" s="148">
        <f>'Budget Details'!F31</f>
        <v>42000</v>
      </c>
    </row>
    <row r="21" spans="1:2" ht="15" customHeight="1">
      <c r="A21" s="128" t="s">
        <v>21</v>
      </c>
      <c r="B21" s="133">
        <f>'Budget Details'!F32</f>
        <v>0</v>
      </c>
    </row>
    <row r="22" spans="1:2" ht="15" customHeight="1">
      <c r="A22" s="128" t="s">
        <v>22</v>
      </c>
      <c r="B22" s="132">
        <f>'Budget Details'!F50</f>
        <v>48130.6</v>
      </c>
    </row>
    <row r="23" spans="1:2" s="138" customFormat="1" ht="15" customHeight="1">
      <c r="A23" s="136" t="s">
        <v>23</v>
      </c>
      <c r="B23" s="137">
        <f>SUM(B15:B22)</f>
        <v>285266.83130059997</v>
      </c>
    </row>
    <row r="24" spans="1:2" ht="15" customHeight="1">
      <c r="A24" s="128" t="s">
        <v>24</v>
      </c>
      <c r="B24" s="132">
        <f>'Budget Details'!F54</f>
        <v>81843.053900142128</v>
      </c>
    </row>
    <row r="25" spans="1:2" s="138" customFormat="1" ht="15" customHeight="1">
      <c r="A25" s="136" t="s">
        <v>25</v>
      </c>
      <c r="B25" s="137">
        <f>B24+B23</f>
        <v>367109.88520074211</v>
      </c>
    </row>
    <row r="26" spans="1:2" s="138" customFormat="1" ht="15" customHeight="1" thickBot="1">
      <c r="A26" s="139" t="s">
        <v>26</v>
      </c>
      <c r="B26" s="140">
        <f>'Budget Details'!G55</f>
        <v>96272</v>
      </c>
    </row>
    <row r="27" spans="1:2" ht="15" customHeight="1">
      <c r="A27" s="130" t="s">
        <v>27</v>
      </c>
      <c r="B27" s="135">
        <f>B17+B22+B20</f>
        <v>163965.6</v>
      </c>
    </row>
    <row r="28" spans="1:2" ht="15" customHeight="1" thickBot="1">
      <c r="A28" s="131" t="s">
        <v>28</v>
      </c>
      <c r="B28" s="134">
        <f>B15+B16+B24</f>
        <v>203144.28520074213</v>
      </c>
    </row>
    <row r="29" spans="1:2" ht="15" customHeight="1">
      <c r="A29" s="2" t="s">
        <v>29</v>
      </c>
    </row>
  </sheetData>
  <mergeCells count="7">
    <mergeCell ref="A1:D1"/>
    <mergeCell ref="A3:D3"/>
    <mergeCell ref="A10:A11"/>
    <mergeCell ref="B10:B11"/>
    <mergeCell ref="C10:C11"/>
    <mergeCell ref="D10:D11"/>
    <mergeCell ref="A2:D2"/>
  </mergeCells>
  <pageMargins left="0.75" right="0.75" top="1" bottom="1" header="0.5" footer="0.5"/>
  <pageSetup orientation="landscape" r:id="rId1"/>
  <headerFooter alignWithMargins="0">
    <oddFooter>&amp;L&amp;"Helvetica,Regular"&amp;12&amp;K000000	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56"/>
  <sheetViews>
    <sheetView showGridLines="0" tabSelected="1" zoomScale="106" zoomScaleNormal="115" workbookViewId="0">
      <selection activeCell="B3" sqref="B3"/>
    </sheetView>
  </sheetViews>
  <sheetFormatPr defaultColWidth="6.59765625" defaultRowHeight="15" customHeight="1"/>
  <cols>
    <col min="1" max="1" width="11.69921875" style="1" customWidth="1"/>
    <col min="2" max="2" width="16.796875" style="158" customWidth="1"/>
    <col min="3" max="3" width="51.296875" style="1" bestFit="1" customWidth="1"/>
    <col min="4" max="4" width="9.3984375" style="1" bestFit="1" customWidth="1"/>
    <col min="5" max="5" width="6.796875" style="1" bestFit="1" customWidth="1"/>
    <col min="6" max="6" width="10" style="1" bestFit="1" customWidth="1"/>
    <col min="7" max="7" width="6.09765625" style="1" bestFit="1" customWidth="1"/>
    <col min="8" max="8" width="6.796875" style="1" bestFit="1" customWidth="1"/>
    <col min="9" max="9" width="6.69921875" style="1" bestFit="1" customWidth="1"/>
    <col min="10" max="10" width="7.69921875" style="1" bestFit="1" customWidth="1"/>
    <col min="11" max="11" width="9.5" style="1" customWidth="1"/>
    <col min="12" max="12" width="7.69921875" style="1" customWidth="1"/>
    <col min="13" max="16384" width="6.59765625" style="1"/>
  </cols>
  <sheetData>
    <row r="1" spans="1:10" ht="17.100000000000001" customHeight="1">
      <c r="C1" s="186" t="s">
        <v>30</v>
      </c>
      <c r="D1" s="186"/>
      <c r="E1" s="186"/>
      <c r="F1" s="186"/>
      <c r="G1" s="186"/>
      <c r="H1" s="186"/>
      <c r="I1" s="186"/>
    </row>
    <row r="2" spans="1:10" ht="17.100000000000001" customHeight="1">
      <c r="A2" s="151" t="s">
        <v>31</v>
      </c>
      <c r="B2" s="152">
        <v>40300</v>
      </c>
      <c r="C2" s="186" t="s">
        <v>1</v>
      </c>
      <c r="D2" s="186"/>
      <c r="E2" s="186"/>
      <c r="F2" s="186"/>
      <c r="G2" s="186"/>
      <c r="H2" s="186"/>
      <c r="I2" s="186"/>
    </row>
    <row r="3" spans="1:10" ht="17.100000000000001" customHeight="1">
      <c r="A3" s="151" t="s">
        <v>32</v>
      </c>
      <c r="B3" s="153" t="s">
        <v>33</v>
      </c>
      <c r="C3" s="187" t="s">
        <v>2</v>
      </c>
      <c r="D3" s="187"/>
      <c r="E3" s="187"/>
      <c r="F3" s="187"/>
      <c r="G3" s="187"/>
      <c r="H3" s="187"/>
      <c r="I3" s="187"/>
    </row>
    <row r="4" spans="1:10" ht="17.100000000000001" customHeight="1" thickBot="1">
      <c r="C4" s="188" t="s">
        <v>34</v>
      </c>
      <c r="D4" s="188"/>
      <c r="E4" s="188"/>
      <c r="F4" s="188"/>
      <c r="G4" s="188"/>
      <c r="H4" s="188"/>
      <c r="I4" s="188"/>
    </row>
    <row r="5" spans="1:10" ht="48" customHeight="1" thickBot="1">
      <c r="A5" s="141" t="s">
        <v>35</v>
      </c>
      <c r="B5" s="159" t="s">
        <v>36</v>
      </c>
      <c r="C5" s="141" t="s">
        <v>37</v>
      </c>
      <c r="D5" s="89" t="s">
        <v>38</v>
      </c>
      <c r="E5" s="90" t="s">
        <v>39</v>
      </c>
      <c r="F5" s="91" t="s">
        <v>40</v>
      </c>
      <c r="G5" s="91" t="s">
        <v>41</v>
      </c>
      <c r="H5" s="91" t="s">
        <v>42</v>
      </c>
      <c r="I5" s="92" t="s">
        <v>43</v>
      </c>
    </row>
    <row r="6" spans="1:10" ht="14.45">
      <c r="A6" s="8"/>
      <c r="B6" s="160"/>
      <c r="C6" s="8" t="s">
        <v>44</v>
      </c>
      <c r="D6" s="102"/>
      <c r="E6" s="88"/>
      <c r="F6" s="9"/>
      <c r="G6" s="10"/>
      <c r="H6" s="10"/>
      <c r="I6" s="11"/>
    </row>
    <row r="7" spans="1:10" ht="36.950000000000003">
      <c r="A7" s="94" t="s">
        <v>45</v>
      </c>
      <c r="B7" s="161" t="s">
        <v>46</v>
      </c>
      <c r="C7" s="94" t="s">
        <v>47</v>
      </c>
      <c r="D7" s="68">
        <f>(10070*0.05*4)+(10070*0.1*6)+((10070*1.035)*0.1*2)</f>
        <v>10140.49</v>
      </c>
      <c r="E7" s="68">
        <f>(10070*0.05*7)+((10070*1.035)*0.1*6)+((10070*1.035)*0.05*3)</f>
        <v>11341.3375</v>
      </c>
      <c r="F7" s="68">
        <f>(12938*0.1*7)+(12938*0.05*3)+((12938*1.035)*0.05*9)</f>
        <v>17023.173500000004</v>
      </c>
      <c r="G7" s="22">
        <v>0</v>
      </c>
      <c r="H7" s="22">
        <f>SUM(F7:G7)</f>
        <v>17023.173500000004</v>
      </c>
      <c r="I7" s="41">
        <f>(F7-D7)/D7</f>
        <v>0.67873283243709182</v>
      </c>
      <c r="J7" s="69"/>
    </row>
    <row r="8" spans="1:10" ht="49.15">
      <c r="A8" s="94" t="s">
        <v>45</v>
      </c>
      <c r="B8" s="161" t="s">
        <v>46</v>
      </c>
      <c r="C8" s="94" t="s">
        <v>48</v>
      </c>
      <c r="D8" s="54">
        <f>(6276*0.5*4)+(6276*6)+((6276*1.035)*2)</f>
        <v>63199.32</v>
      </c>
      <c r="E8" s="54">
        <f>(6185*0.5*7)+((6185*1.035)*6)+(((6185*1.035)*0.5)*3)</f>
        <v>69658.5625</v>
      </c>
      <c r="F8" s="54">
        <f>((6416*0.1)*4)+((6416*0.5)*6)+(((6416*1.035)*0.5)*4)+(((6416*1.035)*0.2)*5)</f>
        <v>41736.080000000002</v>
      </c>
      <c r="G8" s="22">
        <v>0</v>
      </c>
      <c r="H8" s="22">
        <f t="shared" ref="H8:H10" si="0">SUM(F8:G8)</f>
        <v>41736.080000000002</v>
      </c>
      <c r="I8" s="41">
        <f>(F8-D8)/D8</f>
        <v>-0.33961188189999508</v>
      </c>
    </row>
    <row r="9" spans="1:10" ht="36.950000000000003">
      <c r="A9" s="94" t="s">
        <v>45</v>
      </c>
      <c r="B9" s="161" t="s">
        <v>46</v>
      </c>
      <c r="C9" s="94" t="s">
        <v>49</v>
      </c>
      <c r="D9" s="68">
        <f>(4416*0.3*4)+(4416*0.5*6)+((4416*1.035)*0.5*2)</f>
        <v>23117.760000000002</v>
      </c>
      <c r="E9" s="68">
        <f>(4200*0.25*7)+((4200*1.035)*0.25*9)</f>
        <v>17130.75</v>
      </c>
      <c r="F9" s="68">
        <f>(4583*0.25*3)+(4583*0.5*7)+((4583*1.035)*0.5*9)</f>
        <v>40823.072499999995</v>
      </c>
      <c r="G9" s="32">
        <v>0</v>
      </c>
      <c r="H9" s="22">
        <f t="shared" si="0"/>
        <v>40823.072499999995</v>
      </c>
      <c r="I9" s="41">
        <f>(F9-D9)/D9</f>
        <v>0.76587491608183456</v>
      </c>
    </row>
    <row r="10" spans="1:10" ht="14.45">
      <c r="A10" s="94"/>
      <c r="B10" s="161"/>
      <c r="C10" s="94" t="s">
        <v>50</v>
      </c>
      <c r="D10" s="68">
        <v>0</v>
      </c>
      <c r="E10" s="32">
        <v>0</v>
      </c>
      <c r="F10" s="68">
        <v>0</v>
      </c>
      <c r="G10" s="32">
        <f>(21.2*8)*3*76</f>
        <v>38668.799999999996</v>
      </c>
      <c r="H10" s="22">
        <f t="shared" si="0"/>
        <v>38668.799999999996</v>
      </c>
      <c r="I10" s="41">
        <v>1</v>
      </c>
    </row>
    <row r="11" spans="1:10" ht="14.65" thickBot="1">
      <c r="A11" s="55"/>
      <c r="B11" s="162"/>
      <c r="C11" s="55" t="s">
        <v>51</v>
      </c>
      <c r="D11" s="33">
        <f>SUM(D7:D10)</f>
        <v>96457.57</v>
      </c>
      <c r="E11" s="33">
        <f>SUM(E7:E10)</f>
        <v>98130.65</v>
      </c>
      <c r="F11" s="33">
        <f>SUM(F7:F10)</f>
        <v>99582.326000000001</v>
      </c>
      <c r="G11" s="33">
        <f>SUM(G7:G10)</f>
        <v>38668.799999999996</v>
      </c>
      <c r="H11" s="33">
        <f>G11+F11</f>
        <v>138251.12599999999</v>
      </c>
      <c r="I11" s="142">
        <f>(F11-D11)/D11</f>
        <v>3.2395134980074597E-2</v>
      </c>
      <c r="J11" s="3"/>
    </row>
    <row r="12" spans="1:10" ht="14.45">
      <c r="A12" s="8"/>
      <c r="B12" s="160"/>
      <c r="C12" s="8" t="s">
        <v>52</v>
      </c>
      <c r="D12" s="17"/>
      <c r="E12" s="18"/>
      <c r="F12" s="17"/>
      <c r="G12" s="18"/>
      <c r="H12" s="18"/>
      <c r="I12" s="19"/>
    </row>
    <row r="13" spans="1:10" ht="14.45">
      <c r="A13" s="81" t="s">
        <v>53</v>
      </c>
      <c r="B13" s="161" t="s">
        <v>54</v>
      </c>
      <c r="C13" s="81">
        <v>0.21809999999999999</v>
      </c>
      <c r="D13" s="101">
        <f>D11*C13</f>
        <v>21037.396016999999</v>
      </c>
      <c r="E13" s="12">
        <f>E11*C13</f>
        <v>21402.294764999999</v>
      </c>
      <c r="F13" s="101">
        <f>F11*C13</f>
        <v>21718.905300599999</v>
      </c>
      <c r="G13" s="12">
        <v>0</v>
      </c>
      <c r="H13" s="22">
        <f t="shared" ref="H13" si="1">SUM(F13:G13)</f>
        <v>21718.905300599999</v>
      </c>
      <c r="I13" s="41">
        <f>(F13-D13)/D13</f>
        <v>3.2395134980074673E-2</v>
      </c>
    </row>
    <row r="14" spans="1:10" ht="14.65" thickBot="1">
      <c r="A14" s="15"/>
      <c r="B14" s="163"/>
      <c r="C14" s="15" t="s">
        <v>55</v>
      </c>
      <c r="D14" s="16">
        <f>SUM(D13)</f>
        <v>21037.396016999999</v>
      </c>
      <c r="E14" s="16">
        <f>SUM(E13)</f>
        <v>21402.294764999999</v>
      </c>
      <c r="F14" s="16">
        <f>SUM(F13)</f>
        <v>21718.905300599999</v>
      </c>
      <c r="G14" s="16">
        <f>SUM(G13)</f>
        <v>0</v>
      </c>
      <c r="H14" s="33">
        <f>G14+F14</f>
        <v>21718.905300599999</v>
      </c>
      <c r="I14" s="143">
        <f>(F14-D14)/D14</f>
        <v>3.2395134980074673E-2</v>
      </c>
    </row>
    <row r="15" spans="1:10" ht="14.45">
      <c r="A15" s="82"/>
      <c r="B15" s="164"/>
      <c r="C15" s="82" t="s">
        <v>56</v>
      </c>
      <c r="D15" s="17"/>
      <c r="E15" s="18"/>
      <c r="F15" s="17"/>
      <c r="G15" s="18"/>
      <c r="H15" s="18"/>
      <c r="I15" s="19"/>
    </row>
    <row r="16" spans="1:10" ht="14.45">
      <c r="A16" s="56"/>
      <c r="B16" s="165"/>
      <c r="C16" s="56" t="s">
        <v>57</v>
      </c>
      <c r="D16" s="20"/>
      <c r="E16" s="21"/>
      <c r="F16" s="20"/>
      <c r="G16" s="21"/>
      <c r="H16" s="21"/>
      <c r="I16" s="13"/>
    </row>
    <row r="17" spans="1:9" ht="14.45">
      <c r="A17" s="157" t="s">
        <v>58</v>
      </c>
      <c r="B17" s="166">
        <v>86040</v>
      </c>
      <c r="C17" s="40" t="s">
        <v>59</v>
      </c>
      <c r="D17" s="101">
        <f>500*2</f>
        <v>1000</v>
      </c>
      <c r="E17" s="12">
        <v>0</v>
      </c>
      <c r="F17" s="101">
        <f>600*1</f>
        <v>600</v>
      </c>
      <c r="G17" s="22">
        <v>0</v>
      </c>
      <c r="H17" s="22">
        <f t="shared" ref="H17:H20" si="2">SUM(F17:G17)</f>
        <v>600</v>
      </c>
      <c r="I17" s="41">
        <f t="shared" ref="I17:I23" si="3">(F17-D17)/D17</f>
        <v>-0.4</v>
      </c>
    </row>
    <row r="18" spans="1:9" ht="24.6">
      <c r="A18" s="157" t="s">
        <v>60</v>
      </c>
      <c r="B18" s="167" t="s">
        <v>61</v>
      </c>
      <c r="C18" s="40" t="s">
        <v>62</v>
      </c>
      <c r="D18" s="100">
        <f>180*5*2</f>
        <v>1800</v>
      </c>
      <c r="E18" s="12">
        <v>0</v>
      </c>
      <c r="F18" s="100">
        <f>180*5*1</f>
        <v>900</v>
      </c>
      <c r="G18" s="22">
        <v>0</v>
      </c>
      <c r="H18" s="22">
        <f t="shared" si="2"/>
        <v>900</v>
      </c>
      <c r="I18" s="41">
        <f t="shared" si="3"/>
        <v>-0.5</v>
      </c>
    </row>
    <row r="19" spans="1:9" ht="14.45">
      <c r="A19" s="157" t="s">
        <v>58</v>
      </c>
      <c r="B19" s="166">
        <v>86040</v>
      </c>
      <c r="C19" s="40" t="s">
        <v>63</v>
      </c>
      <c r="D19" s="32">
        <f>1400*2</f>
        <v>2800</v>
      </c>
      <c r="E19" s="12">
        <v>0</v>
      </c>
      <c r="F19" s="32">
        <f>1400</f>
        <v>1400</v>
      </c>
      <c r="G19" s="80">
        <v>0</v>
      </c>
      <c r="H19" s="22">
        <f t="shared" si="2"/>
        <v>1400</v>
      </c>
      <c r="I19" s="41">
        <f t="shared" si="3"/>
        <v>-0.5</v>
      </c>
    </row>
    <row r="20" spans="1:9" ht="24.6">
      <c r="A20" s="157" t="s">
        <v>60</v>
      </c>
      <c r="B20" s="167" t="s">
        <v>61</v>
      </c>
      <c r="C20" s="40" t="s">
        <v>64</v>
      </c>
      <c r="D20" s="32">
        <f>225*7*2</f>
        <v>3150</v>
      </c>
      <c r="E20" s="12">
        <v>0</v>
      </c>
      <c r="F20" s="32">
        <f>225*7</f>
        <v>1575</v>
      </c>
      <c r="G20" s="80">
        <v>0</v>
      </c>
      <c r="H20" s="22">
        <f t="shared" si="2"/>
        <v>1575</v>
      </c>
      <c r="I20" s="41">
        <f t="shared" si="3"/>
        <v>-0.5</v>
      </c>
    </row>
    <row r="21" spans="1:9" ht="14.45">
      <c r="A21" s="56"/>
      <c r="B21" s="165"/>
      <c r="C21" s="56" t="s">
        <v>65</v>
      </c>
      <c r="D21" s="67"/>
      <c r="E21" s="12"/>
      <c r="F21" s="67"/>
      <c r="G21" s="22"/>
      <c r="H21" s="12"/>
      <c r="I21" s="41"/>
    </row>
    <row r="22" spans="1:9" ht="14.45">
      <c r="A22" s="157" t="s">
        <v>66</v>
      </c>
      <c r="B22" s="166">
        <v>86040</v>
      </c>
      <c r="C22" s="40" t="s">
        <v>67</v>
      </c>
      <c r="D22" s="14">
        <f>1800*30</f>
        <v>54000</v>
      </c>
      <c r="E22" s="80">
        <f>1800*15</f>
        <v>27000</v>
      </c>
      <c r="F22" s="14">
        <f>1800*30</f>
        <v>54000</v>
      </c>
      <c r="G22" s="22">
        <v>0</v>
      </c>
      <c r="H22" s="22">
        <f t="shared" ref="H22:H24" si="4">SUM(F22:G22)</f>
        <v>54000</v>
      </c>
      <c r="I22" s="41">
        <f t="shared" si="3"/>
        <v>0</v>
      </c>
    </row>
    <row r="23" spans="1:9" ht="14.45">
      <c r="A23" s="157" t="s">
        <v>68</v>
      </c>
      <c r="B23" s="166">
        <v>86050</v>
      </c>
      <c r="C23" s="40" t="s">
        <v>69</v>
      </c>
      <c r="D23" s="100">
        <f>100*30</f>
        <v>3000</v>
      </c>
      <c r="E23" s="150">
        <f>(53*10)*15</f>
        <v>7950</v>
      </c>
      <c r="F23" s="100">
        <f>50*10*30</f>
        <v>15000</v>
      </c>
      <c r="G23" s="23">
        <v>0</v>
      </c>
      <c r="H23" s="22">
        <f t="shared" si="4"/>
        <v>15000</v>
      </c>
      <c r="I23" s="41">
        <f t="shared" si="3"/>
        <v>4</v>
      </c>
    </row>
    <row r="24" spans="1:9" ht="14.45">
      <c r="A24" s="157" t="s">
        <v>68</v>
      </c>
      <c r="B24" s="166">
        <v>86050</v>
      </c>
      <c r="C24" s="40" t="s">
        <v>70</v>
      </c>
      <c r="D24" s="100">
        <v>0</v>
      </c>
      <c r="E24" s="100">
        <v>0</v>
      </c>
      <c r="F24" s="100">
        <f>180*2</f>
        <v>360</v>
      </c>
      <c r="G24" s="23">
        <v>0</v>
      </c>
      <c r="H24" s="22">
        <f t="shared" si="4"/>
        <v>360</v>
      </c>
      <c r="I24" s="41">
        <v>0</v>
      </c>
    </row>
    <row r="25" spans="1:9" ht="14.65" thickBot="1">
      <c r="A25" s="15"/>
      <c r="B25" s="163"/>
      <c r="C25" s="15" t="s">
        <v>71</v>
      </c>
      <c r="D25" s="24">
        <f>SUM(D17:D24)</f>
        <v>65750</v>
      </c>
      <c r="E25" s="24">
        <f>SUM(E17:E24)</f>
        <v>34950</v>
      </c>
      <c r="F25" s="24">
        <f>SUM(F17:F24)</f>
        <v>73835</v>
      </c>
      <c r="G25" s="24">
        <f>SUM(G17:G24)</f>
        <v>0</v>
      </c>
      <c r="H25" s="33">
        <f>G25+F25</f>
        <v>73835</v>
      </c>
      <c r="I25" s="144">
        <f>(F25-D25)/D25</f>
        <v>0.12296577946768061</v>
      </c>
    </row>
    <row r="26" spans="1:9" ht="14.45">
      <c r="A26" s="25"/>
      <c r="B26" s="168"/>
      <c r="C26" s="25" t="s">
        <v>72</v>
      </c>
      <c r="D26" s="63"/>
      <c r="E26" s="63"/>
      <c r="F26" s="63"/>
      <c r="G26" s="63"/>
      <c r="H26" s="63"/>
      <c r="I26" s="64"/>
    </row>
    <row r="27" spans="1:9" ht="14.45">
      <c r="A27" s="26"/>
      <c r="B27" s="169"/>
      <c r="C27" s="26" t="s">
        <v>73</v>
      </c>
      <c r="D27" s="65"/>
      <c r="E27" s="65"/>
      <c r="F27" s="65"/>
      <c r="G27" s="65"/>
      <c r="H27" s="65"/>
      <c r="I27" s="66"/>
    </row>
    <row r="28" spans="1:9" ht="14.45">
      <c r="A28" s="26"/>
      <c r="B28" s="169"/>
      <c r="C28" s="26" t="s">
        <v>74</v>
      </c>
      <c r="D28" s="65"/>
      <c r="E28" s="65"/>
      <c r="F28" s="65"/>
      <c r="G28" s="65"/>
      <c r="H28" s="65"/>
      <c r="I28" s="66"/>
    </row>
    <row r="29" spans="1:9" ht="14.45">
      <c r="A29" s="40" t="s">
        <v>75</v>
      </c>
      <c r="B29" s="166">
        <v>89000</v>
      </c>
      <c r="C29" s="40" t="s">
        <v>76</v>
      </c>
      <c r="D29" s="100">
        <v>0</v>
      </c>
      <c r="E29" s="32">
        <f>10000*3</f>
        <v>30000</v>
      </c>
      <c r="F29" s="100">
        <f>16500*2</f>
        <v>33000</v>
      </c>
      <c r="G29" s="23">
        <f>5500*2</f>
        <v>11000</v>
      </c>
      <c r="H29" s="22">
        <f t="shared" ref="H29:H30" si="5">SUM(F29:G29)</f>
        <v>44000</v>
      </c>
      <c r="I29" s="41">
        <v>1</v>
      </c>
    </row>
    <row r="30" spans="1:9" ht="14.45">
      <c r="A30" s="40" t="s">
        <v>75</v>
      </c>
      <c r="B30" s="166">
        <v>89000</v>
      </c>
      <c r="C30" s="40" t="s">
        <v>77</v>
      </c>
      <c r="D30" s="32">
        <f>3000*18</f>
        <v>54000</v>
      </c>
      <c r="E30" s="32">
        <f>4000*6</f>
        <v>24000</v>
      </c>
      <c r="F30" s="100">
        <f>3000*3</f>
        <v>9000</v>
      </c>
      <c r="G30" s="23">
        <f>1000*3</f>
        <v>3000</v>
      </c>
      <c r="H30" s="22">
        <f t="shared" si="5"/>
        <v>12000</v>
      </c>
      <c r="I30" s="41">
        <f>(F30-D30)/D30</f>
        <v>-0.83333333333333337</v>
      </c>
    </row>
    <row r="31" spans="1:9" ht="14.65" thickBot="1">
      <c r="A31" s="15"/>
      <c r="B31" s="163"/>
      <c r="C31" s="15" t="s">
        <v>78</v>
      </c>
      <c r="D31" s="24">
        <f>SUM(D29:D30)</f>
        <v>54000</v>
      </c>
      <c r="E31" s="24">
        <f>SUM(E29:E30)</f>
        <v>54000</v>
      </c>
      <c r="F31" s="24">
        <f>SUM(F29:F30)</f>
        <v>42000</v>
      </c>
      <c r="G31" s="24">
        <f>SUM(G29:G30)</f>
        <v>14000</v>
      </c>
      <c r="H31" s="33">
        <f>G31+F31</f>
        <v>56000</v>
      </c>
      <c r="I31" s="144">
        <f>(F31-D31)/D31</f>
        <v>-0.22222222222222221</v>
      </c>
    </row>
    <row r="32" spans="1:9" ht="14.65" thickBot="1">
      <c r="A32" s="27"/>
      <c r="B32" s="170"/>
      <c r="C32" s="27" t="s">
        <v>79</v>
      </c>
      <c r="D32" s="71"/>
      <c r="E32" s="71"/>
      <c r="F32" s="71"/>
      <c r="G32" s="71"/>
      <c r="H32" s="71"/>
      <c r="I32" s="72"/>
    </row>
    <row r="33" spans="1:11" ht="14.45">
      <c r="A33" s="8"/>
      <c r="B33" s="160"/>
      <c r="C33" s="8" t="s">
        <v>80</v>
      </c>
      <c r="D33" s="76"/>
      <c r="E33" s="76"/>
      <c r="F33" s="76"/>
      <c r="G33" s="76"/>
      <c r="H33" s="76"/>
      <c r="I33" s="77"/>
    </row>
    <row r="34" spans="1:11" ht="14.45">
      <c r="A34" s="56"/>
      <c r="B34" s="165"/>
      <c r="C34" s="56" t="s">
        <v>81</v>
      </c>
      <c r="D34" s="75"/>
      <c r="E34" s="75"/>
      <c r="F34" s="75"/>
      <c r="G34" s="75"/>
      <c r="H34" s="75"/>
      <c r="I34" s="78"/>
    </row>
    <row r="35" spans="1:11" ht="14.45">
      <c r="A35" s="155" t="s">
        <v>82</v>
      </c>
      <c r="B35" s="166">
        <v>81000</v>
      </c>
      <c r="C35" s="40" t="s">
        <v>83</v>
      </c>
      <c r="D35" s="32">
        <f>320*96</f>
        <v>30720</v>
      </c>
      <c r="E35" s="32">
        <f>320*96</f>
        <v>30720</v>
      </c>
      <c r="F35" s="32">
        <f>325*96</f>
        <v>31200</v>
      </c>
      <c r="G35" s="32">
        <v>0</v>
      </c>
      <c r="H35" s="22">
        <f t="shared" ref="H35" si="6">SUM(F35:G35)</f>
        <v>31200</v>
      </c>
      <c r="I35" s="41">
        <f>(F35-D35)/D35</f>
        <v>1.5625E-2</v>
      </c>
    </row>
    <row r="36" spans="1:11" ht="14.45">
      <c r="A36" s="56"/>
      <c r="B36" s="165"/>
      <c r="C36" s="56" t="s">
        <v>84</v>
      </c>
      <c r="D36" s="32"/>
      <c r="E36" s="32"/>
      <c r="F36" s="32"/>
      <c r="G36" s="32"/>
      <c r="H36" s="32"/>
      <c r="I36" s="78"/>
    </row>
    <row r="37" spans="1:11" ht="14.45">
      <c r="A37" s="155" t="s">
        <v>85</v>
      </c>
      <c r="B37" s="166">
        <v>81015</v>
      </c>
      <c r="C37" s="40" t="s">
        <v>86</v>
      </c>
      <c r="D37" s="32">
        <f>400*2</f>
        <v>800</v>
      </c>
      <c r="E37" s="32">
        <v>0</v>
      </c>
      <c r="F37" s="32">
        <v>0</v>
      </c>
      <c r="G37" s="32">
        <v>0</v>
      </c>
      <c r="H37" s="22">
        <f t="shared" ref="H37" si="7">SUM(F37:G37)</f>
        <v>0</v>
      </c>
      <c r="I37" s="41">
        <f>(F37-D37)/D37</f>
        <v>-1</v>
      </c>
    </row>
    <row r="38" spans="1:11" ht="14.45">
      <c r="A38" s="56"/>
      <c r="B38" s="165"/>
      <c r="C38" s="56" t="s">
        <v>87</v>
      </c>
      <c r="D38" s="32"/>
      <c r="E38" s="32"/>
      <c r="F38" s="32"/>
      <c r="G38" s="32"/>
      <c r="H38" s="32"/>
      <c r="I38" s="78"/>
    </row>
    <row r="39" spans="1:11" ht="14.45">
      <c r="A39" s="155" t="s">
        <v>88</v>
      </c>
      <c r="B39" s="166">
        <v>81010</v>
      </c>
      <c r="C39" s="40" t="s">
        <v>89</v>
      </c>
      <c r="D39" s="32">
        <f>250*20</f>
        <v>5000</v>
      </c>
      <c r="E39" s="32">
        <f>250*40</f>
        <v>10000</v>
      </c>
      <c r="F39" s="32">
        <f>255*20</f>
        <v>5100</v>
      </c>
      <c r="G39" s="32">
        <v>0</v>
      </c>
      <c r="H39" s="22">
        <f t="shared" ref="H39" si="8">SUM(F39:G39)</f>
        <v>5100</v>
      </c>
      <c r="I39" s="41">
        <f>(F39-D39)/D39</f>
        <v>0.02</v>
      </c>
      <c r="J39" s="3"/>
      <c r="K39" s="69"/>
    </row>
    <row r="40" spans="1:11" ht="14.45">
      <c r="A40" s="56"/>
      <c r="B40" s="165"/>
      <c r="C40" s="56" t="s">
        <v>90</v>
      </c>
      <c r="D40" s="32"/>
      <c r="E40" s="32"/>
      <c r="F40" s="32"/>
      <c r="G40" s="32"/>
      <c r="H40" s="32"/>
      <c r="I40" s="78"/>
      <c r="J40" s="3"/>
      <c r="K40" s="69"/>
    </row>
    <row r="41" spans="1:11" ht="14.45">
      <c r="A41" s="40" t="s">
        <v>91</v>
      </c>
      <c r="B41" s="166">
        <v>87000</v>
      </c>
      <c r="C41" s="40" t="s">
        <v>92</v>
      </c>
      <c r="D41" s="32">
        <v>5000</v>
      </c>
      <c r="E41" s="32">
        <f>250*40</f>
        <v>10000</v>
      </c>
      <c r="F41" s="32">
        <v>5000</v>
      </c>
      <c r="G41" s="32">
        <v>0</v>
      </c>
      <c r="H41" s="22">
        <f t="shared" ref="H41" si="9">SUM(F41:G41)</f>
        <v>5000</v>
      </c>
      <c r="I41" s="41">
        <f>(F41-D41)/D41</f>
        <v>0</v>
      </c>
      <c r="J41" s="3"/>
      <c r="K41" s="69"/>
    </row>
    <row r="42" spans="1:11" ht="14.45">
      <c r="A42" s="56"/>
      <c r="B42" s="165"/>
      <c r="C42" s="56" t="s">
        <v>93</v>
      </c>
      <c r="D42" s="32"/>
      <c r="E42" s="32"/>
      <c r="F42" s="32"/>
      <c r="G42" s="32"/>
      <c r="H42" s="32"/>
      <c r="I42" s="78"/>
      <c r="J42" s="3"/>
      <c r="K42" s="69"/>
    </row>
    <row r="43" spans="1:11" ht="24.6">
      <c r="A43" s="156" t="s">
        <v>94</v>
      </c>
      <c r="B43" s="167" t="s">
        <v>95</v>
      </c>
      <c r="C43" s="40" t="s">
        <v>96</v>
      </c>
      <c r="D43" s="32">
        <f>250*12</f>
        <v>3000</v>
      </c>
      <c r="E43" s="32">
        <f>750*16</f>
        <v>12000</v>
      </c>
      <c r="F43" s="32">
        <f>150*19</f>
        <v>2850</v>
      </c>
      <c r="G43" s="32">
        <v>0</v>
      </c>
      <c r="H43" s="22">
        <f t="shared" ref="H43:H45" si="10">SUM(F43:G43)</f>
        <v>2850</v>
      </c>
      <c r="I43" s="41">
        <f>(F43-D43)/D43</f>
        <v>-0.05</v>
      </c>
      <c r="J43" s="3"/>
      <c r="K43" s="69"/>
    </row>
    <row r="44" spans="1:11" ht="14.45">
      <c r="A44" s="156" t="s">
        <v>97</v>
      </c>
      <c r="B44" s="166">
        <v>89400</v>
      </c>
      <c r="C44" s="40" t="s">
        <v>98</v>
      </c>
      <c r="D44" s="32">
        <f>75*12</f>
        <v>900</v>
      </c>
      <c r="E44" s="32">
        <f>220*16</f>
        <v>3520</v>
      </c>
      <c r="F44" s="32">
        <f>50*19</f>
        <v>950</v>
      </c>
      <c r="G44" s="32">
        <v>0</v>
      </c>
      <c r="H44" s="22">
        <f t="shared" si="10"/>
        <v>950</v>
      </c>
      <c r="I44" s="41">
        <f>(F44-D44)/D44</f>
        <v>5.5555555555555552E-2</v>
      </c>
      <c r="J44" s="3"/>
      <c r="K44" s="69"/>
    </row>
    <row r="45" spans="1:11" ht="14.45">
      <c r="A45" s="156" t="s">
        <v>97</v>
      </c>
      <c r="B45" s="166">
        <v>89400</v>
      </c>
      <c r="C45" s="40" t="s">
        <v>99</v>
      </c>
      <c r="D45" s="32">
        <f>2000</f>
        <v>2000</v>
      </c>
      <c r="E45" s="32">
        <f>490*16</f>
        <v>7840</v>
      </c>
      <c r="F45" s="32">
        <f>125*19</f>
        <v>2375</v>
      </c>
      <c r="G45" s="32">
        <v>0</v>
      </c>
      <c r="H45" s="22">
        <f t="shared" si="10"/>
        <v>2375</v>
      </c>
      <c r="I45" s="41">
        <f>(F45-D45)/D45</f>
        <v>0.1875</v>
      </c>
      <c r="J45" s="3"/>
      <c r="K45" s="69"/>
    </row>
    <row r="46" spans="1:11" ht="14.45">
      <c r="A46" s="70"/>
      <c r="B46" s="171"/>
      <c r="C46" s="70" t="s">
        <v>100</v>
      </c>
      <c r="D46" s="32"/>
      <c r="E46" s="32"/>
      <c r="F46" s="32"/>
      <c r="G46" s="32"/>
      <c r="H46" s="32"/>
      <c r="I46" s="78"/>
    </row>
    <row r="47" spans="1:11" ht="14.45">
      <c r="A47" s="149" t="s">
        <v>101</v>
      </c>
      <c r="B47" s="172">
        <v>81021</v>
      </c>
      <c r="C47" s="149" t="s">
        <v>102</v>
      </c>
      <c r="D47" s="32">
        <v>602</v>
      </c>
      <c r="E47" s="32">
        <v>2704</v>
      </c>
      <c r="F47" s="32">
        <v>655.6</v>
      </c>
      <c r="G47" s="32">
        <v>0</v>
      </c>
      <c r="H47" s="22">
        <f t="shared" ref="H47" si="11">SUM(F47:G47)</f>
        <v>655.6</v>
      </c>
      <c r="I47" s="41">
        <f>(F47-D47)/D47</f>
        <v>8.9036544850498375E-2</v>
      </c>
    </row>
    <row r="48" spans="1:11" ht="14.45">
      <c r="A48" s="70"/>
      <c r="B48" s="171"/>
      <c r="C48" s="70" t="s">
        <v>103</v>
      </c>
      <c r="D48" s="32"/>
      <c r="E48" s="32"/>
      <c r="F48" s="32"/>
      <c r="G48" s="32"/>
      <c r="H48" s="32"/>
      <c r="I48" s="78"/>
    </row>
    <row r="49" spans="1:10" ht="14.65">
      <c r="A49" s="155" t="s">
        <v>104</v>
      </c>
      <c r="B49" s="155" t="s">
        <v>105</v>
      </c>
      <c r="C49" s="83" t="s">
        <v>106</v>
      </c>
      <c r="D49" s="32">
        <v>0</v>
      </c>
      <c r="E49" s="32">
        <f>SUM(D49:D49)</f>
        <v>0</v>
      </c>
      <c r="F49" s="32">
        <v>0</v>
      </c>
      <c r="G49" s="32">
        <f>'Volunteer Time Cost Share'!E14</f>
        <v>43603.199999999997</v>
      </c>
      <c r="H49" s="22">
        <f t="shared" ref="H49" si="12">SUM(F49:G49)</f>
        <v>43603.199999999997</v>
      </c>
      <c r="I49" s="41">
        <v>0</v>
      </c>
      <c r="J49" s="86"/>
    </row>
    <row r="50" spans="1:10" ht="14.65" thickBot="1">
      <c r="A50" s="84"/>
      <c r="B50" s="173"/>
      <c r="C50" s="84" t="s">
        <v>107</v>
      </c>
      <c r="D50" s="79">
        <f>SUM(D35:D49)</f>
        <v>48022</v>
      </c>
      <c r="E50" s="79">
        <f>SUM(E35:E49)</f>
        <v>76784</v>
      </c>
      <c r="F50" s="79">
        <f>SUM(F35:F49)</f>
        <v>48130.6</v>
      </c>
      <c r="G50" s="79">
        <f>SUM(G35:G49)</f>
        <v>43603.199999999997</v>
      </c>
      <c r="H50" s="33">
        <f>G50+F50</f>
        <v>91733.799999999988</v>
      </c>
      <c r="I50" s="145">
        <f>(F50-D50)/D50</f>
        <v>2.2614634958976832E-3</v>
      </c>
    </row>
    <row r="51" spans="1:10" ht="14.65" thickBot="1">
      <c r="A51" s="84"/>
      <c r="B51" s="173"/>
      <c r="C51" s="84" t="s">
        <v>108</v>
      </c>
      <c r="D51" s="79">
        <f>D50+D31+D25+D14+D11</f>
        <v>285266.96601700003</v>
      </c>
      <c r="E51" s="79">
        <f>E50+E31+E25+E14+E11</f>
        <v>285266.94476500002</v>
      </c>
      <c r="F51" s="79">
        <f>F50+F31+F25+F14+F11</f>
        <v>285266.83130059997</v>
      </c>
      <c r="G51" s="79">
        <f t="shared" ref="G51" si="13">G50+G31+G25+G14+G11</f>
        <v>96272</v>
      </c>
      <c r="H51" s="79">
        <f>G51+F51</f>
        <v>381538.83130059997</v>
      </c>
      <c r="I51" s="145">
        <f>(F51-D51)/D51</f>
        <v>-4.7224675868605767E-7</v>
      </c>
    </row>
    <row r="52" spans="1:10" ht="14.45">
      <c r="A52" s="82"/>
      <c r="B52" s="164"/>
      <c r="C52" s="82" t="s">
        <v>109</v>
      </c>
      <c r="D52" s="73"/>
      <c r="E52" s="73"/>
      <c r="F52" s="73"/>
      <c r="G52" s="73"/>
      <c r="H52" s="73"/>
      <c r="I52" s="74"/>
    </row>
    <row r="53" spans="1:10" ht="14.45">
      <c r="A53" s="81"/>
      <c r="B53" s="81"/>
      <c r="C53" s="81">
        <v>0.28689999999999999</v>
      </c>
      <c r="D53" s="28">
        <f>D51*C53</f>
        <v>81843.092550277303</v>
      </c>
      <c r="E53" s="28">
        <f>E51*C53</f>
        <v>81843.086453078504</v>
      </c>
      <c r="F53" s="28">
        <f>F51*C53</f>
        <v>81843.053900142128</v>
      </c>
      <c r="G53" s="29">
        <v>0</v>
      </c>
      <c r="H53" s="28">
        <f>SUM(F53:G53)</f>
        <v>81843.053900142128</v>
      </c>
      <c r="I53" s="41">
        <f>(F53-D53)/D53</f>
        <v>-4.7224675865263079E-7</v>
      </c>
    </row>
    <row r="54" spans="1:10" ht="14.65" thickBot="1">
      <c r="A54" s="154" t="s">
        <v>110</v>
      </c>
      <c r="B54" s="155">
        <v>94050</v>
      </c>
      <c r="C54" s="15" t="s">
        <v>111</v>
      </c>
      <c r="D54" s="30">
        <f>D53</f>
        <v>81843.092550277303</v>
      </c>
      <c r="E54" s="30">
        <f>E53</f>
        <v>81843.086453078504</v>
      </c>
      <c r="F54" s="30">
        <f>F53</f>
        <v>81843.053900142128</v>
      </c>
      <c r="G54" s="30">
        <f>G53</f>
        <v>0</v>
      </c>
      <c r="H54" s="30">
        <f>H53</f>
        <v>81843.053900142128</v>
      </c>
      <c r="I54" s="146">
        <f>(F54-D54)/D54</f>
        <v>-4.7224675865263079E-7</v>
      </c>
    </row>
    <row r="55" spans="1:10" ht="14.65" thickBot="1">
      <c r="A55" s="31"/>
      <c r="B55" s="174"/>
      <c r="C55" s="31" t="s">
        <v>112</v>
      </c>
      <c r="D55" s="30">
        <f>D54+D51</f>
        <v>367110.05856727733</v>
      </c>
      <c r="E55" s="30">
        <f>E54+E51</f>
        <v>367110.03121807851</v>
      </c>
      <c r="F55" s="30">
        <f>F54+F51</f>
        <v>367109.88520074211</v>
      </c>
      <c r="G55" s="30">
        <f t="shared" ref="G55" si="14">G54+G51</f>
        <v>96272</v>
      </c>
      <c r="H55" s="30">
        <f>H54+H51</f>
        <v>463381.88520074211</v>
      </c>
      <c r="I55" s="147">
        <f>(F55-D55)/D55</f>
        <v>-4.722467586389664E-7</v>
      </c>
    </row>
    <row r="56" spans="1:10" ht="14.45">
      <c r="A56" s="2"/>
      <c r="B56" s="175"/>
      <c r="C56" s="2" t="s">
        <v>29</v>
      </c>
      <c r="D56" s="93"/>
      <c r="E56" s="2"/>
      <c r="F56" s="4"/>
      <c r="G56" s="2"/>
      <c r="H56" s="2"/>
      <c r="I56" s="2"/>
    </row>
  </sheetData>
  <mergeCells count="4">
    <mergeCell ref="C1:I1"/>
    <mergeCell ref="C2:I2"/>
    <mergeCell ref="C3:I3"/>
    <mergeCell ref="C4:I4"/>
  </mergeCells>
  <phoneticPr fontId="25" type="noConversion"/>
  <pageMargins left="0.5" right="0.5" top="0.5" bottom="0.5" header="0.5" footer="0.5"/>
  <pageSetup scale="75" orientation="portrait" r:id="rId1"/>
  <headerFooter alignWithMargins="0">
    <oddFooter>&amp;L&amp;"Helvetica,Regular"&amp;12&amp;K000000	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showGridLines="0" zoomScaleNormal="100" workbookViewId="0">
      <selection activeCell="D24" sqref="D24"/>
    </sheetView>
  </sheetViews>
  <sheetFormatPr defaultColWidth="6.59765625" defaultRowHeight="15" customHeight="1"/>
  <cols>
    <col min="1" max="1" width="27.296875" style="1" bestFit="1" customWidth="1"/>
    <col min="2" max="2" width="7.09765625" style="1" bestFit="1" customWidth="1"/>
    <col min="3" max="3" width="6.796875" style="1" bestFit="1" customWidth="1"/>
    <col min="4" max="4" width="9.19921875" style="1" bestFit="1" customWidth="1"/>
    <col min="5" max="5" width="7" style="1" bestFit="1" customWidth="1"/>
    <col min="6" max="16384" width="6.59765625" style="1"/>
  </cols>
  <sheetData>
    <row r="1" spans="1:8" ht="15.95" customHeight="1">
      <c r="A1" s="189" t="s">
        <v>113</v>
      </c>
      <c r="B1" s="190"/>
      <c r="C1" s="190"/>
      <c r="D1" s="190"/>
      <c r="E1" s="191"/>
    </row>
    <row r="2" spans="1:8" ht="46.5" customHeight="1">
      <c r="A2" s="42" t="s">
        <v>114</v>
      </c>
      <c r="B2" s="43" t="s">
        <v>115</v>
      </c>
      <c r="C2" s="44" t="s">
        <v>116</v>
      </c>
      <c r="D2" s="45" t="s">
        <v>117</v>
      </c>
      <c r="E2" s="46" t="s">
        <v>118</v>
      </c>
    </row>
    <row r="3" spans="1:8" ht="15.95" customHeight="1">
      <c r="A3" s="5"/>
      <c r="B3" s="35"/>
      <c r="C3" s="36"/>
      <c r="D3" s="36"/>
      <c r="E3" s="57"/>
    </row>
    <row r="4" spans="1:8" ht="15.95" customHeight="1">
      <c r="A4" s="53" t="s">
        <v>119</v>
      </c>
      <c r="B4" s="35"/>
      <c r="C4" s="36"/>
      <c r="D4" s="36"/>
      <c r="E4" s="57"/>
    </row>
    <row r="5" spans="1:8" ht="15.95" customHeight="1">
      <c r="A5" s="6" t="s">
        <v>120</v>
      </c>
      <c r="B5" s="37">
        <v>2</v>
      </c>
      <c r="C5" s="34">
        <f>5*8</f>
        <v>40</v>
      </c>
      <c r="D5" s="37">
        <v>20</v>
      </c>
      <c r="E5" s="58">
        <f>B5*C5*D5</f>
        <v>1600</v>
      </c>
    </row>
    <row r="6" spans="1:8" ht="15.95" customHeight="1">
      <c r="A6" s="6" t="s">
        <v>121</v>
      </c>
      <c r="B6" s="37">
        <v>2</v>
      </c>
      <c r="C6" s="34">
        <f>5*8</f>
        <v>40</v>
      </c>
      <c r="D6" s="37">
        <v>20</v>
      </c>
      <c r="E6" s="58">
        <f>B6*C6*D6</f>
        <v>1600</v>
      </c>
    </row>
    <row r="7" spans="1:8" ht="15.95" customHeight="1">
      <c r="A7" s="6" t="s">
        <v>122</v>
      </c>
      <c r="B7" s="95">
        <v>5</v>
      </c>
      <c r="C7" s="34">
        <f>5*8</f>
        <v>40</v>
      </c>
      <c r="D7" s="95">
        <v>20</v>
      </c>
      <c r="E7" s="96">
        <f>B7*C7*D7</f>
        <v>4000</v>
      </c>
      <c r="F7" s="97"/>
      <c r="G7" s="97"/>
      <c r="H7" s="97"/>
    </row>
    <row r="8" spans="1:8" ht="15.95" customHeight="1">
      <c r="A8" s="47" t="s">
        <v>123</v>
      </c>
      <c r="B8" s="48"/>
      <c r="C8" s="49"/>
      <c r="D8" s="48"/>
      <c r="E8" s="59">
        <f>SUM(E5:E7)</f>
        <v>7200</v>
      </c>
    </row>
    <row r="9" spans="1:8" ht="15.95" customHeight="1">
      <c r="A9" s="53" t="s">
        <v>124</v>
      </c>
      <c r="B9" s="38"/>
      <c r="C9" s="36"/>
      <c r="D9" s="38"/>
      <c r="E9" s="60"/>
    </row>
    <row r="10" spans="1:8" ht="15.95" customHeight="1">
      <c r="A10" s="6" t="s">
        <v>120</v>
      </c>
      <c r="B10" s="37">
        <v>2</v>
      </c>
      <c r="C10" s="34">
        <f>50.56*8</f>
        <v>404.48</v>
      </c>
      <c r="D10" s="37">
        <v>10</v>
      </c>
      <c r="E10" s="58">
        <f>B10*C10*D10</f>
        <v>8089.6</v>
      </c>
      <c r="F10" s="87"/>
    </row>
    <row r="11" spans="1:8" ht="15.95" customHeight="1">
      <c r="A11" s="6" t="s">
        <v>121</v>
      </c>
      <c r="B11" s="37">
        <v>2</v>
      </c>
      <c r="C11" s="34">
        <f>50.56*8</f>
        <v>404.48</v>
      </c>
      <c r="D11" s="37">
        <v>10</v>
      </c>
      <c r="E11" s="58">
        <f>B11*C11*D11</f>
        <v>8089.6</v>
      </c>
    </row>
    <row r="12" spans="1:8" ht="15.95" customHeight="1">
      <c r="A12" s="6" t="s">
        <v>122</v>
      </c>
      <c r="B12" s="98">
        <v>5</v>
      </c>
      <c r="C12" s="34">
        <f>50.56*8</f>
        <v>404.48</v>
      </c>
      <c r="D12" s="95">
        <v>10</v>
      </c>
      <c r="E12" s="99">
        <f>B12*C12*D12</f>
        <v>20224</v>
      </c>
      <c r="F12" s="97"/>
      <c r="G12" s="97"/>
    </row>
    <row r="13" spans="1:8" ht="15.75" customHeight="1" thickBot="1">
      <c r="A13" s="50" t="s">
        <v>123</v>
      </c>
      <c r="B13" s="51"/>
      <c r="C13" s="52"/>
      <c r="D13" s="51"/>
      <c r="E13" s="61">
        <f>SUM(E10:E12)</f>
        <v>36403.199999999997</v>
      </c>
    </row>
    <row r="14" spans="1:8" ht="15.75" customHeight="1" thickBot="1">
      <c r="A14" s="7" t="s">
        <v>125</v>
      </c>
      <c r="B14" s="39"/>
      <c r="C14" s="39"/>
      <c r="D14" s="39"/>
      <c r="E14" s="62">
        <f>E13+E8</f>
        <v>43603.199999999997</v>
      </c>
    </row>
    <row r="28" spans="5:5" ht="15" customHeight="1">
      <c r="E28" s="85"/>
    </row>
    <row r="29" spans="5:5" ht="15" customHeight="1">
      <c r="E29" s="85"/>
    </row>
    <row r="30" spans="5:5" ht="15" customHeight="1">
      <c r="E30" s="69"/>
    </row>
  </sheetData>
  <mergeCells count="1">
    <mergeCell ref="A1:E1"/>
  </mergeCells>
  <pageMargins left="0.75" right="0.75" top="1" bottom="1" header="0.5" footer="0.5"/>
  <pageSetup orientation="portrait"/>
  <headerFooter alignWithMargins="0"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812C67-7642-4E3F-88A0-D6A60D7333F0}"/>
</file>

<file path=customXml/itemProps2.xml><?xml version="1.0" encoding="utf-8"?>
<ds:datastoreItem xmlns:ds="http://schemas.openxmlformats.org/officeDocument/2006/customXml" ds:itemID="{917E8C5C-EAA3-4A42-96FE-B0C13BBFFCEE}"/>
</file>

<file path=customXml/itemProps3.xml><?xml version="1.0" encoding="utf-8"?>
<ds:datastoreItem xmlns:ds="http://schemas.openxmlformats.org/officeDocument/2006/customXml" ds:itemID="{A109DAA7-70DB-4414-9AC5-8CFF5C75AD47}"/>
</file>

<file path=customXml/itemProps4.xml><?xml version="1.0" encoding="utf-8"?>
<ds:datastoreItem xmlns:ds="http://schemas.openxmlformats.org/officeDocument/2006/customXml" ds:itemID="{BE59E662-1A9C-4CE2-8BB8-6B45BA32E4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 Noel</dc:creator>
  <cp:keywords/>
  <dc:description/>
  <cp:lastModifiedBy>Arlette G. Gutierrez</cp:lastModifiedBy>
  <cp:revision/>
  <dcterms:created xsi:type="dcterms:W3CDTF">2014-11-21T15:16:24Z</dcterms:created>
  <dcterms:modified xsi:type="dcterms:W3CDTF">2023-09-06T20:55:35Z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3544400.00000000</vt:lpwstr>
  </property>
  <property fmtid="{D5CDD505-2E9C-101B-9397-08002B2CF9AE}" pid="3" name="ContentTypeId">
    <vt:lpwstr>0x0101003206C8355D678A459F2EF8957171B231</vt:lpwstr>
  </property>
  <property fmtid="{D5CDD505-2E9C-101B-9397-08002B2CF9AE}" pid="4" name="MediaServiceImageTags">
    <vt:lpwstr/>
  </property>
</Properties>
</file>