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mart\Partners of the Americas\Partners of the Americas\F&amp;A - Organizational F&amp;A\Finance Policies &amp; Procedures\Budgets, Accounting &amp; Awards\"/>
    </mc:Choice>
  </mc:AlternateContent>
  <xr:revisionPtr revIDLastSave="0" documentId="13_ncr:1_{6C9DE6F2-43B8-41B1-8C5D-051A73AE0D6A}" xr6:coauthVersionLast="47" xr6:coauthVersionMax="47" xr10:uidLastSave="{00000000-0000-0000-0000-000000000000}"/>
  <bookViews>
    <workbookView xWindow="1008" yWindow="3714" windowWidth="7500" windowHeight="9420" firstSheet="1" activeTab="1" xr2:uid="{00000000-000D-0000-FFFF-FFFF00000000}"/>
  </bookViews>
  <sheets>
    <sheet name="Budget Summary" sheetId="19" r:id="rId1"/>
    <sheet name="Project Budget" sheetId="4" r:id="rId2"/>
    <sheet name="SAI" sheetId="29" r:id="rId3"/>
    <sheet name="Fundación Carvajal" sheetId="30" r:id="rId4"/>
    <sheet name="Universidad Javeriana" sheetId="31" r:id="rId5"/>
    <sheet name="SF-424 Cost Categories" sheetId="26" state="hidden" r:id="rId6"/>
  </sheets>
  <definedNames>
    <definedName name="Category" localSheetId="3">#N/A</definedName>
    <definedName name="Category" localSheetId="2">#N/A</definedName>
    <definedName name="Category" localSheetId="4">#N/A</definedName>
    <definedName name="Category">'Project Budget'!$G$16:$G$208</definedName>
    <definedName name="DL_Country" localSheetId="3">#N/A</definedName>
    <definedName name="DL_Country" localSheetId="2">#N/A</definedName>
    <definedName name="DL_Country" localSheetId="4">#N/A</definedName>
    <definedName name="DL_Country">'Project Budget'!#REF!</definedName>
    <definedName name="DL_TotalDOL" localSheetId="3">#N/A</definedName>
    <definedName name="DL_TotalDOL" localSheetId="2">#N/A</definedName>
    <definedName name="DL_TotalDOL" localSheetId="4">#N/A</definedName>
    <definedName name="DL_TotalDOL">'Project Budget'!$R$15:$R$35</definedName>
    <definedName name="EQ_Country" localSheetId="3">#N/A</definedName>
    <definedName name="EQ_Country" localSheetId="2">#N/A</definedName>
    <definedName name="EQ_Country" localSheetId="4">#N/A</definedName>
    <definedName name="EQ_Country">'Project Budget'!#REF!</definedName>
    <definedName name="EQ_TotalDOL" localSheetId="3">#N/A</definedName>
    <definedName name="EQ_TotalDOL" localSheetId="2">#N/A</definedName>
    <definedName name="EQ_TotalDOL" localSheetId="4">#N/A</definedName>
    <definedName name="EQ_TotalDOL">'Project Budget'!#REF!</definedName>
    <definedName name="inf" localSheetId="3">#N/A</definedName>
    <definedName name="inf" localSheetId="2">#N/A</definedName>
    <definedName name="inf" localSheetId="4">#N/A</definedName>
    <definedName name="inf">#REF!</definedName>
    <definedName name="JEA_Country" localSheetId="3">#N/A</definedName>
    <definedName name="JEA_Country" localSheetId="2">#N/A</definedName>
    <definedName name="JEA_Country" localSheetId="4">#N/A</definedName>
    <definedName name="JEA_Country">#REF!</definedName>
    <definedName name="JEA_Year1" localSheetId="3">#N/A</definedName>
    <definedName name="JEA_Year1" localSheetId="2">#N/A</definedName>
    <definedName name="JEA_Year1" localSheetId="4">#N/A</definedName>
    <definedName name="JEA_Year1">#REF!</definedName>
    <definedName name="ME_Country" localSheetId="3">#N/A</definedName>
    <definedName name="ME_Country" localSheetId="2">#N/A</definedName>
    <definedName name="ME_Country" localSheetId="4">#N/A</definedName>
    <definedName name="ME_Country">'Project Budget'!#REF!</definedName>
    <definedName name="ME_TotalDOL" localSheetId="3">#N/A</definedName>
    <definedName name="ME_TotalDOL" localSheetId="2">#N/A</definedName>
    <definedName name="ME_TotalDOL" localSheetId="4">#N/A</definedName>
    <definedName name="ME_TotalDOL">'Project Budget'!$R$179:$R$192</definedName>
    <definedName name="O1_Country" localSheetId="3">#N/A</definedName>
    <definedName name="O1_Country" localSheetId="2">#N/A</definedName>
    <definedName name="O1_Country" localSheetId="4">#N/A</definedName>
    <definedName name="O1_Country">'Project Budget'!#REF!</definedName>
    <definedName name="O1_TotalDOL" localSheetId="3">#N/A</definedName>
    <definedName name="O1_TotalDOL" localSheetId="2">#N/A</definedName>
    <definedName name="O1_TotalDOL" localSheetId="4">#N/A</definedName>
    <definedName name="O1_TotalDOL">'Project Budget'!$R$85:$R$85</definedName>
    <definedName name="O2_Country" localSheetId="3">#N/A</definedName>
    <definedName name="O2_Country" localSheetId="2">#N/A</definedName>
    <definedName name="O2_Country" localSheetId="4">#N/A</definedName>
    <definedName name="O2_Country">'Project Budget'!#REF!</definedName>
    <definedName name="O2_TotalDOL" localSheetId="3">#N/A</definedName>
    <definedName name="O2_TotalDOL" localSheetId="2">#N/A</definedName>
    <definedName name="O2_TotalDOL" localSheetId="4">#N/A</definedName>
    <definedName name="O2_TotalDOL">'Project Budget'!#REF!</definedName>
    <definedName name="_xlnm.Print_Area" localSheetId="3">#N/A</definedName>
    <definedName name="_xlnm.Print_Area" localSheetId="1">'Project Budget'!$F$1:$T$210</definedName>
    <definedName name="_xlnm.Print_Area" localSheetId="2">#N/A</definedName>
    <definedName name="_xlnm.Print_Area" localSheetId="4">#N/A</definedName>
    <definedName name="SU_Country" localSheetId="3">#N/A</definedName>
    <definedName name="SU_Country" localSheetId="2">#N/A</definedName>
    <definedName name="SU_Country" localSheetId="4">#N/A</definedName>
    <definedName name="SU_Country">'Project Budget'!#REF!</definedName>
    <definedName name="SU_TotalDOL" localSheetId="3">#N/A</definedName>
    <definedName name="SU_TotalDOL" localSheetId="2">#N/A</definedName>
    <definedName name="SU_TotalDOL" localSheetId="4">#N/A</definedName>
    <definedName name="SU_TotalDOL">'Project Budget'!$R$66:$R$78</definedName>
    <definedName name="TotalDOL" localSheetId="3">#N/A</definedName>
    <definedName name="TotalDOL" localSheetId="2">#N/A</definedName>
    <definedName name="TotalDOL" localSheetId="4">#N/A</definedName>
    <definedName name="TotalDOL">'Project Budget'!$R$16:$R$208</definedName>
    <definedName name="TR_Country" localSheetId="3">#N/A</definedName>
    <definedName name="TR_Country" localSheetId="2">#N/A</definedName>
    <definedName name="TR_Country" localSheetId="4">#N/A</definedName>
    <definedName name="TR_Country">'Project Budget'!#REF!</definedName>
    <definedName name="TR_TotalDOL" localSheetId="3">#N/A</definedName>
    <definedName name="TR_TotalDOL" localSheetId="2">#N/A</definedName>
    <definedName name="TR_TotalDOL" localSheetId="4">#N/A</definedName>
    <definedName name="TR_TotalDOL">'Project Budget'!$R$40:$R$56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6" i="29" l="1"/>
  <c r="L15" i="29" l="1"/>
  <c r="L14" i="29"/>
  <c r="J79" i="4"/>
  <c r="J56" i="4"/>
  <c r="J55" i="4"/>
  <c r="J54" i="4"/>
  <c r="J53" i="4"/>
  <c r="N120" i="31"/>
  <c r="N121" i="31"/>
  <c r="N122" i="31"/>
  <c r="N107" i="31"/>
  <c r="N108" i="31"/>
  <c r="N91" i="31"/>
  <c r="N92" i="31"/>
  <c r="N93" i="31"/>
  <c r="N94" i="31"/>
  <c r="N95" i="31"/>
  <c r="N70" i="31"/>
  <c r="N71" i="31"/>
  <c r="N72" i="31"/>
  <c r="N73" i="31"/>
  <c r="N74" i="31"/>
  <c r="N75" i="31"/>
  <c r="N76" i="31"/>
  <c r="N77" i="31"/>
  <c r="N78" i="31"/>
  <c r="N79" i="31"/>
  <c r="N43" i="31"/>
  <c r="N44" i="31"/>
  <c r="N45" i="31"/>
  <c r="N46" i="31"/>
  <c r="N47" i="31"/>
  <c r="N48" i="31"/>
  <c r="N50" i="31"/>
  <c r="N51" i="31"/>
  <c r="N52" i="31"/>
  <c r="N53" i="31"/>
  <c r="N55" i="31"/>
  <c r="N56" i="31"/>
  <c r="N57" i="31"/>
  <c r="N58" i="31"/>
  <c r="N30" i="31"/>
  <c r="N27" i="31"/>
  <c r="N16" i="31"/>
  <c r="M103" i="30"/>
  <c r="N118" i="29"/>
  <c r="N119" i="29"/>
  <c r="N122" i="29"/>
  <c r="N123" i="29"/>
  <c r="N124" i="29"/>
  <c r="N98" i="29"/>
  <c r="N99" i="29"/>
  <c r="N102" i="29"/>
  <c r="N103" i="29"/>
  <c r="N104" i="29"/>
  <c r="N105" i="29"/>
  <c r="N107" i="29"/>
  <c r="N108" i="29"/>
  <c r="N82" i="29"/>
  <c r="N83" i="29"/>
  <c r="N86" i="29"/>
  <c r="N87" i="29"/>
  <c r="N88" i="29"/>
  <c r="N63" i="29"/>
  <c r="N64" i="29"/>
  <c r="N67" i="29"/>
  <c r="N68" i="29"/>
  <c r="N69" i="29"/>
  <c r="N70" i="29"/>
  <c r="N71" i="29"/>
  <c r="N72" i="29"/>
  <c r="N52" i="29"/>
  <c r="N56" i="29"/>
  <c r="N50" i="29"/>
  <c r="N48" i="29"/>
  <c r="N47" i="29"/>
  <c r="N45" i="29"/>
  <c r="N35" i="29"/>
  <c r="N36" i="29"/>
  <c r="N37" i="29"/>
  <c r="N39" i="29"/>
  <c r="N40" i="29"/>
  <c r="N41" i="29"/>
  <c r="N42" i="29"/>
  <c r="N43" i="29"/>
  <c r="N34" i="29"/>
  <c r="N16" i="29"/>
  <c r="N17" i="29"/>
  <c r="N19" i="29"/>
  <c r="N20" i="29"/>
  <c r="N21" i="29"/>
  <c r="N23" i="29"/>
  <c r="R140" i="4"/>
  <c r="R141" i="4"/>
  <c r="Q23" i="4" l="1"/>
  <c r="O23" i="4"/>
  <c r="M23" i="4"/>
  <c r="K23" i="4"/>
  <c r="O37" i="31"/>
  <c r="I34" i="31"/>
  <c r="K34" i="31"/>
  <c r="M34" i="31"/>
  <c r="N34" i="31" s="1"/>
  <c r="M35" i="31"/>
  <c r="N35" i="31" s="1"/>
  <c r="K35" i="31"/>
  <c r="I35" i="31"/>
  <c r="G35" i="31"/>
  <c r="O58" i="29"/>
  <c r="M56" i="29"/>
  <c r="K56" i="29"/>
  <c r="I56" i="29"/>
  <c r="G56" i="29"/>
  <c r="Q74" i="4"/>
  <c r="O74" i="4"/>
  <c r="M74" i="4"/>
  <c r="K74" i="4"/>
  <c r="G34" i="31"/>
  <c r="L39" i="30"/>
  <c r="J39" i="30"/>
  <c r="H39" i="30"/>
  <c r="F39" i="30"/>
  <c r="M39" i="30" s="1"/>
  <c r="M55" i="29"/>
  <c r="K55" i="29"/>
  <c r="I55" i="29"/>
  <c r="G55" i="29"/>
  <c r="N55" i="29" s="1"/>
  <c r="O39" i="30" l="1"/>
  <c r="P35" i="31"/>
  <c r="P55" i="29"/>
  <c r="P56" i="29"/>
  <c r="R74" i="4"/>
  <c r="R23" i="4"/>
  <c r="T23" i="4" s="1"/>
  <c r="T74" i="4"/>
  <c r="P34" i="31"/>
  <c r="J27" i="4"/>
  <c r="O74" i="29" l="1"/>
  <c r="O78" i="29" s="1"/>
  <c r="N42" i="30"/>
  <c r="I32" i="31"/>
  <c r="J34" i="30"/>
  <c r="H16" i="30"/>
  <c r="H14" i="30"/>
  <c r="H13" i="30"/>
  <c r="H17" i="30"/>
  <c r="I53" i="29"/>
  <c r="I48" i="29"/>
  <c r="N81" i="30"/>
  <c r="N85" i="30" s="1"/>
  <c r="S175" i="4"/>
  <c r="S123" i="4"/>
  <c r="S98" i="4"/>
  <c r="S81" i="4"/>
  <c r="J195" i="4" l="1"/>
  <c r="J50" i="4"/>
  <c r="J46" i="4"/>
  <c r="J28" i="4"/>
  <c r="J196" i="4" l="1"/>
  <c r="J194" i="4"/>
  <c r="Q197" i="4"/>
  <c r="Q198" i="4"/>
  <c r="O197" i="4"/>
  <c r="O198" i="4"/>
  <c r="M198" i="4"/>
  <c r="M197" i="4"/>
  <c r="K198" i="4"/>
  <c r="K197" i="4"/>
  <c r="R197" i="4" l="1"/>
  <c r="T197" i="4" s="1"/>
  <c r="R198" i="4"/>
  <c r="T198" i="4" s="1"/>
  <c r="K194" i="4"/>
  <c r="K196" i="4"/>
  <c r="M194" i="4"/>
  <c r="M196" i="4"/>
  <c r="O194" i="4"/>
  <c r="O195" i="4"/>
  <c r="O196" i="4"/>
  <c r="K195" i="4"/>
  <c r="M195" i="4"/>
  <c r="Q194" i="4"/>
  <c r="Q195" i="4"/>
  <c r="Q196" i="4"/>
  <c r="R196" i="4" l="1"/>
  <c r="T196" i="4" s="1"/>
  <c r="R194" i="4"/>
  <c r="T194" i="4" s="1"/>
  <c r="R195" i="4"/>
  <c r="T195" i="4" s="1"/>
  <c r="S142" i="4"/>
  <c r="T140" i="4"/>
  <c r="K113" i="4" l="1"/>
  <c r="K14" i="31"/>
  <c r="M15" i="31" l="1"/>
  <c r="N15" i="31" s="1"/>
  <c r="M16" i="31"/>
  <c r="M14" i="31"/>
  <c r="N14" i="31" s="1"/>
  <c r="K15" i="31"/>
  <c r="K16" i="31"/>
  <c r="I15" i="31"/>
  <c r="I16" i="31"/>
  <c r="I14" i="31"/>
  <c r="F32" i="30"/>
  <c r="E17" i="29"/>
  <c r="G17" i="29" s="1"/>
  <c r="H17" i="29"/>
  <c r="I17" i="29" s="1"/>
  <c r="J17" i="29"/>
  <c r="K17" i="29" s="1"/>
  <c r="M17" i="29"/>
  <c r="H20" i="29"/>
  <c r="G121" i="31"/>
  <c r="G122" i="31"/>
  <c r="G120" i="31"/>
  <c r="J16" i="4"/>
  <c r="M16" i="4" s="1"/>
  <c r="Q20" i="4"/>
  <c r="O20" i="4"/>
  <c r="M20" i="4"/>
  <c r="K20" i="4"/>
  <c r="K24" i="4"/>
  <c r="R20" i="4" l="1"/>
  <c r="T20" i="4" s="1"/>
  <c r="P17" i="29"/>
  <c r="K16" i="4"/>
  <c r="Q16" i="4"/>
  <c r="O16" i="4"/>
  <c r="M121" i="31"/>
  <c r="M122" i="31"/>
  <c r="M48" i="31"/>
  <c r="M120" i="31"/>
  <c r="K48" i="31"/>
  <c r="K121" i="31"/>
  <c r="K122" i="31"/>
  <c r="K120" i="31"/>
  <c r="I121" i="31"/>
  <c r="I122" i="31"/>
  <c r="I120" i="31"/>
  <c r="J105" i="30"/>
  <c r="J106" i="30"/>
  <c r="J104" i="30"/>
  <c r="H105" i="30"/>
  <c r="H106" i="30"/>
  <c r="H104" i="30"/>
  <c r="K123" i="29"/>
  <c r="K124" i="29"/>
  <c r="K122" i="29"/>
  <c r="I123" i="29"/>
  <c r="I124" i="29"/>
  <c r="I122" i="29"/>
  <c r="Q185" i="4"/>
  <c r="Q184" i="4"/>
  <c r="O185" i="4"/>
  <c r="O184" i="4"/>
  <c r="M185" i="4"/>
  <c r="M184" i="4"/>
  <c r="K173" i="4"/>
  <c r="O157" i="4"/>
  <c r="O121" i="4"/>
  <c r="S62" i="4"/>
  <c r="Q62" i="4"/>
  <c r="O62" i="4"/>
  <c r="M62" i="4"/>
  <c r="K62" i="4"/>
  <c r="L51" i="30"/>
  <c r="J51" i="30"/>
  <c r="H51" i="30"/>
  <c r="F51" i="30"/>
  <c r="M51" i="30" s="1"/>
  <c r="O164" i="4"/>
  <c r="O163" i="4"/>
  <c r="O162" i="4"/>
  <c r="O161" i="4"/>
  <c r="O160" i="4"/>
  <c r="O159" i="4"/>
  <c r="O158" i="4"/>
  <c r="K157" i="4"/>
  <c r="M157" i="4"/>
  <c r="Q157" i="4"/>
  <c r="O135" i="4"/>
  <c r="O133" i="4"/>
  <c r="O131" i="4"/>
  <c r="K137" i="4"/>
  <c r="M137" i="4"/>
  <c r="O137" i="4"/>
  <c r="Q137" i="4"/>
  <c r="K138" i="4"/>
  <c r="M138" i="4"/>
  <c r="O138" i="4"/>
  <c r="Q138" i="4"/>
  <c r="K135" i="4"/>
  <c r="M135" i="4"/>
  <c r="Q135" i="4"/>
  <c r="K133" i="4"/>
  <c r="M133" i="4"/>
  <c r="Q133" i="4"/>
  <c r="Q114" i="4"/>
  <c r="O114" i="4"/>
  <c r="K114" i="4"/>
  <c r="M114" i="4"/>
  <c r="G122" i="29"/>
  <c r="M122" i="29"/>
  <c r="G123" i="29"/>
  <c r="M123" i="29"/>
  <c r="G124" i="29"/>
  <c r="M124" i="29"/>
  <c r="J42" i="29"/>
  <c r="L42" i="29"/>
  <c r="L41" i="29"/>
  <c r="J41" i="29"/>
  <c r="R16" i="4" l="1"/>
  <c r="R133" i="4"/>
  <c r="R114" i="4"/>
  <c r="T114" i="4" s="1"/>
  <c r="R135" i="4"/>
  <c r="T135" i="4" s="1"/>
  <c r="R138" i="4"/>
  <c r="T138" i="4" s="1"/>
  <c r="R157" i="4"/>
  <c r="T157" i="4" s="1"/>
  <c r="R137" i="4"/>
  <c r="T137" i="4" s="1"/>
  <c r="P123" i="29"/>
  <c r="O51" i="30"/>
  <c r="T133" i="4"/>
  <c r="P124" i="29"/>
  <c r="P122" i="29"/>
  <c r="O124" i="31"/>
  <c r="O128" i="31" s="1"/>
  <c r="M108" i="31"/>
  <c r="K108" i="31"/>
  <c r="I108" i="31"/>
  <c r="G108" i="31"/>
  <c r="M107" i="31"/>
  <c r="K107" i="31"/>
  <c r="I107" i="31"/>
  <c r="G107" i="31"/>
  <c r="M95" i="31"/>
  <c r="K95" i="31"/>
  <c r="I95" i="31"/>
  <c r="G95" i="31"/>
  <c r="M94" i="31"/>
  <c r="K94" i="31"/>
  <c r="I94" i="31"/>
  <c r="G94" i="31"/>
  <c r="M93" i="31"/>
  <c r="K93" i="31"/>
  <c r="I93" i="31"/>
  <c r="G93" i="31"/>
  <c r="M92" i="31"/>
  <c r="K92" i="31"/>
  <c r="I92" i="31"/>
  <c r="G92" i="31"/>
  <c r="M91" i="31"/>
  <c r="K91" i="31"/>
  <c r="I91" i="31"/>
  <c r="G91" i="31"/>
  <c r="O81" i="31"/>
  <c r="O85" i="31" s="1"/>
  <c r="M71" i="31"/>
  <c r="M72" i="31"/>
  <c r="M73" i="31"/>
  <c r="M74" i="31"/>
  <c r="M75" i="31"/>
  <c r="M76" i="31"/>
  <c r="M77" i="31"/>
  <c r="M78" i="31"/>
  <c r="M79" i="31"/>
  <c r="M70" i="31"/>
  <c r="K71" i="31"/>
  <c r="K72" i="31"/>
  <c r="K73" i="31"/>
  <c r="K74" i="31"/>
  <c r="K75" i="31"/>
  <c r="K76" i="31"/>
  <c r="K77" i="31"/>
  <c r="K78" i="31"/>
  <c r="K79" i="31"/>
  <c r="K70" i="31"/>
  <c r="I71" i="31"/>
  <c r="I72" i="31"/>
  <c r="I73" i="31"/>
  <c r="I74" i="31"/>
  <c r="I75" i="31"/>
  <c r="I76" i="31"/>
  <c r="I77" i="31"/>
  <c r="I78" i="31"/>
  <c r="I79" i="31"/>
  <c r="I70" i="31"/>
  <c r="G71" i="31"/>
  <c r="G72" i="31"/>
  <c r="G73" i="31"/>
  <c r="G74" i="31"/>
  <c r="G75" i="31"/>
  <c r="G76" i="31"/>
  <c r="G77" i="31"/>
  <c r="G78" i="31"/>
  <c r="G79" i="31"/>
  <c r="G70" i="31"/>
  <c r="O60" i="31"/>
  <c r="O64" i="31" s="1"/>
  <c r="O130" i="31" s="1"/>
  <c r="P49" i="31"/>
  <c r="J69" i="30"/>
  <c r="J68" i="30"/>
  <c r="L49" i="30"/>
  <c r="J49" i="30"/>
  <c r="N28" i="30"/>
  <c r="L28" i="30"/>
  <c r="J28" i="30"/>
  <c r="H28" i="30"/>
  <c r="F28" i="30"/>
  <c r="M28" i="30" s="1"/>
  <c r="N108" i="30"/>
  <c r="N112" i="30" s="1"/>
  <c r="L105" i="30"/>
  <c r="L106" i="30"/>
  <c r="F106" i="30"/>
  <c r="M106" i="30" s="1"/>
  <c r="F105" i="30"/>
  <c r="M105" i="30" s="1"/>
  <c r="L92" i="30"/>
  <c r="L91" i="30"/>
  <c r="J92" i="30"/>
  <c r="J91" i="30"/>
  <c r="L75" i="30"/>
  <c r="L76" i="30"/>
  <c r="L77" i="30"/>
  <c r="L78" i="30"/>
  <c r="L79" i="30"/>
  <c r="L74" i="30"/>
  <c r="J75" i="30"/>
  <c r="J76" i="30"/>
  <c r="J77" i="30"/>
  <c r="J78" i="30"/>
  <c r="J79" i="30"/>
  <c r="J74" i="30"/>
  <c r="H75" i="30"/>
  <c r="H76" i="30"/>
  <c r="H77" i="30"/>
  <c r="H78" i="30"/>
  <c r="H79" i="30"/>
  <c r="H74" i="30"/>
  <c r="F75" i="30"/>
  <c r="M75" i="30" s="1"/>
  <c r="F76" i="30"/>
  <c r="M76" i="30" s="1"/>
  <c r="F77" i="30"/>
  <c r="M77" i="30" s="1"/>
  <c r="F78" i="30"/>
  <c r="M78" i="30" s="1"/>
  <c r="F79" i="30"/>
  <c r="M79" i="30" s="1"/>
  <c r="F74" i="30"/>
  <c r="M74" i="30" s="1"/>
  <c r="M121" i="4"/>
  <c r="Q121" i="4"/>
  <c r="K121" i="4"/>
  <c r="L72" i="30"/>
  <c r="J72" i="30"/>
  <c r="H72" i="30"/>
  <c r="F72" i="30"/>
  <c r="M72" i="30" s="1"/>
  <c r="L71" i="30"/>
  <c r="J71" i="30"/>
  <c r="H71" i="30"/>
  <c r="F71" i="30"/>
  <c r="M71" i="30" s="1"/>
  <c r="L70" i="30"/>
  <c r="J70" i="30"/>
  <c r="H70" i="30"/>
  <c r="F70" i="30"/>
  <c r="M70" i="30" s="1"/>
  <c r="K119" i="4"/>
  <c r="M119" i="4"/>
  <c r="O119" i="4"/>
  <c r="Q119" i="4"/>
  <c r="K120" i="4"/>
  <c r="M120" i="4"/>
  <c r="O120" i="4"/>
  <c r="Q120" i="4"/>
  <c r="L53" i="30"/>
  <c r="L54" i="30"/>
  <c r="L55" i="30"/>
  <c r="L56" i="30"/>
  <c r="L52" i="30"/>
  <c r="J53" i="30"/>
  <c r="J54" i="30"/>
  <c r="J55" i="30"/>
  <c r="J56" i="30"/>
  <c r="J52" i="30"/>
  <c r="Q117" i="4"/>
  <c r="O117" i="4"/>
  <c r="K117" i="4"/>
  <c r="M117" i="4"/>
  <c r="K115" i="4"/>
  <c r="M115" i="4"/>
  <c r="O115" i="4"/>
  <c r="Q115" i="4"/>
  <c r="K116" i="4"/>
  <c r="M116" i="4"/>
  <c r="O116" i="4"/>
  <c r="Q116" i="4"/>
  <c r="H56" i="30"/>
  <c r="K112" i="4"/>
  <c r="M112" i="4"/>
  <c r="O112" i="4"/>
  <c r="Q112" i="4"/>
  <c r="M113" i="4"/>
  <c r="O113" i="4"/>
  <c r="Q113" i="4"/>
  <c r="H55" i="30"/>
  <c r="H54" i="30"/>
  <c r="H53" i="30"/>
  <c r="H52" i="30"/>
  <c r="F56" i="30"/>
  <c r="M56" i="30" s="1"/>
  <c r="F55" i="30"/>
  <c r="M55" i="30" s="1"/>
  <c r="F54" i="30"/>
  <c r="M54" i="30" s="1"/>
  <c r="F53" i="30"/>
  <c r="M53" i="30" s="1"/>
  <c r="F52" i="30"/>
  <c r="M52" i="30" s="1"/>
  <c r="M89" i="4"/>
  <c r="O89" i="4"/>
  <c r="Q89" i="4"/>
  <c r="K89" i="4"/>
  <c r="K88" i="4"/>
  <c r="M88" i="4"/>
  <c r="O88" i="4"/>
  <c r="Q88" i="4"/>
  <c r="M55" i="4"/>
  <c r="J21" i="4"/>
  <c r="E20" i="29"/>
  <c r="E23" i="29"/>
  <c r="E22" i="29"/>
  <c r="L19" i="29"/>
  <c r="L20" i="29"/>
  <c r="J22" i="29"/>
  <c r="J20" i="29"/>
  <c r="R112" i="4" l="1"/>
  <c r="R120" i="4"/>
  <c r="R115" i="4"/>
  <c r="R117" i="4"/>
  <c r="R88" i="4"/>
  <c r="T88" i="4" s="1"/>
  <c r="R113" i="4"/>
  <c r="T113" i="4" s="1"/>
  <c r="R119" i="4"/>
  <c r="R121" i="4"/>
  <c r="T121" i="4" s="1"/>
  <c r="R89" i="4"/>
  <c r="T89" i="4" s="1"/>
  <c r="R116" i="4"/>
  <c r="O21" i="4"/>
  <c r="M21" i="4"/>
  <c r="P121" i="31"/>
  <c r="P107" i="31"/>
  <c r="P122" i="31"/>
  <c r="P120" i="31"/>
  <c r="P95" i="31"/>
  <c r="P108" i="31"/>
  <c r="P79" i="31"/>
  <c r="P71" i="31"/>
  <c r="P73" i="31"/>
  <c r="P93" i="31"/>
  <c r="P92" i="31"/>
  <c r="P94" i="31"/>
  <c r="P91" i="31"/>
  <c r="P76" i="31"/>
  <c r="P74" i="31"/>
  <c r="P75" i="31"/>
  <c r="P70" i="31"/>
  <c r="P72" i="31"/>
  <c r="P78" i="31"/>
  <c r="P77" i="31"/>
  <c r="O54" i="30"/>
  <c r="O75" i="30"/>
  <c r="O79" i="30"/>
  <c r="O52" i="30"/>
  <c r="O77" i="30"/>
  <c r="O106" i="30"/>
  <c r="O74" i="30"/>
  <c r="O55" i="30"/>
  <c r="O105" i="30"/>
  <c r="O76" i="30"/>
  <c r="O56" i="30"/>
  <c r="O53" i="30"/>
  <c r="O78" i="30"/>
  <c r="O70" i="30"/>
  <c r="T119" i="4"/>
  <c r="O71" i="30"/>
  <c r="O72" i="30"/>
  <c r="T120" i="4"/>
  <c r="T115" i="4"/>
  <c r="T117" i="4"/>
  <c r="T116" i="4"/>
  <c r="T112" i="4"/>
  <c r="K55" i="4"/>
  <c r="Q55" i="4"/>
  <c r="O55" i="4"/>
  <c r="N98" i="30"/>
  <c r="N94" i="30"/>
  <c r="H92" i="30"/>
  <c r="F92" i="30"/>
  <c r="M92" i="30" s="1"/>
  <c r="H91" i="30"/>
  <c r="F91" i="30"/>
  <c r="M91" i="30" s="1"/>
  <c r="H69" i="30"/>
  <c r="F69" i="30"/>
  <c r="H68" i="30"/>
  <c r="F68" i="30"/>
  <c r="K73" i="4"/>
  <c r="M73" i="4"/>
  <c r="O73" i="4"/>
  <c r="Q73" i="4"/>
  <c r="K27" i="4"/>
  <c r="R55" i="4" l="1"/>
  <c r="T55" i="4" s="1"/>
  <c r="R73" i="4"/>
  <c r="T73" i="4" s="1"/>
  <c r="L69" i="30"/>
  <c r="M69" i="30" s="1"/>
  <c r="L68" i="30"/>
  <c r="M68" i="30" s="1"/>
  <c r="H49" i="30"/>
  <c r="L31" i="30"/>
  <c r="L32" i="30"/>
  <c r="L33" i="30"/>
  <c r="L34" i="30"/>
  <c r="L35" i="30"/>
  <c r="L36" i="30"/>
  <c r="L37" i="30"/>
  <c r="L38" i="30"/>
  <c r="L40" i="30"/>
  <c r="L30" i="30"/>
  <c r="J31" i="30"/>
  <c r="J32" i="30"/>
  <c r="J33" i="30"/>
  <c r="J35" i="30"/>
  <c r="J36" i="30"/>
  <c r="J37" i="30"/>
  <c r="J38" i="30"/>
  <c r="J40" i="30"/>
  <c r="J30" i="30"/>
  <c r="K152" i="4"/>
  <c r="M152" i="4"/>
  <c r="Q152" i="4"/>
  <c r="K153" i="4"/>
  <c r="M153" i="4"/>
  <c r="Q153" i="4"/>
  <c r="Q151" i="4"/>
  <c r="M151" i="4"/>
  <c r="K151" i="4"/>
  <c r="Q150" i="4"/>
  <c r="M150" i="4"/>
  <c r="K150" i="4"/>
  <c r="F42" i="29"/>
  <c r="F41" i="29"/>
  <c r="F36" i="29"/>
  <c r="Q156" i="4"/>
  <c r="Q166" i="4"/>
  <c r="Q167" i="4"/>
  <c r="Q168" i="4"/>
  <c r="Q169" i="4"/>
  <c r="Q158" i="4"/>
  <c r="Q159" i="4"/>
  <c r="Q160" i="4"/>
  <c r="Q161" i="4"/>
  <c r="Q162" i="4"/>
  <c r="Q163" i="4"/>
  <c r="Q164" i="4"/>
  <c r="Q171" i="4"/>
  <c r="Q172" i="4"/>
  <c r="Q173" i="4"/>
  <c r="Q155" i="4"/>
  <c r="O173" i="4"/>
  <c r="O153" i="4" l="1"/>
  <c r="R153" i="4" s="1"/>
  <c r="T153" i="4" s="1"/>
  <c r="O151" i="4"/>
  <c r="R151" i="4" s="1"/>
  <c r="T151" i="4" s="1"/>
  <c r="O152" i="4"/>
  <c r="R152" i="4"/>
  <c r="T152" i="4" s="1"/>
  <c r="O68" i="30"/>
  <c r="O69" i="30"/>
  <c r="O91" i="30"/>
  <c r="O92" i="30"/>
  <c r="O150" i="4"/>
  <c r="R150" i="4" s="1"/>
  <c r="K169" i="4"/>
  <c r="M169" i="4"/>
  <c r="K159" i="4"/>
  <c r="K160" i="4"/>
  <c r="K161" i="4"/>
  <c r="K162" i="4"/>
  <c r="K163" i="4"/>
  <c r="K158" i="4"/>
  <c r="M167" i="4"/>
  <c r="M168" i="4"/>
  <c r="M158" i="4"/>
  <c r="M159" i="4"/>
  <c r="M160" i="4"/>
  <c r="M161" i="4"/>
  <c r="M162" i="4"/>
  <c r="M163" i="4"/>
  <c r="M164" i="4"/>
  <c r="M171" i="4"/>
  <c r="M172" i="4"/>
  <c r="M173" i="4"/>
  <c r="R173" i="4" s="1"/>
  <c r="M166" i="4"/>
  <c r="M106" i="4"/>
  <c r="M107" i="4"/>
  <c r="O106" i="4"/>
  <c r="O107" i="4"/>
  <c r="O109" i="4"/>
  <c r="O110" i="4"/>
  <c r="M110" i="4"/>
  <c r="M109" i="4"/>
  <c r="K109" i="4"/>
  <c r="Q109" i="4"/>
  <c r="K110" i="4"/>
  <c r="Q110" i="4"/>
  <c r="M92" i="4"/>
  <c r="M93" i="4"/>
  <c r="M95" i="4"/>
  <c r="M96" i="4"/>
  <c r="M90" i="4"/>
  <c r="O110" i="31"/>
  <c r="O114" i="31" s="1"/>
  <c r="O101" i="31"/>
  <c r="O97" i="31"/>
  <c r="O30" i="31"/>
  <c r="M30" i="31"/>
  <c r="K30" i="31"/>
  <c r="I30" i="31"/>
  <c r="G30" i="31"/>
  <c r="O27" i="31"/>
  <c r="M27" i="31"/>
  <c r="K27" i="31"/>
  <c r="I27" i="31"/>
  <c r="M51" i="31"/>
  <c r="M52" i="31"/>
  <c r="M53" i="31"/>
  <c r="M56" i="31"/>
  <c r="M57" i="31"/>
  <c r="M55" i="31"/>
  <c r="M58" i="31"/>
  <c r="M50" i="31"/>
  <c r="K51" i="31"/>
  <c r="K52" i="31"/>
  <c r="K53" i="31"/>
  <c r="K56" i="31"/>
  <c r="K57" i="31"/>
  <c r="K55" i="31"/>
  <c r="K58" i="31"/>
  <c r="G27" i="31"/>
  <c r="K50" i="31"/>
  <c r="I51" i="31"/>
  <c r="I52" i="31"/>
  <c r="I53" i="31"/>
  <c r="I56" i="31"/>
  <c r="I57" i="31"/>
  <c r="I55" i="31"/>
  <c r="I58" i="31"/>
  <c r="I50" i="31"/>
  <c r="M33" i="31"/>
  <c r="N33" i="31" s="1"/>
  <c r="M32" i="31"/>
  <c r="N32" i="31" s="1"/>
  <c r="K33" i="31"/>
  <c r="K32" i="31"/>
  <c r="I33" i="31"/>
  <c r="I37" i="31" s="1"/>
  <c r="M43" i="31"/>
  <c r="M44" i="31"/>
  <c r="M45" i="31"/>
  <c r="M46" i="31"/>
  <c r="M47" i="31"/>
  <c r="K43" i="31"/>
  <c r="K44" i="31"/>
  <c r="K45" i="31"/>
  <c r="K46" i="31"/>
  <c r="K47" i="31"/>
  <c r="I43" i="31"/>
  <c r="I44" i="31"/>
  <c r="I45" i="31"/>
  <c r="I46" i="31"/>
  <c r="I47" i="31"/>
  <c r="H31" i="30"/>
  <c r="H32" i="30"/>
  <c r="M32" i="30" s="1"/>
  <c r="H33" i="30"/>
  <c r="H34" i="30"/>
  <c r="H35" i="30"/>
  <c r="H36" i="30"/>
  <c r="H37" i="30"/>
  <c r="H38" i="30"/>
  <c r="H40" i="30"/>
  <c r="H30" i="30"/>
  <c r="M105" i="29"/>
  <c r="K105" i="29"/>
  <c r="M104" i="29"/>
  <c r="K104" i="29"/>
  <c r="I105" i="29"/>
  <c r="I104" i="29"/>
  <c r="M88" i="29"/>
  <c r="K88" i="29"/>
  <c r="I88" i="29"/>
  <c r="M69" i="29"/>
  <c r="M70" i="29"/>
  <c r="M71" i="29"/>
  <c r="M72" i="29"/>
  <c r="K69" i="29"/>
  <c r="K70" i="29"/>
  <c r="K71" i="29"/>
  <c r="K72" i="29"/>
  <c r="I69" i="29"/>
  <c r="I70" i="29"/>
  <c r="I71" i="29"/>
  <c r="I72" i="29"/>
  <c r="M53" i="29"/>
  <c r="N53" i="29" s="1"/>
  <c r="M54" i="29"/>
  <c r="N54" i="29" s="1"/>
  <c r="M52" i="29"/>
  <c r="K53" i="29"/>
  <c r="K54" i="29"/>
  <c r="K52" i="29"/>
  <c r="I54" i="29"/>
  <c r="I52" i="29"/>
  <c r="M48" i="29"/>
  <c r="M47" i="29"/>
  <c r="K48" i="29"/>
  <c r="K47" i="29"/>
  <c r="G47" i="29"/>
  <c r="I47" i="29"/>
  <c r="F33" i="30"/>
  <c r="M33" i="30" s="1"/>
  <c r="M35" i="29"/>
  <c r="M39" i="29"/>
  <c r="M40" i="29"/>
  <c r="M34" i="29"/>
  <c r="K35" i="29"/>
  <c r="K39" i="29"/>
  <c r="K40" i="29"/>
  <c r="K34" i="29"/>
  <c r="I35" i="29"/>
  <c r="I39" i="29"/>
  <c r="I40" i="29"/>
  <c r="I34" i="29"/>
  <c r="M16" i="29"/>
  <c r="M22" i="4"/>
  <c r="Q24" i="4"/>
  <c r="Q17" i="4"/>
  <c r="Q21" i="4"/>
  <c r="Q67" i="4"/>
  <c r="Q68" i="4"/>
  <c r="Q69" i="4"/>
  <c r="Q70" i="4"/>
  <c r="Q71" i="4"/>
  <c r="Q72" i="4"/>
  <c r="Q66" i="4"/>
  <c r="O67" i="4"/>
  <c r="O68" i="4"/>
  <c r="O69" i="4"/>
  <c r="O70" i="4"/>
  <c r="O71" i="4"/>
  <c r="O72" i="4"/>
  <c r="O66" i="4"/>
  <c r="M67" i="4"/>
  <c r="M68" i="4"/>
  <c r="M69" i="4"/>
  <c r="M70" i="4"/>
  <c r="M71" i="4"/>
  <c r="M72" i="4"/>
  <c r="M66" i="4"/>
  <c r="Q51" i="4"/>
  <c r="Q42" i="4"/>
  <c r="Q43" i="4"/>
  <c r="Q45" i="4"/>
  <c r="Q47" i="4"/>
  <c r="Q49" i="4"/>
  <c r="Q40" i="4"/>
  <c r="O42" i="4"/>
  <c r="O43" i="4"/>
  <c r="O45" i="4"/>
  <c r="O47" i="4"/>
  <c r="O49" i="4"/>
  <c r="O40" i="4"/>
  <c r="M42" i="4"/>
  <c r="M43" i="4"/>
  <c r="M45" i="4"/>
  <c r="M47" i="4"/>
  <c r="M49" i="4"/>
  <c r="M40" i="4"/>
  <c r="M17" i="4"/>
  <c r="M33" i="4" s="1"/>
  <c r="M24" i="4"/>
  <c r="O17" i="4"/>
  <c r="O24" i="4"/>
  <c r="O34" i="4" s="1"/>
  <c r="Q34" i="4" l="1"/>
  <c r="R162" i="4"/>
  <c r="T162" i="4" s="1"/>
  <c r="R158" i="4"/>
  <c r="T158" i="4" s="1"/>
  <c r="K37" i="31"/>
  <c r="R109" i="4"/>
  <c r="T109" i="4" s="1"/>
  <c r="M37" i="31"/>
  <c r="N37" i="31" s="1"/>
  <c r="K58" i="29"/>
  <c r="M58" i="29"/>
  <c r="I58" i="29"/>
  <c r="R110" i="4"/>
  <c r="T110" i="4" s="1"/>
  <c r="R163" i="4"/>
  <c r="T163" i="4" s="1"/>
  <c r="O169" i="4"/>
  <c r="R169" i="4" s="1"/>
  <c r="T169" i="4" s="1"/>
  <c r="R161" i="4"/>
  <c r="T161" i="4" s="1"/>
  <c r="R160" i="4"/>
  <c r="T160" i="4" s="1"/>
  <c r="R24" i="4"/>
  <c r="M34" i="4"/>
  <c r="R159" i="4"/>
  <c r="T159" i="4" s="1"/>
  <c r="I48" i="31"/>
  <c r="T150" i="4"/>
  <c r="K21" i="4"/>
  <c r="K34" i="4" s="1"/>
  <c r="O22" i="4"/>
  <c r="O33" i="4" s="1"/>
  <c r="K22" i="4"/>
  <c r="Q22" i="4"/>
  <c r="R22" i="4" s="1"/>
  <c r="T173" i="4"/>
  <c r="O33" i="30"/>
  <c r="R34" i="4" l="1"/>
  <c r="R21" i="4"/>
  <c r="Q33" i="4"/>
  <c r="Q79" i="4" l="1"/>
  <c r="O79" i="4"/>
  <c r="M79" i="4"/>
  <c r="Q107" i="4"/>
  <c r="K107" i="4"/>
  <c r="Q106" i="4"/>
  <c r="K106" i="4"/>
  <c r="Q96" i="4"/>
  <c r="Q95" i="4"/>
  <c r="J94" i="4"/>
  <c r="K95" i="4"/>
  <c r="Q90" i="4"/>
  <c r="K90" i="4"/>
  <c r="K93" i="4"/>
  <c r="Q93" i="4"/>
  <c r="Q92" i="4"/>
  <c r="O92" i="4"/>
  <c r="K92" i="4"/>
  <c r="R107" i="4" l="1"/>
  <c r="R106" i="4"/>
  <c r="T106" i="4" s="1"/>
  <c r="O95" i="4"/>
  <c r="R95" i="4" s="1"/>
  <c r="T95" i="4" s="1"/>
  <c r="O93" i="4"/>
  <c r="R93" i="4"/>
  <c r="T93" i="4" s="1"/>
  <c r="R92" i="4"/>
  <c r="T92" i="4" s="1"/>
  <c r="K94" i="4"/>
  <c r="M94" i="4"/>
  <c r="T107" i="4"/>
  <c r="Q94" i="4"/>
  <c r="O90" i="4"/>
  <c r="O94" i="4" l="1"/>
  <c r="R94" i="4" s="1"/>
  <c r="T94" i="4" s="1"/>
  <c r="R90" i="4"/>
  <c r="T90" i="4" s="1"/>
  <c r="K184" i="4"/>
  <c r="K185" i="4"/>
  <c r="J57" i="4"/>
  <c r="J41" i="4"/>
  <c r="K96" i="4"/>
  <c r="G58" i="31"/>
  <c r="P58" i="31" s="1"/>
  <c r="G55" i="31"/>
  <c r="P55" i="31" s="1"/>
  <c r="G57" i="31"/>
  <c r="P57" i="31" s="1"/>
  <c r="G56" i="31"/>
  <c r="P56" i="31" s="1"/>
  <c r="G53" i="31"/>
  <c r="P53" i="31" s="1"/>
  <c r="G52" i="31"/>
  <c r="P52" i="31" s="1"/>
  <c r="G51" i="31"/>
  <c r="P51" i="31" s="1"/>
  <c r="G50" i="31"/>
  <c r="P50" i="31" s="1"/>
  <c r="G33" i="31"/>
  <c r="G32" i="31"/>
  <c r="G37" i="31" s="1"/>
  <c r="P27" i="31"/>
  <c r="O23" i="31"/>
  <c r="G16" i="31"/>
  <c r="G15" i="31"/>
  <c r="G14" i="31"/>
  <c r="G47" i="31"/>
  <c r="G46" i="31"/>
  <c r="P46" i="31" s="1"/>
  <c r="G45" i="31"/>
  <c r="P45" i="31" s="1"/>
  <c r="I18" i="31"/>
  <c r="G44" i="31"/>
  <c r="G43" i="31"/>
  <c r="M18" i="31"/>
  <c r="N18" i="31" s="1"/>
  <c r="L104" i="30"/>
  <c r="F104" i="30"/>
  <c r="M104" i="30" s="1"/>
  <c r="N62" i="30"/>
  <c r="N58" i="30"/>
  <c r="F49" i="30"/>
  <c r="M49" i="30" s="1"/>
  <c r="F38" i="30"/>
  <c r="M38" i="30" s="1"/>
  <c r="F37" i="30"/>
  <c r="M37" i="30" s="1"/>
  <c r="F35" i="30"/>
  <c r="M35" i="30" s="1"/>
  <c r="F34" i="30"/>
  <c r="M34" i="30" s="1"/>
  <c r="O32" i="30"/>
  <c r="F31" i="30"/>
  <c r="M31" i="30" s="1"/>
  <c r="F30" i="30"/>
  <c r="M30" i="30" s="1"/>
  <c r="N24" i="30"/>
  <c r="L17" i="30"/>
  <c r="J17" i="30"/>
  <c r="F17" i="30"/>
  <c r="M17" i="30" s="1"/>
  <c r="L16" i="30"/>
  <c r="J16" i="30"/>
  <c r="F16" i="30"/>
  <c r="M16" i="30" s="1"/>
  <c r="L14" i="30"/>
  <c r="J14" i="30"/>
  <c r="F14" i="30"/>
  <c r="M14" i="30" s="1"/>
  <c r="L13" i="30"/>
  <c r="J13" i="30"/>
  <c r="F13" i="30"/>
  <c r="M13" i="30" s="1"/>
  <c r="O130" i="29"/>
  <c r="O110" i="29"/>
  <c r="O114" i="29" s="1"/>
  <c r="G105" i="29"/>
  <c r="G104" i="29"/>
  <c r="M103" i="29"/>
  <c r="K103" i="29"/>
  <c r="I103" i="29"/>
  <c r="G103" i="29"/>
  <c r="M102" i="29"/>
  <c r="K102" i="29"/>
  <c r="I102" i="29"/>
  <c r="G102" i="29"/>
  <c r="M108" i="29"/>
  <c r="K108" i="29"/>
  <c r="I108" i="29"/>
  <c r="G108" i="29"/>
  <c r="M107" i="29"/>
  <c r="K107" i="29"/>
  <c r="I107" i="29"/>
  <c r="G107" i="29"/>
  <c r="O90" i="29"/>
  <c r="O94" i="29" s="1"/>
  <c r="G88" i="29"/>
  <c r="M87" i="29"/>
  <c r="K87" i="29"/>
  <c r="I87" i="29"/>
  <c r="G87" i="29"/>
  <c r="M86" i="29"/>
  <c r="K86" i="29"/>
  <c r="I86" i="29"/>
  <c r="G86" i="29"/>
  <c r="G72" i="29"/>
  <c r="G71" i="29"/>
  <c r="G70" i="29"/>
  <c r="G69" i="29"/>
  <c r="M68" i="29"/>
  <c r="K68" i="29"/>
  <c r="I68" i="29"/>
  <c r="G68" i="29"/>
  <c r="M67" i="29"/>
  <c r="K67" i="29"/>
  <c r="I67" i="29"/>
  <c r="G67" i="29"/>
  <c r="G54" i="29"/>
  <c r="G53" i="29"/>
  <c r="G52" i="29"/>
  <c r="O50" i="29"/>
  <c r="G48" i="29"/>
  <c r="O45" i="29"/>
  <c r="M43" i="29"/>
  <c r="K43" i="29"/>
  <c r="I43" i="29"/>
  <c r="G43" i="29"/>
  <c r="M42" i="29"/>
  <c r="K42" i="29"/>
  <c r="H42" i="29"/>
  <c r="I42" i="29" s="1"/>
  <c r="E42" i="29"/>
  <c r="G42" i="29" s="1"/>
  <c r="M41" i="29"/>
  <c r="K41" i="29"/>
  <c r="H41" i="29"/>
  <c r="I41" i="29" s="1"/>
  <c r="E41" i="29"/>
  <c r="G41" i="29" s="1"/>
  <c r="G40" i="29"/>
  <c r="G39" i="29"/>
  <c r="M37" i="29"/>
  <c r="K37" i="29"/>
  <c r="I37" i="29"/>
  <c r="G37" i="29"/>
  <c r="M36" i="29"/>
  <c r="K36" i="29"/>
  <c r="I36" i="29"/>
  <c r="G36" i="29"/>
  <c r="G35" i="29"/>
  <c r="G34" i="29"/>
  <c r="O30" i="29"/>
  <c r="L23" i="29"/>
  <c r="J23" i="29"/>
  <c r="H23" i="29"/>
  <c r="F23" i="29"/>
  <c r="H22" i="29"/>
  <c r="F22" i="29"/>
  <c r="L21" i="29"/>
  <c r="J21" i="29"/>
  <c r="H21" i="29"/>
  <c r="F21" i="29"/>
  <c r="E21" i="29"/>
  <c r="F20" i="29"/>
  <c r="J19" i="29"/>
  <c r="H19" i="29"/>
  <c r="F19" i="29"/>
  <c r="E19" i="29"/>
  <c r="J16" i="29"/>
  <c r="K16" i="29" s="1"/>
  <c r="H16" i="29"/>
  <c r="I16" i="29" s="1"/>
  <c r="E16" i="29"/>
  <c r="G16" i="29" s="1"/>
  <c r="M15" i="29"/>
  <c r="N15" i="29" s="1"/>
  <c r="K15" i="29"/>
  <c r="H15" i="29"/>
  <c r="I15" i="29" s="1"/>
  <c r="E15" i="29"/>
  <c r="G15" i="29" s="1"/>
  <c r="M14" i="29"/>
  <c r="N14" i="29" s="1"/>
  <c r="K14" i="29"/>
  <c r="H14" i="29"/>
  <c r="I14" i="29" s="1"/>
  <c r="E14" i="29"/>
  <c r="G14" i="29" s="1"/>
  <c r="G58" i="29" l="1"/>
  <c r="N58" i="29" s="1"/>
  <c r="R185" i="4"/>
  <c r="T185" i="4" s="1"/>
  <c r="R184" i="4"/>
  <c r="T184" i="4" s="1"/>
  <c r="L89" i="31"/>
  <c r="M89" i="31" s="1"/>
  <c r="N89" i="31" s="1"/>
  <c r="L105" i="31"/>
  <c r="M105" i="31" s="1"/>
  <c r="N105" i="31" s="1"/>
  <c r="L118" i="31"/>
  <c r="M118" i="31" s="1"/>
  <c r="N118" i="31" s="1"/>
  <c r="H89" i="31"/>
  <c r="I89" i="31" s="1"/>
  <c r="H105" i="31"/>
  <c r="I105" i="31" s="1"/>
  <c r="H118" i="31"/>
  <c r="I118" i="31" s="1"/>
  <c r="G48" i="31"/>
  <c r="P48" i="31" s="1"/>
  <c r="N114" i="30"/>
  <c r="K20" i="29"/>
  <c r="K22" i="29"/>
  <c r="M20" i="29"/>
  <c r="M22" i="29"/>
  <c r="N22" i="29" s="1"/>
  <c r="I19" i="29"/>
  <c r="I21" i="29"/>
  <c r="I23" i="29"/>
  <c r="K19" i="29"/>
  <c r="K21" i="29"/>
  <c r="K23" i="29"/>
  <c r="G19" i="29"/>
  <c r="M19" i="29"/>
  <c r="I20" i="29"/>
  <c r="M21" i="29"/>
  <c r="I22" i="29"/>
  <c r="M23" i="29"/>
  <c r="Q54" i="4"/>
  <c r="O54" i="4"/>
  <c r="M54" i="4"/>
  <c r="Q41" i="4"/>
  <c r="O41" i="4"/>
  <c r="M41" i="4"/>
  <c r="M56" i="4"/>
  <c r="Q56" i="4"/>
  <c r="O56" i="4"/>
  <c r="O53" i="4"/>
  <c r="M53" i="4"/>
  <c r="Q53" i="4"/>
  <c r="Q50" i="4"/>
  <c r="O57" i="4"/>
  <c r="M57" i="4"/>
  <c r="Q57" i="4"/>
  <c r="P33" i="31"/>
  <c r="G18" i="31"/>
  <c r="P14" i="31"/>
  <c r="L42" i="30"/>
  <c r="J42" i="30"/>
  <c r="H42" i="30"/>
  <c r="O104" i="30"/>
  <c r="H19" i="30"/>
  <c r="O31" i="30"/>
  <c r="F36" i="30"/>
  <c r="O38" i="30"/>
  <c r="F40" i="30"/>
  <c r="O37" i="30"/>
  <c r="O17" i="30"/>
  <c r="J19" i="30"/>
  <c r="L19" i="30"/>
  <c r="O14" i="30"/>
  <c r="O96" i="4"/>
  <c r="R96" i="4" s="1"/>
  <c r="G21" i="29"/>
  <c r="G20" i="29"/>
  <c r="I50" i="29"/>
  <c r="H119" i="29" s="1"/>
  <c r="I119" i="29" s="1"/>
  <c r="P67" i="29"/>
  <c r="P40" i="29"/>
  <c r="P72" i="29"/>
  <c r="P105" i="29"/>
  <c r="M50" i="29"/>
  <c r="L83" i="29" s="1"/>
  <c r="M83" i="29" s="1"/>
  <c r="G23" i="29"/>
  <c r="P71" i="29"/>
  <c r="P86" i="29"/>
  <c r="P87" i="29"/>
  <c r="I45" i="29"/>
  <c r="H82" i="29" s="1"/>
  <c r="I82" i="29" s="1"/>
  <c r="P53" i="29"/>
  <c r="P47" i="29"/>
  <c r="P69" i="29"/>
  <c r="P104" i="29"/>
  <c r="P37" i="29"/>
  <c r="E120" i="29"/>
  <c r="G120" i="29" s="1"/>
  <c r="P68" i="29"/>
  <c r="M45" i="29"/>
  <c r="L82" i="29" s="1"/>
  <c r="M82" i="29" s="1"/>
  <c r="H120" i="29"/>
  <c r="I120" i="29" s="1"/>
  <c r="P103" i="29"/>
  <c r="G22" i="29"/>
  <c r="P34" i="29"/>
  <c r="P39" i="29"/>
  <c r="P54" i="29"/>
  <c r="G45" i="29"/>
  <c r="E63" i="29" s="1"/>
  <c r="G63" i="29" s="1"/>
  <c r="P88" i="29"/>
  <c r="H68" i="31"/>
  <c r="I68" i="31" s="1"/>
  <c r="H42" i="31"/>
  <c r="I42" i="31" s="1"/>
  <c r="I21" i="31"/>
  <c r="I23" i="31" s="1"/>
  <c r="M21" i="31"/>
  <c r="L68" i="31"/>
  <c r="M68" i="31" s="1"/>
  <c r="N68" i="31" s="1"/>
  <c r="L42" i="31"/>
  <c r="M42" i="31" s="1"/>
  <c r="N42" i="31" s="1"/>
  <c r="P47" i="31"/>
  <c r="P16" i="31"/>
  <c r="K18" i="31"/>
  <c r="P43" i="31"/>
  <c r="P44" i="31"/>
  <c r="P15" i="31"/>
  <c r="P32" i="31"/>
  <c r="O13" i="30"/>
  <c r="O34" i="30"/>
  <c r="O30" i="30"/>
  <c r="O35" i="30"/>
  <c r="F19" i="30"/>
  <c r="P14" i="29"/>
  <c r="P15" i="29"/>
  <c r="P43" i="29"/>
  <c r="P36" i="29"/>
  <c r="P35" i="29"/>
  <c r="P41" i="29"/>
  <c r="P16" i="29"/>
  <c r="K45" i="29"/>
  <c r="P42" i="29"/>
  <c r="P52" i="29"/>
  <c r="P48" i="29"/>
  <c r="P70" i="29"/>
  <c r="K50" i="29"/>
  <c r="G50" i="29"/>
  <c r="P102" i="29"/>
  <c r="P107" i="29"/>
  <c r="P108" i="29"/>
  <c r="O132" i="29"/>
  <c r="F22" i="30" l="1"/>
  <c r="M19" i="30"/>
  <c r="M40" i="30"/>
  <c r="O40" i="30" s="1"/>
  <c r="M36" i="30"/>
  <c r="O36" i="30" s="1"/>
  <c r="M23" i="31"/>
  <c r="N23" i="31" s="1"/>
  <c r="N21" i="31"/>
  <c r="T96" i="4"/>
  <c r="G47" i="30"/>
  <c r="H47" i="30" s="1"/>
  <c r="G102" i="30"/>
  <c r="H102" i="30" s="1"/>
  <c r="L22" i="30"/>
  <c r="L24" i="30" s="1"/>
  <c r="J89" i="31"/>
  <c r="K89" i="31" s="1"/>
  <c r="J118" i="31"/>
  <c r="K118" i="31" s="1"/>
  <c r="J105" i="31"/>
  <c r="K105" i="31" s="1"/>
  <c r="H88" i="31"/>
  <c r="I88" i="31" s="1"/>
  <c r="I97" i="31" s="1"/>
  <c r="I99" i="31" s="1"/>
  <c r="I101" i="31" s="1"/>
  <c r="M129" i="4" s="1"/>
  <c r="H117" i="31"/>
  <c r="I117" i="31" s="1"/>
  <c r="I124" i="31" s="1"/>
  <c r="I126" i="31" s="1"/>
  <c r="I128" i="31" s="1"/>
  <c r="M202" i="4" s="1"/>
  <c r="H104" i="31"/>
  <c r="I104" i="31" s="1"/>
  <c r="I110" i="31" s="1"/>
  <c r="I112" i="31" s="1"/>
  <c r="I114" i="31" s="1"/>
  <c r="M147" i="4" s="1"/>
  <c r="E89" i="31"/>
  <c r="G89" i="31" s="1"/>
  <c r="E105" i="31"/>
  <c r="G105" i="31" s="1"/>
  <c r="E118" i="31"/>
  <c r="G118" i="31" s="1"/>
  <c r="J22" i="30"/>
  <c r="J24" i="30" s="1"/>
  <c r="H22" i="30"/>
  <c r="I89" i="30"/>
  <c r="J89" i="30" s="1"/>
  <c r="I66" i="30"/>
  <c r="J66" i="30" s="1"/>
  <c r="K89" i="30"/>
  <c r="L89" i="30" s="1"/>
  <c r="K66" i="30"/>
  <c r="L66" i="30" s="1"/>
  <c r="E100" i="29"/>
  <c r="G100" i="29" s="1"/>
  <c r="E84" i="29"/>
  <c r="G84" i="29" s="1"/>
  <c r="O49" i="30"/>
  <c r="H64" i="29"/>
  <c r="I64" i="29" s="1"/>
  <c r="L64" i="29"/>
  <c r="M64" i="29" s="1"/>
  <c r="G28" i="29"/>
  <c r="G21" i="31"/>
  <c r="G23" i="31" s="1"/>
  <c r="F42" i="30"/>
  <c r="M42" i="30" s="1"/>
  <c r="L99" i="29"/>
  <c r="M99" i="29" s="1"/>
  <c r="L119" i="29"/>
  <c r="M119" i="29" s="1"/>
  <c r="L63" i="29"/>
  <c r="M63" i="29" s="1"/>
  <c r="L118" i="29"/>
  <c r="M118" i="29" s="1"/>
  <c r="H118" i="29"/>
  <c r="I118" i="29" s="1"/>
  <c r="H83" i="29"/>
  <c r="I83" i="29" s="1"/>
  <c r="K28" i="29"/>
  <c r="E65" i="29"/>
  <c r="G65" i="29" s="1"/>
  <c r="H99" i="29"/>
  <c r="I99" i="29" s="1"/>
  <c r="P21" i="29"/>
  <c r="I28" i="29"/>
  <c r="M28" i="29"/>
  <c r="N28" i="29" s="1"/>
  <c r="E82" i="29"/>
  <c r="G82" i="29" s="1"/>
  <c r="H65" i="29"/>
  <c r="I65" i="29" s="1"/>
  <c r="L98" i="29"/>
  <c r="M98" i="29" s="1"/>
  <c r="H100" i="29"/>
  <c r="I100" i="29" s="1"/>
  <c r="E118" i="29"/>
  <c r="G118" i="29" s="1"/>
  <c r="P19" i="29"/>
  <c r="E98" i="29"/>
  <c r="G98" i="29" s="1"/>
  <c r="I25" i="29"/>
  <c r="H84" i="29"/>
  <c r="I84" i="29" s="1"/>
  <c r="K25" i="29"/>
  <c r="M25" i="29"/>
  <c r="N25" i="29" s="1"/>
  <c r="P23" i="29"/>
  <c r="P22" i="29"/>
  <c r="P58" i="29"/>
  <c r="J84" i="29"/>
  <c r="K84" i="29" s="1"/>
  <c r="J65" i="29"/>
  <c r="K65" i="29" s="1"/>
  <c r="J120" i="29"/>
  <c r="K120" i="29" s="1"/>
  <c r="J100" i="29"/>
  <c r="K100" i="29" s="1"/>
  <c r="G25" i="29"/>
  <c r="H63" i="29"/>
  <c r="I63" i="29" s="1"/>
  <c r="H98" i="29"/>
  <c r="I98" i="29" s="1"/>
  <c r="L67" i="31"/>
  <c r="M67" i="31" s="1"/>
  <c r="L41" i="31"/>
  <c r="M41" i="31" s="1"/>
  <c r="H67" i="31"/>
  <c r="I67" i="31" s="1"/>
  <c r="I81" i="31" s="1"/>
  <c r="H41" i="31"/>
  <c r="I41" i="31" s="1"/>
  <c r="I60" i="31" s="1"/>
  <c r="K21" i="31"/>
  <c r="P30" i="31"/>
  <c r="E68" i="31"/>
  <c r="G68" i="31" s="1"/>
  <c r="E42" i="31"/>
  <c r="G42" i="31" s="1"/>
  <c r="P37" i="31"/>
  <c r="P18" i="31"/>
  <c r="J68" i="31"/>
  <c r="K68" i="31" s="1"/>
  <c r="J42" i="31"/>
  <c r="K42" i="31" s="1"/>
  <c r="K47" i="30"/>
  <c r="L47" i="30" s="1"/>
  <c r="K102" i="30"/>
  <c r="L102" i="30" s="1"/>
  <c r="I102" i="30"/>
  <c r="J102" i="30" s="1"/>
  <c r="I47" i="30"/>
  <c r="J47" i="30" s="1"/>
  <c r="O19" i="30"/>
  <c r="F24" i="30"/>
  <c r="O16" i="30"/>
  <c r="J99" i="29"/>
  <c r="K99" i="29" s="1"/>
  <c r="J119" i="29"/>
  <c r="K119" i="29" s="1"/>
  <c r="J64" i="29"/>
  <c r="K64" i="29" s="1"/>
  <c r="J83" i="29"/>
  <c r="K83" i="29" s="1"/>
  <c r="L120" i="29"/>
  <c r="M120" i="29" s="1"/>
  <c r="N120" i="29" s="1"/>
  <c r="L84" i="29"/>
  <c r="M84" i="29" s="1"/>
  <c r="L100" i="29"/>
  <c r="M100" i="29" s="1"/>
  <c r="N100" i="29" s="1"/>
  <c r="L65" i="29"/>
  <c r="M65" i="29" s="1"/>
  <c r="P20" i="29"/>
  <c r="E99" i="29"/>
  <c r="G99" i="29" s="1"/>
  <c r="E119" i="29"/>
  <c r="G119" i="29" s="1"/>
  <c r="E64" i="29"/>
  <c r="G64" i="29" s="1"/>
  <c r="E83" i="29"/>
  <c r="G83" i="29" s="1"/>
  <c r="P50" i="29"/>
  <c r="J98" i="29"/>
  <c r="K98" i="29" s="1"/>
  <c r="J82" i="29"/>
  <c r="K82" i="29" s="1"/>
  <c r="J63" i="29"/>
  <c r="K63" i="29" s="1"/>
  <c r="J118" i="29"/>
  <c r="K118" i="29" s="1"/>
  <c r="P45" i="29"/>
  <c r="M22" i="30" l="1"/>
  <c r="N84" i="29"/>
  <c r="P84" i="29" s="1"/>
  <c r="N65" i="29"/>
  <c r="P65" i="29" s="1"/>
  <c r="L117" i="31"/>
  <c r="M117" i="31" s="1"/>
  <c r="L104" i="31"/>
  <c r="M104" i="31" s="1"/>
  <c r="N104" i="31" s="1"/>
  <c r="L88" i="31"/>
  <c r="M88" i="31" s="1"/>
  <c r="M97" i="31" s="1"/>
  <c r="M124" i="31"/>
  <c r="N117" i="31"/>
  <c r="M60" i="31"/>
  <c r="N60" i="31" s="1"/>
  <c r="N41" i="31"/>
  <c r="M110" i="31"/>
  <c r="M81" i="31"/>
  <c r="N81" i="31" s="1"/>
  <c r="N67" i="31"/>
  <c r="P89" i="31"/>
  <c r="K101" i="30"/>
  <c r="L101" i="30" s="1"/>
  <c r="K46" i="30"/>
  <c r="L46" i="30" s="1"/>
  <c r="K88" i="30"/>
  <c r="L88" i="30" s="1"/>
  <c r="K65" i="30"/>
  <c r="L65" i="30" s="1"/>
  <c r="P118" i="31"/>
  <c r="E88" i="31"/>
  <c r="G88" i="31" s="1"/>
  <c r="G97" i="31" s="1"/>
  <c r="E104" i="31"/>
  <c r="G104" i="31" s="1"/>
  <c r="E117" i="31"/>
  <c r="G117" i="31" s="1"/>
  <c r="P105" i="31"/>
  <c r="I65" i="30"/>
  <c r="J65" i="30" s="1"/>
  <c r="I101" i="30"/>
  <c r="J101" i="30" s="1"/>
  <c r="I88" i="30"/>
  <c r="J88" i="30" s="1"/>
  <c r="I46" i="30"/>
  <c r="J46" i="30" s="1"/>
  <c r="O22" i="30"/>
  <c r="H24" i="30"/>
  <c r="P21" i="31"/>
  <c r="D102" i="30"/>
  <c r="F102" i="30" s="1"/>
  <c r="M102" i="30" s="1"/>
  <c r="D66" i="30"/>
  <c r="F66" i="30" s="1"/>
  <c r="D89" i="30"/>
  <c r="F89" i="30" s="1"/>
  <c r="D65" i="30"/>
  <c r="F65" i="30" s="1"/>
  <c r="D88" i="30"/>
  <c r="F88" i="30" s="1"/>
  <c r="E67" i="31"/>
  <c r="G67" i="31" s="1"/>
  <c r="E41" i="31"/>
  <c r="G41" i="31" s="1"/>
  <c r="G60" i="31" s="1"/>
  <c r="G62" i="31" s="1"/>
  <c r="G64" i="31" s="1"/>
  <c r="K85" i="4" s="1"/>
  <c r="P119" i="29"/>
  <c r="P98" i="29"/>
  <c r="D47" i="30"/>
  <c r="F47" i="30" s="1"/>
  <c r="O42" i="30"/>
  <c r="P25" i="29"/>
  <c r="P63" i="29"/>
  <c r="P83" i="29"/>
  <c r="P82" i="29"/>
  <c r="I30" i="29"/>
  <c r="H97" i="29" s="1"/>
  <c r="I97" i="29" s="1"/>
  <c r="I110" i="29" s="1"/>
  <c r="P120" i="29"/>
  <c r="M30" i="29"/>
  <c r="P100" i="29"/>
  <c r="P118" i="29"/>
  <c r="G30" i="29"/>
  <c r="E117" i="29" s="1"/>
  <c r="G117" i="29" s="1"/>
  <c r="G126" i="29" s="1"/>
  <c r="P64" i="29"/>
  <c r="P99" i="29"/>
  <c r="P42" i="31"/>
  <c r="I62" i="31"/>
  <c r="I64" i="31" s="1"/>
  <c r="M85" i="4" s="1"/>
  <c r="P68" i="31"/>
  <c r="I83" i="31"/>
  <c r="I85" i="31" s="1"/>
  <c r="K23" i="31"/>
  <c r="D101" i="30"/>
  <c r="F101" i="30" s="1"/>
  <c r="D46" i="30"/>
  <c r="F46" i="30" s="1"/>
  <c r="P28" i="29"/>
  <c r="K30" i="29"/>
  <c r="M47" i="30" l="1"/>
  <c r="O47" i="30" s="1"/>
  <c r="G101" i="30"/>
  <c r="H101" i="30" s="1"/>
  <c r="M101" i="30" s="1"/>
  <c r="M24" i="30"/>
  <c r="L117" i="29"/>
  <c r="M117" i="29" s="1"/>
  <c r="N30" i="29"/>
  <c r="P30" i="29" s="1"/>
  <c r="M62" i="31"/>
  <c r="N62" i="31" s="1"/>
  <c r="N88" i="31"/>
  <c r="M112" i="31"/>
  <c r="N110" i="31"/>
  <c r="M99" i="31"/>
  <c r="N97" i="31"/>
  <c r="M83" i="31"/>
  <c r="M126" i="31"/>
  <c r="N124" i="31"/>
  <c r="O24" i="30"/>
  <c r="G88" i="30"/>
  <c r="H88" i="30" s="1"/>
  <c r="M88" i="30" s="1"/>
  <c r="O102" i="30"/>
  <c r="I130" i="31"/>
  <c r="G110" i="31"/>
  <c r="G124" i="31"/>
  <c r="J88" i="31"/>
  <c r="K88" i="31" s="1"/>
  <c r="K97" i="31" s="1"/>
  <c r="K99" i="31" s="1"/>
  <c r="K101" i="31" s="1"/>
  <c r="O129" i="4" s="1"/>
  <c r="J117" i="31"/>
  <c r="K117" i="31" s="1"/>
  <c r="K124" i="31" s="1"/>
  <c r="J104" i="31"/>
  <c r="K104" i="31" s="1"/>
  <c r="K110" i="31" s="1"/>
  <c r="K112" i="31" s="1"/>
  <c r="K114" i="31" s="1"/>
  <c r="O147" i="4" s="1"/>
  <c r="G99" i="31"/>
  <c r="G81" i="31"/>
  <c r="G83" i="31" s="1"/>
  <c r="G85" i="31" s="1"/>
  <c r="G46" i="30"/>
  <c r="H46" i="30" s="1"/>
  <c r="G65" i="30"/>
  <c r="H65" i="30" s="1"/>
  <c r="F108" i="30"/>
  <c r="F81" i="30"/>
  <c r="F94" i="30"/>
  <c r="J94" i="30"/>
  <c r="J96" i="30" s="1"/>
  <c r="J98" i="30" s="1"/>
  <c r="O148" i="4" s="1"/>
  <c r="J81" i="30"/>
  <c r="L58" i="30"/>
  <c r="L60" i="30" s="1"/>
  <c r="L62" i="30" s="1"/>
  <c r="Q104" i="4" s="1"/>
  <c r="L94" i="30"/>
  <c r="L96" i="30" s="1"/>
  <c r="L98" i="30" s="1"/>
  <c r="Q148" i="4" s="1"/>
  <c r="O88" i="30"/>
  <c r="F58" i="30"/>
  <c r="M103" i="4"/>
  <c r="O28" i="30"/>
  <c r="H117" i="29"/>
  <c r="I117" i="29" s="1"/>
  <c r="L62" i="29"/>
  <c r="M62" i="29" s="1"/>
  <c r="H81" i="29"/>
  <c r="I81" i="29" s="1"/>
  <c r="I90" i="29" s="1"/>
  <c r="I92" i="29" s="1"/>
  <c r="I94" i="29" s="1"/>
  <c r="M102" i="4" s="1"/>
  <c r="L97" i="29"/>
  <c r="M97" i="29" s="1"/>
  <c r="N97" i="29" s="1"/>
  <c r="E97" i="29"/>
  <c r="G97" i="29" s="1"/>
  <c r="G110" i="29" s="1"/>
  <c r="H62" i="29"/>
  <c r="I62" i="29" s="1"/>
  <c r="I74" i="29" s="1"/>
  <c r="I76" i="29" s="1"/>
  <c r="I78" i="29" s="1"/>
  <c r="M86" i="4" s="1"/>
  <c r="L81" i="29"/>
  <c r="M81" i="29" s="1"/>
  <c r="E62" i="29"/>
  <c r="G62" i="29" s="1"/>
  <c r="G74" i="29" s="1"/>
  <c r="E81" i="29"/>
  <c r="G81" i="29" s="1"/>
  <c r="G90" i="29" s="1"/>
  <c r="I112" i="29"/>
  <c r="I114" i="29" s="1"/>
  <c r="M127" i="4" s="1"/>
  <c r="J67" i="31"/>
  <c r="K67" i="31" s="1"/>
  <c r="K81" i="31" s="1"/>
  <c r="J41" i="31"/>
  <c r="K41" i="31" s="1"/>
  <c r="P23" i="31"/>
  <c r="O101" i="30"/>
  <c r="H108" i="30"/>
  <c r="J97" i="29"/>
  <c r="K97" i="29" s="1"/>
  <c r="K110" i="29" s="1"/>
  <c r="J117" i="29"/>
  <c r="K117" i="29" s="1"/>
  <c r="K126" i="29" s="1"/>
  <c r="J62" i="29"/>
  <c r="K62" i="29" s="1"/>
  <c r="K74" i="29" s="1"/>
  <c r="J81" i="29"/>
  <c r="K81" i="29" s="1"/>
  <c r="K90" i="29" s="1"/>
  <c r="M65" i="30" l="1"/>
  <c r="O65" i="30" s="1"/>
  <c r="M46" i="30"/>
  <c r="O46" i="30" s="1"/>
  <c r="M74" i="29"/>
  <c r="M76" i="29" s="1"/>
  <c r="N62" i="29"/>
  <c r="P62" i="29" s="1"/>
  <c r="M90" i="29"/>
  <c r="M92" i="29" s="1"/>
  <c r="N81" i="29"/>
  <c r="P81" i="29" s="1"/>
  <c r="M126" i="29"/>
  <c r="N117" i="29"/>
  <c r="P117" i="29" s="1"/>
  <c r="M64" i="31"/>
  <c r="M114" i="31"/>
  <c r="N112" i="31"/>
  <c r="M128" i="31"/>
  <c r="N126" i="31"/>
  <c r="Q85" i="4"/>
  <c r="N64" i="31"/>
  <c r="M85" i="31"/>
  <c r="N83" i="31"/>
  <c r="M101" i="31"/>
  <c r="N99" i="31"/>
  <c r="H58" i="30"/>
  <c r="M110" i="29"/>
  <c r="P88" i="31"/>
  <c r="I126" i="29"/>
  <c r="I128" i="29" s="1"/>
  <c r="I130" i="29" s="1"/>
  <c r="K126" i="31"/>
  <c r="K128" i="31" s="1"/>
  <c r="O202" i="4" s="1"/>
  <c r="P117" i="31"/>
  <c r="P97" i="31"/>
  <c r="G126" i="31"/>
  <c r="P124" i="31"/>
  <c r="P104" i="31"/>
  <c r="G112" i="31"/>
  <c r="P110" i="31"/>
  <c r="G114" i="31"/>
  <c r="P99" i="31"/>
  <c r="G101" i="31"/>
  <c r="K103" i="4"/>
  <c r="J108" i="30"/>
  <c r="L108" i="30"/>
  <c r="L110" i="30" s="1"/>
  <c r="L112" i="30" s="1"/>
  <c r="L81" i="30"/>
  <c r="L83" i="30" s="1"/>
  <c r="L85" i="30" s="1"/>
  <c r="Q128" i="4" s="1"/>
  <c r="J58" i="30"/>
  <c r="J60" i="30" s="1"/>
  <c r="J62" i="30" s="1"/>
  <c r="F83" i="30"/>
  <c r="F96" i="30"/>
  <c r="J83" i="30"/>
  <c r="J85" i="30" s="1"/>
  <c r="O128" i="4" s="1"/>
  <c r="K60" i="31"/>
  <c r="P41" i="31"/>
  <c r="P67" i="31"/>
  <c r="H110" i="30"/>
  <c r="H112" i="30" s="1"/>
  <c r="M201" i="4" s="1"/>
  <c r="F110" i="30"/>
  <c r="F60" i="30"/>
  <c r="K76" i="29"/>
  <c r="K78" i="29" s="1"/>
  <c r="O86" i="4" s="1"/>
  <c r="G76" i="29"/>
  <c r="G128" i="29"/>
  <c r="K128" i="29"/>
  <c r="K130" i="29" s="1"/>
  <c r="O200" i="4" s="1"/>
  <c r="P97" i="29"/>
  <c r="G92" i="29"/>
  <c r="K112" i="29"/>
  <c r="K114" i="29" s="1"/>
  <c r="O127" i="4" s="1"/>
  <c r="G112" i="29"/>
  <c r="K92" i="29"/>
  <c r="K94" i="29" s="1"/>
  <c r="O102" i="4" s="1"/>
  <c r="F62" i="30" l="1"/>
  <c r="F112" i="30"/>
  <c r="F98" i="30"/>
  <c r="F85" i="30"/>
  <c r="M108" i="30"/>
  <c r="H60" i="30"/>
  <c r="M60" i="30" s="1"/>
  <c r="M58" i="30"/>
  <c r="N90" i="29"/>
  <c r="P90" i="29" s="1"/>
  <c r="N74" i="29"/>
  <c r="P74" i="29" s="1"/>
  <c r="N126" i="29"/>
  <c r="P126" i="29" s="1"/>
  <c r="M128" i="29"/>
  <c r="N128" i="29" s="1"/>
  <c r="P128" i="29" s="1"/>
  <c r="P112" i="31"/>
  <c r="Q202" i="4"/>
  <c r="N128" i="31"/>
  <c r="M130" i="31"/>
  <c r="N130" i="31" s="1"/>
  <c r="N85" i="31"/>
  <c r="Q103" i="4"/>
  <c r="Q129" i="4"/>
  <c r="N101" i="31"/>
  <c r="P101" i="31" s="1"/>
  <c r="Q147" i="4"/>
  <c r="Q175" i="4" s="1"/>
  <c r="N114" i="31"/>
  <c r="P114" i="31" s="1"/>
  <c r="M112" i="29"/>
  <c r="N110" i="29"/>
  <c r="P110" i="29" s="1"/>
  <c r="M94" i="29"/>
  <c r="N92" i="29"/>
  <c r="P92" i="29" s="1"/>
  <c r="M78" i="29"/>
  <c r="N76" i="29"/>
  <c r="P76" i="29" s="1"/>
  <c r="J110" i="30"/>
  <c r="O142" i="4"/>
  <c r="K201" i="4"/>
  <c r="F114" i="30"/>
  <c r="L114" i="30"/>
  <c r="K129" i="4"/>
  <c r="Q201" i="4"/>
  <c r="M200" i="4"/>
  <c r="I132" i="29"/>
  <c r="P126" i="31"/>
  <c r="K147" i="4"/>
  <c r="G128" i="31"/>
  <c r="G130" i="31" s="1"/>
  <c r="O108" i="30"/>
  <c r="O104" i="4"/>
  <c r="O58" i="30"/>
  <c r="H62" i="30"/>
  <c r="G66" i="30"/>
  <c r="H66" i="30" s="1"/>
  <c r="K62" i="31"/>
  <c r="P62" i="31" s="1"/>
  <c r="P60" i="31"/>
  <c r="K83" i="31"/>
  <c r="P83" i="31" s="1"/>
  <c r="P81" i="31"/>
  <c r="O60" i="30"/>
  <c r="K132" i="29"/>
  <c r="G114" i="29"/>
  <c r="G94" i="29"/>
  <c r="G130" i="29"/>
  <c r="K200" i="4" s="1"/>
  <c r="G78" i="29"/>
  <c r="H81" i="30" l="1"/>
  <c r="M81" i="30" s="1"/>
  <c r="M66" i="30"/>
  <c r="J112" i="30"/>
  <c r="M110" i="30"/>
  <c r="K128" i="4"/>
  <c r="K148" i="4"/>
  <c r="M112" i="30"/>
  <c r="K104" i="4"/>
  <c r="M62" i="30"/>
  <c r="M130" i="29"/>
  <c r="N130" i="29" s="1"/>
  <c r="P130" i="29" s="1"/>
  <c r="R147" i="4"/>
  <c r="T147" i="4" s="1"/>
  <c r="Q86" i="4"/>
  <c r="N78" i="29"/>
  <c r="P78" i="29" s="1"/>
  <c r="M114" i="29"/>
  <c r="N112" i="29"/>
  <c r="P112" i="29" s="1"/>
  <c r="Q102" i="4"/>
  <c r="N94" i="29"/>
  <c r="P94" i="29" s="1"/>
  <c r="J114" i="30"/>
  <c r="R129" i="4"/>
  <c r="T129" i="4" s="1"/>
  <c r="O201" i="4"/>
  <c r="R201" i="4" s="1"/>
  <c r="O112" i="30"/>
  <c r="P128" i="31"/>
  <c r="K202" i="4"/>
  <c r="O110" i="30"/>
  <c r="O62" i="30"/>
  <c r="M104" i="4"/>
  <c r="O66" i="30"/>
  <c r="K102" i="4"/>
  <c r="K86" i="4"/>
  <c r="K127" i="4"/>
  <c r="K85" i="31"/>
  <c r="K64" i="31"/>
  <c r="G132" i="29"/>
  <c r="Q200" i="4" l="1"/>
  <c r="R200" i="4" s="1"/>
  <c r="R102" i="4"/>
  <c r="N114" i="29"/>
  <c r="P114" i="29" s="1"/>
  <c r="M132" i="29"/>
  <c r="N132" i="29" s="1"/>
  <c r="P132" i="29" s="1"/>
  <c r="Q127" i="4"/>
  <c r="R127" i="4" s="1"/>
  <c r="R104" i="4"/>
  <c r="T104" i="4" s="1"/>
  <c r="R86" i="4"/>
  <c r="T86" i="4" s="1"/>
  <c r="R202" i="4"/>
  <c r="T202" i="4" s="1"/>
  <c r="T201" i="4"/>
  <c r="K130" i="31"/>
  <c r="P130" i="31" s="1"/>
  <c r="O103" i="4"/>
  <c r="R103" i="4" s="1"/>
  <c r="H83" i="30"/>
  <c r="M83" i="30" s="1"/>
  <c r="O81" i="30"/>
  <c r="P64" i="31"/>
  <c r="O85" i="4"/>
  <c r="R85" i="4" s="1"/>
  <c r="P85" i="31"/>
  <c r="H85" i="30" l="1"/>
  <c r="M85" i="30" s="1"/>
  <c r="G89" i="30"/>
  <c r="H89" i="30" s="1"/>
  <c r="M89" i="30" s="1"/>
  <c r="O83" i="30"/>
  <c r="T103" i="4"/>
  <c r="O85" i="30" l="1"/>
  <c r="M128" i="4"/>
  <c r="R128" i="4" s="1"/>
  <c r="H94" i="30"/>
  <c r="M94" i="30" s="1"/>
  <c r="O89" i="30"/>
  <c r="K167" i="4"/>
  <c r="K172" i="4"/>
  <c r="K171" i="4"/>
  <c r="K168" i="4"/>
  <c r="O168" i="4" l="1"/>
  <c r="R168" i="4" s="1"/>
  <c r="T168" i="4" s="1"/>
  <c r="O167" i="4"/>
  <c r="R167" i="4"/>
  <c r="T167" i="4" s="1"/>
  <c r="T128" i="4"/>
  <c r="H96" i="30"/>
  <c r="M96" i="30" s="1"/>
  <c r="O94" i="30"/>
  <c r="O172" i="4"/>
  <c r="O171" i="4"/>
  <c r="T102" i="4"/>
  <c r="D12" i="19"/>
  <c r="D11" i="19"/>
  <c r="K164" i="4"/>
  <c r="R164" i="4" s="1"/>
  <c r="K166" i="4"/>
  <c r="M156" i="4"/>
  <c r="K156" i="4"/>
  <c r="M155" i="4"/>
  <c r="K155" i="4"/>
  <c r="Q131" i="4"/>
  <c r="Q142" i="4" s="1"/>
  <c r="M131" i="4"/>
  <c r="M142" i="4" s="1"/>
  <c r="K131" i="4"/>
  <c r="R172" i="4" l="1"/>
  <c r="T172" i="4" s="1"/>
  <c r="R171" i="4"/>
  <c r="T171" i="4" s="1"/>
  <c r="O166" i="4"/>
  <c r="R166" i="4"/>
  <c r="K142" i="4"/>
  <c r="R142" i="4" s="1"/>
  <c r="R131" i="4"/>
  <c r="T131" i="4" s="1"/>
  <c r="O156" i="4"/>
  <c r="R156" i="4" s="1"/>
  <c r="K175" i="4"/>
  <c r="H98" i="30"/>
  <c r="O96" i="30"/>
  <c r="O155" i="4"/>
  <c r="R155" i="4" s="1"/>
  <c r="T164" i="4"/>
  <c r="H114" i="30" l="1"/>
  <c r="M98" i="30"/>
  <c r="T166" i="4"/>
  <c r="T156" i="4"/>
  <c r="T155" i="4"/>
  <c r="O175" i="4"/>
  <c r="O98" i="30"/>
  <c r="M148" i="4"/>
  <c r="R148" i="4" s="1"/>
  <c r="C11" i="19"/>
  <c r="T127" i="4"/>
  <c r="T22" i="4"/>
  <c r="Q76" i="4"/>
  <c r="O46" i="4"/>
  <c r="M114" i="30" l="1"/>
  <c r="O114" i="30" s="1"/>
  <c r="T148" i="4"/>
  <c r="M175" i="4"/>
  <c r="Q46" i="4"/>
  <c r="Q59" i="4" s="1"/>
  <c r="M46" i="4"/>
  <c r="R175" i="4" l="1"/>
  <c r="T175" i="4" s="1"/>
  <c r="E12" i="19" s="1"/>
  <c r="O27" i="4"/>
  <c r="Q27" i="4"/>
  <c r="M27" i="4"/>
  <c r="D15" i="19"/>
  <c r="K71" i="4"/>
  <c r="R71" i="4" s="1"/>
  <c r="M123" i="4"/>
  <c r="Q123" i="4"/>
  <c r="O123" i="4"/>
  <c r="I41" i="4"/>
  <c r="K41" i="4" s="1"/>
  <c r="R41" i="4" s="1"/>
  <c r="N51" i="4"/>
  <c r="O51" i="4" s="1"/>
  <c r="N50" i="4"/>
  <c r="O50" i="4" s="1"/>
  <c r="L51" i="4"/>
  <c r="M51" i="4" s="1"/>
  <c r="L50" i="4"/>
  <c r="M50" i="4" s="1"/>
  <c r="K50" i="4"/>
  <c r="K51" i="4"/>
  <c r="M189" i="4"/>
  <c r="K57" i="4"/>
  <c r="R57" i="4" s="1"/>
  <c r="K54" i="4"/>
  <c r="R54" i="4" s="1"/>
  <c r="Q192" i="4"/>
  <c r="O192" i="4"/>
  <c r="M192" i="4"/>
  <c r="K192" i="4"/>
  <c r="K179" i="4"/>
  <c r="M179" i="4"/>
  <c r="O179" i="4"/>
  <c r="Q179" i="4"/>
  <c r="K181" i="4"/>
  <c r="M181" i="4"/>
  <c r="O181" i="4"/>
  <c r="Q181" i="4"/>
  <c r="K182" i="4"/>
  <c r="M182" i="4"/>
  <c r="O182" i="4"/>
  <c r="Q182" i="4"/>
  <c r="K187" i="4"/>
  <c r="M187" i="4"/>
  <c r="O187" i="4"/>
  <c r="Q187" i="4"/>
  <c r="K189" i="4"/>
  <c r="R189" i="4" s="1"/>
  <c r="O189" i="4"/>
  <c r="Q189" i="4"/>
  <c r="K190" i="4"/>
  <c r="M190" i="4"/>
  <c r="O190" i="4"/>
  <c r="Q190" i="4"/>
  <c r="K40" i="4"/>
  <c r="R40" i="4" s="1"/>
  <c r="K42" i="4"/>
  <c r="R42" i="4" s="1"/>
  <c r="K43" i="4"/>
  <c r="R43" i="4" s="1"/>
  <c r="K45" i="4"/>
  <c r="R45" i="4" s="1"/>
  <c r="K46" i="4"/>
  <c r="R46" i="4" s="1"/>
  <c r="K47" i="4"/>
  <c r="R47" i="4" s="1"/>
  <c r="K49" i="4"/>
  <c r="R49" i="4" s="1"/>
  <c r="K53" i="4"/>
  <c r="R53" i="4" s="1"/>
  <c r="K56" i="4"/>
  <c r="R56" i="4" s="1"/>
  <c r="K65" i="4"/>
  <c r="M65" i="4"/>
  <c r="O65" i="4"/>
  <c r="Q65" i="4"/>
  <c r="K66" i="4"/>
  <c r="R66" i="4" s="1"/>
  <c r="K67" i="4"/>
  <c r="R67" i="4" s="1"/>
  <c r="K68" i="4"/>
  <c r="R68" i="4" s="1"/>
  <c r="K69" i="4"/>
  <c r="R69" i="4" s="1"/>
  <c r="K70" i="4"/>
  <c r="R70" i="4" s="1"/>
  <c r="K72" i="4"/>
  <c r="R72" i="4" s="1"/>
  <c r="K76" i="4"/>
  <c r="M76" i="4"/>
  <c r="O76" i="4"/>
  <c r="K77" i="4"/>
  <c r="M77" i="4"/>
  <c r="O77" i="4"/>
  <c r="Q77" i="4"/>
  <c r="S59" i="4"/>
  <c r="D6" i="19" s="1"/>
  <c r="S37" i="4"/>
  <c r="D5" i="19" s="1"/>
  <c r="D7" i="19"/>
  <c r="D8" i="19"/>
  <c r="S204" i="4"/>
  <c r="D13" i="19" s="1"/>
  <c r="K17" i="4"/>
  <c r="T34" i="4"/>
  <c r="D10" i="19"/>
  <c r="R27" i="4" l="1"/>
  <c r="R187" i="4"/>
  <c r="R181" i="4"/>
  <c r="R17" i="4"/>
  <c r="K33" i="4"/>
  <c r="R33" i="4" s="1"/>
  <c r="R77" i="4"/>
  <c r="T77" i="4" s="1"/>
  <c r="R190" i="4"/>
  <c r="T190" i="4" s="1"/>
  <c r="R76" i="4"/>
  <c r="T76" i="4" s="1"/>
  <c r="C12" i="19"/>
  <c r="R65" i="4"/>
  <c r="T65" i="4" s="1"/>
  <c r="R182" i="4"/>
  <c r="T182" i="4" s="1"/>
  <c r="R179" i="4"/>
  <c r="T179" i="4" s="1"/>
  <c r="R51" i="4"/>
  <c r="R192" i="4"/>
  <c r="T192" i="4" s="1"/>
  <c r="R50" i="4"/>
  <c r="T50" i="4" s="1"/>
  <c r="O59" i="4"/>
  <c r="T187" i="4"/>
  <c r="T181" i="4"/>
  <c r="T189" i="4"/>
  <c r="O81" i="4"/>
  <c r="Q81" i="4"/>
  <c r="M81" i="4"/>
  <c r="Q28" i="4"/>
  <c r="Q35" i="4" s="1"/>
  <c r="O28" i="4"/>
  <c r="O35" i="4" s="1"/>
  <c r="M28" i="4"/>
  <c r="M35" i="4" s="1"/>
  <c r="K123" i="4"/>
  <c r="Q98" i="4"/>
  <c r="M98" i="4"/>
  <c r="K98" i="4"/>
  <c r="S206" i="4"/>
  <c r="S210" i="4" s="1"/>
  <c r="D9" i="19"/>
  <c r="D14" i="19" s="1"/>
  <c r="D16" i="19" s="1"/>
  <c r="T54" i="4"/>
  <c r="T46" i="4"/>
  <c r="T43" i="4"/>
  <c r="T72" i="4"/>
  <c r="T69" i="4"/>
  <c r="T67" i="4"/>
  <c r="T56" i="4"/>
  <c r="T49" i="4"/>
  <c r="T41" i="4"/>
  <c r="T57" i="4"/>
  <c r="T66" i="4"/>
  <c r="T53" i="4"/>
  <c r="T47" i="4"/>
  <c r="T51" i="4"/>
  <c r="T71" i="4"/>
  <c r="K79" i="4"/>
  <c r="T42" i="4"/>
  <c r="T70" i="4"/>
  <c r="T45" i="4"/>
  <c r="T16" i="4"/>
  <c r="T27" i="4"/>
  <c r="T17" i="4"/>
  <c r="T21" i="4"/>
  <c r="K28" i="4"/>
  <c r="M59" i="4"/>
  <c r="T200" i="4"/>
  <c r="K59" i="4"/>
  <c r="Q204" i="4"/>
  <c r="M204" i="4"/>
  <c r="O204" i="4"/>
  <c r="K204" i="4"/>
  <c r="R59" i="4" l="1"/>
  <c r="T59" i="4" s="1"/>
  <c r="K35" i="4"/>
  <c r="R35" i="4" s="1"/>
  <c r="R28" i="4"/>
  <c r="R123" i="4"/>
  <c r="C10" i="19" s="1"/>
  <c r="R204" i="4"/>
  <c r="T204" i="4" s="1"/>
  <c r="K81" i="4"/>
  <c r="R81" i="4" s="1"/>
  <c r="R79" i="4"/>
  <c r="T79" i="4" s="1"/>
  <c r="M30" i="4"/>
  <c r="M37" i="4" s="1"/>
  <c r="O98" i="4"/>
  <c r="T33" i="4"/>
  <c r="Q30" i="4"/>
  <c r="T28" i="4"/>
  <c r="O30" i="4"/>
  <c r="K30" i="4"/>
  <c r="T40" i="4"/>
  <c r="C5" i="26"/>
  <c r="C6" i="26"/>
  <c r="R62" i="4"/>
  <c r="T68" i="4"/>
  <c r="R98" i="4" l="1"/>
  <c r="T98" i="4" s="1"/>
  <c r="Q37" i="4"/>
  <c r="R30" i="4"/>
  <c r="T30" i="4" s="1"/>
  <c r="T81" i="4"/>
  <c r="C7" i="26"/>
  <c r="K37" i="4"/>
  <c r="O37" i="4"/>
  <c r="O206" i="4" s="1"/>
  <c r="T142" i="4"/>
  <c r="E11" i="19" s="1"/>
  <c r="C9" i="26"/>
  <c r="C6" i="19"/>
  <c r="E6" i="19" s="1"/>
  <c r="C13" i="19"/>
  <c r="E13" i="19" s="1"/>
  <c r="C8" i="19"/>
  <c r="E8" i="19" s="1"/>
  <c r="C7" i="19"/>
  <c r="E7" i="19" s="1"/>
  <c r="T62" i="4"/>
  <c r="Q206" i="4" l="1"/>
  <c r="Q208" i="4" s="1"/>
  <c r="R37" i="4"/>
  <c r="C5" i="19" s="1"/>
  <c r="K206" i="4"/>
  <c r="K208" i="4" s="1"/>
  <c r="K210" i="4" s="1"/>
  <c r="E10" i="19"/>
  <c r="O208" i="4"/>
  <c r="O210" i="4" s="1"/>
  <c r="T35" i="4"/>
  <c r="C4" i="26"/>
  <c r="Q210" i="4" l="1"/>
  <c r="T37" i="4"/>
  <c r="E5" i="19"/>
  <c r="M206" i="4"/>
  <c r="M208" i="4" l="1"/>
  <c r="R208" i="4" s="1"/>
  <c r="T85" i="4"/>
  <c r="C8" i="26"/>
  <c r="T123" i="4" l="1"/>
  <c r="R206" i="4"/>
  <c r="M210" i="4"/>
  <c r="C9" i="19"/>
  <c r="C19" i="19" s="1"/>
  <c r="C15" i="19"/>
  <c r="C18" i="19" s="1"/>
  <c r="C10" i="26"/>
  <c r="T208" i="4"/>
  <c r="E15" i="19" l="1"/>
  <c r="T206" i="4"/>
  <c r="U206" i="4" s="1"/>
  <c r="R210" i="4"/>
  <c r="T210" i="4" s="1"/>
  <c r="E9" i="19"/>
  <c r="E14" i="19" s="1"/>
  <c r="C14" i="19"/>
  <c r="C16" i="19" s="1"/>
  <c r="E16" i="19" l="1"/>
  <c r="T24" i="4" l="1"/>
  <c r="C3" i="26"/>
  <c r="C12" i="26" s="1"/>
</calcChain>
</file>

<file path=xl/sharedStrings.xml><?xml version="1.0" encoding="utf-8"?>
<sst xmlns="http://schemas.openxmlformats.org/spreadsheetml/2006/main" count="1580" uniqueCount="542">
  <si>
    <t>Advancing Labor Compliance in Colombia’s Port Sector</t>
  </si>
  <si>
    <t>FOA-ILAB-20-09</t>
  </si>
  <si>
    <t>Partners of the Americas</t>
  </si>
  <si>
    <t>BUDGET ITEM</t>
  </si>
  <si>
    <t>TOTAL DOL</t>
  </si>
  <si>
    <t>TOTAL COST SHARING</t>
  </si>
  <si>
    <t>PROJECT GRAND TOTAL</t>
  </si>
  <si>
    <t>Direct Labor</t>
  </si>
  <si>
    <t>Travel</t>
  </si>
  <si>
    <t>Equipment</t>
  </si>
  <si>
    <t>Supplies and Office Expenses</t>
  </si>
  <si>
    <t>Outcome 1</t>
  </si>
  <si>
    <t>Outcome 2</t>
  </si>
  <si>
    <t>Outcome 3</t>
  </si>
  <si>
    <t>Outcome 4</t>
  </si>
  <si>
    <t>Monitoring, Evaluation, and Collection of Reliable Data</t>
  </si>
  <si>
    <t>Total Direct Costs</t>
  </si>
  <si>
    <t>Indirect Costs (NICRA)</t>
  </si>
  <si>
    <t>TOTAL COSTS</t>
  </si>
  <si>
    <t>ADMINISTRATIVE COSTS (Direct Labor, Equipment, Supplies, Indirect Costs)</t>
  </si>
  <si>
    <t>PROGRAM COSTS (Travel, Contractual, Other Direct Costs)</t>
  </si>
  <si>
    <t>Equal Access to Quality Jobs for Women and Girls in Agriculture (EQUAL)</t>
  </si>
  <si>
    <t>FOA-ILAB-19-02</t>
  </si>
  <si>
    <t>Entity:</t>
  </si>
  <si>
    <t>P</t>
  </si>
  <si>
    <t>Program-Dept.:</t>
  </si>
  <si>
    <t>NOFO: FOA-ILAB-20-09</t>
  </si>
  <si>
    <t>Funder-Grant:</t>
  </si>
  <si>
    <t>DOL422</t>
  </si>
  <si>
    <t>Duration: 4 Years</t>
  </si>
  <si>
    <t>Country: Colombia</t>
  </si>
  <si>
    <t>Budget Assumptions:</t>
  </si>
  <si>
    <t>Inflation - US Based Goods/Services</t>
  </si>
  <si>
    <t>Inflation - Locally Purchased Goods/Services</t>
  </si>
  <si>
    <t>Merit Based Increases for HQ &amp; Field Staff</t>
  </si>
  <si>
    <t>Sage Activity</t>
  </si>
  <si>
    <t>Sage Object Code/ Line Item</t>
  </si>
  <si>
    <t>Country Code (DC=0 or CO)</t>
  </si>
  <si>
    <t>Office Code (DC=0 or CO)</t>
  </si>
  <si>
    <t>Subcontract Code</t>
  </si>
  <si>
    <t>CATEGORY</t>
  </si>
  <si>
    <t>UNIT</t>
  </si>
  <si>
    <t># of Units</t>
  </si>
  <si>
    <t>RATE / UNIT</t>
  </si>
  <si>
    <t>YEAR 1</t>
  </si>
  <si>
    <t>YEAR 2</t>
  </si>
  <si>
    <t>YEAR 3</t>
  </si>
  <si>
    <t>YEAR 4</t>
  </si>
  <si>
    <t>TOTAL COST 
SHARING</t>
  </si>
  <si>
    <t>Key Personnel</t>
  </si>
  <si>
    <t>PERSNL-PD</t>
  </si>
  <si>
    <t>Timesheets</t>
  </si>
  <si>
    <t>USA</t>
  </si>
  <si>
    <t>Project Director (90%)</t>
  </si>
  <si>
    <t>Salaries</t>
  </si>
  <si>
    <t>Month</t>
  </si>
  <si>
    <t>PERSNL-M&amp;E</t>
  </si>
  <si>
    <t>COL2</t>
  </si>
  <si>
    <t>Monitoring and Evaluation (M&amp;E) Officer (100%)</t>
  </si>
  <si>
    <t>Other Professional Personnel</t>
  </si>
  <si>
    <t>PERSNL-DPD</t>
  </si>
  <si>
    <t>Deputy Project Director (100%)</t>
  </si>
  <si>
    <t>PERSNL-COM</t>
  </si>
  <si>
    <t>Communications Officer (50%)</t>
  </si>
  <si>
    <t>PERSNL-POB</t>
  </si>
  <si>
    <t>Stakeholder Engagement and Partnership Officer in Buenaventura/Cali (100%)</t>
  </si>
  <si>
    <t>PERSNL-POC</t>
  </si>
  <si>
    <t>Stakeholder Engagement and Partnership Officer in Cartagena (100%)</t>
  </si>
  <si>
    <t>PERSNL-F&amp;A</t>
  </si>
  <si>
    <t>Finance and Administration Manager (100%)</t>
  </si>
  <si>
    <t>Home Office Support</t>
  </si>
  <si>
    <t>PERSNL-PM</t>
  </si>
  <si>
    <t>Project Manager (10%)</t>
  </si>
  <si>
    <t>PERSNL-PO</t>
  </si>
  <si>
    <t>Program Officer (40%)</t>
  </si>
  <si>
    <t xml:space="preserve">Subtotal </t>
  </si>
  <si>
    <t>Fringe Benefits</t>
  </si>
  <si>
    <t>FRINGE-CO</t>
  </si>
  <si>
    <t>Fringe Benefits CCN - Colombia (above $3,204 monthly)</t>
  </si>
  <si>
    <t>Fringe Benefits CCN - Colombia (below $3,204 monthly)</t>
  </si>
  <si>
    <t>FRINGE</t>
  </si>
  <si>
    <t xml:space="preserve">Fringe benefits - Home Office Support </t>
  </si>
  <si>
    <t>Subtotal Direct Labor</t>
  </si>
  <si>
    <t>T1: Post-award Meeting with ILAB</t>
  </si>
  <si>
    <t>CP.T1.A</t>
  </si>
  <si>
    <t xml:space="preserve">Airfare - Colombia-DC </t>
  </si>
  <si>
    <t>Trip</t>
  </si>
  <si>
    <t>-</t>
  </si>
  <si>
    <t>CP.T1.B</t>
  </si>
  <si>
    <t>86030 (Lodging)/ 86050 (M&amp;IE)</t>
  </si>
  <si>
    <t>Lodging and M&amp;IE in DC</t>
  </si>
  <si>
    <t>Day</t>
  </si>
  <si>
    <t>CP.T1.C</t>
  </si>
  <si>
    <t>Local transportation in DC</t>
  </si>
  <si>
    <t>CP.T1.D</t>
  </si>
  <si>
    <t xml:space="preserve">U.S. Visa Fees </t>
  </si>
  <si>
    <t>T2: Field Personnel Annual Visits with ILAB</t>
  </si>
  <si>
    <t>CP.T2.A</t>
  </si>
  <si>
    <t>CP.T2.B</t>
  </si>
  <si>
    <t>CP.T2.C</t>
  </si>
  <si>
    <t>T3: Project Management Travel to Field</t>
  </si>
  <si>
    <t>CP.T3.A</t>
  </si>
  <si>
    <t>Airfare - DC-Colombia</t>
  </si>
  <si>
    <t>CP.T3.B</t>
  </si>
  <si>
    <t xml:space="preserve">Lodging and M&amp;IE </t>
  </si>
  <si>
    <t>CP.T3.C</t>
  </si>
  <si>
    <t xml:space="preserve">Local transportation </t>
  </si>
  <si>
    <t xml:space="preserve">T.4 Field-based Travel for Non-M&amp;E Activities </t>
  </si>
  <si>
    <t>CP.T4.A</t>
  </si>
  <si>
    <t xml:space="preserve">Lodging and M&amp;IE Buenaventura </t>
  </si>
  <si>
    <t>CP.T4.B</t>
  </si>
  <si>
    <t>Lodging and M&amp;IE Cartagena</t>
  </si>
  <si>
    <t>CP.T4.C</t>
  </si>
  <si>
    <t>Lodging and M&amp;IE Santa Marta</t>
  </si>
  <si>
    <t>CP.T4.D</t>
  </si>
  <si>
    <t>Local transportation (ground transportation)</t>
  </si>
  <si>
    <t>CP.T4.E</t>
  </si>
  <si>
    <t>Local transportation (airfare)</t>
  </si>
  <si>
    <t>Subtotal Travel</t>
  </si>
  <si>
    <t>Subtotal Equipment</t>
  </si>
  <si>
    <t>Project Office</t>
  </si>
  <si>
    <t>LAPTOP</t>
  </si>
  <si>
    <t>COL2/USA</t>
  </si>
  <si>
    <t xml:space="preserve">Laptop computers &amp; software  </t>
  </si>
  <si>
    <t>Supplies</t>
  </si>
  <si>
    <t>Unit</t>
  </si>
  <si>
    <t>BANK FEES</t>
  </si>
  <si>
    <t>Banking and cash handling fees</t>
  </si>
  <si>
    <t>COURIER</t>
  </si>
  <si>
    <t xml:space="preserve">Courier fees/services </t>
  </si>
  <si>
    <t>Year</t>
  </si>
  <si>
    <t>RECRUIT</t>
  </si>
  <si>
    <t xml:space="preserve">Recruitment/Procurement Advertising </t>
  </si>
  <si>
    <t>SUPPLIES</t>
  </si>
  <si>
    <t>Office supplies</t>
  </si>
  <si>
    <t>RENT &amp; UT</t>
  </si>
  <si>
    <t>Office space</t>
  </si>
  <si>
    <t>PROP&amp;LIAB</t>
  </si>
  <si>
    <t>Property and liability insurance</t>
  </si>
  <si>
    <t>LEGAL</t>
  </si>
  <si>
    <t>Legal fees</t>
  </si>
  <si>
    <t>SECURITY</t>
  </si>
  <si>
    <t>Security Plan expenses</t>
  </si>
  <si>
    <t>BIOKITS</t>
  </si>
  <si>
    <t>Biosecurity kits for staff</t>
  </si>
  <si>
    <t xml:space="preserve">Audits and Attestation Engagements </t>
  </si>
  <si>
    <t>AUDIT</t>
  </si>
  <si>
    <t>Audit costs (A-133)</t>
  </si>
  <si>
    <t>ATTESTENG</t>
  </si>
  <si>
    <t>Attestation Engagement</t>
  </si>
  <si>
    <t>Project-wide Web Fees</t>
  </si>
  <si>
    <t>SUBSCRIPT</t>
  </si>
  <si>
    <t>Timekeeping and expense reporting platform</t>
  </si>
  <si>
    <t>Subtotal Office Expenses</t>
  </si>
  <si>
    <t>Outcome 1: Increased understanding of barriers to compliance with national laws related to internationally recognized labor rights in Colombia’s port sector</t>
  </si>
  <si>
    <t>Activities/Costs</t>
  </si>
  <si>
    <t>1.1 Sub Awards</t>
  </si>
  <si>
    <t>CP.1.1.A</t>
  </si>
  <si>
    <t>UNIJAVERIA</t>
  </si>
  <si>
    <t>1.1.1 Contractual: Sub-award to Universidad Javeriana</t>
  </si>
  <si>
    <t>Contractual</t>
  </si>
  <si>
    <t>CP.1.1.B</t>
  </si>
  <si>
    <t>SAI</t>
  </si>
  <si>
    <t>1.1.2 Contractual: Sub-award to Social Accountability International</t>
  </si>
  <si>
    <t>1.2 Develop Initial Findings and Conclusions of Assessment Findings</t>
  </si>
  <si>
    <t>CP.1.2.A</t>
  </si>
  <si>
    <t>Work seminars with key stakeholders to validate conclusions</t>
  </si>
  <si>
    <t>Other</t>
  </si>
  <si>
    <t>Seminars</t>
  </si>
  <si>
    <t>CP.1.2.B</t>
  </si>
  <si>
    <t>Consultancy to develop final document of assessment</t>
  </si>
  <si>
    <t>CP.1.2.C</t>
  </si>
  <si>
    <t>Document translation</t>
  </si>
  <si>
    <t>Document</t>
  </si>
  <si>
    <t>1.3 Present Assessment Findings to Relevant Stakeholders</t>
  </si>
  <si>
    <t>CP.1.3.A</t>
  </si>
  <si>
    <t>Individual meetings to present assessment findings</t>
  </si>
  <si>
    <t>Meeting</t>
  </si>
  <si>
    <t>CP.1.3.B</t>
  </si>
  <si>
    <t>Tailored stakeholder presentations of assessment findings</t>
  </si>
  <si>
    <t>CP.1.3.C</t>
  </si>
  <si>
    <t>Lodging and M&amp;IE for field staff to present assessment findings</t>
  </si>
  <si>
    <t>CP.1.3.D</t>
  </si>
  <si>
    <t>Local transportation for field staff to present assessment findings</t>
  </si>
  <si>
    <t>CP.1.3.E</t>
  </si>
  <si>
    <t>Development of materials for social media</t>
  </si>
  <si>
    <t>Campaign</t>
  </si>
  <si>
    <t>Subtotal Outcome 1</t>
  </si>
  <si>
    <t>Outcome 2: Development of approaches to support compliance with internationally recognized labor standards in Colombia’s port sector</t>
  </si>
  <si>
    <t>2.1 Sub Awards</t>
  </si>
  <si>
    <t>CP.2.1.A</t>
  </si>
  <si>
    <t>2.1.1 Contractual: Sub-award to SAI</t>
  </si>
  <si>
    <t>CP.2.1.B</t>
  </si>
  <si>
    <t>2.1.2 Contractual: Sub-award to Universidad Javeriana</t>
  </si>
  <si>
    <t>CP.2.1.C</t>
  </si>
  <si>
    <t>CARVAJAL</t>
  </si>
  <si>
    <t>2.1.3 Contractual: Sub-award to Fundación Carvajal</t>
  </si>
  <si>
    <t>2.2 Refinement of Proposed Activities to the Local Context</t>
  </si>
  <si>
    <t>CP.2.2.A</t>
  </si>
  <si>
    <t>"Do No Harm" Analysis</t>
  </si>
  <si>
    <t>CP.2.2.B</t>
  </si>
  <si>
    <t>Security/Risk Plan Analysis</t>
  </si>
  <si>
    <t>2.3 Adapt and Prioritize Proposed Interventions with Stakeholders</t>
  </si>
  <si>
    <t>CP.2.3.A</t>
  </si>
  <si>
    <t>Workshop to adapt and prioritize interventions with stakeholders</t>
  </si>
  <si>
    <t>Workshop</t>
  </si>
  <si>
    <t>CP.2.3.B</t>
  </si>
  <si>
    <t>82420 (Matl)/ 85300 (Print.)</t>
  </si>
  <si>
    <t>Material development/printing for workshop</t>
  </si>
  <si>
    <t>2.4 Development of Policy and Legal Based approaches</t>
  </si>
  <si>
    <t>CP.2.4.A</t>
  </si>
  <si>
    <t>Develop monitoring plan with government actors to monitor risks</t>
  </si>
  <si>
    <t>CP.2.4.B</t>
  </si>
  <si>
    <t xml:space="preserve">Trainings for inspectors on risk factors </t>
  </si>
  <si>
    <t>Training</t>
  </si>
  <si>
    <t>CP.2.4.C</t>
  </si>
  <si>
    <t>Development and printing of materials for trainings</t>
  </si>
  <si>
    <t xml:space="preserve">Other </t>
  </si>
  <si>
    <t>CP.2.4.D</t>
  </si>
  <si>
    <t>Meetings with government actors to develop policies and procedures to enforce fines and penalties</t>
  </si>
  <si>
    <t>CP.2.4.E</t>
  </si>
  <si>
    <t>Meetings with government actors to address gaps identified in assessment</t>
  </si>
  <si>
    <t>CP.2.4.F</t>
  </si>
  <si>
    <t>Local transportation for meetings with stakeholders</t>
  </si>
  <si>
    <t>2.5 Development of Financial and Market Based approaches</t>
  </si>
  <si>
    <t>CP.2.5.A</t>
  </si>
  <si>
    <t>Workshop to conduct cost benefit analysis with relevant companies</t>
  </si>
  <si>
    <t>CP.2.5.B</t>
  </si>
  <si>
    <t>Trainings with businesses to raise awareness of business case for compliance and improve knowledge of market incentives</t>
  </si>
  <si>
    <t>CP.2.5.C</t>
  </si>
  <si>
    <t>Subtotal Outcome 2</t>
  </si>
  <si>
    <t>Outcome 3: Demonstrated effectiveness of approaches to support compliance with national laws related to internationally recognized labor rights in the Colombia’s port sector</t>
  </si>
  <si>
    <t>3.1 Sub Awards</t>
  </si>
  <si>
    <t>CP.3.1.A</t>
  </si>
  <si>
    <t>3.1.1 Contractual: Sub-award to Social Accountability International</t>
  </si>
  <si>
    <t>CP.3.1.B</t>
  </si>
  <si>
    <t>3.1.2 Contractual: Sub-award to Fundación Carvajal</t>
  </si>
  <si>
    <t>CP.3.1.C</t>
  </si>
  <si>
    <t>3.1.3 Contractual: Sub-award to Universidad Javeriana</t>
  </si>
  <si>
    <t>3.2 Pilot approaches in Buenaventura</t>
  </si>
  <si>
    <t>CP.3.2.A</t>
  </si>
  <si>
    <t>Implement chosen approaches in port of Buenaventura</t>
  </si>
  <si>
    <t>Lump sum</t>
  </si>
  <si>
    <t>3.3 Pilot approaches in Cartagena</t>
  </si>
  <si>
    <t>CP.3.3.A</t>
  </si>
  <si>
    <t>Implement chosen approaches in port of Cartagena</t>
  </si>
  <si>
    <t>3.3 Pilot approaches in Santa Marta</t>
  </si>
  <si>
    <t>CP.3.3.B</t>
  </si>
  <si>
    <t>Implement chosen approaches in port of Santa Marta</t>
  </si>
  <si>
    <t>3.4 Evaluate positive outcomes and replicate activities</t>
  </si>
  <si>
    <t>CP.3.4.A</t>
  </si>
  <si>
    <t>Committee meetings to determine positive outcomes</t>
  </si>
  <si>
    <t>CP.3.4.B</t>
  </si>
  <si>
    <t xml:space="preserve">Working seminars with relevant stakeholders to adapt pilots to other ports </t>
  </si>
  <si>
    <t>3.5 Strategic Grant Fund</t>
  </si>
  <si>
    <t>CP.3.5.A</t>
  </si>
  <si>
    <t>Strategic Grant Fund</t>
  </si>
  <si>
    <t>Subtotal Outcome 3</t>
  </si>
  <si>
    <t xml:space="preserve">Outcome 4: Increased awareness and adoption of approaches to support compliance with national laws related to internationally recognized labor rights in Colombia’s port sector </t>
  </si>
  <si>
    <r>
      <rPr>
        <u/>
        <sz val="8"/>
        <rFont val="Arial"/>
        <family val="2"/>
      </rPr>
      <t xml:space="preserve">4.1 </t>
    </r>
    <r>
      <rPr>
        <i/>
        <u/>
        <sz val="8"/>
        <rFont val="Arial"/>
        <family val="2"/>
      </rPr>
      <t>Sub Awards</t>
    </r>
  </si>
  <si>
    <t>CP.4.1.A</t>
  </si>
  <si>
    <t>4.1.1 Contractual: Sub-award to Universidad Javeriana</t>
  </si>
  <si>
    <t>CP.4.1.B</t>
  </si>
  <si>
    <t>4.1.2 Contractual: Sub-award to Fundación Carvajal</t>
  </si>
  <si>
    <t>4.2 Study tours/exchanges</t>
  </si>
  <si>
    <t>CP.4.2.A</t>
  </si>
  <si>
    <t xml:space="preserve">Coordination and planning meetings </t>
  </si>
  <si>
    <t>CP.4.2.B</t>
  </si>
  <si>
    <t xml:space="preserve">Contractual: planning consultant fees </t>
  </si>
  <si>
    <t>CP.4.2.C</t>
  </si>
  <si>
    <t>Study tour and workshop hosting</t>
  </si>
  <si>
    <t>Tour</t>
  </si>
  <si>
    <t>CP.4.2.D</t>
  </si>
  <si>
    <t>Travel: stipends for relevant actors from port sector</t>
  </si>
  <si>
    <t>Participant</t>
  </si>
  <si>
    <t>4.3 Project-wide communications strategy</t>
  </si>
  <si>
    <t>CP.4.3.A</t>
  </si>
  <si>
    <t>Development of digital press kit</t>
  </si>
  <si>
    <t>CP.4.3.B</t>
  </si>
  <si>
    <t>Development of toolkit</t>
  </si>
  <si>
    <t>CP.4.3.C</t>
  </si>
  <si>
    <t>Consultancy: graphic design and material development</t>
  </si>
  <si>
    <t>CP.4.3.D</t>
  </si>
  <si>
    <t>International Worker's Day, World Day Against Child Labor and Children's Day activities</t>
  </si>
  <si>
    <t>CP.4.3.E</t>
  </si>
  <si>
    <t>Campaign focused on afro-Colombian community</t>
  </si>
  <si>
    <t>CP.4.3.F</t>
  </si>
  <si>
    <t>Trainings on internationally recognized labor rights in port sector</t>
  </si>
  <si>
    <t>Trainings</t>
  </si>
  <si>
    <t>CP.4.3.G</t>
  </si>
  <si>
    <t>Trainings on ethnic issues and labor rights</t>
  </si>
  <si>
    <t>CP.4.3.H</t>
  </si>
  <si>
    <t>Consultancy: specialist on ethnic issues to implement training</t>
  </si>
  <si>
    <t>CP.4.3.I</t>
  </si>
  <si>
    <t>Material design and printing for trainings</t>
  </si>
  <si>
    <t>CP.4.3.J</t>
  </si>
  <si>
    <t>Transportation costs</t>
  </si>
  <si>
    <t>4.4 Dissemination of the assessment of Colombia's port sector (Outcome 1)</t>
  </si>
  <si>
    <t>CP.4.4.A</t>
  </si>
  <si>
    <t>Awareness raising campaign</t>
  </si>
  <si>
    <t>CP.4.4.B</t>
  </si>
  <si>
    <t>Material development, design and printing</t>
  </si>
  <si>
    <t>CP.4.4.C</t>
  </si>
  <si>
    <t>Forum with panel of experts and key actors</t>
  </si>
  <si>
    <t>Forum</t>
  </si>
  <si>
    <t>CP.4.4.D</t>
  </si>
  <si>
    <t>Meetings with local and national governments to disseminate assessment results</t>
  </si>
  <si>
    <t>Meetings</t>
  </si>
  <si>
    <t>4.5 Participate in development of Municipal Development Plans</t>
  </si>
  <si>
    <t>CP.4.5.A</t>
  </si>
  <si>
    <t>Meetings with incoming local authorities</t>
  </si>
  <si>
    <t>CP.4.5.B</t>
  </si>
  <si>
    <t>Meetings for the development of municipal plans</t>
  </si>
  <si>
    <t>CP.4.5.C</t>
  </si>
  <si>
    <t xml:space="preserve">Forum with incoming local authorities </t>
  </si>
  <si>
    <t>Subtotal Outcome 4</t>
  </si>
  <si>
    <t>5: Monitoring, Evaluation, and Collection of Reliable Data</t>
  </si>
  <si>
    <t>5.1 Database Development</t>
  </si>
  <si>
    <t>CP.5.1.A</t>
  </si>
  <si>
    <t xml:space="preserve">Consultant fees </t>
  </si>
  <si>
    <t>5.2 Monitoring Guidelines Development</t>
  </si>
  <si>
    <t>CP.5.2.A</t>
  </si>
  <si>
    <t>Monitoring guidelines production and printing</t>
  </si>
  <si>
    <t xml:space="preserve">Document </t>
  </si>
  <si>
    <t>CP.5.2.B</t>
  </si>
  <si>
    <t xml:space="preserve">Monitoring guidelines training workshop </t>
  </si>
  <si>
    <t>5.3 Development of Performance Monitoring Plan</t>
  </si>
  <si>
    <t>CP.5.3.A</t>
  </si>
  <si>
    <t>Workshops</t>
  </si>
  <si>
    <t>CP.5.3.B</t>
  </si>
  <si>
    <t>5.4 On-going M&amp;E Training</t>
  </si>
  <si>
    <t>CP.5.4.A</t>
  </si>
  <si>
    <t>On-going M&amp;E training workshops</t>
  </si>
  <si>
    <t>5.5 External Evaluations</t>
  </si>
  <si>
    <t>CP.5.5.A</t>
  </si>
  <si>
    <t>Interim Performance Evaluation</t>
  </si>
  <si>
    <t>Evaluation</t>
  </si>
  <si>
    <t>CP.5.5.B</t>
  </si>
  <si>
    <t>Final Performance Evaluation</t>
  </si>
  <si>
    <t>5.6 On-going Training for Data Collection Staff</t>
  </si>
  <si>
    <t>CP.5.6.A</t>
  </si>
  <si>
    <t>On-going training workshops for Data Collection Staff</t>
  </si>
  <si>
    <t>5.7 Collection of Reliable Data and Processing of Monitoring Data</t>
  </si>
  <si>
    <t>CP.5.7.A</t>
  </si>
  <si>
    <t>CP.5.7.B</t>
  </si>
  <si>
    <t>CP.5.7.C</t>
  </si>
  <si>
    <t>CP.5.7.D</t>
  </si>
  <si>
    <t>Local transportation - Field verification and data collection visits</t>
  </si>
  <si>
    <t>M&amp;E</t>
  </si>
  <si>
    <t>CP.5.7.E</t>
  </si>
  <si>
    <t>Data collection materials and printing</t>
  </si>
  <si>
    <t>5.8 Sub-awards</t>
  </si>
  <si>
    <t>CP.5.8.A</t>
  </si>
  <si>
    <t xml:space="preserve">5.8.1 Contractual: Sub-award with Social Accountability International </t>
  </si>
  <si>
    <t>CP.5.8.B</t>
  </si>
  <si>
    <t>5.8.2 Contractual: Sub-award with Fundación Carvajal</t>
  </si>
  <si>
    <t>CP.5.8.C</t>
  </si>
  <si>
    <t>5.8.3 Contractual: Sub-award with Universidad Javeriana</t>
  </si>
  <si>
    <t>Subtotal Monitoring, Evaluation, and Collection of Reliable Data</t>
  </si>
  <si>
    <t>IDC</t>
  </si>
  <si>
    <t xml:space="preserve">Total Indirect Costs (NICRA) </t>
  </si>
  <si>
    <t>Indirect Charges</t>
  </si>
  <si>
    <t>Name of Project: Advancing Labor Compliance in Colombia’s Port Sector</t>
  </si>
  <si>
    <t>Name of Subawardee: Social Accountability International (SAI)</t>
  </si>
  <si>
    <t>Subaward Budget</t>
  </si>
  <si>
    <t>Merit Based Increases for HQ Staff</t>
  </si>
  <si>
    <t>Merit Based Increases for Field Staff</t>
  </si>
  <si>
    <t>COUNTRY</t>
  </si>
  <si>
    <t>RATE/ UNIT</t>
  </si>
  <si>
    <r>
      <t xml:space="preserve">YEAR </t>
    </r>
    <r>
      <rPr>
        <b/>
        <sz val="8"/>
        <rFont val="Arial"/>
        <family val="2"/>
      </rPr>
      <t>4</t>
    </r>
  </si>
  <si>
    <t>TOTAL SAI</t>
  </si>
  <si>
    <t>Field Personnel (include Level of Effort (LOE))</t>
  </si>
  <si>
    <t>Trainer &amp; Facilitator 1</t>
  </si>
  <si>
    <t>Colombia</t>
  </si>
  <si>
    <t>Trainer &amp; Facilitator 2</t>
  </si>
  <si>
    <t>Trainer &amp; Facilitator 3</t>
  </si>
  <si>
    <t>Costa Rica</t>
  </si>
  <si>
    <t>Trainer &amp; Facilitator 4</t>
  </si>
  <si>
    <t>HQ Personnel (include Level of Effort (LOE))</t>
  </si>
  <si>
    <t>Senior Director, Innovations and Capacity Building</t>
  </si>
  <si>
    <t>Associate Director, Innovations and Partnerships</t>
  </si>
  <si>
    <t>Manager, Innovations &amp; Corporate Programs</t>
  </si>
  <si>
    <t>Manager, Stakeholder Relations</t>
  </si>
  <si>
    <t>Manager, Operations</t>
  </si>
  <si>
    <t>Fringe benefits HQ Support</t>
  </si>
  <si>
    <t>HQ Trips to Colombia</t>
  </si>
  <si>
    <t>Airfare NYC-Colombia (Bogota/Buenaventura/Cartagena)</t>
  </si>
  <si>
    <t>Airfare Cartagena-Buenaventura</t>
  </si>
  <si>
    <t>Lodging and M&amp;IE - Colombia (Bogota/Buenaventura/Cartagena)</t>
  </si>
  <si>
    <t>Ground Transportation</t>
  </si>
  <si>
    <t>Field Personnel Trips in Colombia (field personnel based in Bogota)</t>
  </si>
  <si>
    <t>Airfare Bogota-Buenaventura</t>
  </si>
  <si>
    <t>Airfare Bogota-Cartagena</t>
  </si>
  <si>
    <t>Lodging and M&amp;IE - Buenaventura</t>
  </si>
  <si>
    <t>Lodging and M&amp;IE - Cartagena</t>
  </si>
  <si>
    <t>Supplies - Under $5,000 USD</t>
  </si>
  <si>
    <t>Desktop computers, laptops and software</t>
  </si>
  <si>
    <t>Stationary/printing materials</t>
  </si>
  <si>
    <t>Subtotal Supplies</t>
  </si>
  <si>
    <t>Office Expenses</t>
  </si>
  <si>
    <t xml:space="preserve">Banking and cash handling fees </t>
  </si>
  <si>
    <t>Courier fees/services/postage</t>
  </si>
  <si>
    <t>Teleconferencing/videoconferencing</t>
  </si>
  <si>
    <t>The above is only for percentage calculations for the below outcomes</t>
  </si>
  <si>
    <t>Personnel &amp; Fringe (50% of Direct Labor line item)</t>
  </si>
  <si>
    <t>Outcome1</t>
  </si>
  <si>
    <t>Travel 50%</t>
  </si>
  <si>
    <t>Supplies 50%</t>
  </si>
  <si>
    <t>Office Expenses 50%</t>
  </si>
  <si>
    <t>1.1.2.1 Stakeholder engagement for assessment of port sector</t>
  </si>
  <si>
    <t>Stakeholder workshops in Buenaventura</t>
  </si>
  <si>
    <t>Stakeholder workshops in Cartagena</t>
  </si>
  <si>
    <t>Port operator and subcontractor labor assessments in Buenaventura</t>
  </si>
  <si>
    <t>Port operator and subcontractor labor assessments in Cartagena</t>
  </si>
  <si>
    <t>Printing and materials for workshops</t>
  </si>
  <si>
    <t>Worker surveys (mobile)</t>
  </si>
  <si>
    <t>Direct Costs Total for Outcome 1</t>
  </si>
  <si>
    <t>Total Indirect Costs (De Minimis 10%) for Outcome 1</t>
  </si>
  <si>
    <t>Personnel &amp; Fringe (25% of Direct Labor line item)</t>
  </si>
  <si>
    <t>Outcome2</t>
  </si>
  <si>
    <t>Travel 25%</t>
  </si>
  <si>
    <t>Supplies 25%</t>
  </si>
  <si>
    <t>Office Expenses 25%</t>
  </si>
  <si>
    <t>2.1.1.1 Codesign workshops with stakeholders</t>
  </si>
  <si>
    <t>Participatory design workshops in Buenaventura</t>
  </si>
  <si>
    <t>Participatory design workshops in Cartagena</t>
  </si>
  <si>
    <t>Direct Costs Total for Outcome 2</t>
  </si>
  <si>
    <t>Total Indirect Costs (De Minimis 10%) for Outcome 2</t>
  </si>
  <si>
    <t>Personnel &amp; Fringe (20% of Direct Labor line item)</t>
  </si>
  <si>
    <t>Outcome3</t>
  </si>
  <si>
    <t>Travel 20%</t>
  </si>
  <si>
    <t>Supplies 20%</t>
  </si>
  <si>
    <t>Office Expenses 20%</t>
  </si>
  <si>
    <t>3.1.1.1 Engage multi-sector advisory committee to evaluate and select pilot programs</t>
  </si>
  <si>
    <t>Multi-sector advisory committee workshops in Buenaventura</t>
  </si>
  <si>
    <t>Multi-sector advisory committee workshops in Cartagena</t>
  </si>
  <si>
    <t>Online Training System</t>
  </si>
  <si>
    <t>3.1.1.2 Training workshops for relevant stakeholders in ports</t>
  </si>
  <si>
    <t>Training workshops in Buenaventura</t>
  </si>
  <si>
    <t>Training workshops in Cartagena</t>
  </si>
  <si>
    <t>Direct Costs Total for Outcome 3</t>
  </si>
  <si>
    <t>Total Indirect Costs (De Minimis 10%) for Outcome 3</t>
  </si>
  <si>
    <t>Personnel &amp; Fringe (5% of Direct Labor line item)</t>
  </si>
  <si>
    <t>Travel 5%</t>
  </si>
  <si>
    <t>Supplies 5%</t>
  </si>
  <si>
    <t>Office Expenses 5%</t>
  </si>
  <si>
    <t>5.7.1.1 Collection of Reliable Data and Processing of Monitoring Data</t>
  </si>
  <si>
    <t>Lodging and M&amp;IE - Field verification and data collection visits</t>
  </si>
  <si>
    <t>Direct Costs Total for Monitoring, Evaluation, and Collection of Reliable Data</t>
  </si>
  <si>
    <t>Total Indirect Costs (NICRA or De Minimis)  for M&amp;E and Collection of Reliable Data</t>
  </si>
  <si>
    <t>Name of Subawardee: Fundación Carvajal</t>
  </si>
  <si>
    <t>TOTAL FUNDACIÓN CARVAJAL</t>
  </si>
  <si>
    <t xml:space="preserve">Field Personnel </t>
  </si>
  <si>
    <t>Civil Society Engagement Coordinator (30%)</t>
  </si>
  <si>
    <t xml:space="preserve">Social Adviser (100%) </t>
  </si>
  <si>
    <t xml:space="preserve">HQ Personnel </t>
  </si>
  <si>
    <t>Methodological Leader (10%)</t>
  </si>
  <si>
    <t>Civil Society Mapping Leader (10%)</t>
  </si>
  <si>
    <t>Fringe benefits</t>
  </si>
  <si>
    <t>Laptop computers</t>
  </si>
  <si>
    <t>Zoom License</t>
  </si>
  <si>
    <t>Project cellphone</t>
  </si>
  <si>
    <t>Project cellphone plan</t>
  </si>
  <si>
    <t>Project emails and internet</t>
  </si>
  <si>
    <t>Project office rent</t>
  </si>
  <si>
    <t>Biosecurity kits for project staff</t>
  </si>
  <si>
    <t>Subtotal Supplies and Office Expenses</t>
  </si>
  <si>
    <t>Personnel</t>
  </si>
  <si>
    <t>Supplies and Office Expenses 20%</t>
  </si>
  <si>
    <t>2.1.3.1 Socialization of scope of the project with civil society organizations</t>
  </si>
  <si>
    <t>Initial engagement meetings with civil society organizations</t>
  </si>
  <si>
    <t>2.1.3.2 Strengthen civil society and worker organizations</t>
  </si>
  <si>
    <t>Consultant: CSO mapping support</t>
  </si>
  <si>
    <t>Training CSOs and worker organizations on social dialogue skills</t>
  </si>
  <si>
    <t xml:space="preserve">Training CSOs and worker organizations on ethnic issues </t>
  </si>
  <si>
    <t>Lodging and M&amp;IE for project staff</t>
  </si>
  <si>
    <t>Local transportation for project staff</t>
  </si>
  <si>
    <t>Material design and printing for CSO and worker organization trainings</t>
  </si>
  <si>
    <t>Supplies and Office Expenses 50%</t>
  </si>
  <si>
    <t>3.1.2.1 Workshops to develop approaches with CSOs</t>
  </si>
  <si>
    <t>Workshops with CSOs to develop action plans for adoptability of approaches</t>
  </si>
  <si>
    <t>Workshops with CSOs to develop action plans for adaptability of approaches</t>
  </si>
  <si>
    <t>Material design and printing for workshops with CSOs</t>
  </si>
  <si>
    <t>3.1.2.2 Exchanges between CSOs from Buenaventura and Cartagena</t>
  </si>
  <si>
    <t>Workshops for collaboration between CSOs for adaptability/adoptability of approaches</t>
  </si>
  <si>
    <t>Material design and printing for exchange workshops with CSOs</t>
  </si>
  <si>
    <t>Participant lodging and M&amp;IE</t>
  </si>
  <si>
    <t>Participant local transportation</t>
  </si>
  <si>
    <t>4.1.2.1 Awareness raising strategy with CSOs</t>
  </si>
  <si>
    <t>Media campaigns with civil society organizations</t>
  </si>
  <si>
    <t>Graphic design development for social media</t>
  </si>
  <si>
    <t>Direct Costs Total for Outcome 4</t>
  </si>
  <si>
    <t>Total Indirect Costs (De Minimis 10%) for Outcome 4</t>
  </si>
  <si>
    <t>Supplies and Office Expenses 5%</t>
  </si>
  <si>
    <t>5.7.2.1 Collection of Reliable Data and Processing of Monitoring Data</t>
  </si>
  <si>
    <t>Lodging and M&amp;IE Field verification and data collection visits</t>
  </si>
  <si>
    <t>Name of Subawardee: Universidad Javeriana</t>
  </si>
  <si>
    <t>TOTAL UNIVERSIDAD JAVERIANA</t>
  </si>
  <si>
    <t>Project Manager (100%)</t>
  </si>
  <si>
    <t>Project Academic Coordinator (100%)</t>
  </si>
  <si>
    <t>Research Logistic Coordinator (100%)</t>
  </si>
  <si>
    <t>Biosecurity skits for staff</t>
  </si>
  <si>
    <t>Personnel and Fringe (25% of Direct Labor line item)</t>
  </si>
  <si>
    <t>Labor Research Coordinator</t>
  </si>
  <si>
    <t>Quantitative Investigator</t>
  </si>
  <si>
    <t>Field Investigator 1</t>
  </si>
  <si>
    <t>Field Investigator 2</t>
  </si>
  <si>
    <t>Field Investigator 3</t>
  </si>
  <si>
    <t>Fringe benefits - Outcome 1</t>
  </si>
  <si>
    <t>1.1.1.1 Interviews with port stakeholders for the development of port assessment</t>
  </si>
  <si>
    <t>Field personnel - Airfare</t>
  </si>
  <si>
    <t>Field personnel - Lodging</t>
  </si>
  <si>
    <t>Field personnel - Ground Transportation</t>
  </si>
  <si>
    <t>Field personnel - M&amp;IE</t>
  </si>
  <si>
    <t>1.1.1.2 Focus groups with port stakeholders for the development of port assessment</t>
  </si>
  <si>
    <t>Workshop venue and related expenses</t>
  </si>
  <si>
    <t>Outcome 2: Development of approaches to support compliance with national laws related to internationally recognized labor rights in Colombia’s port sector.</t>
  </si>
  <si>
    <t>2.1.2.1 Development of Social and Cultural Based approaches</t>
  </si>
  <si>
    <t>Engagement/Coordination meetings with stakeholders</t>
  </si>
  <si>
    <t>Trainings for sustained social dialogue and a tripartite approach</t>
  </si>
  <si>
    <t>Consultant: Training Lead</t>
  </si>
  <si>
    <t>Workshops for employer-employee teams</t>
  </si>
  <si>
    <t>Consultant: Workshop Lead</t>
  </si>
  <si>
    <t>"Sustainable unions" workshops</t>
  </si>
  <si>
    <t>Material design and printing for Social and Cultural Activities</t>
  </si>
  <si>
    <t>Event</t>
  </si>
  <si>
    <t>Lodging for project staff to support Social and Cultural Activities</t>
  </si>
  <si>
    <t>M&amp;IE for project staff to support Social and Cultural Activities</t>
  </si>
  <si>
    <t>Ground transportation for project staff to support Social and Cultural Activities</t>
  </si>
  <si>
    <t>3.1.3.1 Development of Adoptability and Adaptability of Approaches</t>
  </si>
  <si>
    <t>Workshops with private sector and workers unions to develop action plans for adoptability of approaches</t>
  </si>
  <si>
    <t>Workshops with private sector and workers unions to develop action plans for adaptability of approaches</t>
  </si>
  <si>
    <t>Material design and printing for workshops with private sector and workers unions</t>
  </si>
  <si>
    <t>Materials</t>
  </si>
  <si>
    <t>4.1.1.1 Awareness raising with private sector and workers organizations</t>
  </si>
  <si>
    <t>Media campaigns with private sector and workers unions</t>
  </si>
  <si>
    <t>5.7.3.1 Collection of Reliable Data and Processing of Monitoring Data</t>
  </si>
  <si>
    <t>Category</t>
  </si>
  <si>
    <t>TOTAL USDOL</t>
  </si>
  <si>
    <t xml:space="preserve">Equipment </t>
  </si>
  <si>
    <t>Other Direct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</si>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</sst>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  <numFmt numFmtId="175" formatCode="_-* #,##0\ _B_s_-;\-* #,##0\ _B_s_-;_-* &quot;-&quot;??\ _B_s_-;_-@"/>
    <numFmt numFmtId="176" formatCode="_(* #,##0_);_(* \(#,##0\);_(* &quot;-&quot;??_);_(@_)"/>
    <numFmt numFmtId="177" formatCode="_-* #,##0.00_-;\-* #,##0.00_-;_-* &quot;-&quot;??_-;_-@_-"/>
  </numFmts>
  <fonts count="4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i/>
      <u/>
      <sz val="8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sz val="8"/>
      <color theme="1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9"/>
      <color rgb="FFFF0000"/>
      <name val="Arial"/>
      <family val="2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8"/>
      <color rgb="FFFF0000"/>
      <name val="Arial"/>
      <family val="2"/>
    </font>
    <font>
      <b/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22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96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14" borderId="0" applyNumberFormat="0" applyBorder="0" applyAlignment="0" applyProtection="0"/>
    <xf numFmtId="0" fontId="18" fillId="6" borderId="0" applyNumberFormat="0" applyBorder="0" applyAlignment="0" applyProtection="0"/>
    <xf numFmtId="0" fontId="18" fillId="5" borderId="0" applyNumberFormat="0" applyBorder="0" applyAlignment="0" applyProtection="0"/>
    <xf numFmtId="0" fontId="18" fillId="15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4" fillId="18" borderId="0" applyNumberFormat="0" applyBorder="0" applyAlignment="0" applyProtection="0"/>
    <xf numFmtId="0" fontId="19" fillId="2" borderId="20" applyNumberFormat="0" applyAlignment="0" applyProtection="0"/>
    <xf numFmtId="0" fontId="20" fillId="19" borderId="21" applyNumberFormat="0" applyAlignment="0" applyProtection="0"/>
    <xf numFmtId="166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15" fillId="0" borderId="1" applyNumberFormat="0" applyFill="0" applyAlignment="0" applyProtection="0"/>
    <xf numFmtId="0" fontId="15" fillId="0" borderId="22" applyNumberFormat="0" applyFill="0" applyAlignment="0" applyProtection="0"/>
    <xf numFmtId="0" fontId="15" fillId="0" borderId="2" applyNumberFormat="0" applyFill="0" applyAlignment="0" applyProtection="0"/>
    <xf numFmtId="0" fontId="15" fillId="0" borderId="0" applyNumberFormat="0" applyFill="0" applyBorder="0" applyAlignment="0" applyProtection="0"/>
    <xf numFmtId="0" fontId="24" fillId="21" borderId="20" applyNumberFormat="0" applyAlignment="0" applyProtection="0"/>
    <xf numFmtId="0" fontId="25" fillId="0" borderId="23" applyNumberFormat="0" applyFill="0" applyAlignment="0" applyProtection="0"/>
    <xf numFmtId="17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22" borderId="0" applyNumberFormat="0" applyBorder="0" applyAlignment="0" applyProtection="0"/>
    <xf numFmtId="0" fontId="8" fillId="0" borderId="0"/>
    <xf numFmtId="0" fontId="6" fillId="0" borderId="0"/>
    <xf numFmtId="0" fontId="17" fillId="0" borderId="0"/>
    <xf numFmtId="3" fontId="21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21" fillId="0" borderId="0"/>
    <xf numFmtId="0" fontId="13" fillId="23" borderId="24" applyNumberFormat="0" applyFont="0" applyAlignment="0" applyProtection="0"/>
    <xf numFmtId="0" fontId="27" fillId="2" borderId="25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1" fillId="0" borderId="0"/>
  </cellStyleXfs>
  <cellXfs count="35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25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0" fontId="3" fillId="0" borderId="0" xfId="0" applyFont="1" applyAlignment="1">
      <alignment vertical="center" wrapText="1"/>
    </xf>
    <xf numFmtId="0" fontId="3" fillId="25" borderId="0" xfId="0" applyFont="1" applyFill="1"/>
    <xf numFmtId="0" fontId="30" fillId="0" borderId="0" xfId="0" applyFont="1"/>
    <xf numFmtId="10" fontId="3" fillId="0" borderId="0" xfId="0" applyNumberFormat="1" applyFont="1"/>
    <xf numFmtId="0" fontId="3" fillId="0" borderId="0" xfId="0" applyFont="1"/>
    <xf numFmtId="170" fontId="0" fillId="0" borderId="0" xfId="0" applyNumberFormat="1"/>
    <xf numFmtId="167" fontId="3" fillId="24" borderId="4" xfId="0" applyNumberFormat="1" applyFont="1" applyFill="1" applyBorder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7" borderId="0" xfId="0" applyFont="1" applyFill="1" applyAlignment="1">
      <alignment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0" fontId="3" fillId="27" borderId="0" xfId="0" applyFont="1" applyFill="1" applyAlignment="1">
      <alignment horizontal="left" vertical="top"/>
    </xf>
    <xf numFmtId="167" fontId="3" fillId="27" borderId="0" xfId="0" applyNumberFormat="1" applyFont="1" applyFill="1" applyAlignment="1">
      <alignment horizontal="right" wrapText="1"/>
    </xf>
    <xf numFmtId="167" fontId="2" fillId="27" borderId="0" xfId="0" applyNumberFormat="1" applyFont="1" applyFill="1" applyAlignment="1">
      <alignment horizontal="right" wrapText="1"/>
    </xf>
    <xf numFmtId="0" fontId="3" fillId="27" borderId="0" xfId="0" applyFont="1" applyFill="1" applyAlignment="1">
      <alignment horizontal="left" wrapText="1"/>
    </xf>
    <xf numFmtId="16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8" borderId="0" xfId="0" applyFont="1" applyFill="1" applyAlignment="1">
      <alignment wrapText="1"/>
    </xf>
    <xf numFmtId="0" fontId="3" fillId="28" borderId="0" xfId="0" applyFont="1" applyFill="1" applyAlignment="1">
      <alignment horizontal="right" wrapText="1"/>
    </xf>
    <xf numFmtId="3" fontId="3" fillId="28" borderId="0" xfId="0" applyNumberFormat="1" applyFont="1" applyFill="1" applyAlignment="1">
      <alignment horizontal="right" wrapText="1"/>
    </xf>
    <xf numFmtId="170" fontId="3" fillId="28" borderId="0" xfId="0" applyNumberFormat="1" applyFont="1" applyFill="1" applyAlignment="1">
      <alignment horizontal="right" wrapText="1"/>
    </xf>
    <xf numFmtId="169" fontId="3" fillId="28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3" fontId="2" fillId="24" borderId="0" xfId="0" applyNumberFormat="1" applyFont="1" applyFill="1" applyAlignment="1">
      <alignment wrapText="1"/>
    </xf>
    <xf numFmtId="0" fontId="4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170" fontId="3" fillId="24" borderId="0" xfId="0" applyNumberFormat="1" applyFont="1" applyFill="1" applyAlignment="1">
      <alignment horizontal="right" wrapText="1"/>
    </xf>
    <xf numFmtId="169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3" fontId="3" fillId="0" borderId="0" xfId="0" applyNumberFormat="1" applyFont="1" applyAlignment="1">
      <alignment vertical="center" wrapText="1"/>
    </xf>
    <xf numFmtId="0" fontId="3" fillId="24" borderId="0" xfId="0" applyFont="1" applyFill="1" applyAlignment="1">
      <alignment vertical="center" wrapText="1"/>
    </xf>
    <xf numFmtId="0" fontId="2" fillId="24" borderId="0" xfId="0" applyFont="1" applyFill="1" applyAlignment="1">
      <alignment horizontal="left" wrapText="1"/>
    </xf>
    <xf numFmtId="0" fontId="3" fillId="26" borderId="6" xfId="0" applyFont="1" applyFill="1" applyBorder="1" applyAlignment="1">
      <alignment horizontal="left" vertical="top"/>
    </xf>
    <xf numFmtId="3" fontId="3" fillId="24" borderId="0" xfId="0" applyNumberFormat="1" applyFont="1" applyFill="1" applyAlignment="1">
      <alignment wrapText="1"/>
    </xf>
    <xf numFmtId="3" fontId="2" fillId="24" borderId="0" xfId="0" applyNumberFormat="1" applyFont="1" applyFill="1"/>
    <xf numFmtId="0" fontId="3" fillId="24" borderId="0" xfId="0" applyFont="1" applyFill="1"/>
    <xf numFmtId="0" fontId="3" fillId="24" borderId="0" xfId="0" applyFont="1" applyFill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28" borderId="6" xfId="0" applyFont="1" applyFill="1" applyBorder="1" applyAlignment="1">
      <alignment vertical="center"/>
    </xf>
    <xf numFmtId="172" fontId="3" fillId="24" borderId="0" xfId="143" applyNumberFormat="1" applyFont="1" applyFill="1" applyAlignment="1">
      <alignment horizontal="left" vertical="top"/>
    </xf>
    <xf numFmtId="172" fontId="3" fillId="25" borderId="0" xfId="143" applyNumberFormat="1" applyFont="1" applyFill="1" applyAlignment="1">
      <alignment horizontal="left" vertical="top"/>
    </xf>
    <xf numFmtId="172" fontId="3" fillId="25" borderId="5" xfId="143" applyNumberFormat="1" applyFont="1" applyFill="1" applyBorder="1" applyAlignment="1">
      <alignment horizontal="left" vertical="top"/>
    </xf>
    <xf numFmtId="172" fontId="2" fillId="0" borderId="9" xfId="0" applyNumberFormat="1" applyFont="1" applyBorder="1"/>
    <xf numFmtId="172" fontId="2" fillId="0" borderId="10" xfId="0" applyNumberFormat="1" applyFont="1" applyBorder="1"/>
    <xf numFmtId="10" fontId="2" fillId="0" borderId="0" xfId="0" applyNumberFormat="1" applyFont="1" applyAlignment="1">
      <alignment horizontal="right" wrapText="1"/>
    </xf>
    <xf numFmtId="0" fontId="0" fillId="29" borderId="0" xfId="0" applyFill="1"/>
    <xf numFmtId="0" fontId="0" fillId="29" borderId="11" xfId="0" applyFill="1" applyBorder="1"/>
    <xf numFmtId="0" fontId="0" fillId="29" borderId="12" xfId="0" applyFill="1" applyBorder="1"/>
    <xf numFmtId="0" fontId="0" fillId="29" borderId="13" xfId="0" applyFill="1" applyBorder="1"/>
    <xf numFmtId="0" fontId="7" fillId="24" borderId="14" xfId="0" applyFont="1" applyFill="1" applyBorder="1"/>
    <xf numFmtId="0" fontId="7" fillId="24" borderId="15" xfId="0" applyFont="1" applyFill="1" applyBorder="1"/>
    <xf numFmtId="0" fontId="3" fillId="26" borderId="6" xfId="0" applyFont="1" applyFill="1" applyBorder="1" applyAlignment="1">
      <alignment vertical="top"/>
    </xf>
    <xf numFmtId="172" fontId="0" fillId="29" borderId="16" xfId="0" applyNumberFormat="1" applyFill="1" applyBorder="1"/>
    <xf numFmtId="172" fontId="0" fillId="29" borderId="17" xfId="0" applyNumberFormat="1" applyFill="1" applyBorder="1"/>
    <xf numFmtId="172" fontId="0" fillId="29" borderId="18" xfId="0" applyNumberFormat="1" applyFill="1" applyBorder="1"/>
    <xf numFmtId="0" fontId="7" fillId="29" borderId="19" xfId="0" applyFont="1" applyFill="1" applyBorder="1"/>
    <xf numFmtId="0" fontId="10" fillId="0" borderId="0" xfId="0" applyFont="1"/>
    <xf numFmtId="167" fontId="30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0" fontId="3" fillId="28" borderId="6" xfId="0" applyFont="1" applyFill="1" applyBorder="1" applyAlignment="1">
      <alignment horizontal="right" vertical="center" wrapText="1"/>
    </xf>
    <xf numFmtId="0" fontId="3" fillId="26" borderId="6" xfId="0" applyFont="1" applyFill="1" applyBorder="1" applyAlignment="1">
      <alignment horizontal="right" vertical="top" wrapText="1"/>
    </xf>
    <xf numFmtId="3" fontId="2" fillId="24" borderId="0" xfId="0" applyNumberFormat="1" applyFont="1" applyFill="1" applyAlignment="1">
      <alignment horizontal="right" wrapText="1"/>
    </xf>
    <xf numFmtId="3" fontId="2" fillId="26" borderId="0" xfId="0" applyNumberFormat="1" applyFont="1" applyFill="1" applyAlignment="1">
      <alignment horizontal="right" wrapText="1"/>
    </xf>
    <xf numFmtId="0" fontId="2" fillId="0" borderId="0" xfId="269" applyFont="1" applyAlignment="1">
      <alignment horizontal="left" wrapText="1"/>
    </xf>
    <xf numFmtId="0" fontId="2" fillId="24" borderId="0" xfId="0" applyFont="1" applyFill="1"/>
    <xf numFmtId="0" fontId="30" fillId="24" borderId="0" xfId="0" applyFont="1" applyFill="1"/>
    <xf numFmtId="0" fontId="2" fillId="24" borderId="0" xfId="0" applyFont="1" applyFill="1" applyAlignment="1">
      <alignment horizontal="left"/>
    </xf>
    <xf numFmtId="175" fontId="2" fillId="0" borderId="0" xfId="0" applyNumberFormat="1" applyFont="1" applyAlignment="1">
      <alignment horizontal="right" vertical="top" wrapText="1"/>
    </xf>
    <xf numFmtId="3" fontId="3" fillId="0" borderId="4" xfId="0" applyNumberFormat="1" applyFont="1" applyBorder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3" fontId="3" fillId="25" borderId="4" xfId="0" applyNumberFormat="1" applyFont="1" applyFill="1" applyBorder="1" applyAlignment="1">
      <alignment horizontal="right" wrapText="1"/>
    </xf>
    <xf numFmtId="170" fontId="3" fillId="25" borderId="4" xfId="0" applyNumberFormat="1" applyFont="1" applyFill="1" applyBorder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169" fontId="3" fillId="25" borderId="0" xfId="143" applyNumberFormat="1" applyFont="1" applyFill="1" applyAlignment="1">
      <alignment horizontal="left" vertical="top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43" fontId="2" fillId="0" borderId="0" xfId="28" applyNumberFormat="1" applyFont="1" applyFill="1" applyBorder="1" applyAlignment="1"/>
    <xf numFmtId="0" fontId="9" fillId="26" borderId="6" xfId="0" applyFont="1" applyFill="1" applyBorder="1" applyAlignment="1">
      <alignment vertical="top"/>
    </xf>
    <xf numFmtId="0" fontId="9" fillId="26" borderId="6" xfId="0" applyFont="1" applyFill="1" applyBorder="1" applyAlignment="1">
      <alignment horizontal="left" vertical="top"/>
    </xf>
    <xf numFmtId="0" fontId="3" fillId="0" borderId="0" xfId="295" applyFont="1" applyAlignment="1">
      <alignment horizontal="center" vertical="center"/>
    </xf>
    <xf numFmtId="0" fontId="3" fillId="0" borderId="0" xfId="295" applyFont="1"/>
    <xf numFmtId="0" fontId="2" fillId="0" borderId="0" xfId="295" applyFont="1"/>
    <xf numFmtId="6" fontId="3" fillId="0" borderId="0" xfId="295" applyNumberFormat="1" applyFont="1" applyAlignment="1">
      <alignment horizontal="center" vertical="center"/>
    </xf>
    <xf numFmtId="3" fontId="3" fillId="0" borderId="0" xfId="295" applyNumberFormat="1" applyFont="1" applyAlignment="1">
      <alignment horizontal="center" vertical="center" wrapText="1"/>
    </xf>
    <xf numFmtId="2" fontId="3" fillId="0" borderId="0" xfId="295" applyNumberFormat="1" applyFont="1" applyAlignment="1">
      <alignment horizontal="center" vertical="center" wrapText="1"/>
    </xf>
    <xf numFmtId="3" fontId="2" fillId="0" borderId="0" xfId="295" applyNumberFormat="1" applyFont="1"/>
    <xf numFmtId="0" fontId="3" fillId="0" borderId="4" xfId="295" applyFont="1" applyBorder="1" applyAlignment="1">
      <alignment horizontal="center" wrapText="1"/>
    </xf>
    <xf numFmtId="2" fontId="3" fillId="0" borderId="4" xfId="295" applyNumberFormat="1" applyFont="1" applyBorder="1" applyAlignment="1">
      <alignment horizontal="center" wrapText="1"/>
    </xf>
    <xf numFmtId="3" fontId="3" fillId="0" borderId="4" xfId="295" applyNumberFormat="1" applyFont="1" applyBorder="1" applyAlignment="1">
      <alignment horizontal="center" wrapText="1"/>
    </xf>
    <xf numFmtId="3" fontId="3" fillId="0" borderId="4" xfId="295" applyNumberFormat="1" applyFont="1" applyBorder="1" applyAlignment="1">
      <alignment horizontal="center"/>
    </xf>
    <xf numFmtId="0" fontId="3" fillId="26" borderId="0" xfId="295" applyFont="1" applyFill="1" applyAlignment="1">
      <alignment vertical="center" wrapText="1"/>
    </xf>
    <xf numFmtId="0" fontId="3" fillId="26" borderId="0" xfId="295" applyFont="1" applyFill="1" applyAlignment="1">
      <alignment wrapText="1"/>
    </xf>
    <xf numFmtId="2" fontId="3" fillId="26" borderId="0" xfId="295" applyNumberFormat="1" applyFont="1" applyFill="1" applyAlignment="1">
      <alignment wrapText="1"/>
    </xf>
    <xf numFmtId="3" fontId="3" fillId="26" borderId="0" xfId="295" applyNumberFormat="1" applyFont="1" applyFill="1" applyAlignment="1">
      <alignment wrapText="1"/>
    </xf>
    <xf numFmtId="3" fontId="2" fillId="26" borderId="0" xfId="295" applyNumberFormat="1" applyFont="1" applyFill="1"/>
    <xf numFmtId="0" fontId="33" fillId="0" borderId="0" xfId="295" applyFont="1" applyAlignment="1">
      <alignment vertical="center"/>
    </xf>
    <xf numFmtId="9" fontId="7" fillId="0" borderId="0" xfId="295" applyNumberFormat="1" applyFont="1" applyAlignment="1">
      <alignment vertical="center"/>
    </xf>
    <xf numFmtId="0" fontId="3" fillId="0" borderId="0" xfId="295" applyFont="1" applyAlignment="1">
      <alignment horizontal="left" wrapText="1"/>
    </xf>
    <xf numFmtId="0" fontId="3" fillId="0" borderId="0" xfId="295" applyFont="1" applyAlignment="1">
      <alignment horizontal="left"/>
    </xf>
    <xf numFmtId="3" fontId="3" fillId="0" borderId="0" xfId="295" applyNumberFormat="1" applyFont="1" applyAlignment="1">
      <alignment horizontal="right" wrapText="1"/>
    </xf>
    <xf numFmtId="3" fontId="2" fillId="0" borderId="0" xfId="295" applyNumberFormat="1" applyFont="1" applyAlignment="1">
      <alignment horizontal="right" wrapText="1"/>
    </xf>
    <xf numFmtId="0" fontId="2" fillId="0" borderId="0" xfId="295" applyFont="1" applyAlignment="1">
      <alignment horizontal="left" wrapText="1"/>
    </xf>
    <xf numFmtId="0" fontId="2" fillId="0" borderId="0" xfId="295" applyFont="1" applyAlignment="1">
      <alignment horizontal="left"/>
    </xf>
    <xf numFmtId="2" fontId="2" fillId="0" borderId="0" xfId="295" applyNumberFormat="1" applyFont="1" applyAlignment="1">
      <alignment horizontal="right" wrapText="1"/>
    </xf>
    <xf numFmtId="167" fontId="2" fillId="0" borderId="0" xfId="295" applyNumberFormat="1" applyFont="1" applyAlignment="1">
      <alignment horizontal="right" wrapText="1"/>
    </xf>
    <xf numFmtId="0" fontId="30" fillId="0" borderId="0" xfId="295" applyFont="1" applyAlignment="1">
      <alignment horizontal="center"/>
    </xf>
    <xf numFmtId="9" fontId="2" fillId="0" borderId="0" xfId="295" applyNumberFormat="1" applyFont="1" applyAlignment="1">
      <alignment horizontal="center" vertical="center"/>
    </xf>
    <xf numFmtId="0" fontId="2" fillId="0" borderId="0" xfId="295" applyFont="1" applyAlignment="1">
      <alignment horizontal="center"/>
    </xf>
    <xf numFmtId="4" fontId="2" fillId="0" borderId="0" xfId="295" applyNumberFormat="1" applyFont="1" applyAlignment="1">
      <alignment wrapText="1"/>
    </xf>
    <xf numFmtId="167" fontId="34" fillId="0" borderId="0" xfId="28" applyNumberFormat="1" applyFont="1" applyFill="1" applyBorder="1" applyAlignment="1"/>
    <xf numFmtId="167" fontId="3" fillId="0" borderId="0" xfId="295" applyNumberFormat="1" applyFont="1" applyAlignment="1">
      <alignment horizontal="right" wrapText="1"/>
    </xf>
    <xf numFmtId="0" fontId="2" fillId="0" borderId="0" xfId="295" applyFont="1" applyAlignment="1">
      <alignment wrapText="1"/>
    </xf>
    <xf numFmtId="10" fontId="2" fillId="0" borderId="0" xfId="280" applyNumberFormat="1" applyFont="1" applyFill="1" applyAlignment="1">
      <alignment horizontal="right" wrapText="1"/>
    </xf>
    <xf numFmtId="167" fontId="30" fillId="0" borderId="0" xfId="28" applyNumberFormat="1" applyFont="1" applyFill="1" applyBorder="1" applyAlignment="1"/>
    <xf numFmtId="10" fontId="2" fillId="0" borderId="0" xfId="295" applyNumberFormat="1" applyFont="1" applyAlignment="1">
      <alignment horizontal="right" wrapText="1"/>
    </xf>
    <xf numFmtId="0" fontId="2" fillId="0" borderId="0" xfId="295" applyFont="1" applyAlignment="1">
      <alignment horizontal="left" vertical="top"/>
    </xf>
    <xf numFmtId="0" fontId="3" fillId="24" borderId="4" xfId="295" applyFont="1" applyFill="1" applyBorder="1" applyAlignment="1">
      <alignment wrapText="1"/>
    </xf>
    <xf numFmtId="0" fontId="3" fillId="24" borderId="4" xfId="295" applyFont="1" applyFill="1" applyBorder="1" applyAlignment="1">
      <alignment horizontal="right" wrapText="1"/>
    </xf>
    <xf numFmtId="3" fontId="3" fillId="24" borderId="4" xfId="295" applyNumberFormat="1" applyFont="1" applyFill="1" applyBorder="1" applyAlignment="1">
      <alignment horizontal="right" wrapText="1"/>
    </xf>
    <xf numFmtId="170" fontId="3" fillId="24" borderId="4" xfId="295" applyNumberFormat="1" applyFont="1" applyFill="1" applyBorder="1" applyAlignment="1">
      <alignment horizontal="right" wrapText="1"/>
    </xf>
    <xf numFmtId="169" fontId="3" fillId="24" borderId="4" xfId="295" applyNumberFormat="1" applyFont="1" applyFill="1" applyBorder="1" applyAlignment="1">
      <alignment horizontal="right" wrapText="1"/>
    </xf>
    <xf numFmtId="43" fontId="2" fillId="0" borderId="0" xfId="295" applyNumberFormat="1" applyFont="1"/>
    <xf numFmtId="0" fontId="3" fillId="28" borderId="0" xfId="295" applyFont="1" applyFill="1" applyAlignment="1">
      <alignment wrapText="1"/>
    </xf>
    <xf numFmtId="0" fontId="3" fillId="28" borderId="0" xfId="295" applyFont="1" applyFill="1" applyAlignment="1">
      <alignment horizontal="right" wrapText="1"/>
    </xf>
    <xf numFmtId="3" fontId="3" fillId="28" borderId="0" xfId="295" applyNumberFormat="1" applyFont="1" applyFill="1" applyAlignment="1">
      <alignment horizontal="right" wrapText="1"/>
    </xf>
    <xf numFmtId="170" fontId="3" fillId="28" borderId="0" xfId="295" applyNumberFormat="1" applyFont="1" applyFill="1" applyAlignment="1">
      <alignment horizontal="right" wrapText="1"/>
    </xf>
    <xf numFmtId="169" fontId="3" fillId="28" borderId="0" xfId="295" applyNumberFormat="1" applyFont="1" applyFill="1" applyAlignment="1">
      <alignment horizontal="right" wrapText="1"/>
    </xf>
    <xf numFmtId="3" fontId="3" fillId="0" borderId="0" xfId="295" applyNumberFormat="1" applyFont="1" applyAlignment="1">
      <alignment horizontal="right"/>
    </xf>
    <xf numFmtId="0" fontId="2" fillId="24" borderId="0" xfId="295" applyFont="1" applyFill="1" applyAlignment="1">
      <alignment horizontal="left" wrapText="1"/>
    </xf>
    <xf numFmtId="0" fontId="2" fillId="24" borderId="0" xfId="295" applyFont="1" applyFill="1" applyAlignment="1">
      <alignment horizontal="left" vertical="top" wrapText="1"/>
    </xf>
    <xf numFmtId="167" fontId="2" fillId="24" borderId="0" xfId="295" applyNumberFormat="1" applyFont="1" applyFill="1" applyAlignment="1">
      <alignment horizontal="right" wrapText="1"/>
    </xf>
    <xf numFmtId="169" fontId="2" fillId="0" borderId="0" xfId="295" applyNumberFormat="1" applyFont="1"/>
    <xf numFmtId="0" fontId="2" fillId="0" borderId="0" xfId="295" applyFont="1" applyAlignment="1">
      <alignment horizontal="left" vertical="top" wrapText="1"/>
    </xf>
    <xf numFmtId="3" fontId="3" fillId="0" borderId="0" xfId="295" applyNumberFormat="1" applyFont="1"/>
    <xf numFmtId="2" fontId="2" fillId="0" borderId="0" xfId="295" applyNumberFormat="1" applyFont="1" applyAlignment="1">
      <alignment wrapText="1"/>
    </xf>
    <xf numFmtId="3" fontId="2" fillId="0" borderId="0" xfId="295" applyNumberFormat="1" applyFont="1" applyAlignment="1">
      <alignment wrapText="1"/>
    </xf>
    <xf numFmtId="0" fontId="3" fillId="24" borderId="4" xfId="295" applyFont="1" applyFill="1" applyBorder="1" applyAlignment="1">
      <alignment horizontal="left" wrapText="1"/>
    </xf>
    <xf numFmtId="2" fontId="3" fillId="24" borderId="4" xfId="295" applyNumberFormat="1" applyFont="1" applyFill="1" applyBorder="1" applyAlignment="1">
      <alignment wrapText="1"/>
    </xf>
    <xf numFmtId="3" fontId="3" fillId="24" borderId="4" xfId="295" applyNumberFormat="1" applyFont="1" applyFill="1" applyBorder="1" applyAlignment="1">
      <alignment wrapText="1"/>
    </xf>
    <xf numFmtId="167" fontId="2" fillId="0" borderId="0" xfId="28" applyNumberFormat="1" applyFont="1" applyFill="1"/>
    <xf numFmtId="167" fontId="2" fillId="0" borderId="0" xfId="295" applyNumberFormat="1" applyFont="1"/>
    <xf numFmtId="1" fontId="2" fillId="0" borderId="0" xfId="28" applyNumberFormat="1" applyFont="1" applyFill="1" applyBorder="1" applyAlignment="1">
      <alignment horizontal="right"/>
    </xf>
    <xf numFmtId="0" fontId="3" fillId="24" borderId="0" xfId="295" applyFont="1" applyFill="1" applyAlignment="1">
      <alignment horizontal="left" wrapText="1"/>
    </xf>
    <xf numFmtId="0" fontId="9" fillId="26" borderId="6" xfId="295" applyFont="1" applyFill="1" applyBorder="1" applyAlignment="1">
      <alignment vertical="top"/>
    </xf>
    <xf numFmtId="0" fontId="3" fillId="26" borderId="6" xfId="295" applyFont="1" applyFill="1" applyBorder="1" applyAlignment="1">
      <alignment vertical="top"/>
    </xf>
    <xf numFmtId="2" fontId="3" fillId="26" borderId="6" xfId="295" applyNumberFormat="1" applyFont="1" applyFill="1" applyBorder="1" applyAlignment="1">
      <alignment vertical="top"/>
    </xf>
    <xf numFmtId="0" fontId="30" fillId="0" borderId="0" xfId="295" applyFont="1"/>
    <xf numFmtId="0" fontId="3" fillId="30" borderId="0" xfId="295" applyFont="1" applyFill="1" applyAlignment="1">
      <alignment horizontal="left" wrapText="1"/>
    </xf>
    <xf numFmtId="0" fontId="2" fillId="30" borderId="0" xfId="295" applyFont="1" applyFill="1" applyAlignment="1">
      <alignment horizontal="left" wrapText="1"/>
    </xf>
    <xf numFmtId="0" fontId="2" fillId="30" borderId="0" xfId="295" applyFont="1" applyFill="1" applyAlignment="1">
      <alignment horizontal="left" vertical="top" wrapText="1"/>
    </xf>
    <xf numFmtId="2" fontId="2" fillId="30" borderId="0" xfId="295" applyNumberFormat="1" applyFont="1" applyFill="1" applyAlignment="1">
      <alignment horizontal="right" wrapText="1"/>
    </xf>
    <xf numFmtId="167" fontId="2" fillId="30" borderId="0" xfId="295" applyNumberFormat="1" applyFont="1" applyFill="1" applyAlignment="1">
      <alignment horizontal="right" wrapText="1"/>
    </xf>
    <xf numFmtId="167" fontId="3" fillId="24" borderId="4" xfId="295" applyNumberFormat="1" applyFont="1" applyFill="1" applyBorder="1" applyAlignment="1">
      <alignment horizontal="right" wrapText="1"/>
    </xf>
    <xf numFmtId="170" fontId="2" fillId="0" borderId="0" xfId="295" applyNumberFormat="1" applyFont="1"/>
    <xf numFmtId="0" fontId="4" fillId="0" borderId="0" xfId="295" applyFont="1" applyAlignment="1">
      <alignment wrapText="1"/>
    </xf>
    <xf numFmtId="0" fontId="3" fillId="0" borderId="0" xfId="295" applyFont="1" applyAlignment="1">
      <alignment wrapText="1"/>
    </xf>
    <xf numFmtId="169" fontId="2" fillId="0" borderId="0" xfId="295" applyNumberFormat="1" applyFont="1" applyAlignment="1">
      <alignment horizontal="right" wrapText="1"/>
    </xf>
    <xf numFmtId="167" fontId="30" fillId="0" borderId="0" xfId="295" applyNumberFormat="1" applyFont="1" applyAlignment="1">
      <alignment horizontal="right" wrapText="1"/>
    </xf>
    <xf numFmtId="10" fontId="3" fillId="0" borderId="0" xfId="295" applyNumberFormat="1" applyFont="1"/>
    <xf numFmtId="170" fontId="2" fillId="0" borderId="0" xfId="295" applyNumberFormat="1" applyFont="1" applyAlignment="1">
      <alignment horizontal="right" wrapText="1"/>
    </xf>
    <xf numFmtId="10" fontId="2" fillId="0" borderId="0" xfId="280" applyNumberFormat="1" applyFont="1" applyFill="1"/>
    <xf numFmtId="0" fontId="3" fillId="25" borderId="5" xfId="295" applyFont="1" applyFill="1" applyBorder="1" applyAlignment="1">
      <alignment wrapText="1"/>
    </xf>
    <xf numFmtId="3" fontId="3" fillId="25" borderId="5" xfId="295" applyNumberFormat="1" applyFont="1" applyFill="1" applyBorder="1" applyAlignment="1">
      <alignment horizontal="right" wrapText="1"/>
    </xf>
    <xf numFmtId="2" fontId="2" fillId="0" borderId="0" xfId="295" applyNumberFormat="1" applyFont="1"/>
    <xf numFmtId="0" fontId="5" fillId="0" borderId="0" xfId="295" applyFont="1" applyAlignment="1">
      <alignment wrapText="1"/>
    </xf>
    <xf numFmtId="167" fontId="2" fillId="0" borderId="0" xfId="295" applyNumberFormat="1" applyFont="1" applyAlignment="1">
      <alignment wrapText="1"/>
    </xf>
    <xf numFmtId="9" fontId="2" fillId="29" borderId="0" xfId="295" applyNumberFormat="1" applyFont="1" applyFill="1" applyAlignment="1">
      <alignment horizontal="center" vertical="center"/>
    </xf>
    <xf numFmtId="0" fontId="2" fillId="29" borderId="0" xfId="295" applyFont="1" applyFill="1" applyAlignment="1">
      <alignment horizontal="center"/>
    </xf>
    <xf numFmtId="43" fontId="2" fillId="29" borderId="0" xfId="28" applyNumberFormat="1" applyFont="1" applyFill="1" applyBorder="1" applyAlignment="1"/>
    <xf numFmtId="171" fontId="2" fillId="29" borderId="0" xfId="28" applyNumberFormat="1" applyFont="1" applyFill="1" applyBorder="1" applyAlignment="1"/>
    <xf numFmtId="0" fontId="2" fillId="29" borderId="0" xfId="295" applyFont="1" applyFill="1"/>
    <xf numFmtId="0" fontId="2" fillId="0" borderId="0" xfId="295" applyFont="1" applyAlignment="1">
      <alignment horizontal="right" wrapText="1"/>
    </xf>
    <xf numFmtId="3" fontId="2" fillId="29" borderId="0" xfId="295" applyNumberFormat="1" applyFont="1" applyFill="1" applyAlignment="1">
      <alignment horizontal="right" wrapText="1"/>
    </xf>
    <xf numFmtId="3" fontId="2" fillId="29" borderId="0" xfId="295" applyNumberFormat="1" applyFont="1" applyFill="1"/>
    <xf numFmtId="0" fontId="3" fillId="0" borderId="0" xfId="295" applyFont="1" applyAlignment="1">
      <alignment horizontal="center" wrapText="1"/>
    </xf>
    <xf numFmtId="177" fontId="2" fillId="0" borderId="0" xfId="295" applyNumberFormat="1" applyFont="1" applyAlignment="1">
      <alignment wrapText="1"/>
    </xf>
    <xf numFmtId="167" fontId="3" fillId="0" borderId="0" xfId="295" applyNumberFormat="1" applyFont="1" applyAlignment="1">
      <alignment wrapText="1"/>
    </xf>
    <xf numFmtId="0" fontId="32" fillId="26" borderId="0" xfId="295" applyFont="1" applyFill="1" applyAlignment="1">
      <alignment vertical="center" wrapText="1"/>
    </xf>
    <xf numFmtId="0" fontId="32" fillId="24" borderId="0" xfId="295" applyFont="1" applyFill="1" applyAlignment="1">
      <alignment horizontal="left" wrapText="1"/>
    </xf>
    <xf numFmtId="0" fontId="36" fillId="0" borderId="0" xfId="295" applyFont="1" applyAlignment="1">
      <alignment horizontal="left" wrapText="1"/>
    </xf>
    <xf numFmtId="0" fontId="32" fillId="0" borderId="0" xfId="295" applyFont="1" applyAlignment="1">
      <alignment horizontal="left" wrapText="1"/>
    </xf>
    <xf numFmtId="0" fontId="36" fillId="0" borderId="0" xfId="295" applyFont="1" applyAlignment="1">
      <alignment wrapText="1"/>
    </xf>
    <xf numFmtId="0" fontId="32" fillId="24" borderId="4" xfId="295" applyFont="1" applyFill="1" applyBorder="1" applyAlignment="1">
      <alignment wrapText="1"/>
    </xf>
    <xf numFmtId="0" fontId="32" fillId="28" borderId="0" xfId="295" applyFont="1" applyFill="1" applyAlignment="1">
      <alignment wrapText="1"/>
    </xf>
    <xf numFmtId="0" fontId="32" fillId="26" borderId="0" xfId="295" applyFont="1" applyFill="1" applyAlignment="1">
      <alignment wrapText="1"/>
    </xf>
    <xf numFmtId="0" fontId="32" fillId="24" borderId="4" xfId="295" applyFont="1" applyFill="1" applyBorder="1" applyAlignment="1">
      <alignment horizontal="left" wrapText="1"/>
    </xf>
    <xf numFmtId="167" fontId="30" fillId="0" borderId="0" xfId="295" applyNumberFormat="1" applyFont="1"/>
    <xf numFmtId="0" fontId="37" fillId="26" borderId="6" xfId="295" applyFont="1" applyFill="1" applyBorder="1" applyAlignment="1">
      <alignment vertical="top"/>
    </xf>
    <xf numFmtId="0" fontId="32" fillId="30" borderId="0" xfId="295" applyFont="1" applyFill="1" applyAlignment="1">
      <alignment horizontal="left" wrapText="1"/>
    </xf>
    <xf numFmtId="0" fontId="38" fillId="24" borderId="0" xfId="295" applyFont="1" applyFill="1" applyAlignment="1">
      <alignment horizontal="left" wrapText="1"/>
    </xf>
    <xf numFmtId="170" fontId="32" fillId="24" borderId="4" xfId="295" applyNumberFormat="1" applyFont="1" applyFill="1" applyBorder="1" applyAlignment="1">
      <alignment horizontal="right" wrapText="1"/>
    </xf>
    <xf numFmtId="170" fontId="32" fillId="24" borderId="4" xfId="295" applyNumberFormat="1" applyFont="1" applyFill="1" applyBorder="1" applyAlignment="1">
      <alignment wrapText="1"/>
    </xf>
    <xf numFmtId="0" fontId="32" fillId="0" borderId="0" xfId="295" applyFont="1" applyAlignment="1">
      <alignment wrapText="1"/>
    </xf>
    <xf numFmtId="170" fontId="32" fillId="0" borderId="0" xfId="295" applyNumberFormat="1" applyFont="1" applyAlignment="1">
      <alignment horizontal="right" wrapText="1"/>
    </xf>
    <xf numFmtId="0" fontId="38" fillId="0" borderId="0" xfId="295" applyFont="1" applyAlignment="1">
      <alignment wrapText="1"/>
    </xf>
    <xf numFmtId="10" fontId="36" fillId="0" borderId="0" xfId="295" applyNumberFormat="1" applyFont="1" applyAlignment="1">
      <alignment wrapText="1"/>
    </xf>
    <xf numFmtId="170" fontId="36" fillId="0" borderId="0" xfId="295" applyNumberFormat="1" applyFont="1" applyAlignment="1">
      <alignment horizontal="right" wrapText="1"/>
    </xf>
    <xf numFmtId="170" fontId="32" fillId="0" borderId="0" xfId="295" applyNumberFormat="1" applyFont="1" applyAlignment="1">
      <alignment wrapText="1"/>
    </xf>
    <xf numFmtId="0" fontId="39" fillId="0" borderId="0" xfId="295" applyFont="1"/>
    <xf numFmtId="0" fontId="32" fillId="25" borderId="5" xfId="295" applyFont="1" applyFill="1" applyBorder="1" applyAlignment="1">
      <alignment wrapText="1"/>
    </xf>
    <xf numFmtId="167" fontId="3" fillId="26" borderId="6" xfId="295" applyNumberFormat="1" applyFont="1" applyFill="1" applyBorder="1" applyAlignment="1">
      <alignment vertical="top"/>
    </xf>
    <xf numFmtId="167" fontId="3" fillId="0" borderId="0" xfId="295" applyNumberFormat="1" applyFont="1"/>
    <xf numFmtId="167" fontId="3" fillId="25" borderId="5" xfId="295" applyNumberFormat="1" applyFont="1" applyFill="1" applyBorder="1" applyAlignment="1">
      <alignment wrapText="1"/>
    </xf>
    <xf numFmtId="167" fontId="3" fillId="28" borderId="0" xfId="295" applyNumberFormat="1" applyFont="1" applyFill="1" applyAlignment="1">
      <alignment horizontal="right" wrapText="1"/>
    </xf>
    <xf numFmtId="167" fontId="3" fillId="26" borderId="0" xfId="295" applyNumberFormat="1" applyFont="1" applyFill="1" applyAlignment="1">
      <alignment wrapText="1"/>
    </xf>
    <xf numFmtId="167" fontId="3" fillId="24" borderId="4" xfId="295" applyNumberFormat="1" applyFont="1" applyFill="1" applyBorder="1" applyAlignment="1">
      <alignment wrapText="1"/>
    </xf>
    <xf numFmtId="0" fontId="4" fillId="24" borderId="0" xfId="295" applyFont="1" applyFill="1" applyAlignment="1">
      <alignment horizontal="left" wrapText="1"/>
    </xf>
    <xf numFmtId="0" fontId="31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 vertical="top"/>
    </xf>
    <xf numFmtId="0" fontId="4" fillId="24" borderId="0" xfId="0" applyFont="1" applyFill="1" applyAlignment="1">
      <alignment horizontal="left"/>
    </xf>
    <xf numFmtId="0" fontId="2" fillId="24" borderId="0" xfId="269" applyFont="1" applyFill="1" applyAlignment="1">
      <alignment horizontal="left" wrapText="1"/>
    </xf>
    <xf numFmtId="175" fontId="2" fillId="24" borderId="0" xfId="0" applyNumberFormat="1" applyFont="1" applyFill="1" applyAlignment="1">
      <alignment horizontal="right" vertical="top" wrapText="1"/>
    </xf>
    <xf numFmtId="0" fontId="40" fillId="0" borderId="0" xfId="0" applyFont="1"/>
    <xf numFmtId="0" fontId="42" fillId="0" borderId="0" xfId="0" applyFont="1" applyAlignment="1">
      <alignment horizontal="center" vertical="center" wrapText="1"/>
    </xf>
    <xf numFmtId="0" fontId="40" fillId="0" borderId="27" xfId="0" applyFont="1" applyBorder="1" applyAlignment="1">
      <alignment wrapText="1"/>
    </xf>
    <xf numFmtId="9" fontId="40" fillId="0" borderId="27" xfId="280" applyFont="1" applyBorder="1" applyAlignment="1">
      <alignment horizontal="center" wrapText="1"/>
    </xf>
    <xf numFmtId="167" fontId="42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wrapText="1"/>
    </xf>
    <xf numFmtId="3" fontId="40" fillId="0" borderId="0" xfId="0" applyNumberFormat="1" applyFont="1" applyAlignment="1">
      <alignment wrapText="1"/>
    </xf>
    <xf numFmtId="3" fontId="40" fillId="0" borderId="0" xfId="0" applyNumberFormat="1" applyFont="1"/>
    <xf numFmtId="3" fontId="40" fillId="0" borderId="0" xfId="0" applyNumberFormat="1" applyFont="1" applyAlignment="1">
      <alignment horizontal="center"/>
    </xf>
    <xf numFmtId="169" fontId="30" fillId="0" borderId="0" xfId="295" applyNumberFormat="1" applyFont="1"/>
    <xf numFmtId="0" fontId="30" fillId="29" borderId="0" xfId="295" applyFont="1" applyFill="1" applyAlignment="1">
      <alignment horizontal="left"/>
    </xf>
    <xf numFmtId="9" fontId="40" fillId="0" borderId="27" xfId="280" applyFont="1" applyBorder="1" applyAlignment="1">
      <alignment wrapText="1"/>
    </xf>
    <xf numFmtId="0" fontId="2" fillId="24" borderId="0" xfId="295" applyFont="1" applyFill="1" applyAlignment="1">
      <alignment horizontal="left" vertical="top"/>
    </xf>
    <xf numFmtId="10" fontId="2" fillId="24" borderId="0" xfId="280" applyNumberFormat="1" applyFont="1" applyFill="1" applyAlignment="1">
      <alignment horizontal="right" wrapText="1"/>
    </xf>
    <xf numFmtId="0" fontId="2" fillId="24" borderId="0" xfId="295" applyFont="1" applyFill="1" applyAlignment="1">
      <alignment wrapText="1"/>
    </xf>
    <xf numFmtId="0" fontId="4" fillId="32" borderId="0" xfId="295" applyFont="1" applyFill="1" applyAlignment="1">
      <alignment horizontal="left" wrapText="1"/>
    </xf>
    <xf numFmtId="0" fontId="2" fillId="32" borderId="0" xfId="295" applyFont="1" applyFill="1" applyAlignment="1">
      <alignment horizontal="left" wrapText="1"/>
    </xf>
    <xf numFmtId="0" fontId="2" fillId="32" borderId="0" xfId="295" applyFont="1" applyFill="1" applyAlignment="1">
      <alignment horizontal="left" vertical="top"/>
    </xf>
    <xf numFmtId="167" fontId="2" fillId="32" borderId="0" xfId="295" applyNumberFormat="1" applyFont="1" applyFill="1" applyAlignment="1">
      <alignment horizontal="right" wrapText="1"/>
    </xf>
    <xf numFmtId="10" fontId="2" fillId="32" borderId="0" xfId="295" applyNumberFormat="1" applyFont="1" applyFill="1" applyAlignment="1">
      <alignment horizontal="right" wrapText="1"/>
    </xf>
    <xf numFmtId="9" fontId="2" fillId="0" borderId="0" xfId="0" applyNumberFormat="1" applyFont="1"/>
    <xf numFmtId="171" fontId="30" fillId="0" borderId="0" xfId="28" applyNumberFormat="1" applyFont="1" applyFill="1" applyBorder="1" applyAlignment="1"/>
    <xf numFmtId="0" fontId="43" fillId="0" borderId="0" xfId="295" applyFont="1" applyAlignment="1">
      <alignment horizontal="center" vertical="center"/>
    </xf>
    <xf numFmtId="6" fontId="43" fillId="0" borderId="0" xfId="295" applyNumberFormat="1" applyFont="1" applyAlignment="1">
      <alignment horizontal="center" vertical="center"/>
    </xf>
    <xf numFmtId="3" fontId="43" fillId="0" borderId="0" xfId="295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3" fontId="45" fillId="0" borderId="0" xfId="0" applyNumberFormat="1" applyFont="1"/>
    <xf numFmtId="9" fontId="30" fillId="0" borderId="0" xfId="295" applyNumberFormat="1" applyFont="1"/>
    <xf numFmtId="0" fontId="46" fillId="0" borderId="0" xfId="295" applyFont="1" applyAlignment="1">
      <alignment vertical="center"/>
    </xf>
    <xf numFmtId="3" fontId="30" fillId="0" borderId="0" xfId="295" applyNumberFormat="1" applyFont="1" applyAlignment="1">
      <alignment wrapText="1"/>
    </xf>
    <xf numFmtId="167" fontId="32" fillId="24" borderId="4" xfId="295" applyNumberFormat="1" applyFont="1" applyFill="1" applyBorder="1" applyAlignment="1">
      <alignment wrapText="1"/>
    </xf>
    <xf numFmtId="167" fontId="32" fillId="24" borderId="4" xfId="295" applyNumberFormat="1" applyFont="1" applyFill="1" applyBorder="1" applyAlignment="1">
      <alignment horizontal="right" wrapText="1"/>
    </xf>
    <xf numFmtId="44" fontId="36" fillId="0" borderId="0" xfId="295" applyNumberFormat="1" applyFont="1" applyAlignment="1">
      <alignment wrapText="1"/>
    </xf>
    <xf numFmtId="0" fontId="36" fillId="0" borderId="0" xfId="0" applyFont="1" applyAlignment="1">
      <alignment horizontal="left" wrapText="1"/>
    </xf>
    <xf numFmtId="0" fontId="38" fillId="24" borderId="0" xfId="0" applyFont="1" applyFill="1" applyAlignment="1">
      <alignment horizontal="left" wrapText="1"/>
    </xf>
    <xf numFmtId="0" fontId="4" fillId="24" borderId="0" xfId="295" applyFont="1" applyFill="1" applyAlignment="1">
      <alignment wrapText="1"/>
    </xf>
    <xf numFmtId="0" fontId="4" fillId="24" borderId="0" xfId="295" applyFont="1" applyFill="1" applyAlignment="1">
      <alignment horizontal="left" vertical="top" wrapText="1"/>
    </xf>
    <xf numFmtId="167" fontId="4" fillId="24" borderId="0" xfId="295" applyNumberFormat="1" applyFont="1" applyFill="1" applyAlignment="1">
      <alignment horizontal="right" wrapText="1"/>
    </xf>
    <xf numFmtId="0" fontId="36" fillId="0" borderId="0" xfId="0" applyFont="1" applyAlignment="1">
      <alignment wrapText="1"/>
    </xf>
    <xf numFmtId="0" fontId="36" fillId="0" borderId="0" xfId="0" applyFont="1"/>
    <xf numFmtId="3" fontId="4" fillId="24" borderId="0" xfId="295" applyNumberFormat="1" applyFont="1" applyFill="1" applyAlignment="1">
      <alignment wrapText="1"/>
    </xf>
    <xf numFmtId="3" fontId="4" fillId="24" borderId="0" xfId="295" applyNumberFormat="1" applyFont="1" applyFill="1"/>
    <xf numFmtId="0" fontId="3" fillId="24" borderId="4" xfId="295" applyFont="1" applyFill="1" applyBorder="1"/>
    <xf numFmtId="170" fontId="2" fillId="0" borderId="0" xfId="0" applyNumberFormat="1" applyFont="1"/>
    <xf numFmtId="0" fontId="3" fillId="24" borderId="0" xfId="295" applyFont="1" applyFill="1" applyAlignment="1">
      <alignment horizontal="left"/>
    </xf>
    <xf numFmtId="167" fontId="3" fillId="24" borderId="0" xfId="295" applyNumberFormat="1" applyFont="1" applyFill="1" applyAlignment="1">
      <alignment horizontal="right" wrapText="1"/>
    </xf>
    <xf numFmtId="0" fontId="2" fillId="24" borderId="0" xfId="295" applyFont="1" applyFill="1" applyAlignment="1">
      <alignment horizontal="left"/>
    </xf>
    <xf numFmtId="0" fontId="4" fillId="24" borderId="0" xfId="295" applyFont="1" applyFill="1" applyAlignment="1">
      <alignment horizontal="left"/>
    </xf>
    <xf numFmtId="3" fontId="4" fillId="24" borderId="0" xfId="295" applyNumberFormat="1" applyFont="1" applyFill="1" applyAlignment="1">
      <alignment horizontal="right" wrapText="1"/>
    </xf>
    <xf numFmtId="10" fontId="2" fillId="0" borderId="0" xfId="0" applyNumberFormat="1" applyFont="1"/>
    <xf numFmtId="167" fontId="2" fillId="0" borderId="0" xfId="0" applyNumberFormat="1" applyFont="1"/>
    <xf numFmtId="168" fontId="40" fillId="0" borderId="27" xfId="280" applyNumberFormat="1" applyFont="1" applyBorder="1" applyAlignment="1">
      <alignment horizontal="center" wrapText="1"/>
    </xf>
    <xf numFmtId="168" fontId="40" fillId="0" borderId="27" xfId="280" applyNumberFormat="1" applyFont="1" applyBorder="1" applyAlignment="1">
      <alignment wrapText="1"/>
    </xf>
    <xf numFmtId="0" fontId="2" fillId="33" borderId="0" xfId="295" applyFont="1" applyFill="1" applyAlignment="1">
      <alignment horizontal="left" wrapText="1"/>
    </xf>
    <xf numFmtId="0" fontId="2" fillId="33" borderId="0" xfId="295" applyFont="1" applyFill="1" applyAlignment="1">
      <alignment horizontal="left" vertical="top" wrapText="1"/>
    </xf>
    <xf numFmtId="167" fontId="2" fillId="33" borderId="0" xfId="295" applyNumberFormat="1" applyFont="1" applyFill="1" applyAlignment="1">
      <alignment horizontal="right" wrapText="1"/>
    </xf>
    <xf numFmtId="10" fontId="2" fillId="33" borderId="0" xfId="280" applyNumberFormat="1" applyFont="1" applyFill="1" applyAlignment="1">
      <alignment horizontal="right" wrapText="1"/>
    </xf>
    <xf numFmtId="0" fontId="2" fillId="33" borderId="0" xfId="295" applyFont="1" applyFill="1" applyAlignment="1">
      <alignment horizontal="left" vertical="top"/>
    </xf>
    <xf numFmtId="10" fontId="2" fillId="33" borderId="0" xfId="295" applyNumberFormat="1" applyFont="1" applyFill="1" applyAlignment="1">
      <alignment horizontal="right" wrapText="1"/>
    </xf>
    <xf numFmtId="167" fontId="1" fillId="0" borderId="0" xfId="0" applyNumberFormat="1" applyFont="1"/>
    <xf numFmtId="168" fontId="1" fillId="0" borderId="0" xfId="280" applyNumberFormat="1" applyFont="1" applyFill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right" wrapText="1"/>
    </xf>
    <xf numFmtId="168" fontId="3" fillId="0" borderId="0" xfId="280" applyNumberFormat="1" applyFont="1" applyFill="1" applyAlignment="1">
      <alignment wrapText="1"/>
    </xf>
    <xf numFmtId="0" fontId="36" fillId="33" borderId="0" xfId="295" applyFont="1" applyFill="1" applyAlignment="1">
      <alignment horizontal="left" wrapText="1"/>
    </xf>
    <xf numFmtId="0" fontId="38" fillId="33" borderId="0" xfId="295" applyFont="1" applyFill="1" applyAlignment="1">
      <alignment horizontal="left" wrapText="1"/>
    </xf>
    <xf numFmtId="170" fontId="2" fillId="33" borderId="0" xfId="295" applyNumberFormat="1" applyFont="1" applyFill="1" applyAlignment="1">
      <alignment wrapText="1"/>
    </xf>
    <xf numFmtId="10" fontId="2" fillId="33" borderId="0" xfId="280" applyNumberFormat="1" applyFont="1" applyFill="1" applyAlignment="1">
      <alignment wrapText="1"/>
    </xf>
    <xf numFmtId="3" fontId="2" fillId="33" borderId="0" xfId="295" applyNumberFormat="1" applyFont="1" applyFill="1"/>
    <xf numFmtId="167" fontId="30" fillId="24" borderId="0" xfId="0" applyNumberFormat="1" applyFont="1" applyFill="1" applyAlignment="1">
      <alignment horizontal="right" wrapText="1"/>
    </xf>
    <xf numFmtId="167" fontId="2" fillId="34" borderId="0" xfId="0" applyNumberFormat="1" applyFont="1" applyFill="1"/>
    <xf numFmtId="3" fontId="2" fillId="24" borderId="0" xfId="295" applyNumberFormat="1" applyFont="1" applyFill="1"/>
    <xf numFmtId="1" fontId="2" fillId="0" borderId="0" xfId="295" applyNumberFormat="1" applyFont="1" applyAlignment="1">
      <alignment horizontal="right" wrapText="1"/>
    </xf>
    <xf numFmtId="1" fontId="2" fillId="24" borderId="0" xfId="295" applyNumberFormat="1" applyFont="1" applyFill="1" applyAlignment="1">
      <alignment horizontal="right" wrapText="1"/>
    </xf>
    <xf numFmtId="0" fontId="2" fillId="33" borderId="0" xfId="295" applyFont="1" applyFill="1" applyAlignment="1">
      <alignment horizontal="left"/>
    </xf>
    <xf numFmtId="1" fontId="2" fillId="33" borderId="0" xfId="295" applyNumberFormat="1" applyFont="1" applyFill="1" applyAlignment="1">
      <alignment horizontal="right" wrapText="1"/>
    </xf>
    <xf numFmtId="43" fontId="2" fillId="33" borderId="0" xfId="295" applyNumberFormat="1" applyFont="1" applyFill="1" applyAlignment="1">
      <alignment horizontal="right" wrapText="1"/>
    </xf>
    <xf numFmtId="176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wrapText="1"/>
    </xf>
    <xf numFmtId="0" fontId="30" fillId="0" borderId="0" xfId="0" applyFont="1" applyAlignment="1">
      <alignment horizontal="left" wrapText="1"/>
    </xf>
    <xf numFmtId="0" fontId="30" fillId="0" borderId="0" xfId="0" applyFont="1" applyAlignment="1">
      <alignment wrapText="1"/>
    </xf>
    <xf numFmtId="0" fontId="0" fillId="0" borderId="0" xfId="0" applyAlignment="1">
      <alignment horizontal="left"/>
    </xf>
    <xf numFmtId="0" fontId="40" fillId="0" borderId="0" xfId="0" applyFont="1" applyAlignment="1">
      <alignment horizontal="left"/>
    </xf>
    <xf numFmtId="0" fontId="40" fillId="0" borderId="27" xfId="0" applyFont="1" applyBorder="1" applyAlignment="1">
      <alignment horizontal="left" wrapText="1"/>
    </xf>
    <xf numFmtId="0" fontId="3" fillId="26" borderId="0" xfId="0" applyFont="1" applyFill="1" applyAlignment="1">
      <alignment horizontal="left" vertical="center" wrapText="1"/>
    </xf>
    <xf numFmtId="0" fontId="3" fillId="28" borderId="0" xfId="0" applyFont="1" applyFill="1" applyAlignment="1">
      <alignment horizontal="left" wrapText="1"/>
    </xf>
    <xf numFmtId="0" fontId="3" fillId="26" borderId="0" xfId="0" applyFont="1" applyFill="1" applyAlignment="1">
      <alignment horizontal="left" wrapText="1"/>
    </xf>
    <xf numFmtId="0" fontId="3" fillId="28" borderId="6" xfId="0" applyFont="1" applyFill="1" applyBorder="1" applyAlignment="1">
      <alignment horizontal="left" vertical="center"/>
    </xf>
    <xf numFmtId="0" fontId="3" fillId="25" borderId="4" xfId="0" applyFont="1" applyFill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30" fillId="0" borderId="0" xfId="0" applyFont="1" applyAlignment="1">
      <alignment horizontal="left"/>
    </xf>
    <xf numFmtId="0" fontId="3" fillId="25" borderId="5" xfId="0" applyFont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32" fillId="0" borderId="4" xfId="0" applyFont="1" applyBorder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1" fillId="31" borderId="27" xfId="0" applyFont="1" applyFill="1" applyBorder="1" applyAlignment="1">
      <alignment horizontal="center" vertical="center" wrapText="1"/>
    </xf>
    <xf numFmtId="0" fontId="41" fillId="31" borderId="28" xfId="0" applyFont="1" applyFill="1" applyBorder="1" applyAlignment="1">
      <alignment horizontal="center" vertical="center" wrapText="1"/>
    </xf>
    <xf numFmtId="0" fontId="41" fillId="0" borderId="29" xfId="0" applyFont="1" applyBorder="1" applyAlignment="1">
      <alignment horizontal="center" wrapText="1"/>
    </xf>
    <xf numFmtId="0" fontId="32" fillId="0" borderId="0" xfId="295" applyFont="1" applyAlignment="1">
      <alignment horizontal="center" wrapText="1"/>
    </xf>
    <xf numFmtId="0" fontId="32" fillId="0" borderId="0" xfId="295" applyFont="1" applyAlignment="1">
      <alignment horizontal="center" vertical="center" wrapText="1"/>
    </xf>
    <xf numFmtId="3" fontId="32" fillId="0" borderId="0" xfId="295" applyNumberFormat="1" applyFont="1" applyAlignment="1">
      <alignment horizontal="center" vertical="center" wrapText="1"/>
    </xf>
    <xf numFmtId="0" fontId="35" fillId="24" borderId="26" xfId="295" applyFont="1" applyFill="1" applyBorder="1" applyAlignment="1">
      <alignment horizontal="center" vertical="center" wrapText="1"/>
    </xf>
    <xf numFmtId="0" fontId="42" fillId="0" borderId="27" xfId="0" applyFont="1" applyBorder="1" applyAlignment="1">
      <alignment horizontal="center" wrapText="1"/>
    </xf>
  </cellXfs>
  <cellStyles count="29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" xfId="143" builtinId="4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 2" xfId="265" xr:uid="{00000000-0005-0000-0000-000008010000}"/>
    <cellStyle name="Millares 3" xfId="266" xr:uid="{00000000-0005-0000-0000-000009010000}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rmal 7" xfId="295" xr:uid="{2DFB23C0-7C8E-2947-A1D7-59A8BD49138C}"/>
    <cellStyle name="Note 2" xfId="278" xr:uid="{00000000-0005-0000-0000-000016010000}"/>
    <cellStyle name="Output 2" xfId="279" xr:uid="{00000000-0005-0000-0000-000017010000}"/>
    <cellStyle name="Percent" xfId="280" builtinId="5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0"/>
  <sheetViews>
    <sheetView zoomScale="80" zoomScaleNormal="80" workbookViewId="0">
      <selection activeCell="B36" sqref="B36"/>
    </sheetView>
  </sheetViews>
  <sheetFormatPr defaultColWidth="8.71875" defaultRowHeight="12.3" x14ac:dyDescent="0.4"/>
  <cols>
    <col min="2" max="2" width="65.44140625" customWidth="1"/>
    <col min="3" max="3" width="16.44140625" customWidth="1"/>
    <col min="4" max="4" width="16.44140625" bestFit="1" customWidth="1"/>
    <col min="5" max="5" width="20" customWidth="1"/>
    <col min="6" max="6" width="13.44140625" bestFit="1" customWidth="1"/>
    <col min="7" max="7" width="12.44140625" bestFit="1" customWidth="1"/>
  </cols>
  <sheetData>
    <row r="1" spans="2:15" ht="12.75" customHeight="1" x14ac:dyDescent="0.4">
      <c r="B1" s="348" t="s">
        <v>0</v>
      </c>
      <c r="C1" s="348"/>
      <c r="D1" s="348"/>
      <c r="E1" s="348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2:15" ht="18" customHeight="1" x14ac:dyDescent="0.4">
      <c r="B2" s="347" t="s">
        <v>1</v>
      </c>
      <c r="C2" s="347"/>
      <c r="D2" s="347"/>
      <c r="E2" s="347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2:15" ht="28.5" customHeight="1" x14ac:dyDescent="0.4">
      <c r="B3" s="349" t="s">
        <v>2</v>
      </c>
      <c r="C3" s="349"/>
      <c r="D3" s="349"/>
      <c r="E3" s="349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2:15" ht="21.3" thickBot="1" x14ac:dyDescent="0.45">
      <c r="B4" s="15" t="s">
        <v>3</v>
      </c>
      <c r="C4" s="16" t="s">
        <v>4</v>
      </c>
      <c r="D4" s="16" t="s">
        <v>5</v>
      </c>
      <c r="E4" s="16" t="s">
        <v>6</v>
      </c>
    </row>
    <row r="5" spans="2:15" x14ac:dyDescent="0.4">
      <c r="B5" s="66" t="s">
        <v>7</v>
      </c>
      <c r="C5" s="76">
        <f>'Project Budget'!R37</f>
        <v>1688340.375977685</v>
      </c>
      <c r="D5" s="76">
        <f>'Project Budget'!S37</f>
        <v>0</v>
      </c>
      <c r="E5" s="76">
        <f t="shared" ref="E5:E13" si="0">SUM(C5:D5)</f>
        <v>1688340.375977685</v>
      </c>
      <c r="G5" s="25"/>
    </row>
    <row r="6" spans="2:15" x14ac:dyDescent="0.4">
      <c r="B6" s="66" t="s">
        <v>8</v>
      </c>
      <c r="C6" s="76">
        <f>'Project Budget'!R59</f>
        <v>71509.610505100005</v>
      </c>
      <c r="D6" s="76">
        <f>'Project Budget'!S59</f>
        <v>0</v>
      </c>
      <c r="E6" s="76">
        <f t="shared" si="0"/>
        <v>71509.610505100005</v>
      </c>
      <c r="G6" s="25"/>
    </row>
    <row r="7" spans="2:15" x14ac:dyDescent="0.4">
      <c r="B7" s="71" t="s">
        <v>9</v>
      </c>
      <c r="C7" s="76">
        <f>'Project Budget'!R62</f>
        <v>0</v>
      </c>
      <c r="D7" s="76">
        <f>'Project Budget'!S62</f>
        <v>0</v>
      </c>
      <c r="E7" s="76">
        <f t="shared" si="0"/>
        <v>0</v>
      </c>
    </row>
    <row r="8" spans="2:15" x14ac:dyDescent="0.4">
      <c r="B8" s="71" t="s">
        <v>10</v>
      </c>
      <c r="C8" s="76">
        <f>'Project Budget'!R81</f>
        <v>278250.21938349999</v>
      </c>
      <c r="D8" s="76">
        <f>'Project Budget'!S81</f>
        <v>0</v>
      </c>
      <c r="E8" s="76">
        <f t="shared" si="0"/>
        <v>278250.21938349999</v>
      </c>
      <c r="G8" s="25"/>
    </row>
    <row r="9" spans="2:15" x14ac:dyDescent="0.4">
      <c r="B9" s="71" t="s">
        <v>11</v>
      </c>
      <c r="C9" s="76">
        <f>'Project Budget'!R98</f>
        <v>545426.32367789012</v>
      </c>
      <c r="D9" s="76">
        <f>'Project Budget'!S98</f>
        <v>0</v>
      </c>
      <c r="E9" s="76">
        <f t="shared" si="0"/>
        <v>545426.32367789012</v>
      </c>
    </row>
    <row r="10" spans="2:15" x14ac:dyDescent="0.4">
      <c r="B10" s="72" t="s">
        <v>12</v>
      </c>
      <c r="C10" s="76">
        <f>'Project Budget'!R123</f>
        <v>312200.36459780211</v>
      </c>
      <c r="D10" s="76">
        <f>'Project Budget'!S142</f>
        <v>0</v>
      </c>
      <c r="E10" s="76">
        <f t="shared" si="0"/>
        <v>312200.36459780211</v>
      </c>
    </row>
    <row r="11" spans="2:15" x14ac:dyDescent="0.4">
      <c r="B11" s="72" t="s">
        <v>13</v>
      </c>
      <c r="C11" s="76">
        <f>'Project Budget'!R142</f>
        <v>663288.23067354423</v>
      </c>
      <c r="D11" s="76">
        <f>'Project Budget'!S142</f>
        <v>0</v>
      </c>
      <c r="E11" s="76">
        <f>'Project Budget'!T142</f>
        <v>663288.23067354423</v>
      </c>
    </row>
    <row r="12" spans="2:15" x14ac:dyDescent="0.4">
      <c r="B12" s="72" t="s">
        <v>14</v>
      </c>
      <c r="C12" s="76">
        <f>'Project Budget'!R175</f>
        <v>131152.04056260243</v>
      </c>
      <c r="D12" s="76">
        <f>'Project Budget'!S175</f>
        <v>0</v>
      </c>
      <c r="E12" s="76">
        <f>'Project Budget'!T175</f>
        <v>131152.04056260243</v>
      </c>
    </row>
    <row r="13" spans="2:15" x14ac:dyDescent="0.4">
      <c r="B13" s="72" t="s">
        <v>15</v>
      </c>
      <c r="C13" s="76">
        <f>'Project Budget'!R204</f>
        <v>195138.32204456042</v>
      </c>
      <c r="D13" s="76">
        <f>'Project Budget'!S204</f>
        <v>0</v>
      </c>
      <c r="E13" s="76">
        <f t="shared" si="0"/>
        <v>195138.32204456042</v>
      </c>
    </row>
    <row r="14" spans="2:15" ht="12" customHeight="1" x14ac:dyDescent="0.4">
      <c r="B14" s="21" t="s">
        <v>16</v>
      </c>
      <c r="C14" s="111">
        <f>SUM(C5:C13)</f>
        <v>3885305.4874226837</v>
      </c>
      <c r="D14" s="77">
        <f>SUM(D5:D13)</f>
        <v>0</v>
      </c>
      <c r="E14" s="77">
        <f>SUM(E5:E13)</f>
        <v>3885305.4874226837</v>
      </c>
      <c r="F14" s="309"/>
    </row>
    <row r="15" spans="2:15" x14ac:dyDescent="0.4">
      <c r="B15" s="71" t="s">
        <v>17</v>
      </c>
      <c r="C15" s="76">
        <f>'Project Budget'!R208</f>
        <v>1114694.144341568</v>
      </c>
      <c r="D15" s="76">
        <f>'Project Budget'!S208</f>
        <v>0</v>
      </c>
      <c r="E15" s="76">
        <f>SUM(C15:D15)</f>
        <v>1114694.144341568</v>
      </c>
    </row>
    <row r="16" spans="2:15" ht="12.6" thickBot="1" x14ac:dyDescent="0.45">
      <c r="B16" s="10" t="s">
        <v>18</v>
      </c>
      <c r="C16" s="78">
        <f>C15+C14</f>
        <v>4999999.6317642517</v>
      </c>
      <c r="D16" s="78">
        <f>D15+D14</f>
        <v>0</v>
      </c>
      <c r="E16" s="78">
        <f>E15+E14</f>
        <v>4999999.6317642517</v>
      </c>
    </row>
    <row r="17" spans="2:4" ht="12.9" thickTop="1" thickBot="1" x14ac:dyDescent="0.45"/>
    <row r="18" spans="2:4" x14ac:dyDescent="0.4">
      <c r="B18" s="73" t="s">
        <v>19</v>
      </c>
      <c r="C18" s="79">
        <f>C5+C7+C8+C15</f>
        <v>3081284.7397027528</v>
      </c>
      <c r="D18" s="310"/>
    </row>
    <row r="19" spans="2:4" ht="12.6" thickBot="1" x14ac:dyDescent="0.45">
      <c r="B19" s="74" t="s">
        <v>20</v>
      </c>
      <c r="C19" s="80">
        <f>C6+C9+C10+C11+C12+C13</f>
        <v>1918714.8920614994</v>
      </c>
      <c r="D19" s="310"/>
    </row>
    <row r="20" spans="2:4" x14ac:dyDescent="0.4">
      <c r="C20" s="25"/>
    </row>
  </sheetData>
  <mergeCells count="3">
    <mergeCell ref="B2:E2"/>
    <mergeCell ref="B1:E1"/>
    <mergeCell ref="B3:E3"/>
  </mergeCells>
  <pageMargins left="0.7" right="0.7" top="0.75" bottom="0.75" header="0.3" footer="0.3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44"/>
  <sheetViews>
    <sheetView tabSelected="1" topLeftCell="A4" zoomScale="93" zoomScaleNormal="90" zoomScaleSheetLayoutView="90" workbookViewId="0">
      <pane ySplit="10" topLeftCell="A14" activePane="bottomLeft" state="frozen"/>
      <selection activeCell="A4" sqref="A4"/>
      <selection pane="bottomLeft" activeCell="D4" sqref="D1:E1048576"/>
    </sheetView>
  </sheetViews>
  <sheetFormatPr defaultColWidth="11.44140625" defaultRowHeight="12" customHeight="1" x14ac:dyDescent="0.35"/>
  <cols>
    <col min="1" max="1" width="14.71875" style="12" customWidth="1"/>
    <col min="2" max="2" width="20.71875" style="12" customWidth="1"/>
    <col min="3" max="3" width="12" style="12" customWidth="1"/>
    <col min="4" max="4" width="11.44140625" style="12" hidden="1" customWidth="1"/>
    <col min="5" max="5" width="10.5546875" style="12" hidden="1" customWidth="1"/>
    <col min="6" max="6" width="67.71875" style="1" customWidth="1"/>
    <col min="7" max="7" width="10.71875" style="1" customWidth="1"/>
    <col min="8" max="8" width="9.44140625" style="1" customWidth="1"/>
    <col min="9" max="9" width="6.44140625" style="1" customWidth="1"/>
    <col min="10" max="10" width="11.27734375" style="6" customWidth="1"/>
    <col min="11" max="11" width="11.44140625" style="5" customWidth="1"/>
    <col min="12" max="12" width="7" style="5" customWidth="1"/>
    <col min="13" max="13" width="10" style="5" customWidth="1"/>
    <col min="14" max="14" width="5.44140625" style="5" customWidth="1"/>
    <col min="15" max="15" width="10" style="5" customWidth="1"/>
    <col min="16" max="16" width="5.44140625" style="5" customWidth="1"/>
    <col min="17" max="17" width="12" style="5" customWidth="1"/>
    <col min="18" max="18" width="10.71875" style="17" customWidth="1"/>
    <col min="19" max="19" width="9.5546875" style="5" customWidth="1"/>
    <col min="20" max="20" width="11" style="17" bestFit="1" customWidth="1"/>
    <col min="21" max="21" width="11.71875" style="2" customWidth="1"/>
    <col min="22" max="22" width="16.44140625" style="2" customWidth="1"/>
    <col min="23" max="24" width="11.71875" style="2" customWidth="1"/>
    <col min="25" max="16384" width="11.44140625" style="2"/>
  </cols>
  <sheetData>
    <row r="1" spans="1:24" ht="10.5" x14ac:dyDescent="0.4">
      <c r="A1" s="43"/>
      <c r="B1" s="43"/>
      <c r="C1" s="43"/>
      <c r="D1" s="43"/>
      <c r="E1" s="43"/>
      <c r="F1" s="350" t="s">
        <v>21</v>
      </c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24"/>
      <c r="V1" s="24"/>
      <c r="W1" s="24"/>
    </row>
    <row r="2" spans="1:24" ht="10.5" x14ac:dyDescent="0.35">
      <c r="A2" s="43"/>
      <c r="B2" s="43"/>
      <c r="C2" s="43"/>
      <c r="D2" s="43"/>
      <c r="E2" s="43"/>
      <c r="F2" s="347" t="s">
        <v>22</v>
      </c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</row>
    <row r="3" spans="1:24" customFormat="1" ht="12.75" customHeight="1" x14ac:dyDescent="0.4">
      <c r="A3" s="333"/>
      <c r="B3" s="333"/>
      <c r="C3" s="333"/>
      <c r="D3" s="333"/>
      <c r="E3" s="333"/>
      <c r="G3" s="348" t="s">
        <v>0</v>
      </c>
      <c r="H3" s="348"/>
      <c r="I3" s="348"/>
      <c r="J3" s="348"/>
      <c r="K3" s="93"/>
      <c r="L3" s="93"/>
      <c r="M3" s="93"/>
      <c r="N3" s="93"/>
      <c r="O3" s="93"/>
      <c r="P3" s="93"/>
      <c r="Q3" s="93"/>
      <c r="R3" s="93"/>
    </row>
    <row r="4" spans="1:24" s="250" customFormat="1" ht="13.8" x14ac:dyDescent="0.45">
      <c r="A4" s="346" t="s">
        <v>23</v>
      </c>
      <c r="B4" s="346" t="s">
        <v>24</v>
      </c>
      <c r="C4" s="334"/>
      <c r="D4" s="334"/>
      <c r="E4" s="334"/>
      <c r="F4" s="351" t="s">
        <v>2</v>
      </c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</row>
    <row r="5" spans="1:24" s="250" customFormat="1" ht="13.8" x14ac:dyDescent="0.45">
      <c r="A5" s="346" t="s">
        <v>25</v>
      </c>
      <c r="B5" s="346">
        <v>20200</v>
      </c>
      <c r="C5" s="334"/>
      <c r="D5" s="334"/>
      <c r="E5" s="334"/>
      <c r="F5" s="352" t="s">
        <v>26</v>
      </c>
      <c r="G5" s="352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</row>
    <row r="6" spans="1:24" s="250" customFormat="1" ht="13.8" x14ac:dyDescent="0.45">
      <c r="A6" s="346" t="s">
        <v>27</v>
      </c>
      <c r="B6" s="346" t="s">
        <v>28</v>
      </c>
      <c r="C6" s="334"/>
      <c r="D6" s="334"/>
      <c r="E6" s="334"/>
      <c r="F6" s="351" t="s">
        <v>29</v>
      </c>
      <c r="G6" s="351"/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</row>
    <row r="7" spans="1:24" s="250" customFormat="1" ht="13.8" x14ac:dyDescent="0.45">
      <c r="A7" s="334"/>
      <c r="B7" s="334"/>
      <c r="C7" s="334"/>
      <c r="D7" s="334"/>
      <c r="E7" s="334"/>
      <c r="F7" s="351" t="s">
        <v>30</v>
      </c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</row>
    <row r="8" spans="1:24" s="250" customFormat="1" ht="13.8" hidden="1" x14ac:dyDescent="0.45">
      <c r="A8" s="334"/>
      <c r="B8" s="334"/>
      <c r="C8" s="334"/>
      <c r="D8" s="334"/>
      <c r="E8" s="334"/>
      <c r="F8" s="353" t="s">
        <v>31</v>
      </c>
      <c r="G8" s="353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</row>
    <row r="9" spans="1:24" s="250" customFormat="1" ht="12.6" hidden="1" x14ac:dyDescent="0.45">
      <c r="A9" s="335"/>
      <c r="B9" s="335"/>
      <c r="C9" s="335"/>
      <c r="D9" s="335"/>
      <c r="E9" s="335"/>
      <c r="F9" s="252" t="s">
        <v>32</v>
      </c>
      <c r="G9" s="253">
        <v>1.03</v>
      </c>
      <c r="H9" s="251"/>
      <c r="I9" s="251"/>
      <c r="J9" s="251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1"/>
      <c r="W9" s="251"/>
      <c r="X9" s="251"/>
    </row>
    <row r="10" spans="1:24" s="250" customFormat="1" ht="12.6" hidden="1" x14ac:dyDescent="0.45">
      <c r="A10" s="335"/>
      <c r="B10" s="335"/>
      <c r="C10" s="335"/>
      <c r="D10" s="335"/>
      <c r="E10" s="335"/>
      <c r="F10" s="252" t="s">
        <v>33</v>
      </c>
      <c r="G10" s="253">
        <v>1.05</v>
      </c>
      <c r="H10" s="255"/>
      <c r="I10" s="255"/>
      <c r="J10" s="256"/>
      <c r="K10" s="257"/>
      <c r="L10" s="258"/>
      <c r="M10" s="257"/>
      <c r="N10" s="257"/>
      <c r="O10" s="258"/>
      <c r="P10" s="257"/>
      <c r="Q10" s="257"/>
      <c r="R10" s="257"/>
      <c r="S10" s="258"/>
      <c r="T10" s="257"/>
      <c r="U10" s="257"/>
      <c r="V10" s="257"/>
      <c r="W10" s="257"/>
      <c r="X10" s="257"/>
    </row>
    <row r="11" spans="1:24" s="250" customFormat="1" ht="12.6" hidden="1" x14ac:dyDescent="0.45">
      <c r="A11" s="335"/>
      <c r="B11" s="335"/>
      <c r="C11" s="335"/>
      <c r="D11" s="335"/>
      <c r="E11" s="335"/>
      <c r="F11" s="252" t="s">
        <v>34</v>
      </c>
      <c r="G11" s="301">
        <v>1.0349999999999999</v>
      </c>
      <c r="H11" s="255"/>
      <c r="I11" s="255"/>
      <c r="J11" s="256"/>
      <c r="K11" s="257"/>
      <c r="L11" s="258"/>
      <c r="M11" s="257"/>
      <c r="N11" s="257"/>
      <c r="O11" s="258"/>
      <c r="P11" s="257"/>
      <c r="Q11" s="257"/>
      <c r="R11" s="257"/>
      <c r="S11" s="258"/>
      <c r="T11" s="257"/>
      <c r="U11" s="257"/>
      <c r="V11" s="257"/>
      <c r="W11" s="257"/>
      <c r="X11" s="257"/>
    </row>
    <row r="12" spans="1:24" ht="10.5" hidden="1" x14ac:dyDescent="0.35">
      <c r="A12" s="43"/>
      <c r="B12" s="43"/>
      <c r="C12" s="43"/>
      <c r="D12" s="43"/>
      <c r="E12" s="43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</row>
    <row r="13" spans="1:24" ht="34.5" thickBot="1" x14ac:dyDescent="0.45">
      <c r="A13" s="345" t="s">
        <v>35</v>
      </c>
      <c r="B13" s="345" t="s">
        <v>36</v>
      </c>
      <c r="C13" s="345" t="s">
        <v>37</v>
      </c>
      <c r="D13" s="345" t="s">
        <v>38</v>
      </c>
      <c r="E13" s="345" t="s">
        <v>39</v>
      </c>
      <c r="F13" s="15" t="s">
        <v>3</v>
      </c>
      <c r="G13" s="15" t="s">
        <v>40</v>
      </c>
      <c r="H13" s="15" t="s">
        <v>41</v>
      </c>
      <c r="I13" s="15" t="s">
        <v>42</v>
      </c>
      <c r="J13" s="52" t="s">
        <v>43</v>
      </c>
      <c r="K13" s="52" t="s">
        <v>44</v>
      </c>
      <c r="L13" s="15" t="s">
        <v>42</v>
      </c>
      <c r="M13" s="52" t="s">
        <v>45</v>
      </c>
      <c r="N13" s="15" t="s">
        <v>42</v>
      </c>
      <c r="O13" s="52" t="s">
        <v>46</v>
      </c>
      <c r="P13" s="15" t="s">
        <v>42</v>
      </c>
      <c r="Q13" s="52" t="s">
        <v>47</v>
      </c>
      <c r="R13" s="105" t="s">
        <v>4</v>
      </c>
      <c r="S13" s="16" t="s">
        <v>48</v>
      </c>
      <c r="T13" s="105" t="s">
        <v>6</v>
      </c>
    </row>
    <row r="14" spans="1:24" ht="10.5" x14ac:dyDescent="0.4">
      <c r="A14" s="336"/>
      <c r="B14" s="336"/>
      <c r="C14" s="336"/>
      <c r="D14" s="336"/>
      <c r="E14" s="336"/>
      <c r="F14" s="60" t="s">
        <v>7</v>
      </c>
      <c r="G14" s="60"/>
      <c r="H14" s="36"/>
      <c r="I14" s="36"/>
      <c r="J14" s="37"/>
      <c r="K14" s="11"/>
      <c r="L14" s="11"/>
      <c r="M14" s="11"/>
      <c r="N14" s="11"/>
      <c r="O14" s="11"/>
      <c r="P14" s="11"/>
      <c r="Q14" s="11"/>
      <c r="R14" s="99"/>
      <c r="S14" s="11"/>
      <c r="T14" s="99"/>
    </row>
    <row r="15" spans="1:24" ht="10.5" x14ac:dyDescent="0.4">
      <c r="A15" s="112"/>
      <c r="B15" s="112"/>
      <c r="C15" s="112"/>
      <c r="D15" s="112"/>
      <c r="E15" s="112"/>
      <c r="F15" s="112" t="s">
        <v>49</v>
      </c>
      <c r="G15" s="112"/>
      <c r="H15" s="113"/>
      <c r="I15" s="56"/>
      <c r="J15" s="57"/>
      <c r="K15" s="98"/>
      <c r="L15" s="98"/>
      <c r="M15" s="98"/>
      <c r="N15" s="98"/>
      <c r="O15" s="98"/>
      <c r="P15" s="98"/>
      <c r="Q15" s="98"/>
      <c r="R15" s="98"/>
      <c r="S15" s="98"/>
      <c r="T15" s="98"/>
      <c r="V15" s="22"/>
    </row>
    <row r="16" spans="1:24" ht="10.199999999999999" x14ac:dyDescent="0.35">
      <c r="A16" s="12" t="s">
        <v>50</v>
      </c>
      <c r="B16" s="12" t="s">
        <v>51</v>
      </c>
      <c r="C16" s="12" t="s">
        <v>52</v>
      </c>
      <c r="D16" s="12" t="s">
        <v>52</v>
      </c>
      <c r="E16" s="12">
        <v>0</v>
      </c>
      <c r="F16" s="12" t="s">
        <v>53</v>
      </c>
      <c r="G16" s="12" t="s">
        <v>54</v>
      </c>
      <c r="H16" s="43" t="s">
        <v>55</v>
      </c>
      <c r="I16" s="8">
        <v>12</v>
      </c>
      <c r="J16" s="8">
        <f>5630*0.9</f>
        <v>5067</v>
      </c>
      <c r="K16" s="8">
        <f>I16*J16</f>
        <v>60804</v>
      </c>
      <c r="L16" s="8">
        <v>12</v>
      </c>
      <c r="M16" s="8">
        <f>L16*J16*$G$11</f>
        <v>62932.139999999992</v>
      </c>
      <c r="N16" s="8">
        <v>12</v>
      </c>
      <c r="O16" s="8">
        <f>N16*J16*$G$11*$G$11</f>
        <v>65134.764899999987</v>
      </c>
      <c r="P16" s="8">
        <v>12</v>
      </c>
      <c r="Q16" s="8">
        <f>P16*J16*$G$11*$G$11*$G$11</f>
        <v>67414.481671499976</v>
      </c>
      <c r="R16" s="8">
        <f>SUM(K16+M16+O16+Q16)</f>
        <v>256285.38657149993</v>
      </c>
      <c r="S16" s="8">
        <v>0</v>
      </c>
      <c r="T16" s="8">
        <f>SUM(R16:S16)</f>
        <v>256285.38657149993</v>
      </c>
      <c r="U16" s="114"/>
      <c r="V16" s="271"/>
    </row>
    <row r="17" spans="1:22" ht="10.199999999999999" x14ac:dyDescent="0.35">
      <c r="A17" s="43" t="s">
        <v>56</v>
      </c>
      <c r="B17" s="43">
        <v>70000</v>
      </c>
      <c r="C17" s="43" t="s">
        <v>57</v>
      </c>
      <c r="D17" s="43" t="s">
        <v>57</v>
      </c>
      <c r="E17" s="43">
        <v>0</v>
      </c>
      <c r="F17" s="12" t="s">
        <v>58</v>
      </c>
      <c r="G17" s="12" t="s">
        <v>54</v>
      </c>
      <c r="H17" s="43" t="s">
        <v>55</v>
      </c>
      <c r="I17" s="8">
        <v>11</v>
      </c>
      <c r="J17" s="8">
        <v>3300</v>
      </c>
      <c r="K17" s="8">
        <f>I17*J17</f>
        <v>36300</v>
      </c>
      <c r="L17" s="8">
        <v>12</v>
      </c>
      <c r="M17" s="8">
        <f t="shared" ref="M17:M28" si="0">L17*J17*$G$11</f>
        <v>40986</v>
      </c>
      <c r="N17" s="8">
        <v>12</v>
      </c>
      <c r="O17" s="8">
        <f t="shared" ref="O17:O28" si="1">N17*J17*$G$11*$G$11</f>
        <v>42420.509999999995</v>
      </c>
      <c r="P17" s="8">
        <v>12</v>
      </c>
      <c r="Q17" s="8">
        <f>P17*J17*$G$11*$G$11*$G$11</f>
        <v>43905.227849999988</v>
      </c>
      <c r="R17" s="8">
        <f>SUM(K17+M17+O17+Q17)</f>
        <v>163611.73784999998</v>
      </c>
      <c r="S17" s="8">
        <v>0</v>
      </c>
      <c r="T17" s="8">
        <f>SUM(R17:S17)</f>
        <v>163611.73784999998</v>
      </c>
      <c r="U17" s="13"/>
      <c r="V17" s="151"/>
    </row>
    <row r="18" spans="1:22" ht="10.199999999999999" x14ac:dyDescent="0.35">
      <c r="F18" s="12"/>
      <c r="G18" s="12"/>
      <c r="H18" s="4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3"/>
      <c r="V18" s="151"/>
    </row>
    <row r="19" spans="1:22" ht="10.5" x14ac:dyDescent="0.4">
      <c r="A19" s="112"/>
      <c r="B19" s="112"/>
      <c r="C19" s="112"/>
      <c r="D19" s="112"/>
      <c r="E19" s="112"/>
      <c r="F19" s="112" t="s">
        <v>59</v>
      </c>
      <c r="G19" s="112"/>
      <c r="H19" s="10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13"/>
      <c r="V19" s="151"/>
    </row>
    <row r="20" spans="1:22" ht="10.199999999999999" x14ac:dyDescent="0.35">
      <c r="A20" s="12" t="s">
        <v>60</v>
      </c>
      <c r="B20" s="43">
        <v>70000</v>
      </c>
      <c r="C20" s="43" t="s">
        <v>57</v>
      </c>
      <c r="D20" s="43" t="s">
        <v>57</v>
      </c>
      <c r="E20" s="43">
        <v>0</v>
      </c>
      <c r="F20" s="12" t="s">
        <v>61</v>
      </c>
      <c r="G20" s="12" t="s">
        <v>54</v>
      </c>
      <c r="H20" s="43" t="s">
        <v>55</v>
      </c>
      <c r="I20" s="8">
        <v>10</v>
      </c>
      <c r="J20" s="8">
        <v>3500</v>
      </c>
      <c r="K20" s="8">
        <f>I20*J20</f>
        <v>35000</v>
      </c>
      <c r="L20" s="8">
        <v>12</v>
      </c>
      <c r="M20" s="8">
        <f>L20*J20*$G$11</f>
        <v>43470</v>
      </c>
      <c r="N20" s="8">
        <v>12</v>
      </c>
      <c r="O20" s="8">
        <f>N20*J20*$G$11*$G$11</f>
        <v>44991.45</v>
      </c>
      <c r="P20" s="8">
        <v>10</v>
      </c>
      <c r="Q20" s="8">
        <f>P20*J20*$G$11*$G$11*$G$11</f>
        <v>38805.125625000001</v>
      </c>
      <c r="R20" s="8">
        <f>SUM(K20+M20+O20+Q20)</f>
        <v>162266.575625</v>
      </c>
      <c r="S20" s="8">
        <v>0</v>
      </c>
      <c r="T20" s="8">
        <f>SUM(R20:S20)</f>
        <v>162266.575625</v>
      </c>
      <c r="V20" s="22"/>
    </row>
    <row r="21" spans="1:22" ht="10.199999999999999" x14ac:dyDescent="0.35">
      <c r="A21" s="12" t="s">
        <v>62</v>
      </c>
      <c r="B21" s="43">
        <v>70000</v>
      </c>
      <c r="C21" s="43" t="s">
        <v>57</v>
      </c>
      <c r="D21" s="43" t="s">
        <v>57</v>
      </c>
      <c r="E21" s="43">
        <v>0</v>
      </c>
      <c r="F21" s="12" t="s">
        <v>63</v>
      </c>
      <c r="G21" s="12" t="s">
        <v>54</v>
      </c>
      <c r="H21" s="43" t="s">
        <v>55</v>
      </c>
      <c r="I21" s="8">
        <v>10</v>
      </c>
      <c r="J21" s="8">
        <f>2600*0.5</f>
        <v>1300</v>
      </c>
      <c r="K21" s="8">
        <f>I21*J21</f>
        <v>13000</v>
      </c>
      <c r="L21" s="8">
        <v>12</v>
      </c>
      <c r="M21" s="8">
        <f>L21*J21*$G$11</f>
        <v>16145.999999999998</v>
      </c>
      <c r="N21" s="8">
        <v>12</v>
      </c>
      <c r="O21" s="8">
        <f>N21*J21*$G$11*$G$11</f>
        <v>16711.109999999997</v>
      </c>
      <c r="P21" s="8">
        <v>9</v>
      </c>
      <c r="Q21" s="8">
        <f>P21*J21*$G$11*$G$11*$G$11</f>
        <v>12971.999137499995</v>
      </c>
      <c r="R21" s="8">
        <f t="shared" ref="R21:R24" si="2">SUM(K21+M21+O21+Q21)</f>
        <v>58829.109137499996</v>
      </c>
      <c r="S21" s="8">
        <v>0</v>
      </c>
      <c r="T21" s="8">
        <f>SUM(R21:S21)</f>
        <v>58829.109137499996</v>
      </c>
      <c r="V21" s="22"/>
    </row>
    <row r="22" spans="1:22" ht="10.199999999999999" x14ac:dyDescent="0.35">
      <c r="A22" s="12" t="s">
        <v>64</v>
      </c>
      <c r="B22" s="43">
        <v>70000</v>
      </c>
      <c r="C22" s="43" t="s">
        <v>57</v>
      </c>
      <c r="D22" s="43" t="s">
        <v>57</v>
      </c>
      <c r="E22" s="43">
        <v>0</v>
      </c>
      <c r="F22" s="12" t="s">
        <v>65</v>
      </c>
      <c r="G22" s="12" t="s">
        <v>54</v>
      </c>
      <c r="H22" s="43" t="s">
        <v>55</v>
      </c>
      <c r="I22" s="8">
        <v>10</v>
      </c>
      <c r="J22" s="8">
        <v>3400</v>
      </c>
      <c r="K22" s="8">
        <f>I22*J22</f>
        <v>34000</v>
      </c>
      <c r="L22" s="8">
        <v>12</v>
      </c>
      <c r="M22" s="8">
        <f>L22*J22*$G$11</f>
        <v>42228</v>
      </c>
      <c r="N22" s="8">
        <v>12</v>
      </c>
      <c r="O22" s="8">
        <f>N22*J22*$G$11*$G$11</f>
        <v>43705.979999999996</v>
      </c>
      <c r="P22" s="8">
        <v>9</v>
      </c>
      <c r="Q22" s="8">
        <f>P22*J22*$G$11*$G$11*$G$11</f>
        <v>33926.766974999991</v>
      </c>
      <c r="R22" s="8">
        <f t="shared" si="2"/>
        <v>153860.74697499999</v>
      </c>
      <c r="S22" s="8">
        <v>0</v>
      </c>
      <c r="T22" s="8">
        <f>SUM(R22:S22)</f>
        <v>153860.74697499999</v>
      </c>
      <c r="V22" s="22"/>
    </row>
    <row r="23" spans="1:22" ht="10.199999999999999" x14ac:dyDescent="0.35">
      <c r="A23" s="12" t="s">
        <v>66</v>
      </c>
      <c r="B23" s="43">
        <v>70000</v>
      </c>
      <c r="C23" s="43" t="s">
        <v>57</v>
      </c>
      <c r="D23" s="43" t="s">
        <v>57</v>
      </c>
      <c r="E23" s="43">
        <v>0</v>
      </c>
      <c r="F23" s="12" t="s">
        <v>67</v>
      </c>
      <c r="G23" s="12" t="s">
        <v>54</v>
      </c>
      <c r="H23" s="43" t="s">
        <v>55</v>
      </c>
      <c r="I23" s="8">
        <v>0</v>
      </c>
      <c r="J23" s="8">
        <v>3000</v>
      </c>
      <c r="K23" s="8">
        <f>I23*J23</f>
        <v>0</v>
      </c>
      <c r="L23" s="8">
        <v>12</v>
      </c>
      <c r="M23" s="8">
        <f>L23*J23*$G$11</f>
        <v>37260</v>
      </c>
      <c r="N23" s="8">
        <v>12</v>
      </c>
      <c r="O23" s="8">
        <f>N23*J23*$G$11*$G$11</f>
        <v>38564.1</v>
      </c>
      <c r="P23" s="8">
        <v>9</v>
      </c>
      <c r="Q23" s="8">
        <f>P23*J23*$G$11*$G$11*$G$11</f>
        <v>29935.382624999991</v>
      </c>
      <c r="R23" s="8">
        <f t="shared" si="2"/>
        <v>105759.482625</v>
      </c>
      <c r="S23" s="8">
        <v>0</v>
      </c>
      <c r="T23" s="8">
        <f>SUM(R23:S23)</f>
        <v>105759.482625</v>
      </c>
      <c r="V23" s="22"/>
    </row>
    <row r="24" spans="1:22" ht="10.199999999999999" x14ac:dyDescent="0.35">
      <c r="A24" s="12" t="s">
        <v>68</v>
      </c>
      <c r="B24" s="43">
        <v>70000</v>
      </c>
      <c r="C24" s="43" t="s">
        <v>57</v>
      </c>
      <c r="D24" s="43" t="s">
        <v>57</v>
      </c>
      <c r="E24" s="43">
        <v>0</v>
      </c>
      <c r="F24" s="12" t="s">
        <v>69</v>
      </c>
      <c r="G24" s="12" t="s">
        <v>54</v>
      </c>
      <c r="H24" s="43" t="s">
        <v>55</v>
      </c>
      <c r="I24" s="8">
        <v>11</v>
      </c>
      <c r="J24" s="8">
        <v>2000</v>
      </c>
      <c r="K24" s="8">
        <f t="shared" ref="K24" si="3">I24*J24</f>
        <v>22000</v>
      </c>
      <c r="L24" s="8">
        <v>12</v>
      </c>
      <c r="M24" s="8">
        <f t="shared" si="0"/>
        <v>24839.999999999996</v>
      </c>
      <c r="N24" s="8">
        <v>12</v>
      </c>
      <c r="O24" s="8">
        <f t="shared" si="1"/>
        <v>25709.399999999994</v>
      </c>
      <c r="P24" s="8">
        <v>12</v>
      </c>
      <c r="Q24" s="8">
        <f>P24*J24*$G$11*$G$11*$G$11</f>
        <v>26609.228999999992</v>
      </c>
      <c r="R24" s="8">
        <f t="shared" si="2"/>
        <v>99158.628999999986</v>
      </c>
      <c r="S24" s="8">
        <v>0</v>
      </c>
      <c r="T24" s="8">
        <f>SUM(R24:S24)</f>
        <v>99158.628999999986</v>
      </c>
    </row>
    <row r="25" spans="1:22" ht="10.199999999999999" x14ac:dyDescent="0.35">
      <c r="F25" s="12"/>
      <c r="G25" s="12"/>
      <c r="H25" s="43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2" ht="10.5" x14ac:dyDescent="0.4">
      <c r="A26" s="112"/>
      <c r="B26" s="112"/>
      <c r="C26" s="112"/>
      <c r="D26" s="112"/>
      <c r="E26" s="112"/>
      <c r="F26" s="112" t="s">
        <v>70</v>
      </c>
      <c r="G26" s="67"/>
      <c r="H26" s="10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</row>
    <row r="27" spans="1:22" ht="10.199999999999999" x14ac:dyDescent="0.35">
      <c r="A27" s="12" t="s">
        <v>71</v>
      </c>
      <c r="B27" s="12" t="s">
        <v>51</v>
      </c>
      <c r="C27" s="12" t="s">
        <v>52</v>
      </c>
      <c r="D27" s="12" t="s">
        <v>52</v>
      </c>
      <c r="E27" s="12">
        <v>0</v>
      </c>
      <c r="F27" s="12" t="s">
        <v>72</v>
      </c>
      <c r="G27" s="12" t="s">
        <v>54</v>
      </c>
      <c r="H27" s="43" t="s">
        <v>55</v>
      </c>
      <c r="I27" s="8">
        <v>12</v>
      </c>
      <c r="J27" s="8">
        <f>9334*0.1</f>
        <v>933.40000000000009</v>
      </c>
      <c r="K27" s="8">
        <f>I27*J27</f>
        <v>11200.800000000001</v>
      </c>
      <c r="L27" s="8">
        <v>12</v>
      </c>
      <c r="M27" s="8">
        <f t="shared" si="0"/>
        <v>11592.828</v>
      </c>
      <c r="N27" s="8">
        <v>12</v>
      </c>
      <c r="O27" s="8">
        <f t="shared" si="1"/>
        <v>11998.576979999998</v>
      </c>
      <c r="P27" s="8">
        <v>12</v>
      </c>
      <c r="Q27" s="8">
        <f>P27*J27*$G$11*$G$11*$G$11</f>
        <v>12418.527174299998</v>
      </c>
      <c r="R27" s="8">
        <f>SUM(K27+M27+O27+Q27)</f>
        <v>47210.732154299993</v>
      </c>
      <c r="S27" s="8">
        <v>0</v>
      </c>
      <c r="T27" s="8">
        <f>SUM(R27:S27)</f>
        <v>47210.732154299993</v>
      </c>
      <c r="V27" s="270"/>
    </row>
    <row r="28" spans="1:22" ht="10.199999999999999" x14ac:dyDescent="0.35">
      <c r="A28" s="12" t="s">
        <v>73</v>
      </c>
      <c r="B28" s="12" t="s">
        <v>51</v>
      </c>
      <c r="C28" s="12" t="s">
        <v>52</v>
      </c>
      <c r="D28" s="12" t="s">
        <v>52</v>
      </c>
      <c r="E28" s="12">
        <v>0</v>
      </c>
      <c r="F28" s="12" t="s">
        <v>74</v>
      </c>
      <c r="G28" s="12" t="s">
        <v>54</v>
      </c>
      <c r="H28" s="43" t="s">
        <v>55</v>
      </c>
      <c r="I28" s="8">
        <v>12</v>
      </c>
      <c r="J28" s="8">
        <f>5200*0.4</f>
        <v>2080</v>
      </c>
      <c r="K28" s="8">
        <f>I28*J28</f>
        <v>24960</v>
      </c>
      <c r="L28" s="8">
        <v>12</v>
      </c>
      <c r="M28" s="8">
        <f t="shared" si="0"/>
        <v>25833.599999999999</v>
      </c>
      <c r="N28" s="8">
        <v>12</v>
      </c>
      <c r="O28" s="8">
        <f t="shared" si="1"/>
        <v>26737.775999999998</v>
      </c>
      <c r="P28" s="8">
        <v>12</v>
      </c>
      <c r="Q28" s="8">
        <f>P28*J28*$G$11*$G$11*$G$11</f>
        <v>27673.598159999994</v>
      </c>
      <c r="R28" s="8">
        <f>SUM(K28+M28+O28+Q28)</f>
        <v>105204.97415999998</v>
      </c>
      <c r="S28" s="8">
        <v>0</v>
      </c>
      <c r="T28" s="8">
        <f>SUM(R28:S28)</f>
        <v>105204.97415999998</v>
      </c>
    </row>
    <row r="29" spans="1:22" ht="10.199999999999999" x14ac:dyDescent="0.35">
      <c r="F29" s="12"/>
      <c r="G29" s="12"/>
      <c r="H29" s="4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2" ht="10.5" x14ac:dyDescent="0.4">
      <c r="A30" s="112"/>
      <c r="B30" s="112"/>
      <c r="C30" s="112"/>
      <c r="D30" s="112"/>
      <c r="E30" s="112"/>
      <c r="F30" s="112" t="s">
        <v>75</v>
      </c>
      <c r="G30" s="112"/>
      <c r="H30" s="113"/>
      <c r="I30" s="107"/>
      <c r="J30" s="107"/>
      <c r="K30" s="107">
        <f>SUM(K16:K28)</f>
        <v>237264.8</v>
      </c>
      <c r="L30" s="107"/>
      <c r="M30" s="107">
        <f>SUM(M16:M28)</f>
        <v>305288.56799999991</v>
      </c>
      <c r="N30" s="107"/>
      <c r="O30" s="107">
        <f>SUM(O16:O28)</f>
        <v>315973.66787999996</v>
      </c>
      <c r="P30" s="107"/>
      <c r="Q30" s="107">
        <f>SUM(Q16:Q28)</f>
        <v>293660.33821829996</v>
      </c>
      <c r="R30" s="107">
        <f>SUM(K30+M30+O30+Q30)</f>
        <v>1152187.3740982998</v>
      </c>
      <c r="S30" s="107">
        <v>0</v>
      </c>
      <c r="T30" s="107">
        <f>SUM(R30:S30)</f>
        <v>1152187.3740982998</v>
      </c>
    </row>
    <row r="31" spans="1:22" ht="10.5" x14ac:dyDescent="0.4">
      <c r="A31" s="311"/>
      <c r="B31" s="311"/>
      <c r="C31" s="311"/>
      <c r="D31" s="311"/>
      <c r="E31" s="311"/>
      <c r="F31" s="311"/>
      <c r="G31" s="311"/>
      <c r="H31" s="312"/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</row>
    <row r="32" spans="1:22" ht="10.5" x14ac:dyDescent="0.4">
      <c r="A32" s="112"/>
      <c r="B32" s="112"/>
      <c r="C32" s="112"/>
      <c r="D32" s="112"/>
      <c r="E32" s="112"/>
      <c r="F32" s="112" t="s">
        <v>76</v>
      </c>
      <c r="G32" s="112"/>
      <c r="H32" s="113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</row>
    <row r="33" spans="1:22" ht="20.399999999999999" x14ac:dyDescent="0.35">
      <c r="A33" s="12" t="s">
        <v>77</v>
      </c>
      <c r="B33" s="12">
        <v>70015</v>
      </c>
      <c r="C33" s="43" t="s">
        <v>57</v>
      </c>
      <c r="D33" s="43" t="s">
        <v>57</v>
      </c>
      <c r="E33" s="12">
        <v>0</v>
      </c>
      <c r="F33" s="12" t="s">
        <v>78</v>
      </c>
      <c r="G33" s="12" t="s">
        <v>76</v>
      </c>
      <c r="H33" s="43"/>
      <c r="I33" s="8"/>
      <c r="J33" s="81">
        <v>0.53864000000000001</v>
      </c>
      <c r="K33" s="328">
        <f>SUM(K16+K17+K20+K22)*$J$33</f>
        <v>89470.258560000002</v>
      </c>
      <c r="L33" s="328"/>
      <c r="M33" s="328">
        <f t="shared" ref="M33:Q33" si="4">SUM(M16+M17+M20+M22)*$J$33</f>
        <v>102134.8376496</v>
      </c>
      <c r="N33" s="328"/>
      <c r="O33" s="328">
        <f t="shared" si="4"/>
        <v>105709.55696733597</v>
      </c>
      <c r="P33" s="328"/>
      <c r="Q33" s="328">
        <f t="shared" si="4"/>
        <v>99137.55496672474</v>
      </c>
      <c r="R33" s="8">
        <f>SUM(K33+M33+O33+Q33)</f>
        <v>396452.20814366068</v>
      </c>
      <c r="S33" s="8">
        <v>0</v>
      </c>
      <c r="T33" s="8">
        <f>SUM(R33:S33)</f>
        <v>396452.20814366068</v>
      </c>
      <c r="U33" s="22"/>
    </row>
    <row r="34" spans="1:22" ht="20.399999999999999" x14ac:dyDescent="0.35">
      <c r="A34" s="12" t="s">
        <v>77</v>
      </c>
      <c r="B34" s="12">
        <v>70015</v>
      </c>
      <c r="C34" s="43" t="s">
        <v>57</v>
      </c>
      <c r="D34" s="43" t="s">
        <v>57</v>
      </c>
      <c r="E34" s="12">
        <v>0</v>
      </c>
      <c r="F34" s="12" t="s">
        <v>79</v>
      </c>
      <c r="G34" s="12" t="s">
        <v>76</v>
      </c>
      <c r="H34" s="43"/>
      <c r="I34" s="8"/>
      <c r="J34" s="150">
        <v>0.40364</v>
      </c>
      <c r="K34" s="328">
        <f>SUM(K21,K23,K24)*$J$34</f>
        <v>14127.4</v>
      </c>
      <c r="L34" s="328"/>
      <c r="M34" s="328">
        <f t="shared" ref="M34:Q34" si="5">SUM(M21,M23,M24)*$J$34</f>
        <v>31583.21544</v>
      </c>
      <c r="N34" s="328"/>
      <c r="O34" s="328">
        <f t="shared" si="5"/>
        <v>32688.627980399993</v>
      </c>
      <c r="P34" s="328"/>
      <c r="Q34" s="328">
        <f t="shared" si="5"/>
        <v>28059.684768175488</v>
      </c>
      <c r="R34" s="8">
        <f t="shared" ref="R34:R35" si="6">SUM(K34+M34+O34+Q34)</f>
        <v>106458.92818857548</v>
      </c>
      <c r="S34" s="8">
        <v>0</v>
      </c>
      <c r="T34" s="8">
        <f>SUM(R34:S34)</f>
        <v>106458.92818857548</v>
      </c>
      <c r="U34" s="22"/>
    </row>
    <row r="35" spans="1:22" ht="20.399999999999999" x14ac:dyDescent="0.35">
      <c r="A35" s="12" t="s">
        <v>80</v>
      </c>
      <c r="B35" s="12">
        <v>50900</v>
      </c>
      <c r="C35" s="12" t="s">
        <v>52</v>
      </c>
      <c r="D35" s="12" t="s">
        <v>52</v>
      </c>
      <c r="E35" s="12">
        <v>0</v>
      </c>
      <c r="F35" s="12" t="s">
        <v>81</v>
      </c>
      <c r="G35" s="12" t="s">
        <v>76</v>
      </c>
      <c r="H35" s="43"/>
      <c r="I35" s="8"/>
      <c r="J35" s="81">
        <v>0.21809999999999999</v>
      </c>
      <c r="K35" s="8">
        <f>SUM(K27:K28)*$J$35</f>
        <v>7886.6704799999998</v>
      </c>
      <c r="L35" s="8"/>
      <c r="M35" s="8">
        <f>SUM(M27:M28)*$J$35</f>
        <v>8162.7039467999994</v>
      </c>
      <c r="N35" s="8"/>
      <c r="O35" s="8">
        <f>SUM(O27:O28)*$J$35</f>
        <v>8448.3985849379987</v>
      </c>
      <c r="P35" s="8"/>
      <c r="Q35" s="8">
        <f>SUM(Q27:Q28)*$J$35</f>
        <v>8744.0925354108276</v>
      </c>
      <c r="R35" s="8">
        <f t="shared" si="6"/>
        <v>33241.865547148824</v>
      </c>
      <c r="S35" s="8">
        <v>0</v>
      </c>
      <c r="T35" s="8">
        <f>SUM(R35:S35)</f>
        <v>33241.865547148824</v>
      </c>
    </row>
    <row r="36" spans="1:22" ht="10.199999999999999" x14ac:dyDescent="0.35">
      <c r="H36" s="329"/>
      <c r="I36" s="330"/>
      <c r="J36" s="17"/>
      <c r="K36" s="17"/>
      <c r="L36" s="17"/>
      <c r="M36" s="17"/>
      <c r="N36" s="17"/>
      <c r="O36" s="17"/>
      <c r="P36" s="17"/>
      <c r="Q36" s="17"/>
      <c r="S36" s="8"/>
    </row>
    <row r="37" spans="1:22" ht="10.8" thickBot="1" x14ac:dyDescent="0.45">
      <c r="A37" s="31"/>
      <c r="B37" s="31"/>
      <c r="C37" s="31"/>
      <c r="D37" s="31"/>
      <c r="E37" s="31"/>
      <c r="F37" s="18" t="s">
        <v>82</v>
      </c>
      <c r="G37" s="18"/>
      <c r="H37" s="27"/>
      <c r="I37" s="27"/>
      <c r="J37" s="28"/>
      <c r="K37" s="19">
        <f>SUM(K30:K35)</f>
        <v>348749.12903999997</v>
      </c>
      <c r="L37" s="19"/>
      <c r="M37" s="19">
        <f>SUM(M30:M35)</f>
        <v>447169.32503639988</v>
      </c>
      <c r="N37" s="19"/>
      <c r="O37" s="19">
        <f>SUM(O30:O35)</f>
        <v>462820.25141267397</v>
      </c>
      <c r="P37" s="19"/>
      <c r="Q37" s="19">
        <f>SUM(Q30:Q35)</f>
        <v>429601.67048861104</v>
      </c>
      <c r="R37" s="19">
        <f>K37+M37+O37+Q37</f>
        <v>1688340.375977685</v>
      </c>
      <c r="S37" s="19">
        <f>SUM(S30:S35)</f>
        <v>0</v>
      </c>
      <c r="T37" s="29">
        <f>SUM(R37:S37)</f>
        <v>1688340.375977685</v>
      </c>
      <c r="U37" s="22"/>
      <c r="V37" s="22"/>
    </row>
    <row r="38" spans="1:22" ht="10.5" x14ac:dyDescent="0.4">
      <c r="A38" s="337"/>
      <c r="B38" s="337"/>
      <c r="C38" s="337"/>
      <c r="D38" s="337"/>
      <c r="E38" s="337"/>
      <c r="F38" s="47" t="s">
        <v>8</v>
      </c>
      <c r="G38" s="47"/>
      <c r="H38" s="48"/>
      <c r="I38" s="48"/>
      <c r="J38" s="49"/>
      <c r="K38" s="50"/>
      <c r="L38" s="50"/>
      <c r="M38" s="50"/>
      <c r="N38" s="50"/>
      <c r="O38" s="50"/>
      <c r="P38" s="50"/>
      <c r="Q38" s="50"/>
      <c r="R38" s="50"/>
      <c r="S38" s="50"/>
      <c r="T38" s="51"/>
    </row>
    <row r="39" spans="1:22" ht="10.5" x14ac:dyDescent="0.4">
      <c r="A39" s="53"/>
      <c r="B39" s="53"/>
      <c r="C39" s="53"/>
      <c r="D39" s="53"/>
      <c r="E39" s="53"/>
      <c r="F39" s="55" t="s">
        <v>83</v>
      </c>
      <c r="G39" s="55"/>
      <c r="H39" s="56"/>
      <c r="I39" s="56"/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59"/>
    </row>
    <row r="40" spans="1:22" ht="10.199999999999999" x14ac:dyDescent="0.35">
      <c r="A40" s="12" t="s">
        <v>84</v>
      </c>
      <c r="B40" s="12">
        <v>86040</v>
      </c>
      <c r="C40" s="43" t="s">
        <v>57</v>
      </c>
      <c r="D40" s="43" t="s">
        <v>57</v>
      </c>
      <c r="E40" s="12">
        <v>0</v>
      </c>
      <c r="F40" s="1" t="s">
        <v>85</v>
      </c>
      <c r="G40" s="1" t="s">
        <v>8</v>
      </c>
      <c r="H40" s="30" t="s">
        <v>86</v>
      </c>
      <c r="I40" s="8">
        <v>2</v>
      </c>
      <c r="J40" s="8">
        <v>750</v>
      </c>
      <c r="K40" s="8">
        <f>I40*J40</f>
        <v>1500</v>
      </c>
      <c r="L40" s="8">
        <v>0</v>
      </c>
      <c r="M40" s="8">
        <f>L40*J40*$G$9</f>
        <v>0</v>
      </c>
      <c r="N40" s="8">
        <v>0</v>
      </c>
      <c r="O40" s="8">
        <f>N40*J40*$G$9*$G$9</f>
        <v>0</v>
      </c>
      <c r="P40" s="8">
        <v>0</v>
      </c>
      <c r="Q40" s="8">
        <f>P40*J40*$G$9*$G$9*$G$9</f>
        <v>0</v>
      </c>
      <c r="R40" s="8">
        <f>K40+M40+O40+Q40</f>
        <v>1500</v>
      </c>
      <c r="S40" s="8" t="s">
        <v>87</v>
      </c>
      <c r="T40" s="8">
        <f>SUM(R40:S40)</f>
        <v>1500</v>
      </c>
    </row>
    <row r="41" spans="1:22" ht="20.399999999999999" x14ac:dyDescent="0.35">
      <c r="A41" s="12" t="s">
        <v>88</v>
      </c>
      <c r="B41" s="12" t="s">
        <v>89</v>
      </c>
      <c r="C41" s="43" t="s">
        <v>57</v>
      </c>
      <c r="D41" s="43" t="s">
        <v>57</v>
      </c>
      <c r="E41" s="12">
        <v>0</v>
      </c>
      <c r="F41" s="1" t="s">
        <v>90</v>
      </c>
      <c r="G41" s="1" t="s">
        <v>8</v>
      </c>
      <c r="H41" s="30" t="s">
        <v>91</v>
      </c>
      <c r="I41" s="8">
        <f>5*2</f>
        <v>10</v>
      </c>
      <c r="J41" s="8">
        <f>68.4+210</f>
        <v>278.39999999999998</v>
      </c>
      <c r="K41" s="8">
        <f>I41*J41</f>
        <v>2784</v>
      </c>
      <c r="L41" s="8">
        <v>0</v>
      </c>
      <c r="M41" s="8">
        <f t="shared" ref="M41:M49" si="7">L41*J41*$G$9</f>
        <v>0</v>
      </c>
      <c r="N41" s="8">
        <v>0</v>
      </c>
      <c r="O41" s="8">
        <f t="shared" ref="O41:O49" si="8">N41*J41*$G$9*$G$9</f>
        <v>0</v>
      </c>
      <c r="P41" s="8">
        <v>0</v>
      </c>
      <c r="Q41" s="8">
        <f t="shared" ref="Q41:Q49" si="9">P41*J41*$G$9*$G$9*$G$9</f>
        <v>0</v>
      </c>
      <c r="R41" s="8">
        <f t="shared" ref="R41:R57" si="10">K41+M41+O41+Q41</f>
        <v>2784</v>
      </c>
      <c r="S41" s="8" t="s">
        <v>87</v>
      </c>
      <c r="T41" s="8">
        <f>SUM(R41:S41)</f>
        <v>2784</v>
      </c>
    </row>
    <row r="42" spans="1:22" ht="10.199999999999999" x14ac:dyDescent="0.35">
      <c r="A42" s="12" t="s">
        <v>92</v>
      </c>
      <c r="B42" s="12">
        <v>86000</v>
      </c>
      <c r="C42" s="43" t="s">
        <v>57</v>
      </c>
      <c r="D42" s="43" t="s">
        <v>57</v>
      </c>
      <c r="E42" s="12">
        <v>0</v>
      </c>
      <c r="F42" s="1" t="s">
        <v>93</v>
      </c>
      <c r="G42" s="1" t="s">
        <v>8</v>
      </c>
      <c r="H42" s="30" t="s">
        <v>91</v>
      </c>
      <c r="I42" s="8">
        <v>5</v>
      </c>
      <c r="J42" s="8">
        <v>25</v>
      </c>
      <c r="K42" s="8">
        <f>I42*J42</f>
        <v>125</v>
      </c>
      <c r="L42" s="8">
        <v>0</v>
      </c>
      <c r="M42" s="8">
        <f t="shared" si="7"/>
        <v>0</v>
      </c>
      <c r="N42" s="8">
        <v>0</v>
      </c>
      <c r="O42" s="8">
        <f t="shared" si="8"/>
        <v>0</v>
      </c>
      <c r="P42" s="8">
        <v>0</v>
      </c>
      <c r="Q42" s="8">
        <f t="shared" si="9"/>
        <v>0</v>
      </c>
      <c r="R42" s="8">
        <f t="shared" si="10"/>
        <v>125</v>
      </c>
      <c r="S42" s="8" t="s">
        <v>87</v>
      </c>
      <c r="T42" s="8">
        <f>SUM(R42:S42)</f>
        <v>125</v>
      </c>
    </row>
    <row r="43" spans="1:22" ht="10.199999999999999" x14ac:dyDescent="0.35">
      <c r="A43" s="12" t="s">
        <v>94</v>
      </c>
      <c r="B43" s="12">
        <v>86050</v>
      </c>
      <c r="C43" s="43" t="s">
        <v>57</v>
      </c>
      <c r="D43" s="43" t="s">
        <v>57</v>
      </c>
      <c r="E43" s="12">
        <v>0</v>
      </c>
      <c r="F43" s="1" t="s">
        <v>95</v>
      </c>
      <c r="G43" s="1" t="s">
        <v>8</v>
      </c>
      <c r="H43" s="30" t="s">
        <v>86</v>
      </c>
      <c r="I43" s="8">
        <v>2</v>
      </c>
      <c r="J43" s="8">
        <v>160</v>
      </c>
      <c r="K43" s="8">
        <f>I43*J43</f>
        <v>320</v>
      </c>
      <c r="L43" s="8">
        <v>0</v>
      </c>
      <c r="M43" s="8">
        <f t="shared" si="7"/>
        <v>0</v>
      </c>
      <c r="N43" s="8">
        <v>0</v>
      </c>
      <c r="O43" s="8">
        <f t="shared" si="8"/>
        <v>0</v>
      </c>
      <c r="P43" s="8">
        <v>0</v>
      </c>
      <c r="Q43" s="8">
        <f t="shared" si="9"/>
        <v>0</v>
      </c>
      <c r="R43" s="8">
        <f t="shared" si="10"/>
        <v>320</v>
      </c>
      <c r="S43" s="8" t="s">
        <v>87</v>
      </c>
      <c r="T43" s="8">
        <f>SUM(R43:S43)</f>
        <v>320</v>
      </c>
    </row>
    <row r="44" spans="1:22" ht="10.199999999999999" x14ac:dyDescent="0.35">
      <c r="A44" s="53"/>
      <c r="B44" s="53"/>
      <c r="C44" s="53"/>
      <c r="D44" s="53"/>
      <c r="E44" s="53"/>
      <c r="F44" s="55" t="s">
        <v>96</v>
      </c>
      <c r="G44" s="55"/>
      <c r="H44" s="62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</row>
    <row r="45" spans="1:22" ht="10.199999999999999" x14ac:dyDescent="0.35">
      <c r="A45" s="12" t="s">
        <v>97</v>
      </c>
      <c r="B45" s="12">
        <v>86040</v>
      </c>
      <c r="C45" s="43" t="s">
        <v>57</v>
      </c>
      <c r="D45" s="43" t="s">
        <v>57</v>
      </c>
      <c r="E45" s="12">
        <v>0</v>
      </c>
      <c r="F45" s="1" t="s">
        <v>85</v>
      </c>
      <c r="G45" s="1" t="s">
        <v>8</v>
      </c>
      <c r="H45" s="30" t="s">
        <v>86</v>
      </c>
      <c r="I45" s="8">
        <v>0</v>
      </c>
      <c r="J45" s="8">
        <v>750</v>
      </c>
      <c r="K45" s="8">
        <f>I45*J45</f>
        <v>0</v>
      </c>
      <c r="L45" s="8">
        <v>1</v>
      </c>
      <c r="M45" s="8">
        <f t="shared" si="7"/>
        <v>772.5</v>
      </c>
      <c r="N45" s="8">
        <v>2</v>
      </c>
      <c r="O45" s="8">
        <f t="shared" si="8"/>
        <v>1591.3500000000001</v>
      </c>
      <c r="P45" s="8">
        <v>1</v>
      </c>
      <c r="Q45" s="8">
        <f t="shared" si="9"/>
        <v>819.54525000000012</v>
      </c>
      <c r="R45" s="8">
        <f t="shared" si="10"/>
        <v>3183.3952500000005</v>
      </c>
      <c r="S45" s="8" t="s">
        <v>87</v>
      </c>
      <c r="T45" s="8">
        <f>SUM(R45:S45)</f>
        <v>3183.3952500000005</v>
      </c>
      <c r="U45" s="22"/>
    </row>
    <row r="46" spans="1:22" ht="20.399999999999999" x14ac:dyDescent="0.35">
      <c r="A46" s="12" t="s">
        <v>98</v>
      </c>
      <c r="B46" s="12" t="s">
        <v>89</v>
      </c>
      <c r="C46" s="43" t="s">
        <v>57</v>
      </c>
      <c r="D46" s="43" t="s">
        <v>57</v>
      </c>
      <c r="E46" s="12">
        <v>0</v>
      </c>
      <c r="F46" s="1" t="s">
        <v>90</v>
      </c>
      <c r="G46" s="1" t="s">
        <v>8</v>
      </c>
      <c r="H46" s="30" t="s">
        <v>91</v>
      </c>
      <c r="I46" s="8">
        <v>0</v>
      </c>
      <c r="J46" s="8">
        <f>68.4+210</f>
        <v>278.39999999999998</v>
      </c>
      <c r="K46" s="8">
        <f>I46*J46</f>
        <v>0</v>
      </c>
      <c r="L46" s="8">
        <v>7</v>
      </c>
      <c r="M46" s="8">
        <f t="shared" si="7"/>
        <v>2007.2639999999997</v>
      </c>
      <c r="N46" s="8">
        <v>14</v>
      </c>
      <c r="O46" s="8">
        <f>N46*J46*$G$9*$G$9</f>
        <v>4134.9638399999994</v>
      </c>
      <c r="P46" s="8">
        <v>7</v>
      </c>
      <c r="Q46" s="8">
        <f t="shared" si="9"/>
        <v>2129.5063775999997</v>
      </c>
      <c r="R46" s="8">
        <f t="shared" si="10"/>
        <v>8271.7342175999984</v>
      </c>
      <c r="S46" s="8" t="s">
        <v>87</v>
      </c>
      <c r="T46" s="8">
        <f>SUM(R46:S46)</f>
        <v>8271.7342175999984</v>
      </c>
    </row>
    <row r="47" spans="1:22" ht="10.199999999999999" x14ac:dyDescent="0.35">
      <c r="A47" s="12" t="s">
        <v>99</v>
      </c>
      <c r="B47" s="12">
        <v>86000</v>
      </c>
      <c r="C47" s="43" t="s">
        <v>57</v>
      </c>
      <c r="D47" s="43" t="s">
        <v>57</v>
      </c>
      <c r="E47" s="12">
        <v>0</v>
      </c>
      <c r="F47" s="1" t="s">
        <v>93</v>
      </c>
      <c r="G47" s="1" t="s">
        <v>8</v>
      </c>
      <c r="H47" s="30" t="s">
        <v>91</v>
      </c>
      <c r="I47" s="8">
        <v>0</v>
      </c>
      <c r="J47" s="8">
        <v>25</v>
      </c>
      <c r="K47" s="8">
        <f>I47*J47</f>
        <v>0</v>
      </c>
      <c r="L47" s="8">
        <v>7</v>
      </c>
      <c r="M47" s="8">
        <f t="shared" si="7"/>
        <v>180.25</v>
      </c>
      <c r="N47" s="8">
        <v>7</v>
      </c>
      <c r="O47" s="8">
        <f t="shared" si="8"/>
        <v>185.6575</v>
      </c>
      <c r="P47" s="8">
        <v>7</v>
      </c>
      <c r="Q47" s="8">
        <f t="shared" si="9"/>
        <v>191.227225</v>
      </c>
      <c r="R47" s="8">
        <f t="shared" si="10"/>
        <v>557.134725</v>
      </c>
      <c r="S47" s="8" t="s">
        <v>87</v>
      </c>
      <c r="T47" s="8">
        <f>SUM(R47:S47)</f>
        <v>557.134725</v>
      </c>
    </row>
    <row r="48" spans="1:22" ht="10.199999999999999" x14ac:dyDescent="0.35">
      <c r="A48" s="53"/>
      <c r="B48" s="53"/>
      <c r="C48" s="53"/>
      <c r="D48" s="53"/>
      <c r="E48" s="53"/>
      <c r="F48" s="55" t="s">
        <v>100</v>
      </c>
      <c r="G48" s="55"/>
      <c r="H48" s="62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</row>
    <row r="49" spans="1:21" ht="10.199999999999999" x14ac:dyDescent="0.35">
      <c r="A49" s="12" t="s">
        <v>101</v>
      </c>
      <c r="B49" s="12">
        <v>86040</v>
      </c>
      <c r="C49" s="12" t="s">
        <v>52</v>
      </c>
      <c r="D49" s="12" t="s">
        <v>52</v>
      </c>
      <c r="E49" s="12">
        <v>0</v>
      </c>
      <c r="F49" s="1" t="s">
        <v>102</v>
      </c>
      <c r="G49" s="1" t="s">
        <v>8</v>
      </c>
      <c r="H49" s="30" t="s">
        <v>86</v>
      </c>
      <c r="I49" s="8">
        <v>1</v>
      </c>
      <c r="J49" s="8">
        <v>750</v>
      </c>
      <c r="K49" s="8">
        <f>I49*J49</f>
        <v>750</v>
      </c>
      <c r="L49" s="8">
        <v>1</v>
      </c>
      <c r="M49" s="8">
        <f t="shared" si="7"/>
        <v>772.5</v>
      </c>
      <c r="N49" s="8">
        <v>1</v>
      </c>
      <c r="O49" s="8">
        <f t="shared" si="8"/>
        <v>795.67500000000007</v>
      </c>
      <c r="P49" s="8">
        <v>1</v>
      </c>
      <c r="Q49" s="8">
        <f t="shared" si="9"/>
        <v>819.54525000000012</v>
      </c>
      <c r="R49" s="8">
        <f t="shared" si="10"/>
        <v>3137.7202500000003</v>
      </c>
      <c r="S49" s="8" t="s">
        <v>87</v>
      </c>
      <c r="T49" s="8">
        <f>SUM(R49:S49)</f>
        <v>3137.7202500000003</v>
      </c>
      <c r="U49" s="22"/>
    </row>
    <row r="50" spans="1:21" ht="20.399999999999999" x14ac:dyDescent="0.35">
      <c r="A50" s="12" t="s">
        <v>103</v>
      </c>
      <c r="B50" s="12" t="s">
        <v>89</v>
      </c>
      <c r="C50" s="12" t="s">
        <v>52</v>
      </c>
      <c r="D50" s="12" t="s">
        <v>52</v>
      </c>
      <c r="E50" s="12">
        <v>0</v>
      </c>
      <c r="F50" s="1" t="s">
        <v>104</v>
      </c>
      <c r="G50" s="1" t="s">
        <v>8</v>
      </c>
      <c r="H50" s="30" t="s">
        <v>91</v>
      </c>
      <c r="I50" s="8">
        <v>5</v>
      </c>
      <c r="J50" s="8">
        <f>89+210</f>
        <v>299</v>
      </c>
      <c r="K50" s="8">
        <f>I50*J50</f>
        <v>1495</v>
      </c>
      <c r="L50" s="8">
        <f>5*1</f>
        <v>5</v>
      </c>
      <c r="M50" s="8">
        <f>L50*J50*$G$10</f>
        <v>1569.75</v>
      </c>
      <c r="N50" s="8">
        <f>5*1</f>
        <v>5</v>
      </c>
      <c r="O50" s="8">
        <f>N50*J50*$G$10*$G$10</f>
        <v>1648.2375000000002</v>
      </c>
      <c r="P50" s="8">
        <v>5</v>
      </c>
      <c r="Q50" s="8">
        <f>P50*J50*$G$10*$G$10*$G$10</f>
        <v>1730.6493750000002</v>
      </c>
      <c r="R50" s="8">
        <f t="shared" si="10"/>
        <v>6443.6368750000001</v>
      </c>
      <c r="S50" s="8" t="s">
        <v>87</v>
      </c>
      <c r="T50" s="8">
        <f>SUM(R50:S50)</f>
        <v>6443.6368750000001</v>
      </c>
    </row>
    <row r="51" spans="1:21" ht="10.199999999999999" x14ac:dyDescent="0.35">
      <c r="A51" s="12" t="s">
        <v>105</v>
      </c>
      <c r="B51" s="12">
        <v>86000</v>
      </c>
      <c r="C51" s="12" t="s">
        <v>52</v>
      </c>
      <c r="D51" s="12" t="s">
        <v>52</v>
      </c>
      <c r="E51" s="12">
        <v>0</v>
      </c>
      <c r="F51" s="1" t="s">
        <v>106</v>
      </c>
      <c r="G51" s="1" t="s">
        <v>8</v>
      </c>
      <c r="H51" s="30" t="s">
        <v>91</v>
      </c>
      <c r="I51" s="8">
        <v>5</v>
      </c>
      <c r="J51" s="8">
        <v>25</v>
      </c>
      <c r="K51" s="8">
        <f>I51*J51</f>
        <v>125</v>
      </c>
      <c r="L51" s="8">
        <f>5*1</f>
        <v>5</v>
      </c>
      <c r="M51" s="8">
        <f>L51*J51*$G$10</f>
        <v>131.25</v>
      </c>
      <c r="N51" s="8">
        <f>5*1</f>
        <v>5</v>
      </c>
      <c r="O51" s="8">
        <f t="shared" ref="O51:O57" si="11">N51*J51*$G$10*$G$10</f>
        <v>137.8125</v>
      </c>
      <c r="P51" s="8">
        <v>5</v>
      </c>
      <c r="Q51" s="8">
        <f t="shared" ref="Q51:Q57" si="12">P51*J51*$G$10*$G$10*$G$10</f>
        <v>144.703125</v>
      </c>
      <c r="R51" s="8">
        <f t="shared" si="10"/>
        <v>538.765625</v>
      </c>
      <c r="S51" s="8" t="s">
        <v>87</v>
      </c>
      <c r="T51" s="8">
        <f>SUM(R51:S51)</f>
        <v>538.765625</v>
      </c>
    </row>
    <row r="52" spans="1:21" ht="10.199999999999999" x14ac:dyDescent="0.35">
      <c r="A52" s="53"/>
      <c r="B52" s="53"/>
      <c r="C52" s="53"/>
      <c r="D52" s="53"/>
      <c r="E52" s="53"/>
      <c r="F52" s="55" t="s">
        <v>107</v>
      </c>
      <c r="G52" s="55"/>
      <c r="H52" s="62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</row>
    <row r="53" spans="1:21" ht="20.399999999999999" x14ac:dyDescent="0.35">
      <c r="A53" s="12" t="s">
        <v>108</v>
      </c>
      <c r="B53" s="12" t="s">
        <v>89</v>
      </c>
      <c r="C53" s="43" t="s">
        <v>57</v>
      </c>
      <c r="D53" s="43" t="s">
        <v>57</v>
      </c>
      <c r="E53" s="12">
        <v>0</v>
      </c>
      <c r="F53" s="12" t="s">
        <v>109</v>
      </c>
      <c r="G53" s="1" t="s">
        <v>8</v>
      </c>
      <c r="H53" s="30" t="s">
        <v>55</v>
      </c>
      <c r="I53" s="8">
        <v>5</v>
      </c>
      <c r="J53" s="8">
        <f>(96+30.5)*3</f>
        <v>379.5</v>
      </c>
      <c r="K53" s="8">
        <f>I53*J53</f>
        <v>1897.5</v>
      </c>
      <c r="L53" s="8">
        <v>7</v>
      </c>
      <c r="M53" s="8">
        <f t="shared" ref="M53:M57" si="13">L53*J53*$G$10</f>
        <v>2789.3250000000003</v>
      </c>
      <c r="N53" s="8">
        <v>7</v>
      </c>
      <c r="O53" s="8">
        <f t="shared" si="11"/>
        <v>2928.7912500000002</v>
      </c>
      <c r="P53" s="8">
        <v>5</v>
      </c>
      <c r="Q53" s="8">
        <f t="shared" si="12"/>
        <v>2196.5934375000002</v>
      </c>
      <c r="R53" s="8">
        <f t="shared" si="10"/>
        <v>9812.2096875000007</v>
      </c>
      <c r="S53" s="8">
        <v>0</v>
      </c>
      <c r="T53" s="8">
        <f>SUM(R53:S53)</f>
        <v>9812.2096875000007</v>
      </c>
      <c r="U53" s="22"/>
    </row>
    <row r="54" spans="1:21" ht="20.399999999999999" x14ac:dyDescent="0.35">
      <c r="A54" s="12" t="s">
        <v>110</v>
      </c>
      <c r="B54" s="12" t="s">
        <v>89</v>
      </c>
      <c r="C54" s="43" t="s">
        <v>57</v>
      </c>
      <c r="D54" s="43" t="s">
        <v>57</v>
      </c>
      <c r="E54" s="12">
        <v>0</v>
      </c>
      <c r="F54" s="12" t="s">
        <v>111</v>
      </c>
      <c r="G54" s="1" t="s">
        <v>8</v>
      </c>
      <c r="H54" s="30" t="s">
        <v>55</v>
      </c>
      <c r="I54" s="8">
        <v>5</v>
      </c>
      <c r="J54" s="8">
        <f>(180+55)*3</f>
        <v>705</v>
      </c>
      <c r="K54" s="8">
        <f>I54*J54</f>
        <v>3525</v>
      </c>
      <c r="L54" s="8">
        <v>7</v>
      </c>
      <c r="M54" s="8">
        <f t="shared" si="13"/>
        <v>5181.75</v>
      </c>
      <c r="N54" s="8">
        <v>7</v>
      </c>
      <c r="O54" s="8">
        <f t="shared" si="11"/>
        <v>5440.8375000000005</v>
      </c>
      <c r="P54" s="8">
        <v>5</v>
      </c>
      <c r="Q54" s="8">
        <f t="shared" si="12"/>
        <v>4080.6281250000002</v>
      </c>
      <c r="R54" s="8">
        <f t="shared" si="10"/>
        <v>18228.215625000001</v>
      </c>
      <c r="S54" s="8">
        <v>0</v>
      </c>
      <c r="T54" s="8">
        <f>SUM(R54:S54)</f>
        <v>18228.215625000001</v>
      </c>
    </row>
    <row r="55" spans="1:21" ht="20.399999999999999" x14ac:dyDescent="0.35">
      <c r="A55" s="12" t="s">
        <v>112</v>
      </c>
      <c r="B55" s="12" t="s">
        <v>89</v>
      </c>
      <c r="C55" s="43" t="s">
        <v>57</v>
      </c>
      <c r="D55" s="43" t="s">
        <v>57</v>
      </c>
      <c r="E55" s="12">
        <v>0</v>
      </c>
      <c r="F55" s="12" t="s">
        <v>113</v>
      </c>
      <c r="G55" s="1" t="s">
        <v>8</v>
      </c>
      <c r="H55" s="30" t="s">
        <v>55</v>
      </c>
      <c r="I55" s="8">
        <v>4</v>
      </c>
      <c r="J55" s="8">
        <f>(100+35.5)*3</f>
        <v>406.5</v>
      </c>
      <c r="K55" s="8">
        <f>I55*J55</f>
        <v>1626</v>
      </c>
      <c r="L55" s="8">
        <v>5</v>
      </c>
      <c r="M55" s="8">
        <f>L55*J55*$G$10</f>
        <v>2134.125</v>
      </c>
      <c r="N55" s="8">
        <v>5</v>
      </c>
      <c r="O55" s="8">
        <f>N55*J55*$G$10*$G$10</f>
        <v>2240.8312500000002</v>
      </c>
      <c r="P55" s="8">
        <v>4</v>
      </c>
      <c r="Q55" s="8">
        <f>P55*J55*$G$10*$G$10*$G$10</f>
        <v>1882.2982500000003</v>
      </c>
      <c r="R55" s="8">
        <f t="shared" si="10"/>
        <v>7883.2545000000009</v>
      </c>
      <c r="S55" s="8">
        <v>0</v>
      </c>
      <c r="T55" s="8">
        <f>SUM(R55:S55)</f>
        <v>7883.2545000000009</v>
      </c>
    </row>
    <row r="56" spans="1:21" ht="10.199999999999999" x14ac:dyDescent="0.35">
      <c r="A56" s="12" t="s">
        <v>114</v>
      </c>
      <c r="B56" s="12">
        <v>86000</v>
      </c>
      <c r="C56" s="43" t="s">
        <v>57</v>
      </c>
      <c r="D56" s="43" t="s">
        <v>57</v>
      </c>
      <c r="E56" s="12">
        <v>0</v>
      </c>
      <c r="F56" s="12" t="s">
        <v>115</v>
      </c>
      <c r="G56" s="1" t="s">
        <v>8</v>
      </c>
      <c r="H56" s="30" t="s">
        <v>55</v>
      </c>
      <c r="I56" s="8">
        <v>6</v>
      </c>
      <c r="J56" s="8">
        <f>25*3</f>
        <v>75</v>
      </c>
      <c r="K56" s="8">
        <f>I56*J56</f>
        <v>450</v>
      </c>
      <c r="L56" s="8">
        <v>12</v>
      </c>
      <c r="M56" s="8">
        <f t="shared" si="13"/>
        <v>945</v>
      </c>
      <c r="N56" s="8">
        <v>12</v>
      </c>
      <c r="O56" s="8">
        <f t="shared" si="11"/>
        <v>992.25</v>
      </c>
      <c r="P56" s="8">
        <v>6</v>
      </c>
      <c r="Q56" s="8">
        <f t="shared" si="12"/>
        <v>520.93124999999998</v>
      </c>
      <c r="R56" s="8">
        <f t="shared" si="10"/>
        <v>2908.1812500000001</v>
      </c>
      <c r="S56" s="8">
        <v>0</v>
      </c>
      <c r="T56" s="8">
        <f>SUM(R56:S56)</f>
        <v>2908.1812500000001</v>
      </c>
    </row>
    <row r="57" spans="1:21" ht="10.199999999999999" x14ac:dyDescent="0.35">
      <c r="A57" s="12" t="s">
        <v>116</v>
      </c>
      <c r="B57" s="12">
        <v>86040</v>
      </c>
      <c r="C57" s="43" t="s">
        <v>57</v>
      </c>
      <c r="D57" s="43" t="s">
        <v>57</v>
      </c>
      <c r="E57" s="12">
        <v>0</v>
      </c>
      <c r="F57" s="12" t="s">
        <v>117</v>
      </c>
      <c r="G57" s="1" t="s">
        <v>8</v>
      </c>
      <c r="H57" s="30" t="s">
        <v>55</v>
      </c>
      <c r="I57" s="8">
        <v>6</v>
      </c>
      <c r="J57" s="8">
        <f>150</f>
        <v>150</v>
      </c>
      <c r="K57" s="8">
        <f>I57*J57</f>
        <v>900</v>
      </c>
      <c r="L57" s="8">
        <v>12</v>
      </c>
      <c r="M57" s="8">
        <f t="shared" si="13"/>
        <v>1890</v>
      </c>
      <c r="N57" s="8">
        <v>12</v>
      </c>
      <c r="O57" s="8">
        <f t="shared" si="11"/>
        <v>1984.5</v>
      </c>
      <c r="P57" s="8">
        <v>6</v>
      </c>
      <c r="Q57" s="8">
        <f t="shared" si="12"/>
        <v>1041.8625</v>
      </c>
      <c r="R57" s="8">
        <f t="shared" si="10"/>
        <v>5816.3625000000002</v>
      </c>
      <c r="S57" s="8">
        <v>0</v>
      </c>
      <c r="T57" s="8">
        <f>SUM(R57:S57)</f>
        <v>5816.3625000000002</v>
      </c>
    </row>
    <row r="58" spans="1:21" ht="10.199999999999999" x14ac:dyDescent="0.35">
      <c r="F58" s="12"/>
      <c r="H58" s="3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1" ht="10.8" thickBot="1" x14ac:dyDescent="0.45">
      <c r="A59" s="31"/>
      <c r="B59" s="31"/>
      <c r="C59" s="31"/>
      <c r="D59" s="31"/>
      <c r="E59" s="31"/>
      <c r="F59" s="18" t="s">
        <v>118</v>
      </c>
      <c r="G59" s="18"/>
      <c r="H59" s="27"/>
      <c r="I59" s="27"/>
      <c r="J59" s="28"/>
      <c r="K59" s="19">
        <f>SUM(K40:K57)</f>
        <v>15497.5</v>
      </c>
      <c r="L59" s="19"/>
      <c r="M59" s="19">
        <f>SUM(M40:M57)</f>
        <v>18373.714</v>
      </c>
      <c r="N59" s="19"/>
      <c r="O59" s="19">
        <f>SUM(O40:O57)</f>
        <v>22080.906340000001</v>
      </c>
      <c r="P59" s="19"/>
      <c r="Q59" s="19">
        <f>SUM(Q40:Q57)</f>
        <v>15557.490165099998</v>
      </c>
      <c r="R59" s="19">
        <f>K59+M59+O59+Q59</f>
        <v>71509.610505100005</v>
      </c>
      <c r="S59" s="19">
        <f>SUM(S40:S56)</f>
        <v>0</v>
      </c>
      <c r="T59" s="29">
        <f>SUM(R59:S59)</f>
        <v>71509.610505100005</v>
      </c>
    </row>
    <row r="60" spans="1:21" ht="10.5" x14ac:dyDescent="0.4">
      <c r="A60" s="338"/>
      <c r="B60" s="338"/>
      <c r="C60" s="338"/>
      <c r="D60" s="338"/>
      <c r="E60" s="338"/>
      <c r="F60" s="36" t="s">
        <v>9</v>
      </c>
      <c r="G60" s="36"/>
      <c r="H60" s="36"/>
      <c r="I60" s="36"/>
      <c r="J60" s="37"/>
      <c r="K60" s="11"/>
      <c r="L60" s="11"/>
      <c r="M60" s="11"/>
      <c r="N60" s="11"/>
      <c r="O60" s="11"/>
      <c r="P60" s="11"/>
      <c r="Q60" s="11"/>
      <c r="R60" s="99"/>
      <c r="S60" s="11"/>
      <c r="T60" s="99"/>
    </row>
    <row r="61" spans="1:21" ht="10.199999999999999" x14ac:dyDescent="0.35">
      <c r="H61" s="30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1" ht="10.8" thickBot="1" x14ac:dyDescent="0.45">
      <c r="A62" s="31"/>
      <c r="B62" s="31"/>
      <c r="C62" s="31"/>
      <c r="D62" s="31"/>
      <c r="E62" s="31"/>
      <c r="F62" s="18" t="s">
        <v>119</v>
      </c>
      <c r="G62" s="18"/>
      <c r="H62" s="27"/>
      <c r="I62" s="27"/>
      <c r="J62" s="28"/>
      <c r="K62" s="19">
        <f>K61</f>
        <v>0</v>
      </c>
      <c r="L62" s="19"/>
      <c r="M62" s="19">
        <f>M61</f>
        <v>0</v>
      </c>
      <c r="N62" s="19"/>
      <c r="O62" s="19">
        <f>O61</f>
        <v>0</v>
      </c>
      <c r="P62" s="19"/>
      <c r="Q62" s="19">
        <f>Q61</f>
        <v>0</v>
      </c>
      <c r="R62" s="19">
        <f>K62+M62+O62+Q62</f>
        <v>0</v>
      </c>
      <c r="S62" s="19">
        <f>S61</f>
        <v>0</v>
      </c>
      <c r="T62" s="29">
        <f>SUM(R62:S62)</f>
        <v>0</v>
      </c>
    </row>
    <row r="63" spans="1:21" ht="10.5" x14ac:dyDescent="0.4">
      <c r="A63" s="338"/>
      <c r="B63" s="338"/>
      <c r="C63" s="338"/>
      <c r="D63" s="338"/>
      <c r="E63" s="338"/>
      <c r="F63" s="36" t="s">
        <v>10</v>
      </c>
      <c r="G63" s="36"/>
      <c r="H63" s="36"/>
      <c r="I63" s="36"/>
      <c r="J63" s="37"/>
      <c r="K63" s="11"/>
      <c r="L63" s="11"/>
      <c r="M63" s="11"/>
      <c r="N63" s="11"/>
      <c r="O63" s="11"/>
      <c r="P63" s="11"/>
      <c r="Q63" s="11"/>
      <c r="R63" s="99"/>
      <c r="S63" s="11"/>
      <c r="T63" s="99"/>
    </row>
    <row r="64" spans="1:21" ht="10.5" x14ac:dyDescent="0.4">
      <c r="A64" s="53"/>
      <c r="B64" s="53"/>
      <c r="C64" s="53"/>
      <c r="D64" s="53"/>
      <c r="E64" s="53"/>
      <c r="F64" s="55" t="s">
        <v>120</v>
      </c>
      <c r="G64" s="72"/>
      <c r="H64" s="72"/>
      <c r="I64" s="72"/>
      <c r="J64" s="69"/>
      <c r="K64" s="70"/>
      <c r="L64" s="70"/>
      <c r="M64" s="70"/>
      <c r="N64" s="70"/>
      <c r="O64" s="70"/>
      <c r="P64" s="70"/>
      <c r="Q64" s="70"/>
      <c r="R64" s="98"/>
      <c r="S64" s="70"/>
      <c r="T64" s="98"/>
    </row>
    <row r="65" spans="1:22" ht="10.199999999999999" x14ac:dyDescent="0.35">
      <c r="A65" s="12" t="s">
        <v>121</v>
      </c>
      <c r="B65" s="12">
        <v>82401</v>
      </c>
      <c r="C65" s="12" t="s">
        <v>122</v>
      </c>
      <c r="D65" s="12" t="s">
        <v>122</v>
      </c>
      <c r="E65" s="12">
        <v>0</v>
      </c>
      <c r="F65" s="12" t="s">
        <v>123</v>
      </c>
      <c r="G65" s="12" t="s">
        <v>124</v>
      </c>
      <c r="H65" s="329" t="s">
        <v>125</v>
      </c>
      <c r="I65" s="8">
        <v>7</v>
      </c>
      <c r="J65" s="8">
        <v>750</v>
      </c>
      <c r="K65" s="8">
        <f>I65*J65</f>
        <v>5250</v>
      </c>
      <c r="L65" s="8">
        <v>0</v>
      </c>
      <c r="M65" s="8">
        <f>L65*J65</f>
        <v>0</v>
      </c>
      <c r="N65" s="8">
        <v>0</v>
      </c>
      <c r="O65" s="8">
        <f>N65*J65</f>
        <v>0</v>
      </c>
      <c r="P65" s="8">
        <v>0</v>
      </c>
      <c r="Q65" s="8">
        <f>P65*J65</f>
        <v>0</v>
      </c>
      <c r="R65" s="8">
        <f>K65+M65+O65+Q65</f>
        <v>5250</v>
      </c>
      <c r="S65" s="8">
        <v>0</v>
      </c>
      <c r="T65" s="8">
        <f>SUM(R65:S65)</f>
        <v>5250</v>
      </c>
    </row>
    <row r="66" spans="1:22" ht="10.199999999999999" x14ac:dyDescent="0.35">
      <c r="A66" s="12" t="s">
        <v>126</v>
      </c>
      <c r="B66" s="12">
        <v>90900</v>
      </c>
      <c r="C66" s="43" t="s">
        <v>57</v>
      </c>
      <c r="D66" s="43" t="s">
        <v>57</v>
      </c>
      <c r="E66" s="12">
        <v>0</v>
      </c>
      <c r="F66" s="12" t="s">
        <v>127</v>
      </c>
      <c r="G66" s="12" t="s">
        <v>124</v>
      </c>
      <c r="H66" s="30" t="s">
        <v>55</v>
      </c>
      <c r="I66" s="8">
        <v>11</v>
      </c>
      <c r="J66" s="8">
        <v>35.700000000000003</v>
      </c>
      <c r="K66" s="8">
        <f t="shared" ref="K66:K72" si="14">I66*J66</f>
        <v>392.70000000000005</v>
      </c>
      <c r="L66" s="8">
        <v>12</v>
      </c>
      <c r="M66" s="8">
        <f>L66*J66*$G$10</f>
        <v>449.82000000000005</v>
      </c>
      <c r="N66" s="8">
        <v>12</v>
      </c>
      <c r="O66" s="8">
        <f>N66*J66*$G$10*$G$10</f>
        <v>472.31100000000009</v>
      </c>
      <c r="P66" s="8">
        <v>11</v>
      </c>
      <c r="Q66" s="8">
        <f>P66*J66*$G$10*$G$10*$G$10</f>
        <v>454.59933750000016</v>
      </c>
      <c r="R66" s="8">
        <f t="shared" ref="R66:R79" si="15">K66+M66+O66+Q66</f>
        <v>1769.4303375000004</v>
      </c>
      <c r="S66" s="8">
        <v>0</v>
      </c>
      <c r="T66" s="8">
        <f t="shared" ref="T66:T72" si="16">SUM(R66:S66)</f>
        <v>1769.4303375000004</v>
      </c>
      <c r="V66" s="5"/>
    </row>
    <row r="67" spans="1:22" ht="10.199999999999999" x14ac:dyDescent="0.35">
      <c r="A67" s="12" t="s">
        <v>128</v>
      </c>
      <c r="B67" s="12">
        <v>82350</v>
      </c>
      <c r="C67" s="43" t="s">
        <v>57</v>
      </c>
      <c r="D67" s="43" t="s">
        <v>57</v>
      </c>
      <c r="E67" s="12">
        <v>0</v>
      </c>
      <c r="F67" s="12" t="s">
        <v>129</v>
      </c>
      <c r="G67" s="12" t="s">
        <v>124</v>
      </c>
      <c r="H67" s="30" t="s">
        <v>130</v>
      </c>
      <c r="I67" s="8">
        <v>1</v>
      </c>
      <c r="J67" s="8">
        <v>60</v>
      </c>
      <c r="K67" s="8">
        <f t="shared" si="14"/>
        <v>60</v>
      </c>
      <c r="L67" s="8">
        <v>1</v>
      </c>
      <c r="M67" s="8">
        <f t="shared" ref="M67:M72" si="17">L67*J67*$G$10</f>
        <v>63</v>
      </c>
      <c r="N67" s="8">
        <v>1</v>
      </c>
      <c r="O67" s="8">
        <f t="shared" ref="O67:O72" si="18">N67*J67*$G$10*$G$10</f>
        <v>66.150000000000006</v>
      </c>
      <c r="P67" s="8">
        <v>1</v>
      </c>
      <c r="Q67" s="8">
        <f t="shared" ref="Q67:Q72" si="19">P67*J67*$G$10*$G$10*$G$10</f>
        <v>69.45750000000001</v>
      </c>
      <c r="R67" s="8">
        <f t="shared" si="15"/>
        <v>258.60750000000002</v>
      </c>
      <c r="S67" s="8">
        <v>0</v>
      </c>
      <c r="T67" s="8">
        <f t="shared" si="16"/>
        <v>258.60750000000002</v>
      </c>
    </row>
    <row r="68" spans="1:22" ht="10.199999999999999" x14ac:dyDescent="0.35">
      <c r="A68" s="12" t="s">
        <v>131</v>
      </c>
      <c r="B68" s="12">
        <v>90450</v>
      </c>
      <c r="C68" s="43" t="s">
        <v>57</v>
      </c>
      <c r="D68" s="43" t="s">
        <v>57</v>
      </c>
      <c r="E68" s="12">
        <v>0</v>
      </c>
      <c r="F68" s="12" t="s">
        <v>132</v>
      </c>
      <c r="G68" s="12" t="s">
        <v>124</v>
      </c>
      <c r="H68" s="30" t="s">
        <v>130</v>
      </c>
      <c r="I68" s="8">
        <v>1</v>
      </c>
      <c r="J68" s="8">
        <v>300</v>
      </c>
      <c r="K68" s="8">
        <f t="shared" si="14"/>
        <v>300</v>
      </c>
      <c r="L68" s="8">
        <v>1</v>
      </c>
      <c r="M68" s="8">
        <f t="shared" si="17"/>
        <v>315</v>
      </c>
      <c r="N68" s="8">
        <v>1</v>
      </c>
      <c r="O68" s="8">
        <f t="shared" si="18"/>
        <v>330.75</v>
      </c>
      <c r="P68" s="8">
        <v>1</v>
      </c>
      <c r="Q68" s="8">
        <f t="shared" si="19"/>
        <v>347.28750000000002</v>
      </c>
      <c r="R68" s="8">
        <f t="shared" si="15"/>
        <v>1293.0374999999999</v>
      </c>
      <c r="S68" s="8">
        <v>0</v>
      </c>
      <c r="T68" s="8">
        <f t="shared" si="16"/>
        <v>1293.0374999999999</v>
      </c>
    </row>
    <row r="69" spans="1:22" ht="10.199999999999999" x14ac:dyDescent="0.35">
      <c r="A69" s="12" t="s">
        <v>133</v>
      </c>
      <c r="B69" s="12">
        <v>82401</v>
      </c>
      <c r="C69" s="43" t="s">
        <v>57</v>
      </c>
      <c r="D69" s="43" t="s">
        <v>57</v>
      </c>
      <c r="E69" s="12">
        <v>0</v>
      </c>
      <c r="F69" s="12" t="s">
        <v>134</v>
      </c>
      <c r="G69" s="12" t="s">
        <v>124</v>
      </c>
      <c r="H69" s="30" t="s">
        <v>55</v>
      </c>
      <c r="I69" s="8">
        <v>11</v>
      </c>
      <c r="J69" s="8">
        <v>105</v>
      </c>
      <c r="K69" s="8">
        <f t="shared" si="14"/>
        <v>1155</v>
      </c>
      <c r="L69" s="8">
        <v>12</v>
      </c>
      <c r="M69" s="8">
        <f t="shared" si="17"/>
        <v>1323</v>
      </c>
      <c r="N69" s="8">
        <v>12</v>
      </c>
      <c r="O69" s="8">
        <f t="shared" si="18"/>
        <v>1389.15</v>
      </c>
      <c r="P69" s="8">
        <v>10</v>
      </c>
      <c r="Q69" s="8">
        <f t="shared" si="19"/>
        <v>1215.5062500000001</v>
      </c>
      <c r="R69" s="8">
        <f t="shared" si="15"/>
        <v>5082.65625</v>
      </c>
      <c r="S69" s="8">
        <v>0</v>
      </c>
      <c r="T69" s="8">
        <f t="shared" si="16"/>
        <v>5082.65625</v>
      </c>
    </row>
    <row r="70" spans="1:22" ht="10.199999999999999" x14ac:dyDescent="0.35">
      <c r="A70" s="12" t="s">
        <v>135</v>
      </c>
      <c r="B70" s="12">
        <v>85180</v>
      </c>
      <c r="C70" s="43" t="s">
        <v>57</v>
      </c>
      <c r="D70" s="43" t="s">
        <v>57</v>
      </c>
      <c r="E70" s="12">
        <v>0</v>
      </c>
      <c r="F70" s="12" t="s">
        <v>136</v>
      </c>
      <c r="G70" s="12" t="s">
        <v>124</v>
      </c>
      <c r="H70" s="30" t="s">
        <v>55</v>
      </c>
      <c r="I70" s="8">
        <v>11</v>
      </c>
      <c r="J70" s="8">
        <v>700</v>
      </c>
      <c r="K70" s="8">
        <f t="shared" si="14"/>
        <v>7700</v>
      </c>
      <c r="L70" s="8">
        <v>12</v>
      </c>
      <c r="M70" s="8">
        <f t="shared" si="17"/>
        <v>8820</v>
      </c>
      <c r="N70" s="8">
        <v>12</v>
      </c>
      <c r="O70" s="8">
        <f t="shared" si="18"/>
        <v>9261</v>
      </c>
      <c r="P70" s="8">
        <v>11</v>
      </c>
      <c r="Q70" s="8">
        <f t="shared" si="19"/>
        <v>8913.7124999999996</v>
      </c>
      <c r="R70" s="8">
        <f t="shared" si="15"/>
        <v>34694.712500000001</v>
      </c>
      <c r="S70" s="8">
        <v>0</v>
      </c>
      <c r="T70" s="8">
        <f t="shared" si="16"/>
        <v>34694.712500000001</v>
      </c>
    </row>
    <row r="71" spans="1:22" ht="10.199999999999999" x14ac:dyDescent="0.35">
      <c r="A71" s="12" t="s">
        <v>137</v>
      </c>
      <c r="B71" s="12">
        <v>89500</v>
      </c>
      <c r="C71" s="43" t="s">
        <v>57</v>
      </c>
      <c r="D71" s="43" t="s">
        <v>57</v>
      </c>
      <c r="E71" s="12">
        <v>0</v>
      </c>
      <c r="F71" s="12" t="s">
        <v>138</v>
      </c>
      <c r="G71" s="12" t="s">
        <v>124</v>
      </c>
      <c r="H71" s="30" t="s">
        <v>130</v>
      </c>
      <c r="I71" s="8">
        <v>1</v>
      </c>
      <c r="J71" s="8">
        <v>400</v>
      </c>
      <c r="K71" s="8">
        <f t="shared" si="14"/>
        <v>400</v>
      </c>
      <c r="L71" s="8">
        <v>1</v>
      </c>
      <c r="M71" s="8">
        <f t="shared" si="17"/>
        <v>420</v>
      </c>
      <c r="N71" s="8">
        <v>1</v>
      </c>
      <c r="O71" s="8">
        <f t="shared" si="18"/>
        <v>441</v>
      </c>
      <c r="P71" s="8">
        <v>1</v>
      </c>
      <c r="Q71" s="8">
        <f t="shared" si="19"/>
        <v>463.05</v>
      </c>
      <c r="R71" s="8">
        <f t="shared" si="15"/>
        <v>1724.05</v>
      </c>
      <c r="S71" s="8">
        <v>0</v>
      </c>
      <c r="T71" s="8">
        <f t="shared" si="16"/>
        <v>1724.05</v>
      </c>
    </row>
    <row r="72" spans="1:22" ht="10.199999999999999" x14ac:dyDescent="0.35">
      <c r="A72" s="12" t="s">
        <v>139</v>
      </c>
      <c r="B72" s="12">
        <v>81010</v>
      </c>
      <c r="C72" s="43" t="s">
        <v>57</v>
      </c>
      <c r="D72" s="43" t="s">
        <v>57</v>
      </c>
      <c r="E72" s="12">
        <v>0</v>
      </c>
      <c r="F72" s="12" t="s">
        <v>140</v>
      </c>
      <c r="G72" s="12" t="s">
        <v>124</v>
      </c>
      <c r="H72" s="30" t="s">
        <v>130</v>
      </c>
      <c r="I72" s="8">
        <v>1</v>
      </c>
      <c r="J72" s="8">
        <v>1000</v>
      </c>
      <c r="K72" s="8">
        <f t="shared" si="14"/>
        <v>1000</v>
      </c>
      <c r="L72" s="8">
        <v>1</v>
      </c>
      <c r="M72" s="8">
        <f t="shared" si="17"/>
        <v>1050</v>
      </c>
      <c r="N72" s="8">
        <v>1</v>
      </c>
      <c r="O72" s="8">
        <f t="shared" si="18"/>
        <v>1102.5</v>
      </c>
      <c r="P72" s="8">
        <v>1</v>
      </c>
      <c r="Q72" s="8">
        <f t="shared" si="19"/>
        <v>1157.625</v>
      </c>
      <c r="R72" s="8">
        <f t="shared" si="15"/>
        <v>4310.125</v>
      </c>
      <c r="S72" s="8">
        <v>0</v>
      </c>
      <c r="T72" s="8">
        <f t="shared" si="16"/>
        <v>4310.125</v>
      </c>
    </row>
    <row r="73" spans="1:22" ht="10.199999999999999" x14ac:dyDescent="0.35">
      <c r="A73" s="12" t="s">
        <v>141</v>
      </c>
      <c r="B73" s="12">
        <v>86110</v>
      </c>
      <c r="C73" s="12" t="s">
        <v>122</v>
      </c>
      <c r="D73" s="12" t="s">
        <v>122</v>
      </c>
      <c r="E73" s="12">
        <v>0</v>
      </c>
      <c r="F73" s="12" t="s">
        <v>142</v>
      </c>
      <c r="G73" s="12" t="s">
        <v>124</v>
      </c>
      <c r="H73" s="30" t="s">
        <v>55</v>
      </c>
      <c r="I73" s="8">
        <v>11</v>
      </c>
      <c r="J73" s="8">
        <v>2000</v>
      </c>
      <c r="K73" s="8">
        <f t="shared" ref="K73:K74" si="20">I73*J73</f>
        <v>22000</v>
      </c>
      <c r="L73" s="8">
        <v>12</v>
      </c>
      <c r="M73" s="8">
        <f t="shared" ref="M73:M74" si="21">L73*J73*$G$10</f>
        <v>25200</v>
      </c>
      <c r="N73" s="8">
        <v>12</v>
      </c>
      <c r="O73" s="8">
        <f t="shared" ref="O73:O74" si="22">N73*J73*$G$10*$G$10</f>
        <v>26460</v>
      </c>
      <c r="P73" s="8">
        <v>11</v>
      </c>
      <c r="Q73" s="8">
        <f t="shared" ref="Q73:Q74" si="23">P73*J73*$G$10*$G$10*$G$10</f>
        <v>25467.75</v>
      </c>
      <c r="R73" s="8">
        <f t="shared" si="15"/>
        <v>99127.75</v>
      </c>
      <c r="S73" s="8">
        <v>0</v>
      </c>
      <c r="T73" s="8">
        <f t="shared" ref="T73:T74" si="24">SUM(R73:S73)</f>
        <v>99127.75</v>
      </c>
    </row>
    <row r="74" spans="1:22" ht="10.199999999999999" x14ac:dyDescent="0.35">
      <c r="A74" s="12" t="s">
        <v>143</v>
      </c>
      <c r="B74" s="12">
        <v>82420</v>
      </c>
      <c r="C74" s="43" t="s">
        <v>57</v>
      </c>
      <c r="D74" s="43" t="s">
        <v>57</v>
      </c>
      <c r="E74" s="12">
        <v>0</v>
      </c>
      <c r="F74" s="12" t="s">
        <v>144</v>
      </c>
      <c r="G74" s="12" t="s">
        <v>124</v>
      </c>
      <c r="H74" s="30" t="s">
        <v>55</v>
      </c>
      <c r="I74" s="8">
        <v>11</v>
      </c>
      <c r="J74" s="8">
        <v>40</v>
      </c>
      <c r="K74" s="8">
        <f t="shared" si="20"/>
        <v>440</v>
      </c>
      <c r="L74" s="8">
        <v>12</v>
      </c>
      <c r="M74" s="8">
        <f t="shared" si="21"/>
        <v>504</v>
      </c>
      <c r="N74" s="8">
        <v>12</v>
      </c>
      <c r="O74" s="8">
        <f t="shared" si="22"/>
        <v>529.20000000000005</v>
      </c>
      <c r="P74" s="8">
        <v>12</v>
      </c>
      <c r="Q74" s="8">
        <f t="shared" si="23"/>
        <v>555.66000000000008</v>
      </c>
      <c r="R74" s="8">
        <f t="shared" si="15"/>
        <v>2028.8600000000001</v>
      </c>
      <c r="S74" s="8">
        <v>0</v>
      </c>
      <c r="T74" s="8">
        <f t="shared" si="24"/>
        <v>2028.8600000000001</v>
      </c>
    </row>
    <row r="75" spans="1:22" ht="10.199999999999999" x14ac:dyDescent="0.35">
      <c r="A75" s="53"/>
      <c r="B75" s="53"/>
      <c r="C75" s="53"/>
      <c r="D75" s="53"/>
      <c r="E75" s="53"/>
      <c r="F75" s="53" t="s">
        <v>145</v>
      </c>
      <c r="G75" s="67"/>
      <c r="H75" s="62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</row>
    <row r="76" spans="1:22" ht="10.199999999999999" x14ac:dyDescent="0.35">
      <c r="A76" s="12" t="s">
        <v>146</v>
      </c>
      <c r="B76" s="12">
        <v>82100</v>
      </c>
      <c r="C76" s="43" t="s">
        <v>57</v>
      </c>
      <c r="D76" s="43" t="s">
        <v>57</v>
      </c>
      <c r="E76" s="12">
        <v>0</v>
      </c>
      <c r="F76" s="12" t="s">
        <v>147</v>
      </c>
      <c r="G76" s="12" t="s">
        <v>124</v>
      </c>
      <c r="H76" s="30" t="s">
        <v>130</v>
      </c>
      <c r="I76" s="8">
        <v>1</v>
      </c>
      <c r="J76" s="8">
        <v>5000</v>
      </c>
      <c r="K76" s="8">
        <f>I76*J76</f>
        <v>5000</v>
      </c>
      <c r="L76" s="8">
        <v>1</v>
      </c>
      <c r="M76" s="8">
        <f>L76*J76</f>
        <v>5000</v>
      </c>
      <c r="N76" s="8">
        <v>1</v>
      </c>
      <c r="O76" s="8">
        <f>N76*J76</f>
        <v>5000</v>
      </c>
      <c r="P76" s="8">
        <v>1</v>
      </c>
      <c r="Q76" s="8">
        <f>P76*J76</f>
        <v>5000</v>
      </c>
      <c r="R76" s="8">
        <f t="shared" si="15"/>
        <v>20000</v>
      </c>
      <c r="S76" s="8">
        <v>0</v>
      </c>
      <c r="T76" s="8">
        <f>SUM(R76:S76)</f>
        <v>20000</v>
      </c>
    </row>
    <row r="77" spans="1:22" ht="10.199999999999999" x14ac:dyDescent="0.35">
      <c r="A77" s="12" t="s">
        <v>148</v>
      </c>
      <c r="B77" s="12">
        <v>81010</v>
      </c>
      <c r="C77" s="43" t="s">
        <v>57</v>
      </c>
      <c r="D77" s="43" t="s">
        <v>57</v>
      </c>
      <c r="E77" s="12">
        <v>0</v>
      </c>
      <c r="F77" s="12" t="s">
        <v>149</v>
      </c>
      <c r="G77" s="12" t="s">
        <v>124</v>
      </c>
      <c r="H77" s="30" t="s">
        <v>130</v>
      </c>
      <c r="I77" s="8">
        <v>0</v>
      </c>
      <c r="J77" s="8">
        <v>100000</v>
      </c>
      <c r="K77" s="8">
        <f>I77*J77</f>
        <v>0</v>
      </c>
      <c r="L77" s="8">
        <v>0</v>
      </c>
      <c r="M77" s="8">
        <f>L77*J77</f>
        <v>0</v>
      </c>
      <c r="N77" s="8">
        <v>1</v>
      </c>
      <c r="O77" s="8">
        <f>N77*J77</f>
        <v>100000</v>
      </c>
      <c r="P77" s="8">
        <v>0</v>
      </c>
      <c r="Q77" s="8">
        <f>P77*J77</f>
        <v>0</v>
      </c>
      <c r="R77" s="8">
        <f t="shared" si="15"/>
        <v>100000</v>
      </c>
      <c r="S77" s="8">
        <v>0</v>
      </c>
      <c r="T77" s="8">
        <f>SUM(R77:S77)</f>
        <v>100000</v>
      </c>
    </row>
    <row r="78" spans="1:22" ht="10.199999999999999" x14ac:dyDescent="0.35">
      <c r="A78" s="53"/>
      <c r="B78" s="53"/>
      <c r="C78" s="53"/>
      <c r="D78" s="53"/>
      <c r="E78" s="53"/>
      <c r="F78" s="53" t="s">
        <v>150</v>
      </c>
      <c r="G78" s="67"/>
      <c r="H78" s="62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</row>
    <row r="79" spans="1:22" ht="10.199999999999999" x14ac:dyDescent="0.35">
      <c r="A79" s="12" t="s">
        <v>151</v>
      </c>
      <c r="B79" s="12">
        <v>89400</v>
      </c>
      <c r="C79" s="12" t="s">
        <v>122</v>
      </c>
      <c r="D79" s="12" t="s">
        <v>122</v>
      </c>
      <c r="E79" s="12">
        <v>0</v>
      </c>
      <c r="F79" s="12" t="s">
        <v>152</v>
      </c>
      <c r="G79" s="12" t="s">
        <v>124</v>
      </c>
      <c r="H79" s="329" t="s">
        <v>55</v>
      </c>
      <c r="I79" s="8">
        <v>12</v>
      </c>
      <c r="J79" s="8">
        <f>6*9</f>
        <v>54</v>
      </c>
      <c r="K79" s="8">
        <f>I79*J79</f>
        <v>648</v>
      </c>
      <c r="L79" s="8">
        <v>12</v>
      </c>
      <c r="M79" s="8">
        <f>L79*J79*$G$9</f>
        <v>667.44</v>
      </c>
      <c r="N79" s="8">
        <v>12</v>
      </c>
      <c r="O79" s="8">
        <f>N79*J79*G9*G9</f>
        <v>687.46320000000003</v>
      </c>
      <c r="P79" s="8">
        <v>12</v>
      </c>
      <c r="Q79" s="8">
        <f>P79*J79*G9*G9*G9</f>
        <v>708.08709600000009</v>
      </c>
      <c r="R79" s="8">
        <f t="shared" si="15"/>
        <v>2710.9902960000004</v>
      </c>
      <c r="S79" s="8">
        <v>0</v>
      </c>
      <c r="T79" s="8">
        <f>SUM(R79:S79)</f>
        <v>2710.9902960000004</v>
      </c>
      <c r="U79" s="22"/>
    </row>
    <row r="80" spans="1:22" ht="10.199999999999999" x14ac:dyDescent="0.35">
      <c r="F80" s="12"/>
      <c r="G80" s="12"/>
      <c r="H80" s="30"/>
    </row>
    <row r="81" spans="1:22" ht="10.8" thickBot="1" x14ac:dyDescent="0.45">
      <c r="A81" s="31"/>
      <c r="B81" s="31"/>
      <c r="C81" s="31"/>
      <c r="D81" s="31"/>
      <c r="E81" s="31"/>
      <c r="F81" s="31" t="s">
        <v>153</v>
      </c>
      <c r="G81" s="31"/>
      <c r="H81" s="18"/>
      <c r="I81" s="18"/>
      <c r="J81" s="9"/>
      <c r="K81" s="106">
        <f>SUM(K65:K79)</f>
        <v>44345.7</v>
      </c>
      <c r="L81" s="106"/>
      <c r="M81" s="106">
        <f>SUM(M65:M79)</f>
        <v>43812.26</v>
      </c>
      <c r="N81" s="106"/>
      <c r="O81" s="106">
        <f>SUM(O65:O79)</f>
        <v>145739.52419999999</v>
      </c>
      <c r="P81" s="106"/>
      <c r="Q81" s="106">
        <f>SUM(Q65:Q79)</f>
        <v>44352.735183500001</v>
      </c>
      <c r="R81" s="19">
        <f>K81+M81+O81+Q81</f>
        <v>278250.21938349999</v>
      </c>
      <c r="S81" s="106">
        <f>SUM(S65:S80)</f>
        <v>0</v>
      </c>
      <c r="T81" s="29">
        <f>SUM(R81:S81)</f>
        <v>278250.21938349999</v>
      </c>
    </row>
    <row r="82" spans="1:22" ht="10.5" x14ac:dyDescent="0.4">
      <c r="A82" s="116"/>
      <c r="B82" s="116"/>
      <c r="C82" s="116"/>
      <c r="D82" s="116"/>
      <c r="E82" s="116"/>
      <c r="F82" s="115" t="s">
        <v>154</v>
      </c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97"/>
      <c r="S82" s="88"/>
      <c r="T82" s="97"/>
      <c r="V82" s="24"/>
    </row>
    <row r="83" spans="1:22" ht="10.5" x14ac:dyDescent="0.4">
      <c r="A83" s="41"/>
      <c r="B83" s="41"/>
      <c r="C83" s="41"/>
      <c r="D83" s="41"/>
      <c r="E83" s="41"/>
      <c r="F83" s="41" t="s">
        <v>155</v>
      </c>
      <c r="G83" s="41"/>
      <c r="H83" s="38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</row>
    <row r="84" spans="1:22" ht="10.5" x14ac:dyDescent="0.4">
      <c r="A84" s="53"/>
      <c r="B84" s="53"/>
      <c r="C84" s="53"/>
      <c r="D84" s="53"/>
      <c r="E84" s="53"/>
      <c r="F84" s="53" t="s">
        <v>156</v>
      </c>
      <c r="G84" s="112"/>
      <c r="H84" s="246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</row>
    <row r="85" spans="1:22" s="22" customFormat="1" ht="10.199999999999999" x14ac:dyDescent="0.35">
      <c r="A85" s="331" t="s">
        <v>157</v>
      </c>
      <c r="B85" s="331">
        <v>89050</v>
      </c>
      <c r="C85" s="331" t="s">
        <v>57</v>
      </c>
      <c r="D85" s="331" t="s">
        <v>57</v>
      </c>
      <c r="E85" s="331" t="s">
        <v>158</v>
      </c>
      <c r="F85" s="331" t="s">
        <v>159</v>
      </c>
      <c r="G85" s="331" t="s">
        <v>160</v>
      </c>
      <c r="H85" s="331" t="s">
        <v>125</v>
      </c>
      <c r="I85" s="94"/>
      <c r="J85" s="94"/>
      <c r="K85" s="94">
        <f>'Universidad Javeriana'!G64</f>
        <v>127188.05</v>
      </c>
      <c r="L85" s="94"/>
      <c r="M85" s="94">
        <f>'Universidad Javeriana'!I64</f>
        <v>12293.009190000001</v>
      </c>
      <c r="N85" s="94"/>
      <c r="O85" s="94">
        <f>'Universidad Javeriana'!K64</f>
        <v>12127.987852200002</v>
      </c>
      <c r="P85" s="94"/>
      <c r="Q85" s="94">
        <f>'Universidad Javeriana'!M64</f>
        <v>8357.4760918440006</v>
      </c>
      <c r="R85" s="94">
        <f>K85+M85+O85+Q85</f>
        <v>159966.52313404399</v>
      </c>
      <c r="S85" s="94">
        <v>0</v>
      </c>
      <c r="T85" s="94">
        <f>R85+S85</f>
        <v>159966.52313404399</v>
      </c>
    </row>
    <row r="86" spans="1:22" s="22" customFormat="1" ht="10.199999999999999" x14ac:dyDescent="0.35">
      <c r="A86" s="331" t="s">
        <v>161</v>
      </c>
      <c r="B86" s="331">
        <v>89050</v>
      </c>
      <c r="C86" s="331" t="s">
        <v>52</v>
      </c>
      <c r="D86" s="331" t="s">
        <v>52</v>
      </c>
      <c r="E86" s="331" t="s">
        <v>162</v>
      </c>
      <c r="F86" s="331" t="s">
        <v>163</v>
      </c>
      <c r="G86" s="331" t="s">
        <v>160</v>
      </c>
      <c r="H86" s="331" t="s">
        <v>125</v>
      </c>
      <c r="I86" s="94"/>
      <c r="J86" s="94"/>
      <c r="K86" s="94">
        <f>SAI!G78</f>
        <v>86429.167542772135</v>
      </c>
      <c r="L86" s="94"/>
      <c r="M86" s="94">
        <f>SAI!I78</f>
        <v>110275.65687701464</v>
      </c>
      <c r="N86" s="94"/>
      <c r="O86" s="94">
        <f>SAI!K78</f>
        <v>89786.520136405903</v>
      </c>
      <c r="P86" s="94"/>
      <c r="Q86" s="94">
        <f>SAI!M78</f>
        <v>87336.155987653488</v>
      </c>
      <c r="R86" s="94">
        <f t="shared" ref="R86:R96" si="25">K86+M86+O86+Q86</f>
        <v>373827.50054384617</v>
      </c>
      <c r="S86" s="94">
        <v>0</v>
      </c>
      <c r="T86" s="94">
        <f>R86+S86</f>
        <v>373827.50054384617</v>
      </c>
    </row>
    <row r="87" spans="1:22" ht="10.199999999999999" x14ac:dyDescent="0.35">
      <c r="A87" s="53"/>
      <c r="B87" s="53"/>
      <c r="C87" s="53"/>
      <c r="D87" s="53"/>
      <c r="E87" s="53"/>
      <c r="F87" s="53" t="s">
        <v>164</v>
      </c>
      <c r="G87" s="101"/>
      <c r="H87" s="101"/>
      <c r="I87" s="101"/>
      <c r="J87" s="101"/>
      <c r="K87" s="101"/>
      <c r="L87" s="63"/>
      <c r="M87" s="63"/>
      <c r="N87" s="63"/>
      <c r="O87" s="63"/>
      <c r="P87" s="63"/>
      <c r="Q87" s="63"/>
      <c r="R87" s="320"/>
      <c r="S87" s="63"/>
      <c r="T87" s="63"/>
      <c r="U87" s="22"/>
    </row>
    <row r="88" spans="1:22" ht="10.199999999999999" x14ac:dyDescent="0.35">
      <c r="A88" s="12" t="s">
        <v>165</v>
      </c>
      <c r="B88" s="12">
        <v>87000</v>
      </c>
      <c r="C88" s="43" t="s">
        <v>57</v>
      </c>
      <c r="D88" s="43" t="s">
        <v>57</v>
      </c>
      <c r="E88" s="12">
        <v>0</v>
      </c>
      <c r="F88" s="12" t="s">
        <v>166</v>
      </c>
      <c r="G88" s="12" t="s">
        <v>167</v>
      </c>
      <c r="H88" s="12" t="s">
        <v>168</v>
      </c>
      <c r="I88" s="2">
        <v>4</v>
      </c>
      <c r="J88" s="2">
        <v>300</v>
      </c>
      <c r="K88" s="5">
        <f>J88*I88</f>
        <v>1200</v>
      </c>
      <c r="L88" s="8">
        <v>0</v>
      </c>
      <c r="M88" s="8">
        <f>(L88*J88)*$G$10</f>
        <v>0</v>
      </c>
      <c r="N88" s="8">
        <v>0</v>
      </c>
      <c r="O88" s="8">
        <f>N88*J88</f>
        <v>0</v>
      </c>
      <c r="P88" s="8">
        <v>0</v>
      </c>
      <c r="Q88" s="8">
        <f>P88*J88</f>
        <v>0</v>
      </c>
      <c r="R88" s="8">
        <f t="shared" si="25"/>
        <v>1200</v>
      </c>
      <c r="S88" s="8">
        <v>0</v>
      </c>
      <c r="T88" s="8">
        <f>SUM(R88:S88)</f>
        <v>1200</v>
      </c>
      <c r="U88" s="22"/>
    </row>
    <row r="89" spans="1:22" ht="10.199999999999999" x14ac:dyDescent="0.35">
      <c r="A89" s="12" t="s">
        <v>169</v>
      </c>
      <c r="B89" s="12">
        <v>81999</v>
      </c>
      <c r="C89" s="43" t="s">
        <v>57</v>
      </c>
      <c r="D89" s="43" t="s">
        <v>57</v>
      </c>
      <c r="E89" s="12">
        <v>0</v>
      </c>
      <c r="F89" s="12" t="s">
        <v>170</v>
      </c>
      <c r="G89" s="12" t="s">
        <v>160</v>
      </c>
      <c r="H89" s="12" t="s">
        <v>55</v>
      </c>
      <c r="I89" s="2">
        <v>1</v>
      </c>
      <c r="J89" s="2">
        <v>1500</v>
      </c>
      <c r="K89" s="5">
        <f>J89*I89</f>
        <v>1500</v>
      </c>
      <c r="L89" s="8">
        <v>0</v>
      </c>
      <c r="M89" s="8">
        <f>(L89*J89)*$G$10</f>
        <v>0</v>
      </c>
      <c r="N89" s="8"/>
      <c r="O89" s="8">
        <f>N89*J89</f>
        <v>0</v>
      </c>
      <c r="P89" s="8">
        <v>0</v>
      </c>
      <c r="Q89" s="8">
        <f>P89*J89</f>
        <v>0</v>
      </c>
      <c r="R89" s="8">
        <f t="shared" si="25"/>
        <v>1500</v>
      </c>
      <c r="S89" s="8">
        <v>0</v>
      </c>
      <c r="T89" s="8">
        <f>SUM(R89:S89)</f>
        <v>1500</v>
      </c>
      <c r="U89" s="22"/>
    </row>
    <row r="90" spans="1:22" ht="10.199999999999999" x14ac:dyDescent="0.35">
      <c r="A90" s="12" t="s">
        <v>171</v>
      </c>
      <c r="B90" s="12">
        <v>81021</v>
      </c>
      <c r="C90" s="43" t="s">
        <v>57</v>
      </c>
      <c r="D90" s="43" t="s">
        <v>57</v>
      </c>
      <c r="E90" s="12">
        <v>0</v>
      </c>
      <c r="F90" s="12" t="s">
        <v>172</v>
      </c>
      <c r="G90" s="2" t="s">
        <v>167</v>
      </c>
      <c r="H90" s="2" t="s">
        <v>173</v>
      </c>
      <c r="I90" s="2">
        <v>1</v>
      </c>
      <c r="J90" s="2">
        <v>1200</v>
      </c>
      <c r="K90" s="2">
        <f t="shared" ref="K90:K95" si="26">J90*I90</f>
        <v>1200</v>
      </c>
      <c r="L90" s="8">
        <v>0</v>
      </c>
      <c r="M90" s="8">
        <f>(L90*J90)*$G$10</f>
        <v>0</v>
      </c>
      <c r="N90" s="8">
        <v>0</v>
      </c>
      <c r="O90" s="8">
        <f>N90*K90</f>
        <v>0</v>
      </c>
      <c r="P90" s="8">
        <v>0</v>
      </c>
      <c r="Q90" s="8">
        <f>P90*J90</f>
        <v>0</v>
      </c>
      <c r="R90" s="8">
        <f t="shared" si="25"/>
        <v>1200</v>
      </c>
      <c r="S90" s="8">
        <v>0</v>
      </c>
      <c r="T90" s="8">
        <f t="shared" ref="T90:T96" si="27">SUM(R90:S90)</f>
        <v>1200</v>
      </c>
      <c r="U90" s="22"/>
    </row>
    <row r="91" spans="1:22" ht="10.199999999999999" x14ac:dyDescent="0.35">
      <c r="A91" s="53"/>
      <c r="B91" s="53"/>
      <c r="C91" s="53"/>
      <c r="D91" s="53"/>
      <c r="E91" s="53"/>
      <c r="F91" s="53" t="s">
        <v>174</v>
      </c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320"/>
      <c r="S91" s="101"/>
      <c r="T91" s="101"/>
    </row>
    <row r="92" spans="1:22" ht="10.199999999999999" x14ac:dyDescent="0.35">
      <c r="A92" s="12" t="s">
        <v>175</v>
      </c>
      <c r="B92" s="12">
        <v>87010</v>
      </c>
      <c r="C92" s="43" t="s">
        <v>57</v>
      </c>
      <c r="D92" s="43" t="s">
        <v>57</v>
      </c>
      <c r="E92" s="12">
        <v>0</v>
      </c>
      <c r="F92" s="12" t="s">
        <v>176</v>
      </c>
      <c r="G92" s="2" t="s">
        <v>167</v>
      </c>
      <c r="H92" s="2" t="s">
        <v>177</v>
      </c>
      <c r="I92" s="2">
        <v>2</v>
      </c>
      <c r="J92" s="2">
        <v>75</v>
      </c>
      <c r="K92" s="5">
        <f t="shared" si="26"/>
        <v>150</v>
      </c>
      <c r="L92" s="8">
        <v>8</v>
      </c>
      <c r="M92" s="8">
        <f t="shared" ref="M92:M96" si="28">(L92*J92)*$G$10</f>
        <v>630</v>
      </c>
      <c r="N92" s="8">
        <v>0</v>
      </c>
      <c r="O92" s="8">
        <f>N92*J92</f>
        <v>0</v>
      </c>
      <c r="P92" s="8">
        <v>0</v>
      </c>
      <c r="Q92" s="8">
        <f>P92*J92</f>
        <v>0</v>
      </c>
      <c r="R92" s="8">
        <f t="shared" si="25"/>
        <v>780</v>
      </c>
      <c r="S92" s="8">
        <v>0</v>
      </c>
      <c r="T92" s="8">
        <f t="shared" si="27"/>
        <v>780</v>
      </c>
      <c r="U92" s="22"/>
    </row>
    <row r="93" spans="1:22" ht="10.199999999999999" x14ac:dyDescent="0.35">
      <c r="A93" s="12" t="s">
        <v>178</v>
      </c>
      <c r="B93" s="12">
        <v>86030</v>
      </c>
      <c r="C93" s="43" t="s">
        <v>57</v>
      </c>
      <c r="D93" s="43" t="s">
        <v>57</v>
      </c>
      <c r="E93" s="12">
        <v>0</v>
      </c>
      <c r="F93" s="12" t="s">
        <v>179</v>
      </c>
      <c r="G93" s="2" t="s">
        <v>167</v>
      </c>
      <c r="H93" s="2" t="s">
        <v>177</v>
      </c>
      <c r="I93" s="8">
        <v>2</v>
      </c>
      <c r="J93" s="8">
        <v>125</v>
      </c>
      <c r="K93" s="8">
        <f t="shared" si="26"/>
        <v>250</v>
      </c>
      <c r="L93" s="8">
        <v>6</v>
      </c>
      <c r="M93" s="8">
        <f t="shared" si="28"/>
        <v>787.5</v>
      </c>
      <c r="N93" s="8">
        <v>0</v>
      </c>
      <c r="O93" s="8">
        <f>N93*K93</f>
        <v>0</v>
      </c>
      <c r="P93" s="8">
        <v>0</v>
      </c>
      <c r="Q93" s="8">
        <f>P93*J93</f>
        <v>0</v>
      </c>
      <c r="R93" s="8">
        <f t="shared" si="25"/>
        <v>1037.5</v>
      </c>
      <c r="S93" s="8">
        <v>0</v>
      </c>
      <c r="T93" s="8">
        <f t="shared" si="27"/>
        <v>1037.5</v>
      </c>
    </row>
    <row r="94" spans="1:22" ht="20.399999999999999" x14ac:dyDescent="0.35">
      <c r="A94" s="12" t="s">
        <v>180</v>
      </c>
      <c r="B94" s="12" t="s">
        <v>89</v>
      </c>
      <c r="C94" s="43" t="s">
        <v>57</v>
      </c>
      <c r="D94" s="43" t="s">
        <v>57</v>
      </c>
      <c r="E94" s="12">
        <v>0</v>
      </c>
      <c r="F94" s="12" t="s">
        <v>181</v>
      </c>
      <c r="G94" s="2" t="s">
        <v>8</v>
      </c>
      <c r="H94" s="2" t="s">
        <v>91</v>
      </c>
      <c r="I94" s="8">
        <v>6</v>
      </c>
      <c r="J94" s="8">
        <f>150+43</f>
        <v>193</v>
      </c>
      <c r="K94" s="8">
        <f t="shared" si="26"/>
        <v>1158</v>
      </c>
      <c r="L94" s="8">
        <v>12</v>
      </c>
      <c r="M94" s="8">
        <f t="shared" si="28"/>
        <v>2431.8000000000002</v>
      </c>
      <c r="N94" s="8">
        <v>0</v>
      </c>
      <c r="O94" s="8">
        <f t="shared" ref="O94:O95" si="29">N94*K94</f>
        <v>0</v>
      </c>
      <c r="P94" s="8">
        <v>0</v>
      </c>
      <c r="Q94" s="8">
        <f t="shared" ref="Q94:Q95" si="30">P94*J94</f>
        <v>0</v>
      </c>
      <c r="R94" s="8">
        <f t="shared" si="25"/>
        <v>3589.8</v>
      </c>
      <c r="S94" s="8">
        <v>0</v>
      </c>
      <c r="T94" s="8">
        <f t="shared" si="27"/>
        <v>3589.8</v>
      </c>
      <c r="U94" s="22"/>
    </row>
    <row r="95" spans="1:22" ht="10.199999999999999" x14ac:dyDescent="0.35">
      <c r="A95" s="12" t="s">
        <v>182</v>
      </c>
      <c r="B95" s="12">
        <v>86000</v>
      </c>
      <c r="C95" s="43" t="s">
        <v>57</v>
      </c>
      <c r="D95" s="43" t="s">
        <v>57</v>
      </c>
      <c r="E95" s="12">
        <v>0</v>
      </c>
      <c r="F95" s="12" t="s">
        <v>183</v>
      </c>
      <c r="G95" s="2" t="s">
        <v>8</v>
      </c>
      <c r="H95" s="2" t="s">
        <v>86</v>
      </c>
      <c r="I95" s="8">
        <v>3</v>
      </c>
      <c r="J95" s="8">
        <v>150</v>
      </c>
      <c r="K95" s="8">
        <f t="shared" si="26"/>
        <v>450</v>
      </c>
      <c r="L95" s="8">
        <v>6</v>
      </c>
      <c r="M95" s="8">
        <f t="shared" si="28"/>
        <v>945</v>
      </c>
      <c r="N95" s="8">
        <v>0</v>
      </c>
      <c r="O95" s="8">
        <f t="shared" si="29"/>
        <v>0</v>
      </c>
      <c r="P95" s="8">
        <v>0</v>
      </c>
      <c r="Q95" s="8">
        <f t="shared" si="30"/>
        <v>0</v>
      </c>
      <c r="R95" s="8">
        <f t="shared" si="25"/>
        <v>1395</v>
      </c>
      <c r="S95" s="8">
        <v>0</v>
      </c>
      <c r="T95" s="8">
        <f t="shared" si="27"/>
        <v>1395</v>
      </c>
      <c r="U95" s="22"/>
    </row>
    <row r="96" spans="1:22" ht="10.199999999999999" x14ac:dyDescent="0.35">
      <c r="A96" s="12" t="s">
        <v>184</v>
      </c>
      <c r="B96" s="12">
        <v>82420</v>
      </c>
      <c r="C96" s="43" t="s">
        <v>57</v>
      </c>
      <c r="D96" s="43" t="s">
        <v>57</v>
      </c>
      <c r="E96" s="12">
        <v>0</v>
      </c>
      <c r="F96" s="12" t="s">
        <v>185</v>
      </c>
      <c r="G96" s="2" t="s">
        <v>167</v>
      </c>
      <c r="H96" s="2" t="s">
        <v>186</v>
      </c>
      <c r="I96" s="8">
        <v>1</v>
      </c>
      <c r="J96" s="8">
        <v>300</v>
      </c>
      <c r="K96" s="8">
        <f>J96*I96</f>
        <v>300</v>
      </c>
      <c r="L96" s="8">
        <v>2</v>
      </c>
      <c r="M96" s="8">
        <f t="shared" si="28"/>
        <v>630</v>
      </c>
      <c r="N96" s="8">
        <v>0</v>
      </c>
      <c r="O96" s="8">
        <f>N96*K96</f>
        <v>0</v>
      </c>
      <c r="P96" s="8">
        <v>0</v>
      </c>
      <c r="Q96" s="8">
        <f>P96*J96</f>
        <v>0</v>
      </c>
      <c r="R96" s="8">
        <f t="shared" si="25"/>
        <v>930</v>
      </c>
      <c r="S96" s="8">
        <v>0</v>
      </c>
      <c r="T96" s="8">
        <f t="shared" si="27"/>
        <v>930</v>
      </c>
    </row>
    <row r="97" spans="1:21" ht="10.199999999999999" x14ac:dyDescent="0.35">
      <c r="A97" s="43"/>
      <c r="B97" s="43"/>
      <c r="C97" s="43"/>
      <c r="D97" s="43"/>
      <c r="E97" s="43"/>
      <c r="F97" s="2"/>
    </row>
    <row r="98" spans="1:21" ht="10.8" thickBot="1" x14ac:dyDescent="0.45">
      <c r="A98" s="31"/>
      <c r="B98" s="31"/>
      <c r="C98" s="31"/>
      <c r="D98" s="31"/>
      <c r="E98" s="31"/>
      <c r="F98" s="18" t="s">
        <v>187</v>
      </c>
      <c r="G98" s="18"/>
      <c r="H98" s="18"/>
      <c r="I98" s="26"/>
      <c r="J98" s="26"/>
      <c r="K98" s="29">
        <f>SUM(K85:K96)</f>
        <v>219825.21754277212</v>
      </c>
      <c r="L98" s="29"/>
      <c r="M98" s="29">
        <f>SUM(M85:M96)</f>
        <v>127992.96606701464</v>
      </c>
      <c r="N98" s="29"/>
      <c r="O98" s="29">
        <f>SUM(O85:O96)</f>
        <v>101914.50798860591</v>
      </c>
      <c r="P98" s="29"/>
      <c r="Q98" s="29">
        <f>SUM(Q85:Q96)</f>
        <v>95693.632079497489</v>
      </c>
      <c r="R98" s="29">
        <f>K98+M98+O98+Q98</f>
        <v>545426.32367789012</v>
      </c>
      <c r="S98" s="29">
        <f>SUM(S85:S96)</f>
        <v>0</v>
      </c>
      <c r="T98" s="29">
        <f>SUM(R98:S98)</f>
        <v>545426.32367789012</v>
      </c>
    </row>
    <row r="99" spans="1:21" ht="10.5" x14ac:dyDescent="0.35">
      <c r="A99" s="116"/>
      <c r="B99" s="116"/>
      <c r="C99" s="116"/>
      <c r="D99" s="116"/>
      <c r="E99" s="116"/>
      <c r="F99" s="116" t="s">
        <v>188</v>
      </c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97"/>
      <c r="S99" s="68"/>
      <c r="T99" s="97"/>
    </row>
    <row r="100" spans="1:21" ht="10.5" x14ac:dyDescent="0.4">
      <c r="A100" s="41"/>
      <c r="B100" s="41"/>
      <c r="C100" s="41"/>
      <c r="D100" s="41"/>
      <c r="E100" s="41"/>
      <c r="F100" s="41" t="s">
        <v>155</v>
      </c>
      <c r="G100" s="41"/>
      <c r="H100" s="38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</row>
    <row r="101" spans="1:21" s="22" customFormat="1" ht="10.5" x14ac:dyDescent="0.4">
      <c r="A101" s="53"/>
      <c r="B101" s="53"/>
      <c r="C101" s="53"/>
      <c r="D101" s="53"/>
      <c r="E101" s="53"/>
      <c r="F101" s="53" t="s">
        <v>189</v>
      </c>
      <c r="G101" s="112"/>
      <c r="H101" s="246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1:21" ht="10.199999999999999" x14ac:dyDescent="0.35">
      <c r="A102" s="331" t="s">
        <v>190</v>
      </c>
      <c r="B102" s="331">
        <v>89050</v>
      </c>
      <c r="C102" s="331" t="s">
        <v>52</v>
      </c>
      <c r="D102" s="331" t="s">
        <v>52</v>
      </c>
      <c r="E102" s="331" t="s">
        <v>162</v>
      </c>
      <c r="F102" s="331" t="s">
        <v>191</v>
      </c>
      <c r="G102" s="331" t="s">
        <v>160</v>
      </c>
      <c r="H102" s="331" t="s">
        <v>125</v>
      </c>
      <c r="I102" s="94"/>
      <c r="J102" s="94"/>
      <c r="K102" s="94">
        <f>SAI!G94</f>
        <v>32071.583771386067</v>
      </c>
      <c r="L102" s="94"/>
      <c r="M102" s="94">
        <f>SAI!I94</f>
        <v>50708.403438507317</v>
      </c>
      <c r="N102" s="94"/>
      <c r="O102" s="94">
        <f>SAI!K94</f>
        <v>47415.780068202948</v>
      </c>
      <c r="P102" s="94"/>
      <c r="Q102" s="94">
        <f>SAI!M94</f>
        <v>43668.077993826744</v>
      </c>
      <c r="R102" s="94">
        <f>K102+M102+O102+Q102</f>
        <v>173863.84527192308</v>
      </c>
      <c r="S102" s="94">
        <v>0</v>
      </c>
      <c r="T102" s="94">
        <f>R102+S102</f>
        <v>173863.84527192308</v>
      </c>
      <c r="U102" s="300"/>
    </row>
    <row r="103" spans="1:21" ht="10.199999999999999" x14ac:dyDescent="0.35">
      <c r="A103" s="331" t="s">
        <v>192</v>
      </c>
      <c r="B103" s="331">
        <v>89050</v>
      </c>
      <c r="C103" s="331" t="s">
        <v>57</v>
      </c>
      <c r="D103" s="331" t="s">
        <v>57</v>
      </c>
      <c r="E103" s="331" t="s">
        <v>158</v>
      </c>
      <c r="F103" s="331" t="s">
        <v>193</v>
      </c>
      <c r="G103" s="331" t="s">
        <v>160</v>
      </c>
      <c r="H103" s="331" t="s">
        <v>125</v>
      </c>
      <c r="I103" s="94"/>
      <c r="J103" s="94"/>
      <c r="K103" s="94">
        <f>'Universidad Javeriana'!G85</f>
        <v>22541.53</v>
      </c>
      <c r="L103" s="94"/>
      <c r="M103" s="94">
        <f>'Universidad Javeriana'!I85</f>
        <v>16236.509190000001</v>
      </c>
      <c r="N103" s="94"/>
      <c r="O103" s="94">
        <f>'Universidad Javeriana'!K85</f>
        <v>24783.487852200004</v>
      </c>
      <c r="P103" s="94"/>
      <c r="Q103" s="94">
        <f>'Universidad Javeriana'!M85</f>
        <v>14231.476091844001</v>
      </c>
      <c r="R103" s="94">
        <f t="shared" ref="R103:R121" si="31">K103+M103+O103+Q103</f>
        <v>77793.003134044004</v>
      </c>
      <c r="S103" s="94">
        <v>0</v>
      </c>
      <c r="T103" s="94">
        <f>R103+S103</f>
        <v>77793.003134044004</v>
      </c>
      <c r="U103" s="300"/>
    </row>
    <row r="104" spans="1:21" ht="10.199999999999999" x14ac:dyDescent="0.35">
      <c r="A104" s="331" t="s">
        <v>194</v>
      </c>
      <c r="B104" s="331">
        <v>89050</v>
      </c>
      <c r="C104" s="331" t="s">
        <v>57</v>
      </c>
      <c r="D104" s="331" t="s">
        <v>57</v>
      </c>
      <c r="E104" s="331" t="s">
        <v>195</v>
      </c>
      <c r="F104" s="331" t="s">
        <v>196</v>
      </c>
      <c r="G104" s="331" t="s">
        <v>160</v>
      </c>
      <c r="H104" s="331" t="s">
        <v>125</v>
      </c>
      <c r="I104" s="94"/>
      <c r="J104" s="94"/>
      <c r="K104" s="94">
        <f>'Fundación Carvajal'!F62</f>
        <v>0</v>
      </c>
      <c r="L104" s="94"/>
      <c r="M104" s="94">
        <f>'Fundación Carvajal'!H62</f>
        <v>26216.813765835002</v>
      </c>
      <c r="N104" s="94"/>
      <c r="O104" s="94">
        <f>'Fundación Carvajal'!J62</f>
        <v>18708.577426</v>
      </c>
      <c r="P104" s="94"/>
      <c r="Q104" s="94">
        <f>'Fundación Carvajal'!L62</f>
        <v>0</v>
      </c>
      <c r="R104" s="94">
        <f t="shared" si="31"/>
        <v>44925.391191835006</v>
      </c>
      <c r="S104" s="94">
        <v>0</v>
      </c>
      <c r="T104" s="94">
        <f>R104+S104</f>
        <v>44925.391191835006</v>
      </c>
      <c r="U104" s="300"/>
    </row>
    <row r="105" spans="1:21" ht="10.199999999999999" x14ac:dyDescent="0.35">
      <c r="A105" s="53"/>
      <c r="B105" s="53"/>
      <c r="C105" s="53"/>
      <c r="D105" s="53"/>
      <c r="E105" s="53"/>
      <c r="F105" s="53" t="s">
        <v>197</v>
      </c>
      <c r="G105" s="100"/>
      <c r="H105" s="248"/>
      <c r="I105" s="249"/>
      <c r="J105" s="249"/>
      <c r="K105" s="249"/>
      <c r="L105" s="249"/>
      <c r="M105" s="249"/>
      <c r="N105" s="249"/>
      <c r="O105" s="249"/>
      <c r="P105" s="249"/>
      <c r="Q105" s="249"/>
      <c r="R105" s="320"/>
      <c r="S105" s="249"/>
      <c r="T105" s="249"/>
    </row>
    <row r="106" spans="1:21" ht="10.199999999999999" x14ac:dyDescent="0.35">
      <c r="A106" s="12" t="s">
        <v>198</v>
      </c>
      <c r="B106" s="12">
        <v>81010</v>
      </c>
      <c r="C106" s="43" t="s">
        <v>57</v>
      </c>
      <c r="D106" s="43" t="s">
        <v>57</v>
      </c>
      <c r="E106" s="12">
        <v>0</v>
      </c>
      <c r="F106" s="12" t="s">
        <v>199</v>
      </c>
      <c r="G106" s="100" t="s">
        <v>167</v>
      </c>
      <c r="H106" s="100" t="s">
        <v>173</v>
      </c>
      <c r="I106" s="104">
        <v>0</v>
      </c>
      <c r="J106" s="104">
        <v>3000</v>
      </c>
      <c r="K106" s="104">
        <f t="shared" ref="K106:K107" si="32">J106*I106</f>
        <v>0</v>
      </c>
      <c r="L106" s="104">
        <v>1</v>
      </c>
      <c r="M106" s="104">
        <f t="shared" ref="M106:M107" si="33">(L106*J106)*$G$10</f>
        <v>3150</v>
      </c>
      <c r="N106" s="104">
        <v>0</v>
      </c>
      <c r="O106" s="104">
        <f>(N106*J106)*$G$10*$G$10</f>
        <v>0</v>
      </c>
      <c r="P106" s="104">
        <v>0</v>
      </c>
      <c r="Q106" s="104">
        <f t="shared" ref="Q106:Q107" si="34">P106*J106</f>
        <v>0</v>
      </c>
      <c r="R106" s="8">
        <f t="shared" si="31"/>
        <v>3150</v>
      </c>
      <c r="S106" s="104">
        <v>0</v>
      </c>
      <c r="T106" s="104">
        <f t="shared" ref="T106:T107" si="35">SUM(R106:S106)</f>
        <v>3150</v>
      </c>
    </row>
    <row r="107" spans="1:21" ht="10.199999999999999" x14ac:dyDescent="0.35">
      <c r="A107" s="12" t="s">
        <v>200</v>
      </c>
      <c r="B107" s="12">
        <v>81010</v>
      </c>
      <c r="C107" s="43" t="s">
        <v>57</v>
      </c>
      <c r="D107" s="43" t="s">
        <v>57</v>
      </c>
      <c r="E107" s="12">
        <v>0</v>
      </c>
      <c r="F107" s="12" t="s">
        <v>201</v>
      </c>
      <c r="G107" s="100" t="s">
        <v>167</v>
      </c>
      <c r="H107" s="100" t="s">
        <v>173</v>
      </c>
      <c r="I107" s="104">
        <v>1</v>
      </c>
      <c r="J107" s="104">
        <v>5000</v>
      </c>
      <c r="K107" s="104">
        <f t="shared" si="32"/>
        <v>5000</v>
      </c>
      <c r="L107" s="104">
        <v>0</v>
      </c>
      <c r="M107" s="104">
        <f t="shared" si="33"/>
        <v>0</v>
      </c>
      <c r="N107" s="104">
        <v>0</v>
      </c>
      <c r="O107" s="104">
        <f t="shared" ref="O107:O110" si="36">(N107*J107)*$G$10*$G$10</f>
        <v>0</v>
      </c>
      <c r="P107" s="104">
        <v>0</v>
      </c>
      <c r="Q107" s="104">
        <f t="shared" si="34"/>
        <v>0</v>
      </c>
      <c r="R107" s="8">
        <f t="shared" si="31"/>
        <v>5000</v>
      </c>
      <c r="S107" s="104">
        <v>0</v>
      </c>
      <c r="T107" s="104">
        <f t="shared" si="35"/>
        <v>5000</v>
      </c>
    </row>
    <row r="108" spans="1:21" ht="10.199999999999999" x14ac:dyDescent="0.35">
      <c r="A108" s="247"/>
      <c r="B108" s="247"/>
      <c r="C108" s="247"/>
      <c r="D108" s="247"/>
      <c r="E108" s="247"/>
      <c r="F108" s="247" t="s">
        <v>202</v>
      </c>
      <c r="G108" s="248"/>
      <c r="H108" s="248"/>
      <c r="I108" s="249"/>
      <c r="J108" s="249"/>
      <c r="K108" s="249"/>
      <c r="L108" s="249"/>
      <c r="M108" s="249"/>
      <c r="N108" s="249"/>
      <c r="O108" s="249"/>
      <c r="P108" s="249"/>
      <c r="Q108" s="249"/>
      <c r="R108" s="63"/>
      <c r="S108" s="249"/>
      <c r="T108" s="249"/>
    </row>
    <row r="109" spans="1:21" ht="10.199999999999999" x14ac:dyDescent="0.35">
      <c r="A109" s="12" t="s">
        <v>203</v>
      </c>
      <c r="B109" s="12">
        <v>87000</v>
      </c>
      <c r="C109" s="43" t="s">
        <v>57</v>
      </c>
      <c r="D109" s="43" t="s">
        <v>57</v>
      </c>
      <c r="E109" s="12">
        <v>0</v>
      </c>
      <c r="F109" s="12" t="s">
        <v>204</v>
      </c>
      <c r="G109" s="100" t="s">
        <v>167</v>
      </c>
      <c r="H109" s="100" t="s">
        <v>205</v>
      </c>
      <c r="I109" s="104">
        <v>0</v>
      </c>
      <c r="J109" s="104">
        <v>300</v>
      </c>
      <c r="K109" s="104">
        <f t="shared" ref="K109:K110" si="37">J109*I109</f>
        <v>0</v>
      </c>
      <c r="L109" s="104">
        <v>2</v>
      </c>
      <c r="M109" s="104">
        <f>(L109*J109)*$G$10</f>
        <v>630</v>
      </c>
      <c r="N109" s="104">
        <v>0</v>
      </c>
      <c r="O109" s="104">
        <f t="shared" si="36"/>
        <v>0</v>
      </c>
      <c r="P109" s="104">
        <v>0</v>
      </c>
      <c r="Q109" s="104">
        <f t="shared" ref="Q109:Q110" si="38">P109*J109</f>
        <v>0</v>
      </c>
      <c r="R109" s="8">
        <f t="shared" si="31"/>
        <v>630</v>
      </c>
      <c r="S109" s="104">
        <v>0</v>
      </c>
      <c r="T109" s="104">
        <f t="shared" ref="T109:T110" si="39">SUM(R109:S109)</f>
        <v>630</v>
      </c>
    </row>
    <row r="110" spans="1:21" ht="10.199999999999999" x14ac:dyDescent="0.35">
      <c r="A110" s="12" t="s">
        <v>206</v>
      </c>
      <c r="B110" s="12" t="s">
        <v>207</v>
      </c>
      <c r="C110" s="43" t="s">
        <v>57</v>
      </c>
      <c r="D110" s="43" t="s">
        <v>57</v>
      </c>
      <c r="E110" s="12">
        <v>0</v>
      </c>
      <c r="F110" s="12" t="s">
        <v>208</v>
      </c>
      <c r="G110" s="2" t="s">
        <v>167</v>
      </c>
      <c r="H110" s="2" t="s">
        <v>130</v>
      </c>
      <c r="I110" s="8">
        <v>0</v>
      </c>
      <c r="J110" s="8">
        <v>200</v>
      </c>
      <c r="K110" s="104">
        <f t="shared" si="37"/>
        <v>0</v>
      </c>
      <c r="L110" s="104">
        <v>1</v>
      </c>
      <c r="M110" s="104">
        <f t="shared" ref="M110" si="40">(L110*J110)*$G$10</f>
        <v>210</v>
      </c>
      <c r="N110" s="104">
        <v>0</v>
      </c>
      <c r="O110" s="104">
        <f t="shared" si="36"/>
        <v>0</v>
      </c>
      <c r="P110" s="104">
        <v>0</v>
      </c>
      <c r="Q110" s="104">
        <f t="shared" si="38"/>
        <v>0</v>
      </c>
      <c r="R110" s="8">
        <f t="shared" si="31"/>
        <v>210</v>
      </c>
      <c r="S110" s="104">
        <v>0</v>
      </c>
      <c r="T110" s="104">
        <f t="shared" si="39"/>
        <v>210</v>
      </c>
    </row>
    <row r="111" spans="1:21" ht="10.199999999999999" x14ac:dyDescent="0.35">
      <c r="A111" s="53"/>
      <c r="B111" s="53"/>
      <c r="C111" s="53"/>
      <c r="D111" s="53"/>
      <c r="E111" s="53"/>
      <c r="F111" s="53" t="s">
        <v>209</v>
      </c>
      <c r="G111" s="101"/>
      <c r="H111" s="101"/>
      <c r="I111" s="63"/>
      <c r="J111" s="63"/>
      <c r="K111" s="249"/>
      <c r="L111" s="249"/>
      <c r="M111" s="249"/>
      <c r="N111" s="249"/>
      <c r="O111" s="249"/>
      <c r="P111" s="249"/>
      <c r="Q111" s="249"/>
      <c r="R111" s="63"/>
      <c r="S111" s="249"/>
      <c r="T111" s="249"/>
      <c r="U111" s="22"/>
    </row>
    <row r="112" spans="1:21" ht="10.199999999999999" x14ac:dyDescent="0.35">
      <c r="A112" s="12" t="s">
        <v>210</v>
      </c>
      <c r="B112" s="12">
        <v>82420</v>
      </c>
      <c r="C112" s="43" t="s">
        <v>57</v>
      </c>
      <c r="D112" s="43" t="s">
        <v>57</v>
      </c>
      <c r="E112" s="12">
        <v>0</v>
      </c>
      <c r="F112" s="12" t="s">
        <v>211</v>
      </c>
      <c r="G112" s="2" t="s">
        <v>167</v>
      </c>
      <c r="H112" s="2" t="s">
        <v>205</v>
      </c>
      <c r="I112" s="8">
        <v>0</v>
      </c>
      <c r="J112" s="8">
        <v>300</v>
      </c>
      <c r="K112" s="104">
        <f t="shared" ref="K112:K117" si="41">J112*I112</f>
        <v>0</v>
      </c>
      <c r="L112" s="104">
        <v>1</v>
      </c>
      <c r="M112" s="104">
        <f t="shared" ref="M112:M117" si="42">(L112*J112)*$G$10</f>
        <v>315</v>
      </c>
      <c r="N112" s="104">
        <v>0</v>
      </c>
      <c r="O112" s="104">
        <f t="shared" ref="O112:O117" si="43">(N112*J112)*$G$10*$G$10</f>
        <v>0</v>
      </c>
      <c r="P112" s="104">
        <v>0</v>
      </c>
      <c r="Q112" s="104">
        <f t="shared" ref="Q112:Q117" si="44">P112*J112</f>
        <v>0</v>
      </c>
      <c r="R112" s="8">
        <f t="shared" si="31"/>
        <v>315</v>
      </c>
      <c r="S112" s="104">
        <v>0</v>
      </c>
      <c r="T112" s="104">
        <f t="shared" ref="T112:T117" si="45">SUM(R112:S112)</f>
        <v>315</v>
      </c>
    </row>
    <row r="113" spans="1:22" ht="10.199999999999999" x14ac:dyDescent="0.35">
      <c r="A113" s="12" t="s">
        <v>212</v>
      </c>
      <c r="B113" s="12">
        <v>87000</v>
      </c>
      <c r="C113" s="43" t="s">
        <v>57</v>
      </c>
      <c r="D113" s="43" t="s">
        <v>57</v>
      </c>
      <c r="E113" s="12">
        <v>0</v>
      </c>
      <c r="F113" s="12" t="s">
        <v>213</v>
      </c>
      <c r="G113" s="2" t="s">
        <v>167</v>
      </c>
      <c r="H113" s="2" t="s">
        <v>214</v>
      </c>
      <c r="I113" s="8">
        <v>0</v>
      </c>
      <c r="J113" s="8">
        <v>250</v>
      </c>
      <c r="K113" s="104">
        <f t="shared" si="41"/>
        <v>0</v>
      </c>
      <c r="L113" s="104">
        <v>4</v>
      </c>
      <c r="M113" s="104">
        <f t="shared" si="42"/>
        <v>1050</v>
      </c>
      <c r="N113" s="104">
        <v>2</v>
      </c>
      <c r="O113" s="104">
        <f t="shared" si="43"/>
        <v>551.25</v>
      </c>
      <c r="P113" s="104">
        <v>0</v>
      </c>
      <c r="Q113" s="104">
        <f t="shared" si="44"/>
        <v>0</v>
      </c>
      <c r="R113" s="8">
        <f t="shared" si="31"/>
        <v>1601.25</v>
      </c>
      <c r="S113" s="104">
        <v>0</v>
      </c>
      <c r="T113" s="104">
        <f t="shared" si="45"/>
        <v>1601.25</v>
      </c>
    </row>
    <row r="114" spans="1:22" ht="10.199999999999999" x14ac:dyDescent="0.35">
      <c r="A114" s="12" t="s">
        <v>215</v>
      </c>
      <c r="B114" s="12">
        <v>85300</v>
      </c>
      <c r="C114" s="43" t="s">
        <v>57</v>
      </c>
      <c r="D114" s="43" t="s">
        <v>57</v>
      </c>
      <c r="E114" s="12">
        <v>0</v>
      </c>
      <c r="F114" s="12" t="s">
        <v>216</v>
      </c>
      <c r="G114" s="2" t="s">
        <v>217</v>
      </c>
      <c r="H114" s="2" t="s">
        <v>214</v>
      </c>
      <c r="I114" s="8">
        <v>0</v>
      </c>
      <c r="J114" s="8">
        <v>200</v>
      </c>
      <c r="K114" s="104">
        <f t="shared" si="41"/>
        <v>0</v>
      </c>
      <c r="L114" s="104">
        <v>4</v>
      </c>
      <c r="M114" s="104">
        <f t="shared" si="42"/>
        <v>840</v>
      </c>
      <c r="N114" s="104">
        <v>2</v>
      </c>
      <c r="O114" s="104">
        <f t="shared" si="43"/>
        <v>441</v>
      </c>
      <c r="P114" s="104">
        <v>0</v>
      </c>
      <c r="Q114" s="104">
        <f t="shared" si="44"/>
        <v>0</v>
      </c>
      <c r="R114" s="8">
        <f t="shared" si="31"/>
        <v>1281</v>
      </c>
      <c r="S114" s="104">
        <v>0</v>
      </c>
      <c r="T114" s="104">
        <f t="shared" si="45"/>
        <v>1281</v>
      </c>
    </row>
    <row r="115" spans="1:22" ht="10.199999999999999" x14ac:dyDescent="0.35">
      <c r="A115" s="12" t="s">
        <v>218</v>
      </c>
      <c r="B115" s="12">
        <v>87010</v>
      </c>
      <c r="C115" s="43" t="s">
        <v>57</v>
      </c>
      <c r="D115" s="43" t="s">
        <v>57</v>
      </c>
      <c r="E115" s="12">
        <v>0</v>
      </c>
      <c r="F115" s="12" t="s">
        <v>219</v>
      </c>
      <c r="G115" s="2" t="s">
        <v>167</v>
      </c>
      <c r="H115" s="2" t="s">
        <v>177</v>
      </c>
      <c r="I115" s="8">
        <v>0</v>
      </c>
      <c r="J115" s="8">
        <v>75</v>
      </c>
      <c r="K115" s="104">
        <f t="shared" si="41"/>
        <v>0</v>
      </c>
      <c r="L115" s="104">
        <v>3</v>
      </c>
      <c r="M115" s="104">
        <f t="shared" si="42"/>
        <v>236.25</v>
      </c>
      <c r="N115" s="104">
        <v>0</v>
      </c>
      <c r="O115" s="104">
        <f t="shared" si="43"/>
        <v>0</v>
      </c>
      <c r="P115" s="104">
        <v>0</v>
      </c>
      <c r="Q115" s="104">
        <f t="shared" si="44"/>
        <v>0</v>
      </c>
      <c r="R115" s="8">
        <f t="shared" si="31"/>
        <v>236.25</v>
      </c>
      <c r="S115" s="104">
        <v>0</v>
      </c>
      <c r="T115" s="104">
        <f t="shared" si="45"/>
        <v>236.25</v>
      </c>
    </row>
    <row r="116" spans="1:22" ht="10.199999999999999" x14ac:dyDescent="0.35">
      <c r="A116" s="12" t="s">
        <v>220</v>
      </c>
      <c r="B116" s="12">
        <v>87010</v>
      </c>
      <c r="C116" s="43" t="s">
        <v>57</v>
      </c>
      <c r="D116" s="43" t="s">
        <v>57</v>
      </c>
      <c r="E116" s="12">
        <v>0</v>
      </c>
      <c r="F116" s="12" t="s">
        <v>221</v>
      </c>
      <c r="G116" s="2" t="s">
        <v>167</v>
      </c>
      <c r="H116" s="2" t="s">
        <v>177</v>
      </c>
      <c r="I116" s="8">
        <v>0</v>
      </c>
      <c r="J116" s="8">
        <v>75</v>
      </c>
      <c r="K116" s="104">
        <f t="shared" si="41"/>
        <v>0</v>
      </c>
      <c r="L116" s="104">
        <v>3</v>
      </c>
      <c r="M116" s="104">
        <f t="shared" si="42"/>
        <v>236.25</v>
      </c>
      <c r="N116" s="104">
        <v>0</v>
      </c>
      <c r="O116" s="104">
        <f t="shared" si="43"/>
        <v>0</v>
      </c>
      <c r="P116" s="104">
        <v>0</v>
      </c>
      <c r="Q116" s="104">
        <f t="shared" si="44"/>
        <v>0</v>
      </c>
      <c r="R116" s="8">
        <f t="shared" si="31"/>
        <v>236.25</v>
      </c>
      <c r="S116" s="104">
        <v>0</v>
      </c>
      <c r="T116" s="104">
        <f t="shared" si="45"/>
        <v>236.25</v>
      </c>
    </row>
    <row r="117" spans="1:22" ht="10.199999999999999" x14ac:dyDescent="0.35">
      <c r="A117" s="12" t="s">
        <v>222</v>
      </c>
      <c r="B117" s="12">
        <v>86000</v>
      </c>
      <c r="C117" s="43" t="s">
        <v>57</v>
      </c>
      <c r="D117" s="43" t="s">
        <v>57</v>
      </c>
      <c r="E117" s="12">
        <v>0</v>
      </c>
      <c r="F117" s="12" t="s">
        <v>223</v>
      </c>
      <c r="G117" s="2" t="s">
        <v>8</v>
      </c>
      <c r="H117" s="2" t="s">
        <v>177</v>
      </c>
      <c r="I117" s="8">
        <v>0</v>
      </c>
      <c r="J117" s="8">
        <v>25</v>
      </c>
      <c r="K117" s="104">
        <f t="shared" si="41"/>
        <v>0</v>
      </c>
      <c r="L117" s="104">
        <v>6</v>
      </c>
      <c r="M117" s="104">
        <f t="shared" si="42"/>
        <v>157.5</v>
      </c>
      <c r="N117" s="104">
        <v>0</v>
      </c>
      <c r="O117" s="104">
        <f t="shared" si="43"/>
        <v>0</v>
      </c>
      <c r="P117" s="104">
        <v>0</v>
      </c>
      <c r="Q117" s="104">
        <f t="shared" si="44"/>
        <v>0</v>
      </c>
      <c r="R117" s="8">
        <f t="shared" si="31"/>
        <v>157.5</v>
      </c>
      <c r="S117" s="104">
        <v>0</v>
      </c>
      <c r="T117" s="104">
        <f t="shared" si="45"/>
        <v>157.5</v>
      </c>
    </row>
    <row r="118" spans="1:22" ht="10.199999999999999" x14ac:dyDescent="0.35">
      <c r="A118" s="53"/>
      <c r="B118" s="53"/>
      <c r="C118" s="53"/>
      <c r="D118" s="53"/>
      <c r="E118" s="53"/>
      <c r="F118" s="53" t="s">
        <v>224</v>
      </c>
      <c r="G118" s="101"/>
      <c r="H118" s="101"/>
      <c r="I118" s="63"/>
      <c r="J118" s="63"/>
      <c r="K118" s="249"/>
      <c r="L118" s="249"/>
      <c r="M118" s="249"/>
      <c r="N118" s="249"/>
      <c r="O118" s="249"/>
      <c r="P118" s="249"/>
      <c r="Q118" s="249"/>
      <c r="R118" s="63"/>
      <c r="S118" s="249"/>
      <c r="T118" s="249"/>
    </row>
    <row r="119" spans="1:22" ht="10.199999999999999" x14ac:dyDescent="0.35">
      <c r="A119" s="12" t="s">
        <v>225</v>
      </c>
      <c r="B119" s="12">
        <v>87000</v>
      </c>
      <c r="C119" s="43" t="s">
        <v>57</v>
      </c>
      <c r="D119" s="43" t="s">
        <v>57</v>
      </c>
      <c r="E119" s="12">
        <v>0</v>
      </c>
      <c r="F119" s="12" t="s">
        <v>226</v>
      </c>
      <c r="G119" s="2" t="s">
        <v>167</v>
      </c>
      <c r="H119" s="2" t="s">
        <v>205</v>
      </c>
      <c r="I119" s="8">
        <v>0</v>
      </c>
      <c r="J119" s="8">
        <v>300</v>
      </c>
      <c r="K119" s="104">
        <f>J119*I119</f>
        <v>0</v>
      </c>
      <c r="L119" s="104">
        <v>1</v>
      </c>
      <c r="M119" s="104">
        <f>(L119*J119)*$G$10</f>
        <v>315</v>
      </c>
      <c r="N119" s="104">
        <v>2</v>
      </c>
      <c r="O119" s="104">
        <f>(N119*J119)*$G$10*$G$10</f>
        <v>661.5</v>
      </c>
      <c r="P119" s="104">
        <v>0</v>
      </c>
      <c r="Q119" s="104">
        <f>P119*J119</f>
        <v>0</v>
      </c>
      <c r="R119" s="8">
        <f t="shared" si="31"/>
        <v>976.5</v>
      </c>
      <c r="S119" s="104">
        <v>0</v>
      </c>
      <c r="T119" s="104">
        <f>SUM(R119:S119)</f>
        <v>976.5</v>
      </c>
    </row>
    <row r="120" spans="1:22" ht="20.399999999999999" x14ac:dyDescent="0.35">
      <c r="A120" s="12" t="s">
        <v>227</v>
      </c>
      <c r="B120" s="12">
        <v>87000</v>
      </c>
      <c r="C120" s="43" t="s">
        <v>57</v>
      </c>
      <c r="D120" s="43" t="s">
        <v>57</v>
      </c>
      <c r="E120" s="12">
        <v>0</v>
      </c>
      <c r="F120" s="12" t="s">
        <v>228</v>
      </c>
      <c r="G120" s="2" t="s">
        <v>167</v>
      </c>
      <c r="H120" s="2" t="s">
        <v>214</v>
      </c>
      <c r="I120" s="8">
        <v>0</v>
      </c>
      <c r="J120" s="8">
        <v>250</v>
      </c>
      <c r="K120" s="104">
        <f>J120*I120</f>
        <v>0</v>
      </c>
      <c r="L120" s="104">
        <v>3</v>
      </c>
      <c r="M120" s="104">
        <f>(L120*J120)*$G$10</f>
        <v>787.5</v>
      </c>
      <c r="N120" s="104">
        <v>3</v>
      </c>
      <c r="O120" s="104">
        <f>(N120*J120)*$G$10*$G$10</f>
        <v>826.875</v>
      </c>
      <c r="P120" s="104">
        <v>0</v>
      </c>
      <c r="Q120" s="104">
        <f>P120*J120</f>
        <v>0</v>
      </c>
      <c r="R120" s="8">
        <f t="shared" si="31"/>
        <v>1614.375</v>
      </c>
      <c r="S120" s="104">
        <v>0</v>
      </c>
      <c r="T120" s="104">
        <f>SUM(R120:S120)</f>
        <v>1614.375</v>
      </c>
    </row>
    <row r="121" spans="1:22" ht="10.199999999999999" x14ac:dyDescent="0.35">
      <c r="A121" s="12" t="s">
        <v>229</v>
      </c>
      <c r="B121" s="12" t="s">
        <v>207</v>
      </c>
      <c r="C121" s="43" t="s">
        <v>57</v>
      </c>
      <c r="D121" s="43" t="s">
        <v>57</v>
      </c>
      <c r="E121" s="12">
        <v>0</v>
      </c>
      <c r="F121" s="12" t="s">
        <v>216</v>
      </c>
      <c r="G121" s="2" t="s">
        <v>217</v>
      </c>
      <c r="H121" s="2" t="s">
        <v>214</v>
      </c>
      <c r="I121" s="8">
        <v>0</v>
      </c>
      <c r="J121" s="8">
        <v>200</v>
      </c>
      <c r="K121" s="104">
        <f>J121*I121</f>
        <v>0</v>
      </c>
      <c r="L121" s="104">
        <v>1</v>
      </c>
      <c r="M121" s="104">
        <f>(L121*J121)*$G$10</f>
        <v>210</v>
      </c>
      <c r="N121" s="104">
        <v>0</v>
      </c>
      <c r="O121" s="104">
        <f>(N121*J121)*$G$10*$G$10</f>
        <v>0</v>
      </c>
      <c r="P121" s="104">
        <v>0</v>
      </c>
      <c r="Q121" s="104">
        <f>P121*J121</f>
        <v>0</v>
      </c>
      <c r="R121" s="8">
        <f t="shared" si="31"/>
        <v>210</v>
      </c>
      <c r="S121" s="104">
        <v>0</v>
      </c>
      <c r="T121" s="104">
        <f>SUM(R121:S121)</f>
        <v>210</v>
      </c>
    </row>
    <row r="122" spans="1:22" ht="10.5" x14ac:dyDescent="0.4">
      <c r="F122" s="12"/>
      <c r="G122" s="100"/>
      <c r="H122" s="100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V122" s="24"/>
    </row>
    <row r="123" spans="1:22" ht="10.8" thickBot="1" x14ac:dyDescent="0.45">
      <c r="A123" s="31"/>
      <c r="B123" s="31"/>
      <c r="C123" s="31"/>
      <c r="D123" s="31"/>
      <c r="E123" s="31"/>
      <c r="F123" s="18" t="s">
        <v>230</v>
      </c>
      <c r="G123" s="18"/>
      <c r="H123" s="18"/>
      <c r="I123" s="26"/>
      <c r="J123" s="26"/>
      <c r="K123" s="29">
        <f>SUM(K102:K121)</f>
        <v>59613.113771386066</v>
      </c>
      <c r="L123" s="29"/>
      <c r="M123" s="29">
        <f>SUM(M102:M121)</f>
        <v>101299.22639434232</v>
      </c>
      <c r="N123" s="29"/>
      <c r="O123" s="29">
        <f>SUM(O102:O121)</f>
        <v>93388.470346402959</v>
      </c>
      <c r="P123" s="29"/>
      <c r="Q123" s="29">
        <f>SUM(Q102:Q121)</f>
        <v>57899.554085670745</v>
      </c>
      <c r="R123" s="29">
        <f>K123+M123+O123+Q123</f>
        <v>312200.36459780211</v>
      </c>
      <c r="S123" s="29">
        <f>SUM(S102:S121)</f>
        <v>0</v>
      </c>
      <c r="T123" s="29">
        <f>SUM(R123:S123)</f>
        <v>312200.36459780211</v>
      </c>
    </row>
    <row r="124" spans="1:22" s="22" customFormat="1" ht="10.5" x14ac:dyDescent="0.35">
      <c r="A124" s="116"/>
      <c r="B124" s="116"/>
      <c r="C124" s="116"/>
      <c r="D124" s="116"/>
      <c r="E124" s="116"/>
      <c r="F124" s="115" t="s">
        <v>231</v>
      </c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97"/>
      <c r="S124" s="88"/>
      <c r="T124" s="97"/>
    </row>
    <row r="125" spans="1:22" s="22" customFormat="1" ht="10.5" x14ac:dyDescent="0.4">
      <c r="A125" s="41"/>
      <c r="B125" s="41"/>
      <c r="C125" s="41"/>
      <c r="D125" s="41"/>
      <c r="E125" s="41"/>
      <c r="F125" s="41" t="s">
        <v>155</v>
      </c>
      <c r="G125" s="41"/>
      <c r="H125" s="38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</row>
    <row r="126" spans="1:22" s="22" customFormat="1" ht="10.5" x14ac:dyDescent="0.4">
      <c r="A126" s="53"/>
      <c r="B126" s="53"/>
      <c r="C126" s="53"/>
      <c r="D126" s="53"/>
      <c r="E126" s="53"/>
      <c r="F126" s="53" t="s">
        <v>232</v>
      </c>
      <c r="G126" s="112"/>
      <c r="H126" s="246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</row>
    <row r="127" spans="1:22" s="22" customFormat="1" ht="10.199999999999999" x14ac:dyDescent="0.35">
      <c r="A127" s="331" t="s">
        <v>233</v>
      </c>
      <c r="B127" s="331">
        <v>89050</v>
      </c>
      <c r="C127" s="331" t="s">
        <v>52</v>
      </c>
      <c r="D127" s="331" t="s">
        <v>52</v>
      </c>
      <c r="E127" s="331" t="s">
        <v>162</v>
      </c>
      <c r="F127" s="331" t="s">
        <v>234</v>
      </c>
      <c r="G127" s="331" t="s">
        <v>160</v>
      </c>
      <c r="H127" s="331" t="s">
        <v>125</v>
      </c>
      <c r="I127" s="94"/>
      <c r="J127" s="94"/>
      <c r="K127" s="94">
        <f>SAI!G114</f>
        <v>25501.067017108857</v>
      </c>
      <c r="L127" s="94"/>
      <c r="M127" s="94">
        <f>SAI!I114</f>
        <v>43861.27775080585</v>
      </c>
      <c r="N127" s="94"/>
      <c r="O127" s="94">
        <f>SAI!K114</f>
        <v>57479.736804562359</v>
      </c>
      <c r="P127" s="94"/>
      <c r="Q127" s="94">
        <f>SAI!M114</f>
        <v>56963.4803950614</v>
      </c>
      <c r="R127" s="94">
        <f>K127+M127+O127+Q127</f>
        <v>183805.56196753847</v>
      </c>
      <c r="S127" s="94">
        <v>0</v>
      </c>
      <c r="T127" s="94">
        <f>R127+S127</f>
        <v>183805.56196753847</v>
      </c>
    </row>
    <row r="128" spans="1:22" s="22" customFormat="1" ht="10.199999999999999" x14ac:dyDescent="0.35">
      <c r="A128" s="331" t="s">
        <v>235</v>
      </c>
      <c r="B128" s="331">
        <v>89050</v>
      </c>
      <c r="C128" s="331" t="s">
        <v>57</v>
      </c>
      <c r="D128" s="331" t="s">
        <v>57</v>
      </c>
      <c r="E128" s="331" t="s">
        <v>195</v>
      </c>
      <c r="F128" s="331" t="s">
        <v>236</v>
      </c>
      <c r="G128" s="331" t="s">
        <v>160</v>
      </c>
      <c r="H128" s="331" t="s">
        <v>125</v>
      </c>
      <c r="I128" s="94"/>
      <c r="J128" s="94"/>
      <c r="K128" s="94">
        <f>'Fundación Carvajal'!F85</f>
        <v>0</v>
      </c>
      <c r="L128" s="94"/>
      <c r="M128" s="94">
        <f>'Fundación Carvajal'!H85</f>
        <v>20320.060719961748</v>
      </c>
      <c r="N128" s="94"/>
      <c r="O128" s="94">
        <f>'Fundación Carvajal'!J85</f>
        <v>37031.604852000004</v>
      </c>
      <c r="P128" s="94"/>
      <c r="Q128" s="94">
        <f>'Fundación Carvajal'!L85</f>
        <v>0</v>
      </c>
      <c r="R128" s="94">
        <f t="shared" ref="R128:R141" si="46">K128+M128+O128+Q128</f>
        <v>57351.665571961756</v>
      </c>
      <c r="S128" s="94">
        <v>0</v>
      </c>
      <c r="T128" s="94">
        <f>R128+S128</f>
        <v>57351.665571961756</v>
      </c>
    </row>
    <row r="129" spans="1:22" s="22" customFormat="1" ht="10.199999999999999" x14ac:dyDescent="0.35">
      <c r="A129" s="331" t="s">
        <v>237</v>
      </c>
      <c r="B129" s="331">
        <v>89050</v>
      </c>
      <c r="C129" s="331" t="s">
        <v>57</v>
      </c>
      <c r="D129" s="331" t="s">
        <v>57</v>
      </c>
      <c r="E129" s="331" t="s">
        <v>158</v>
      </c>
      <c r="F129" s="331" t="s">
        <v>238</v>
      </c>
      <c r="G129" s="331" t="s">
        <v>160</v>
      </c>
      <c r="H129" s="331" t="s">
        <v>125</v>
      </c>
      <c r="I129" s="94"/>
      <c r="J129" s="94"/>
      <c r="K129" s="94">
        <f>'Universidad Javeriana'!G101</f>
        <v>22541.53</v>
      </c>
      <c r="L129" s="94"/>
      <c r="M129" s="94">
        <f>'Universidad Javeriana'!I101</f>
        <v>12788.009190000001</v>
      </c>
      <c r="N129" s="94"/>
      <c r="O129" s="94">
        <f>'Universidad Javeriana'!K101</f>
        <v>16868.987852200004</v>
      </c>
      <c r="P129" s="94"/>
      <c r="Q129" s="94">
        <f>'Universidad Javeriana'!M101</f>
        <v>8357.4760918440006</v>
      </c>
      <c r="R129" s="94">
        <f t="shared" si="46"/>
        <v>60556.003134044004</v>
      </c>
      <c r="S129" s="94">
        <v>0</v>
      </c>
      <c r="T129" s="94">
        <f>R129+S129</f>
        <v>60556.003134044004</v>
      </c>
    </row>
    <row r="130" spans="1:22" ht="10.199999999999999" x14ac:dyDescent="0.35">
      <c r="A130" s="53"/>
      <c r="B130" s="53"/>
      <c r="C130" s="53"/>
      <c r="D130" s="53"/>
      <c r="E130" s="53"/>
      <c r="F130" s="53" t="s">
        <v>239</v>
      </c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320"/>
      <c r="S130" s="102"/>
      <c r="T130" s="102"/>
    </row>
    <row r="131" spans="1:22" ht="10.199999999999999" x14ac:dyDescent="0.35">
      <c r="A131" s="12" t="s">
        <v>240</v>
      </c>
      <c r="B131" s="12">
        <v>81000</v>
      </c>
      <c r="C131" s="43" t="s">
        <v>57</v>
      </c>
      <c r="D131" s="43" t="s">
        <v>57</v>
      </c>
      <c r="E131" s="12">
        <v>0</v>
      </c>
      <c r="F131" s="12" t="s">
        <v>241</v>
      </c>
      <c r="G131" s="43" t="s">
        <v>167</v>
      </c>
      <c r="H131" s="12" t="s">
        <v>242</v>
      </c>
      <c r="I131" s="8">
        <v>0</v>
      </c>
      <c r="J131" s="8">
        <v>30000</v>
      </c>
      <c r="K131" s="8">
        <f>J131*I131</f>
        <v>0</v>
      </c>
      <c r="L131" s="8">
        <v>0</v>
      </c>
      <c r="M131" s="8">
        <f>L131*J131</f>
        <v>0</v>
      </c>
      <c r="N131" s="8">
        <v>1</v>
      </c>
      <c r="O131" s="8">
        <f>N131*J131</f>
        <v>30000</v>
      </c>
      <c r="P131" s="8">
        <v>1</v>
      </c>
      <c r="Q131" s="8">
        <f>P131*J131</f>
        <v>30000</v>
      </c>
      <c r="R131" s="8">
        <f t="shared" si="46"/>
        <v>60000</v>
      </c>
      <c r="S131" s="8">
        <v>0</v>
      </c>
      <c r="T131" s="8">
        <f>SUM(R131:S131)</f>
        <v>60000</v>
      </c>
    </row>
    <row r="132" spans="1:22" ht="10.199999999999999" x14ac:dyDescent="0.35">
      <c r="A132" s="53"/>
      <c r="B132" s="53"/>
      <c r="C132" s="53"/>
      <c r="D132" s="53"/>
      <c r="E132" s="53"/>
      <c r="F132" s="53" t="s">
        <v>243</v>
      </c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63"/>
      <c r="S132" s="101"/>
      <c r="T132" s="101"/>
    </row>
    <row r="133" spans="1:22" ht="10.199999999999999" x14ac:dyDescent="0.35">
      <c r="A133" s="12" t="s">
        <v>244</v>
      </c>
      <c r="B133" s="12">
        <v>81000</v>
      </c>
      <c r="C133" s="43" t="s">
        <v>57</v>
      </c>
      <c r="D133" s="43" t="s">
        <v>57</v>
      </c>
      <c r="E133" s="12">
        <v>0</v>
      </c>
      <c r="F133" s="12" t="s">
        <v>245</v>
      </c>
      <c r="G133" s="43" t="s">
        <v>167</v>
      </c>
      <c r="H133" s="12" t="s">
        <v>242</v>
      </c>
      <c r="I133" s="8">
        <v>0</v>
      </c>
      <c r="J133" s="8">
        <v>30000</v>
      </c>
      <c r="K133" s="8">
        <f>J133*I133</f>
        <v>0</v>
      </c>
      <c r="L133" s="8">
        <v>0</v>
      </c>
      <c r="M133" s="8">
        <f>L133*J133</f>
        <v>0</v>
      </c>
      <c r="N133" s="8">
        <v>1</v>
      </c>
      <c r="O133" s="8">
        <f>N133*J133</f>
        <v>30000</v>
      </c>
      <c r="P133" s="8">
        <v>1</v>
      </c>
      <c r="Q133" s="8">
        <f>P133*J133</f>
        <v>30000</v>
      </c>
      <c r="R133" s="8">
        <f t="shared" si="46"/>
        <v>60000</v>
      </c>
      <c r="S133" s="8">
        <v>0</v>
      </c>
      <c r="T133" s="8">
        <f>SUM(R133:S133)</f>
        <v>60000</v>
      </c>
    </row>
    <row r="134" spans="1:22" ht="10.199999999999999" x14ac:dyDescent="0.35">
      <c r="A134" s="67"/>
      <c r="B134" s="53"/>
      <c r="C134" s="67"/>
      <c r="D134" s="67"/>
      <c r="E134" s="67"/>
      <c r="F134" s="53" t="s">
        <v>246</v>
      </c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63"/>
      <c r="S134" s="101"/>
      <c r="T134" s="101"/>
    </row>
    <row r="135" spans="1:22" ht="10.199999999999999" x14ac:dyDescent="0.35">
      <c r="A135" s="12" t="s">
        <v>247</v>
      </c>
      <c r="B135" s="12">
        <v>81000</v>
      </c>
      <c r="C135" s="43" t="s">
        <v>57</v>
      </c>
      <c r="D135" s="43" t="s">
        <v>57</v>
      </c>
      <c r="E135" s="12">
        <v>0</v>
      </c>
      <c r="F135" s="12" t="s">
        <v>248</v>
      </c>
      <c r="G135" s="43" t="s">
        <v>167</v>
      </c>
      <c r="H135" s="12" t="s">
        <v>242</v>
      </c>
      <c r="I135" s="8">
        <v>0</v>
      </c>
      <c r="J135" s="8">
        <v>30000</v>
      </c>
      <c r="K135" s="8">
        <f>J135*I135</f>
        <v>0</v>
      </c>
      <c r="L135" s="8">
        <v>0</v>
      </c>
      <c r="M135" s="8">
        <f>L135*J135</f>
        <v>0</v>
      </c>
      <c r="N135" s="8">
        <v>1</v>
      </c>
      <c r="O135" s="8">
        <f>N135*J135</f>
        <v>30000</v>
      </c>
      <c r="P135" s="8">
        <v>1</v>
      </c>
      <c r="Q135" s="8">
        <f>P135*J135</f>
        <v>30000</v>
      </c>
      <c r="R135" s="8">
        <f t="shared" si="46"/>
        <v>60000</v>
      </c>
      <c r="S135" s="8">
        <v>0</v>
      </c>
      <c r="T135" s="8">
        <f>SUM(R135:S135)</f>
        <v>60000</v>
      </c>
    </row>
    <row r="136" spans="1:22" ht="10.199999999999999" x14ac:dyDescent="0.35">
      <c r="A136" s="53"/>
      <c r="B136" s="53"/>
      <c r="C136" s="53"/>
      <c r="D136" s="53"/>
      <c r="E136" s="53"/>
      <c r="F136" s="53" t="s">
        <v>249</v>
      </c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63"/>
      <c r="S136" s="101"/>
      <c r="T136" s="101"/>
    </row>
    <row r="137" spans="1:22" ht="10.199999999999999" x14ac:dyDescent="0.35">
      <c r="A137" s="12" t="s">
        <v>250</v>
      </c>
      <c r="B137" s="12">
        <v>87010</v>
      </c>
      <c r="C137" s="43" t="s">
        <v>57</v>
      </c>
      <c r="D137" s="43" t="s">
        <v>57</v>
      </c>
      <c r="E137" s="12">
        <v>0</v>
      </c>
      <c r="F137" s="12" t="s">
        <v>251</v>
      </c>
      <c r="G137" s="43" t="s">
        <v>167</v>
      </c>
      <c r="H137" s="12" t="s">
        <v>177</v>
      </c>
      <c r="I137" s="8">
        <v>0</v>
      </c>
      <c r="J137" s="8">
        <v>75</v>
      </c>
      <c r="K137" s="8">
        <f>J137*I137</f>
        <v>0</v>
      </c>
      <c r="L137" s="8">
        <v>2</v>
      </c>
      <c r="M137" s="8">
        <f>L137*J137</f>
        <v>150</v>
      </c>
      <c r="N137" s="8">
        <v>3</v>
      </c>
      <c r="O137" s="8">
        <f>N137*J137</f>
        <v>225</v>
      </c>
      <c r="P137" s="8">
        <v>4</v>
      </c>
      <c r="Q137" s="8">
        <f>P137*J137</f>
        <v>300</v>
      </c>
      <c r="R137" s="8">
        <f t="shared" si="46"/>
        <v>675</v>
      </c>
      <c r="S137" s="8">
        <v>0</v>
      </c>
      <c r="T137" s="8">
        <f>SUM(R137:S137)</f>
        <v>675</v>
      </c>
    </row>
    <row r="138" spans="1:22" ht="10.199999999999999" x14ac:dyDescent="0.35">
      <c r="A138" s="12" t="s">
        <v>252</v>
      </c>
      <c r="B138" s="12">
        <v>87000</v>
      </c>
      <c r="C138" s="43" t="s">
        <v>57</v>
      </c>
      <c r="D138" s="43" t="s">
        <v>57</v>
      </c>
      <c r="E138" s="12">
        <v>0</v>
      </c>
      <c r="F138" s="12" t="s">
        <v>253</v>
      </c>
      <c r="G138" s="2" t="s">
        <v>167</v>
      </c>
      <c r="H138" s="2" t="s">
        <v>205</v>
      </c>
      <c r="I138" s="8">
        <v>0</v>
      </c>
      <c r="J138" s="8">
        <v>300</v>
      </c>
      <c r="K138" s="8">
        <f>J138*I138</f>
        <v>0</v>
      </c>
      <c r="L138" s="8">
        <v>1</v>
      </c>
      <c r="M138" s="8">
        <f>L138*J138</f>
        <v>300</v>
      </c>
      <c r="N138" s="8">
        <v>1</v>
      </c>
      <c r="O138" s="8">
        <f>N138*J138</f>
        <v>300</v>
      </c>
      <c r="P138" s="8">
        <v>1</v>
      </c>
      <c r="Q138" s="8">
        <f>P138*J138</f>
        <v>300</v>
      </c>
      <c r="R138" s="8">
        <f t="shared" si="46"/>
        <v>900</v>
      </c>
      <c r="S138" s="8">
        <v>0</v>
      </c>
      <c r="T138" s="8">
        <f>SUM(R138:S138)</f>
        <v>900</v>
      </c>
    </row>
    <row r="139" spans="1:22" ht="10.199999999999999" x14ac:dyDescent="0.35">
      <c r="A139" s="67"/>
      <c r="B139" s="67"/>
      <c r="C139" s="67"/>
      <c r="D139" s="67"/>
      <c r="E139" s="67"/>
      <c r="F139" s="67" t="s">
        <v>254</v>
      </c>
      <c r="G139" s="101"/>
      <c r="H139" s="101"/>
      <c r="I139" s="63"/>
      <c r="J139" s="63"/>
      <c r="K139" s="63"/>
      <c r="L139" s="63"/>
      <c r="M139" s="63"/>
      <c r="N139" s="63"/>
      <c r="O139" s="63"/>
      <c r="P139" s="63"/>
      <c r="Q139" s="63"/>
      <c r="R139" s="320"/>
      <c r="S139" s="63"/>
      <c r="T139" s="63"/>
    </row>
    <row r="140" spans="1:22" ht="10.199999999999999" x14ac:dyDescent="0.35">
      <c r="A140" s="12" t="s">
        <v>255</v>
      </c>
      <c r="B140" s="12">
        <v>89000</v>
      </c>
      <c r="C140" s="43" t="s">
        <v>57</v>
      </c>
      <c r="D140" s="43" t="s">
        <v>57</v>
      </c>
      <c r="E140" s="12">
        <v>0</v>
      </c>
      <c r="F140" s="12" t="s">
        <v>256</v>
      </c>
      <c r="G140" s="2" t="s">
        <v>160</v>
      </c>
      <c r="H140" s="2" t="s">
        <v>125</v>
      </c>
      <c r="I140" s="8"/>
      <c r="J140" s="8"/>
      <c r="K140" s="8">
        <v>45000</v>
      </c>
      <c r="L140" s="8"/>
      <c r="M140" s="8">
        <v>45000</v>
      </c>
      <c r="N140" s="8"/>
      <c r="O140" s="8">
        <v>45000</v>
      </c>
      <c r="P140" s="8"/>
      <c r="Q140" s="8">
        <v>45000</v>
      </c>
      <c r="R140" s="8">
        <f t="shared" si="46"/>
        <v>180000</v>
      </c>
      <c r="S140" s="8">
        <v>0</v>
      </c>
      <c r="T140" s="8">
        <f t="shared" ref="T140" si="47">SUM(R140:S140)</f>
        <v>180000</v>
      </c>
      <c r="U140" s="22"/>
    </row>
    <row r="141" spans="1:22" ht="10.199999999999999" x14ac:dyDescent="0.35">
      <c r="F141" s="12"/>
      <c r="G141" s="2"/>
      <c r="H141" s="2"/>
      <c r="I141" s="8"/>
      <c r="J141" s="8"/>
      <c r="K141" s="8"/>
      <c r="L141" s="8"/>
      <c r="M141" s="8"/>
      <c r="N141" s="8"/>
      <c r="O141" s="8"/>
      <c r="P141" s="8"/>
      <c r="Q141" s="8"/>
      <c r="R141" s="94">
        <f t="shared" si="46"/>
        <v>0</v>
      </c>
      <c r="S141" s="8"/>
      <c r="T141" s="8"/>
    </row>
    <row r="142" spans="1:22" ht="10.8" thickBot="1" x14ac:dyDescent="0.45">
      <c r="A142" s="31"/>
      <c r="B142" s="31"/>
      <c r="C142" s="31"/>
      <c r="D142" s="31"/>
      <c r="E142" s="31"/>
      <c r="F142" s="18" t="s">
        <v>257</v>
      </c>
      <c r="G142" s="18"/>
      <c r="H142" s="18"/>
      <c r="I142" s="26"/>
      <c r="J142" s="26"/>
      <c r="K142" s="29">
        <f>SUM(K127:K140)</f>
        <v>93042.597017108856</v>
      </c>
      <c r="L142" s="29"/>
      <c r="M142" s="29">
        <f>SUM(M127:M140)</f>
        <v>122419.3476607676</v>
      </c>
      <c r="N142" s="29"/>
      <c r="O142" s="29">
        <f>SUM(O127:O140)</f>
        <v>246905.32950876237</v>
      </c>
      <c r="P142" s="29"/>
      <c r="Q142" s="29">
        <f>SUM(Q127:Q140)</f>
        <v>200920.9564869054</v>
      </c>
      <c r="R142" s="29">
        <f>SUM(K142+M142+O142+Q142)</f>
        <v>663288.23067354423</v>
      </c>
      <c r="S142" s="29">
        <f>SUM(S127:S140)</f>
        <v>0</v>
      </c>
      <c r="T142" s="19">
        <f>SUM(R142+S142)</f>
        <v>663288.23067354423</v>
      </c>
      <c r="V142" s="24"/>
    </row>
    <row r="143" spans="1:22" ht="10.8" thickBot="1" x14ac:dyDescent="0.45">
      <c r="A143" s="112"/>
      <c r="B143" s="112"/>
      <c r="C143" s="112"/>
      <c r="D143" s="112"/>
      <c r="E143" s="112"/>
      <c r="F143" s="72"/>
      <c r="G143" s="72"/>
      <c r="H143" s="72"/>
      <c r="I143" s="107"/>
      <c r="J143" s="107"/>
      <c r="K143" s="59"/>
      <c r="L143" s="59"/>
      <c r="M143" s="59"/>
      <c r="N143" s="59"/>
      <c r="O143" s="59"/>
      <c r="P143" s="59"/>
      <c r="Q143" s="59"/>
      <c r="R143" s="59"/>
      <c r="S143" s="59"/>
      <c r="T143" s="58"/>
    </row>
    <row r="144" spans="1:22" s="22" customFormat="1" ht="10.5" x14ac:dyDescent="0.35">
      <c r="A144" s="116"/>
      <c r="B144" s="116"/>
      <c r="C144" s="116"/>
      <c r="D144" s="116"/>
      <c r="E144" s="116"/>
      <c r="F144" s="115" t="s">
        <v>258</v>
      </c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97"/>
      <c r="S144" s="88"/>
      <c r="T144" s="97"/>
    </row>
    <row r="145" spans="1:21" s="22" customFormat="1" ht="10.5" x14ac:dyDescent="0.4">
      <c r="A145" s="41"/>
      <c r="B145" s="41"/>
      <c r="C145" s="41"/>
      <c r="D145" s="41"/>
      <c r="E145" s="41"/>
      <c r="F145" s="41" t="s">
        <v>155</v>
      </c>
      <c r="G145" s="41"/>
      <c r="H145" s="38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</row>
    <row r="146" spans="1:21" s="22" customFormat="1" ht="10.5" x14ac:dyDescent="0.4">
      <c r="A146" s="245"/>
      <c r="B146" s="245"/>
      <c r="C146" s="245"/>
      <c r="D146" s="245"/>
      <c r="E146" s="245"/>
      <c r="F146" s="245" t="s">
        <v>259</v>
      </c>
      <c r="G146" s="112"/>
      <c r="H146" s="246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1:21" s="22" customFormat="1" ht="10.199999999999999" x14ac:dyDescent="0.35">
      <c r="A147" s="331" t="s">
        <v>260</v>
      </c>
      <c r="B147" s="331">
        <v>89050</v>
      </c>
      <c r="C147" s="331" t="s">
        <v>57</v>
      </c>
      <c r="D147" s="331" t="s">
        <v>57</v>
      </c>
      <c r="E147" s="331" t="s">
        <v>158</v>
      </c>
      <c r="F147" s="331" t="s">
        <v>261</v>
      </c>
      <c r="G147" s="331" t="s">
        <v>160</v>
      </c>
      <c r="H147" s="331" t="s">
        <v>125</v>
      </c>
      <c r="I147" s="94"/>
      <c r="J147" s="94"/>
      <c r="K147" s="94">
        <f>'Universidad Javeriana'!G114</f>
        <v>18033.224000000002</v>
      </c>
      <c r="L147" s="94"/>
      <c r="M147" s="94">
        <f>'Universidad Javeriana'!I114</f>
        <v>10967.407352000002</v>
      </c>
      <c r="N147" s="94"/>
      <c r="O147" s="94">
        <f>'Universidad Javeriana'!K114</f>
        <v>13786.855281760003</v>
      </c>
      <c r="P147" s="94"/>
      <c r="Q147" s="94">
        <f>'Universidad Javeriana'!M114</f>
        <v>10892.9798234752</v>
      </c>
      <c r="R147" s="94">
        <f>K147+M147+O147+Q147</f>
        <v>53680.466457235212</v>
      </c>
      <c r="S147" s="94">
        <v>0</v>
      </c>
      <c r="T147" s="94">
        <f>R147+S147</f>
        <v>53680.466457235212</v>
      </c>
    </row>
    <row r="148" spans="1:21" s="22" customFormat="1" ht="10.199999999999999" x14ac:dyDescent="0.35">
      <c r="A148" s="331" t="s">
        <v>262</v>
      </c>
      <c r="B148" s="331">
        <v>89050</v>
      </c>
      <c r="C148" s="331" t="s">
        <v>57</v>
      </c>
      <c r="D148" s="331" t="s">
        <v>57</v>
      </c>
      <c r="E148" s="331" t="s">
        <v>195</v>
      </c>
      <c r="F148" s="331" t="s">
        <v>263</v>
      </c>
      <c r="G148" s="331" t="s">
        <v>160</v>
      </c>
      <c r="H148" s="331" t="s">
        <v>125</v>
      </c>
      <c r="I148" s="94"/>
      <c r="J148" s="94"/>
      <c r="K148" s="94">
        <f>'Fundación Carvajal'!F98</f>
        <v>0</v>
      </c>
      <c r="L148" s="94"/>
      <c r="M148" s="94">
        <f>'Fundación Carvajal'!H98</f>
        <v>8799.889227067235</v>
      </c>
      <c r="N148" s="94"/>
      <c r="O148" s="94">
        <f>'Fundación Carvajal'!J98</f>
        <v>15239.826940800003</v>
      </c>
      <c r="P148" s="94"/>
      <c r="Q148" s="94">
        <f>'Fundación Carvajal'!L98</f>
        <v>0</v>
      </c>
      <c r="R148" s="94">
        <f t="shared" ref="R148:R173" si="48">K148+M148+O148+Q148</f>
        <v>24039.716167867238</v>
      </c>
      <c r="S148" s="94">
        <v>0</v>
      </c>
      <c r="T148" s="94">
        <f>R148+S148</f>
        <v>24039.716167867238</v>
      </c>
    </row>
    <row r="149" spans="1:21" s="22" customFormat="1" ht="10.199999999999999" x14ac:dyDescent="0.35">
      <c r="A149" s="53"/>
      <c r="B149" s="53"/>
      <c r="C149" s="53"/>
      <c r="D149" s="53"/>
      <c r="E149" s="53"/>
      <c r="F149" s="53" t="s">
        <v>264</v>
      </c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320"/>
      <c r="S149" s="67"/>
      <c r="T149" s="67"/>
    </row>
    <row r="150" spans="1:21" s="22" customFormat="1" ht="10.199999999999999" x14ac:dyDescent="0.35">
      <c r="A150" s="12" t="s">
        <v>265</v>
      </c>
      <c r="B150" s="12">
        <v>87010</v>
      </c>
      <c r="C150" s="43" t="s">
        <v>57</v>
      </c>
      <c r="D150" s="43" t="s">
        <v>57</v>
      </c>
      <c r="E150" s="12">
        <v>0</v>
      </c>
      <c r="F150" s="12" t="s">
        <v>266</v>
      </c>
      <c r="G150" s="12" t="s">
        <v>167</v>
      </c>
      <c r="H150" s="12" t="s">
        <v>177</v>
      </c>
      <c r="I150" s="8">
        <v>0</v>
      </c>
      <c r="J150" s="8">
        <v>75</v>
      </c>
      <c r="K150" s="8">
        <f>J150*I150</f>
        <v>0</v>
      </c>
      <c r="L150" s="8">
        <v>0</v>
      </c>
      <c r="M150" s="8">
        <f>L150*J150</f>
        <v>0</v>
      </c>
      <c r="N150" s="8">
        <v>0</v>
      </c>
      <c r="O150" s="8">
        <f>(N150*K150)*$G$10*$G$10</f>
        <v>0</v>
      </c>
      <c r="P150" s="8">
        <v>3</v>
      </c>
      <c r="Q150" s="8">
        <f>(P150*J150)*$G$10*$G$10*$G$10</f>
        <v>260.46562499999999</v>
      </c>
      <c r="R150" s="8">
        <f t="shared" si="48"/>
        <v>260.46562499999999</v>
      </c>
      <c r="S150" s="8">
        <v>0</v>
      </c>
      <c r="T150" s="8">
        <f>SUM(R150:S150)</f>
        <v>260.46562499999999</v>
      </c>
    </row>
    <row r="151" spans="1:21" ht="10.199999999999999" x14ac:dyDescent="0.35">
      <c r="A151" s="12" t="s">
        <v>267</v>
      </c>
      <c r="B151" s="12">
        <v>81000</v>
      </c>
      <c r="C151" s="43" t="s">
        <v>57</v>
      </c>
      <c r="D151" s="43" t="s">
        <v>57</v>
      </c>
      <c r="E151" s="12">
        <v>0</v>
      </c>
      <c r="F151" s="12" t="s">
        <v>268</v>
      </c>
      <c r="G151" s="12" t="s">
        <v>160</v>
      </c>
      <c r="H151" s="12" t="s">
        <v>55</v>
      </c>
      <c r="I151" s="8">
        <v>0</v>
      </c>
      <c r="J151" s="8">
        <v>500</v>
      </c>
      <c r="K151" s="8">
        <f>J151*I151</f>
        <v>0</v>
      </c>
      <c r="L151" s="8">
        <v>0</v>
      </c>
      <c r="M151" s="8">
        <f>L151*J151</f>
        <v>0</v>
      </c>
      <c r="N151" s="8">
        <v>0</v>
      </c>
      <c r="O151" s="8">
        <f t="shared" ref="O151" si="49">(N151*K151)*$G$10*$G$10</f>
        <v>0</v>
      </c>
      <c r="P151" s="8">
        <v>1</v>
      </c>
      <c r="Q151" s="8">
        <f t="shared" ref="Q151" si="50">(P151*J151)*$G$10*$G$10*$G$10</f>
        <v>578.8125</v>
      </c>
      <c r="R151" s="8">
        <f t="shared" si="48"/>
        <v>578.8125</v>
      </c>
      <c r="S151" s="8">
        <v>0</v>
      </c>
      <c r="T151" s="8">
        <f t="shared" ref="T151" si="51">SUM(R151:S151)</f>
        <v>578.8125</v>
      </c>
    </row>
    <row r="152" spans="1:21" ht="10.199999999999999" x14ac:dyDescent="0.35">
      <c r="A152" s="12" t="s">
        <v>269</v>
      </c>
      <c r="B152" s="12">
        <v>87000</v>
      </c>
      <c r="C152" s="43" t="s">
        <v>57</v>
      </c>
      <c r="D152" s="43" t="s">
        <v>57</v>
      </c>
      <c r="E152" s="12">
        <v>0</v>
      </c>
      <c r="F152" s="12" t="s">
        <v>270</v>
      </c>
      <c r="G152" s="12" t="s">
        <v>167</v>
      </c>
      <c r="H152" s="12" t="s">
        <v>271</v>
      </c>
      <c r="I152" s="8">
        <v>0</v>
      </c>
      <c r="J152" s="8">
        <v>1500</v>
      </c>
      <c r="K152" s="8">
        <f t="shared" ref="K152:K153" si="52">J152*I152</f>
        <v>0</v>
      </c>
      <c r="L152" s="8">
        <v>0</v>
      </c>
      <c r="M152" s="8">
        <f t="shared" ref="M152:M153" si="53">L152*J152</f>
        <v>0</v>
      </c>
      <c r="N152" s="8">
        <v>0</v>
      </c>
      <c r="O152" s="8">
        <f t="shared" ref="O152:O153" si="54">(N152*K152)*$G$10*$G$10</f>
        <v>0</v>
      </c>
      <c r="P152" s="8">
        <v>1</v>
      </c>
      <c r="Q152" s="8">
        <f t="shared" ref="Q152:Q153" si="55">(P152*J152)*$G$10*$G$10*$G$10</f>
        <v>1736.4375</v>
      </c>
      <c r="R152" s="8">
        <f t="shared" si="48"/>
        <v>1736.4375</v>
      </c>
      <c r="S152" s="8">
        <v>0</v>
      </c>
      <c r="T152" s="8">
        <f t="shared" ref="T152:T153" si="56">SUM(R152:S152)</f>
        <v>1736.4375</v>
      </c>
    </row>
    <row r="153" spans="1:21" ht="10.199999999999999" x14ac:dyDescent="0.35">
      <c r="A153" s="12" t="s">
        <v>272</v>
      </c>
      <c r="B153" s="12">
        <v>86000</v>
      </c>
      <c r="C153" s="43" t="s">
        <v>57</v>
      </c>
      <c r="D153" s="43" t="s">
        <v>57</v>
      </c>
      <c r="E153" s="12">
        <v>0</v>
      </c>
      <c r="F153" s="12" t="s">
        <v>273</v>
      </c>
      <c r="G153" s="12" t="s">
        <v>8</v>
      </c>
      <c r="H153" s="12" t="s">
        <v>274</v>
      </c>
      <c r="I153" s="8">
        <v>0</v>
      </c>
      <c r="J153" s="8">
        <v>1000</v>
      </c>
      <c r="K153" s="8">
        <f t="shared" si="52"/>
        <v>0</v>
      </c>
      <c r="L153" s="8">
        <v>0</v>
      </c>
      <c r="M153" s="8">
        <f t="shared" si="53"/>
        <v>0</v>
      </c>
      <c r="N153" s="8">
        <v>0</v>
      </c>
      <c r="O153" s="8">
        <f t="shared" si="54"/>
        <v>0</v>
      </c>
      <c r="P153" s="8">
        <v>7</v>
      </c>
      <c r="Q153" s="8">
        <f t="shared" si="55"/>
        <v>8103.375</v>
      </c>
      <c r="R153" s="8">
        <f t="shared" si="48"/>
        <v>8103.375</v>
      </c>
      <c r="S153" s="8">
        <v>0</v>
      </c>
      <c r="T153" s="8">
        <f t="shared" si="56"/>
        <v>8103.375</v>
      </c>
    </row>
    <row r="154" spans="1:21" s="22" customFormat="1" ht="10.199999999999999" x14ac:dyDescent="0.35">
      <c r="A154" s="53"/>
      <c r="B154" s="53"/>
      <c r="C154" s="53"/>
      <c r="D154" s="53"/>
      <c r="E154" s="53"/>
      <c r="F154" s="53" t="s">
        <v>275</v>
      </c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320"/>
      <c r="S154" s="67"/>
      <c r="T154" s="67"/>
    </row>
    <row r="155" spans="1:21" s="22" customFormat="1" ht="10.199999999999999" x14ac:dyDescent="0.35">
      <c r="A155" s="12" t="s">
        <v>276</v>
      </c>
      <c r="B155" s="12">
        <v>82420</v>
      </c>
      <c r="C155" s="43" t="s">
        <v>57</v>
      </c>
      <c r="D155" s="43" t="s">
        <v>57</v>
      </c>
      <c r="E155" s="12">
        <v>0</v>
      </c>
      <c r="F155" s="12" t="s">
        <v>277</v>
      </c>
      <c r="G155" s="12" t="s">
        <v>167</v>
      </c>
      <c r="H155" s="12" t="s">
        <v>173</v>
      </c>
      <c r="I155" s="8">
        <v>0</v>
      </c>
      <c r="J155" s="8">
        <v>2000</v>
      </c>
      <c r="K155" s="8">
        <f>J155*I155</f>
        <v>0</v>
      </c>
      <c r="L155" s="8">
        <v>0</v>
      </c>
      <c r="M155" s="8">
        <f>L155*J155</f>
        <v>0</v>
      </c>
      <c r="N155" s="8">
        <v>0</v>
      </c>
      <c r="O155" s="8">
        <f>(N155*K155)*$G$10*$G$10</f>
        <v>0</v>
      </c>
      <c r="P155" s="8">
        <v>1</v>
      </c>
      <c r="Q155" s="8">
        <f>(P155*J155)*$G$10*$G$10*$G$10</f>
        <v>2315.25</v>
      </c>
      <c r="R155" s="8">
        <f t="shared" si="48"/>
        <v>2315.25</v>
      </c>
      <c r="S155" s="8">
        <v>0</v>
      </c>
      <c r="T155" s="8">
        <f>SUM(R155:S155)</f>
        <v>2315.25</v>
      </c>
    </row>
    <row r="156" spans="1:21" ht="10.199999999999999" x14ac:dyDescent="0.35">
      <c r="A156" s="12" t="s">
        <v>278</v>
      </c>
      <c r="B156" s="12">
        <v>82420</v>
      </c>
      <c r="C156" s="43" t="s">
        <v>57</v>
      </c>
      <c r="D156" s="43" t="s">
        <v>57</v>
      </c>
      <c r="E156" s="12">
        <v>0</v>
      </c>
      <c r="F156" s="12" t="s">
        <v>279</v>
      </c>
      <c r="G156" s="12" t="s">
        <v>167</v>
      </c>
      <c r="H156" s="12" t="s">
        <v>173</v>
      </c>
      <c r="I156" s="8">
        <v>0</v>
      </c>
      <c r="J156" s="8">
        <v>6000</v>
      </c>
      <c r="K156" s="8">
        <f>J156*I156</f>
        <v>0</v>
      </c>
      <c r="L156" s="8">
        <v>0</v>
      </c>
      <c r="M156" s="8">
        <f>L156*J156</f>
        <v>0</v>
      </c>
      <c r="N156" s="8">
        <v>0</v>
      </c>
      <c r="O156" s="8">
        <f t="shared" ref="O156:O173" si="57">(N156*K156)*$G$10*$G$10</f>
        <v>0</v>
      </c>
      <c r="P156" s="8">
        <v>1</v>
      </c>
      <c r="Q156" s="8">
        <f t="shared" ref="Q156:Q173" si="58">(P156*J156)*$G$10*$G$10*$G$10</f>
        <v>6945.75</v>
      </c>
      <c r="R156" s="8">
        <f t="shared" si="48"/>
        <v>6945.75</v>
      </c>
      <c r="S156" s="8">
        <v>0</v>
      </c>
      <c r="T156" s="8">
        <f t="shared" ref="T156:T173" si="59">SUM(R156:S156)</f>
        <v>6945.75</v>
      </c>
    </row>
    <row r="157" spans="1:21" ht="10.199999999999999" x14ac:dyDescent="0.35">
      <c r="A157" s="12" t="s">
        <v>280</v>
      </c>
      <c r="B157" s="12">
        <v>81000</v>
      </c>
      <c r="C157" s="43" t="s">
        <v>57</v>
      </c>
      <c r="D157" s="43" t="s">
        <v>57</v>
      </c>
      <c r="E157" s="12">
        <v>0</v>
      </c>
      <c r="F157" s="12" t="s">
        <v>281</v>
      </c>
      <c r="G157" s="12" t="s">
        <v>160</v>
      </c>
      <c r="H157" s="12" t="s">
        <v>55</v>
      </c>
      <c r="I157" s="8">
        <v>0</v>
      </c>
      <c r="J157" s="8">
        <v>1250</v>
      </c>
      <c r="K157" s="8">
        <f>J157*I157</f>
        <v>0</v>
      </c>
      <c r="L157" s="8">
        <v>1</v>
      </c>
      <c r="M157" s="8">
        <f>L157*J157</f>
        <v>1250</v>
      </c>
      <c r="N157" s="8">
        <v>1</v>
      </c>
      <c r="O157" s="8">
        <f>N157*J157</f>
        <v>1250</v>
      </c>
      <c r="P157" s="8">
        <v>1</v>
      </c>
      <c r="Q157" s="8">
        <f>(P157*J157)*$G$10*$G$10*$G$10</f>
        <v>1447.03125</v>
      </c>
      <c r="R157" s="8">
        <f t="shared" si="48"/>
        <v>3947.03125</v>
      </c>
      <c r="S157" s="8">
        <v>0</v>
      </c>
      <c r="T157" s="8">
        <f>SUM(R157:S157)</f>
        <v>3947.03125</v>
      </c>
    </row>
    <row r="158" spans="1:21" ht="10.199999999999999" x14ac:dyDescent="0.35">
      <c r="A158" s="12" t="s">
        <v>282</v>
      </c>
      <c r="B158" s="12">
        <v>87000</v>
      </c>
      <c r="C158" s="43" t="s">
        <v>57</v>
      </c>
      <c r="D158" s="43" t="s">
        <v>57</v>
      </c>
      <c r="E158" s="12">
        <v>0</v>
      </c>
      <c r="F158" s="12" t="s">
        <v>283</v>
      </c>
      <c r="G158" s="43" t="s">
        <v>167</v>
      </c>
      <c r="H158" s="12" t="s">
        <v>186</v>
      </c>
      <c r="I158" s="8">
        <v>1</v>
      </c>
      <c r="J158" s="8">
        <v>600</v>
      </c>
      <c r="K158" s="8">
        <f t="shared" ref="K158:K163" si="60">J158*I158</f>
        <v>600</v>
      </c>
      <c r="L158" s="8">
        <v>1</v>
      </c>
      <c r="M158" s="8">
        <f t="shared" ref="M158:M164" si="61">(L158*J158)*$G$10</f>
        <v>630</v>
      </c>
      <c r="N158" s="8">
        <v>1</v>
      </c>
      <c r="O158" s="8">
        <f t="shared" ref="O158:O164" si="62">(N158*J158)*$G$10*$G$10</f>
        <v>661.5</v>
      </c>
      <c r="P158" s="8">
        <v>1</v>
      </c>
      <c r="Q158" s="8">
        <f t="shared" ref="Q158:Q164" si="63">(P158*J158)*$G$10*$G$10*$G$10</f>
        <v>694.57500000000005</v>
      </c>
      <c r="R158" s="8">
        <f t="shared" si="48"/>
        <v>2586.0749999999998</v>
      </c>
      <c r="S158" s="8">
        <v>0</v>
      </c>
      <c r="T158" s="8">
        <f t="shared" ref="T158:T164" si="64">SUM(R158:S158)</f>
        <v>2586.0749999999998</v>
      </c>
      <c r="U158" s="22"/>
    </row>
    <row r="159" spans="1:21" ht="10.199999999999999" x14ac:dyDescent="0.35">
      <c r="A159" s="12" t="s">
        <v>284</v>
      </c>
      <c r="B159" s="12">
        <v>80402</v>
      </c>
      <c r="C159" s="43" t="s">
        <v>57</v>
      </c>
      <c r="D159" s="43" t="s">
        <v>57</v>
      </c>
      <c r="E159" s="12">
        <v>0</v>
      </c>
      <c r="F159" s="12" t="s">
        <v>285</v>
      </c>
      <c r="G159" s="43" t="s">
        <v>167</v>
      </c>
      <c r="H159" s="12" t="s">
        <v>186</v>
      </c>
      <c r="I159" s="8">
        <v>0</v>
      </c>
      <c r="J159" s="8">
        <v>600</v>
      </c>
      <c r="K159" s="8">
        <f t="shared" si="60"/>
        <v>0</v>
      </c>
      <c r="L159" s="8">
        <v>1</v>
      </c>
      <c r="M159" s="8">
        <f t="shared" si="61"/>
        <v>630</v>
      </c>
      <c r="N159" s="8">
        <v>1</v>
      </c>
      <c r="O159" s="8">
        <f t="shared" si="62"/>
        <v>661.5</v>
      </c>
      <c r="P159" s="8">
        <v>1</v>
      </c>
      <c r="Q159" s="8">
        <f t="shared" si="63"/>
        <v>694.57500000000005</v>
      </c>
      <c r="R159" s="8">
        <f t="shared" si="48"/>
        <v>1986.075</v>
      </c>
      <c r="S159" s="8">
        <v>0</v>
      </c>
      <c r="T159" s="8">
        <f t="shared" si="64"/>
        <v>1986.075</v>
      </c>
      <c r="U159" s="22"/>
    </row>
    <row r="160" spans="1:21" ht="10.199999999999999" x14ac:dyDescent="0.35">
      <c r="A160" s="12" t="s">
        <v>286</v>
      </c>
      <c r="B160" s="12">
        <v>87000</v>
      </c>
      <c r="C160" s="43" t="s">
        <v>57</v>
      </c>
      <c r="D160" s="43" t="s">
        <v>57</v>
      </c>
      <c r="E160" s="12">
        <v>0</v>
      </c>
      <c r="F160" s="12" t="s">
        <v>287</v>
      </c>
      <c r="G160" s="2" t="s">
        <v>167</v>
      </c>
      <c r="H160" s="2" t="s">
        <v>288</v>
      </c>
      <c r="I160" s="8">
        <v>0</v>
      </c>
      <c r="J160" s="8">
        <v>250</v>
      </c>
      <c r="K160" s="8">
        <f t="shared" si="60"/>
        <v>0</v>
      </c>
      <c r="L160" s="8">
        <v>4</v>
      </c>
      <c r="M160" s="8">
        <f t="shared" si="61"/>
        <v>1050</v>
      </c>
      <c r="N160" s="8">
        <v>4</v>
      </c>
      <c r="O160" s="8">
        <f t="shared" si="62"/>
        <v>1102.5</v>
      </c>
      <c r="P160" s="8">
        <v>4</v>
      </c>
      <c r="Q160" s="8">
        <f t="shared" si="63"/>
        <v>1157.625</v>
      </c>
      <c r="R160" s="8">
        <f t="shared" si="48"/>
        <v>3310.125</v>
      </c>
      <c r="S160" s="8">
        <v>0</v>
      </c>
      <c r="T160" s="8">
        <f t="shared" si="64"/>
        <v>3310.125</v>
      </c>
    </row>
    <row r="161" spans="1:21" ht="10.199999999999999" x14ac:dyDescent="0.35">
      <c r="A161" s="12" t="s">
        <v>289</v>
      </c>
      <c r="B161" s="12">
        <v>87000</v>
      </c>
      <c r="C161" s="43" t="s">
        <v>57</v>
      </c>
      <c r="D161" s="43" t="s">
        <v>57</v>
      </c>
      <c r="E161" s="12">
        <v>0</v>
      </c>
      <c r="F161" s="12" t="s">
        <v>290</v>
      </c>
      <c r="G161" s="2" t="s">
        <v>167</v>
      </c>
      <c r="H161" s="2" t="s">
        <v>288</v>
      </c>
      <c r="I161" s="8">
        <v>0</v>
      </c>
      <c r="J161" s="8">
        <v>250</v>
      </c>
      <c r="K161" s="8">
        <f t="shared" si="60"/>
        <v>0</v>
      </c>
      <c r="L161" s="8">
        <v>4</v>
      </c>
      <c r="M161" s="8">
        <f t="shared" si="61"/>
        <v>1050</v>
      </c>
      <c r="N161" s="8">
        <v>4</v>
      </c>
      <c r="O161" s="8">
        <f t="shared" si="62"/>
        <v>1102.5</v>
      </c>
      <c r="P161" s="8">
        <v>4</v>
      </c>
      <c r="Q161" s="8">
        <f t="shared" si="63"/>
        <v>1157.625</v>
      </c>
      <c r="R161" s="8">
        <f t="shared" si="48"/>
        <v>3310.125</v>
      </c>
      <c r="S161" s="8">
        <v>0</v>
      </c>
      <c r="T161" s="8">
        <f t="shared" si="64"/>
        <v>3310.125</v>
      </c>
    </row>
    <row r="162" spans="1:21" ht="10.199999999999999" x14ac:dyDescent="0.35">
      <c r="A162" s="12" t="s">
        <v>291</v>
      </c>
      <c r="B162" s="12">
        <v>81000</v>
      </c>
      <c r="C162" s="43" t="s">
        <v>57</v>
      </c>
      <c r="D162" s="43" t="s">
        <v>57</v>
      </c>
      <c r="E162" s="12">
        <v>0</v>
      </c>
      <c r="F162" s="12" t="s">
        <v>292</v>
      </c>
      <c r="G162" s="2" t="s">
        <v>160</v>
      </c>
      <c r="H162" s="2" t="s">
        <v>55</v>
      </c>
      <c r="I162" s="8">
        <v>0</v>
      </c>
      <c r="J162" s="8">
        <v>900</v>
      </c>
      <c r="K162" s="8">
        <f t="shared" si="60"/>
        <v>0</v>
      </c>
      <c r="L162" s="8">
        <v>1</v>
      </c>
      <c r="M162" s="8">
        <f t="shared" si="61"/>
        <v>945</v>
      </c>
      <c r="N162" s="8">
        <v>1</v>
      </c>
      <c r="O162" s="8">
        <f t="shared" si="62"/>
        <v>992.25</v>
      </c>
      <c r="P162" s="8">
        <v>1</v>
      </c>
      <c r="Q162" s="8">
        <f t="shared" si="63"/>
        <v>1041.8625</v>
      </c>
      <c r="R162" s="8">
        <f t="shared" si="48"/>
        <v>2979.1125000000002</v>
      </c>
      <c r="S162" s="8">
        <v>0</v>
      </c>
      <c r="T162" s="8">
        <f t="shared" si="64"/>
        <v>2979.1125000000002</v>
      </c>
    </row>
    <row r="163" spans="1:21" ht="10.199999999999999" x14ac:dyDescent="0.35">
      <c r="A163" s="12" t="s">
        <v>293</v>
      </c>
      <c r="B163" s="12" t="s">
        <v>207</v>
      </c>
      <c r="C163" s="43" t="s">
        <v>57</v>
      </c>
      <c r="D163" s="43" t="s">
        <v>57</v>
      </c>
      <c r="E163" s="12">
        <v>0</v>
      </c>
      <c r="F163" s="12" t="s">
        <v>294</v>
      </c>
      <c r="G163" s="2" t="s">
        <v>167</v>
      </c>
      <c r="H163" s="2" t="s">
        <v>288</v>
      </c>
      <c r="I163" s="8">
        <v>0</v>
      </c>
      <c r="J163" s="8">
        <v>255</v>
      </c>
      <c r="K163" s="8">
        <f t="shared" si="60"/>
        <v>0</v>
      </c>
      <c r="L163" s="8">
        <v>8</v>
      </c>
      <c r="M163" s="8">
        <f t="shared" si="61"/>
        <v>2142</v>
      </c>
      <c r="N163" s="8">
        <v>8</v>
      </c>
      <c r="O163" s="8">
        <f t="shared" si="62"/>
        <v>2249.1</v>
      </c>
      <c r="P163" s="8">
        <v>8</v>
      </c>
      <c r="Q163" s="8">
        <f t="shared" si="63"/>
        <v>2361.5549999999998</v>
      </c>
      <c r="R163" s="8">
        <f t="shared" si="48"/>
        <v>6752.6550000000007</v>
      </c>
      <c r="S163" s="8">
        <v>0</v>
      </c>
      <c r="T163" s="8">
        <f t="shared" si="64"/>
        <v>6752.6550000000007</v>
      </c>
    </row>
    <row r="164" spans="1:21" ht="10.199999999999999" x14ac:dyDescent="0.35">
      <c r="A164" s="12" t="s">
        <v>295</v>
      </c>
      <c r="B164" s="12">
        <v>86000</v>
      </c>
      <c r="C164" s="43" t="s">
        <v>57</v>
      </c>
      <c r="D164" s="43" t="s">
        <v>57</v>
      </c>
      <c r="E164" s="12">
        <v>0</v>
      </c>
      <c r="F164" s="12" t="s">
        <v>296</v>
      </c>
      <c r="G164" s="2" t="s">
        <v>167</v>
      </c>
      <c r="H164" s="2" t="s">
        <v>86</v>
      </c>
      <c r="I164" s="8">
        <v>0</v>
      </c>
      <c r="J164" s="8">
        <v>25</v>
      </c>
      <c r="K164" s="8">
        <f>J164*I164</f>
        <v>0</v>
      </c>
      <c r="L164" s="8">
        <v>16</v>
      </c>
      <c r="M164" s="8">
        <f t="shared" si="61"/>
        <v>420</v>
      </c>
      <c r="N164" s="8">
        <v>16</v>
      </c>
      <c r="O164" s="8">
        <f t="shared" si="62"/>
        <v>441</v>
      </c>
      <c r="P164" s="8">
        <v>16</v>
      </c>
      <c r="Q164" s="8">
        <f t="shared" si="63"/>
        <v>463.05</v>
      </c>
      <c r="R164" s="8">
        <f t="shared" si="48"/>
        <v>1324.05</v>
      </c>
      <c r="S164" s="8">
        <v>0</v>
      </c>
      <c r="T164" s="8">
        <f t="shared" si="64"/>
        <v>1324.05</v>
      </c>
    </row>
    <row r="165" spans="1:21" ht="10.199999999999999" x14ac:dyDescent="0.35">
      <c r="A165" s="53"/>
      <c r="B165" s="53"/>
      <c r="C165" s="53"/>
      <c r="D165" s="53"/>
      <c r="E165" s="53"/>
      <c r="F165" s="53" t="s">
        <v>297</v>
      </c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320"/>
      <c r="S165" s="102"/>
      <c r="T165" s="102"/>
    </row>
    <row r="166" spans="1:21" ht="10.199999999999999" x14ac:dyDescent="0.35">
      <c r="A166" s="12" t="s">
        <v>298</v>
      </c>
      <c r="B166" s="12">
        <v>80402</v>
      </c>
      <c r="C166" s="43" t="s">
        <v>57</v>
      </c>
      <c r="D166" s="43" t="s">
        <v>57</v>
      </c>
      <c r="E166" s="12">
        <v>0</v>
      </c>
      <c r="F166" s="12" t="s">
        <v>299</v>
      </c>
      <c r="G166" s="43" t="s">
        <v>167</v>
      </c>
      <c r="H166" s="12" t="s">
        <v>186</v>
      </c>
      <c r="I166" s="8">
        <v>1</v>
      </c>
      <c r="J166" s="8">
        <v>600</v>
      </c>
      <c r="K166" s="8">
        <f>J166*I166</f>
        <v>600</v>
      </c>
      <c r="L166" s="8">
        <v>1</v>
      </c>
      <c r="M166" s="8">
        <f>(L166*J166)*$G$10</f>
        <v>630</v>
      </c>
      <c r="N166" s="8">
        <v>1</v>
      </c>
      <c r="O166" s="8">
        <f t="shared" si="57"/>
        <v>661.5</v>
      </c>
      <c r="P166" s="8">
        <v>1</v>
      </c>
      <c r="Q166" s="8">
        <f t="shared" si="58"/>
        <v>694.57500000000005</v>
      </c>
      <c r="R166" s="8">
        <f t="shared" si="48"/>
        <v>2586.0749999999998</v>
      </c>
      <c r="S166" s="8">
        <v>0</v>
      </c>
      <c r="T166" s="8">
        <f t="shared" si="59"/>
        <v>2586.0749999999998</v>
      </c>
    </row>
    <row r="167" spans="1:21" ht="10.199999999999999" x14ac:dyDescent="0.35">
      <c r="A167" s="12" t="s">
        <v>300</v>
      </c>
      <c r="B167" s="12" t="s">
        <v>207</v>
      </c>
      <c r="C167" s="43" t="s">
        <v>57</v>
      </c>
      <c r="D167" s="43" t="s">
        <v>57</v>
      </c>
      <c r="E167" s="12">
        <v>0</v>
      </c>
      <c r="F167" s="12" t="s">
        <v>301</v>
      </c>
      <c r="G167" s="43" t="s">
        <v>167</v>
      </c>
      <c r="H167" s="12" t="s">
        <v>186</v>
      </c>
      <c r="I167" s="8">
        <v>1</v>
      </c>
      <c r="J167" s="8">
        <v>250</v>
      </c>
      <c r="K167" s="8">
        <f>J167*I167</f>
        <v>250</v>
      </c>
      <c r="L167" s="8">
        <v>1</v>
      </c>
      <c r="M167" s="8">
        <f t="shared" ref="M167:M173" si="65">(L167*J167)*$G$10</f>
        <v>262.5</v>
      </c>
      <c r="N167" s="8">
        <v>1</v>
      </c>
      <c r="O167" s="8">
        <f t="shared" si="57"/>
        <v>275.625</v>
      </c>
      <c r="P167" s="8">
        <v>1</v>
      </c>
      <c r="Q167" s="8">
        <f t="shared" si="58"/>
        <v>289.40625</v>
      </c>
      <c r="R167" s="8">
        <f t="shared" si="48"/>
        <v>1077.53125</v>
      </c>
      <c r="S167" s="8">
        <v>0</v>
      </c>
      <c r="T167" s="8">
        <f t="shared" si="59"/>
        <v>1077.53125</v>
      </c>
      <c r="U167" s="22"/>
    </row>
    <row r="168" spans="1:21" ht="10.199999999999999" x14ac:dyDescent="0.35">
      <c r="A168" s="12" t="s">
        <v>302</v>
      </c>
      <c r="B168" s="12">
        <v>87010</v>
      </c>
      <c r="C168" s="43" t="s">
        <v>57</v>
      </c>
      <c r="D168" s="43" t="s">
        <v>57</v>
      </c>
      <c r="E168" s="12">
        <v>0</v>
      </c>
      <c r="F168" s="12" t="s">
        <v>303</v>
      </c>
      <c r="G168" s="43" t="s">
        <v>167</v>
      </c>
      <c r="H168" s="12" t="s">
        <v>304</v>
      </c>
      <c r="I168" s="8">
        <v>1</v>
      </c>
      <c r="J168" s="8">
        <v>250</v>
      </c>
      <c r="K168" s="8">
        <f>J168*I168</f>
        <v>250</v>
      </c>
      <c r="L168" s="8">
        <v>2</v>
      </c>
      <c r="M168" s="8">
        <f t="shared" si="65"/>
        <v>525</v>
      </c>
      <c r="N168" s="8">
        <v>2</v>
      </c>
      <c r="O168" s="8">
        <f t="shared" si="57"/>
        <v>551.25</v>
      </c>
      <c r="P168" s="8">
        <v>2</v>
      </c>
      <c r="Q168" s="8">
        <f t="shared" si="58"/>
        <v>578.8125</v>
      </c>
      <c r="R168" s="8">
        <f t="shared" si="48"/>
        <v>1905.0625</v>
      </c>
      <c r="S168" s="8">
        <v>0</v>
      </c>
      <c r="T168" s="8">
        <f t="shared" si="59"/>
        <v>1905.0625</v>
      </c>
    </row>
    <row r="169" spans="1:21" ht="10.199999999999999" x14ac:dyDescent="0.35">
      <c r="A169" s="12" t="s">
        <v>305</v>
      </c>
      <c r="B169" s="12">
        <v>87010</v>
      </c>
      <c r="C169" s="43" t="s">
        <v>57</v>
      </c>
      <c r="D169" s="43" t="s">
        <v>57</v>
      </c>
      <c r="E169" s="12">
        <v>0</v>
      </c>
      <c r="F169" s="12" t="s">
        <v>306</v>
      </c>
      <c r="G169" s="43" t="s">
        <v>167</v>
      </c>
      <c r="H169" s="12" t="s">
        <v>307</v>
      </c>
      <c r="I169" s="8">
        <v>0</v>
      </c>
      <c r="J169" s="8">
        <v>75</v>
      </c>
      <c r="K169" s="8">
        <f>J169*I169</f>
        <v>0</v>
      </c>
      <c r="L169" s="8">
        <v>3</v>
      </c>
      <c r="M169" s="8">
        <f t="shared" ref="M169" si="66">(L169*J169)*$G$10</f>
        <v>236.25</v>
      </c>
      <c r="N169" s="8">
        <v>3</v>
      </c>
      <c r="O169" s="8">
        <f t="shared" si="57"/>
        <v>0</v>
      </c>
      <c r="P169" s="8">
        <v>3</v>
      </c>
      <c r="Q169" s="8">
        <f t="shared" si="58"/>
        <v>260.46562499999999</v>
      </c>
      <c r="R169" s="8">
        <f t="shared" si="48"/>
        <v>496.71562499999999</v>
      </c>
      <c r="S169" s="8">
        <v>0</v>
      </c>
      <c r="T169" s="8">
        <f t="shared" ref="T169" si="67">SUM(R169:S169)</f>
        <v>496.71562499999999</v>
      </c>
    </row>
    <row r="170" spans="1:21" ht="10.199999999999999" x14ac:dyDescent="0.35">
      <c r="A170" s="53"/>
      <c r="B170" s="53"/>
      <c r="C170" s="53"/>
      <c r="D170" s="53"/>
      <c r="E170" s="53"/>
      <c r="F170" s="53" t="s">
        <v>308</v>
      </c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63"/>
      <c r="S170" s="53"/>
      <c r="T170" s="53"/>
    </row>
    <row r="171" spans="1:21" ht="10.199999999999999" x14ac:dyDescent="0.35">
      <c r="A171" s="12" t="s">
        <v>309</v>
      </c>
      <c r="B171" s="12">
        <v>87010</v>
      </c>
      <c r="C171" s="43" t="s">
        <v>57</v>
      </c>
      <c r="D171" s="43" t="s">
        <v>57</v>
      </c>
      <c r="E171" s="12">
        <v>0</v>
      </c>
      <c r="F171" s="12" t="s">
        <v>310</v>
      </c>
      <c r="G171" s="2" t="s">
        <v>167</v>
      </c>
      <c r="H171" s="2" t="s">
        <v>177</v>
      </c>
      <c r="I171" s="8">
        <v>0</v>
      </c>
      <c r="J171" s="8">
        <v>75</v>
      </c>
      <c r="K171" s="8">
        <f>J171*I171</f>
        <v>0</v>
      </c>
      <c r="L171" s="8">
        <v>0</v>
      </c>
      <c r="M171" s="8">
        <f t="shared" si="65"/>
        <v>0</v>
      </c>
      <c r="N171" s="8">
        <v>0</v>
      </c>
      <c r="O171" s="8">
        <f t="shared" si="57"/>
        <v>0</v>
      </c>
      <c r="P171" s="8">
        <v>6</v>
      </c>
      <c r="Q171" s="8">
        <f t="shared" si="58"/>
        <v>520.93124999999998</v>
      </c>
      <c r="R171" s="8">
        <f t="shared" si="48"/>
        <v>520.93124999999998</v>
      </c>
      <c r="S171" s="8">
        <v>0</v>
      </c>
      <c r="T171" s="8">
        <f t="shared" si="59"/>
        <v>520.93124999999998</v>
      </c>
    </row>
    <row r="172" spans="1:21" ht="10.199999999999999" x14ac:dyDescent="0.35">
      <c r="A172" s="12" t="s">
        <v>311</v>
      </c>
      <c r="B172" s="12">
        <v>87010</v>
      </c>
      <c r="C172" s="43" t="s">
        <v>57</v>
      </c>
      <c r="D172" s="43" t="s">
        <v>57</v>
      </c>
      <c r="E172" s="12">
        <v>0</v>
      </c>
      <c r="F172" s="12" t="s">
        <v>312</v>
      </c>
      <c r="G172" s="2" t="s">
        <v>167</v>
      </c>
      <c r="H172" s="2" t="s">
        <v>177</v>
      </c>
      <c r="I172" s="8">
        <v>0</v>
      </c>
      <c r="J172" s="8">
        <v>75</v>
      </c>
      <c r="K172" s="8">
        <f>J172*I172</f>
        <v>0</v>
      </c>
      <c r="L172" s="8">
        <v>0</v>
      </c>
      <c r="M172" s="8">
        <f t="shared" si="65"/>
        <v>0</v>
      </c>
      <c r="N172" s="8">
        <v>0</v>
      </c>
      <c r="O172" s="8">
        <f t="shared" si="57"/>
        <v>0</v>
      </c>
      <c r="P172" s="8">
        <v>3</v>
      </c>
      <c r="Q172" s="8">
        <f t="shared" si="58"/>
        <v>260.46562499999999</v>
      </c>
      <c r="R172" s="8">
        <f t="shared" si="48"/>
        <v>260.46562499999999</v>
      </c>
      <c r="S172" s="8">
        <v>0</v>
      </c>
      <c r="T172" s="8">
        <f t="shared" si="59"/>
        <v>260.46562499999999</v>
      </c>
    </row>
    <row r="173" spans="1:21" ht="10.199999999999999" x14ac:dyDescent="0.35">
      <c r="A173" s="12" t="s">
        <v>313</v>
      </c>
      <c r="B173" s="12">
        <v>87000</v>
      </c>
      <c r="C173" s="43" t="s">
        <v>57</v>
      </c>
      <c r="D173" s="43" t="s">
        <v>57</v>
      </c>
      <c r="E173" s="12">
        <v>0</v>
      </c>
      <c r="F173" s="12" t="s">
        <v>314</v>
      </c>
      <c r="G173" s="2" t="s">
        <v>167</v>
      </c>
      <c r="H173" s="2" t="s">
        <v>205</v>
      </c>
      <c r="I173" s="8">
        <v>0</v>
      </c>
      <c r="J173" s="8">
        <v>388.5</v>
      </c>
      <c r="K173" s="8">
        <f>J173*I173</f>
        <v>0</v>
      </c>
      <c r="L173" s="8">
        <v>0</v>
      </c>
      <c r="M173" s="8">
        <f t="shared" si="65"/>
        <v>0</v>
      </c>
      <c r="N173" s="8">
        <v>0</v>
      </c>
      <c r="O173" s="8">
        <f t="shared" si="57"/>
        <v>0</v>
      </c>
      <c r="P173" s="8">
        <v>1</v>
      </c>
      <c r="Q173" s="8">
        <f t="shared" si="58"/>
        <v>449.73731250000003</v>
      </c>
      <c r="R173" s="8">
        <f t="shared" si="48"/>
        <v>449.73731250000003</v>
      </c>
      <c r="S173" s="8">
        <v>0</v>
      </c>
      <c r="T173" s="8">
        <f t="shared" si="59"/>
        <v>449.73731250000003</v>
      </c>
    </row>
    <row r="174" spans="1:21" ht="10.199999999999999" x14ac:dyDescent="0.35">
      <c r="F174" s="12"/>
      <c r="G174" s="2"/>
      <c r="H174" s="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1" ht="10.8" thickBot="1" x14ac:dyDescent="0.45">
      <c r="A175" s="31"/>
      <c r="B175" s="31"/>
      <c r="C175" s="31"/>
      <c r="D175" s="31"/>
      <c r="E175" s="31"/>
      <c r="F175" s="18" t="s">
        <v>315</v>
      </c>
      <c r="G175" s="18"/>
      <c r="H175" s="18"/>
      <c r="I175" s="26"/>
      <c r="J175" s="26"/>
      <c r="K175" s="29">
        <f>SUM(K147:K173)</f>
        <v>19733.224000000002</v>
      </c>
      <c r="L175" s="29"/>
      <c r="M175" s="29">
        <f>SUM(M147:M173)</f>
        <v>29538.046579067239</v>
      </c>
      <c r="N175" s="29"/>
      <c r="O175" s="29">
        <f>SUM(O147:O174)</f>
        <v>38975.407222560003</v>
      </c>
      <c r="P175" s="29"/>
      <c r="Q175" s="29">
        <f>SUM(Q147:Q173)</f>
        <v>42905.362760975193</v>
      </c>
      <c r="R175" s="29">
        <f>SUM(K175+M175+O175+Q175)</f>
        <v>131152.04056260243</v>
      </c>
      <c r="S175" s="29">
        <f>SUM(S147:S173)</f>
        <v>0</v>
      </c>
      <c r="T175" s="19">
        <f>SUM(R175+S175)</f>
        <v>131152.04056260243</v>
      </c>
      <c r="U175" s="22"/>
    </row>
    <row r="176" spans="1:21" ht="10.5" x14ac:dyDescent="0.35">
      <c r="A176" s="339"/>
      <c r="B176" s="339"/>
      <c r="C176" s="339"/>
      <c r="D176" s="339"/>
      <c r="E176" s="339"/>
      <c r="F176" s="75" t="s">
        <v>316</v>
      </c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96"/>
      <c r="S176" s="75"/>
      <c r="T176" s="96"/>
    </row>
    <row r="177" spans="1:20" ht="10.5" x14ac:dyDescent="0.4">
      <c r="A177" s="41"/>
      <c r="B177" s="41"/>
      <c r="C177" s="41"/>
      <c r="D177" s="41"/>
      <c r="E177" s="41"/>
      <c r="F177" s="35" t="s">
        <v>155</v>
      </c>
      <c r="G177" s="35"/>
      <c r="H177" s="35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40"/>
      <c r="T177" s="39"/>
    </row>
    <row r="178" spans="1:20" ht="10.5" x14ac:dyDescent="0.4">
      <c r="A178" s="53"/>
      <c r="B178" s="53"/>
      <c r="C178" s="53"/>
      <c r="D178" s="53"/>
      <c r="E178" s="53"/>
      <c r="F178" s="55" t="s">
        <v>317</v>
      </c>
      <c r="G178" s="55"/>
      <c r="H178" s="72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63"/>
      <c r="T178" s="107"/>
    </row>
    <row r="179" spans="1:20" ht="10.199999999999999" x14ac:dyDescent="0.35">
      <c r="A179" s="12" t="s">
        <v>318</v>
      </c>
      <c r="B179" s="12">
        <v>81000</v>
      </c>
      <c r="C179" s="43" t="s">
        <v>57</v>
      </c>
      <c r="D179" s="43" t="s">
        <v>57</v>
      </c>
      <c r="E179" s="12">
        <v>0</v>
      </c>
      <c r="F179" s="1" t="s">
        <v>319</v>
      </c>
      <c r="G179" s="1" t="s">
        <v>167</v>
      </c>
      <c r="H179" s="30" t="s">
        <v>91</v>
      </c>
      <c r="I179" s="8">
        <v>30</v>
      </c>
      <c r="J179" s="8">
        <v>244</v>
      </c>
      <c r="K179" s="8">
        <f>I179*J179</f>
        <v>7320</v>
      </c>
      <c r="L179" s="8">
        <v>0</v>
      </c>
      <c r="M179" s="8">
        <f>L179*J179</f>
        <v>0</v>
      </c>
      <c r="N179" s="8">
        <v>0</v>
      </c>
      <c r="O179" s="8">
        <f>N179*J179</f>
        <v>0</v>
      </c>
      <c r="P179" s="8">
        <v>0</v>
      </c>
      <c r="Q179" s="8">
        <f>P179*J179</f>
        <v>0</v>
      </c>
      <c r="R179" s="8">
        <f>K179+M179+O179+Q179</f>
        <v>7320</v>
      </c>
      <c r="S179" s="8">
        <v>0</v>
      </c>
      <c r="T179" s="8">
        <f>SUM(R179:S179)</f>
        <v>7320</v>
      </c>
    </row>
    <row r="180" spans="1:20" ht="10.199999999999999" x14ac:dyDescent="0.35">
      <c r="A180" s="53"/>
      <c r="B180" s="53"/>
      <c r="C180" s="53"/>
      <c r="D180" s="53"/>
      <c r="E180" s="53"/>
      <c r="F180" s="53" t="s">
        <v>320</v>
      </c>
      <c r="G180" s="53"/>
      <c r="H180" s="62"/>
      <c r="I180" s="61"/>
      <c r="J180" s="54"/>
      <c r="K180" s="63"/>
      <c r="L180" s="70"/>
      <c r="M180" s="63"/>
      <c r="N180" s="70"/>
      <c r="O180" s="63"/>
      <c r="P180" s="63"/>
      <c r="Q180" s="63"/>
      <c r="R180" s="63"/>
      <c r="S180" s="63"/>
      <c r="T180" s="98"/>
    </row>
    <row r="181" spans="1:20" ht="10.199999999999999" x14ac:dyDescent="0.35">
      <c r="A181" s="12" t="s">
        <v>321</v>
      </c>
      <c r="B181" s="12" t="s">
        <v>207</v>
      </c>
      <c r="C181" s="43" t="s">
        <v>57</v>
      </c>
      <c r="D181" s="43" t="s">
        <v>57</v>
      </c>
      <c r="E181" s="12">
        <v>0</v>
      </c>
      <c r="F181" s="12" t="s">
        <v>322</v>
      </c>
      <c r="G181" s="12" t="s">
        <v>167</v>
      </c>
      <c r="H181" s="30" t="s">
        <v>323</v>
      </c>
      <c r="I181" s="8">
        <v>1</v>
      </c>
      <c r="J181" s="8">
        <v>300</v>
      </c>
      <c r="K181" s="8">
        <f>I181*J181</f>
        <v>300</v>
      </c>
      <c r="L181" s="8">
        <v>0</v>
      </c>
      <c r="M181" s="8">
        <f>L181*J181</f>
        <v>0</v>
      </c>
      <c r="N181" s="8">
        <v>0</v>
      </c>
      <c r="O181" s="8">
        <f>N181*J181</f>
        <v>0</v>
      </c>
      <c r="P181" s="8">
        <v>0</v>
      </c>
      <c r="Q181" s="8">
        <f>P181*J181</f>
        <v>0</v>
      </c>
      <c r="R181" s="8">
        <f t="shared" ref="R181:R202" si="68">K181+M181+O181+Q181</f>
        <v>300</v>
      </c>
      <c r="S181" s="8" t="s">
        <v>87</v>
      </c>
      <c r="T181" s="8">
        <f>SUM(R181:S181)</f>
        <v>300</v>
      </c>
    </row>
    <row r="182" spans="1:20" ht="10.199999999999999" x14ac:dyDescent="0.35">
      <c r="A182" s="12" t="s">
        <v>324</v>
      </c>
      <c r="B182" s="12">
        <v>87000</v>
      </c>
      <c r="C182" s="43" t="s">
        <v>57</v>
      </c>
      <c r="D182" s="43" t="s">
        <v>57</v>
      </c>
      <c r="E182" s="12">
        <v>0</v>
      </c>
      <c r="F182" s="12" t="s">
        <v>325</v>
      </c>
      <c r="G182" s="12" t="s">
        <v>167</v>
      </c>
      <c r="H182" s="30" t="s">
        <v>205</v>
      </c>
      <c r="I182" s="8">
        <v>1</v>
      </c>
      <c r="J182" s="8">
        <v>300</v>
      </c>
      <c r="K182" s="8">
        <f>I182*J182</f>
        <v>300</v>
      </c>
      <c r="L182" s="8">
        <v>0</v>
      </c>
      <c r="M182" s="8">
        <f>L182*J182</f>
        <v>0</v>
      </c>
      <c r="N182" s="8">
        <v>0</v>
      </c>
      <c r="O182" s="8">
        <f>N182*J182</f>
        <v>0</v>
      </c>
      <c r="P182" s="8">
        <v>0</v>
      </c>
      <c r="Q182" s="8">
        <f>P182*J182</f>
        <v>0</v>
      </c>
      <c r="R182" s="8">
        <f t="shared" si="68"/>
        <v>300</v>
      </c>
      <c r="S182" s="8" t="s">
        <v>87</v>
      </c>
      <c r="T182" s="8">
        <f>SUM(R182:S182)</f>
        <v>300</v>
      </c>
    </row>
    <row r="183" spans="1:20" ht="10.199999999999999" x14ac:dyDescent="0.35">
      <c r="A183" s="53"/>
      <c r="B183" s="53"/>
      <c r="C183" s="53"/>
      <c r="D183" s="53"/>
      <c r="E183" s="53"/>
      <c r="F183" s="53" t="s">
        <v>326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63"/>
      <c r="S183" s="53"/>
      <c r="T183" s="53"/>
    </row>
    <row r="184" spans="1:20" ht="10.199999999999999" x14ac:dyDescent="0.35">
      <c r="A184" s="12" t="s">
        <v>327</v>
      </c>
      <c r="B184" s="12">
        <v>87000</v>
      </c>
      <c r="C184" s="43" t="s">
        <v>57</v>
      </c>
      <c r="D184" s="43" t="s">
        <v>57</v>
      </c>
      <c r="E184" s="12">
        <v>0</v>
      </c>
      <c r="F184" s="12" t="s">
        <v>328</v>
      </c>
      <c r="G184" s="12" t="s">
        <v>167</v>
      </c>
      <c r="H184" s="30" t="s">
        <v>205</v>
      </c>
      <c r="I184" s="8">
        <v>1</v>
      </c>
      <c r="J184" s="8">
        <v>300</v>
      </c>
      <c r="K184" s="8">
        <f t="shared" ref="K184:K185" si="69">I184*J184</f>
        <v>300</v>
      </c>
      <c r="L184" s="8">
        <v>0</v>
      </c>
      <c r="M184" s="8">
        <f>L184*I184</f>
        <v>0</v>
      </c>
      <c r="N184" s="8">
        <v>0</v>
      </c>
      <c r="O184" s="8">
        <f>N184*J184</f>
        <v>0</v>
      </c>
      <c r="P184" s="8">
        <v>0</v>
      </c>
      <c r="Q184" s="8">
        <f>P184*J184</f>
        <v>0</v>
      </c>
      <c r="R184" s="8">
        <f t="shared" si="68"/>
        <v>300</v>
      </c>
      <c r="S184" s="8">
        <v>0</v>
      </c>
      <c r="T184" s="8">
        <f>SUM(R184:S184)</f>
        <v>300</v>
      </c>
    </row>
    <row r="185" spans="1:20" ht="10.199999999999999" x14ac:dyDescent="0.35">
      <c r="A185" s="12" t="s">
        <v>329</v>
      </c>
      <c r="B185" s="12">
        <v>81021</v>
      </c>
      <c r="C185" s="43" t="s">
        <v>57</v>
      </c>
      <c r="D185" s="43" t="s">
        <v>57</v>
      </c>
      <c r="E185" s="12">
        <v>0</v>
      </c>
      <c r="F185" s="12" t="s">
        <v>172</v>
      </c>
      <c r="G185" s="12" t="s">
        <v>167</v>
      </c>
      <c r="H185" s="30" t="s">
        <v>323</v>
      </c>
      <c r="I185" s="8">
        <v>1</v>
      </c>
      <c r="J185" s="8">
        <v>2000</v>
      </c>
      <c r="K185" s="8">
        <f t="shared" si="69"/>
        <v>2000</v>
      </c>
      <c r="L185" s="8">
        <v>0</v>
      </c>
      <c r="M185" s="8">
        <f>L185*I185</f>
        <v>0</v>
      </c>
      <c r="N185" s="8">
        <v>0</v>
      </c>
      <c r="O185" s="8">
        <f>N185*J185</f>
        <v>0</v>
      </c>
      <c r="P185" s="8">
        <v>0</v>
      </c>
      <c r="Q185" s="8">
        <f>P185*J185</f>
        <v>0</v>
      </c>
      <c r="R185" s="8">
        <f t="shared" si="68"/>
        <v>2000</v>
      </c>
      <c r="S185" s="8" t="s">
        <v>87</v>
      </c>
      <c r="T185" s="8">
        <f>SUM(R185:S185)</f>
        <v>2000</v>
      </c>
    </row>
    <row r="186" spans="1:20" ht="10.199999999999999" x14ac:dyDescent="0.35">
      <c r="A186" s="53"/>
      <c r="B186" s="53"/>
      <c r="C186" s="53"/>
      <c r="D186" s="53"/>
      <c r="E186" s="53"/>
      <c r="F186" s="53" t="s">
        <v>330</v>
      </c>
      <c r="G186" s="53"/>
      <c r="H186" s="62"/>
      <c r="I186" s="61"/>
      <c r="J186" s="54"/>
      <c r="K186" s="54"/>
      <c r="L186" s="63"/>
      <c r="M186" s="63"/>
      <c r="N186" s="63"/>
      <c r="O186" s="63"/>
      <c r="P186" s="63"/>
      <c r="Q186" s="63"/>
      <c r="R186" s="63"/>
      <c r="S186" s="63"/>
      <c r="T186" s="63"/>
    </row>
    <row r="187" spans="1:20" ht="10.199999999999999" x14ac:dyDescent="0.35">
      <c r="A187" s="12" t="s">
        <v>331</v>
      </c>
      <c r="B187" s="12">
        <v>87000</v>
      </c>
      <c r="C187" s="43" t="s">
        <v>57</v>
      </c>
      <c r="D187" s="43" t="s">
        <v>57</v>
      </c>
      <c r="E187" s="12">
        <v>0</v>
      </c>
      <c r="F187" s="1" t="s">
        <v>332</v>
      </c>
      <c r="G187" s="1" t="s">
        <v>167</v>
      </c>
      <c r="H187" s="30" t="s">
        <v>205</v>
      </c>
      <c r="I187" s="8">
        <v>2</v>
      </c>
      <c r="J187" s="8">
        <v>250</v>
      </c>
      <c r="K187" s="8">
        <f>I187*J187</f>
        <v>500</v>
      </c>
      <c r="L187" s="8">
        <v>3</v>
      </c>
      <c r="M187" s="8">
        <f>L187*J187</f>
        <v>750</v>
      </c>
      <c r="N187" s="8">
        <v>3</v>
      </c>
      <c r="O187" s="8">
        <f>N187*J187</f>
        <v>750</v>
      </c>
      <c r="P187" s="8">
        <v>3</v>
      </c>
      <c r="Q187" s="8">
        <f>P187*J187</f>
        <v>750</v>
      </c>
      <c r="R187" s="8">
        <f t="shared" si="68"/>
        <v>2750</v>
      </c>
      <c r="S187" s="8" t="s">
        <v>87</v>
      </c>
      <c r="T187" s="8">
        <f>SUM(R187:S187)</f>
        <v>2750</v>
      </c>
    </row>
    <row r="188" spans="1:20" ht="10.199999999999999" x14ac:dyDescent="0.35">
      <c r="A188" s="53"/>
      <c r="B188" s="53"/>
      <c r="C188" s="53"/>
      <c r="D188" s="53"/>
      <c r="E188" s="53"/>
      <c r="F188" s="55" t="s">
        <v>333</v>
      </c>
      <c r="G188" s="55"/>
      <c r="H188" s="62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</row>
    <row r="189" spans="1:20" ht="10.199999999999999" x14ac:dyDescent="0.35">
      <c r="A189" s="12" t="s">
        <v>334</v>
      </c>
      <c r="B189" s="12">
        <v>81010</v>
      </c>
      <c r="C189" s="43" t="s">
        <v>57</v>
      </c>
      <c r="D189" s="43" t="s">
        <v>57</v>
      </c>
      <c r="E189" s="12">
        <v>0</v>
      </c>
      <c r="F189" s="1" t="s">
        <v>335</v>
      </c>
      <c r="G189" s="1" t="s">
        <v>167</v>
      </c>
      <c r="H189" s="30" t="s">
        <v>336</v>
      </c>
      <c r="I189" s="8">
        <v>0</v>
      </c>
      <c r="J189" s="8">
        <v>30000</v>
      </c>
      <c r="K189" s="8">
        <f>I189*J189</f>
        <v>0</v>
      </c>
      <c r="L189" s="8">
        <v>1</v>
      </c>
      <c r="M189" s="8">
        <f>L189*J189</f>
        <v>30000</v>
      </c>
      <c r="N189" s="8">
        <v>0</v>
      </c>
      <c r="O189" s="8">
        <f>N189*J189</f>
        <v>0</v>
      </c>
      <c r="P189" s="8">
        <v>0</v>
      </c>
      <c r="Q189" s="8">
        <f>P189*J189</f>
        <v>0</v>
      </c>
      <c r="R189" s="8">
        <f t="shared" si="68"/>
        <v>30000</v>
      </c>
      <c r="S189" s="8" t="s">
        <v>87</v>
      </c>
      <c r="T189" s="8">
        <f>SUM(R189:S189)</f>
        <v>30000</v>
      </c>
    </row>
    <row r="190" spans="1:20" ht="10.199999999999999" x14ac:dyDescent="0.35">
      <c r="A190" s="12" t="s">
        <v>337</v>
      </c>
      <c r="B190" s="12">
        <v>81010</v>
      </c>
      <c r="C190" s="43" t="s">
        <v>57</v>
      </c>
      <c r="D190" s="43" t="s">
        <v>57</v>
      </c>
      <c r="E190" s="12">
        <v>0</v>
      </c>
      <c r="F190" s="1" t="s">
        <v>338</v>
      </c>
      <c r="G190" s="1" t="s">
        <v>167</v>
      </c>
      <c r="H190" s="30" t="s">
        <v>336</v>
      </c>
      <c r="I190" s="8">
        <v>0</v>
      </c>
      <c r="J190" s="8">
        <v>30000</v>
      </c>
      <c r="K190" s="8">
        <f>I190*J190</f>
        <v>0</v>
      </c>
      <c r="L190" s="8">
        <v>0</v>
      </c>
      <c r="M190" s="8">
        <f>L190*J190</f>
        <v>0</v>
      </c>
      <c r="N190" s="8">
        <v>0</v>
      </c>
      <c r="O190" s="8">
        <f>N190*J190</f>
        <v>0</v>
      </c>
      <c r="P190" s="8">
        <v>1</v>
      </c>
      <c r="Q190" s="8">
        <f>P190*J190</f>
        <v>30000</v>
      </c>
      <c r="R190" s="8">
        <f t="shared" si="68"/>
        <v>30000</v>
      </c>
      <c r="S190" s="8" t="s">
        <v>87</v>
      </c>
      <c r="T190" s="8">
        <f>SUM(R190:S190)</f>
        <v>30000</v>
      </c>
    </row>
    <row r="191" spans="1:20" ht="10.199999999999999" x14ac:dyDescent="0.35">
      <c r="A191" s="53"/>
      <c r="B191" s="53"/>
      <c r="C191" s="53"/>
      <c r="D191" s="53"/>
      <c r="E191" s="53"/>
      <c r="F191" s="53" t="s">
        <v>339</v>
      </c>
      <c r="G191" s="53"/>
      <c r="H191" s="62"/>
      <c r="I191" s="61"/>
      <c r="J191" s="54"/>
      <c r="K191" s="63"/>
      <c r="L191" s="63"/>
      <c r="M191" s="63"/>
      <c r="N191" s="63"/>
      <c r="O191" s="63"/>
      <c r="P191" s="63"/>
      <c r="Q191" s="63"/>
      <c r="R191" s="63"/>
      <c r="S191" s="63"/>
      <c r="T191" s="63"/>
    </row>
    <row r="192" spans="1:20" s="22" customFormat="1" ht="10.199999999999999" x14ac:dyDescent="0.35">
      <c r="A192" s="12" t="s">
        <v>340</v>
      </c>
      <c r="B192" s="12">
        <v>87000</v>
      </c>
      <c r="C192" s="43" t="s">
        <v>57</v>
      </c>
      <c r="D192" s="43" t="s">
        <v>57</v>
      </c>
      <c r="E192" s="12">
        <v>0</v>
      </c>
      <c r="F192" s="1" t="s">
        <v>341</v>
      </c>
      <c r="G192" s="1" t="s">
        <v>167</v>
      </c>
      <c r="H192" s="30" t="s">
        <v>205</v>
      </c>
      <c r="I192" s="8">
        <v>3</v>
      </c>
      <c r="J192" s="8">
        <v>250</v>
      </c>
      <c r="K192" s="8">
        <f>I192*J192</f>
        <v>750</v>
      </c>
      <c r="L192" s="8">
        <v>5</v>
      </c>
      <c r="M192" s="8">
        <f>L192*J192</f>
        <v>1250</v>
      </c>
      <c r="N192" s="8">
        <v>5</v>
      </c>
      <c r="O192" s="8">
        <f>N192*J192</f>
        <v>1250</v>
      </c>
      <c r="P192" s="8">
        <v>5</v>
      </c>
      <c r="Q192" s="8">
        <f>P192*J192</f>
        <v>1250</v>
      </c>
      <c r="R192" s="8">
        <f t="shared" si="68"/>
        <v>4500</v>
      </c>
      <c r="S192" s="8" t="s">
        <v>87</v>
      </c>
      <c r="T192" s="8">
        <f>SUM(R192:S192)</f>
        <v>4500</v>
      </c>
    </row>
    <row r="193" spans="1:22" s="22" customFormat="1" ht="10.199999999999999" x14ac:dyDescent="0.35">
      <c r="A193" s="244"/>
      <c r="B193" s="244"/>
      <c r="C193" s="244"/>
      <c r="D193" s="244"/>
      <c r="E193" s="244"/>
      <c r="F193" s="244" t="s">
        <v>342</v>
      </c>
      <c r="G193" s="61"/>
      <c r="H193" s="62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</row>
    <row r="194" spans="1:22" s="22" customFormat="1" ht="20.399999999999999" x14ac:dyDescent="0.35">
      <c r="A194" s="12" t="s">
        <v>343</v>
      </c>
      <c r="B194" s="12" t="s">
        <v>89</v>
      </c>
      <c r="C194" s="43" t="s">
        <v>57</v>
      </c>
      <c r="D194" s="43" t="s">
        <v>57</v>
      </c>
      <c r="E194" s="12">
        <v>0</v>
      </c>
      <c r="F194" s="139" t="s">
        <v>109</v>
      </c>
      <c r="G194" s="1" t="s">
        <v>8</v>
      </c>
      <c r="H194" s="30" t="s">
        <v>55</v>
      </c>
      <c r="I194" s="8">
        <v>10</v>
      </c>
      <c r="J194" s="8">
        <f>(96+30.5)</f>
        <v>126.5</v>
      </c>
      <c r="K194" s="8">
        <f>I194*J194</f>
        <v>1265</v>
      </c>
      <c r="L194" s="8">
        <v>10</v>
      </c>
      <c r="M194" s="8">
        <f t="shared" ref="M194:M195" si="70">L194*J194*$G$10</f>
        <v>1328.25</v>
      </c>
      <c r="N194" s="8">
        <v>10</v>
      </c>
      <c r="O194" s="8">
        <f t="shared" ref="O194:O195" si="71">N194*J194*$G$10*$G$10</f>
        <v>1394.6625000000001</v>
      </c>
      <c r="P194" s="8">
        <v>10</v>
      </c>
      <c r="Q194" s="8">
        <f t="shared" ref="Q194:Q195" si="72">P194*J194*$G$10*$G$10*$G$10</f>
        <v>1464.3956250000001</v>
      </c>
      <c r="R194" s="8">
        <f t="shared" si="68"/>
        <v>5452.3081250000005</v>
      </c>
      <c r="S194" s="8">
        <v>0</v>
      </c>
      <c r="T194" s="8">
        <f>SUM(R194:S194)</f>
        <v>5452.3081250000005</v>
      </c>
    </row>
    <row r="195" spans="1:22" s="22" customFormat="1" ht="20.399999999999999" x14ac:dyDescent="0.35">
      <c r="A195" s="12" t="s">
        <v>344</v>
      </c>
      <c r="B195" s="12" t="s">
        <v>89</v>
      </c>
      <c r="C195" s="43" t="s">
        <v>57</v>
      </c>
      <c r="D195" s="43" t="s">
        <v>57</v>
      </c>
      <c r="E195" s="12">
        <v>0</v>
      </c>
      <c r="F195" s="139" t="s">
        <v>111</v>
      </c>
      <c r="G195" s="1" t="s">
        <v>8</v>
      </c>
      <c r="H195" s="30" t="s">
        <v>55</v>
      </c>
      <c r="I195" s="8">
        <v>10</v>
      </c>
      <c r="J195" s="8">
        <f>(180+55)</f>
        <v>235</v>
      </c>
      <c r="K195" s="8">
        <f>I195*J195</f>
        <v>2350</v>
      </c>
      <c r="L195" s="8">
        <v>10</v>
      </c>
      <c r="M195" s="8">
        <f t="shared" si="70"/>
        <v>2467.5</v>
      </c>
      <c r="N195" s="8">
        <v>10</v>
      </c>
      <c r="O195" s="8">
        <f t="shared" si="71"/>
        <v>2590.875</v>
      </c>
      <c r="P195" s="8">
        <v>10</v>
      </c>
      <c r="Q195" s="8">
        <f t="shared" si="72"/>
        <v>2720.4187500000003</v>
      </c>
      <c r="R195" s="8">
        <f t="shared" si="68"/>
        <v>10128.793750000001</v>
      </c>
      <c r="S195" s="8">
        <v>0</v>
      </c>
      <c r="T195" s="8">
        <f>SUM(R195:S195)</f>
        <v>10128.793750000001</v>
      </c>
    </row>
    <row r="196" spans="1:22" s="22" customFormat="1" ht="20.399999999999999" x14ac:dyDescent="0.35">
      <c r="A196" s="12" t="s">
        <v>345</v>
      </c>
      <c r="B196" s="12" t="s">
        <v>89</v>
      </c>
      <c r="C196" s="43" t="s">
        <v>57</v>
      </c>
      <c r="D196" s="43" t="s">
        <v>57</v>
      </c>
      <c r="E196" s="12">
        <v>0</v>
      </c>
      <c r="F196" s="139" t="s">
        <v>113</v>
      </c>
      <c r="G196" s="1" t="s">
        <v>8</v>
      </c>
      <c r="H196" s="30" t="s">
        <v>55</v>
      </c>
      <c r="I196" s="8">
        <v>8</v>
      </c>
      <c r="J196" s="8">
        <f>(100+35.5)</f>
        <v>135.5</v>
      </c>
      <c r="K196" s="8">
        <f>I196*J196</f>
        <v>1084</v>
      </c>
      <c r="L196" s="8">
        <v>8</v>
      </c>
      <c r="M196" s="8">
        <f>L196*J196*$G$10</f>
        <v>1138.2</v>
      </c>
      <c r="N196" s="8">
        <v>8</v>
      </c>
      <c r="O196" s="8">
        <f>N196*J196*$G$10*$G$10</f>
        <v>1195.1100000000001</v>
      </c>
      <c r="P196" s="8">
        <v>8</v>
      </c>
      <c r="Q196" s="8">
        <f>P196*J196*$G$10*$G$10*$G$10</f>
        <v>1254.8655000000001</v>
      </c>
      <c r="R196" s="8">
        <f t="shared" si="68"/>
        <v>4672.1755000000003</v>
      </c>
      <c r="S196" s="8">
        <v>0</v>
      </c>
      <c r="T196" s="8">
        <f>SUM(R196:S196)</f>
        <v>4672.1755000000003</v>
      </c>
    </row>
    <row r="197" spans="1:22" s="22" customFormat="1" ht="10.199999999999999" x14ac:dyDescent="0.35">
      <c r="A197" s="12" t="s">
        <v>346</v>
      </c>
      <c r="B197" s="139">
        <v>86000</v>
      </c>
      <c r="C197" s="43" t="s">
        <v>57</v>
      </c>
      <c r="D197" s="43" t="s">
        <v>57</v>
      </c>
      <c r="E197" s="12">
        <v>0</v>
      </c>
      <c r="F197" s="139" t="s">
        <v>347</v>
      </c>
      <c r="G197" s="1" t="s">
        <v>348</v>
      </c>
      <c r="H197" s="30" t="s">
        <v>86</v>
      </c>
      <c r="I197" s="8">
        <v>28</v>
      </c>
      <c r="J197" s="8">
        <v>46</v>
      </c>
      <c r="K197" s="8">
        <f>I197*J197</f>
        <v>1288</v>
      </c>
      <c r="L197" s="8">
        <v>28</v>
      </c>
      <c r="M197" s="8">
        <f>L197*J197*$G$10</f>
        <v>1352.4</v>
      </c>
      <c r="N197" s="8">
        <v>28</v>
      </c>
      <c r="O197" s="8">
        <f t="shared" ref="O197:O198" si="73">N197*J197*$G$10*$G$10</f>
        <v>1420.0200000000002</v>
      </c>
      <c r="P197" s="8">
        <v>28</v>
      </c>
      <c r="Q197" s="8">
        <f t="shared" ref="Q197:Q198" si="74">P197*J197*$G$10*$G$10*$G$10</f>
        <v>1491.0210000000002</v>
      </c>
      <c r="R197" s="8">
        <f t="shared" si="68"/>
        <v>5551.4410000000007</v>
      </c>
      <c r="S197" s="8">
        <v>0</v>
      </c>
      <c r="T197" s="8">
        <f>SUM(R197:S197)</f>
        <v>5551.4410000000007</v>
      </c>
    </row>
    <row r="198" spans="1:22" s="22" customFormat="1" ht="10.199999999999999" x14ac:dyDescent="0.35">
      <c r="A198" s="12" t="s">
        <v>349</v>
      </c>
      <c r="B198" s="12" t="s">
        <v>207</v>
      </c>
      <c r="C198" s="43" t="s">
        <v>57</v>
      </c>
      <c r="D198" s="43" t="s">
        <v>57</v>
      </c>
      <c r="E198" s="12">
        <v>0</v>
      </c>
      <c r="F198" s="139" t="s">
        <v>350</v>
      </c>
      <c r="G198" s="1" t="s">
        <v>348</v>
      </c>
      <c r="H198" s="30" t="s">
        <v>86</v>
      </c>
      <c r="I198" s="8">
        <v>28</v>
      </c>
      <c r="J198" s="8">
        <v>150</v>
      </c>
      <c r="K198" s="8">
        <f>I198*J198</f>
        <v>4200</v>
      </c>
      <c r="L198" s="8">
        <v>28</v>
      </c>
      <c r="M198" s="8">
        <f>L198*J198*$G$10</f>
        <v>4410</v>
      </c>
      <c r="N198" s="8">
        <v>28</v>
      </c>
      <c r="O198" s="8">
        <f t="shared" si="73"/>
        <v>4630.5</v>
      </c>
      <c r="P198" s="8">
        <v>28</v>
      </c>
      <c r="Q198" s="8">
        <f t="shared" si="74"/>
        <v>4862.0250000000005</v>
      </c>
      <c r="R198" s="8">
        <f t="shared" si="68"/>
        <v>18102.525000000001</v>
      </c>
      <c r="S198" s="8">
        <v>0</v>
      </c>
      <c r="T198" s="8">
        <f>SUM(R198:S198)</f>
        <v>18102.525000000001</v>
      </c>
    </row>
    <row r="199" spans="1:22" ht="10.199999999999999" x14ac:dyDescent="0.35">
      <c r="A199" s="53"/>
      <c r="B199" s="53"/>
      <c r="C199" s="53"/>
      <c r="D199" s="53"/>
      <c r="E199" s="53"/>
      <c r="F199" s="55" t="s">
        <v>351</v>
      </c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63"/>
      <c r="S199" s="102"/>
      <c r="T199" s="102"/>
    </row>
    <row r="200" spans="1:22" ht="10.199999999999999" x14ac:dyDescent="0.35">
      <c r="A200" s="331" t="s">
        <v>352</v>
      </c>
      <c r="B200" s="331">
        <v>89050</v>
      </c>
      <c r="C200" s="331" t="s">
        <v>52</v>
      </c>
      <c r="D200" s="331" t="s">
        <v>52</v>
      </c>
      <c r="E200" s="331" t="s">
        <v>162</v>
      </c>
      <c r="F200" s="331" t="s">
        <v>353</v>
      </c>
      <c r="G200" s="332" t="s">
        <v>160</v>
      </c>
      <c r="H200" s="332" t="s">
        <v>125</v>
      </c>
      <c r="I200" s="94"/>
      <c r="J200" s="94"/>
      <c r="K200" s="94">
        <f>SAI!G130</f>
        <v>6185.5167542772142</v>
      </c>
      <c r="L200" s="94"/>
      <c r="M200" s="94">
        <f>SAI!I130</f>
        <v>12622.620687701463</v>
      </c>
      <c r="N200" s="94"/>
      <c r="O200" s="94">
        <f>SAI!K130</f>
        <v>12592.64701364059</v>
      </c>
      <c r="P200" s="94"/>
      <c r="Q200" s="94">
        <f>SAI!M130</f>
        <v>8733.6155987653474</v>
      </c>
      <c r="R200" s="94">
        <f t="shared" si="68"/>
        <v>40134.400054384612</v>
      </c>
      <c r="S200" s="94">
        <v>0</v>
      </c>
      <c r="T200" s="94">
        <f>SUM(R200:S200)</f>
        <v>40134.400054384612</v>
      </c>
    </row>
    <row r="201" spans="1:22" ht="10.199999999999999" x14ac:dyDescent="0.35">
      <c r="A201" s="331" t="s">
        <v>354</v>
      </c>
      <c r="B201" s="331">
        <v>89050</v>
      </c>
      <c r="C201" s="331" t="s">
        <v>57</v>
      </c>
      <c r="D201" s="331" t="s">
        <v>57</v>
      </c>
      <c r="E201" s="331" t="s">
        <v>195</v>
      </c>
      <c r="F201" s="331" t="s">
        <v>355</v>
      </c>
      <c r="G201" s="332" t="s">
        <v>160</v>
      </c>
      <c r="H201" s="332" t="s">
        <v>125</v>
      </c>
      <c r="I201" s="94"/>
      <c r="J201" s="94"/>
      <c r="K201" s="94">
        <f>'Fundación Carvajal'!F112</f>
        <v>0</v>
      </c>
      <c r="L201" s="94"/>
      <c r="M201" s="94">
        <f>'Fundación Carvajal'!H112</f>
        <v>5829.7727531669989</v>
      </c>
      <c r="N201" s="94"/>
      <c r="O201" s="94">
        <f>'Fundación Carvajal'!J112</f>
        <v>6362.7954852000003</v>
      </c>
      <c r="P201" s="94"/>
      <c r="Q201" s="94">
        <f>'Fundación Carvajal'!L112</f>
        <v>0</v>
      </c>
      <c r="R201" s="94">
        <f t="shared" si="68"/>
        <v>12192.568238366999</v>
      </c>
      <c r="S201" s="94">
        <v>0</v>
      </c>
      <c r="T201" s="94">
        <f>SUM(R201:S201)</f>
        <v>12192.568238366999</v>
      </c>
    </row>
    <row r="202" spans="1:22" ht="10.199999999999999" x14ac:dyDescent="0.35">
      <c r="A202" s="331" t="s">
        <v>356</v>
      </c>
      <c r="B202" s="331">
        <v>89050</v>
      </c>
      <c r="C202" s="331" t="s">
        <v>57</v>
      </c>
      <c r="D202" s="331" t="s">
        <v>57</v>
      </c>
      <c r="E202" s="331" t="s">
        <v>158</v>
      </c>
      <c r="F202" s="331" t="s">
        <v>357</v>
      </c>
      <c r="G202" s="332" t="s">
        <v>160</v>
      </c>
      <c r="H202" s="332" t="s">
        <v>125</v>
      </c>
      <c r="I202" s="94"/>
      <c r="J202" s="94"/>
      <c r="K202" s="94">
        <f>'Universidad Javeriana'!G128</f>
        <v>4508.3060000000005</v>
      </c>
      <c r="L202" s="94"/>
      <c r="M202" s="94">
        <f>'Universidad Javeriana'!I128</f>
        <v>5420.0218380000015</v>
      </c>
      <c r="N202" s="94"/>
      <c r="O202" s="94">
        <f>'Universidad Javeriana'!K128</f>
        <v>6039.5925704400006</v>
      </c>
      <c r="P202" s="94"/>
      <c r="Q202" s="94">
        <f>'Universidad Javeriana'!M128</f>
        <v>5466.1899683687998</v>
      </c>
      <c r="R202" s="94">
        <f t="shared" si="68"/>
        <v>21434.1103768088</v>
      </c>
      <c r="S202" s="94">
        <v>0</v>
      </c>
      <c r="T202" s="94">
        <f>SUM(R202:S202)</f>
        <v>21434.1103768088</v>
      </c>
    </row>
    <row r="203" spans="1:22" ht="10.199999999999999" x14ac:dyDescent="0.35">
      <c r="I203" s="8"/>
      <c r="J203" s="8"/>
      <c r="K203" s="8"/>
      <c r="L203" s="8"/>
      <c r="M203" s="8"/>
      <c r="N203" s="8"/>
      <c r="O203" s="8"/>
      <c r="P203" s="8"/>
      <c r="Q203" s="8"/>
      <c r="R203" s="94"/>
      <c r="S203" s="8"/>
      <c r="T203" s="8"/>
    </row>
    <row r="204" spans="1:22" ht="10.8" thickBot="1" x14ac:dyDescent="0.45">
      <c r="A204" s="31"/>
      <c r="B204" s="31"/>
      <c r="C204" s="31"/>
      <c r="D204" s="31"/>
      <c r="E204" s="31"/>
      <c r="F204" s="18" t="s">
        <v>358</v>
      </c>
      <c r="G204" s="18"/>
      <c r="H204" s="18"/>
      <c r="I204" s="26"/>
      <c r="J204" s="26"/>
      <c r="K204" s="29">
        <f>SUM(K178:K203)</f>
        <v>32350.822754277215</v>
      </c>
      <c r="L204" s="29"/>
      <c r="M204" s="29">
        <f>SUM(M178:M203)</f>
        <v>66568.765278868465</v>
      </c>
      <c r="N204" s="29"/>
      <c r="O204" s="29">
        <f>SUM(O178:O203)</f>
        <v>38226.202569280591</v>
      </c>
      <c r="P204" s="29"/>
      <c r="Q204" s="29">
        <f>SUM(Q178:Q203)</f>
        <v>57992.531442134146</v>
      </c>
      <c r="R204" s="29">
        <f>K204+M204+O204+Q204</f>
        <v>195138.32204456042</v>
      </c>
      <c r="S204" s="29">
        <f>SUM(S179:S192)</f>
        <v>0</v>
      </c>
      <c r="T204" s="29">
        <f>SUM(R204:S204)</f>
        <v>195138.32204456042</v>
      </c>
    </row>
    <row r="205" spans="1:22" ht="10.5" x14ac:dyDescent="0.4">
      <c r="A205" s="311"/>
      <c r="B205" s="311"/>
      <c r="C205" s="311"/>
      <c r="D205" s="311"/>
      <c r="E205" s="311"/>
      <c r="F205" s="3"/>
      <c r="G205" s="3"/>
      <c r="J205" s="17"/>
      <c r="K205" s="17"/>
      <c r="L205" s="17"/>
      <c r="M205" s="17"/>
      <c r="N205" s="17"/>
      <c r="O205" s="17"/>
      <c r="P205" s="17"/>
      <c r="Q205" s="17"/>
      <c r="S205" s="8"/>
      <c r="U205" s="300"/>
    </row>
    <row r="206" spans="1:22" ht="10.8" thickBot="1" x14ac:dyDescent="0.45">
      <c r="A206" s="340"/>
      <c r="B206" s="340"/>
      <c r="C206" s="340"/>
      <c r="D206" s="340"/>
      <c r="E206" s="340"/>
      <c r="F206" s="14" t="s">
        <v>16</v>
      </c>
      <c r="G206" s="14"/>
      <c r="H206" s="14"/>
      <c r="I206" s="14"/>
      <c r="J206" s="108"/>
      <c r="K206" s="109">
        <f>SUM(K204+K175+K142+K123+K98+K81+K62+K59+K37)</f>
        <v>833157.30412554427</v>
      </c>
      <c r="L206" s="109"/>
      <c r="M206" s="109">
        <f>SUM(M204+M175+M142+M123+M98+M81+M62+M59+M37)</f>
        <v>957173.65101646003</v>
      </c>
      <c r="N206" s="109"/>
      <c r="O206" s="109">
        <f>SUM(O204+O175+O142+O123+O98+O81+O62+O59+O37)</f>
        <v>1150050.5995882857</v>
      </c>
      <c r="P206" s="109"/>
      <c r="Q206" s="109">
        <f>SUM(Q204+Q175+Q142+Q123+Q98+Q81+Q62+Q59+Q37)</f>
        <v>944923.93269239413</v>
      </c>
      <c r="R206" s="109">
        <f>SUM(R204+R175+R142+R123+R98+R81+R62+R59+R37)</f>
        <v>3885305.4874226842</v>
      </c>
      <c r="S206" s="109">
        <f>SUM(S204+S175+S142+S123+S98+S81+S62+S59+S37)</f>
        <v>0</v>
      </c>
      <c r="T206" s="109">
        <f>SUM(R206:S206)</f>
        <v>3885305.4874226842</v>
      </c>
      <c r="U206" s="321">
        <f>T206*5%</f>
        <v>194265.27437113423</v>
      </c>
      <c r="V206" s="293"/>
    </row>
    <row r="207" spans="1:22" ht="10.199999999999999" x14ac:dyDescent="0.35">
      <c r="A207" s="341"/>
      <c r="B207" s="341"/>
      <c r="C207" s="341"/>
      <c r="D207" s="341"/>
      <c r="E207" s="341"/>
      <c r="F207" s="4"/>
      <c r="G207" s="4"/>
      <c r="J207" s="17"/>
      <c r="K207" s="42"/>
      <c r="L207" s="42"/>
      <c r="M207" s="42"/>
      <c r="N207" s="42"/>
      <c r="O207" s="42"/>
      <c r="P207" s="42"/>
      <c r="Q207" s="42"/>
      <c r="R207" s="42"/>
      <c r="S207" s="42"/>
      <c r="T207" s="42"/>
    </row>
    <row r="208" spans="1:22" ht="20.7" x14ac:dyDescent="0.4">
      <c r="A208" s="341" t="s">
        <v>359</v>
      </c>
      <c r="B208" s="341">
        <v>94050</v>
      </c>
      <c r="C208" s="341" t="s">
        <v>52</v>
      </c>
      <c r="D208" s="341" t="s">
        <v>52</v>
      </c>
      <c r="E208" s="341">
        <v>0</v>
      </c>
      <c r="F208" s="4" t="s">
        <v>360</v>
      </c>
      <c r="G208" s="1" t="s">
        <v>361</v>
      </c>
      <c r="H208" s="3"/>
      <c r="I208" s="3"/>
      <c r="J208" s="81">
        <v>0.28689999999999999</v>
      </c>
      <c r="K208" s="42">
        <f>(K206)*J208</f>
        <v>239032.83055361864</v>
      </c>
      <c r="L208" s="42"/>
      <c r="M208" s="42">
        <f>(M206)*J208</f>
        <v>274613.12047662237</v>
      </c>
      <c r="N208" s="42"/>
      <c r="O208" s="42">
        <f>(O206)*J208</f>
        <v>329949.51702187915</v>
      </c>
      <c r="Q208" s="42">
        <f>(Q206)*J208</f>
        <v>271098.67628944787</v>
      </c>
      <c r="R208" s="42">
        <f>SUM(K208+M208+O208+Q208)</f>
        <v>1114694.144341568</v>
      </c>
      <c r="S208" s="42">
        <v>0</v>
      </c>
      <c r="T208" s="42">
        <f>SUM(R208:S208)</f>
        <v>1114694.144341568</v>
      </c>
    </row>
    <row r="209" spans="1:20" ht="10.5" x14ac:dyDescent="0.4">
      <c r="A209" s="342"/>
      <c r="B209" s="342"/>
      <c r="C209" s="342"/>
      <c r="D209" s="342"/>
      <c r="E209" s="342"/>
      <c r="F209" s="22"/>
      <c r="G209" s="22"/>
      <c r="H209" s="23"/>
      <c r="I209" s="24"/>
      <c r="J209" s="33"/>
      <c r="K209" s="32"/>
      <c r="L209" s="32"/>
      <c r="M209" s="32"/>
      <c r="N209" s="32"/>
      <c r="O209" s="32"/>
      <c r="P209" s="32"/>
      <c r="Q209" s="32"/>
      <c r="R209" s="32"/>
      <c r="S209" s="32"/>
      <c r="T209" s="32"/>
    </row>
    <row r="210" spans="1:20" ht="10.8" thickBot="1" x14ac:dyDescent="0.45">
      <c r="A210" s="343"/>
      <c r="B210" s="343"/>
      <c r="C210" s="343"/>
      <c r="D210" s="343"/>
      <c r="E210" s="343"/>
      <c r="F210" s="10" t="s">
        <v>18</v>
      </c>
      <c r="G210" s="10"/>
      <c r="H210" s="10"/>
      <c r="I210" s="10"/>
      <c r="J210" s="34"/>
      <c r="K210" s="110">
        <f>K206+K208</f>
        <v>1072190.1346791629</v>
      </c>
      <c r="L210" s="110"/>
      <c r="M210" s="110">
        <f t="shared" ref="M210:R210" si="75">M206+M208</f>
        <v>1231786.7714930824</v>
      </c>
      <c r="N210" s="110"/>
      <c r="O210" s="110">
        <f t="shared" si="75"/>
        <v>1480000.1166101648</v>
      </c>
      <c r="P210" s="110"/>
      <c r="Q210" s="110">
        <f t="shared" si="75"/>
        <v>1216022.6089818419</v>
      </c>
      <c r="R210" s="110">
        <f t="shared" si="75"/>
        <v>4999999.6317642517</v>
      </c>
      <c r="S210" s="110">
        <f>S206+S208</f>
        <v>0</v>
      </c>
      <c r="T210" s="110">
        <f>SUM(R210:S210)</f>
        <v>4999999.6317642517</v>
      </c>
    </row>
    <row r="211" spans="1:20" ht="10.5" thickTop="1" x14ac:dyDescent="0.35"/>
    <row r="212" spans="1:20" ht="10.199999999999999" x14ac:dyDescent="0.35">
      <c r="T212" s="2"/>
    </row>
    <row r="213" spans="1:20" ht="10.199999999999999" x14ac:dyDescent="0.35">
      <c r="R213" s="95"/>
    </row>
    <row r="214" spans="1:20" ht="10.199999999999999" x14ac:dyDescent="0.35">
      <c r="J214" s="2"/>
      <c r="S214" s="64"/>
    </row>
    <row r="215" spans="1:20" ht="10.199999999999999" x14ac:dyDescent="0.35">
      <c r="A215" s="344"/>
      <c r="B215" s="344"/>
      <c r="C215" s="344"/>
      <c r="D215" s="344"/>
      <c r="E215" s="344"/>
      <c r="F215" s="7"/>
      <c r="G215" s="7"/>
      <c r="H215" s="45"/>
    </row>
    <row r="216" spans="1:20" ht="10.199999999999999" x14ac:dyDescent="0.35">
      <c r="A216" s="344"/>
      <c r="B216" s="344"/>
      <c r="C216" s="344"/>
      <c r="D216" s="344"/>
      <c r="E216" s="344"/>
      <c r="F216" s="7"/>
      <c r="G216" s="7"/>
      <c r="H216" s="46"/>
    </row>
    <row r="217" spans="1:20" ht="10.199999999999999" x14ac:dyDescent="0.35"/>
    <row r="218" spans="1:20" ht="10.199999999999999" x14ac:dyDescent="0.35">
      <c r="A218" s="344"/>
      <c r="B218" s="344"/>
      <c r="C218" s="344"/>
      <c r="D218" s="344"/>
      <c r="E218" s="344"/>
      <c r="F218" s="7"/>
      <c r="G218" s="7"/>
      <c r="H218" s="45"/>
    </row>
    <row r="219" spans="1:20" ht="10.199999999999999" x14ac:dyDescent="0.35">
      <c r="A219" s="344"/>
      <c r="B219" s="344"/>
      <c r="C219" s="344"/>
      <c r="D219" s="344"/>
      <c r="E219" s="344"/>
      <c r="F219" s="7"/>
      <c r="G219" s="7"/>
      <c r="H219" s="46"/>
    </row>
    <row r="220" spans="1:20" ht="10.199999999999999" x14ac:dyDescent="0.35"/>
    <row r="221" spans="1:20" ht="10.199999999999999" x14ac:dyDescent="0.35"/>
    <row r="222" spans="1:20" ht="10.199999999999999" x14ac:dyDescent="0.35"/>
    <row r="223" spans="1:20" ht="10.199999999999999" x14ac:dyDescent="0.35"/>
    <row r="224" spans="1:20" ht="10.199999999999999" x14ac:dyDescent="0.35"/>
    <row r="225" ht="10.199999999999999" x14ac:dyDescent="0.35"/>
    <row r="226" ht="10.199999999999999" x14ac:dyDescent="0.35"/>
    <row r="227" ht="10.199999999999999" x14ac:dyDescent="0.35"/>
    <row r="228" ht="10.199999999999999" x14ac:dyDescent="0.35"/>
    <row r="229" ht="10.199999999999999" x14ac:dyDescent="0.35"/>
    <row r="230" ht="10.199999999999999" x14ac:dyDescent="0.35"/>
    <row r="231" ht="10.199999999999999" x14ac:dyDescent="0.35"/>
    <row r="232" ht="10.199999999999999" x14ac:dyDescent="0.35"/>
    <row r="233" ht="10.199999999999999" x14ac:dyDescent="0.35"/>
    <row r="234" ht="10.199999999999999" x14ac:dyDescent="0.35"/>
    <row r="235" ht="10.199999999999999" x14ac:dyDescent="0.35"/>
    <row r="236" ht="10.199999999999999" x14ac:dyDescent="0.35"/>
    <row r="237" ht="10.199999999999999" x14ac:dyDescent="0.35"/>
    <row r="238" ht="10.199999999999999" x14ac:dyDescent="0.35"/>
    <row r="239" ht="10.199999999999999" x14ac:dyDescent="0.35"/>
    <row r="240" ht="10.199999999999999" x14ac:dyDescent="0.35"/>
    <row r="241" ht="10.199999999999999" x14ac:dyDescent="0.35"/>
    <row r="242" ht="10.199999999999999" x14ac:dyDescent="0.35"/>
    <row r="243" ht="10.199999999999999" x14ac:dyDescent="0.35"/>
    <row r="244" ht="10.199999999999999" x14ac:dyDescent="0.35"/>
  </sheetData>
  <mergeCells count="9">
    <mergeCell ref="F1:T1"/>
    <mergeCell ref="F2:T2"/>
    <mergeCell ref="F12:T12"/>
    <mergeCell ref="G3:J3"/>
    <mergeCell ref="F4:X4"/>
    <mergeCell ref="F5:X5"/>
    <mergeCell ref="F6:X6"/>
    <mergeCell ref="F7:X7"/>
    <mergeCell ref="F8:G8"/>
  </mergeCells>
  <phoneticPr fontId="2" type="noConversion"/>
  <pageMargins left="0.7" right="0.7" top="0.75" bottom="0.75" header="0.3" footer="0.3"/>
  <pageSetup paperSize="17" scale="97" fitToHeight="0" orientation="landscape" r:id="rId1"/>
  <headerFooter alignWithMargins="0"/>
  <rowBreaks count="2" manualBreakCount="2">
    <brk id="81" min="5" max="16" man="1"/>
    <brk id="175" min="5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8940-F5C7-D646-A801-992A2A6AB4EE}">
  <sheetPr>
    <pageSetUpPr fitToPage="1"/>
  </sheetPr>
  <dimension ref="A1:W156"/>
  <sheetViews>
    <sheetView zoomScale="78" zoomScaleNormal="70" zoomScaleSheetLayoutView="90" workbookViewId="0">
      <pane ySplit="11" topLeftCell="A125" activePane="bottomLeft" state="frozen"/>
      <selection pane="bottomLeft" activeCell="K132" sqref="K132"/>
    </sheetView>
  </sheetViews>
  <sheetFormatPr defaultColWidth="11.44140625" defaultRowHeight="12" customHeight="1" x14ac:dyDescent="0.35"/>
  <cols>
    <col min="1" max="1" width="46.44140625" style="149" customWidth="1"/>
    <col min="2" max="2" width="8.44140625" style="149" customWidth="1"/>
    <col min="3" max="3" width="11.27734375" style="149" bestFit="1" customWidth="1"/>
    <col min="4" max="4" width="6" style="149" customWidth="1"/>
    <col min="5" max="5" width="8.44140625" style="172" bestFit="1" customWidth="1"/>
    <col min="6" max="6" width="8.44140625" style="173" bestFit="1" customWidth="1"/>
    <col min="7" max="7" width="10.27734375" style="123" customWidth="1"/>
    <col min="8" max="8" width="8.44140625" style="123" bestFit="1" customWidth="1"/>
    <col min="9" max="9" width="11" style="123" customWidth="1"/>
    <col min="10" max="10" width="8.44140625" style="123" customWidth="1"/>
    <col min="11" max="11" width="10.5546875" style="123" customWidth="1"/>
    <col min="12" max="12" width="8.44140625" style="123" customWidth="1"/>
    <col min="13" max="13" width="11.27734375" style="123" customWidth="1"/>
    <col min="14" max="14" width="11.71875" style="123" customWidth="1"/>
    <col min="15" max="15" width="9.44140625" style="123" bestFit="1" customWidth="1"/>
    <col min="16" max="16" width="12" style="123" customWidth="1"/>
    <col min="17" max="17" width="16.71875" style="184" customWidth="1"/>
    <col min="18" max="18" width="12.44140625" style="119" customWidth="1"/>
    <col min="19" max="19" width="9.27734375" style="119" customWidth="1"/>
    <col min="20" max="20" width="13" style="119" customWidth="1"/>
    <col min="21" max="21" width="12" style="119" customWidth="1"/>
    <col min="22" max="22" width="18.44140625" style="119" customWidth="1"/>
    <col min="23" max="16384" width="11.44140625" style="119"/>
  </cols>
  <sheetData>
    <row r="1" spans="1:22" ht="12" customHeight="1" x14ac:dyDescent="0.4">
      <c r="A1" s="354" t="s">
        <v>362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272"/>
      <c r="R1" s="118"/>
      <c r="S1" s="118"/>
      <c r="T1" s="118"/>
      <c r="U1" s="118"/>
      <c r="V1" s="118"/>
    </row>
    <row r="2" spans="1:22" ht="12" customHeight="1" x14ac:dyDescent="0.4">
      <c r="A2" s="355" t="s">
        <v>363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273"/>
      <c r="R2" s="118"/>
      <c r="S2" s="118"/>
    </row>
    <row r="3" spans="1:22" ht="12" customHeight="1" x14ac:dyDescent="0.35">
      <c r="A3" s="356" t="s">
        <v>364</v>
      </c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  <c r="Q3" s="274"/>
    </row>
    <row r="4" spans="1:22" s="250" customFormat="1" ht="12.6" x14ac:dyDescent="0.45">
      <c r="A4" s="358" t="s">
        <v>31</v>
      </c>
      <c r="B4" s="358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75"/>
      <c r="R4" s="251"/>
      <c r="S4" s="251"/>
      <c r="T4" s="251"/>
    </row>
    <row r="5" spans="1:22" s="250" customFormat="1" ht="12.6" x14ac:dyDescent="0.45">
      <c r="A5" s="252" t="s">
        <v>32</v>
      </c>
      <c r="B5" s="261">
        <v>1.03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75"/>
      <c r="R5" s="251"/>
      <c r="S5" s="251"/>
      <c r="T5" s="251"/>
    </row>
    <row r="6" spans="1:22" s="250" customFormat="1" ht="12.6" x14ac:dyDescent="0.45">
      <c r="A6" s="252" t="s">
        <v>33</v>
      </c>
      <c r="B6" s="261">
        <v>1.05</v>
      </c>
      <c r="C6" s="251"/>
      <c r="D6" s="255"/>
      <c r="E6" s="255"/>
      <c r="F6" s="256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76"/>
      <c r="R6" s="257"/>
      <c r="S6" s="257"/>
      <c r="T6" s="257"/>
    </row>
    <row r="7" spans="1:22" s="250" customFormat="1" ht="12.6" x14ac:dyDescent="0.45">
      <c r="A7" s="252" t="s">
        <v>365</v>
      </c>
      <c r="B7" s="261">
        <v>1.03</v>
      </c>
      <c r="C7" s="251"/>
      <c r="D7" s="255"/>
      <c r="E7" s="255"/>
      <c r="F7" s="256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76"/>
      <c r="R7" s="257"/>
      <c r="S7" s="257"/>
      <c r="T7" s="257"/>
    </row>
    <row r="8" spans="1:22" s="250" customFormat="1" ht="12.6" x14ac:dyDescent="0.45">
      <c r="A8" s="252" t="s">
        <v>366</v>
      </c>
      <c r="B8" s="302">
        <v>1.0349999999999999</v>
      </c>
      <c r="C8" s="251"/>
      <c r="D8" s="255"/>
      <c r="E8" s="255"/>
      <c r="F8" s="256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76"/>
      <c r="R8" s="257"/>
      <c r="S8" s="257"/>
      <c r="T8" s="257"/>
    </row>
    <row r="9" spans="1:22" ht="12" customHeight="1" x14ac:dyDescent="0.35">
      <c r="A9" s="121"/>
      <c r="B9" s="121"/>
      <c r="C9" s="121"/>
      <c r="D9" s="121"/>
      <c r="E9" s="122"/>
      <c r="F9" s="121"/>
      <c r="G9" s="121"/>
      <c r="H9" s="121"/>
      <c r="I9" s="121"/>
      <c r="J9" s="121"/>
      <c r="K9" s="121"/>
      <c r="L9" s="121"/>
      <c r="M9" s="121"/>
      <c r="O9" s="121"/>
      <c r="P9" s="121"/>
      <c r="Q9" s="277"/>
    </row>
    <row r="10" spans="1:22" ht="31.8" thickBot="1" x14ac:dyDescent="0.45">
      <c r="A10" s="124" t="s">
        <v>3</v>
      </c>
      <c r="B10" s="124" t="s">
        <v>367</v>
      </c>
      <c r="C10" s="124" t="s">
        <v>40</v>
      </c>
      <c r="D10" s="124" t="s">
        <v>41</v>
      </c>
      <c r="E10" s="125" t="s">
        <v>42</v>
      </c>
      <c r="F10" s="126" t="s">
        <v>368</v>
      </c>
      <c r="G10" s="127" t="s">
        <v>44</v>
      </c>
      <c r="H10" s="124" t="s">
        <v>42</v>
      </c>
      <c r="I10" s="127" t="s">
        <v>45</v>
      </c>
      <c r="J10" s="124" t="s">
        <v>42</v>
      </c>
      <c r="K10" s="127" t="s">
        <v>46</v>
      </c>
      <c r="L10" s="124" t="s">
        <v>42</v>
      </c>
      <c r="M10" s="127" t="s">
        <v>369</v>
      </c>
      <c r="N10" s="126" t="s">
        <v>370</v>
      </c>
      <c r="O10" s="126" t="s">
        <v>5</v>
      </c>
      <c r="P10" s="126" t="s">
        <v>6</v>
      </c>
    </row>
    <row r="11" spans="1:22" ht="13.5" customHeight="1" x14ac:dyDescent="0.4">
      <c r="A11" s="128"/>
      <c r="B11" s="128"/>
      <c r="C11" s="128"/>
      <c r="D11" s="129"/>
      <c r="E11" s="130"/>
      <c r="F11" s="131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278"/>
      <c r="R11" s="133"/>
      <c r="S11" s="134"/>
    </row>
    <row r="12" spans="1:22" ht="13.5" customHeight="1" x14ac:dyDescent="0.4">
      <c r="A12" s="128" t="s">
        <v>7</v>
      </c>
      <c r="B12" s="128"/>
      <c r="C12" s="128"/>
      <c r="D12" s="129"/>
      <c r="E12" s="130"/>
      <c r="F12" s="131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278"/>
      <c r="R12" s="133"/>
      <c r="S12" s="134"/>
    </row>
    <row r="13" spans="1:22" ht="12" customHeight="1" x14ac:dyDescent="0.4">
      <c r="A13" s="180" t="s">
        <v>371</v>
      </c>
      <c r="B13" s="244"/>
      <c r="C13" s="244"/>
      <c r="D13" s="297"/>
      <c r="E13" s="287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</row>
    <row r="14" spans="1:22" ht="10.199999999999999" x14ac:dyDescent="0.35">
      <c r="A14" s="303" t="s">
        <v>372</v>
      </c>
      <c r="B14" s="303" t="s">
        <v>373</v>
      </c>
      <c r="C14" s="303" t="s">
        <v>54</v>
      </c>
      <c r="D14" s="325" t="s">
        <v>91</v>
      </c>
      <c r="E14" s="305">
        <f>5*6</f>
        <v>30</v>
      </c>
      <c r="F14" s="305">
        <v>300</v>
      </c>
      <c r="G14" s="305">
        <f>E14*F14</f>
        <v>9000</v>
      </c>
      <c r="H14" s="326">
        <f>10*12</f>
        <v>120</v>
      </c>
      <c r="I14" s="305">
        <f>H14*F14*$B$8</f>
        <v>37260</v>
      </c>
      <c r="J14" s="326">
        <v>120</v>
      </c>
      <c r="K14" s="305">
        <f>J14*F14*$B$8*$B$8</f>
        <v>38564.1</v>
      </c>
      <c r="L14" s="326">
        <f>11.5*12</f>
        <v>138</v>
      </c>
      <c r="M14" s="305">
        <f>L14*F14*$B$8*$B$8*$B$8</f>
        <v>45900.920024999992</v>
      </c>
      <c r="N14" s="305">
        <f>SUM(G14+I14+K14+M14)</f>
        <v>130725.02002500001</v>
      </c>
      <c r="O14" s="305">
        <v>0</v>
      </c>
      <c r="P14" s="305">
        <f>SUM(N14:O14)</f>
        <v>130725.02002500001</v>
      </c>
      <c r="Q14" s="143"/>
      <c r="R14" s="144"/>
      <c r="S14" s="145"/>
      <c r="T14" s="114"/>
      <c r="U14" s="44"/>
    </row>
    <row r="15" spans="1:22" ht="10.199999999999999" x14ac:dyDescent="0.35">
      <c r="A15" s="303" t="s">
        <v>374</v>
      </c>
      <c r="B15" s="303" t="s">
        <v>373</v>
      </c>
      <c r="C15" s="303" t="s">
        <v>54</v>
      </c>
      <c r="D15" s="325" t="s">
        <v>91</v>
      </c>
      <c r="E15" s="305">
        <f t="shared" ref="E15" si="0">5*6</f>
        <v>30</v>
      </c>
      <c r="F15" s="305">
        <v>300</v>
      </c>
      <c r="G15" s="305">
        <f>E15*F15</f>
        <v>9000</v>
      </c>
      <c r="H15" s="326">
        <f>10*12</f>
        <v>120</v>
      </c>
      <c r="I15" s="305">
        <f t="shared" ref="I15:I17" si="1">H15*F15*$B$8</f>
        <v>37260</v>
      </c>
      <c r="J15" s="326">
        <v>120</v>
      </c>
      <c r="K15" s="305">
        <f t="shared" ref="K15:K17" si="2">J15*F15*$B$8*$B$8</f>
        <v>38564.1</v>
      </c>
      <c r="L15" s="326">
        <f>11.5*12</f>
        <v>138</v>
      </c>
      <c r="M15" s="305">
        <f t="shared" ref="M15:M17" si="3">L15*F15*$B$8*$B$8*$B$8</f>
        <v>45900.920024999992</v>
      </c>
      <c r="N15" s="305">
        <f t="shared" ref="N15:N23" si="4">SUM(G15+I15+K15+M15)</f>
        <v>130725.02002500001</v>
      </c>
      <c r="O15" s="305">
        <v>0</v>
      </c>
      <c r="P15" s="305">
        <f>SUM(N15:O15)</f>
        <v>130725.02002500001</v>
      </c>
      <c r="Q15" s="151"/>
      <c r="R15" s="146"/>
      <c r="S15" s="146"/>
      <c r="T15" s="13"/>
      <c r="U15" s="13"/>
    </row>
    <row r="16" spans="1:22" ht="10.199999999999999" x14ac:dyDescent="0.35">
      <c r="A16" s="119" t="s">
        <v>375</v>
      </c>
      <c r="B16" s="139" t="s">
        <v>376</v>
      </c>
      <c r="C16" s="139" t="s">
        <v>54</v>
      </c>
      <c r="D16" s="140" t="s">
        <v>91</v>
      </c>
      <c r="E16" s="142">
        <f>5*3</f>
        <v>15</v>
      </c>
      <c r="F16" s="142">
        <v>350</v>
      </c>
      <c r="G16" s="142">
        <f>E16*F16</f>
        <v>5250</v>
      </c>
      <c r="H16" s="323">
        <f>5*3</f>
        <v>15</v>
      </c>
      <c r="I16" s="142">
        <f t="shared" si="1"/>
        <v>5433.75</v>
      </c>
      <c r="J16" s="323">
        <f>5*3</f>
        <v>15</v>
      </c>
      <c r="K16" s="142">
        <f t="shared" si="2"/>
        <v>5623.9312499999996</v>
      </c>
      <c r="L16" s="323">
        <v>0</v>
      </c>
      <c r="M16" s="142">
        <f t="shared" si="3"/>
        <v>0</v>
      </c>
      <c r="N16" s="142">
        <f t="shared" si="4"/>
        <v>16307.68125</v>
      </c>
      <c r="O16" s="142">
        <v>0</v>
      </c>
      <c r="P16" s="142">
        <f>SUM(N16:O16)</f>
        <v>16307.68125</v>
      </c>
      <c r="Q16" s="151"/>
    </row>
    <row r="17" spans="1:19" ht="10.199999999999999" x14ac:dyDescent="0.35">
      <c r="A17" s="139" t="s">
        <v>377</v>
      </c>
      <c r="B17" s="139" t="s">
        <v>376</v>
      </c>
      <c r="C17" s="139" t="s">
        <v>54</v>
      </c>
      <c r="D17" s="140" t="s">
        <v>91</v>
      </c>
      <c r="E17" s="142">
        <f>5*3</f>
        <v>15</v>
      </c>
      <c r="F17" s="142">
        <v>550</v>
      </c>
      <c r="G17" s="142">
        <f>E17*F17</f>
        <v>8250</v>
      </c>
      <c r="H17" s="323">
        <f>5*3</f>
        <v>15</v>
      </c>
      <c r="I17" s="142">
        <f t="shared" si="1"/>
        <v>8538.75</v>
      </c>
      <c r="J17" s="323">
        <f>5*3</f>
        <v>15</v>
      </c>
      <c r="K17" s="142">
        <f t="shared" si="2"/>
        <v>8837.6062499999989</v>
      </c>
      <c r="L17" s="323">
        <v>0</v>
      </c>
      <c r="M17" s="142">
        <f t="shared" si="3"/>
        <v>0</v>
      </c>
      <c r="N17" s="142">
        <f t="shared" si="4"/>
        <v>25626.356249999997</v>
      </c>
      <c r="O17" s="142">
        <v>0</v>
      </c>
      <c r="P17" s="142">
        <f>SUM(N17:O17)</f>
        <v>25626.356249999997</v>
      </c>
      <c r="Q17" s="151"/>
    </row>
    <row r="18" spans="1:19" ht="12" customHeight="1" x14ac:dyDescent="0.4">
      <c r="A18" s="180" t="s">
        <v>378</v>
      </c>
      <c r="B18" s="180"/>
      <c r="C18" s="166"/>
      <c r="D18" s="296"/>
      <c r="E18" s="168"/>
      <c r="F18" s="168"/>
      <c r="G18" s="168"/>
      <c r="H18" s="324"/>
      <c r="I18" s="168"/>
      <c r="J18" s="324"/>
      <c r="K18" s="168"/>
      <c r="L18" s="168"/>
      <c r="M18" s="168"/>
      <c r="N18" s="168"/>
      <c r="O18" s="168"/>
      <c r="P18" s="168"/>
      <c r="Q18" s="151"/>
      <c r="R18" s="13"/>
      <c r="S18" s="13"/>
    </row>
    <row r="19" spans="1:19" ht="12" customHeight="1" x14ac:dyDescent="0.35">
      <c r="A19" s="139" t="s">
        <v>379</v>
      </c>
      <c r="B19" s="139" t="s">
        <v>52</v>
      </c>
      <c r="C19" s="139" t="s">
        <v>54</v>
      </c>
      <c r="D19" s="140" t="s">
        <v>91</v>
      </c>
      <c r="E19" s="142">
        <f>2*12</f>
        <v>24</v>
      </c>
      <c r="F19" s="142">
        <f>125000/222</f>
        <v>563.06306306306305</v>
      </c>
      <c r="G19" s="142">
        <f>E19*F19</f>
        <v>13513.513513513513</v>
      </c>
      <c r="H19" s="323">
        <f>2*12</f>
        <v>24</v>
      </c>
      <c r="I19" s="142">
        <f>H19*F19*$B$7</f>
        <v>13918.918918918918</v>
      </c>
      <c r="J19" s="323">
        <f>2*12</f>
        <v>24</v>
      </c>
      <c r="K19" s="142">
        <f>J19*F19*$B$7*$B$7</f>
        <v>14336.486486486487</v>
      </c>
      <c r="L19" s="323">
        <f>2*12</f>
        <v>24</v>
      </c>
      <c r="M19" s="142">
        <f>L19*F19*$B$7*$B$7*$B$7</f>
        <v>14766.581081081082</v>
      </c>
      <c r="N19" s="142">
        <f t="shared" si="4"/>
        <v>56535.5</v>
      </c>
      <c r="O19" s="142">
        <v>0</v>
      </c>
      <c r="P19" s="142">
        <f>SUM(N19:O19)</f>
        <v>56535.5</v>
      </c>
      <c r="Q19" s="151"/>
      <c r="R19" s="13"/>
      <c r="S19" s="114"/>
    </row>
    <row r="20" spans="1:19" ht="12" customHeight="1" x14ac:dyDescent="0.35">
      <c r="A20" s="139" t="s">
        <v>380</v>
      </c>
      <c r="B20" s="139" t="s">
        <v>52</v>
      </c>
      <c r="C20" s="139" t="s">
        <v>54</v>
      </c>
      <c r="D20" s="140" t="s">
        <v>91</v>
      </c>
      <c r="E20" s="142">
        <f>4*10</f>
        <v>40</v>
      </c>
      <c r="F20" s="142">
        <f>100000/218</f>
        <v>458.71559633027522</v>
      </c>
      <c r="G20" s="142">
        <f>E20*F20</f>
        <v>18348.623853211007</v>
      </c>
      <c r="H20" s="323">
        <f>3*12</f>
        <v>36</v>
      </c>
      <c r="I20" s="142">
        <f t="shared" ref="I20:I23" si="5">H20*F20*$B$7</f>
        <v>17009.174311926607</v>
      </c>
      <c r="J20" s="323">
        <f>2*12</f>
        <v>24</v>
      </c>
      <c r="K20" s="142">
        <f t="shared" ref="K20:K23" si="6">J20*F20*$B$7*$B$7</f>
        <v>11679.633027522936</v>
      </c>
      <c r="L20" s="323">
        <f>2*12</f>
        <v>24</v>
      </c>
      <c r="M20" s="142">
        <f t="shared" ref="M20:M23" si="7">L20*F20*$B$7*$B$7*$B$7</f>
        <v>12030.022018348624</v>
      </c>
      <c r="N20" s="142">
        <f t="shared" si="4"/>
        <v>59067.453211009175</v>
      </c>
      <c r="O20" s="142">
        <v>0</v>
      </c>
      <c r="P20" s="142">
        <f>SUM(N20:O20)</f>
        <v>59067.453211009175</v>
      </c>
      <c r="Q20" s="151"/>
      <c r="R20" s="13"/>
      <c r="S20" s="13"/>
    </row>
    <row r="21" spans="1:19" ht="12" customHeight="1" x14ac:dyDescent="0.35">
      <c r="A21" s="139" t="s">
        <v>381</v>
      </c>
      <c r="B21" s="139" t="s">
        <v>52</v>
      </c>
      <c r="C21" s="139" t="s">
        <v>54</v>
      </c>
      <c r="D21" s="140" t="s">
        <v>91</v>
      </c>
      <c r="E21" s="142">
        <f>1*12</f>
        <v>12</v>
      </c>
      <c r="F21" s="142">
        <f>70000/222</f>
        <v>315.31531531531533</v>
      </c>
      <c r="G21" s="142">
        <f t="shared" ref="G21:G23" si="8">E21*F21</f>
        <v>3783.7837837837842</v>
      </c>
      <c r="H21" s="323">
        <f>1*12</f>
        <v>12</v>
      </c>
      <c r="I21" s="142">
        <f t="shared" si="5"/>
        <v>3897.297297297298</v>
      </c>
      <c r="J21" s="323">
        <f>1*12</f>
        <v>12</v>
      </c>
      <c r="K21" s="142">
        <f t="shared" si="6"/>
        <v>4014.2162162162172</v>
      </c>
      <c r="L21" s="323">
        <f>1*12</f>
        <v>12</v>
      </c>
      <c r="M21" s="142">
        <f t="shared" si="7"/>
        <v>4134.6427027027039</v>
      </c>
      <c r="N21" s="142">
        <f t="shared" si="4"/>
        <v>15829.940000000002</v>
      </c>
      <c r="O21" s="142">
        <v>0</v>
      </c>
      <c r="P21" s="142">
        <f t="shared" ref="P21:P23" si="9">SUM(N21:O21)</f>
        <v>15829.940000000002</v>
      </c>
      <c r="Q21" s="151"/>
      <c r="R21" s="13"/>
      <c r="S21" s="13"/>
    </row>
    <row r="22" spans="1:19" ht="12" customHeight="1" x14ac:dyDescent="0.35">
      <c r="A22" s="303" t="s">
        <v>382</v>
      </c>
      <c r="B22" s="303" t="s">
        <v>52</v>
      </c>
      <c r="C22" s="303" t="s">
        <v>54</v>
      </c>
      <c r="D22" s="325" t="s">
        <v>91</v>
      </c>
      <c r="E22" s="305">
        <f>1*10</f>
        <v>10</v>
      </c>
      <c r="F22" s="305">
        <f>70000/222</f>
        <v>315.31531531531533</v>
      </c>
      <c r="G22" s="305">
        <f t="shared" si="8"/>
        <v>3153.1531531531532</v>
      </c>
      <c r="H22" s="326">
        <f>2*12</f>
        <v>24</v>
      </c>
      <c r="I22" s="305">
        <f t="shared" si="5"/>
        <v>7794.5945945945959</v>
      </c>
      <c r="J22" s="326">
        <f>1*12</f>
        <v>12</v>
      </c>
      <c r="K22" s="305">
        <f t="shared" si="6"/>
        <v>4014.2162162162172</v>
      </c>
      <c r="L22" s="326">
        <v>10</v>
      </c>
      <c r="M22" s="305">
        <f t="shared" si="7"/>
        <v>3445.535585585586</v>
      </c>
      <c r="N22" s="305">
        <f t="shared" si="4"/>
        <v>18407.499549549553</v>
      </c>
      <c r="O22" s="305">
        <v>0</v>
      </c>
      <c r="P22" s="305">
        <f t="shared" si="9"/>
        <v>18407.499549549553</v>
      </c>
      <c r="Q22" s="151"/>
      <c r="R22" s="13"/>
      <c r="S22" s="13"/>
    </row>
    <row r="23" spans="1:19" ht="12" customHeight="1" x14ac:dyDescent="0.35">
      <c r="A23" s="139" t="s">
        <v>383</v>
      </c>
      <c r="B23" s="139" t="s">
        <v>52</v>
      </c>
      <c r="C23" s="139" t="s">
        <v>54</v>
      </c>
      <c r="D23" s="140" t="s">
        <v>91</v>
      </c>
      <c r="E23" s="142">
        <f>2*10</f>
        <v>20</v>
      </c>
      <c r="F23" s="142">
        <f>70000/222</f>
        <v>315.31531531531533</v>
      </c>
      <c r="G23" s="142">
        <f t="shared" si="8"/>
        <v>6306.3063063063064</v>
      </c>
      <c r="H23" s="323">
        <f>1*12</f>
        <v>12</v>
      </c>
      <c r="I23" s="142">
        <f t="shared" si="5"/>
        <v>3897.297297297298</v>
      </c>
      <c r="J23" s="323">
        <f>1*12</f>
        <v>12</v>
      </c>
      <c r="K23" s="142">
        <f t="shared" si="6"/>
        <v>4014.2162162162172</v>
      </c>
      <c r="L23" s="323">
        <f>1*12</f>
        <v>12</v>
      </c>
      <c r="M23" s="142">
        <f t="shared" si="7"/>
        <v>4134.6427027027039</v>
      </c>
      <c r="N23" s="142">
        <f t="shared" si="4"/>
        <v>18352.462522522525</v>
      </c>
      <c r="O23" s="142">
        <v>0</v>
      </c>
      <c r="P23" s="142">
        <f t="shared" si="9"/>
        <v>18352.462522522525</v>
      </c>
      <c r="Q23" s="151"/>
      <c r="R23" s="13"/>
      <c r="S23" s="13"/>
    </row>
    <row r="24" spans="1:19" ht="12" customHeight="1" x14ac:dyDescent="0.35">
      <c r="A24" s="139"/>
      <c r="B24" s="139"/>
      <c r="C24" s="139"/>
      <c r="D24" s="140"/>
      <c r="E24" s="142"/>
      <c r="F24" s="142"/>
      <c r="G24" s="142"/>
      <c r="H24" s="141"/>
      <c r="I24" s="142"/>
      <c r="J24" s="141"/>
      <c r="K24" s="142"/>
      <c r="L24" s="141"/>
      <c r="M24" s="142"/>
      <c r="N24" s="142"/>
      <c r="O24" s="142"/>
      <c r="P24" s="142"/>
      <c r="Q24" s="151"/>
      <c r="R24" s="13"/>
      <c r="S24" s="13"/>
    </row>
    <row r="25" spans="1:19" ht="12" customHeight="1" x14ac:dyDescent="0.4">
      <c r="A25" s="135" t="s">
        <v>75</v>
      </c>
      <c r="B25" s="135"/>
      <c r="C25" s="135"/>
      <c r="D25" s="136"/>
      <c r="E25" s="148"/>
      <c r="F25" s="148"/>
      <c r="G25" s="148">
        <f>SUM(G14:G23)</f>
        <v>76605.38060996776</v>
      </c>
      <c r="H25" s="148"/>
      <c r="I25" s="148">
        <f>SUM(I14:I23)</f>
        <v>135009.78242003472</v>
      </c>
      <c r="J25" s="148"/>
      <c r="K25" s="148">
        <f>SUM(K14:K23)</f>
        <v>129648.50566265805</v>
      </c>
      <c r="L25" s="148"/>
      <c r="M25" s="148">
        <f>SUM(M14:M23)</f>
        <v>130313.2641404207</v>
      </c>
      <c r="N25" s="148">
        <f>SUM(G25+I25+K25+M25)</f>
        <v>471576.93283308123</v>
      </c>
      <c r="O25" s="148">
        <v>0</v>
      </c>
      <c r="P25" s="148">
        <f>SUM(N25:O25)</f>
        <v>471576.93283308123</v>
      </c>
      <c r="Q25" s="151"/>
      <c r="R25" s="149"/>
      <c r="S25" s="114"/>
    </row>
    <row r="26" spans="1:19" ht="12" customHeight="1" x14ac:dyDescent="0.4">
      <c r="A26" s="135"/>
      <c r="B26" s="135"/>
      <c r="C26" s="135"/>
      <c r="D26" s="136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51"/>
      <c r="R26" s="149"/>
      <c r="S26" s="114"/>
    </row>
    <row r="27" spans="1:19" ht="12" customHeight="1" x14ac:dyDescent="0.4">
      <c r="A27" s="135" t="s">
        <v>76</v>
      </c>
      <c r="B27" s="135"/>
      <c r="C27" s="135"/>
      <c r="D27" s="136"/>
      <c r="E27" s="148"/>
      <c r="F27" s="148"/>
      <c r="G27" s="148"/>
      <c r="H27" s="148"/>
      <c r="I27" s="148"/>
      <c r="J27" s="148"/>
      <c r="K27" s="148"/>
      <c r="L27" s="148"/>
      <c r="M27" s="148"/>
      <c r="N27" s="142"/>
      <c r="O27" s="148"/>
      <c r="P27" s="148"/>
      <c r="Q27" s="151"/>
      <c r="R27" s="146"/>
      <c r="S27" s="13"/>
    </row>
    <row r="28" spans="1:19" ht="12" customHeight="1" x14ac:dyDescent="0.35">
      <c r="A28" s="303" t="s">
        <v>384</v>
      </c>
      <c r="B28" s="303"/>
      <c r="C28" s="303" t="s">
        <v>76</v>
      </c>
      <c r="D28" s="325"/>
      <c r="E28" s="305"/>
      <c r="F28" s="308">
        <v>0.28999999999999998</v>
      </c>
      <c r="G28" s="327">
        <f>F28*SUM(G19:G23)</f>
        <v>13080.560376890651</v>
      </c>
      <c r="H28" s="305"/>
      <c r="I28" s="305">
        <f>F28*SUM(I19:I23)</f>
        <v>13490.011901810067</v>
      </c>
      <c r="J28" s="305"/>
      <c r="K28" s="305">
        <f>F28*SUM(K19:K23)</f>
        <v>11037.04276717084</v>
      </c>
      <c r="L28" s="305"/>
      <c r="M28" s="305">
        <f>F28*SUM(M19:M23)</f>
        <v>11168.312986222001</v>
      </c>
      <c r="N28" s="305">
        <f>SUM(G28+I28+K28+M28)</f>
        <v>48775.928032093558</v>
      </c>
      <c r="O28" s="305">
        <v>0</v>
      </c>
      <c r="P28" s="305">
        <f>SUM(N28:O28)</f>
        <v>48775.928032093558</v>
      </c>
      <c r="Q28" s="151"/>
      <c r="S28" s="13"/>
    </row>
    <row r="29" spans="1:19" ht="12" customHeight="1" x14ac:dyDescent="0.35">
      <c r="D29" s="153"/>
      <c r="E29" s="142">
        <v>5</v>
      </c>
      <c r="F29" s="138"/>
      <c r="G29" s="138"/>
      <c r="H29" s="138"/>
      <c r="I29" s="138"/>
      <c r="J29" s="138"/>
      <c r="K29" s="138"/>
      <c r="L29" s="138"/>
      <c r="M29" s="138"/>
      <c r="N29" s="138"/>
      <c r="O29" s="142"/>
      <c r="P29" s="138"/>
      <c r="Q29" s="151"/>
      <c r="R29" s="13"/>
      <c r="S29" s="13"/>
    </row>
    <row r="30" spans="1:19" ht="10.8" thickBot="1" x14ac:dyDescent="0.45">
      <c r="A30" s="154" t="s">
        <v>82</v>
      </c>
      <c r="B30" s="154"/>
      <c r="C30" s="154"/>
      <c r="D30" s="155"/>
      <c r="E30" s="190"/>
      <c r="F30" s="156"/>
      <c r="G30" s="157">
        <f>SUM(G25:G28)</f>
        <v>89685.940986858419</v>
      </c>
      <c r="H30" s="157"/>
      <c r="I30" s="157">
        <f>SUM(I25:I28)</f>
        <v>148499.79432184479</v>
      </c>
      <c r="J30" s="157"/>
      <c r="K30" s="157">
        <f>SUM(K25:K28)</f>
        <v>140685.54842982889</v>
      </c>
      <c r="L30" s="157"/>
      <c r="M30" s="157">
        <f>SUM(M25:M28)</f>
        <v>141481.57712664269</v>
      </c>
      <c r="N30" s="157">
        <f>G30+I30+K30+M30</f>
        <v>520352.86086517479</v>
      </c>
      <c r="O30" s="157">
        <f>SUM(O13:O28)</f>
        <v>0</v>
      </c>
      <c r="P30" s="158">
        <f>SUM(N30:O30)</f>
        <v>520352.86086517479</v>
      </c>
      <c r="S30" s="159"/>
    </row>
    <row r="31" spans="1:19" ht="12" customHeight="1" x14ac:dyDescent="0.35">
      <c r="D31" s="153"/>
      <c r="E31" s="142"/>
      <c r="F31" s="138"/>
      <c r="G31" s="138"/>
      <c r="H31" s="138"/>
      <c r="I31" s="138"/>
      <c r="J31" s="138"/>
      <c r="K31" s="138"/>
      <c r="L31" s="138"/>
      <c r="M31" s="138"/>
      <c r="N31" s="138"/>
      <c r="O31" s="142"/>
      <c r="P31" s="138"/>
      <c r="Q31" s="151"/>
      <c r="R31" s="13"/>
      <c r="S31" s="13"/>
    </row>
    <row r="32" spans="1:19" ht="12" customHeight="1" x14ac:dyDescent="0.4">
      <c r="A32" s="160" t="s">
        <v>8</v>
      </c>
      <c r="B32" s="160"/>
      <c r="C32" s="160"/>
      <c r="D32" s="161"/>
      <c r="E32" s="241"/>
      <c r="F32" s="162"/>
      <c r="G32" s="163"/>
      <c r="H32" s="163"/>
      <c r="I32" s="163"/>
      <c r="J32" s="163"/>
      <c r="K32" s="163"/>
      <c r="L32" s="163"/>
      <c r="M32" s="163"/>
      <c r="N32" s="163"/>
      <c r="O32" s="163"/>
      <c r="P32" s="164"/>
      <c r="R32" s="165"/>
    </row>
    <row r="33" spans="1:18" ht="12" customHeight="1" x14ac:dyDescent="0.35">
      <c r="A33" s="244" t="s">
        <v>385</v>
      </c>
      <c r="B33" s="166"/>
      <c r="C33" s="166"/>
      <c r="D33" s="167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R33" s="169"/>
    </row>
    <row r="34" spans="1:18" ht="12" customHeight="1" x14ac:dyDescent="0.35">
      <c r="A34" s="149" t="s">
        <v>386</v>
      </c>
      <c r="C34" s="149" t="s">
        <v>8</v>
      </c>
      <c r="D34" s="170" t="s">
        <v>86</v>
      </c>
      <c r="E34" s="142">
        <v>1</v>
      </c>
      <c r="F34" s="142">
        <v>400</v>
      </c>
      <c r="G34" s="142">
        <f>E34*F34</f>
        <v>400</v>
      </c>
      <c r="H34" s="142">
        <v>1</v>
      </c>
      <c r="I34" s="142">
        <f>H34*F34*$B$6</f>
        <v>420</v>
      </c>
      <c r="J34" s="142">
        <v>1</v>
      </c>
      <c r="K34" s="142">
        <f>J34*F34*$B$6*$B$6</f>
        <v>441</v>
      </c>
      <c r="L34" s="142">
        <v>1</v>
      </c>
      <c r="M34" s="142">
        <f>L34*F34*$B$6*$B$6*$B$6</f>
        <v>463.05</v>
      </c>
      <c r="N34" s="142">
        <f>G34+I34+K34+M34</f>
        <v>1724.05</v>
      </c>
      <c r="O34" s="142" t="s">
        <v>87</v>
      </c>
      <c r="P34" s="142">
        <f t="shared" ref="P34:P35" si="10">SUM(N34:O34)</f>
        <v>1724.05</v>
      </c>
      <c r="R34" s="169"/>
    </row>
    <row r="35" spans="1:18" ht="12" customHeight="1" x14ac:dyDescent="0.35">
      <c r="A35" s="149" t="s">
        <v>387</v>
      </c>
      <c r="C35" s="149" t="s">
        <v>8</v>
      </c>
      <c r="D35" s="170" t="s">
        <v>86</v>
      </c>
      <c r="E35" s="142">
        <v>1</v>
      </c>
      <c r="F35" s="142">
        <v>60</v>
      </c>
      <c r="G35" s="142">
        <f>E35*F35</f>
        <v>60</v>
      </c>
      <c r="H35" s="142">
        <v>1</v>
      </c>
      <c r="I35" s="142">
        <f t="shared" ref="I35:I43" si="11">H35*F35*$B$6</f>
        <v>63</v>
      </c>
      <c r="J35" s="142">
        <v>1</v>
      </c>
      <c r="K35" s="142">
        <f t="shared" ref="K35:K43" si="12">J35*F35*$B$6*$B$6</f>
        <v>66.150000000000006</v>
      </c>
      <c r="L35" s="142">
        <v>1</v>
      </c>
      <c r="M35" s="142">
        <f t="shared" ref="M35:M43" si="13">L35*F35*$B$6*$B$6*$B$6</f>
        <v>69.45750000000001</v>
      </c>
      <c r="N35" s="142">
        <f t="shared" ref="N35:N43" si="14">G35+I35+K35+M35</f>
        <v>258.60750000000002</v>
      </c>
      <c r="O35" s="142" t="s">
        <v>87</v>
      </c>
      <c r="P35" s="142">
        <f t="shared" si="10"/>
        <v>258.60750000000002</v>
      </c>
      <c r="R35" s="169"/>
    </row>
    <row r="36" spans="1:18" ht="12" customHeight="1" x14ac:dyDescent="0.35">
      <c r="A36" s="149" t="s">
        <v>388</v>
      </c>
      <c r="C36" s="149" t="s">
        <v>8</v>
      </c>
      <c r="D36" s="170" t="s">
        <v>91</v>
      </c>
      <c r="E36" s="142">
        <v>7</v>
      </c>
      <c r="F36" s="142">
        <f>200+99</f>
        <v>299</v>
      </c>
      <c r="G36" s="142">
        <f t="shared" ref="G36:G37" si="15">E36*F36</f>
        <v>2093</v>
      </c>
      <c r="H36" s="142">
        <v>7</v>
      </c>
      <c r="I36" s="142">
        <f t="shared" si="11"/>
        <v>2197.65</v>
      </c>
      <c r="J36" s="142">
        <v>7</v>
      </c>
      <c r="K36" s="142">
        <f t="shared" si="12"/>
        <v>2307.5325000000003</v>
      </c>
      <c r="L36" s="142">
        <v>7</v>
      </c>
      <c r="M36" s="142">
        <f t="shared" si="13"/>
        <v>2422.9091250000006</v>
      </c>
      <c r="N36" s="142">
        <f t="shared" si="14"/>
        <v>9021.0916250000009</v>
      </c>
      <c r="O36" s="142" t="s">
        <v>87</v>
      </c>
      <c r="P36" s="142">
        <f t="shared" ref="P36:P37" si="16">SUM(N36:O36)</f>
        <v>9021.0916250000009</v>
      </c>
      <c r="R36" s="169"/>
    </row>
    <row r="37" spans="1:18" ht="12" customHeight="1" x14ac:dyDescent="0.35">
      <c r="A37" s="149" t="s">
        <v>389</v>
      </c>
      <c r="C37" s="149" t="s">
        <v>8</v>
      </c>
      <c r="D37" s="170" t="s">
        <v>91</v>
      </c>
      <c r="E37" s="142">
        <v>7</v>
      </c>
      <c r="F37" s="142">
        <v>25</v>
      </c>
      <c r="G37" s="142">
        <f t="shared" si="15"/>
        <v>175</v>
      </c>
      <c r="H37" s="142">
        <v>7</v>
      </c>
      <c r="I37" s="142">
        <f t="shared" si="11"/>
        <v>183.75</v>
      </c>
      <c r="J37" s="142">
        <v>7</v>
      </c>
      <c r="K37" s="142">
        <f t="shared" si="12"/>
        <v>192.9375</v>
      </c>
      <c r="L37" s="142">
        <v>7</v>
      </c>
      <c r="M37" s="142">
        <f t="shared" si="13"/>
        <v>202.58437500000002</v>
      </c>
      <c r="N37" s="142">
        <f t="shared" si="14"/>
        <v>754.27187500000002</v>
      </c>
      <c r="O37" s="142" t="s">
        <v>87</v>
      </c>
      <c r="P37" s="142">
        <f t="shared" si="16"/>
        <v>754.27187500000002</v>
      </c>
      <c r="R37" s="169"/>
    </row>
    <row r="38" spans="1:18" ht="20.399999999999999" x14ac:dyDescent="0.35">
      <c r="A38" s="244" t="s">
        <v>390</v>
      </c>
      <c r="B38" s="166"/>
      <c r="C38" s="166"/>
      <c r="D38" s="167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R38" s="169"/>
    </row>
    <row r="39" spans="1:18" ht="12" customHeight="1" x14ac:dyDescent="0.35">
      <c r="A39" s="149" t="s">
        <v>391</v>
      </c>
      <c r="C39" s="149" t="s">
        <v>8</v>
      </c>
      <c r="D39" s="170" t="s">
        <v>86</v>
      </c>
      <c r="E39" s="142">
        <v>5</v>
      </c>
      <c r="F39" s="142">
        <v>70</v>
      </c>
      <c r="G39" s="142">
        <f>E39*F39</f>
        <v>350</v>
      </c>
      <c r="H39" s="142">
        <v>6</v>
      </c>
      <c r="I39" s="142">
        <f t="shared" si="11"/>
        <v>441</v>
      </c>
      <c r="J39" s="142">
        <v>4</v>
      </c>
      <c r="K39" s="142">
        <f t="shared" si="12"/>
        <v>308.7</v>
      </c>
      <c r="L39" s="142">
        <v>2</v>
      </c>
      <c r="M39" s="142">
        <f t="shared" si="13"/>
        <v>162.0675</v>
      </c>
      <c r="N39" s="142">
        <f t="shared" si="14"/>
        <v>1261.7674999999999</v>
      </c>
      <c r="O39" s="142" t="s">
        <v>87</v>
      </c>
      <c r="P39" s="142">
        <f t="shared" ref="P39:P43" si="17">SUM(N39:O39)</f>
        <v>1261.7674999999999</v>
      </c>
      <c r="R39" s="169"/>
    </row>
    <row r="40" spans="1:18" ht="12" customHeight="1" x14ac:dyDescent="0.35">
      <c r="A40" s="149" t="s">
        <v>392</v>
      </c>
      <c r="C40" s="149" t="s">
        <v>8</v>
      </c>
      <c r="D40" s="170" t="s">
        <v>86</v>
      </c>
      <c r="E40" s="142">
        <v>5</v>
      </c>
      <c r="F40" s="142">
        <v>60</v>
      </c>
      <c r="G40" s="142">
        <f>E40*F40</f>
        <v>300</v>
      </c>
      <c r="H40" s="142">
        <v>6</v>
      </c>
      <c r="I40" s="142">
        <f t="shared" si="11"/>
        <v>378</v>
      </c>
      <c r="J40" s="142">
        <v>4</v>
      </c>
      <c r="K40" s="142">
        <f t="shared" si="12"/>
        <v>264.60000000000002</v>
      </c>
      <c r="L40" s="142">
        <v>2</v>
      </c>
      <c r="M40" s="142">
        <f t="shared" si="13"/>
        <v>138.91500000000002</v>
      </c>
      <c r="N40" s="142">
        <f t="shared" si="14"/>
        <v>1081.5150000000001</v>
      </c>
      <c r="O40" s="142" t="s">
        <v>87</v>
      </c>
      <c r="P40" s="142">
        <f t="shared" si="17"/>
        <v>1081.5150000000001</v>
      </c>
      <c r="R40" s="169"/>
    </row>
    <row r="41" spans="1:18" ht="12" customHeight="1" x14ac:dyDescent="0.35">
      <c r="A41" s="149" t="s">
        <v>393</v>
      </c>
      <c r="C41" s="149" t="s">
        <v>8</v>
      </c>
      <c r="D41" s="170" t="s">
        <v>91</v>
      </c>
      <c r="E41" s="142">
        <f t="shared" ref="E41:E42" si="18">5*5</f>
        <v>25</v>
      </c>
      <c r="F41" s="142">
        <f>96+55</f>
        <v>151</v>
      </c>
      <c r="G41" s="142">
        <f t="shared" ref="G41:G43" si="19">E41*F41</f>
        <v>3775</v>
      </c>
      <c r="H41" s="142">
        <f t="shared" ref="H41:H42" si="20">6*5</f>
        <v>30</v>
      </c>
      <c r="I41" s="142">
        <f t="shared" si="11"/>
        <v>4756.5</v>
      </c>
      <c r="J41" s="142">
        <f>4*5</f>
        <v>20</v>
      </c>
      <c r="K41" s="142">
        <f t="shared" si="12"/>
        <v>3329.55</v>
      </c>
      <c r="L41" s="142">
        <f>2*5</f>
        <v>10</v>
      </c>
      <c r="M41" s="142">
        <f t="shared" si="13"/>
        <v>1748.0137500000001</v>
      </c>
      <c r="N41" s="142">
        <f t="shared" si="14"/>
        <v>13609.063749999999</v>
      </c>
      <c r="O41" s="142" t="s">
        <v>87</v>
      </c>
      <c r="P41" s="142">
        <f t="shared" si="17"/>
        <v>13609.063749999999</v>
      </c>
      <c r="R41" s="169"/>
    </row>
    <row r="42" spans="1:18" ht="12" customHeight="1" x14ac:dyDescent="0.35">
      <c r="A42" s="149" t="s">
        <v>394</v>
      </c>
      <c r="C42" s="149" t="s">
        <v>8</v>
      </c>
      <c r="D42" s="170" t="s">
        <v>91</v>
      </c>
      <c r="E42" s="142">
        <f t="shared" si="18"/>
        <v>25</v>
      </c>
      <c r="F42" s="142">
        <f>200+99</f>
        <v>299</v>
      </c>
      <c r="G42" s="142">
        <f t="shared" si="19"/>
        <v>7475</v>
      </c>
      <c r="H42" s="142">
        <f t="shared" si="20"/>
        <v>30</v>
      </c>
      <c r="I42" s="142">
        <f t="shared" si="11"/>
        <v>9418.5</v>
      </c>
      <c r="J42" s="142">
        <f>4*5</f>
        <v>20</v>
      </c>
      <c r="K42" s="142">
        <f t="shared" si="12"/>
        <v>6592.9500000000007</v>
      </c>
      <c r="L42" s="142">
        <f>2*5</f>
        <v>10</v>
      </c>
      <c r="M42" s="142">
        <f t="shared" si="13"/>
        <v>3461.2987500000004</v>
      </c>
      <c r="N42" s="142">
        <f t="shared" si="14"/>
        <v>26947.748750000002</v>
      </c>
      <c r="O42" s="142" t="s">
        <v>87</v>
      </c>
      <c r="P42" s="142">
        <f t="shared" si="17"/>
        <v>26947.748750000002</v>
      </c>
      <c r="R42" s="169"/>
    </row>
    <row r="43" spans="1:18" ht="12" customHeight="1" x14ac:dyDescent="0.35">
      <c r="A43" s="149" t="s">
        <v>389</v>
      </c>
      <c r="C43" s="149" t="s">
        <v>8</v>
      </c>
      <c r="D43" s="170" t="s">
        <v>91</v>
      </c>
      <c r="E43" s="142">
        <v>50</v>
      </c>
      <c r="F43" s="142">
        <v>25</v>
      </c>
      <c r="G43" s="142">
        <f t="shared" si="19"/>
        <v>1250</v>
      </c>
      <c r="H43" s="142">
        <v>60</v>
      </c>
      <c r="I43" s="142">
        <f t="shared" si="11"/>
        <v>1575</v>
      </c>
      <c r="J43" s="142">
        <v>40</v>
      </c>
      <c r="K43" s="142">
        <f t="shared" si="12"/>
        <v>1102.5</v>
      </c>
      <c r="L43" s="142">
        <v>20</v>
      </c>
      <c r="M43" s="142">
        <f t="shared" si="13"/>
        <v>578.8125</v>
      </c>
      <c r="N43" s="142">
        <f t="shared" si="14"/>
        <v>4506.3125</v>
      </c>
      <c r="O43" s="142" t="s">
        <v>87</v>
      </c>
      <c r="P43" s="142">
        <f t="shared" si="17"/>
        <v>4506.3125</v>
      </c>
      <c r="R43" s="169"/>
    </row>
    <row r="44" spans="1:18" ht="12" customHeight="1" x14ac:dyDescent="0.35">
      <c r="A44" s="139"/>
      <c r="B44" s="139"/>
      <c r="C44" s="139"/>
      <c r="D44" s="170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R44" s="169"/>
    </row>
    <row r="45" spans="1:18" ht="12" customHeight="1" thickBot="1" x14ac:dyDescent="0.45">
      <c r="A45" s="154" t="s">
        <v>118</v>
      </c>
      <c r="B45" s="154"/>
      <c r="C45" s="154"/>
      <c r="D45" s="155"/>
      <c r="E45" s="190"/>
      <c r="F45" s="156"/>
      <c r="G45" s="157">
        <f>SUM(G33:G43)</f>
        <v>15878</v>
      </c>
      <c r="H45" s="157"/>
      <c r="I45" s="157">
        <f>SUM(I33:I43)</f>
        <v>19433.400000000001</v>
      </c>
      <c r="J45" s="157"/>
      <c r="K45" s="157">
        <f>SUM(K33:K43)</f>
        <v>14605.920000000002</v>
      </c>
      <c r="L45" s="157"/>
      <c r="M45" s="157">
        <f>SUM(M33:M43)</f>
        <v>9247.1085000000003</v>
      </c>
      <c r="N45" s="157">
        <f>G45+I45+K45+M45</f>
        <v>59164.428500000009</v>
      </c>
      <c r="O45" s="157">
        <f>SUM(O33:O43)</f>
        <v>0</v>
      </c>
      <c r="P45" s="158">
        <f>SUM(N45:O45)</f>
        <v>59164.428500000009</v>
      </c>
      <c r="R45" s="169"/>
    </row>
    <row r="46" spans="1:18" ht="12" customHeight="1" x14ac:dyDescent="0.4">
      <c r="A46" s="129" t="s">
        <v>395</v>
      </c>
      <c r="B46" s="129"/>
      <c r="C46" s="129"/>
      <c r="D46" s="129"/>
      <c r="E46" s="242"/>
      <c r="F46" s="131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R46" s="171"/>
    </row>
    <row r="47" spans="1:18" ht="12" customHeight="1" x14ac:dyDescent="0.35">
      <c r="A47" s="149" t="s">
        <v>396</v>
      </c>
      <c r="B47" s="139"/>
      <c r="C47" s="139" t="s">
        <v>124</v>
      </c>
      <c r="D47" s="153" t="s">
        <v>125</v>
      </c>
      <c r="E47" s="142">
        <v>3</v>
      </c>
      <c r="F47" s="142">
        <v>200</v>
      </c>
      <c r="G47" s="142">
        <f>E47*F47</f>
        <v>600</v>
      </c>
      <c r="H47" s="142">
        <v>0</v>
      </c>
      <c r="I47" s="142">
        <f>H47*F47*$B$5</f>
        <v>0</v>
      </c>
      <c r="J47" s="142">
        <v>0</v>
      </c>
      <c r="K47" s="142">
        <f>J47*F47*$B$5*$B$5</f>
        <v>0</v>
      </c>
      <c r="L47" s="142">
        <v>0</v>
      </c>
      <c r="M47" s="142">
        <f>L47*F47*$B$5*$B$5*$B$5</f>
        <v>0</v>
      </c>
      <c r="N47" s="142">
        <f>G47+I47+K47+M47</f>
        <v>600</v>
      </c>
      <c r="O47" s="142">
        <v>0</v>
      </c>
      <c r="P47" s="142">
        <f t="shared" ref="P47:P48" si="21">SUM(N47:O47)</f>
        <v>600</v>
      </c>
    </row>
    <row r="48" spans="1:18" ht="12" customHeight="1" x14ac:dyDescent="0.35">
      <c r="A48" s="139" t="s">
        <v>397</v>
      </c>
      <c r="B48" s="139"/>
      <c r="C48" s="139" t="s">
        <v>124</v>
      </c>
      <c r="D48" s="153" t="s">
        <v>125</v>
      </c>
      <c r="E48" s="142">
        <v>12</v>
      </c>
      <c r="F48" s="142">
        <v>25</v>
      </c>
      <c r="G48" s="142">
        <f t="shared" ref="G48" si="22">E48*F48</f>
        <v>300</v>
      </c>
      <c r="H48" s="142">
        <v>12</v>
      </c>
      <c r="I48" s="142">
        <f>H48*F48*$B$5</f>
        <v>309</v>
      </c>
      <c r="J48" s="142">
        <v>12</v>
      </c>
      <c r="K48" s="142">
        <f t="shared" ref="K48" si="23">J48*F48*$B$5*$B$5</f>
        <v>318.27</v>
      </c>
      <c r="L48" s="142">
        <v>12</v>
      </c>
      <c r="M48" s="142">
        <f t="shared" ref="M48" si="24">L48*F48*$B$5*$B$5*$B$5</f>
        <v>327.81810000000002</v>
      </c>
      <c r="N48" s="142">
        <f>G48+I48+K48+M48</f>
        <v>1255.0880999999999</v>
      </c>
      <c r="O48" s="142">
        <v>0</v>
      </c>
      <c r="P48" s="142">
        <f t="shared" si="21"/>
        <v>1255.0880999999999</v>
      </c>
      <c r="Q48" s="195"/>
    </row>
    <row r="49" spans="1:21" ht="12" customHeight="1" x14ac:dyDescent="0.35">
      <c r="A49" s="139"/>
      <c r="B49" s="139"/>
      <c r="C49" s="139"/>
      <c r="D49" s="170"/>
      <c r="E49" s="203"/>
    </row>
    <row r="50" spans="1:21" ht="12" customHeight="1" thickBot="1" x14ac:dyDescent="0.45">
      <c r="A50" s="174" t="s">
        <v>398</v>
      </c>
      <c r="B50" s="174"/>
      <c r="C50" s="174"/>
      <c r="D50" s="154"/>
      <c r="E50" s="243"/>
      <c r="F50" s="176"/>
      <c r="G50" s="106">
        <f>SUM(G47:G48)</f>
        <v>900</v>
      </c>
      <c r="H50" s="106"/>
      <c r="I50" s="106">
        <f>SUM(I47:I48)</f>
        <v>309</v>
      </c>
      <c r="J50" s="106"/>
      <c r="K50" s="106">
        <f>SUM(K47:K48)</f>
        <v>318.27</v>
      </c>
      <c r="L50" s="106"/>
      <c r="M50" s="106">
        <f>SUM(M47:M48)</f>
        <v>327.81810000000002</v>
      </c>
      <c r="N50" s="157">
        <f>G50+I50+K50+M50</f>
        <v>1855.0880999999999</v>
      </c>
      <c r="O50" s="106">
        <f>SUM(O47:O48)</f>
        <v>0</v>
      </c>
      <c r="P50" s="158">
        <f>SUM(N50:O50)</f>
        <v>1855.0880999999999</v>
      </c>
      <c r="S50" s="177"/>
    </row>
    <row r="51" spans="1:21" ht="12" customHeight="1" x14ac:dyDescent="0.4">
      <c r="A51" s="129" t="s">
        <v>399</v>
      </c>
      <c r="B51" s="129"/>
      <c r="C51" s="129"/>
      <c r="D51" s="129"/>
      <c r="E51" s="242"/>
      <c r="F51" s="131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R51" s="171"/>
    </row>
    <row r="52" spans="1:21" ht="12" customHeight="1" x14ac:dyDescent="0.35">
      <c r="A52" s="303" t="s">
        <v>400</v>
      </c>
      <c r="B52" s="303"/>
      <c r="C52" s="303" t="s">
        <v>399</v>
      </c>
      <c r="D52" s="304" t="s">
        <v>55</v>
      </c>
      <c r="E52" s="305">
        <v>10</v>
      </c>
      <c r="F52" s="305">
        <v>30</v>
      </c>
      <c r="G52" s="305">
        <f t="shared" ref="G52:G56" si="25">E52*F52</f>
        <v>300</v>
      </c>
      <c r="H52" s="305">
        <v>12</v>
      </c>
      <c r="I52" s="305">
        <f>H52*F52*$B$5</f>
        <v>370.8</v>
      </c>
      <c r="J52" s="305">
        <v>12</v>
      </c>
      <c r="K52" s="305">
        <f>J52*F52*$B$5*$B$5</f>
        <v>381.92400000000004</v>
      </c>
      <c r="L52" s="305">
        <v>10</v>
      </c>
      <c r="M52" s="305">
        <f>L52*F52*$B$5*$B$5*$B$5</f>
        <v>327.81810000000002</v>
      </c>
      <c r="N52" s="305">
        <f>G52+I52+K52</f>
        <v>1052.7239999999999</v>
      </c>
      <c r="O52" s="305">
        <v>0</v>
      </c>
      <c r="P52" s="305">
        <f t="shared" ref="P52:P53" si="26">SUM(N52:O52)</f>
        <v>1052.7239999999999</v>
      </c>
      <c r="Q52" s="224"/>
    </row>
    <row r="53" spans="1:21" ht="12" customHeight="1" x14ac:dyDescent="0.35">
      <c r="A53" s="303" t="s">
        <v>401</v>
      </c>
      <c r="B53" s="303"/>
      <c r="C53" s="303" t="s">
        <v>399</v>
      </c>
      <c r="D53" s="304" t="s">
        <v>55</v>
      </c>
      <c r="E53" s="305">
        <v>10</v>
      </c>
      <c r="F53" s="305">
        <v>5</v>
      </c>
      <c r="G53" s="305">
        <f t="shared" si="25"/>
        <v>50</v>
      </c>
      <c r="H53" s="305">
        <v>12</v>
      </c>
      <c r="I53" s="305">
        <f>H53*F53*$B$5</f>
        <v>61.800000000000004</v>
      </c>
      <c r="J53" s="305">
        <v>12</v>
      </c>
      <c r="K53" s="305">
        <f t="shared" ref="K53:K56" si="27">J53*F53*$B$5*$B$5</f>
        <v>63.654000000000003</v>
      </c>
      <c r="L53" s="305">
        <v>10</v>
      </c>
      <c r="M53" s="305">
        <f t="shared" ref="M53:M56" si="28">L53*F53*$B$5*$B$5*$B$5</f>
        <v>54.63635</v>
      </c>
      <c r="N53" s="305">
        <f t="shared" ref="N53:N56" si="29">G53+I53+K53+M53</f>
        <v>230.09035</v>
      </c>
      <c r="O53" s="305">
        <v>0</v>
      </c>
      <c r="P53" s="305">
        <f t="shared" si="26"/>
        <v>230.09035</v>
      </c>
    </row>
    <row r="54" spans="1:21" ht="12" customHeight="1" x14ac:dyDescent="0.35">
      <c r="A54" s="303" t="s">
        <v>402</v>
      </c>
      <c r="B54" s="303"/>
      <c r="C54" s="303" t="s">
        <v>399</v>
      </c>
      <c r="D54" s="304" t="s">
        <v>55</v>
      </c>
      <c r="E54" s="305">
        <v>10</v>
      </c>
      <c r="F54" s="305">
        <v>25</v>
      </c>
      <c r="G54" s="305">
        <f t="shared" si="25"/>
        <v>250</v>
      </c>
      <c r="H54" s="305">
        <v>12</v>
      </c>
      <c r="I54" s="305">
        <f t="shared" ref="I54:I56" si="30">H54*F54*$B$5</f>
        <v>309</v>
      </c>
      <c r="J54" s="305">
        <v>12</v>
      </c>
      <c r="K54" s="305">
        <f t="shared" si="27"/>
        <v>318.27</v>
      </c>
      <c r="L54" s="305">
        <v>10</v>
      </c>
      <c r="M54" s="305">
        <f t="shared" si="28"/>
        <v>273.18175000000002</v>
      </c>
      <c r="N54" s="305">
        <f t="shared" si="29"/>
        <v>1150.4517499999999</v>
      </c>
      <c r="O54" s="305">
        <v>0</v>
      </c>
      <c r="P54" s="305">
        <f t="shared" ref="P54:P56" si="31">SUM(N54:O54)</f>
        <v>1150.4517499999999</v>
      </c>
    </row>
    <row r="55" spans="1:21" ht="12" customHeight="1" x14ac:dyDescent="0.35">
      <c r="A55" s="303" t="s">
        <v>142</v>
      </c>
      <c r="B55" s="303"/>
      <c r="C55" s="303" t="s">
        <v>399</v>
      </c>
      <c r="D55" s="304" t="s">
        <v>55</v>
      </c>
      <c r="E55" s="305">
        <v>10</v>
      </c>
      <c r="F55" s="305">
        <v>500</v>
      </c>
      <c r="G55" s="305">
        <f t="shared" si="25"/>
        <v>5000</v>
      </c>
      <c r="H55" s="305">
        <v>12</v>
      </c>
      <c r="I55" s="305">
        <f t="shared" si="30"/>
        <v>6180</v>
      </c>
      <c r="J55" s="305">
        <v>12</v>
      </c>
      <c r="K55" s="305">
        <f t="shared" si="27"/>
        <v>6365.4000000000005</v>
      </c>
      <c r="L55" s="305">
        <v>12</v>
      </c>
      <c r="M55" s="305">
        <f t="shared" si="28"/>
        <v>6556.362000000001</v>
      </c>
      <c r="N55" s="305">
        <f t="shared" si="29"/>
        <v>24101.762000000002</v>
      </c>
      <c r="O55" s="305">
        <v>0</v>
      </c>
      <c r="P55" s="305">
        <f t="shared" si="31"/>
        <v>24101.762000000002</v>
      </c>
    </row>
    <row r="56" spans="1:21" ht="12" customHeight="1" x14ac:dyDescent="0.35">
      <c r="A56" s="303" t="s">
        <v>144</v>
      </c>
      <c r="B56" s="303"/>
      <c r="C56" s="303" t="s">
        <v>399</v>
      </c>
      <c r="D56" s="304" t="s">
        <v>55</v>
      </c>
      <c r="E56" s="305">
        <v>10</v>
      </c>
      <c r="F56" s="305">
        <v>40</v>
      </c>
      <c r="G56" s="305">
        <f t="shared" si="25"/>
        <v>400</v>
      </c>
      <c r="H56" s="305">
        <v>12</v>
      </c>
      <c r="I56" s="305">
        <f t="shared" si="30"/>
        <v>494.40000000000003</v>
      </c>
      <c r="J56" s="305">
        <v>12</v>
      </c>
      <c r="K56" s="305">
        <f t="shared" si="27"/>
        <v>509.23200000000003</v>
      </c>
      <c r="L56" s="305">
        <v>12</v>
      </c>
      <c r="M56" s="305">
        <f t="shared" si="28"/>
        <v>524.50896</v>
      </c>
      <c r="N56" s="305">
        <f t="shared" si="29"/>
        <v>1928.1409600000002</v>
      </c>
      <c r="O56" s="305">
        <v>0</v>
      </c>
      <c r="P56" s="305">
        <f t="shared" si="31"/>
        <v>1928.1409600000002</v>
      </c>
    </row>
    <row r="57" spans="1:21" ht="12" customHeight="1" x14ac:dyDescent="0.35">
      <c r="A57" s="139"/>
      <c r="B57" s="139"/>
      <c r="C57" s="139"/>
      <c r="D57" s="170"/>
    </row>
    <row r="58" spans="1:21" ht="12" customHeight="1" thickBot="1" x14ac:dyDescent="0.45">
      <c r="A58" s="174" t="s">
        <v>153</v>
      </c>
      <c r="B58" s="174"/>
      <c r="C58" s="174"/>
      <c r="D58" s="154"/>
      <c r="E58" s="175"/>
      <c r="F58" s="176"/>
      <c r="G58" s="106">
        <f>SUM(G52:G56)</f>
        <v>6000</v>
      </c>
      <c r="H58" s="106"/>
      <c r="I58" s="106">
        <f>SUM(I52:I56)</f>
        <v>7416</v>
      </c>
      <c r="J58" s="106"/>
      <c r="K58" s="106">
        <f>SUM(K52:K56)</f>
        <v>7638.4800000000005</v>
      </c>
      <c r="L58" s="106"/>
      <c r="M58" s="106">
        <f>SUM(M52:M56)</f>
        <v>7736.507160000001</v>
      </c>
      <c r="N58" s="157">
        <f>G58+I58+K58+M58</f>
        <v>28790.987160000001</v>
      </c>
      <c r="O58" s="106">
        <f>SUM(O52:O56)</f>
        <v>0</v>
      </c>
      <c r="P58" s="158">
        <f>SUM(N58:O58)</f>
        <v>28790.987160000001</v>
      </c>
      <c r="S58" s="177"/>
    </row>
    <row r="59" spans="1:21" ht="30" customHeight="1" thickBot="1" x14ac:dyDescent="0.4">
      <c r="A59" s="357" t="s">
        <v>403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S59" s="177"/>
    </row>
    <row r="60" spans="1:21" ht="12" customHeight="1" x14ac:dyDescent="0.4">
      <c r="A60" s="181" t="s">
        <v>154</v>
      </c>
      <c r="B60" s="182"/>
      <c r="C60" s="182"/>
      <c r="D60" s="182"/>
      <c r="E60" s="183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R60" s="171"/>
      <c r="U60" s="118"/>
    </row>
    <row r="61" spans="1:21" ht="12" customHeight="1" x14ac:dyDescent="0.4">
      <c r="A61" s="185" t="s">
        <v>155</v>
      </c>
      <c r="B61" s="186"/>
      <c r="C61" s="186"/>
      <c r="D61" s="187"/>
      <c r="E61" s="188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R61" s="169"/>
    </row>
    <row r="62" spans="1:21" ht="12" customHeight="1" x14ac:dyDescent="0.35">
      <c r="A62" s="303" t="s">
        <v>404</v>
      </c>
      <c r="B62" s="303"/>
      <c r="C62" s="303" t="s">
        <v>405</v>
      </c>
      <c r="D62" s="307" t="s">
        <v>125</v>
      </c>
      <c r="E62" s="305">
        <f>$G$30</f>
        <v>89685.940986858419</v>
      </c>
      <c r="F62" s="306">
        <v>0.5</v>
      </c>
      <c r="G62" s="305">
        <f t="shared" ref="G62:G72" si="32">E62*F62</f>
        <v>44842.970493429209</v>
      </c>
      <c r="H62" s="305">
        <f>$I$30</f>
        <v>148499.79432184479</v>
      </c>
      <c r="I62" s="305">
        <f t="shared" ref="I62:I65" si="33">H62*F62</f>
        <v>74249.897160922395</v>
      </c>
      <c r="J62" s="305">
        <f>$K$30</f>
        <v>140685.54842982889</v>
      </c>
      <c r="K62" s="305">
        <f t="shared" ref="K62:K65" si="34">J62*F62</f>
        <v>70342.774214914447</v>
      </c>
      <c r="L62" s="305">
        <f>$M$30</f>
        <v>141481.57712664269</v>
      </c>
      <c r="M62" s="305">
        <f t="shared" ref="M62:M65" si="35">L62*F62</f>
        <v>70740.788563321345</v>
      </c>
      <c r="N62" s="305">
        <f>G62+I62+K62+M62</f>
        <v>260176.4304325874</v>
      </c>
      <c r="O62" s="305">
        <v>0</v>
      </c>
      <c r="P62" s="305">
        <f t="shared" ref="P62:P72" si="36">SUM(N62:O62)</f>
        <v>260176.4304325874</v>
      </c>
    </row>
    <row r="63" spans="1:21" ht="12" customHeight="1" x14ac:dyDescent="0.35">
      <c r="A63" s="139" t="s">
        <v>406</v>
      </c>
      <c r="B63" s="139"/>
      <c r="C63" s="139" t="s">
        <v>405</v>
      </c>
      <c r="D63" s="153" t="s">
        <v>125</v>
      </c>
      <c r="E63" s="142">
        <f>$G$45</f>
        <v>15878</v>
      </c>
      <c r="F63" s="150">
        <v>0.5</v>
      </c>
      <c r="G63" s="142">
        <f t="shared" si="32"/>
        <v>7939</v>
      </c>
      <c r="H63" s="142">
        <f>$I$45</f>
        <v>19433.400000000001</v>
      </c>
      <c r="I63" s="142">
        <f t="shared" si="33"/>
        <v>9716.7000000000007</v>
      </c>
      <c r="J63" s="142">
        <f>$K$45</f>
        <v>14605.920000000002</v>
      </c>
      <c r="K63" s="142">
        <f t="shared" si="34"/>
        <v>7302.9600000000009</v>
      </c>
      <c r="L63" s="142">
        <f>$M$45</f>
        <v>9247.1085000000003</v>
      </c>
      <c r="M63" s="142">
        <f t="shared" si="35"/>
        <v>4623.5542500000001</v>
      </c>
      <c r="N63" s="142">
        <f t="shared" ref="N63:N72" si="37">G63+I63+K63+M63</f>
        <v>29582.214250000005</v>
      </c>
      <c r="O63" s="142">
        <v>0</v>
      </c>
      <c r="P63" s="142">
        <f t="shared" si="36"/>
        <v>29582.214250000005</v>
      </c>
    </row>
    <row r="64" spans="1:21" ht="12" customHeight="1" x14ac:dyDescent="0.35">
      <c r="A64" s="139" t="s">
        <v>407</v>
      </c>
      <c r="B64" s="139"/>
      <c r="C64" s="139" t="s">
        <v>405</v>
      </c>
      <c r="D64" s="153" t="s">
        <v>125</v>
      </c>
      <c r="E64" s="142">
        <f>$G$50</f>
        <v>900</v>
      </c>
      <c r="F64" s="150">
        <v>0.5</v>
      </c>
      <c r="G64" s="142">
        <f t="shared" si="32"/>
        <v>450</v>
      </c>
      <c r="H64" s="142">
        <f>$I$50</f>
        <v>309</v>
      </c>
      <c r="I64" s="142">
        <f t="shared" si="33"/>
        <v>154.5</v>
      </c>
      <c r="J64" s="142">
        <f>$K$50</f>
        <v>318.27</v>
      </c>
      <c r="K64" s="142">
        <f t="shared" si="34"/>
        <v>159.13499999999999</v>
      </c>
      <c r="L64" s="142">
        <f>$M$50</f>
        <v>327.81810000000002</v>
      </c>
      <c r="M64" s="142">
        <f t="shared" si="35"/>
        <v>163.90905000000001</v>
      </c>
      <c r="N64" s="142">
        <f t="shared" si="37"/>
        <v>927.54404999999997</v>
      </c>
      <c r="O64" s="142">
        <v>0</v>
      </c>
      <c r="P64" s="142">
        <f t="shared" si="36"/>
        <v>927.54404999999997</v>
      </c>
    </row>
    <row r="65" spans="1:21" ht="12" customHeight="1" x14ac:dyDescent="0.35">
      <c r="A65" s="303" t="s">
        <v>408</v>
      </c>
      <c r="B65" s="303"/>
      <c r="C65" s="303" t="s">
        <v>405</v>
      </c>
      <c r="D65" s="307" t="s">
        <v>125</v>
      </c>
      <c r="E65" s="305">
        <f>$G$58</f>
        <v>6000</v>
      </c>
      <c r="F65" s="306">
        <v>0.5</v>
      </c>
      <c r="G65" s="305">
        <f t="shared" si="32"/>
        <v>3000</v>
      </c>
      <c r="H65" s="305">
        <f>$I$58</f>
        <v>7416</v>
      </c>
      <c r="I65" s="305">
        <f t="shared" si="33"/>
        <v>3708</v>
      </c>
      <c r="J65" s="305">
        <f>$K$58</f>
        <v>7638.4800000000005</v>
      </c>
      <c r="K65" s="305">
        <f t="shared" si="34"/>
        <v>3819.2400000000002</v>
      </c>
      <c r="L65" s="305">
        <f>$M$58</f>
        <v>7736.507160000001</v>
      </c>
      <c r="M65" s="305">
        <f t="shared" si="35"/>
        <v>3868.2535800000005</v>
      </c>
      <c r="N65" s="305">
        <f t="shared" si="37"/>
        <v>14395.49358</v>
      </c>
      <c r="O65" s="305">
        <v>0</v>
      </c>
      <c r="P65" s="305">
        <f t="shared" si="36"/>
        <v>14395.49358</v>
      </c>
    </row>
    <row r="66" spans="1:21" ht="12" customHeight="1" x14ac:dyDescent="0.35">
      <c r="A66" s="244" t="s">
        <v>409</v>
      </c>
      <c r="B66" s="166"/>
      <c r="C66" s="166"/>
      <c r="D66" s="262"/>
      <c r="E66" s="168"/>
      <c r="F66" s="263"/>
      <c r="G66" s="168"/>
      <c r="H66" s="168"/>
      <c r="I66" s="168"/>
      <c r="J66" s="168"/>
      <c r="K66" s="168"/>
      <c r="L66" s="168"/>
      <c r="M66" s="168"/>
      <c r="N66" s="168"/>
      <c r="O66" s="168"/>
      <c r="P66" s="168"/>
    </row>
    <row r="67" spans="1:21" ht="12" customHeight="1" x14ac:dyDescent="0.35">
      <c r="A67" s="139" t="s">
        <v>410</v>
      </c>
      <c r="B67" s="139"/>
      <c r="C67" s="139" t="s">
        <v>405</v>
      </c>
      <c r="D67" s="153" t="s">
        <v>125</v>
      </c>
      <c r="E67" s="142">
        <v>2</v>
      </c>
      <c r="F67" s="142">
        <v>230</v>
      </c>
      <c r="G67" s="142">
        <f t="shared" si="32"/>
        <v>460</v>
      </c>
      <c r="H67" s="142">
        <v>3</v>
      </c>
      <c r="I67" s="142">
        <f t="shared" ref="I67:I72" si="38">H67*F67*$B$6</f>
        <v>724.5</v>
      </c>
      <c r="J67" s="142">
        <v>0</v>
      </c>
      <c r="K67" s="142">
        <f t="shared" ref="K67:K72" si="39">J67*F67*$B$6*$B$6</f>
        <v>0</v>
      </c>
      <c r="L67" s="142">
        <v>0</v>
      </c>
      <c r="M67" s="142">
        <f t="shared" ref="M67:M72" si="40">L67*F67*$B$6*$B$6*$B$6</f>
        <v>0</v>
      </c>
      <c r="N67" s="142">
        <f t="shared" si="37"/>
        <v>1184.5</v>
      </c>
      <c r="O67" s="142">
        <v>0</v>
      </c>
      <c r="P67" s="142">
        <f t="shared" si="36"/>
        <v>1184.5</v>
      </c>
    </row>
    <row r="68" spans="1:21" ht="12" customHeight="1" x14ac:dyDescent="0.35">
      <c r="A68" s="139" t="s">
        <v>411</v>
      </c>
      <c r="B68" s="139"/>
      <c r="C68" s="139" t="s">
        <v>405</v>
      </c>
      <c r="D68" s="153" t="s">
        <v>125</v>
      </c>
      <c r="E68" s="142">
        <v>3</v>
      </c>
      <c r="F68" s="142">
        <v>285</v>
      </c>
      <c r="G68" s="142">
        <f t="shared" si="32"/>
        <v>855</v>
      </c>
      <c r="H68" s="142">
        <v>4</v>
      </c>
      <c r="I68" s="142">
        <f t="shared" si="38"/>
        <v>1197</v>
      </c>
      <c r="J68" s="142">
        <v>0</v>
      </c>
      <c r="K68" s="142">
        <f t="shared" si="39"/>
        <v>0</v>
      </c>
      <c r="L68" s="142">
        <v>0</v>
      </c>
      <c r="M68" s="142">
        <f t="shared" si="40"/>
        <v>0</v>
      </c>
      <c r="N68" s="142">
        <f t="shared" si="37"/>
        <v>2052</v>
      </c>
      <c r="O68" s="142">
        <v>0</v>
      </c>
      <c r="P68" s="142">
        <f t="shared" si="36"/>
        <v>2052</v>
      </c>
    </row>
    <row r="69" spans="1:21" ht="12" customHeight="1" x14ac:dyDescent="0.35">
      <c r="A69" s="139" t="s">
        <v>412</v>
      </c>
      <c r="B69" s="139"/>
      <c r="C69" s="139" t="s">
        <v>405</v>
      </c>
      <c r="D69" s="153" t="s">
        <v>125</v>
      </c>
      <c r="E69" s="142">
        <v>50</v>
      </c>
      <c r="F69" s="142">
        <v>100</v>
      </c>
      <c r="G69" s="142">
        <f t="shared" si="32"/>
        <v>5000</v>
      </c>
      <c r="H69" s="142">
        <v>50</v>
      </c>
      <c r="I69" s="142">
        <f t="shared" si="38"/>
        <v>5250</v>
      </c>
      <c r="J69" s="142">
        <v>0</v>
      </c>
      <c r="K69" s="142">
        <f t="shared" si="39"/>
        <v>0</v>
      </c>
      <c r="L69" s="142">
        <v>0</v>
      </c>
      <c r="M69" s="142">
        <f t="shared" si="40"/>
        <v>0</v>
      </c>
      <c r="N69" s="142">
        <f t="shared" si="37"/>
        <v>10250</v>
      </c>
      <c r="O69" s="142">
        <v>0</v>
      </c>
      <c r="P69" s="142">
        <f t="shared" si="36"/>
        <v>10250</v>
      </c>
    </row>
    <row r="70" spans="1:21" ht="12" customHeight="1" x14ac:dyDescent="0.35">
      <c r="A70" s="139" t="s">
        <v>413</v>
      </c>
      <c r="B70" s="139"/>
      <c r="C70" s="139" t="s">
        <v>405</v>
      </c>
      <c r="D70" s="153" t="s">
        <v>125</v>
      </c>
      <c r="E70" s="142">
        <v>50</v>
      </c>
      <c r="F70" s="142">
        <v>100</v>
      </c>
      <c r="G70" s="142">
        <f t="shared" si="32"/>
        <v>5000</v>
      </c>
      <c r="H70" s="142">
        <v>50</v>
      </c>
      <c r="I70" s="142">
        <f t="shared" si="38"/>
        <v>5250</v>
      </c>
      <c r="J70" s="142">
        <v>0</v>
      </c>
      <c r="K70" s="142">
        <f t="shared" si="39"/>
        <v>0</v>
      </c>
      <c r="L70" s="142">
        <v>0</v>
      </c>
      <c r="M70" s="142">
        <f t="shared" si="40"/>
        <v>0</v>
      </c>
      <c r="N70" s="142">
        <f t="shared" si="37"/>
        <v>10250</v>
      </c>
      <c r="O70" s="142">
        <v>0</v>
      </c>
      <c r="P70" s="142">
        <f t="shared" si="36"/>
        <v>10250</v>
      </c>
    </row>
    <row r="71" spans="1:21" ht="12" customHeight="1" x14ac:dyDescent="0.35">
      <c r="A71" s="139" t="s">
        <v>414</v>
      </c>
      <c r="B71" s="139"/>
      <c r="C71" s="139" t="s">
        <v>405</v>
      </c>
      <c r="D71" s="153" t="s">
        <v>125</v>
      </c>
      <c r="E71" s="142">
        <v>5</v>
      </c>
      <c r="F71" s="142">
        <v>205</v>
      </c>
      <c r="G71" s="142">
        <f t="shared" si="32"/>
        <v>1025</v>
      </c>
      <c r="H71" s="142">
        <v>0</v>
      </c>
      <c r="I71" s="142">
        <f t="shared" si="38"/>
        <v>0</v>
      </c>
      <c r="J71" s="142">
        <v>0</v>
      </c>
      <c r="K71" s="142">
        <f t="shared" si="39"/>
        <v>0</v>
      </c>
      <c r="L71" s="142">
        <v>0</v>
      </c>
      <c r="M71" s="142">
        <f t="shared" si="40"/>
        <v>0</v>
      </c>
      <c r="N71" s="142">
        <f t="shared" si="37"/>
        <v>1025</v>
      </c>
      <c r="O71" s="142">
        <v>0</v>
      </c>
      <c r="P71" s="142">
        <f t="shared" si="36"/>
        <v>1025</v>
      </c>
    </row>
    <row r="72" spans="1:21" ht="12" customHeight="1" x14ac:dyDescent="0.35">
      <c r="A72" s="139" t="s">
        <v>415</v>
      </c>
      <c r="B72" s="139"/>
      <c r="C72" s="139" t="s">
        <v>405</v>
      </c>
      <c r="D72" s="153" t="s">
        <v>125</v>
      </c>
      <c r="E72" s="142">
        <v>2000</v>
      </c>
      <c r="F72" s="142">
        <v>5</v>
      </c>
      <c r="G72" s="142">
        <f t="shared" si="32"/>
        <v>10000</v>
      </c>
      <c r="H72" s="142">
        <v>0</v>
      </c>
      <c r="I72" s="142">
        <f t="shared" si="38"/>
        <v>0</v>
      </c>
      <c r="J72" s="142">
        <v>0</v>
      </c>
      <c r="K72" s="142">
        <f t="shared" si="39"/>
        <v>0</v>
      </c>
      <c r="L72" s="142">
        <v>0</v>
      </c>
      <c r="M72" s="142">
        <f t="shared" si="40"/>
        <v>0</v>
      </c>
      <c r="N72" s="142">
        <f t="shared" si="37"/>
        <v>10000</v>
      </c>
      <c r="O72" s="142">
        <v>0</v>
      </c>
      <c r="P72" s="142">
        <f t="shared" si="36"/>
        <v>10000</v>
      </c>
    </row>
    <row r="73" spans="1:21" ht="12" customHeight="1" x14ac:dyDescent="0.35">
      <c r="A73" s="139"/>
      <c r="B73" s="139"/>
      <c r="C73" s="139"/>
      <c r="D73" s="170"/>
      <c r="E73" s="203"/>
    </row>
    <row r="74" spans="1:21" ht="12" customHeight="1" thickBot="1" x14ac:dyDescent="0.45">
      <c r="A74" s="154" t="s">
        <v>416</v>
      </c>
      <c r="B74" s="154"/>
      <c r="C74" s="154"/>
      <c r="D74" s="154"/>
      <c r="E74" s="190"/>
      <c r="F74" s="190"/>
      <c r="G74" s="158">
        <f>SUM(G62:G72)</f>
        <v>78571.970493429209</v>
      </c>
      <c r="H74" s="158"/>
      <c r="I74" s="158">
        <f>SUM(I62:I72)</f>
        <v>100250.59716092239</v>
      </c>
      <c r="J74" s="158"/>
      <c r="K74" s="158">
        <f>SUM(K62:K72)</f>
        <v>81624.109214914453</v>
      </c>
      <c r="L74" s="158"/>
      <c r="M74" s="158">
        <f>SUM(M62:M72)</f>
        <v>79396.505443321352</v>
      </c>
      <c r="N74" s="158">
        <f>G74+I74+K74+M74</f>
        <v>339843.18231258739</v>
      </c>
      <c r="O74" s="158">
        <f>SUM(O62:O72)</f>
        <v>0</v>
      </c>
      <c r="P74" s="158">
        <f>SUM(N74:O74)</f>
        <v>339843.18231258739</v>
      </c>
      <c r="R74" s="191"/>
    </row>
    <row r="75" spans="1:21" ht="12" customHeight="1" x14ac:dyDescent="0.35">
      <c r="A75" s="139"/>
      <c r="B75" s="139"/>
      <c r="C75" s="139"/>
      <c r="D75" s="170"/>
      <c r="E75" s="203"/>
    </row>
    <row r="76" spans="1:21" ht="12" customHeight="1" x14ac:dyDescent="0.4">
      <c r="A76" s="192" t="s">
        <v>417</v>
      </c>
      <c r="B76" s="192"/>
      <c r="C76" s="149" t="s">
        <v>361</v>
      </c>
      <c r="D76" s="193"/>
      <c r="E76" s="214"/>
      <c r="F76" s="152">
        <v>0.1</v>
      </c>
      <c r="G76" s="194">
        <f>(G74)*F76</f>
        <v>7857.1970493429217</v>
      </c>
      <c r="H76" s="194"/>
      <c r="I76" s="194">
        <f>(I74)*F76</f>
        <v>10025.059716092241</v>
      </c>
      <c r="J76" s="194"/>
      <c r="K76" s="194">
        <f>(K74)*F76</f>
        <v>8162.4109214914461</v>
      </c>
      <c r="M76" s="194">
        <f>(M74)*F76</f>
        <v>7939.6505443321357</v>
      </c>
      <c r="N76" s="194">
        <f>SUM(G76+I76+K76+M76)</f>
        <v>33984.318231258745</v>
      </c>
      <c r="O76" s="194">
        <v>0</v>
      </c>
      <c r="P76" s="194">
        <f>SUM(N76:O76)</f>
        <v>33984.318231258745</v>
      </c>
      <c r="R76" s="169"/>
    </row>
    <row r="77" spans="1:21" ht="12" customHeight="1" x14ac:dyDescent="0.35">
      <c r="A77" s="139"/>
      <c r="B77" s="139"/>
      <c r="C77" s="139"/>
      <c r="D77" s="170"/>
      <c r="E77" s="203"/>
    </row>
    <row r="78" spans="1:21" ht="12" customHeight="1" thickBot="1" x14ac:dyDescent="0.45">
      <c r="A78" s="154" t="s">
        <v>187</v>
      </c>
      <c r="B78" s="154"/>
      <c r="C78" s="154"/>
      <c r="D78" s="154"/>
      <c r="E78" s="190"/>
      <c r="F78" s="190"/>
      <c r="G78" s="158">
        <f>SUM(G74:G76)</f>
        <v>86429.167542772135</v>
      </c>
      <c r="H78" s="158"/>
      <c r="I78" s="158">
        <f>SUM(I74:I76)</f>
        <v>110275.65687701464</v>
      </c>
      <c r="J78" s="158"/>
      <c r="K78" s="158">
        <f>SUM(K74:K76)</f>
        <v>89786.520136405903</v>
      </c>
      <c r="L78" s="158"/>
      <c r="M78" s="158">
        <f>SUM(M74:M76)</f>
        <v>87336.155987653488</v>
      </c>
      <c r="N78" s="158">
        <f>G78+I78+K78+M78</f>
        <v>373827.50054384617</v>
      </c>
      <c r="O78" s="158">
        <f>SUM(O74:O76)</f>
        <v>0</v>
      </c>
      <c r="P78" s="158">
        <f>SUM(N78:O78)</f>
        <v>373827.50054384617</v>
      </c>
      <c r="R78" s="191"/>
    </row>
    <row r="79" spans="1:21" ht="12" customHeight="1" x14ac:dyDescent="0.4">
      <c r="A79" s="181" t="s">
        <v>188</v>
      </c>
      <c r="B79" s="182"/>
      <c r="C79" s="182"/>
      <c r="D79" s="182"/>
      <c r="E79" s="238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R79" s="171"/>
      <c r="U79" s="118"/>
    </row>
    <row r="80" spans="1:21" ht="12" customHeight="1" x14ac:dyDescent="0.4">
      <c r="A80" s="185" t="s">
        <v>155</v>
      </c>
      <c r="B80" s="186"/>
      <c r="C80" s="186"/>
      <c r="D80" s="187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R80" s="169"/>
    </row>
    <row r="81" spans="1:21" ht="12" customHeight="1" x14ac:dyDescent="0.35">
      <c r="A81" s="303" t="s">
        <v>418</v>
      </c>
      <c r="B81" s="303"/>
      <c r="C81" s="303" t="s">
        <v>419</v>
      </c>
      <c r="D81" s="307" t="s">
        <v>125</v>
      </c>
      <c r="E81" s="305">
        <f>$G$30</f>
        <v>89685.940986858419</v>
      </c>
      <c r="F81" s="306">
        <v>0.25</v>
      </c>
      <c r="G81" s="305">
        <f t="shared" ref="G81:G86" si="41">E81*F81</f>
        <v>22421.485246714605</v>
      </c>
      <c r="H81" s="305">
        <f>$I$30</f>
        <v>148499.79432184479</v>
      </c>
      <c r="I81" s="305">
        <f t="shared" ref="I81:I84" si="42">H81*F81</f>
        <v>37124.948580461198</v>
      </c>
      <c r="J81" s="305">
        <f>$K$30</f>
        <v>140685.54842982889</v>
      </c>
      <c r="K81" s="305">
        <f t="shared" ref="K81:K84" si="43">J81*F81</f>
        <v>35171.387107457223</v>
      </c>
      <c r="L81" s="305">
        <f>$M$30</f>
        <v>141481.57712664269</v>
      </c>
      <c r="M81" s="305">
        <f t="shared" ref="M81:M84" si="44">L81*F81</f>
        <v>35370.394281660672</v>
      </c>
      <c r="N81" s="305">
        <f>G81+I81+K81+M81</f>
        <v>130088.2152162937</v>
      </c>
      <c r="O81" s="305">
        <v>0</v>
      </c>
      <c r="P81" s="305">
        <f t="shared" ref="P81:P86" si="45">SUM(N81:O81)</f>
        <v>130088.2152162937</v>
      </c>
    </row>
    <row r="82" spans="1:21" ht="12" customHeight="1" x14ac:dyDescent="0.35">
      <c r="A82" s="139" t="s">
        <v>420</v>
      </c>
      <c r="B82" s="139"/>
      <c r="C82" s="139" t="s">
        <v>419</v>
      </c>
      <c r="D82" s="153" t="s">
        <v>125</v>
      </c>
      <c r="E82" s="142">
        <f>$G$45</f>
        <v>15878</v>
      </c>
      <c r="F82" s="150">
        <v>0.25</v>
      </c>
      <c r="G82" s="142">
        <f t="shared" si="41"/>
        <v>3969.5</v>
      </c>
      <c r="H82" s="142">
        <f>$I$45</f>
        <v>19433.400000000001</v>
      </c>
      <c r="I82" s="142">
        <f t="shared" si="42"/>
        <v>4858.3500000000004</v>
      </c>
      <c r="J82" s="142">
        <f>$K$45</f>
        <v>14605.920000000002</v>
      </c>
      <c r="K82" s="142">
        <f t="shared" si="43"/>
        <v>3651.4800000000005</v>
      </c>
      <c r="L82" s="142">
        <f>$M$45</f>
        <v>9247.1085000000003</v>
      </c>
      <c r="M82" s="142">
        <f t="shared" si="44"/>
        <v>2311.7771250000001</v>
      </c>
      <c r="N82" s="142">
        <f t="shared" ref="N82:N88" si="46">G82+I82+K82+M82</f>
        <v>14791.107125000002</v>
      </c>
      <c r="O82" s="142">
        <v>0</v>
      </c>
      <c r="P82" s="142">
        <f t="shared" si="45"/>
        <v>14791.107125000002</v>
      </c>
    </row>
    <row r="83" spans="1:21" ht="12" customHeight="1" x14ac:dyDescent="0.35">
      <c r="A83" s="139" t="s">
        <v>421</v>
      </c>
      <c r="B83" s="139"/>
      <c r="C83" s="139" t="s">
        <v>419</v>
      </c>
      <c r="D83" s="153" t="s">
        <v>125</v>
      </c>
      <c r="E83" s="142">
        <f>$G$50</f>
        <v>900</v>
      </c>
      <c r="F83" s="150">
        <v>0.25</v>
      </c>
      <c r="G83" s="142">
        <f t="shared" si="41"/>
        <v>225</v>
      </c>
      <c r="H83" s="142">
        <f>$I$50</f>
        <v>309</v>
      </c>
      <c r="I83" s="142">
        <f t="shared" si="42"/>
        <v>77.25</v>
      </c>
      <c r="J83" s="142">
        <f>$K$50</f>
        <v>318.27</v>
      </c>
      <c r="K83" s="142">
        <f t="shared" si="43"/>
        <v>79.567499999999995</v>
      </c>
      <c r="L83" s="142">
        <f>$M$50</f>
        <v>327.81810000000002</v>
      </c>
      <c r="M83" s="142">
        <f t="shared" si="44"/>
        <v>81.954525000000004</v>
      </c>
      <c r="N83" s="142">
        <f t="shared" si="46"/>
        <v>463.77202499999999</v>
      </c>
      <c r="O83" s="142">
        <v>0</v>
      </c>
      <c r="P83" s="142">
        <f t="shared" si="45"/>
        <v>463.77202499999999</v>
      </c>
    </row>
    <row r="84" spans="1:21" ht="12" customHeight="1" x14ac:dyDescent="0.35">
      <c r="A84" s="303" t="s">
        <v>422</v>
      </c>
      <c r="B84" s="303"/>
      <c r="C84" s="303" t="s">
        <v>419</v>
      </c>
      <c r="D84" s="307" t="s">
        <v>125</v>
      </c>
      <c r="E84" s="305">
        <f>$G$58</f>
        <v>6000</v>
      </c>
      <c r="F84" s="306">
        <v>0.25</v>
      </c>
      <c r="G84" s="305">
        <f t="shared" si="41"/>
        <v>1500</v>
      </c>
      <c r="H84" s="305">
        <f>$I$58</f>
        <v>7416</v>
      </c>
      <c r="I84" s="305">
        <f t="shared" si="42"/>
        <v>1854</v>
      </c>
      <c r="J84" s="305">
        <f>$K$58</f>
        <v>7638.4800000000005</v>
      </c>
      <c r="K84" s="305">
        <f t="shared" si="43"/>
        <v>1909.6200000000001</v>
      </c>
      <c r="L84" s="305">
        <f>$M$58</f>
        <v>7736.507160000001</v>
      </c>
      <c r="M84" s="305">
        <f t="shared" si="44"/>
        <v>1934.1267900000003</v>
      </c>
      <c r="N84" s="305">
        <f t="shared" si="46"/>
        <v>7197.7467900000001</v>
      </c>
      <c r="O84" s="305">
        <v>0</v>
      </c>
      <c r="P84" s="305">
        <f t="shared" si="45"/>
        <v>7197.7467900000001</v>
      </c>
    </row>
    <row r="85" spans="1:21" ht="12" customHeight="1" x14ac:dyDescent="0.35">
      <c r="A85" s="265" t="s">
        <v>423</v>
      </c>
      <c r="B85" s="266"/>
      <c r="C85" s="266"/>
      <c r="D85" s="267"/>
      <c r="E85" s="268"/>
      <c r="F85" s="269"/>
      <c r="G85" s="268"/>
      <c r="H85" s="268"/>
      <c r="I85" s="268"/>
      <c r="J85" s="268"/>
      <c r="K85" s="268"/>
      <c r="L85" s="268"/>
      <c r="M85" s="268"/>
      <c r="N85" s="168"/>
      <c r="O85" s="268"/>
      <c r="P85" s="268"/>
    </row>
    <row r="86" spans="1:21" ht="12" customHeight="1" x14ac:dyDescent="0.35">
      <c r="A86" s="139" t="s">
        <v>424</v>
      </c>
      <c r="B86" s="139"/>
      <c r="C86" s="139" t="s">
        <v>419</v>
      </c>
      <c r="D86" s="153" t="s">
        <v>125</v>
      </c>
      <c r="E86" s="142">
        <v>2</v>
      </c>
      <c r="F86" s="142">
        <v>100</v>
      </c>
      <c r="G86" s="142">
        <f t="shared" si="41"/>
        <v>200</v>
      </c>
      <c r="H86" s="142">
        <v>4</v>
      </c>
      <c r="I86" s="142">
        <f t="shared" ref="I86:I88" si="47">H86*F86*$B$6</f>
        <v>420</v>
      </c>
      <c r="J86" s="142">
        <v>4</v>
      </c>
      <c r="K86" s="142">
        <f t="shared" ref="K86:K88" si="48">J86*F86*$B$6*$B$6</f>
        <v>441</v>
      </c>
      <c r="L86" s="142">
        <v>0</v>
      </c>
      <c r="M86" s="142">
        <f t="shared" ref="M86:M88" si="49">L86*F86*$B$6*$B$6*$B$6</f>
        <v>0</v>
      </c>
      <c r="N86" s="142">
        <f t="shared" si="46"/>
        <v>1061</v>
      </c>
      <c r="O86" s="142">
        <v>0</v>
      </c>
      <c r="P86" s="142">
        <f t="shared" si="45"/>
        <v>1061</v>
      </c>
    </row>
    <row r="87" spans="1:21" ht="12" customHeight="1" x14ac:dyDescent="0.35">
      <c r="A87" s="139" t="s">
        <v>425</v>
      </c>
      <c r="B87" s="139"/>
      <c r="C87" s="139" t="s">
        <v>419</v>
      </c>
      <c r="D87" s="153" t="s">
        <v>125</v>
      </c>
      <c r="E87" s="142">
        <v>2</v>
      </c>
      <c r="F87" s="142">
        <v>220</v>
      </c>
      <c r="G87" s="142">
        <f>E87*F87</f>
        <v>440</v>
      </c>
      <c r="H87" s="142">
        <v>4</v>
      </c>
      <c r="I87" s="142">
        <f t="shared" si="47"/>
        <v>924</v>
      </c>
      <c r="J87" s="142">
        <v>4</v>
      </c>
      <c r="K87" s="142">
        <f t="shared" si="48"/>
        <v>970.2</v>
      </c>
      <c r="L87" s="142">
        <v>0</v>
      </c>
      <c r="M87" s="142">
        <f t="shared" si="49"/>
        <v>0</v>
      </c>
      <c r="N87" s="142">
        <f t="shared" si="46"/>
        <v>2334.1999999999998</v>
      </c>
      <c r="O87" s="142">
        <v>0</v>
      </c>
      <c r="P87" s="142">
        <f>SUM(N87:O87)</f>
        <v>2334.1999999999998</v>
      </c>
    </row>
    <row r="88" spans="1:21" ht="12" customHeight="1" x14ac:dyDescent="0.35">
      <c r="A88" s="139" t="s">
        <v>414</v>
      </c>
      <c r="B88" s="139"/>
      <c r="C88" s="139" t="s">
        <v>405</v>
      </c>
      <c r="D88" s="153" t="s">
        <v>125</v>
      </c>
      <c r="E88" s="142">
        <v>4</v>
      </c>
      <c r="F88" s="142">
        <v>100</v>
      </c>
      <c r="G88" s="142">
        <f>E88*F88</f>
        <v>400</v>
      </c>
      <c r="H88" s="142">
        <v>8</v>
      </c>
      <c r="I88" s="142">
        <f t="shared" si="47"/>
        <v>840</v>
      </c>
      <c r="J88" s="142">
        <v>8</v>
      </c>
      <c r="K88" s="142">
        <f t="shared" si="48"/>
        <v>882</v>
      </c>
      <c r="L88" s="142">
        <v>0</v>
      </c>
      <c r="M88" s="142">
        <f t="shared" si="49"/>
        <v>0</v>
      </c>
      <c r="N88" s="142">
        <f t="shared" si="46"/>
        <v>2122</v>
      </c>
      <c r="O88" s="142">
        <v>0</v>
      </c>
      <c r="P88" s="142">
        <f>SUM(N88:O88)</f>
        <v>2122</v>
      </c>
    </row>
    <row r="89" spans="1:21" ht="12" customHeight="1" x14ac:dyDescent="0.35">
      <c r="A89" s="139"/>
      <c r="B89" s="139"/>
      <c r="C89" s="139"/>
      <c r="D89" s="170"/>
      <c r="E89" s="203"/>
    </row>
    <row r="90" spans="1:21" ht="12" customHeight="1" thickBot="1" x14ac:dyDescent="0.45">
      <c r="A90" s="154" t="s">
        <v>426</v>
      </c>
      <c r="B90" s="154"/>
      <c r="C90" s="154"/>
      <c r="D90" s="154"/>
      <c r="E90" s="190"/>
      <c r="F90" s="190"/>
      <c r="G90" s="158">
        <f>SUM(G81:G88)</f>
        <v>29155.985246714605</v>
      </c>
      <c r="H90" s="158"/>
      <c r="I90" s="158">
        <f>SUM(I81:I88)</f>
        <v>46098.548580461196</v>
      </c>
      <c r="J90" s="158"/>
      <c r="K90" s="158">
        <f>SUM(K81:K88)</f>
        <v>43105.254607457224</v>
      </c>
      <c r="L90" s="158"/>
      <c r="M90" s="158">
        <f>SUM(M81:M88)</f>
        <v>39698.252721660676</v>
      </c>
      <c r="N90" s="158">
        <f>G90+I90+K90+M90</f>
        <v>158058.04115629371</v>
      </c>
      <c r="O90" s="158">
        <f>SUM(O81:O88)</f>
        <v>0</v>
      </c>
      <c r="P90" s="158">
        <f>SUM(N90:O90)</f>
        <v>158058.04115629371</v>
      </c>
      <c r="R90" s="191"/>
    </row>
    <row r="91" spans="1:21" ht="12" customHeight="1" x14ac:dyDescent="0.35">
      <c r="A91" s="139"/>
      <c r="B91" s="139"/>
      <c r="C91" s="139"/>
      <c r="D91" s="170"/>
      <c r="E91" s="203"/>
    </row>
    <row r="92" spans="1:21" ht="12" customHeight="1" x14ac:dyDescent="0.4">
      <c r="A92" s="192" t="s">
        <v>427</v>
      </c>
      <c r="B92" s="192"/>
      <c r="C92" s="149" t="s">
        <v>361</v>
      </c>
      <c r="D92" s="193"/>
      <c r="E92" s="214"/>
      <c r="F92" s="152">
        <v>0.1</v>
      </c>
      <c r="G92" s="194">
        <f>(G90)*F92</f>
        <v>2915.5985246714608</v>
      </c>
      <c r="H92" s="194"/>
      <c r="I92" s="194">
        <f>(I90)*F92</f>
        <v>4609.8548580461202</v>
      </c>
      <c r="J92" s="194"/>
      <c r="K92" s="194">
        <f>(K90)*F92</f>
        <v>4310.5254607457227</v>
      </c>
      <c r="M92" s="194">
        <f>(M90)*F92</f>
        <v>3969.8252721660679</v>
      </c>
      <c r="N92" s="194">
        <f>SUM(G92+I92+K92+M92)</f>
        <v>15805.804115629373</v>
      </c>
      <c r="O92" s="194">
        <v>0</v>
      </c>
      <c r="P92" s="194">
        <f>SUM(N92:O92)</f>
        <v>15805.804115629373</v>
      </c>
      <c r="R92" s="169"/>
    </row>
    <row r="93" spans="1:21" ht="12" customHeight="1" x14ac:dyDescent="0.35">
      <c r="A93" s="139"/>
      <c r="B93" s="139"/>
      <c r="C93" s="139"/>
      <c r="D93" s="170"/>
      <c r="E93" s="203"/>
    </row>
    <row r="94" spans="1:21" ht="12" customHeight="1" thickBot="1" x14ac:dyDescent="0.45">
      <c r="A94" s="154" t="s">
        <v>230</v>
      </c>
      <c r="B94" s="154"/>
      <c r="C94" s="154"/>
      <c r="D94" s="154"/>
      <c r="E94" s="190"/>
      <c r="F94" s="190"/>
      <c r="G94" s="158">
        <f>SUM(G90:G92)</f>
        <v>32071.583771386067</v>
      </c>
      <c r="H94" s="158"/>
      <c r="I94" s="158">
        <f>SUM(I90:I92)</f>
        <v>50708.403438507317</v>
      </c>
      <c r="J94" s="158"/>
      <c r="K94" s="158">
        <f>SUM(K90:K92)</f>
        <v>47415.780068202948</v>
      </c>
      <c r="L94" s="158"/>
      <c r="M94" s="158">
        <f>SUM(M90:M92)</f>
        <v>43668.077993826744</v>
      </c>
      <c r="N94" s="158">
        <f>G94+I94+K94+M94</f>
        <v>173863.84527192308</v>
      </c>
      <c r="O94" s="158">
        <f>SUM(O90:O92)</f>
        <v>0</v>
      </c>
      <c r="P94" s="158">
        <f>SUM(N94:O94)</f>
        <v>173863.84527192308</v>
      </c>
      <c r="R94" s="191"/>
    </row>
    <row r="95" spans="1:21" ht="12" customHeight="1" x14ac:dyDescent="0.4">
      <c r="A95" s="181" t="s">
        <v>231</v>
      </c>
      <c r="B95" s="182"/>
      <c r="C95" s="182"/>
      <c r="D95" s="182"/>
      <c r="E95" s="238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R95" s="171"/>
      <c r="U95" s="118"/>
    </row>
    <row r="96" spans="1:21" ht="12" customHeight="1" x14ac:dyDescent="0.4">
      <c r="A96" s="185" t="s">
        <v>155</v>
      </c>
      <c r="B96" s="186"/>
      <c r="C96" s="186"/>
      <c r="D96" s="187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R96" s="169"/>
    </row>
    <row r="97" spans="1:18" ht="12" customHeight="1" x14ac:dyDescent="0.35">
      <c r="A97" s="303" t="s">
        <v>428</v>
      </c>
      <c r="B97" s="303"/>
      <c r="C97" s="303" t="s">
        <v>429</v>
      </c>
      <c r="D97" s="307" t="s">
        <v>125</v>
      </c>
      <c r="E97" s="305">
        <f>$G$30</f>
        <v>89685.940986858419</v>
      </c>
      <c r="F97" s="306">
        <v>0.2</v>
      </c>
      <c r="G97" s="305">
        <f t="shared" ref="G97:G105" si="50">E97*F97</f>
        <v>17937.188197371685</v>
      </c>
      <c r="H97" s="305">
        <f>$I$30</f>
        <v>148499.79432184479</v>
      </c>
      <c r="I97" s="305">
        <f t="shared" ref="I97:I100" si="51">H97*F97</f>
        <v>29699.95886436896</v>
      </c>
      <c r="J97" s="305">
        <f>$K$30</f>
        <v>140685.54842982889</v>
      </c>
      <c r="K97" s="305">
        <f t="shared" ref="K97:K100" si="52">J97*F97</f>
        <v>28137.109685965781</v>
      </c>
      <c r="L97" s="305">
        <f>$M$30</f>
        <v>141481.57712664269</v>
      </c>
      <c r="M97" s="305">
        <f t="shared" ref="M97:M100" si="53">L97*F97</f>
        <v>28296.315425328539</v>
      </c>
      <c r="N97" s="305">
        <f>G97+I97+K97+M97</f>
        <v>104070.57217303498</v>
      </c>
      <c r="O97" s="305">
        <v>0</v>
      </c>
      <c r="P97" s="305">
        <f t="shared" ref="P97:P105" si="54">SUM(N97:O97)</f>
        <v>104070.57217303498</v>
      </c>
    </row>
    <row r="98" spans="1:18" ht="12" customHeight="1" x14ac:dyDescent="0.35">
      <c r="A98" s="139" t="s">
        <v>430</v>
      </c>
      <c r="B98" s="139"/>
      <c r="C98" s="139" t="s">
        <v>429</v>
      </c>
      <c r="D98" s="153" t="s">
        <v>125</v>
      </c>
      <c r="E98" s="142">
        <f>$G$45</f>
        <v>15878</v>
      </c>
      <c r="F98" s="150">
        <v>0.2</v>
      </c>
      <c r="G98" s="142">
        <f t="shared" si="50"/>
        <v>3175.6000000000004</v>
      </c>
      <c r="H98" s="142">
        <f>$I$45</f>
        <v>19433.400000000001</v>
      </c>
      <c r="I98" s="142">
        <f t="shared" si="51"/>
        <v>3886.6800000000003</v>
      </c>
      <c r="J98" s="142">
        <f>$K$45</f>
        <v>14605.920000000002</v>
      </c>
      <c r="K98" s="142">
        <f t="shared" si="52"/>
        <v>2921.1840000000007</v>
      </c>
      <c r="L98" s="142">
        <f>$M$45</f>
        <v>9247.1085000000003</v>
      </c>
      <c r="M98" s="142">
        <f t="shared" si="53"/>
        <v>1849.4217000000001</v>
      </c>
      <c r="N98" s="142">
        <f t="shared" ref="N98:N108" si="55">G98+I98+K98+M98</f>
        <v>11832.885700000003</v>
      </c>
      <c r="O98" s="142">
        <v>0</v>
      </c>
      <c r="P98" s="142">
        <f t="shared" si="54"/>
        <v>11832.885700000003</v>
      </c>
    </row>
    <row r="99" spans="1:18" ht="12" customHeight="1" x14ac:dyDescent="0.35">
      <c r="A99" s="139" t="s">
        <v>431</v>
      </c>
      <c r="B99" s="139"/>
      <c r="C99" s="139" t="s">
        <v>429</v>
      </c>
      <c r="D99" s="153" t="s">
        <v>125</v>
      </c>
      <c r="E99" s="142">
        <f>$G$50</f>
        <v>900</v>
      </c>
      <c r="F99" s="150">
        <v>0.2</v>
      </c>
      <c r="G99" s="142">
        <f t="shared" si="50"/>
        <v>180</v>
      </c>
      <c r="H99" s="142">
        <f>$I$50</f>
        <v>309</v>
      </c>
      <c r="I99" s="142">
        <f t="shared" si="51"/>
        <v>61.800000000000004</v>
      </c>
      <c r="J99" s="142">
        <f>$K$50</f>
        <v>318.27</v>
      </c>
      <c r="K99" s="142">
        <f t="shared" si="52"/>
        <v>63.653999999999996</v>
      </c>
      <c r="L99" s="142">
        <f>$M$50</f>
        <v>327.81810000000002</v>
      </c>
      <c r="M99" s="142">
        <f t="shared" si="53"/>
        <v>65.56362</v>
      </c>
      <c r="N99" s="142">
        <f t="shared" si="55"/>
        <v>371.01762000000002</v>
      </c>
      <c r="O99" s="142">
        <v>0</v>
      </c>
      <c r="P99" s="142">
        <f t="shared" si="54"/>
        <v>371.01762000000002</v>
      </c>
    </row>
    <row r="100" spans="1:18" ht="12" customHeight="1" x14ac:dyDescent="0.35">
      <c r="A100" s="303" t="s">
        <v>432</v>
      </c>
      <c r="B100" s="303"/>
      <c r="C100" s="303" t="s">
        <v>429</v>
      </c>
      <c r="D100" s="307" t="s">
        <v>125</v>
      </c>
      <c r="E100" s="305">
        <f>$G$58</f>
        <v>6000</v>
      </c>
      <c r="F100" s="306">
        <v>0.2</v>
      </c>
      <c r="G100" s="305">
        <f t="shared" si="50"/>
        <v>1200</v>
      </c>
      <c r="H100" s="305">
        <f>$I$58</f>
        <v>7416</v>
      </c>
      <c r="I100" s="305">
        <f t="shared" si="51"/>
        <v>1483.2</v>
      </c>
      <c r="J100" s="305">
        <f>$K$58</f>
        <v>7638.4800000000005</v>
      </c>
      <c r="K100" s="305">
        <f t="shared" si="52"/>
        <v>1527.6960000000001</v>
      </c>
      <c r="L100" s="305">
        <f>$M$58</f>
        <v>7736.507160000001</v>
      </c>
      <c r="M100" s="305">
        <f t="shared" si="53"/>
        <v>1547.3014320000002</v>
      </c>
      <c r="N100" s="305">
        <f t="shared" si="55"/>
        <v>5758.1974319999999</v>
      </c>
      <c r="O100" s="305">
        <v>0</v>
      </c>
      <c r="P100" s="305">
        <f t="shared" si="54"/>
        <v>5758.1974319999999</v>
      </c>
    </row>
    <row r="101" spans="1:18" ht="25.15" customHeight="1" x14ac:dyDescent="0.35">
      <c r="A101" s="244" t="s">
        <v>433</v>
      </c>
      <c r="B101" s="166"/>
      <c r="C101" s="166"/>
      <c r="D101" s="262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</row>
    <row r="102" spans="1:18" ht="12" customHeight="1" x14ac:dyDescent="0.35">
      <c r="A102" s="139" t="s">
        <v>434</v>
      </c>
      <c r="B102" s="139"/>
      <c r="C102" s="139" t="s">
        <v>405</v>
      </c>
      <c r="D102" s="153" t="s">
        <v>125</v>
      </c>
      <c r="E102" s="142">
        <v>2</v>
      </c>
      <c r="F102" s="142">
        <v>100</v>
      </c>
      <c r="G102" s="142">
        <f t="shared" si="50"/>
        <v>200</v>
      </c>
      <c r="H102" s="142">
        <v>3</v>
      </c>
      <c r="I102" s="142">
        <f t="shared" ref="I102:I104" si="56">H102*F102*$B$6</f>
        <v>315</v>
      </c>
      <c r="J102" s="142">
        <v>3</v>
      </c>
      <c r="K102" s="142">
        <f t="shared" ref="K102:K104" si="57">J102*F102*$B$6*$B$6</f>
        <v>330.75</v>
      </c>
      <c r="L102" s="142">
        <v>2</v>
      </c>
      <c r="M102" s="142">
        <f t="shared" ref="M102:M104" si="58">L102*F102*$B$6*$B$6*$B$6</f>
        <v>231.52500000000001</v>
      </c>
      <c r="N102" s="142">
        <f t="shared" si="55"/>
        <v>1077.2750000000001</v>
      </c>
      <c r="O102" s="142">
        <v>0</v>
      </c>
      <c r="P102" s="142">
        <f t="shared" si="54"/>
        <v>1077.2750000000001</v>
      </c>
    </row>
    <row r="103" spans="1:18" ht="12" customHeight="1" x14ac:dyDescent="0.35">
      <c r="A103" s="139" t="s">
        <v>435</v>
      </c>
      <c r="B103" s="139"/>
      <c r="C103" s="139" t="s">
        <v>405</v>
      </c>
      <c r="D103" s="153" t="s">
        <v>125</v>
      </c>
      <c r="E103" s="142">
        <v>2</v>
      </c>
      <c r="F103" s="142">
        <v>245</v>
      </c>
      <c r="G103" s="142">
        <f t="shared" si="50"/>
        <v>490</v>
      </c>
      <c r="H103" s="142">
        <v>3</v>
      </c>
      <c r="I103" s="142">
        <f t="shared" si="56"/>
        <v>771.75</v>
      </c>
      <c r="J103" s="142">
        <v>3</v>
      </c>
      <c r="K103" s="142">
        <f t="shared" si="57"/>
        <v>810.33750000000009</v>
      </c>
      <c r="L103" s="142">
        <v>2</v>
      </c>
      <c r="M103" s="142">
        <f t="shared" si="58"/>
        <v>567.23625000000004</v>
      </c>
      <c r="N103" s="142">
        <f t="shared" si="55"/>
        <v>2639.32375</v>
      </c>
      <c r="O103" s="142">
        <v>0</v>
      </c>
      <c r="P103" s="142">
        <f t="shared" si="54"/>
        <v>2639.32375</v>
      </c>
    </row>
    <row r="104" spans="1:18" ht="12" customHeight="1" x14ac:dyDescent="0.35">
      <c r="A104" s="139" t="s">
        <v>415</v>
      </c>
      <c r="B104" s="139"/>
      <c r="C104" s="139" t="s">
        <v>405</v>
      </c>
      <c r="D104" s="153" t="s">
        <v>125</v>
      </c>
      <c r="E104" s="142">
        <v>0</v>
      </c>
      <c r="F104" s="142">
        <v>5</v>
      </c>
      <c r="G104" s="142">
        <f>E104*F104</f>
        <v>0</v>
      </c>
      <c r="H104" s="142">
        <v>100</v>
      </c>
      <c r="I104" s="142">
        <f t="shared" si="56"/>
        <v>525</v>
      </c>
      <c r="J104" s="142">
        <v>1000</v>
      </c>
      <c r="K104" s="142">
        <f t="shared" si="57"/>
        <v>5512.5</v>
      </c>
      <c r="L104" s="142">
        <v>1000</v>
      </c>
      <c r="M104" s="142">
        <f t="shared" si="58"/>
        <v>5788.125</v>
      </c>
      <c r="N104" s="142">
        <f t="shared" si="55"/>
        <v>11825.625</v>
      </c>
      <c r="O104" s="142">
        <v>0</v>
      </c>
      <c r="P104" s="142">
        <f t="shared" si="54"/>
        <v>11825.625</v>
      </c>
    </row>
    <row r="105" spans="1:18" ht="12" customHeight="1" x14ac:dyDescent="0.35">
      <c r="A105" s="139" t="s">
        <v>436</v>
      </c>
      <c r="B105" s="139"/>
      <c r="C105" s="139" t="s">
        <v>429</v>
      </c>
      <c r="D105" s="153" t="s">
        <v>125</v>
      </c>
      <c r="E105" s="142">
        <v>0</v>
      </c>
      <c r="F105" s="142">
        <v>15</v>
      </c>
      <c r="G105" s="142">
        <f t="shared" si="50"/>
        <v>0</v>
      </c>
      <c r="H105" s="142">
        <v>100</v>
      </c>
      <c r="I105" s="142">
        <f>H105*F105*$B$5</f>
        <v>1545</v>
      </c>
      <c r="J105" s="142">
        <v>500</v>
      </c>
      <c r="K105" s="142">
        <f>J105*F105*B5*B5</f>
        <v>7956.75</v>
      </c>
      <c r="L105" s="142">
        <v>500</v>
      </c>
      <c r="M105" s="142">
        <f>L105*F105*B5*B5*B5</f>
        <v>8195.4524999999994</v>
      </c>
      <c r="N105" s="142">
        <f t="shared" si="55"/>
        <v>17697.202499999999</v>
      </c>
      <c r="O105" s="142">
        <v>0</v>
      </c>
      <c r="P105" s="142">
        <f t="shared" si="54"/>
        <v>17697.202499999999</v>
      </c>
    </row>
    <row r="106" spans="1:18" ht="12" customHeight="1" x14ac:dyDescent="0.35">
      <c r="A106" s="244" t="s">
        <v>437</v>
      </c>
      <c r="B106" s="166"/>
      <c r="C106" s="166"/>
      <c r="D106" s="262"/>
      <c r="E106" s="168"/>
      <c r="F106" s="263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</row>
    <row r="107" spans="1:18" ht="12" customHeight="1" x14ac:dyDescent="0.35">
      <c r="A107" s="139" t="s">
        <v>438</v>
      </c>
      <c r="B107" s="139"/>
      <c r="C107" s="139" t="s">
        <v>429</v>
      </c>
      <c r="D107" s="153" t="s">
        <v>125</v>
      </c>
      <c r="E107" s="142">
        <v>0</v>
      </c>
      <c r="F107" s="142">
        <v>255</v>
      </c>
      <c r="G107" s="142">
        <f>E107*F107</f>
        <v>0</v>
      </c>
      <c r="H107" s="142">
        <v>2</v>
      </c>
      <c r="I107" s="142">
        <f>H107*F107*$B$6</f>
        <v>535.5</v>
      </c>
      <c r="J107" s="142">
        <v>6</v>
      </c>
      <c r="K107" s="142">
        <f>J107*F107*$B$6*$B$6</f>
        <v>1686.825</v>
      </c>
      <c r="L107" s="142">
        <v>6</v>
      </c>
      <c r="M107" s="142">
        <f>L107*F107*$B$6*$B$6*$B$6</f>
        <v>1771.1662500000002</v>
      </c>
      <c r="N107" s="142">
        <f t="shared" si="55"/>
        <v>3993.49125</v>
      </c>
      <c r="O107" s="142">
        <v>0</v>
      </c>
      <c r="P107" s="142">
        <f>SUM(N107:O107)</f>
        <v>3993.49125</v>
      </c>
    </row>
    <row r="108" spans="1:18" ht="12" customHeight="1" x14ac:dyDescent="0.35">
      <c r="A108" s="139" t="s">
        <v>439</v>
      </c>
      <c r="B108" s="139"/>
      <c r="C108" s="139" t="s">
        <v>429</v>
      </c>
      <c r="D108" s="153" t="s">
        <v>125</v>
      </c>
      <c r="E108" s="142">
        <v>0</v>
      </c>
      <c r="F108" s="142">
        <v>500</v>
      </c>
      <c r="G108" s="142">
        <f>E108*F108</f>
        <v>0</v>
      </c>
      <c r="H108" s="142">
        <v>2</v>
      </c>
      <c r="I108" s="142">
        <f>H108*F108*$B$6</f>
        <v>1050</v>
      </c>
      <c r="J108" s="142">
        <v>6</v>
      </c>
      <c r="K108" s="142">
        <f>J108*F108*$B$6*$B$6</f>
        <v>3307.5</v>
      </c>
      <c r="L108" s="142">
        <v>6</v>
      </c>
      <c r="M108" s="142">
        <f>L108*F108*$B$6*$B$6*$B$6</f>
        <v>3472.875</v>
      </c>
      <c r="N108" s="142">
        <f t="shared" si="55"/>
        <v>7830.375</v>
      </c>
      <c r="O108" s="142">
        <v>0</v>
      </c>
      <c r="P108" s="142">
        <f>SUM(N108:O108)</f>
        <v>7830.375</v>
      </c>
    </row>
    <row r="109" spans="1:18" ht="12" customHeight="1" x14ac:dyDescent="0.35">
      <c r="A109" s="139"/>
      <c r="B109" s="139"/>
      <c r="C109" s="139"/>
      <c r="D109" s="170"/>
      <c r="E109" s="203"/>
    </row>
    <row r="110" spans="1:18" ht="12" customHeight="1" thickBot="1" x14ac:dyDescent="0.45">
      <c r="A110" s="154" t="s">
        <v>440</v>
      </c>
      <c r="B110" s="154"/>
      <c r="C110" s="154"/>
      <c r="D110" s="154"/>
      <c r="E110" s="190"/>
      <c r="F110" s="190"/>
      <c r="G110" s="158">
        <f>SUM(G97:G108)</f>
        <v>23182.788197371687</v>
      </c>
      <c r="H110" s="158"/>
      <c r="I110" s="158">
        <f>SUM(I97:I108)</f>
        <v>39873.888864368957</v>
      </c>
      <c r="J110" s="158"/>
      <c r="K110" s="158">
        <f>SUM(K97:K108)</f>
        <v>52254.306185965783</v>
      </c>
      <c r="L110" s="158"/>
      <c r="M110" s="158">
        <f>SUM(M97:M108)</f>
        <v>51784.982177328544</v>
      </c>
      <c r="N110" s="158">
        <f>G110+I110+K110+M110</f>
        <v>167095.96542503498</v>
      </c>
      <c r="O110" s="158">
        <f>SUM(O97:O105)</f>
        <v>0</v>
      </c>
      <c r="P110" s="158">
        <f>SUM(N110:O110)</f>
        <v>167095.96542503498</v>
      </c>
      <c r="R110" s="191"/>
    </row>
    <row r="111" spans="1:18" ht="12" customHeight="1" x14ac:dyDescent="0.35">
      <c r="A111" s="139"/>
      <c r="B111" s="139"/>
      <c r="C111" s="139"/>
      <c r="D111" s="170"/>
      <c r="E111" s="203"/>
    </row>
    <row r="112" spans="1:18" ht="12" customHeight="1" x14ac:dyDescent="0.4">
      <c r="A112" s="192" t="s">
        <v>441</v>
      </c>
      <c r="B112" s="192"/>
      <c r="C112" s="149" t="s">
        <v>361</v>
      </c>
      <c r="D112" s="193"/>
      <c r="E112" s="214"/>
      <c r="F112" s="152">
        <v>0.1</v>
      </c>
      <c r="G112" s="194">
        <f>(G110)*F112</f>
        <v>2318.2788197371688</v>
      </c>
      <c r="H112" s="194"/>
      <c r="I112" s="194">
        <f>(I110)*F112</f>
        <v>3987.388886436896</v>
      </c>
      <c r="J112" s="194"/>
      <c r="K112" s="194">
        <f>(K110)*F112</f>
        <v>5225.4306185965788</v>
      </c>
      <c r="M112" s="194">
        <f>(M110)*F112</f>
        <v>5178.4982177328548</v>
      </c>
      <c r="N112" s="194">
        <f>SUM(G112+I112+K112+M112)</f>
        <v>16709.596542503496</v>
      </c>
      <c r="O112" s="194">
        <v>0</v>
      </c>
      <c r="P112" s="194">
        <f>SUM(N112:O112)</f>
        <v>16709.596542503496</v>
      </c>
      <c r="R112" s="169"/>
    </row>
    <row r="113" spans="1:21" ht="12" customHeight="1" x14ac:dyDescent="0.35">
      <c r="A113" s="139"/>
      <c r="B113" s="139"/>
      <c r="C113" s="139"/>
      <c r="D113" s="170"/>
      <c r="E113" s="203"/>
    </row>
    <row r="114" spans="1:21" ht="12" customHeight="1" thickBot="1" x14ac:dyDescent="0.45">
      <c r="A114" s="154" t="s">
        <v>257</v>
      </c>
      <c r="B114" s="154"/>
      <c r="C114" s="154"/>
      <c r="D114" s="154"/>
      <c r="E114" s="190"/>
      <c r="F114" s="190"/>
      <c r="G114" s="158">
        <f>SUM(G110:G112)</f>
        <v>25501.067017108857</v>
      </c>
      <c r="H114" s="158"/>
      <c r="I114" s="158">
        <f>SUM(I110:I112)</f>
        <v>43861.27775080585</v>
      </c>
      <c r="J114" s="158"/>
      <c r="K114" s="158">
        <f>SUM(K110:K112)</f>
        <v>57479.736804562359</v>
      </c>
      <c r="L114" s="158"/>
      <c r="M114" s="158">
        <f>SUM(M110:M112)</f>
        <v>56963.4803950614</v>
      </c>
      <c r="N114" s="158">
        <f>G114+I114+K114+M114</f>
        <v>183805.56196753847</v>
      </c>
      <c r="O114" s="158">
        <f>SUM(O110:O112)</f>
        <v>0</v>
      </c>
      <c r="P114" s="158">
        <f>SUM(N114:O114)</f>
        <v>183805.56196753847</v>
      </c>
      <c r="R114" s="191"/>
    </row>
    <row r="115" spans="1:21" ht="12" customHeight="1" x14ac:dyDescent="0.4">
      <c r="A115" s="181" t="s">
        <v>316</v>
      </c>
      <c r="B115" s="182"/>
      <c r="C115" s="182"/>
      <c r="D115" s="182"/>
      <c r="E115" s="238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R115" s="171"/>
      <c r="U115" s="118"/>
    </row>
    <row r="116" spans="1:21" ht="12" customHeight="1" x14ac:dyDescent="0.4">
      <c r="A116" s="185" t="s">
        <v>155</v>
      </c>
      <c r="B116" s="186"/>
      <c r="C116" s="186"/>
      <c r="D116" s="187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R116" s="169"/>
    </row>
    <row r="117" spans="1:21" s="184" customFormat="1" ht="12" customHeight="1" x14ac:dyDescent="0.35">
      <c r="A117" s="303" t="s">
        <v>442</v>
      </c>
      <c r="B117" s="303"/>
      <c r="C117" s="303" t="s">
        <v>348</v>
      </c>
      <c r="D117" s="307" t="s">
        <v>125</v>
      </c>
      <c r="E117" s="305">
        <f>$G$30</f>
        <v>89685.940986858419</v>
      </c>
      <c r="F117" s="306">
        <v>0.05</v>
      </c>
      <c r="G117" s="305">
        <f t="shared" ref="G117:G120" si="59">E117*F117</f>
        <v>4484.2970493429211</v>
      </c>
      <c r="H117" s="305">
        <f>$I$30</f>
        <v>148499.79432184479</v>
      </c>
      <c r="I117" s="305">
        <f t="shared" ref="I117:I120" si="60">H117*F117</f>
        <v>7424.9897160922401</v>
      </c>
      <c r="J117" s="305">
        <f>$K$30</f>
        <v>140685.54842982889</v>
      </c>
      <c r="K117" s="305">
        <f t="shared" ref="K117:K120" si="61">J117*F117</f>
        <v>7034.2774214914452</v>
      </c>
      <c r="L117" s="305">
        <f>$M$30</f>
        <v>141481.57712664269</v>
      </c>
      <c r="M117" s="305">
        <f t="shared" ref="M117:M120" si="62">L117*F117</f>
        <v>7074.0788563321348</v>
      </c>
      <c r="N117" s="305">
        <f>G117+I117+K117+M117</f>
        <v>26017.643043258744</v>
      </c>
      <c r="O117" s="305">
        <v>0</v>
      </c>
      <c r="P117" s="305">
        <f t="shared" ref="P117:P120" si="63">SUM(N117:O117)</f>
        <v>26017.643043258744</v>
      </c>
    </row>
    <row r="118" spans="1:21" ht="12" customHeight="1" x14ac:dyDescent="0.35">
      <c r="A118" s="139" t="s">
        <v>443</v>
      </c>
      <c r="B118" s="139"/>
      <c r="C118" s="139" t="s">
        <v>348</v>
      </c>
      <c r="D118" s="153" t="s">
        <v>125</v>
      </c>
      <c r="E118" s="142">
        <f>$G$45</f>
        <v>15878</v>
      </c>
      <c r="F118" s="150">
        <v>0.05</v>
      </c>
      <c r="G118" s="142">
        <f t="shared" si="59"/>
        <v>793.90000000000009</v>
      </c>
      <c r="H118" s="142">
        <f>$I$45</f>
        <v>19433.400000000001</v>
      </c>
      <c r="I118" s="142">
        <f t="shared" si="60"/>
        <v>971.67000000000007</v>
      </c>
      <c r="J118" s="142">
        <f>$K$45</f>
        <v>14605.920000000002</v>
      </c>
      <c r="K118" s="142">
        <f t="shared" si="61"/>
        <v>730.29600000000016</v>
      </c>
      <c r="L118" s="142">
        <f>$M$45</f>
        <v>9247.1085000000003</v>
      </c>
      <c r="M118" s="142">
        <f t="shared" si="62"/>
        <v>462.35542500000003</v>
      </c>
      <c r="N118" s="142">
        <f t="shared" ref="N118:N124" si="64">G118+I118+K118+M118</f>
        <v>2958.2214250000006</v>
      </c>
      <c r="O118" s="142">
        <v>0</v>
      </c>
      <c r="P118" s="142">
        <f t="shared" si="63"/>
        <v>2958.2214250000006</v>
      </c>
    </row>
    <row r="119" spans="1:21" ht="12" customHeight="1" x14ac:dyDescent="0.35">
      <c r="A119" s="139" t="s">
        <v>444</v>
      </c>
      <c r="B119" s="139"/>
      <c r="C119" s="139" t="s">
        <v>348</v>
      </c>
      <c r="D119" s="153" t="s">
        <v>125</v>
      </c>
      <c r="E119" s="142">
        <f>$G$50</f>
        <v>900</v>
      </c>
      <c r="F119" s="150">
        <v>0.05</v>
      </c>
      <c r="G119" s="142">
        <f t="shared" si="59"/>
        <v>45</v>
      </c>
      <c r="H119" s="142">
        <f>$I$50</f>
        <v>309</v>
      </c>
      <c r="I119" s="142">
        <f t="shared" si="60"/>
        <v>15.450000000000001</v>
      </c>
      <c r="J119" s="142">
        <f>$K$50</f>
        <v>318.27</v>
      </c>
      <c r="K119" s="142">
        <f t="shared" si="61"/>
        <v>15.913499999999999</v>
      </c>
      <c r="L119" s="142">
        <f>$M$50</f>
        <v>327.81810000000002</v>
      </c>
      <c r="M119" s="142">
        <f t="shared" si="62"/>
        <v>16.390905</v>
      </c>
      <c r="N119" s="142">
        <f t="shared" si="64"/>
        <v>92.754405000000006</v>
      </c>
      <c r="O119" s="142">
        <v>0</v>
      </c>
      <c r="P119" s="142">
        <f t="shared" si="63"/>
        <v>92.754405000000006</v>
      </c>
    </row>
    <row r="120" spans="1:21" ht="12" customHeight="1" x14ac:dyDescent="0.35">
      <c r="A120" s="303" t="s">
        <v>445</v>
      </c>
      <c r="B120" s="303"/>
      <c r="C120" s="303" t="s">
        <v>348</v>
      </c>
      <c r="D120" s="307" t="s">
        <v>125</v>
      </c>
      <c r="E120" s="305">
        <f>$G$58</f>
        <v>6000</v>
      </c>
      <c r="F120" s="306">
        <v>0.05</v>
      </c>
      <c r="G120" s="305">
        <f t="shared" si="59"/>
        <v>300</v>
      </c>
      <c r="H120" s="305">
        <f>$I$58</f>
        <v>7416</v>
      </c>
      <c r="I120" s="305">
        <f t="shared" si="60"/>
        <v>370.8</v>
      </c>
      <c r="J120" s="305">
        <f>$K$58</f>
        <v>7638.4800000000005</v>
      </c>
      <c r="K120" s="305">
        <f t="shared" si="61"/>
        <v>381.92400000000004</v>
      </c>
      <c r="L120" s="305">
        <f>$M$58</f>
        <v>7736.507160000001</v>
      </c>
      <c r="M120" s="305">
        <f t="shared" si="62"/>
        <v>386.82535800000005</v>
      </c>
      <c r="N120" s="305">
        <f t="shared" si="64"/>
        <v>1439.549358</v>
      </c>
      <c r="O120" s="305">
        <v>0</v>
      </c>
      <c r="P120" s="305">
        <f t="shared" si="63"/>
        <v>1439.549358</v>
      </c>
    </row>
    <row r="121" spans="1:21" ht="12" customHeight="1" x14ac:dyDescent="0.35">
      <c r="A121" s="244" t="s">
        <v>446</v>
      </c>
      <c r="B121" s="166"/>
      <c r="C121" s="166"/>
      <c r="D121" s="262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19"/>
    </row>
    <row r="122" spans="1:21" ht="12" customHeight="1" x14ac:dyDescent="0.35">
      <c r="A122" s="139" t="s">
        <v>447</v>
      </c>
      <c r="B122" s="139"/>
      <c r="C122" s="139" t="s">
        <v>348</v>
      </c>
      <c r="D122" s="153" t="s">
        <v>91</v>
      </c>
      <c r="E122" s="142">
        <v>0</v>
      </c>
      <c r="F122" s="142">
        <v>108</v>
      </c>
      <c r="G122" s="142">
        <f>E122*F122</f>
        <v>0</v>
      </c>
      <c r="H122" s="142">
        <v>12</v>
      </c>
      <c r="I122" s="142">
        <f>(H122*F122)*$B$6</f>
        <v>1360.8</v>
      </c>
      <c r="J122" s="142">
        <v>15</v>
      </c>
      <c r="K122" s="142">
        <f>(J122*F122)*$B$6*$B$6</f>
        <v>1786.0500000000002</v>
      </c>
      <c r="L122" s="142">
        <v>0</v>
      </c>
      <c r="M122" s="142">
        <f>L122*F122</f>
        <v>0</v>
      </c>
      <c r="N122" s="142">
        <f t="shared" si="64"/>
        <v>3146.8500000000004</v>
      </c>
      <c r="O122" s="142">
        <v>0</v>
      </c>
      <c r="P122" s="142">
        <f>SUM(N122:O122)</f>
        <v>3146.8500000000004</v>
      </c>
      <c r="Q122" s="119"/>
    </row>
    <row r="123" spans="1:21" ht="12" customHeight="1" x14ac:dyDescent="0.35">
      <c r="A123" s="139" t="s">
        <v>347</v>
      </c>
      <c r="B123" s="139"/>
      <c r="C123" s="139" t="s">
        <v>348</v>
      </c>
      <c r="D123" s="153" t="s">
        <v>86</v>
      </c>
      <c r="E123" s="142">
        <v>0</v>
      </c>
      <c r="F123" s="142">
        <v>46</v>
      </c>
      <c r="G123" s="142">
        <f>E123*F123</f>
        <v>0</v>
      </c>
      <c r="H123" s="142">
        <v>8</v>
      </c>
      <c r="I123" s="142">
        <f>(H123*F123)*$B$6</f>
        <v>386.40000000000003</v>
      </c>
      <c r="J123" s="142">
        <v>10</v>
      </c>
      <c r="K123" s="142">
        <f>(J123*F123)*$B$6*$B$6</f>
        <v>507.15000000000003</v>
      </c>
      <c r="L123" s="142">
        <v>0</v>
      </c>
      <c r="M123" s="142">
        <f>L123*F123</f>
        <v>0</v>
      </c>
      <c r="N123" s="142">
        <f t="shared" si="64"/>
        <v>893.55000000000007</v>
      </c>
      <c r="O123" s="142">
        <v>0</v>
      </c>
      <c r="P123" s="142">
        <f>SUM(N123:O123)</f>
        <v>893.55000000000007</v>
      </c>
      <c r="Q123" s="119"/>
    </row>
    <row r="124" spans="1:21" ht="12" customHeight="1" x14ac:dyDescent="0.35">
      <c r="A124" s="139" t="s">
        <v>350</v>
      </c>
      <c r="B124" s="139"/>
      <c r="C124" s="139" t="s">
        <v>348</v>
      </c>
      <c r="D124" s="153" t="s">
        <v>55</v>
      </c>
      <c r="E124" s="142">
        <v>0</v>
      </c>
      <c r="F124" s="142">
        <v>150</v>
      </c>
      <c r="G124" s="142">
        <f>E124*F124</f>
        <v>0</v>
      </c>
      <c r="H124" s="142">
        <v>6</v>
      </c>
      <c r="I124" s="142">
        <f>(H124*F124)*$B$6</f>
        <v>945</v>
      </c>
      <c r="J124" s="142">
        <v>6</v>
      </c>
      <c r="K124" s="142">
        <f>(J124*F124)*$B$6*$B$6</f>
        <v>992.25</v>
      </c>
      <c r="L124" s="142">
        <v>0</v>
      </c>
      <c r="M124" s="142">
        <f>L124*F124</f>
        <v>0</v>
      </c>
      <c r="N124" s="142">
        <f t="shared" si="64"/>
        <v>1937.25</v>
      </c>
      <c r="O124" s="142">
        <v>0</v>
      </c>
      <c r="P124" s="142">
        <f>SUM(N124:O124)</f>
        <v>1937.25</v>
      </c>
      <c r="Q124" s="119"/>
    </row>
    <row r="125" spans="1:21" ht="12" customHeight="1" x14ac:dyDescent="0.35">
      <c r="A125" s="139"/>
      <c r="B125" s="139"/>
      <c r="C125" s="139"/>
      <c r="D125" s="170"/>
      <c r="E125" s="203"/>
    </row>
    <row r="126" spans="1:21" ht="26.25" customHeight="1" thickBot="1" x14ac:dyDescent="0.45">
      <c r="A126" s="154" t="s">
        <v>448</v>
      </c>
      <c r="B126" s="154"/>
      <c r="C126" s="154"/>
      <c r="D126" s="154"/>
      <c r="E126" s="190"/>
      <c r="F126" s="190"/>
      <c r="G126" s="158">
        <f>SUM(G117:G124)</f>
        <v>5623.1970493429217</v>
      </c>
      <c r="H126" s="158"/>
      <c r="I126" s="158">
        <f>SUM(I117:I124)</f>
        <v>11475.109716092238</v>
      </c>
      <c r="J126" s="158"/>
      <c r="K126" s="158">
        <f>SUM(K117:K124)</f>
        <v>11447.860921491445</v>
      </c>
      <c r="L126" s="158"/>
      <c r="M126" s="158">
        <f>SUM(M117:M124)</f>
        <v>7939.6505443321348</v>
      </c>
      <c r="N126" s="158">
        <f>G126+I126+K126+M126</f>
        <v>36485.818231258745</v>
      </c>
      <c r="O126" s="158">
        <f>SUM(O117:O124)</f>
        <v>0</v>
      </c>
      <c r="P126" s="158">
        <f>SUM(N126:O126)</f>
        <v>36485.818231258745</v>
      </c>
      <c r="R126" s="191"/>
    </row>
    <row r="127" spans="1:21" ht="12" customHeight="1" x14ac:dyDescent="0.35">
      <c r="A127" s="139"/>
      <c r="B127" s="139"/>
      <c r="C127" s="139"/>
      <c r="D127" s="170"/>
      <c r="E127" s="203"/>
    </row>
    <row r="128" spans="1:21" ht="20.7" x14ac:dyDescent="0.4">
      <c r="A128" s="192" t="s">
        <v>449</v>
      </c>
      <c r="B128" s="192"/>
      <c r="C128" s="149" t="s">
        <v>361</v>
      </c>
      <c r="D128" s="193"/>
      <c r="E128" s="214"/>
      <c r="F128" s="152">
        <v>0.1</v>
      </c>
      <c r="G128" s="194">
        <f>(G126)*F128</f>
        <v>562.31970493429219</v>
      </c>
      <c r="H128" s="194"/>
      <c r="I128" s="194">
        <f>(I126)*F128</f>
        <v>1147.5109716092238</v>
      </c>
      <c r="J128" s="194"/>
      <c r="K128" s="194">
        <f>(K126)*F128</f>
        <v>1144.7860921491445</v>
      </c>
      <c r="M128" s="194">
        <f>(M126)*F128</f>
        <v>793.96505443321348</v>
      </c>
      <c r="N128" s="194">
        <f>SUM(G128+I128+K128+M128)</f>
        <v>3648.5818231258736</v>
      </c>
      <c r="O128" s="194">
        <v>0</v>
      </c>
      <c r="P128" s="194">
        <f>SUM(N128:O128)</f>
        <v>3648.5818231258736</v>
      </c>
      <c r="R128" s="169"/>
    </row>
    <row r="129" spans="1:19" ht="12" customHeight="1" x14ac:dyDescent="0.35">
      <c r="A129" s="139"/>
      <c r="B129" s="139"/>
      <c r="C129" s="139"/>
      <c r="D129" s="170"/>
      <c r="E129" s="203"/>
    </row>
    <row r="130" spans="1:19" ht="12" customHeight="1" thickBot="1" x14ac:dyDescent="0.45">
      <c r="A130" s="154" t="s">
        <v>358</v>
      </c>
      <c r="B130" s="154"/>
      <c r="C130" s="154"/>
      <c r="D130" s="154"/>
      <c r="E130" s="190"/>
      <c r="F130" s="190"/>
      <c r="G130" s="158">
        <f>SUM(G126:G128)</f>
        <v>6185.5167542772142</v>
      </c>
      <c r="H130" s="158"/>
      <c r="I130" s="158">
        <f>SUM(I126:I128)</f>
        <v>12622.620687701463</v>
      </c>
      <c r="J130" s="158"/>
      <c r="K130" s="158">
        <f>SUM(K126:K128)</f>
        <v>12592.64701364059</v>
      </c>
      <c r="L130" s="158"/>
      <c r="M130" s="158">
        <f>SUM(M126:M128)</f>
        <v>8733.6155987653474</v>
      </c>
      <c r="N130" s="158">
        <f>G130+I130+K130+M130</f>
        <v>40134.400054384612</v>
      </c>
      <c r="O130" s="158">
        <f>O126+O128</f>
        <v>0</v>
      </c>
      <c r="P130" s="158">
        <f>SUM(N130:O130)</f>
        <v>40134.400054384612</v>
      </c>
      <c r="R130" s="191"/>
    </row>
    <row r="131" spans="1:19" ht="12" customHeight="1" x14ac:dyDescent="0.4">
      <c r="A131" s="184"/>
      <c r="B131" s="184"/>
      <c r="C131" s="184"/>
      <c r="D131" s="196"/>
      <c r="E131" s="239"/>
      <c r="F131" s="13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279"/>
      <c r="R131" s="169"/>
      <c r="S131" s="198"/>
    </row>
    <row r="132" spans="1:19" ht="12" customHeight="1" thickBot="1" x14ac:dyDescent="0.45">
      <c r="A132" s="199" t="s">
        <v>18</v>
      </c>
      <c r="B132" s="199"/>
      <c r="C132" s="199"/>
      <c r="D132" s="199"/>
      <c r="E132" s="240"/>
      <c r="F132" s="200"/>
      <c r="G132" s="110">
        <f>G130+G114+G94+G78</f>
        <v>150187.33508554427</v>
      </c>
      <c r="H132" s="110"/>
      <c r="I132" s="110">
        <f>I130+I114+I94+I78</f>
        <v>217467.95875402927</v>
      </c>
      <c r="J132" s="110"/>
      <c r="K132" s="110">
        <f>K130+K114+K94+K78</f>
        <v>207274.68402281179</v>
      </c>
      <c r="L132" s="110"/>
      <c r="M132" s="110">
        <f>M130+M114+M94+M78</f>
        <v>196701.32997530699</v>
      </c>
      <c r="N132" s="110">
        <f>M132+K132+I132+G132</f>
        <v>771631.30783769232</v>
      </c>
      <c r="O132" s="110">
        <f>O130+O114+O94+O78</f>
        <v>0</v>
      </c>
      <c r="P132" s="110">
        <f>SUM(N132:O132)</f>
        <v>771631.30783769232</v>
      </c>
      <c r="R132" s="169"/>
    </row>
    <row r="133" spans="1:19" ht="12" customHeight="1" thickTop="1" x14ac:dyDescent="0.35"/>
    <row r="135" spans="1:19" ht="12" customHeight="1" x14ac:dyDescent="0.35">
      <c r="N135" s="201"/>
    </row>
    <row r="136" spans="1:19" ht="12" customHeight="1" x14ac:dyDescent="0.35">
      <c r="F136" s="119"/>
      <c r="O136" s="64"/>
    </row>
    <row r="137" spans="1:19" ht="12" customHeight="1" x14ac:dyDescent="0.35">
      <c r="A137" s="202"/>
      <c r="B137" s="202"/>
      <c r="C137" s="202"/>
      <c r="D137" s="203"/>
    </row>
    <row r="138" spans="1:19" ht="12" customHeight="1" x14ac:dyDescent="0.35">
      <c r="A138" s="202"/>
      <c r="B138" s="202"/>
      <c r="C138" s="202"/>
      <c r="D138" s="46"/>
    </row>
    <row r="140" spans="1:19" ht="12" customHeight="1" x14ac:dyDescent="0.35">
      <c r="A140" s="202"/>
      <c r="B140" s="202"/>
      <c r="C140" s="202"/>
      <c r="D140" s="203"/>
    </row>
    <row r="141" spans="1:19" ht="12" customHeight="1" x14ac:dyDescent="0.35">
      <c r="A141" s="202"/>
      <c r="B141" s="202"/>
      <c r="C141" s="202"/>
      <c r="D141" s="46"/>
    </row>
    <row r="143" spans="1:19" ht="12" customHeight="1" x14ac:dyDescent="0.35">
      <c r="A143" s="202"/>
      <c r="B143" s="202"/>
      <c r="C143" s="202"/>
      <c r="D143" s="203"/>
    </row>
    <row r="144" spans="1:19" ht="12" customHeight="1" x14ac:dyDescent="0.35">
      <c r="A144" s="202"/>
      <c r="B144" s="202"/>
      <c r="C144" s="202"/>
      <c r="D144" s="46"/>
    </row>
    <row r="146" spans="1:23" ht="12" customHeight="1" x14ac:dyDescent="0.35">
      <c r="A146" s="202"/>
      <c r="B146" s="202"/>
      <c r="C146" s="202"/>
      <c r="D146" s="203"/>
    </row>
    <row r="147" spans="1:23" ht="12" customHeight="1" x14ac:dyDescent="0.35">
      <c r="A147" s="202"/>
      <c r="B147" s="202"/>
      <c r="C147" s="202"/>
      <c r="D147" s="46"/>
    </row>
    <row r="148" spans="1:23" ht="12" customHeight="1" x14ac:dyDescent="0.35">
      <c r="W148" s="149"/>
    </row>
    <row r="149" spans="1:23" ht="12" customHeight="1" x14ac:dyDescent="0.35">
      <c r="A149" s="202"/>
      <c r="B149" s="202"/>
      <c r="C149" s="202"/>
      <c r="D149" s="203"/>
    </row>
    <row r="150" spans="1:23" ht="12" customHeight="1" x14ac:dyDescent="0.35">
      <c r="A150" s="202"/>
      <c r="B150" s="202"/>
      <c r="C150" s="202"/>
      <c r="D150" s="46"/>
    </row>
    <row r="154" spans="1:23" ht="12" customHeight="1" x14ac:dyDescent="0.35">
      <c r="A154" s="119"/>
      <c r="B154" s="119"/>
      <c r="C154" s="119"/>
      <c r="D154" s="119"/>
      <c r="E154" s="201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</row>
    <row r="156" spans="1:23" ht="12" customHeight="1" x14ac:dyDescent="0.35">
      <c r="A156" s="119"/>
      <c r="B156" s="119"/>
      <c r="C156" s="119"/>
      <c r="D156" s="119"/>
      <c r="E156" s="201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</row>
  </sheetData>
  <mergeCells count="5">
    <mergeCell ref="A1:P1"/>
    <mergeCell ref="A2:P2"/>
    <mergeCell ref="A3:P3"/>
    <mergeCell ref="A59:P59"/>
    <mergeCell ref="A4:B4"/>
  </mergeCells>
  <phoneticPr fontId="2" type="noConversion"/>
  <pageMargins left="0.7" right="0.7" top="0.75" bottom="0.75" header="0.3" footer="0.3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A9A1-B6BA-1A42-8ED1-06ADE8089309}">
  <sheetPr>
    <pageSetUpPr fitToPage="1"/>
  </sheetPr>
  <dimension ref="A1:V143"/>
  <sheetViews>
    <sheetView zoomScale="80" zoomScaleNormal="80" zoomScaleSheetLayoutView="90" workbookViewId="0">
      <pane ySplit="10" topLeftCell="A48" activePane="bottomLeft" state="frozen"/>
      <selection pane="bottomLeft" activeCell="C60" sqref="C60"/>
    </sheetView>
  </sheetViews>
  <sheetFormatPr defaultColWidth="11.44140625" defaultRowHeight="12" customHeight="1" x14ac:dyDescent="0.35"/>
  <cols>
    <col min="1" max="1" width="58.44140625" style="149" customWidth="1"/>
    <col min="2" max="2" width="11.5546875" style="149" customWidth="1"/>
    <col min="3" max="3" width="9.5546875" style="149" customWidth="1"/>
    <col min="4" max="4" width="7.44140625" style="149" bestFit="1" customWidth="1"/>
    <col min="5" max="5" width="8.44140625" style="173" bestFit="1" customWidth="1"/>
    <col min="6" max="6" width="6" style="123" bestFit="1" customWidth="1"/>
    <col min="7" max="7" width="8.1640625" style="123" customWidth="1"/>
    <col min="8" max="8" width="11.27734375" style="123" customWidth="1"/>
    <col min="9" max="9" width="7.71875" style="123" customWidth="1"/>
    <col min="10" max="10" width="8.5546875" style="123" bestFit="1" customWidth="1"/>
    <col min="11" max="11" width="6.71875" style="123" bestFit="1" customWidth="1"/>
    <col min="12" max="12" width="7.44140625" style="123" bestFit="1" customWidth="1"/>
    <col min="13" max="13" width="11.71875" style="123" customWidth="1"/>
    <col min="14" max="14" width="10.44140625" style="123" customWidth="1"/>
    <col min="15" max="15" width="12" style="123" customWidth="1"/>
    <col min="16" max="16" width="16.71875" style="119" customWidth="1"/>
    <col min="17" max="17" width="12.44140625" style="119" customWidth="1"/>
    <col min="18" max="18" width="9.27734375" style="119" customWidth="1"/>
    <col min="19" max="19" width="13" style="119" customWidth="1"/>
    <col min="20" max="20" width="12" style="119" customWidth="1"/>
    <col min="21" max="21" width="18.44140625" style="119" customWidth="1"/>
    <col min="22" max="253" width="11.44140625" style="119"/>
    <col min="254" max="254" width="58.44140625" style="119" customWidth="1"/>
    <col min="255" max="255" width="11.44140625" style="119" bestFit="1" customWidth="1"/>
    <col min="256" max="256" width="11.5546875" style="119" customWidth="1"/>
    <col min="257" max="257" width="7.71875" style="119" customWidth="1"/>
    <col min="258" max="258" width="13.44140625" style="119" customWidth="1"/>
    <col min="259" max="259" width="13.71875" style="119" bestFit="1" customWidth="1"/>
    <col min="260" max="260" width="14.44140625" style="119" customWidth="1"/>
    <col min="261" max="261" width="12.44140625" style="119" customWidth="1"/>
    <col min="262" max="262" width="12.5546875" style="119" bestFit="1" customWidth="1"/>
    <col min="263" max="263" width="8.44140625" style="119" customWidth="1"/>
    <col min="264" max="265" width="11.5546875" style="119" customWidth="1"/>
    <col min="266" max="266" width="11.71875" style="119" customWidth="1"/>
    <col min="267" max="267" width="11.5546875" style="119" customWidth="1"/>
    <col min="268" max="268" width="10.44140625" style="119" customWidth="1"/>
    <col min="269" max="269" width="11.71875" style="119" customWidth="1"/>
    <col min="270" max="270" width="10.44140625" style="119" customWidth="1"/>
    <col min="271" max="271" width="12" style="119" customWidth="1"/>
    <col min="272" max="272" width="16.71875" style="119" customWidth="1"/>
    <col min="273" max="273" width="12.44140625" style="119" customWidth="1"/>
    <col min="274" max="274" width="9.27734375" style="119" customWidth="1"/>
    <col min="275" max="275" width="13" style="119" customWidth="1"/>
    <col min="276" max="276" width="12" style="119" customWidth="1"/>
    <col min="277" max="277" width="18.44140625" style="119" customWidth="1"/>
    <col min="278" max="509" width="11.44140625" style="119"/>
    <col min="510" max="510" width="58.44140625" style="119" customWidth="1"/>
    <col min="511" max="511" width="11.44140625" style="119" bestFit="1" customWidth="1"/>
    <col min="512" max="512" width="11.5546875" style="119" customWidth="1"/>
    <col min="513" max="513" width="7.71875" style="119" customWidth="1"/>
    <col min="514" max="514" width="13.44140625" style="119" customWidth="1"/>
    <col min="515" max="515" width="13.71875" style="119" bestFit="1" customWidth="1"/>
    <col min="516" max="516" width="14.44140625" style="119" customWidth="1"/>
    <col min="517" max="517" width="12.44140625" style="119" customWidth="1"/>
    <col min="518" max="518" width="12.5546875" style="119" bestFit="1" customWidth="1"/>
    <col min="519" max="519" width="8.44140625" style="119" customWidth="1"/>
    <col min="520" max="521" width="11.5546875" style="119" customWidth="1"/>
    <col min="522" max="522" width="11.71875" style="119" customWidth="1"/>
    <col min="523" max="523" width="11.5546875" style="119" customWidth="1"/>
    <col min="524" max="524" width="10.44140625" style="119" customWidth="1"/>
    <col min="525" max="525" width="11.71875" style="119" customWidth="1"/>
    <col min="526" max="526" width="10.44140625" style="119" customWidth="1"/>
    <col min="527" max="527" width="12" style="119" customWidth="1"/>
    <col min="528" max="528" width="16.71875" style="119" customWidth="1"/>
    <col min="529" max="529" width="12.44140625" style="119" customWidth="1"/>
    <col min="530" max="530" width="9.27734375" style="119" customWidth="1"/>
    <col min="531" max="531" width="13" style="119" customWidth="1"/>
    <col min="532" max="532" width="12" style="119" customWidth="1"/>
    <col min="533" max="533" width="18.44140625" style="119" customWidth="1"/>
    <col min="534" max="765" width="11.44140625" style="119"/>
    <col min="766" max="766" width="58.44140625" style="119" customWidth="1"/>
    <col min="767" max="767" width="11.44140625" style="119" bestFit="1" customWidth="1"/>
    <col min="768" max="768" width="11.5546875" style="119" customWidth="1"/>
    <col min="769" max="769" width="7.71875" style="119" customWidth="1"/>
    <col min="770" max="770" width="13.44140625" style="119" customWidth="1"/>
    <col min="771" max="771" width="13.71875" style="119" bestFit="1" customWidth="1"/>
    <col min="772" max="772" width="14.44140625" style="119" customWidth="1"/>
    <col min="773" max="773" width="12.44140625" style="119" customWidth="1"/>
    <col min="774" max="774" width="12.5546875" style="119" bestFit="1" customWidth="1"/>
    <col min="775" max="775" width="8.44140625" style="119" customWidth="1"/>
    <col min="776" max="777" width="11.5546875" style="119" customWidth="1"/>
    <col min="778" max="778" width="11.71875" style="119" customWidth="1"/>
    <col min="779" max="779" width="11.5546875" style="119" customWidth="1"/>
    <col min="780" max="780" width="10.44140625" style="119" customWidth="1"/>
    <col min="781" max="781" width="11.71875" style="119" customWidth="1"/>
    <col min="782" max="782" width="10.44140625" style="119" customWidth="1"/>
    <col min="783" max="783" width="12" style="119" customWidth="1"/>
    <col min="784" max="784" width="16.71875" style="119" customWidth="1"/>
    <col min="785" max="785" width="12.44140625" style="119" customWidth="1"/>
    <col min="786" max="786" width="9.27734375" style="119" customWidth="1"/>
    <col min="787" max="787" width="13" style="119" customWidth="1"/>
    <col min="788" max="788" width="12" style="119" customWidth="1"/>
    <col min="789" max="789" width="18.44140625" style="119" customWidth="1"/>
    <col min="790" max="1021" width="11.44140625" style="119"/>
    <col min="1022" max="1022" width="58.44140625" style="119" customWidth="1"/>
    <col min="1023" max="1023" width="11.44140625" style="119" bestFit="1" customWidth="1"/>
    <col min="1024" max="1024" width="11.5546875" style="119" customWidth="1"/>
    <col min="1025" max="1025" width="7.71875" style="119" customWidth="1"/>
    <col min="1026" max="1026" width="13.44140625" style="119" customWidth="1"/>
    <col min="1027" max="1027" width="13.71875" style="119" bestFit="1" customWidth="1"/>
    <col min="1028" max="1028" width="14.44140625" style="119" customWidth="1"/>
    <col min="1029" max="1029" width="12.44140625" style="119" customWidth="1"/>
    <col min="1030" max="1030" width="12.5546875" style="119" bestFit="1" customWidth="1"/>
    <col min="1031" max="1031" width="8.44140625" style="119" customWidth="1"/>
    <col min="1032" max="1033" width="11.5546875" style="119" customWidth="1"/>
    <col min="1034" max="1034" width="11.71875" style="119" customWidth="1"/>
    <col min="1035" max="1035" width="11.5546875" style="119" customWidth="1"/>
    <col min="1036" max="1036" width="10.44140625" style="119" customWidth="1"/>
    <col min="1037" max="1037" width="11.71875" style="119" customWidth="1"/>
    <col min="1038" max="1038" width="10.44140625" style="119" customWidth="1"/>
    <col min="1039" max="1039" width="12" style="119" customWidth="1"/>
    <col min="1040" max="1040" width="16.71875" style="119" customWidth="1"/>
    <col min="1041" max="1041" width="12.44140625" style="119" customWidth="1"/>
    <col min="1042" max="1042" width="9.27734375" style="119" customWidth="1"/>
    <col min="1043" max="1043" width="13" style="119" customWidth="1"/>
    <col min="1044" max="1044" width="12" style="119" customWidth="1"/>
    <col min="1045" max="1045" width="18.44140625" style="119" customWidth="1"/>
    <col min="1046" max="1277" width="11.44140625" style="119"/>
    <col min="1278" max="1278" width="58.44140625" style="119" customWidth="1"/>
    <col min="1279" max="1279" width="11.44140625" style="119" bestFit="1" customWidth="1"/>
    <col min="1280" max="1280" width="11.5546875" style="119" customWidth="1"/>
    <col min="1281" max="1281" width="7.71875" style="119" customWidth="1"/>
    <col min="1282" max="1282" width="13.44140625" style="119" customWidth="1"/>
    <col min="1283" max="1283" width="13.71875" style="119" bestFit="1" customWidth="1"/>
    <col min="1284" max="1284" width="14.44140625" style="119" customWidth="1"/>
    <col min="1285" max="1285" width="12.44140625" style="119" customWidth="1"/>
    <col min="1286" max="1286" width="12.5546875" style="119" bestFit="1" customWidth="1"/>
    <col min="1287" max="1287" width="8.44140625" style="119" customWidth="1"/>
    <col min="1288" max="1289" width="11.5546875" style="119" customWidth="1"/>
    <col min="1290" max="1290" width="11.71875" style="119" customWidth="1"/>
    <col min="1291" max="1291" width="11.5546875" style="119" customWidth="1"/>
    <col min="1292" max="1292" width="10.44140625" style="119" customWidth="1"/>
    <col min="1293" max="1293" width="11.71875" style="119" customWidth="1"/>
    <col min="1294" max="1294" width="10.44140625" style="119" customWidth="1"/>
    <col min="1295" max="1295" width="12" style="119" customWidth="1"/>
    <col min="1296" max="1296" width="16.71875" style="119" customWidth="1"/>
    <col min="1297" max="1297" width="12.44140625" style="119" customWidth="1"/>
    <col min="1298" max="1298" width="9.27734375" style="119" customWidth="1"/>
    <col min="1299" max="1299" width="13" style="119" customWidth="1"/>
    <col min="1300" max="1300" width="12" style="119" customWidth="1"/>
    <col min="1301" max="1301" width="18.44140625" style="119" customWidth="1"/>
    <col min="1302" max="1533" width="11.44140625" style="119"/>
    <col min="1534" max="1534" width="58.44140625" style="119" customWidth="1"/>
    <col min="1535" max="1535" width="11.44140625" style="119" bestFit="1" customWidth="1"/>
    <col min="1536" max="1536" width="11.5546875" style="119" customWidth="1"/>
    <col min="1537" max="1537" width="7.71875" style="119" customWidth="1"/>
    <col min="1538" max="1538" width="13.44140625" style="119" customWidth="1"/>
    <col min="1539" max="1539" width="13.71875" style="119" bestFit="1" customWidth="1"/>
    <col min="1540" max="1540" width="14.44140625" style="119" customWidth="1"/>
    <col min="1541" max="1541" width="12.44140625" style="119" customWidth="1"/>
    <col min="1542" max="1542" width="12.5546875" style="119" bestFit="1" customWidth="1"/>
    <col min="1543" max="1543" width="8.44140625" style="119" customWidth="1"/>
    <col min="1544" max="1545" width="11.5546875" style="119" customWidth="1"/>
    <col min="1546" max="1546" width="11.71875" style="119" customWidth="1"/>
    <col min="1547" max="1547" width="11.5546875" style="119" customWidth="1"/>
    <col min="1548" max="1548" width="10.44140625" style="119" customWidth="1"/>
    <col min="1549" max="1549" width="11.71875" style="119" customWidth="1"/>
    <col min="1550" max="1550" width="10.44140625" style="119" customWidth="1"/>
    <col min="1551" max="1551" width="12" style="119" customWidth="1"/>
    <col min="1552" max="1552" width="16.71875" style="119" customWidth="1"/>
    <col min="1553" max="1553" width="12.44140625" style="119" customWidth="1"/>
    <col min="1554" max="1554" width="9.27734375" style="119" customWidth="1"/>
    <col min="1555" max="1555" width="13" style="119" customWidth="1"/>
    <col min="1556" max="1556" width="12" style="119" customWidth="1"/>
    <col min="1557" max="1557" width="18.44140625" style="119" customWidth="1"/>
    <col min="1558" max="1789" width="11.44140625" style="119"/>
    <col min="1790" max="1790" width="58.44140625" style="119" customWidth="1"/>
    <col min="1791" max="1791" width="11.44140625" style="119" bestFit="1" customWidth="1"/>
    <col min="1792" max="1792" width="11.5546875" style="119" customWidth="1"/>
    <col min="1793" max="1793" width="7.71875" style="119" customWidth="1"/>
    <col min="1794" max="1794" width="13.44140625" style="119" customWidth="1"/>
    <col min="1795" max="1795" width="13.71875" style="119" bestFit="1" customWidth="1"/>
    <col min="1796" max="1796" width="14.44140625" style="119" customWidth="1"/>
    <col min="1797" max="1797" width="12.44140625" style="119" customWidth="1"/>
    <col min="1798" max="1798" width="12.5546875" style="119" bestFit="1" customWidth="1"/>
    <col min="1799" max="1799" width="8.44140625" style="119" customWidth="1"/>
    <col min="1800" max="1801" width="11.5546875" style="119" customWidth="1"/>
    <col min="1802" max="1802" width="11.71875" style="119" customWidth="1"/>
    <col min="1803" max="1803" width="11.5546875" style="119" customWidth="1"/>
    <col min="1804" max="1804" width="10.44140625" style="119" customWidth="1"/>
    <col min="1805" max="1805" width="11.71875" style="119" customWidth="1"/>
    <col min="1806" max="1806" width="10.44140625" style="119" customWidth="1"/>
    <col min="1807" max="1807" width="12" style="119" customWidth="1"/>
    <col min="1808" max="1808" width="16.71875" style="119" customWidth="1"/>
    <col min="1809" max="1809" width="12.44140625" style="119" customWidth="1"/>
    <col min="1810" max="1810" width="9.27734375" style="119" customWidth="1"/>
    <col min="1811" max="1811" width="13" style="119" customWidth="1"/>
    <col min="1812" max="1812" width="12" style="119" customWidth="1"/>
    <col min="1813" max="1813" width="18.44140625" style="119" customWidth="1"/>
    <col min="1814" max="2045" width="11.44140625" style="119"/>
    <col min="2046" max="2046" width="58.44140625" style="119" customWidth="1"/>
    <col min="2047" max="2047" width="11.44140625" style="119" bestFit="1" customWidth="1"/>
    <col min="2048" max="2048" width="11.5546875" style="119" customWidth="1"/>
    <col min="2049" max="2049" width="7.71875" style="119" customWidth="1"/>
    <col min="2050" max="2050" width="13.44140625" style="119" customWidth="1"/>
    <col min="2051" max="2051" width="13.71875" style="119" bestFit="1" customWidth="1"/>
    <col min="2052" max="2052" width="14.44140625" style="119" customWidth="1"/>
    <col min="2053" max="2053" width="12.44140625" style="119" customWidth="1"/>
    <col min="2054" max="2054" width="12.5546875" style="119" bestFit="1" customWidth="1"/>
    <col min="2055" max="2055" width="8.44140625" style="119" customWidth="1"/>
    <col min="2056" max="2057" width="11.5546875" style="119" customWidth="1"/>
    <col min="2058" max="2058" width="11.71875" style="119" customWidth="1"/>
    <col min="2059" max="2059" width="11.5546875" style="119" customWidth="1"/>
    <col min="2060" max="2060" width="10.44140625" style="119" customWidth="1"/>
    <col min="2061" max="2061" width="11.71875" style="119" customWidth="1"/>
    <col min="2062" max="2062" width="10.44140625" style="119" customWidth="1"/>
    <col min="2063" max="2063" width="12" style="119" customWidth="1"/>
    <col min="2064" max="2064" width="16.71875" style="119" customWidth="1"/>
    <col min="2065" max="2065" width="12.44140625" style="119" customWidth="1"/>
    <col min="2066" max="2066" width="9.27734375" style="119" customWidth="1"/>
    <col min="2067" max="2067" width="13" style="119" customWidth="1"/>
    <col min="2068" max="2068" width="12" style="119" customWidth="1"/>
    <col min="2069" max="2069" width="18.44140625" style="119" customWidth="1"/>
    <col min="2070" max="2301" width="11.44140625" style="119"/>
    <col min="2302" max="2302" width="58.44140625" style="119" customWidth="1"/>
    <col min="2303" max="2303" width="11.44140625" style="119" bestFit="1" customWidth="1"/>
    <col min="2304" max="2304" width="11.5546875" style="119" customWidth="1"/>
    <col min="2305" max="2305" width="7.71875" style="119" customWidth="1"/>
    <col min="2306" max="2306" width="13.44140625" style="119" customWidth="1"/>
    <col min="2307" max="2307" width="13.71875" style="119" bestFit="1" customWidth="1"/>
    <col min="2308" max="2308" width="14.44140625" style="119" customWidth="1"/>
    <col min="2309" max="2309" width="12.44140625" style="119" customWidth="1"/>
    <col min="2310" max="2310" width="12.5546875" style="119" bestFit="1" customWidth="1"/>
    <col min="2311" max="2311" width="8.44140625" style="119" customWidth="1"/>
    <col min="2312" max="2313" width="11.5546875" style="119" customWidth="1"/>
    <col min="2314" max="2314" width="11.71875" style="119" customWidth="1"/>
    <col min="2315" max="2315" width="11.5546875" style="119" customWidth="1"/>
    <col min="2316" max="2316" width="10.44140625" style="119" customWidth="1"/>
    <col min="2317" max="2317" width="11.71875" style="119" customWidth="1"/>
    <col min="2318" max="2318" width="10.44140625" style="119" customWidth="1"/>
    <col min="2319" max="2319" width="12" style="119" customWidth="1"/>
    <col min="2320" max="2320" width="16.71875" style="119" customWidth="1"/>
    <col min="2321" max="2321" width="12.44140625" style="119" customWidth="1"/>
    <col min="2322" max="2322" width="9.27734375" style="119" customWidth="1"/>
    <col min="2323" max="2323" width="13" style="119" customWidth="1"/>
    <col min="2324" max="2324" width="12" style="119" customWidth="1"/>
    <col min="2325" max="2325" width="18.44140625" style="119" customWidth="1"/>
    <col min="2326" max="2557" width="11.44140625" style="119"/>
    <col min="2558" max="2558" width="58.44140625" style="119" customWidth="1"/>
    <col min="2559" max="2559" width="11.44140625" style="119" bestFit="1" customWidth="1"/>
    <col min="2560" max="2560" width="11.5546875" style="119" customWidth="1"/>
    <col min="2561" max="2561" width="7.71875" style="119" customWidth="1"/>
    <col min="2562" max="2562" width="13.44140625" style="119" customWidth="1"/>
    <col min="2563" max="2563" width="13.71875" style="119" bestFit="1" customWidth="1"/>
    <col min="2564" max="2564" width="14.44140625" style="119" customWidth="1"/>
    <col min="2565" max="2565" width="12.44140625" style="119" customWidth="1"/>
    <col min="2566" max="2566" width="12.5546875" style="119" bestFit="1" customWidth="1"/>
    <col min="2567" max="2567" width="8.44140625" style="119" customWidth="1"/>
    <col min="2568" max="2569" width="11.5546875" style="119" customWidth="1"/>
    <col min="2570" max="2570" width="11.71875" style="119" customWidth="1"/>
    <col min="2571" max="2571" width="11.5546875" style="119" customWidth="1"/>
    <col min="2572" max="2572" width="10.44140625" style="119" customWidth="1"/>
    <col min="2573" max="2573" width="11.71875" style="119" customWidth="1"/>
    <col min="2574" max="2574" width="10.44140625" style="119" customWidth="1"/>
    <col min="2575" max="2575" width="12" style="119" customWidth="1"/>
    <col min="2576" max="2576" width="16.71875" style="119" customWidth="1"/>
    <col min="2577" max="2577" width="12.44140625" style="119" customWidth="1"/>
    <col min="2578" max="2578" width="9.27734375" style="119" customWidth="1"/>
    <col min="2579" max="2579" width="13" style="119" customWidth="1"/>
    <col min="2580" max="2580" width="12" style="119" customWidth="1"/>
    <col min="2581" max="2581" width="18.44140625" style="119" customWidth="1"/>
    <col min="2582" max="2813" width="11.44140625" style="119"/>
    <col min="2814" max="2814" width="58.44140625" style="119" customWidth="1"/>
    <col min="2815" max="2815" width="11.44140625" style="119" bestFit="1" customWidth="1"/>
    <col min="2816" max="2816" width="11.5546875" style="119" customWidth="1"/>
    <col min="2817" max="2817" width="7.71875" style="119" customWidth="1"/>
    <col min="2818" max="2818" width="13.44140625" style="119" customWidth="1"/>
    <col min="2819" max="2819" width="13.71875" style="119" bestFit="1" customWidth="1"/>
    <col min="2820" max="2820" width="14.44140625" style="119" customWidth="1"/>
    <col min="2821" max="2821" width="12.44140625" style="119" customWidth="1"/>
    <col min="2822" max="2822" width="12.5546875" style="119" bestFit="1" customWidth="1"/>
    <col min="2823" max="2823" width="8.44140625" style="119" customWidth="1"/>
    <col min="2824" max="2825" width="11.5546875" style="119" customWidth="1"/>
    <col min="2826" max="2826" width="11.71875" style="119" customWidth="1"/>
    <col min="2827" max="2827" width="11.5546875" style="119" customWidth="1"/>
    <col min="2828" max="2828" width="10.44140625" style="119" customWidth="1"/>
    <col min="2829" max="2829" width="11.71875" style="119" customWidth="1"/>
    <col min="2830" max="2830" width="10.44140625" style="119" customWidth="1"/>
    <col min="2831" max="2831" width="12" style="119" customWidth="1"/>
    <col min="2832" max="2832" width="16.71875" style="119" customWidth="1"/>
    <col min="2833" max="2833" width="12.44140625" style="119" customWidth="1"/>
    <col min="2834" max="2834" width="9.27734375" style="119" customWidth="1"/>
    <col min="2835" max="2835" width="13" style="119" customWidth="1"/>
    <col min="2836" max="2836" width="12" style="119" customWidth="1"/>
    <col min="2837" max="2837" width="18.44140625" style="119" customWidth="1"/>
    <col min="2838" max="3069" width="11.44140625" style="119"/>
    <col min="3070" max="3070" width="58.44140625" style="119" customWidth="1"/>
    <col min="3071" max="3071" width="11.44140625" style="119" bestFit="1" customWidth="1"/>
    <col min="3072" max="3072" width="11.5546875" style="119" customWidth="1"/>
    <col min="3073" max="3073" width="7.71875" style="119" customWidth="1"/>
    <col min="3074" max="3074" width="13.44140625" style="119" customWidth="1"/>
    <col min="3075" max="3075" width="13.71875" style="119" bestFit="1" customWidth="1"/>
    <col min="3076" max="3076" width="14.44140625" style="119" customWidth="1"/>
    <col min="3077" max="3077" width="12.44140625" style="119" customWidth="1"/>
    <col min="3078" max="3078" width="12.5546875" style="119" bestFit="1" customWidth="1"/>
    <col min="3079" max="3079" width="8.44140625" style="119" customWidth="1"/>
    <col min="3080" max="3081" width="11.5546875" style="119" customWidth="1"/>
    <col min="3082" max="3082" width="11.71875" style="119" customWidth="1"/>
    <col min="3083" max="3083" width="11.5546875" style="119" customWidth="1"/>
    <col min="3084" max="3084" width="10.44140625" style="119" customWidth="1"/>
    <col min="3085" max="3085" width="11.71875" style="119" customWidth="1"/>
    <col min="3086" max="3086" width="10.44140625" style="119" customWidth="1"/>
    <col min="3087" max="3087" width="12" style="119" customWidth="1"/>
    <col min="3088" max="3088" width="16.71875" style="119" customWidth="1"/>
    <col min="3089" max="3089" width="12.44140625" style="119" customWidth="1"/>
    <col min="3090" max="3090" width="9.27734375" style="119" customWidth="1"/>
    <col min="3091" max="3091" width="13" style="119" customWidth="1"/>
    <col min="3092" max="3092" width="12" style="119" customWidth="1"/>
    <col min="3093" max="3093" width="18.44140625" style="119" customWidth="1"/>
    <col min="3094" max="3325" width="11.44140625" style="119"/>
    <col min="3326" max="3326" width="58.44140625" style="119" customWidth="1"/>
    <col min="3327" max="3327" width="11.44140625" style="119" bestFit="1" customWidth="1"/>
    <col min="3328" max="3328" width="11.5546875" style="119" customWidth="1"/>
    <col min="3329" max="3329" width="7.71875" style="119" customWidth="1"/>
    <col min="3330" max="3330" width="13.44140625" style="119" customWidth="1"/>
    <col min="3331" max="3331" width="13.71875" style="119" bestFit="1" customWidth="1"/>
    <col min="3332" max="3332" width="14.44140625" style="119" customWidth="1"/>
    <col min="3333" max="3333" width="12.44140625" style="119" customWidth="1"/>
    <col min="3334" max="3334" width="12.5546875" style="119" bestFit="1" customWidth="1"/>
    <col min="3335" max="3335" width="8.44140625" style="119" customWidth="1"/>
    <col min="3336" max="3337" width="11.5546875" style="119" customWidth="1"/>
    <col min="3338" max="3338" width="11.71875" style="119" customWidth="1"/>
    <col min="3339" max="3339" width="11.5546875" style="119" customWidth="1"/>
    <col min="3340" max="3340" width="10.44140625" style="119" customWidth="1"/>
    <col min="3341" max="3341" width="11.71875" style="119" customWidth="1"/>
    <col min="3342" max="3342" width="10.44140625" style="119" customWidth="1"/>
    <col min="3343" max="3343" width="12" style="119" customWidth="1"/>
    <col min="3344" max="3344" width="16.71875" style="119" customWidth="1"/>
    <col min="3345" max="3345" width="12.44140625" style="119" customWidth="1"/>
    <col min="3346" max="3346" width="9.27734375" style="119" customWidth="1"/>
    <col min="3347" max="3347" width="13" style="119" customWidth="1"/>
    <col min="3348" max="3348" width="12" style="119" customWidth="1"/>
    <col min="3349" max="3349" width="18.44140625" style="119" customWidth="1"/>
    <col min="3350" max="3581" width="11.44140625" style="119"/>
    <col min="3582" max="3582" width="58.44140625" style="119" customWidth="1"/>
    <col min="3583" max="3583" width="11.44140625" style="119" bestFit="1" customWidth="1"/>
    <col min="3584" max="3584" width="11.5546875" style="119" customWidth="1"/>
    <col min="3585" max="3585" width="7.71875" style="119" customWidth="1"/>
    <col min="3586" max="3586" width="13.44140625" style="119" customWidth="1"/>
    <col min="3587" max="3587" width="13.71875" style="119" bestFit="1" customWidth="1"/>
    <col min="3588" max="3588" width="14.44140625" style="119" customWidth="1"/>
    <col min="3589" max="3589" width="12.44140625" style="119" customWidth="1"/>
    <col min="3590" max="3590" width="12.5546875" style="119" bestFit="1" customWidth="1"/>
    <col min="3591" max="3591" width="8.44140625" style="119" customWidth="1"/>
    <col min="3592" max="3593" width="11.5546875" style="119" customWidth="1"/>
    <col min="3594" max="3594" width="11.71875" style="119" customWidth="1"/>
    <col min="3595" max="3595" width="11.5546875" style="119" customWidth="1"/>
    <col min="3596" max="3596" width="10.44140625" style="119" customWidth="1"/>
    <col min="3597" max="3597" width="11.71875" style="119" customWidth="1"/>
    <col min="3598" max="3598" width="10.44140625" style="119" customWidth="1"/>
    <col min="3599" max="3599" width="12" style="119" customWidth="1"/>
    <col min="3600" max="3600" width="16.71875" style="119" customWidth="1"/>
    <col min="3601" max="3601" width="12.44140625" style="119" customWidth="1"/>
    <col min="3602" max="3602" width="9.27734375" style="119" customWidth="1"/>
    <col min="3603" max="3603" width="13" style="119" customWidth="1"/>
    <col min="3604" max="3604" width="12" style="119" customWidth="1"/>
    <col min="3605" max="3605" width="18.44140625" style="119" customWidth="1"/>
    <col min="3606" max="3837" width="11.44140625" style="119"/>
    <col min="3838" max="3838" width="58.44140625" style="119" customWidth="1"/>
    <col min="3839" max="3839" width="11.44140625" style="119" bestFit="1" customWidth="1"/>
    <col min="3840" max="3840" width="11.5546875" style="119" customWidth="1"/>
    <col min="3841" max="3841" width="7.71875" style="119" customWidth="1"/>
    <col min="3842" max="3842" width="13.44140625" style="119" customWidth="1"/>
    <col min="3843" max="3843" width="13.71875" style="119" bestFit="1" customWidth="1"/>
    <col min="3844" max="3844" width="14.44140625" style="119" customWidth="1"/>
    <col min="3845" max="3845" width="12.44140625" style="119" customWidth="1"/>
    <col min="3846" max="3846" width="12.5546875" style="119" bestFit="1" customWidth="1"/>
    <col min="3847" max="3847" width="8.44140625" style="119" customWidth="1"/>
    <col min="3848" max="3849" width="11.5546875" style="119" customWidth="1"/>
    <col min="3850" max="3850" width="11.71875" style="119" customWidth="1"/>
    <col min="3851" max="3851" width="11.5546875" style="119" customWidth="1"/>
    <col min="3852" max="3852" width="10.44140625" style="119" customWidth="1"/>
    <col min="3853" max="3853" width="11.71875" style="119" customWidth="1"/>
    <col min="3854" max="3854" width="10.44140625" style="119" customWidth="1"/>
    <col min="3855" max="3855" width="12" style="119" customWidth="1"/>
    <col min="3856" max="3856" width="16.71875" style="119" customWidth="1"/>
    <col min="3857" max="3857" width="12.44140625" style="119" customWidth="1"/>
    <col min="3858" max="3858" width="9.27734375" style="119" customWidth="1"/>
    <col min="3859" max="3859" width="13" style="119" customWidth="1"/>
    <col min="3860" max="3860" width="12" style="119" customWidth="1"/>
    <col min="3861" max="3861" width="18.44140625" style="119" customWidth="1"/>
    <col min="3862" max="4093" width="11.44140625" style="119"/>
    <col min="4094" max="4094" width="58.44140625" style="119" customWidth="1"/>
    <col min="4095" max="4095" width="11.44140625" style="119" bestFit="1" customWidth="1"/>
    <col min="4096" max="4096" width="11.5546875" style="119" customWidth="1"/>
    <col min="4097" max="4097" width="7.71875" style="119" customWidth="1"/>
    <col min="4098" max="4098" width="13.44140625" style="119" customWidth="1"/>
    <col min="4099" max="4099" width="13.71875" style="119" bestFit="1" customWidth="1"/>
    <col min="4100" max="4100" width="14.44140625" style="119" customWidth="1"/>
    <col min="4101" max="4101" width="12.44140625" style="119" customWidth="1"/>
    <col min="4102" max="4102" width="12.5546875" style="119" bestFit="1" customWidth="1"/>
    <col min="4103" max="4103" width="8.44140625" style="119" customWidth="1"/>
    <col min="4104" max="4105" width="11.5546875" style="119" customWidth="1"/>
    <col min="4106" max="4106" width="11.71875" style="119" customWidth="1"/>
    <col min="4107" max="4107" width="11.5546875" style="119" customWidth="1"/>
    <col min="4108" max="4108" width="10.44140625" style="119" customWidth="1"/>
    <col min="4109" max="4109" width="11.71875" style="119" customWidth="1"/>
    <col min="4110" max="4110" width="10.44140625" style="119" customWidth="1"/>
    <col min="4111" max="4111" width="12" style="119" customWidth="1"/>
    <col min="4112" max="4112" width="16.71875" style="119" customWidth="1"/>
    <col min="4113" max="4113" width="12.44140625" style="119" customWidth="1"/>
    <col min="4114" max="4114" width="9.27734375" style="119" customWidth="1"/>
    <col min="4115" max="4115" width="13" style="119" customWidth="1"/>
    <col min="4116" max="4116" width="12" style="119" customWidth="1"/>
    <col min="4117" max="4117" width="18.44140625" style="119" customWidth="1"/>
    <col min="4118" max="4349" width="11.44140625" style="119"/>
    <col min="4350" max="4350" width="58.44140625" style="119" customWidth="1"/>
    <col min="4351" max="4351" width="11.44140625" style="119" bestFit="1" customWidth="1"/>
    <col min="4352" max="4352" width="11.5546875" style="119" customWidth="1"/>
    <col min="4353" max="4353" width="7.71875" style="119" customWidth="1"/>
    <col min="4354" max="4354" width="13.44140625" style="119" customWidth="1"/>
    <col min="4355" max="4355" width="13.71875" style="119" bestFit="1" customWidth="1"/>
    <col min="4356" max="4356" width="14.44140625" style="119" customWidth="1"/>
    <col min="4357" max="4357" width="12.44140625" style="119" customWidth="1"/>
    <col min="4358" max="4358" width="12.5546875" style="119" bestFit="1" customWidth="1"/>
    <col min="4359" max="4359" width="8.44140625" style="119" customWidth="1"/>
    <col min="4360" max="4361" width="11.5546875" style="119" customWidth="1"/>
    <col min="4362" max="4362" width="11.71875" style="119" customWidth="1"/>
    <col min="4363" max="4363" width="11.5546875" style="119" customWidth="1"/>
    <col min="4364" max="4364" width="10.44140625" style="119" customWidth="1"/>
    <col min="4365" max="4365" width="11.71875" style="119" customWidth="1"/>
    <col min="4366" max="4366" width="10.44140625" style="119" customWidth="1"/>
    <col min="4367" max="4367" width="12" style="119" customWidth="1"/>
    <col min="4368" max="4368" width="16.71875" style="119" customWidth="1"/>
    <col min="4369" max="4369" width="12.44140625" style="119" customWidth="1"/>
    <col min="4370" max="4370" width="9.27734375" style="119" customWidth="1"/>
    <col min="4371" max="4371" width="13" style="119" customWidth="1"/>
    <col min="4372" max="4372" width="12" style="119" customWidth="1"/>
    <col min="4373" max="4373" width="18.44140625" style="119" customWidth="1"/>
    <col min="4374" max="4605" width="11.44140625" style="119"/>
    <col min="4606" max="4606" width="58.44140625" style="119" customWidth="1"/>
    <col min="4607" max="4607" width="11.44140625" style="119" bestFit="1" customWidth="1"/>
    <col min="4608" max="4608" width="11.5546875" style="119" customWidth="1"/>
    <col min="4609" max="4609" width="7.71875" style="119" customWidth="1"/>
    <col min="4610" max="4610" width="13.44140625" style="119" customWidth="1"/>
    <col min="4611" max="4611" width="13.71875" style="119" bestFit="1" customWidth="1"/>
    <col min="4612" max="4612" width="14.44140625" style="119" customWidth="1"/>
    <col min="4613" max="4613" width="12.44140625" style="119" customWidth="1"/>
    <col min="4614" max="4614" width="12.5546875" style="119" bestFit="1" customWidth="1"/>
    <col min="4615" max="4615" width="8.44140625" style="119" customWidth="1"/>
    <col min="4616" max="4617" width="11.5546875" style="119" customWidth="1"/>
    <col min="4618" max="4618" width="11.71875" style="119" customWidth="1"/>
    <col min="4619" max="4619" width="11.5546875" style="119" customWidth="1"/>
    <col min="4620" max="4620" width="10.44140625" style="119" customWidth="1"/>
    <col min="4621" max="4621" width="11.71875" style="119" customWidth="1"/>
    <col min="4622" max="4622" width="10.44140625" style="119" customWidth="1"/>
    <col min="4623" max="4623" width="12" style="119" customWidth="1"/>
    <col min="4624" max="4624" width="16.71875" style="119" customWidth="1"/>
    <col min="4625" max="4625" width="12.44140625" style="119" customWidth="1"/>
    <col min="4626" max="4626" width="9.27734375" style="119" customWidth="1"/>
    <col min="4627" max="4627" width="13" style="119" customWidth="1"/>
    <col min="4628" max="4628" width="12" style="119" customWidth="1"/>
    <col min="4629" max="4629" width="18.44140625" style="119" customWidth="1"/>
    <col min="4630" max="4861" width="11.44140625" style="119"/>
    <col min="4862" max="4862" width="58.44140625" style="119" customWidth="1"/>
    <col min="4863" max="4863" width="11.44140625" style="119" bestFit="1" customWidth="1"/>
    <col min="4864" max="4864" width="11.5546875" style="119" customWidth="1"/>
    <col min="4865" max="4865" width="7.71875" style="119" customWidth="1"/>
    <col min="4866" max="4866" width="13.44140625" style="119" customWidth="1"/>
    <col min="4867" max="4867" width="13.71875" style="119" bestFit="1" customWidth="1"/>
    <col min="4868" max="4868" width="14.44140625" style="119" customWidth="1"/>
    <col min="4869" max="4869" width="12.44140625" style="119" customWidth="1"/>
    <col min="4870" max="4870" width="12.5546875" style="119" bestFit="1" customWidth="1"/>
    <col min="4871" max="4871" width="8.44140625" style="119" customWidth="1"/>
    <col min="4872" max="4873" width="11.5546875" style="119" customWidth="1"/>
    <col min="4874" max="4874" width="11.71875" style="119" customWidth="1"/>
    <col min="4875" max="4875" width="11.5546875" style="119" customWidth="1"/>
    <col min="4876" max="4876" width="10.44140625" style="119" customWidth="1"/>
    <col min="4877" max="4877" width="11.71875" style="119" customWidth="1"/>
    <col min="4878" max="4878" width="10.44140625" style="119" customWidth="1"/>
    <col min="4879" max="4879" width="12" style="119" customWidth="1"/>
    <col min="4880" max="4880" width="16.71875" style="119" customWidth="1"/>
    <col min="4881" max="4881" width="12.44140625" style="119" customWidth="1"/>
    <col min="4882" max="4882" width="9.27734375" style="119" customWidth="1"/>
    <col min="4883" max="4883" width="13" style="119" customWidth="1"/>
    <col min="4884" max="4884" width="12" style="119" customWidth="1"/>
    <col min="4885" max="4885" width="18.44140625" style="119" customWidth="1"/>
    <col min="4886" max="5117" width="11.44140625" style="119"/>
    <col min="5118" max="5118" width="58.44140625" style="119" customWidth="1"/>
    <col min="5119" max="5119" width="11.44140625" style="119" bestFit="1" customWidth="1"/>
    <col min="5120" max="5120" width="11.5546875" style="119" customWidth="1"/>
    <col min="5121" max="5121" width="7.71875" style="119" customWidth="1"/>
    <col min="5122" max="5122" width="13.44140625" style="119" customWidth="1"/>
    <col min="5123" max="5123" width="13.71875" style="119" bestFit="1" customWidth="1"/>
    <col min="5124" max="5124" width="14.44140625" style="119" customWidth="1"/>
    <col min="5125" max="5125" width="12.44140625" style="119" customWidth="1"/>
    <col min="5126" max="5126" width="12.5546875" style="119" bestFit="1" customWidth="1"/>
    <col min="5127" max="5127" width="8.44140625" style="119" customWidth="1"/>
    <col min="5128" max="5129" width="11.5546875" style="119" customWidth="1"/>
    <col min="5130" max="5130" width="11.71875" style="119" customWidth="1"/>
    <col min="5131" max="5131" width="11.5546875" style="119" customWidth="1"/>
    <col min="5132" max="5132" width="10.44140625" style="119" customWidth="1"/>
    <col min="5133" max="5133" width="11.71875" style="119" customWidth="1"/>
    <col min="5134" max="5134" width="10.44140625" style="119" customWidth="1"/>
    <col min="5135" max="5135" width="12" style="119" customWidth="1"/>
    <col min="5136" max="5136" width="16.71875" style="119" customWidth="1"/>
    <col min="5137" max="5137" width="12.44140625" style="119" customWidth="1"/>
    <col min="5138" max="5138" width="9.27734375" style="119" customWidth="1"/>
    <col min="5139" max="5139" width="13" style="119" customWidth="1"/>
    <col min="5140" max="5140" width="12" style="119" customWidth="1"/>
    <col min="5141" max="5141" width="18.44140625" style="119" customWidth="1"/>
    <col min="5142" max="5373" width="11.44140625" style="119"/>
    <col min="5374" max="5374" width="58.44140625" style="119" customWidth="1"/>
    <col min="5375" max="5375" width="11.44140625" style="119" bestFit="1" customWidth="1"/>
    <col min="5376" max="5376" width="11.5546875" style="119" customWidth="1"/>
    <col min="5377" max="5377" width="7.71875" style="119" customWidth="1"/>
    <col min="5378" max="5378" width="13.44140625" style="119" customWidth="1"/>
    <col min="5379" max="5379" width="13.71875" style="119" bestFit="1" customWidth="1"/>
    <col min="5380" max="5380" width="14.44140625" style="119" customWidth="1"/>
    <col min="5381" max="5381" width="12.44140625" style="119" customWidth="1"/>
    <col min="5382" max="5382" width="12.5546875" style="119" bestFit="1" customWidth="1"/>
    <col min="5383" max="5383" width="8.44140625" style="119" customWidth="1"/>
    <col min="5384" max="5385" width="11.5546875" style="119" customWidth="1"/>
    <col min="5386" max="5386" width="11.71875" style="119" customWidth="1"/>
    <col min="5387" max="5387" width="11.5546875" style="119" customWidth="1"/>
    <col min="5388" max="5388" width="10.44140625" style="119" customWidth="1"/>
    <col min="5389" max="5389" width="11.71875" style="119" customWidth="1"/>
    <col min="5390" max="5390" width="10.44140625" style="119" customWidth="1"/>
    <col min="5391" max="5391" width="12" style="119" customWidth="1"/>
    <col min="5392" max="5392" width="16.71875" style="119" customWidth="1"/>
    <col min="5393" max="5393" width="12.44140625" style="119" customWidth="1"/>
    <col min="5394" max="5394" width="9.27734375" style="119" customWidth="1"/>
    <col min="5395" max="5395" width="13" style="119" customWidth="1"/>
    <col min="5396" max="5396" width="12" style="119" customWidth="1"/>
    <col min="5397" max="5397" width="18.44140625" style="119" customWidth="1"/>
    <col min="5398" max="5629" width="11.44140625" style="119"/>
    <col min="5630" max="5630" width="58.44140625" style="119" customWidth="1"/>
    <col min="5631" max="5631" width="11.44140625" style="119" bestFit="1" customWidth="1"/>
    <col min="5632" max="5632" width="11.5546875" style="119" customWidth="1"/>
    <col min="5633" max="5633" width="7.71875" style="119" customWidth="1"/>
    <col min="5634" max="5634" width="13.44140625" style="119" customWidth="1"/>
    <col min="5635" max="5635" width="13.71875" style="119" bestFit="1" customWidth="1"/>
    <col min="5636" max="5636" width="14.44140625" style="119" customWidth="1"/>
    <col min="5637" max="5637" width="12.44140625" style="119" customWidth="1"/>
    <col min="5638" max="5638" width="12.5546875" style="119" bestFit="1" customWidth="1"/>
    <col min="5639" max="5639" width="8.44140625" style="119" customWidth="1"/>
    <col min="5640" max="5641" width="11.5546875" style="119" customWidth="1"/>
    <col min="5642" max="5642" width="11.71875" style="119" customWidth="1"/>
    <col min="5643" max="5643" width="11.5546875" style="119" customWidth="1"/>
    <col min="5644" max="5644" width="10.44140625" style="119" customWidth="1"/>
    <col min="5645" max="5645" width="11.71875" style="119" customWidth="1"/>
    <col min="5646" max="5646" width="10.44140625" style="119" customWidth="1"/>
    <col min="5647" max="5647" width="12" style="119" customWidth="1"/>
    <col min="5648" max="5648" width="16.71875" style="119" customWidth="1"/>
    <col min="5649" max="5649" width="12.44140625" style="119" customWidth="1"/>
    <col min="5650" max="5650" width="9.27734375" style="119" customWidth="1"/>
    <col min="5651" max="5651" width="13" style="119" customWidth="1"/>
    <col min="5652" max="5652" width="12" style="119" customWidth="1"/>
    <col min="5653" max="5653" width="18.44140625" style="119" customWidth="1"/>
    <col min="5654" max="5885" width="11.44140625" style="119"/>
    <col min="5886" max="5886" width="58.44140625" style="119" customWidth="1"/>
    <col min="5887" max="5887" width="11.44140625" style="119" bestFit="1" customWidth="1"/>
    <col min="5888" max="5888" width="11.5546875" style="119" customWidth="1"/>
    <col min="5889" max="5889" width="7.71875" style="119" customWidth="1"/>
    <col min="5890" max="5890" width="13.44140625" style="119" customWidth="1"/>
    <col min="5891" max="5891" width="13.71875" style="119" bestFit="1" customWidth="1"/>
    <col min="5892" max="5892" width="14.44140625" style="119" customWidth="1"/>
    <col min="5893" max="5893" width="12.44140625" style="119" customWidth="1"/>
    <col min="5894" max="5894" width="12.5546875" style="119" bestFit="1" customWidth="1"/>
    <col min="5895" max="5895" width="8.44140625" style="119" customWidth="1"/>
    <col min="5896" max="5897" width="11.5546875" style="119" customWidth="1"/>
    <col min="5898" max="5898" width="11.71875" style="119" customWidth="1"/>
    <col min="5899" max="5899" width="11.5546875" style="119" customWidth="1"/>
    <col min="5900" max="5900" width="10.44140625" style="119" customWidth="1"/>
    <col min="5901" max="5901" width="11.71875" style="119" customWidth="1"/>
    <col min="5902" max="5902" width="10.44140625" style="119" customWidth="1"/>
    <col min="5903" max="5903" width="12" style="119" customWidth="1"/>
    <col min="5904" max="5904" width="16.71875" style="119" customWidth="1"/>
    <col min="5905" max="5905" width="12.44140625" style="119" customWidth="1"/>
    <col min="5906" max="5906" width="9.27734375" style="119" customWidth="1"/>
    <col min="5907" max="5907" width="13" style="119" customWidth="1"/>
    <col min="5908" max="5908" width="12" style="119" customWidth="1"/>
    <col min="5909" max="5909" width="18.44140625" style="119" customWidth="1"/>
    <col min="5910" max="6141" width="11.44140625" style="119"/>
    <col min="6142" max="6142" width="58.44140625" style="119" customWidth="1"/>
    <col min="6143" max="6143" width="11.44140625" style="119" bestFit="1" customWidth="1"/>
    <col min="6144" max="6144" width="11.5546875" style="119" customWidth="1"/>
    <col min="6145" max="6145" width="7.71875" style="119" customWidth="1"/>
    <col min="6146" max="6146" width="13.44140625" style="119" customWidth="1"/>
    <col min="6147" max="6147" width="13.71875" style="119" bestFit="1" customWidth="1"/>
    <col min="6148" max="6148" width="14.44140625" style="119" customWidth="1"/>
    <col min="6149" max="6149" width="12.44140625" style="119" customWidth="1"/>
    <col min="6150" max="6150" width="12.5546875" style="119" bestFit="1" customWidth="1"/>
    <col min="6151" max="6151" width="8.44140625" style="119" customWidth="1"/>
    <col min="6152" max="6153" width="11.5546875" style="119" customWidth="1"/>
    <col min="6154" max="6154" width="11.71875" style="119" customWidth="1"/>
    <col min="6155" max="6155" width="11.5546875" style="119" customWidth="1"/>
    <col min="6156" max="6156" width="10.44140625" style="119" customWidth="1"/>
    <col min="6157" max="6157" width="11.71875" style="119" customWidth="1"/>
    <col min="6158" max="6158" width="10.44140625" style="119" customWidth="1"/>
    <col min="6159" max="6159" width="12" style="119" customWidth="1"/>
    <col min="6160" max="6160" width="16.71875" style="119" customWidth="1"/>
    <col min="6161" max="6161" width="12.44140625" style="119" customWidth="1"/>
    <col min="6162" max="6162" width="9.27734375" style="119" customWidth="1"/>
    <col min="6163" max="6163" width="13" style="119" customWidth="1"/>
    <col min="6164" max="6164" width="12" style="119" customWidth="1"/>
    <col min="6165" max="6165" width="18.44140625" style="119" customWidth="1"/>
    <col min="6166" max="6397" width="11.44140625" style="119"/>
    <col min="6398" max="6398" width="58.44140625" style="119" customWidth="1"/>
    <col min="6399" max="6399" width="11.44140625" style="119" bestFit="1" customWidth="1"/>
    <col min="6400" max="6400" width="11.5546875" style="119" customWidth="1"/>
    <col min="6401" max="6401" width="7.71875" style="119" customWidth="1"/>
    <col min="6402" max="6402" width="13.44140625" style="119" customWidth="1"/>
    <col min="6403" max="6403" width="13.71875" style="119" bestFit="1" customWidth="1"/>
    <col min="6404" max="6404" width="14.44140625" style="119" customWidth="1"/>
    <col min="6405" max="6405" width="12.44140625" style="119" customWidth="1"/>
    <col min="6406" max="6406" width="12.5546875" style="119" bestFit="1" customWidth="1"/>
    <col min="6407" max="6407" width="8.44140625" style="119" customWidth="1"/>
    <col min="6408" max="6409" width="11.5546875" style="119" customWidth="1"/>
    <col min="6410" max="6410" width="11.71875" style="119" customWidth="1"/>
    <col min="6411" max="6411" width="11.5546875" style="119" customWidth="1"/>
    <col min="6412" max="6412" width="10.44140625" style="119" customWidth="1"/>
    <col min="6413" max="6413" width="11.71875" style="119" customWidth="1"/>
    <col min="6414" max="6414" width="10.44140625" style="119" customWidth="1"/>
    <col min="6415" max="6415" width="12" style="119" customWidth="1"/>
    <col min="6416" max="6416" width="16.71875" style="119" customWidth="1"/>
    <col min="6417" max="6417" width="12.44140625" style="119" customWidth="1"/>
    <col min="6418" max="6418" width="9.27734375" style="119" customWidth="1"/>
    <col min="6419" max="6419" width="13" style="119" customWidth="1"/>
    <col min="6420" max="6420" width="12" style="119" customWidth="1"/>
    <col min="6421" max="6421" width="18.44140625" style="119" customWidth="1"/>
    <col min="6422" max="6653" width="11.44140625" style="119"/>
    <col min="6654" max="6654" width="58.44140625" style="119" customWidth="1"/>
    <col min="6655" max="6655" width="11.44140625" style="119" bestFit="1" customWidth="1"/>
    <col min="6656" max="6656" width="11.5546875" style="119" customWidth="1"/>
    <col min="6657" max="6657" width="7.71875" style="119" customWidth="1"/>
    <col min="6658" max="6658" width="13.44140625" style="119" customWidth="1"/>
    <col min="6659" max="6659" width="13.71875" style="119" bestFit="1" customWidth="1"/>
    <col min="6660" max="6660" width="14.44140625" style="119" customWidth="1"/>
    <col min="6661" max="6661" width="12.44140625" style="119" customWidth="1"/>
    <col min="6662" max="6662" width="12.5546875" style="119" bestFit="1" customWidth="1"/>
    <col min="6663" max="6663" width="8.44140625" style="119" customWidth="1"/>
    <col min="6664" max="6665" width="11.5546875" style="119" customWidth="1"/>
    <col min="6666" max="6666" width="11.71875" style="119" customWidth="1"/>
    <col min="6667" max="6667" width="11.5546875" style="119" customWidth="1"/>
    <col min="6668" max="6668" width="10.44140625" style="119" customWidth="1"/>
    <col min="6669" max="6669" width="11.71875" style="119" customWidth="1"/>
    <col min="6670" max="6670" width="10.44140625" style="119" customWidth="1"/>
    <col min="6671" max="6671" width="12" style="119" customWidth="1"/>
    <col min="6672" max="6672" width="16.71875" style="119" customWidth="1"/>
    <col min="6673" max="6673" width="12.44140625" style="119" customWidth="1"/>
    <col min="6674" max="6674" width="9.27734375" style="119" customWidth="1"/>
    <col min="6675" max="6675" width="13" style="119" customWidth="1"/>
    <col min="6676" max="6676" width="12" style="119" customWidth="1"/>
    <col min="6677" max="6677" width="18.44140625" style="119" customWidth="1"/>
    <col min="6678" max="6909" width="11.44140625" style="119"/>
    <col min="6910" max="6910" width="58.44140625" style="119" customWidth="1"/>
    <col min="6911" max="6911" width="11.44140625" style="119" bestFit="1" customWidth="1"/>
    <col min="6912" max="6912" width="11.5546875" style="119" customWidth="1"/>
    <col min="6913" max="6913" width="7.71875" style="119" customWidth="1"/>
    <col min="6914" max="6914" width="13.44140625" style="119" customWidth="1"/>
    <col min="6915" max="6915" width="13.71875" style="119" bestFit="1" customWidth="1"/>
    <col min="6916" max="6916" width="14.44140625" style="119" customWidth="1"/>
    <col min="6917" max="6917" width="12.44140625" style="119" customWidth="1"/>
    <col min="6918" max="6918" width="12.5546875" style="119" bestFit="1" customWidth="1"/>
    <col min="6919" max="6919" width="8.44140625" style="119" customWidth="1"/>
    <col min="6920" max="6921" width="11.5546875" style="119" customWidth="1"/>
    <col min="6922" max="6922" width="11.71875" style="119" customWidth="1"/>
    <col min="6923" max="6923" width="11.5546875" style="119" customWidth="1"/>
    <col min="6924" max="6924" width="10.44140625" style="119" customWidth="1"/>
    <col min="6925" max="6925" width="11.71875" style="119" customWidth="1"/>
    <col min="6926" max="6926" width="10.44140625" style="119" customWidth="1"/>
    <col min="6927" max="6927" width="12" style="119" customWidth="1"/>
    <col min="6928" max="6928" width="16.71875" style="119" customWidth="1"/>
    <col min="6929" max="6929" width="12.44140625" style="119" customWidth="1"/>
    <col min="6930" max="6930" width="9.27734375" style="119" customWidth="1"/>
    <col min="6931" max="6931" width="13" style="119" customWidth="1"/>
    <col min="6932" max="6932" width="12" style="119" customWidth="1"/>
    <col min="6933" max="6933" width="18.44140625" style="119" customWidth="1"/>
    <col min="6934" max="7165" width="11.44140625" style="119"/>
    <col min="7166" max="7166" width="58.44140625" style="119" customWidth="1"/>
    <col min="7167" max="7167" width="11.44140625" style="119" bestFit="1" customWidth="1"/>
    <col min="7168" max="7168" width="11.5546875" style="119" customWidth="1"/>
    <col min="7169" max="7169" width="7.71875" style="119" customWidth="1"/>
    <col min="7170" max="7170" width="13.44140625" style="119" customWidth="1"/>
    <col min="7171" max="7171" width="13.71875" style="119" bestFit="1" customWidth="1"/>
    <col min="7172" max="7172" width="14.44140625" style="119" customWidth="1"/>
    <col min="7173" max="7173" width="12.44140625" style="119" customWidth="1"/>
    <col min="7174" max="7174" width="12.5546875" style="119" bestFit="1" customWidth="1"/>
    <col min="7175" max="7175" width="8.44140625" style="119" customWidth="1"/>
    <col min="7176" max="7177" width="11.5546875" style="119" customWidth="1"/>
    <col min="7178" max="7178" width="11.71875" style="119" customWidth="1"/>
    <col min="7179" max="7179" width="11.5546875" style="119" customWidth="1"/>
    <col min="7180" max="7180" width="10.44140625" style="119" customWidth="1"/>
    <col min="7181" max="7181" width="11.71875" style="119" customWidth="1"/>
    <col min="7182" max="7182" width="10.44140625" style="119" customWidth="1"/>
    <col min="7183" max="7183" width="12" style="119" customWidth="1"/>
    <col min="7184" max="7184" width="16.71875" style="119" customWidth="1"/>
    <col min="7185" max="7185" width="12.44140625" style="119" customWidth="1"/>
    <col min="7186" max="7186" width="9.27734375" style="119" customWidth="1"/>
    <col min="7187" max="7187" width="13" style="119" customWidth="1"/>
    <col min="7188" max="7188" width="12" style="119" customWidth="1"/>
    <col min="7189" max="7189" width="18.44140625" style="119" customWidth="1"/>
    <col min="7190" max="7421" width="11.44140625" style="119"/>
    <col min="7422" max="7422" width="58.44140625" style="119" customWidth="1"/>
    <col min="7423" max="7423" width="11.44140625" style="119" bestFit="1" customWidth="1"/>
    <col min="7424" max="7424" width="11.5546875" style="119" customWidth="1"/>
    <col min="7425" max="7425" width="7.71875" style="119" customWidth="1"/>
    <col min="7426" max="7426" width="13.44140625" style="119" customWidth="1"/>
    <col min="7427" max="7427" width="13.71875" style="119" bestFit="1" customWidth="1"/>
    <col min="7428" max="7428" width="14.44140625" style="119" customWidth="1"/>
    <col min="7429" max="7429" width="12.44140625" style="119" customWidth="1"/>
    <col min="7430" max="7430" width="12.5546875" style="119" bestFit="1" customWidth="1"/>
    <col min="7431" max="7431" width="8.44140625" style="119" customWidth="1"/>
    <col min="7432" max="7433" width="11.5546875" style="119" customWidth="1"/>
    <col min="7434" max="7434" width="11.71875" style="119" customWidth="1"/>
    <col min="7435" max="7435" width="11.5546875" style="119" customWidth="1"/>
    <col min="7436" max="7436" width="10.44140625" style="119" customWidth="1"/>
    <col min="7437" max="7437" width="11.71875" style="119" customWidth="1"/>
    <col min="7438" max="7438" width="10.44140625" style="119" customWidth="1"/>
    <col min="7439" max="7439" width="12" style="119" customWidth="1"/>
    <col min="7440" max="7440" width="16.71875" style="119" customWidth="1"/>
    <col min="7441" max="7441" width="12.44140625" style="119" customWidth="1"/>
    <col min="7442" max="7442" width="9.27734375" style="119" customWidth="1"/>
    <col min="7443" max="7443" width="13" style="119" customWidth="1"/>
    <col min="7444" max="7444" width="12" style="119" customWidth="1"/>
    <col min="7445" max="7445" width="18.44140625" style="119" customWidth="1"/>
    <col min="7446" max="7677" width="11.44140625" style="119"/>
    <col min="7678" max="7678" width="58.44140625" style="119" customWidth="1"/>
    <col min="7679" max="7679" width="11.44140625" style="119" bestFit="1" customWidth="1"/>
    <col min="7680" max="7680" width="11.5546875" style="119" customWidth="1"/>
    <col min="7681" max="7681" width="7.71875" style="119" customWidth="1"/>
    <col min="7682" max="7682" width="13.44140625" style="119" customWidth="1"/>
    <col min="7683" max="7683" width="13.71875" style="119" bestFit="1" customWidth="1"/>
    <col min="7684" max="7684" width="14.44140625" style="119" customWidth="1"/>
    <col min="7685" max="7685" width="12.44140625" style="119" customWidth="1"/>
    <col min="7686" max="7686" width="12.5546875" style="119" bestFit="1" customWidth="1"/>
    <col min="7687" max="7687" width="8.44140625" style="119" customWidth="1"/>
    <col min="7688" max="7689" width="11.5546875" style="119" customWidth="1"/>
    <col min="7690" max="7690" width="11.71875" style="119" customWidth="1"/>
    <col min="7691" max="7691" width="11.5546875" style="119" customWidth="1"/>
    <col min="7692" max="7692" width="10.44140625" style="119" customWidth="1"/>
    <col min="7693" max="7693" width="11.71875" style="119" customWidth="1"/>
    <col min="7694" max="7694" width="10.44140625" style="119" customWidth="1"/>
    <col min="7695" max="7695" width="12" style="119" customWidth="1"/>
    <col min="7696" max="7696" width="16.71875" style="119" customWidth="1"/>
    <col min="7697" max="7697" width="12.44140625" style="119" customWidth="1"/>
    <col min="7698" max="7698" width="9.27734375" style="119" customWidth="1"/>
    <col min="7699" max="7699" width="13" style="119" customWidth="1"/>
    <col min="7700" max="7700" width="12" style="119" customWidth="1"/>
    <col min="7701" max="7701" width="18.44140625" style="119" customWidth="1"/>
    <col min="7702" max="7933" width="11.44140625" style="119"/>
    <col min="7934" max="7934" width="58.44140625" style="119" customWidth="1"/>
    <col min="7935" max="7935" width="11.44140625" style="119" bestFit="1" customWidth="1"/>
    <col min="7936" max="7936" width="11.5546875" style="119" customWidth="1"/>
    <col min="7937" max="7937" width="7.71875" style="119" customWidth="1"/>
    <col min="7938" max="7938" width="13.44140625" style="119" customWidth="1"/>
    <col min="7939" max="7939" width="13.71875" style="119" bestFit="1" customWidth="1"/>
    <col min="7940" max="7940" width="14.44140625" style="119" customWidth="1"/>
    <col min="7941" max="7941" width="12.44140625" style="119" customWidth="1"/>
    <col min="7942" max="7942" width="12.5546875" style="119" bestFit="1" customWidth="1"/>
    <col min="7943" max="7943" width="8.44140625" style="119" customWidth="1"/>
    <col min="7944" max="7945" width="11.5546875" style="119" customWidth="1"/>
    <col min="7946" max="7946" width="11.71875" style="119" customWidth="1"/>
    <col min="7947" max="7947" width="11.5546875" style="119" customWidth="1"/>
    <col min="7948" max="7948" width="10.44140625" style="119" customWidth="1"/>
    <col min="7949" max="7949" width="11.71875" style="119" customWidth="1"/>
    <col min="7950" max="7950" width="10.44140625" style="119" customWidth="1"/>
    <col min="7951" max="7951" width="12" style="119" customWidth="1"/>
    <col min="7952" max="7952" width="16.71875" style="119" customWidth="1"/>
    <col min="7953" max="7953" width="12.44140625" style="119" customWidth="1"/>
    <col min="7954" max="7954" width="9.27734375" style="119" customWidth="1"/>
    <col min="7955" max="7955" width="13" style="119" customWidth="1"/>
    <col min="7956" max="7956" width="12" style="119" customWidth="1"/>
    <col min="7957" max="7957" width="18.44140625" style="119" customWidth="1"/>
    <col min="7958" max="8189" width="11.44140625" style="119"/>
    <col min="8190" max="8190" width="58.44140625" style="119" customWidth="1"/>
    <col min="8191" max="8191" width="11.44140625" style="119" bestFit="1" customWidth="1"/>
    <col min="8192" max="8192" width="11.5546875" style="119" customWidth="1"/>
    <col min="8193" max="8193" width="7.71875" style="119" customWidth="1"/>
    <col min="8194" max="8194" width="13.44140625" style="119" customWidth="1"/>
    <col min="8195" max="8195" width="13.71875" style="119" bestFit="1" customWidth="1"/>
    <col min="8196" max="8196" width="14.44140625" style="119" customWidth="1"/>
    <col min="8197" max="8197" width="12.44140625" style="119" customWidth="1"/>
    <col min="8198" max="8198" width="12.5546875" style="119" bestFit="1" customWidth="1"/>
    <col min="8199" max="8199" width="8.44140625" style="119" customWidth="1"/>
    <col min="8200" max="8201" width="11.5546875" style="119" customWidth="1"/>
    <col min="8202" max="8202" width="11.71875" style="119" customWidth="1"/>
    <col min="8203" max="8203" width="11.5546875" style="119" customWidth="1"/>
    <col min="8204" max="8204" width="10.44140625" style="119" customWidth="1"/>
    <col min="8205" max="8205" width="11.71875" style="119" customWidth="1"/>
    <col min="8206" max="8206" width="10.44140625" style="119" customWidth="1"/>
    <col min="8207" max="8207" width="12" style="119" customWidth="1"/>
    <col min="8208" max="8208" width="16.71875" style="119" customWidth="1"/>
    <col min="8209" max="8209" width="12.44140625" style="119" customWidth="1"/>
    <col min="8210" max="8210" width="9.27734375" style="119" customWidth="1"/>
    <col min="8211" max="8211" width="13" style="119" customWidth="1"/>
    <col min="8212" max="8212" width="12" style="119" customWidth="1"/>
    <col min="8213" max="8213" width="18.44140625" style="119" customWidth="1"/>
    <col min="8214" max="8445" width="11.44140625" style="119"/>
    <col min="8446" max="8446" width="58.44140625" style="119" customWidth="1"/>
    <col min="8447" max="8447" width="11.44140625" style="119" bestFit="1" customWidth="1"/>
    <col min="8448" max="8448" width="11.5546875" style="119" customWidth="1"/>
    <col min="8449" max="8449" width="7.71875" style="119" customWidth="1"/>
    <col min="8450" max="8450" width="13.44140625" style="119" customWidth="1"/>
    <col min="8451" max="8451" width="13.71875" style="119" bestFit="1" customWidth="1"/>
    <col min="8452" max="8452" width="14.44140625" style="119" customWidth="1"/>
    <col min="8453" max="8453" width="12.44140625" style="119" customWidth="1"/>
    <col min="8454" max="8454" width="12.5546875" style="119" bestFit="1" customWidth="1"/>
    <col min="8455" max="8455" width="8.44140625" style="119" customWidth="1"/>
    <col min="8456" max="8457" width="11.5546875" style="119" customWidth="1"/>
    <col min="8458" max="8458" width="11.71875" style="119" customWidth="1"/>
    <col min="8459" max="8459" width="11.5546875" style="119" customWidth="1"/>
    <col min="8460" max="8460" width="10.44140625" style="119" customWidth="1"/>
    <col min="8461" max="8461" width="11.71875" style="119" customWidth="1"/>
    <col min="8462" max="8462" width="10.44140625" style="119" customWidth="1"/>
    <col min="8463" max="8463" width="12" style="119" customWidth="1"/>
    <col min="8464" max="8464" width="16.71875" style="119" customWidth="1"/>
    <col min="8465" max="8465" width="12.44140625" style="119" customWidth="1"/>
    <col min="8466" max="8466" width="9.27734375" style="119" customWidth="1"/>
    <col min="8467" max="8467" width="13" style="119" customWidth="1"/>
    <col min="8468" max="8468" width="12" style="119" customWidth="1"/>
    <col min="8469" max="8469" width="18.44140625" style="119" customWidth="1"/>
    <col min="8470" max="8701" width="11.44140625" style="119"/>
    <col min="8702" max="8702" width="58.44140625" style="119" customWidth="1"/>
    <col min="8703" max="8703" width="11.44140625" style="119" bestFit="1" customWidth="1"/>
    <col min="8704" max="8704" width="11.5546875" style="119" customWidth="1"/>
    <col min="8705" max="8705" width="7.71875" style="119" customWidth="1"/>
    <col min="8706" max="8706" width="13.44140625" style="119" customWidth="1"/>
    <col min="8707" max="8707" width="13.71875" style="119" bestFit="1" customWidth="1"/>
    <col min="8708" max="8708" width="14.44140625" style="119" customWidth="1"/>
    <col min="8709" max="8709" width="12.44140625" style="119" customWidth="1"/>
    <col min="8710" max="8710" width="12.5546875" style="119" bestFit="1" customWidth="1"/>
    <col min="8711" max="8711" width="8.44140625" style="119" customWidth="1"/>
    <col min="8712" max="8713" width="11.5546875" style="119" customWidth="1"/>
    <col min="8714" max="8714" width="11.71875" style="119" customWidth="1"/>
    <col min="8715" max="8715" width="11.5546875" style="119" customWidth="1"/>
    <col min="8716" max="8716" width="10.44140625" style="119" customWidth="1"/>
    <col min="8717" max="8717" width="11.71875" style="119" customWidth="1"/>
    <col min="8718" max="8718" width="10.44140625" style="119" customWidth="1"/>
    <col min="8719" max="8719" width="12" style="119" customWidth="1"/>
    <col min="8720" max="8720" width="16.71875" style="119" customWidth="1"/>
    <col min="8721" max="8721" width="12.44140625" style="119" customWidth="1"/>
    <col min="8722" max="8722" width="9.27734375" style="119" customWidth="1"/>
    <col min="8723" max="8723" width="13" style="119" customWidth="1"/>
    <col min="8724" max="8724" width="12" style="119" customWidth="1"/>
    <col min="8725" max="8725" width="18.44140625" style="119" customWidth="1"/>
    <col min="8726" max="8957" width="11.44140625" style="119"/>
    <col min="8958" max="8958" width="58.44140625" style="119" customWidth="1"/>
    <col min="8959" max="8959" width="11.44140625" style="119" bestFit="1" customWidth="1"/>
    <col min="8960" max="8960" width="11.5546875" style="119" customWidth="1"/>
    <col min="8961" max="8961" width="7.71875" style="119" customWidth="1"/>
    <col min="8962" max="8962" width="13.44140625" style="119" customWidth="1"/>
    <col min="8963" max="8963" width="13.71875" style="119" bestFit="1" customWidth="1"/>
    <col min="8964" max="8964" width="14.44140625" style="119" customWidth="1"/>
    <col min="8965" max="8965" width="12.44140625" style="119" customWidth="1"/>
    <col min="8966" max="8966" width="12.5546875" style="119" bestFit="1" customWidth="1"/>
    <col min="8967" max="8967" width="8.44140625" style="119" customWidth="1"/>
    <col min="8968" max="8969" width="11.5546875" style="119" customWidth="1"/>
    <col min="8970" max="8970" width="11.71875" style="119" customWidth="1"/>
    <col min="8971" max="8971" width="11.5546875" style="119" customWidth="1"/>
    <col min="8972" max="8972" width="10.44140625" style="119" customWidth="1"/>
    <col min="8973" max="8973" width="11.71875" style="119" customWidth="1"/>
    <col min="8974" max="8974" width="10.44140625" style="119" customWidth="1"/>
    <col min="8975" max="8975" width="12" style="119" customWidth="1"/>
    <col min="8976" max="8976" width="16.71875" style="119" customWidth="1"/>
    <col min="8977" max="8977" width="12.44140625" style="119" customWidth="1"/>
    <col min="8978" max="8978" width="9.27734375" style="119" customWidth="1"/>
    <col min="8979" max="8979" width="13" style="119" customWidth="1"/>
    <col min="8980" max="8980" width="12" style="119" customWidth="1"/>
    <col min="8981" max="8981" width="18.44140625" style="119" customWidth="1"/>
    <col min="8982" max="9213" width="11.44140625" style="119"/>
    <col min="9214" max="9214" width="58.44140625" style="119" customWidth="1"/>
    <col min="9215" max="9215" width="11.44140625" style="119" bestFit="1" customWidth="1"/>
    <col min="9216" max="9216" width="11.5546875" style="119" customWidth="1"/>
    <col min="9217" max="9217" width="7.71875" style="119" customWidth="1"/>
    <col min="9218" max="9218" width="13.44140625" style="119" customWidth="1"/>
    <col min="9219" max="9219" width="13.71875" style="119" bestFit="1" customWidth="1"/>
    <col min="9220" max="9220" width="14.44140625" style="119" customWidth="1"/>
    <col min="9221" max="9221" width="12.44140625" style="119" customWidth="1"/>
    <col min="9222" max="9222" width="12.5546875" style="119" bestFit="1" customWidth="1"/>
    <col min="9223" max="9223" width="8.44140625" style="119" customWidth="1"/>
    <col min="9224" max="9225" width="11.5546875" style="119" customWidth="1"/>
    <col min="9226" max="9226" width="11.71875" style="119" customWidth="1"/>
    <col min="9227" max="9227" width="11.5546875" style="119" customWidth="1"/>
    <col min="9228" max="9228" width="10.44140625" style="119" customWidth="1"/>
    <col min="9229" max="9229" width="11.71875" style="119" customWidth="1"/>
    <col min="9230" max="9230" width="10.44140625" style="119" customWidth="1"/>
    <col min="9231" max="9231" width="12" style="119" customWidth="1"/>
    <col min="9232" max="9232" width="16.71875" style="119" customWidth="1"/>
    <col min="9233" max="9233" width="12.44140625" style="119" customWidth="1"/>
    <col min="9234" max="9234" width="9.27734375" style="119" customWidth="1"/>
    <col min="9235" max="9235" width="13" style="119" customWidth="1"/>
    <col min="9236" max="9236" width="12" style="119" customWidth="1"/>
    <col min="9237" max="9237" width="18.44140625" style="119" customWidth="1"/>
    <col min="9238" max="9469" width="11.44140625" style="119"/>
    <col min="9470" max="9470" width="58.44140625" style="119" customWidth="1"/>
    <col min="9471" max="9471" width="11.44140625" style="119" bestFit="1" customWidth="1"/>
    <col min="9472" max="9472" width="11.5546875" style="119" customWidth="1"/>
    <col min="9473" max="9473" width="7.71875" style="119" customWidth="1"/>
    <col min="9474" max="9474" width="13.44140625" style="119" customWidth="1"/>
    <col min="9475" max="9475" width="13.71875" style="119" bestFit="1" customWidth="1"/>
    <col min="9476" max="9476" width="14.44140625" style="119" customWidth="1"/>
    <col min="9477" max="9477" width="12.44140625" style="119" customWidth="1"/>
    <col min="9478" max="9478" width="12.5546875" style="119" bestFit="1" customWidth="1"/>
    <col min="9479" max="9479" width="8.44140625" style="119" customWidth="1"/>
    <col min="9480" max="9481" width="11.5546875" style="119" customWidth="1"/>
    <col min="9482" max="9482" width="11.71875" style="119" customWidth="1"/>
    <col min="9483" max="9483" width="11.5546875" style="119" customWidth="1"/>
    <col min="9484" max="9484" width="10.44140625" style="119" customWidth="1"/>
    <col min="9485" max="9485" width="11.71875" style="119" customWidth="1"/>
    <col min="9486" max="9486" width="10.44140625" style="119" customWidth="1"/>
    <col min="9487" max="9487" width="12" style="119" customWidth="1"/>
    <col min="9488" max="9488" width="16.71875" style="119" customWidth="1"/>
    <col min="9489" max="9489" width="12.44140625" style="119" customWidth="1"/>
    <col min="9490" max="9490" width="9.27734375" style="119" customWidth="1"/>
    <col min="9491" max="9491" width="13" style="119" customWidth="1"/>
    <col min="9492" max="9492" width="12" style="119" customWidth="1"/>
    <col min="9493" max="9493" width="18.44140625" style="119" customWidth="1"/>
    <col min="9494" max="9725" width="11.44140625" style="119"/>
    <col min="9726" max="9726" width="58.44140625" style="119" customWidth="1"/>
    <col min="9727" max="9727" width="11.44140625" style="119" bestFit="1" customWidth="1"/>
    <col min="9728" max="9728" width="11.5546875" style="119" customWidth="1"/>
    <col min="9729" max="9729" width="7.71875" style="119" customWidth="1"/>
    <col min="9730" max="9730" width="13.44140625" style="119" customWidth="1"/>
    <col min="9731" max="9731" width="13.71875" style="119" bestFit="1" customWidth="1"/>
    <col min="9732" max="9732" width="14.44140625" style="119" customWidth="1"/>
    <col min="9733" max="9733" width="12.44140625" style="119" customWidth="1"/>
    <col min="9734" max="9734" width="12.5546875" style="119" bestFit="1" customWidth="1"/>
    <col min="9735" max="9735" width="8.44140625" style="119" customWidth="1"/>
    <col min="9736" max="9737" width="11.5546875" style="119" customWidth="1"/>
    <col min="9738" max="9738" width="11.71875" style="119" customWidth="1"/>
    <col min="9739" max="9739" width="11.5546875" style="119" customWidth="1"/>
    <col min="9740" max="9740" width="10.44140625" style="119" customWidth="1"/>
    <col min="9741" max="9741" width="11.71875" style="119" customWidth="1"/>
    <col min="9742" max="9742" width="10.44140625" style="119" customWidth="1"/>
    <col min="9743" max="9743" width="12" style="119" customWidth="1"/>
    <col min="9744" max="9744" width="16.71875" style="119" customWidth="1"/>
    <col min="9745" max="9745" width="12.44140625" style="119" customWidth="1"/>
    <col min="9746" max="9746" width="9.27734375" style="119" customWidth="1"/>
    <col min="9747" max="9747" width="13" style="119" customWidth="1"/>
    <col min="9748" max="9748" width="12" style="119" customWidth="1"/>
    <col min="9749" max="9749" width="18.44140625" style="119" customWidth="1"/>
    <col min="9750" max="9981" width="11.44140625" style="119"/>
    <col min="9982" max="9982" width="58.44140625" style="119" customWidth="1"/>
    <col min="9983" max="9983" width="11.44140625" style="119" bestFit="1" customWidth="1"/>
    <col min="9984" max="9984" width="11.5546875" style="119" customWidth="1"/>
    <col min="9985" max="9985" width="7.71875" style="119" customWidth="1"/>
    <col min="9986" max="9986" width="13.44140625" style="119" customWidth="1"/>
    <col min="9987" max="9987" width="13.71875" style="119" bestFit="1" customWidth="1"/>
    <col min="9988" max="9988" width="14.44140625" style="119" customWidth="1"/>
    <col min="9989" max="9989" width="12.44140625" style="119" customWidth="1"/>
    <col min="9990" max="9990" width="12.5546875" style="119" bestFit="1" customWidth="1"/>
    <col min="9991" max="9991" width="8.44140625" style="119" customWidth="1"/>
    <col min="9992" max="9993" width="11.5546875" style="119" customWidth="1"/>
    <col min="9994" max="9994" width="11.71875" style="119" customWidth="1"/>
    <col min="9995" max="9995" width="11.5546875" style="119" customWidth="1"/>
    <col min="9996" max="9996" width="10.44140625" style="119" customWidth="1"/>
    <col min="9997" max="9997" width="11.71875" style="119" customWidth="1"/>
    <col min="9998" max="9998" width="10.44140625" style="119" customWidth="1"/>
    <col min="9999" max="9999" width="12" style="119" customWidth="1"/>
    <col min="10000" max="10000" width="16.71875" style="119" customWidth="1"/>
    <col min="10001" max="10001" width="12.44140625" style="119" customWidth="1"/>
    <col min="10002" max="10002" width="9.27734375" style="119" customWidth="1"/>
    <col min="10003" max="10003" width="13" style="119" customWidth="1"/>
    <col min="10004" max="10004" width="12" style="119" customWidth="1"/>
    <col min="10005" max="10005" width="18.44140625" style="119" customWidth="1"/>
    <col min="10006" max="10237" width="11.44140625" style="119"/>
    <col min="10238" max="10238" width="58.44140625" style="119" customWidth="1"/>
    <col min="10239" max="10239" width="11.44140625" style="119" bestFit="1" customWidth="1"/>
    <col min="10240" max="10240" width="11.5546875" style="119" customWidth="1"/>
    <col min="10241" max="10241" width="7.71875" style="119" customWidth="1"/>
    <col min="10242" max="10242" width="13.44140625" style="119" customWidth="1"/>
    <col min="10243" max="10243" width="13.71875" style="119" bestFit="1" customWidth="1"/>
    <col min="10244" max="10244" width="14.44140625" style="119" customWidth="1"/>
    <col min="10245" max="10245" width="12.44140625" style="119" customWidth="1"/>
    <col min="10246" max="10246" width="12.5546875" style="119" bestFit="1" customWidth="1"/>
    <col min="10247" max="10247" width="8.44140625" style="119" customWidth="1"/>
    <col min="10248" max="10249" width="11.5546875" style="119" customWidth="1"/>
    <col min="10250" max="10250" width="11.71875" style="119" customWidth="1"/>
    <col min="10251" max="10251" width="11.5546875" style="119" customWidth="1"/>
    <col min="10252" max="10252" width="10.44140625" style="119" customWidth="1"/>
    <col min="10253" max="10253" width="11.71875" style="119" customWidth="1"/>
    <col min="10254" max="10254" width="10.44140625" style="119" customWidth="1"/>
    <col min="10255" max="10255" width="12" style="119" customWidth="1"/>
    <col min="10256" max="10256" width="16.71875" style="119" customWidth="1"/>
    <col min="10257" max="10257" width="12.44140625" style="119" customWidth="1"/>
    <col min="10258" max="10258" width="9.27734375" style="119" customWidth="1"/>
    <col min="10259" max="10259" width="13" style="119" customWidth="1"/>
    <col min="10260" max="10260" width="12" style="119" customWidth="1"/>
    <col min="10261" max="10261" width="18.44140625" style="119" customWidth="1"/>
    <col min="10262" max="10493" width="11.44140625" style="119"/>
    <col min="10494" max="10494" width="58.44140625" style="119" customWidth="1"/>
    <col min="10495" max="10495" width="11.44140625" style="119" bestFit="1" customWidth="1"/>
    <col min="10496" max="10496" width="11.5546875" style="119" customWidth="1"/>
    <col min="10497" max="10497" width="7.71875" style="119" customWidth="1"/>
    <col min="10498" max="10498" width="13.44140625" style="119" customWidth="1"/>
    <col min="10499" max="10499" width="13.71875" style="119" bestFit="1" customWidth="1"/>
    <col min="10500" max="10500" width="14.44140625" style="119" customWidth="1"/>
    <col min="10501" max="10501" width="12.44140625" style="119" customWidth="1"/>
    <col min="10502" max="10502" width="12.5546875" style="119" bestFit="1" customWidth="1"/>
    <col min="10503" max="10503" width="8.44140625" style="119" customWidth="1"/>
    <col min="10504" max="10505" width="11.5546875" style="119" customWidth="1"/>
    <col min="10506" max="10506" width="11.71875" style="119" customWidth="1"/>
    <col min="10507" max="10507" width="11.5546875" style="119" customWidth="1"/>
    <col min="10508" max="10508" width="10.44140625" style="119" customWidth="1"/>
    <col min="10509" max="10509" width="11.71875" style="119" customWidth="1"/>
    <col min="10510" max="10510" width="10.44140625" style="119" customWidth="1"/>
    <col min="10511" max="10511" width="12" style="119" customWidth="1"/>
    <col min="10512" max="10512" width="16.71875" style="119" customWidth="1"/>
    <col min="10513" max="10513" width="12.44140625" style="119" customWidth="1"/>
    <col min="10514" max="10514" width="9.27734375" style="119" customWidth="1"/>
    <col min="10515" max="10515" width="13" style="119" customWidth="1"/>
    <col min="10516" max="10516" width="12" style="119" customWidth="1"/>
    <col min="10517" max="10517" width="18.44140625" style="119" customWidth="1"/>
    <col min="10518" max="10749" width="11.44140625" style="119"/>
    <col min="10750" max="10750" width="58.44140625" style="119" customWidth="1"/>
    <col min="10751" max="10751" width="11.44140625" style="119" bestFit="1" customWidth="1"/>
    <col min="10752" max="10752" width="11.5546875" style="119" customWidth="1"/>
    <col min="10753" max="10753" width="7.71875" style="119" customWidth="1"/>
    <col min="10754" max="10754" width="13.44140625" style="119" customWidth="1"/>
    <col min="10755" max="10755" width="13.71875" style="119" bestFit="1" customWidth="1"/>
    <col min="10756" max="10756" width="14.44140625" style="119" customWidth="1"/>
    <col min="10757" max="10757" width="12.44140625" style="119" customWidth="1"/>
    <col min="10758" max="10758" width="12.5546875" style="119" bestFit="1" customWidth="1"/>
    <col min="10759" max="10759" width="8.44140625" style="119" customWidth="1"/>
    <col min="10760" max="10761" width="11.5546875" style="119" customWidth="1"/>
    <col min="10762" max="10762" width="11.71875" style="119" customWidth="1"/>
    <col min="10763" max="10763" width="11.5546875" style="119" customWidth="1"/>
    <col min="10764" max="10764" width="10.44140625" style="119" customWidth="1"/>
    <col min="10765" max="10765" width="11.71875" style="119" customWidth="1"/>
    <col min="10766" max="10766" width="10.44140625" style="119" customWidth="1"/>
    <col min="10767" max="10767" width="12" style="119" customWidth="1"/>
    <col min="10768" max="10768" width="16.71875" style="119" customWidth="1"/>
    <col min="10769" max="10769" width="12.44140625" style="119" customWidth="1"/>
    <col min="10770" max="10770" width="9.27734375" style="119" customWidth="1"/>
    <col min="10771" max="10771" width="13" style="119" customWidth="1"/>
    <col min="10772" max="10772" width="12" style="119" customWidth="1"/>
    <col min="10773" max="10773" width="18.44140625" style="119" customWidth="1"/>
    <col min="10774" max="11005" width="11.44140625" style="119"/>
    <col min="11006" max="11006" width="58.44140625" style="119" customWidth="1"/>
    <col min="11007" max="11007" width="11.44140625" style="119" bestFit="1" customWidth="1"/>
    <col min="11008" max="11008" width="11.5546875" style="119" customWidth="1"/>
    <col min="11009" max="11009" width="7.71875" style="119" customWidth="1"/>
    <col min="11010" max="11010" width="13.44140625" style="119" customWidth="1"/>
    <col min="11011" max="11011" width="13.71875" style="119" bestFit="1" customWidth="1"/>
    <col min="11012" max="11012" width="14.44140625" style="119" customWidth="1"/>
    <col min="11013" max="11013" width="12.44140625" style="119" customWidth="1"/>
    <col min="11014" max="11014" width="12.5546875" style="119" bestFit="1" customWidth="1"/>
    <col min="11015" max="11015" width="8.44140625" style="119" customWidth="1"/>
    <col min="11016" max="11017" width="11.5546875" style="119" customWidth="1"/>
    <col min="11018" max="11018" width="11.71875" style="119" customWidth="1"/>
    <col min="11019" max="11019" width="11.5546875" style="119" customWidth="1"/>
    <col min="11020" max="11020" width="10.44140625" style="119" customWidth="1"/>
    <col min="11021" max="11021" width="11.71875" style="119" customWidth="1"/>
    <col min="11022" max="11022" width="10.44140625" style="119" customWidth="1"/>
    <col min="11023" max="11023" width="12" style="119" customWidth="1"/>
    <col min="11024" max="11024" width="16.71875" style="119" customWidth="1"/>
    <col min="11025" max="11025" width="12.44140625" style="119" customWidth="1"/>
    <col min="11026" max="11026" width="9.27734375" style="119" customWidth="1"/>
    <col min="11027" max="11027" width="13" style="119" customWidth="1"/>
    <col min="11028" max="11028" width="12" style="119" customWidth="1"/>
    <col min="11029" max="11029" width="18.44140625" style="119" customWidth="1"/>
    <col min="11030" max="11261" width="11.44140625" style="119"/>
    <col min="11262" max="11262" width="58.44140625" style="119" customWidth="1"/>
    <col min="11263" max="11263" width="11.44140625" style="119" bestFit="1" customWidth="1"/>
    <col min="11264" max="11264" width="11.5546875" style="119" customWidth="1"/>
    <col min="11265" max="11265" width="7.71875" style="119" customWidth="1"/>
    <col min="11266" max="11266" width="13.44140625" style="119" customWidth="1"/>
    <col min="11267" max="11267" width="13.71875" style="119" bestFit="1" customWidth="1"/>
    <col min="11268" max="11268" width="14.44140625" style="119" customWidth="1"/>
    <col min="11269" max="11269" width="12.44140625" style="119" customWidth="1"/>
    <col min="11270" max="11270" width="12.5546875" style="119" bestFit="1" customWidth="1"/>
    <col min="11271" max="11271" width="8.44140625" style="119" customWidth="1"/>
    <col min="11272" max="11273" width="11.5546875" style="119" customWidth="1"/>
    <col min="11274" max="11274" width="11.71875" style="119" customWidth="1"/>
    <col min="11275" max="11275" width="11.5546875" style="119" customWidth="1"/>
    <col min="11276" max="11276" width="10.44140625" style="119" customWidth="1"/>
    <col min="11277" max="11277" width="11.71875" style="119" customWidth="1"/>
    <col min="11278" max="11278" width="10.44140625" style="119" customWidth="1"/>
    <col min="11279" max="11279" width="12" style="119" customWidth="1"/>
    <col min="11280" max="11280" width="16.71875" style="119" customWidth="1"/>
    <col min="11281" max="11281" width="12.44140625" style="119" customWidth="1"/>
    <col min="11282" max="11282" width="9.27734375" style="119" customWidth="1"/>
    <col min="11283" max="11283" width="13" style="119" customWidth="1"/>
    <col min="11284" max="11284" width="12" style="119" customWidth="1"/>
    <col min="11285" max="11285" width="18.44140625" style="119" customWidth="1"/>
    <col min="11286" max="11517" width="11.44140625" style="119"/>
    <col min="11518" max="11518" width="58.44140625" style="119" customWidth="1"/>
    <col min="11519" max="11519" width="11.44140625" style="119" bestFit="1" customWidth="1"/>
    <col min="11520" max="11520" width="11.5546875" style="119" customWidth="1"/>
    <col min="11521" max="11521" width="7.71875" style="119" customWidth="1"/>
    <col min="11522" max="11522" width="13.44140625" style="119" customWidth="1"/>
    <col min="11523" max="11523" width="13.71875" style="119" bestFit="1" customWidth="1"/>
    <col min="11524" max="11524" width="14.44140625" style="119" customWidth="1"/>
    <col min="11525" max="11525" width="12.44140625" style="119" customWidth="1"/>
    <col min="11526" max="11526" width="12.5546875" style="119" bestFit="1" customWidth="1"/>
    <col min="11527" max="11527" width="8.44140625" style="119" customWidth="1"/>
    <col min="11528" max="11529" width="11.5546875" style="119" customWidth="1"/>
    <col min="11530" max="11530" width="11.71875" style="119" customWidth="1"/>
    <col min="11531" max="11531" width="11.5546875" style="119" customWidth="1"/>
    <col min="11532" max="11532" width="10.44140625" style="119" customWidth="1"/>
    <col min="11533" max="11533" width="11.71875" style="119" customWidth="1"/>
    <col min="11534" max="11534" width="10.44140625" style="119" customWidth="1"/>
    <col min="11535" max="11535" width="12" style="119" customWidth="1"/>
    <col min="11536" max="11536" width="16.71875" style="119" customWidth="1"/>
    <col min="11537" max="11537" width="12.44140625" style="119" customWidth="1"/>
    <col min="11538" max="11538" width="9.27734375" style="119" customWidth="1"/>
    <col min="11539" max="11539" width="13" style="119" customWidth="1"/>
    <col min="11540" max="11540" width="12" style="119" customWidth="1"/>
    <col min="11541" max="11541" width="18.44140625" style="119" customWidth="1"/>
    <col min="11542" max="11773" width="11.44140625" style="119"/>
    <col min="11774" max="11774" width="58.44140625" style="119" customWidth="1"/>
    <col min="11775" max="11775" width="11.44140625" style="119" bestFit="1" customWidth="1"/>
    <col min="11776" max="11776" width="11.5546875" style="119" customWidth="1"/>
    <col min="11777" max="11777" width="7.71875" style="119" customWidth="1"/>
    <col min="11778" max="11778" width="13.44140625" style="119" customWidth="1"/>
    <col min="11779" max="11779" width="13.71875" style="119" bestFit="1" customWidth="1"/>
    <col min="11780" max="11780" width="14.44140625" style="119" customWidth="1"/>
    <col min="11781" max="11781" width="12.44140625" style="119" customWidth="1"/>
    <col min="11782" max="11782" width="12.5546875" style="119" bestFit="1" customWidth="1"/>
    <col min="11783" max="11783" width="8.44140625" style="119" customWidth="1"/>
    <col min="11784" max="11785" width="11.5546875" style="119" customWidth="1"/>
    <col min="11786" max="11786" width="11.71875" style="119" customWidth="1"/>
    <col min="11787" max="11787" width="11.5546875" style="119" customWidth="1"/>
    <col min="11788" max="11788" width="10.44140625" style="119" customWidth="1"/>
    <col min="11789" max="11789" width="11.71875" style="119" customWidth="1"/>
    <col min="11790" max="11790" width="10.44140625" style="119" customWidth="1"/>
    <col min="11791" max="11791" width="12" style="119" customWidth="1"/>
    <col min="11792" max="11792" width="16.71875" style="119" customWidth="1"/>
    <col min="11793" max="11793" width="12.44140625" style="119" customWidth="1"/>
    <col min="11794" max="11794" width="9.27734375" style="119" customWidth="1"/>
    <col min="11795" max="11795" width="13" style="119" customWidth="1"/>
    <col min="11796" max="11796" width="12" style="119" customWidth="1"/>
    <col min="11797" max="11797" width="18.44140625" style="119" customWidth="1"/>
    <col min="11798" max="12029" width="11.44140625" style="119"/>
    <col min="12030" max="12030" width="58.44140625" style="119" customWidth="1"/>
    <col min="12031" max="12031" width="11.44140625" style="119" bestFit="1" customWidth="1"/>
    <col min="12032" max="12032" width="11.5546875" style="119" customWidth="1"/>
    <col min="12033" max="12033" width="7.71875" style="119" customWidth="1"/>
    <col min="12034" max="12034" width="13.44140625" style="119" customWidth="1"/>
    <col min="12035" max="12035" width="13.71875" style="119" bestFit="1" customWidth="1"/>
    <col min="12036" max="12036" width="14.44140625" style="119" customWidth="1"/>
    <col min="12037" max="12037" width="12.44140625" style="119" customWidth="1"/>
    <col min="12038" max="12038" width="12.5546875" style="119" bestFit="1" customWidth="1"/>
    <col min="12039" max="12039" width="8.44140625" style="119" customWidth="1"/>
    <col min="12040" max="12041" width="11.5546875" style="119" customWidth="1"/>
    <col min="12042" max="12042" width="11.71875" style="119" customWidth="1"/>
    <col min="12043" max="12043" width="11.5546875" style="119" customWidth="1"/>
    <col min="12044" max="12044" width="10.44140625" style="119" customWidth="1"/>
    <col min="12045" max="12045" width="11.71875" style="119" customWidth="1"/>
    <col min="12046" max="12046" width="10.44140625" style="119" customWidth="1"/>
    <col min="12047" max="12047" width="12" style="119" customWidth="1"/>
    <col min="12048" max="12048" width="16.71875" style="119" customWidth="1"/>
    <col min="12049" max="12049" width="12.44140625" style="119" customWidth="1"/>
    <col min="12050" max="12050" width="9.27734375" style="119" customWidth="1"/>
    <col min="12051" max="12051" width="13" style="119" customWidth="1"/>
    <col min="12052" max="12052" width="12" style="119" customWidth="1"/>
    <col min="12053" max="12053" width="18.44140625" style="119" customWidth="1"/>
    <col min="12054" max="12285" width="11.44140625" style="119"/>
    <col min="12286" max="12286" width="58.44140625" style="119" customWidth="1"/>
    <col min="12287" max="12287" width="11.44140625" style="119" bestFit="1" customWidth="1"/>
    <col min="12288" max="12288" width="11.5546875" style="119" customWidth="1"/>
    <col min="12289" max="12289" width="7.71875" style="119" customWidth="1"/>
    <col min="12290" max="12290" width="13.44140625" style="119" customWidth="1"/>
    <col min="12291" max="12291" width="13.71875" style="119" bestFit="1" customWidth="1"/>
    <col min="12292" max="12292" width="14.44140625" style="119" customWidth="1"/>
    <col min="12293" max="12293" width="12.44140625" style="119" customWidth="1"/>
    <col min="12294" max="12294" width="12.5546875" style="119" bestFit="1" customWidth="1"/>
    <col min="12295" max="12295" width="8.44140625" style="119" customWidth="1"/>
    <col min="12296" max="12297" width="11.5546875" style="119" customWidth="1"/>
    <col min="12298" max="12298" width="11.71875" style="119" customWidth="1"/>
    <col min="12299" max="12299" width="11.5546875" style="119" customWidth="1"/>
    <col min="12300" max="12300" width="10.44140625" style="119" customWidth="1"/>
    <col min="12301" max="12301" width="11.71875" style="119" customWidth="1"/>
    <col min="12302" max="12302" width="10.44140625" style="119" customWidth="1"/>
    <col min="12303" max="12303" width="12" style="119" customWidth="1"/>
    <col min="12304" max="12304" width="16.71875" style="119" customWidth="1"/>
    <col min="12305" max="12305" width="12.44140625" style="119" customWidth="1"/>
    <col min="12306" max="12306" width="9.27734375" style="119" customWidth="1"/>
    <col min="12307" max="12307" width="13" style="119" customWidth="1"/>
    <col min="12308" max="12308" width="12" style="119" customWidth="1"/>
    <col min="12309" max="12309" width="18.44140625" style="119" customWidth="1"/>
    <col min="12310" max="12541" width="11.44140625" style="119"/>
    <col min="12542" max="12542" width="58.44140625" style="119" customWidth="1"/>
    <col min="12543" max="12543" width="11.44140625" style="119" bestFit="1" customWidth="1"/>
    <col min="12544" max="12544" width="11.5546875" style="119" customWidth="1"/>
    <col min="12545" max="12545" width="7.71875" style="119" customWidth="1"/>
    <col min="12546" max="12546" width="13.44140625" style="119" customWidth="1"/>
    <col min="12547" max="12547" width="13.71875" style="119" bestFit="1" customWidth="1"/>
    <col min="12548" max="12548" width="14.44140625" style="119" customWidth="1"/>
    <col min="12549" max="12549" width="12.44140625" style="119" customWidth="1"/>
    <col min="12550" max="12550" width="12.5546875" style="119" bestFit="1" customWidth="1"/>
    <col min="12551" max="12551" width="8.44140625" style="119" customWidth="1"/>
    <col min="12552" max="12553" width="11.5546875" style="119" customWidth="1"/>
    <col min="12554" max="12554" width="11.71875" style="119" customWidth="1"/>
    <col min="12555" max="12555" width="11.5546875" style="119" customWidth="1"/>
    <col min="12556" max="12556" width="10.44140625" style="119" customWidth="1"/>
    <col min="12557" max="12557" width="11.71875" style="119" customWidth="1"/>
    <col min="12558" max="12558" width="10.44140625" style="119" customWidth="1"/>
    <col min="12559" max="12559" width="12" style="119" customWidth="1"/>
    <col min="12560" max="12560" width="16.71875" style="119" customWidth="1"/>
    <col min="12561" max="12561" width="12.44140625" style="119" customWidth="1"/>
    <col min="12562" max="12562" width="9.27734375" style="119" customWidth="1"/>
    <col min="12563" max="12563" width="13" style="119" customWidth="1"/>
    <col min="12564" max="12564" width="12" style="119" customWidth="1"/>
    <col min="12565" max="12565" width="18.44140625" style="119" customWidth="1"/>
    <col min="12566" max="12797" width="11.44140625" style="119"/>
    <col min="12798" max="12798" width="58.44140625" style="119" customWidth="1"/>
    <col min="12799" max="12799" width="11.44140625" style="119" bestFit="1" customWidth="1"/>
    <col min="12800" max="12800" width="11.5546875" style="119" customWidth="1"/>
    <col min="12801" max="12801" width="7.71875" style="119" customWidth="1"/>
    <col min="12802" max="12802" width="13.44140625" style="119" customWidth="1"/>
    <col min="12803" max="12803" width="13.71875" style="119" bestFit="1" customWidth="1"/>
    <col min="12804" max="12804" width="14.44140625" style="119" customWidth="1"/>
    <col min="12805" max="12805" width="12.44140625" style="119" customWidth="1"/>
    <col min="12806" max="12806" width="12.5546875" style="119" bestFit="1" customWidth="1"/>
    <col min="12807" max="12807" width="8.44140625" style="119" customWidth="1"/>
    <col min="12808" max="12809" width="11.5546875" style="119" customWidth="1"/>
    <col min="12810" max="12810" width="11.71875" style="119" customWidth="1"/>
    <col min="12811" max="12811" width="11.5546875" style="119" customWidth="1"/>
    <col min="12812" max="12812" width="10.44140625" style="119" customWidth="1"/>
    <col min="12813" max="12813" width="11.71875" style="119" customWidth="1"/>
    <col min="12814" max="12814" width="10.44140625" style="119" customWidth="1"/>
    <col min="12815" max="12815" width="12" style="119" customWidth="1"/>
    <col min="12816" max="12816" width="16.71875" style="119" customWidth="1"/>
    <col min="12817" max="12817" width="12.44140625" style="119" customWidth="1"/>
    <col min="12818" max="12818" width="9.27734375" style="119" customWidth="1"/>
    <col min="12819" max="12819" width="13" style="119" customWidth="1"/>
    <col min="12820" max="12820" width="12" style="119" customWidth="1"/>
    <col min="12821" max="12821" width="18.44140625" style="119" customWidth="1"/>
    <col min="12822" max="13053" width="11.44140625" style="119"/>
    <col min="13054" max="13054" width="58.44140625" style="119" customWidth="1"/>
    <col min="13055" max="13055" width="11.44140625" style="119" bestFit="1" customWidth="1"/>
    <col min="13056" max="13056" width="11.5546875" style="119" customWidth="1"/>
    <col min="13057" max="13057" width="7.71875" style="119" customWidth="1"/>
    <col min="13058" max="13058" width="13.44140625" style="119" customWidth="1"/>
    <col min="13059" max="13059" width="13.71875" style="119" bestFit="1" customWidth="1"/>
    <col min="13060" max="13060" width="14.44140625" style="119" customWidth="1"/>
    <col min="13061" max="13061" width="12.44140625" style="119" customWidth="1"/>
    <col min="13062" max="13062" width="12.5546875" style="119" bestFit="1" customWidth="1"/>
    <col min="13063" max="13063" width="8.44140625" style="119" customWidth="1"/>
    <col min="13064" max="13065" width="11.5546875" style="119" customWidth="1"/>
    <col min="13066" max="13066" width="11.71875" style="119" customWidth="1"/>
    <col min="13067" max="13067" width="11.5546875" style="119" customWidth="1"/>
    <col min="13068" max="13068" width="10.44140625" style="119" customWidth="1"/>
    <col min="13069" max="13069" width="11.71875" style="119" customWidth="1"/>
    <col min="13070" max="13070" width="10.44140625" style="119" customWidth="1"/>
    <col min="13071" max="13071" width="12" style="119" customWidth="1"/>
    <col min="13072" max="13072" width="16.71875" style="119" customWidth="1"/>
    <col min="13073" max="13073" width="12.44140625" style="119" customWidth="1"/>
    <col min="13074" max="13074" width="9.27734375" style="119" customWidth="1"/>
    <col min="13075" max="13075" width="13" style="119" customWidth="1"/>
    <col min="13076" max="13076" width="12" style="119" customWidth="1"/>
    <col min="13077" max="13077" width="18.44140625" style="119" customWidth="1"/>
    <col min="13078" max="13309" width="11.44140625" style="119"/>
    <col min="13310" max="13310" width="58.44140625" style="119" customWidth="1"/>
    <col min="13311" max="13311" width="11.44140625" style="119" bestFit="1" customWidth="1"/>
    <col min="13312" max="13312" width="11.5546875" style="119" customWidth="1"/>
    <col min="13313" max="13313" width="7.71875" style="119" customWidth="1"/>
    <col min="13314" max="13314" width="13.44140625" style="119" customWidth="1"/>
    <col min="13315" max="13315" width="13.71875" style="119" bestFit="1" customWidth="1"/>
    <col min="13316" max="13316" width="14.44140625" style="119" customWidth="1"/>
    <col min="13317" max="13317" width="12.44140625" style="119" customWidth="1"/>
    <col min="13318" max="13318" width="12.5546875" style="119" bestFit="1" customWidth="1"/>
    <col min="13319" max="13319" width="8.44140625" style="119" customWidth="1"/>
    <col min="13320" max="13321" width="11.5546875" style="119" customWidth="1"/>
    <col min="13322" max="13322" width="11.71875" style="119" customWidth="1"/>
    <col min="13323" max="13323" width="11.5546875" style="119" customWidth="1"/>
    <col min="13324" max="13324" width="10.44140625" style="119" customWidth="1"/>
    <col min="13325" max="13325" width="11.71875" style="119" customWidth="1"/>
    <col min="13326" max="13326" width="10.44140625" style="119" customWidth="1"/>
    <col min="13327" max="13327" width="12" style="119" customWidth="1"/>
    <col min="13328" max="13328" width="16.71875" style="119" customWidth="1"/>
    <col min="13329" max="13329" width="12.44140625" style="119" customWidth="1"/>
    <col min="13330" max="13330" width="9.27734375" style="119" customWidth="1"/>
    <col min="13331" max="13331" width="13" style="119" customWidth="1"/>
    <col min="13332" max="13332" width="12" style="119" customWidth="1"/>
    <col min="13333" max="13333" width="18.44140625" style="119" customWidth="1"/>
    <col min="13334" max="13565" width="11.44140625" style="119"/>
    <col min="13566" max="13566" width="58.44140625" style="119" customWidth="1"/>
    <col min="13567" max="13567" width="11.44140625" style="119" bestFit="1" customWidth="1"/>
    <col min="13568" max="13568" width="11.5546875" style="119" customWidth="1"/>
    <col min="13569" max="13569" width="7.71875" style="119" customWidth="1"/>
    <col min="13570" max="13570" width="13.44140625" style="119" customWidth="1"/>
    <col min="13571" max="13571" width="13.71875" style="119" bestFit="1" customWidth="1"/>
    <col min="13572" max="13572" width="14.44140625" style="119" customWidth="1"/>
    <col min="13573" max="13573" width="12.44140625" style="119" customWidth="1"/>
    <col min="13574" max="13574" width="12.5546875" style="119" bestFit="1" customWidth="1"/>
    <col min="13575" max="13575" width="8.44140625" style="119" customWidth="1"/>
    <col min="13576" max="13577" width="11.5546875" style="119" customWidth="1"/>
    <col min="13578" max="13578" width="11.71875" style="119" customWidth="1"/>
    <col min="13579" max="13579" width="11.5546875" style="119" customWidth="1"/>
    <col min="13580" max="13580" width="10.44140625" style="119" customWidth="1"/>
    <col min="13581" max="13581" width="11.71875" style="119" customWidth="1"/>
    <col min="13582" max="13582" width="10.44140625" style="119" customWidth="1"/>
    <col min="13583" max="13583" width="12" style="119" customWidth="1"/>
    <col min="13584" max="13584" width="16.71875" style="119" customWidth="1"/>
    <col min="13585" max="13585" width="12.44140625" style="119" customWidth="1"/>
    <col min="13586" max="13586" width="9.27734375" style="119" customWidth="1"/>
    <col min="13587" max="13587" width="13" style="119" customWidth="1"/>
    <col min="13588" max="13588" width="12" style="119" customWidth="1"/>
    <col min="13589" max="13589" width="18.44140625" style="119" customWidth="1"/>
    <col min="13590" max="13821" width="11.44140625" style="119"/>
    <col min="13822" max="13822" width="58.44140625" style="119" customWidth="1"/>
    <col min="13823" max="13823" width="11.44140625" style="119" bestFit="1" customWidth="1"/>
    <col min="13824" max="13824" width="11.5546875" style="119" customWidth="1"/>
    <col min="13825" max="13825" width="7.71875" style="119" customWidth="1"/>
    <col min="13826" max="13826" width="13.44140625" style="119" customWidth="1"/>
    <col min="13827" max="13827" width="13.71875" style="119" bestFit="1" customWidth="1"/>
    <col min="13828" max="13828" width="14.44140625" style="119" customWidth="1"/>
    <col min="13829" max="13829" width="12.44140625" style="119" customWidth="1"/>
    <col min="13830" max="13830" width="12.5546875" style="119" bestFit="1" customWidth="1"/>
    <col min="13831" max="13831" width="8.44140625" style="119" customWidth="1"/>
    <col min="13832" max="13833" width="11.5546875" style="119" customWidth="1"/>
    <col min="13834" max="13834" width="11.71875" style="119" customWidth="1"/>
    <col min="13835" max="13835" width="11.5546875" style="119" customWidth="1"/>
    <col min="13836" max="13836" width="10.44140625" style="119" customWidth="1"/>
    <col min="13837" max="13837" width="11.71875" style="119" customWidth="1"/>
    <col min="13838" max="13838" width="10.44140625" style="119" customWidth="1"/>
    <col min="13839" max="13839" width="12" style="119" customWidth="1"/>
    <col min="13840" max="13840" width="16.71875" style="119" customWidth="1"/>
    <col min="13841" max="13841" width="12.44140625" style="119" customWidth="1"/>
    <col min="13842" max="13842" width="9.27734375" style="119" customWidth="1"/>
    <col min="13843" max="13843" width="13" style="119" customWidth="1"/>
    <col min="13844" max="13844" width="12" style="119" customWidth="1"/>
    <col min="13845" max="13845" width="18.44140625" style="119" customWidth="1"/>
    <col min="13846" max="14077" width="11.44140625" style="119"/>
    <col min="14078" max="14078" width="58.44140625" style="119" customWidth="1"/>
    <col min="14079" max="14079" width="11.44140625" style="119" bestFit="1" customWidth="1"/>
    <col min="14080" max="14080" width="11.5546875" style="119" customWidth="1"/>
    <col min="14081" max="14081" width="7.71875" style="119" customWidth="1"/>
    <col min="14082" max="14082" width="13.44140625" style="119" customWidth="1"/>
    <col min="14083" max="14083" width="13.71875" style="119" bestFit="1" customWidth="1"/>
    <col min="14084" max="14084" width="14.44140625" style="119" customWidth="1"/>
    <col min="14085" max="14085" width="12.44140625" style="119" customWidth="1"/>
    <col min="14086" max="14086" width="12.5546875" style="119" bestFit="1" customWidth="1"/>
    <col min="14087" max="14087" width="8.44140625" style="119" customWidth="1"/>
    <col min="14088" max="14089" width="11.5546875" style="119" customWidth="1"/>
    <col min="14090" max="14090" width="11.71875" style="119" customWidth="1"/>
    <col min="14091" max="14091" width="11.5546875" style="119" customWidth="1"/>
    <col min="14092" max="14092" width="10.44140625" style="119" customWidth="1"/>
    <col min="14093" max="14093" width="11.71875" style="119" customWidth="1"/>
    <col min="14094" max="14094" width="10.44140625" style="119" customWidth="1"/>
    <col min="14095" max="14095" width="12" style="119" customWidth="1"/>
    <col min="14096" max="14096" width="16.71875" style="119" customWidth="1"/>
    <col min="14097" max="14097" width="12.44140625" style="119" customWidth="1"/>
    <col min="14098" max="14098" width="9.27734375" style="119" customWidth="1"/>
    <col min="14099" max="14099" width="13" style="119" customWidth="1"/>
    <col min="14100" max="14100" width="12" style="119" customWidth="1"/>
    <col min="14101" max="14101" width="18.44140625" style="119" customWidth="1"/>
    <col min="14102" max="14333" width="11.44140625" style="119"/>
    <col min="14334" max="14334" width="58.44140625" style="119" customWidth="1"/>
    <col min="14335" max="14335" width="11.44140625" style="119" bestFit="1" customWidth="1"/>
    <col min="14336" max="14336" width="11.5546875" style="119" customWidth="1"/>
    <col min="14337" max="14337" width="7.71875" style="119" customWidth="1"/>
    <col min="14338" max="14338" width="13.44140625" style="119" customWidth="1"/>
    <col min="14339" max="14339" width="13.71875" style="119" bestFit="1" customWidth="1"/>
    <col min="14340" max="14340" width="14.44140625" style="119" customWidth="1"/>
    <col min="14341" max="14341" width="12.44140625" style="119" customWidth="1"/>
    <col min="14342" max="14342" width="12.5546875" style="119" bestFit="1" customWidth="1"/>
    <col min="14343" max="14343" width="8.44140625" style="119" customWidth="1"/>
    <col min="14344" max="14345" width="11.5546875" style="119" customWidth="1"/>
    <col min="14346" max="14346" width="11.71875" style="119" customWidth="1"/>
    <col min="14347" max="14347" width="11.5546875" style="119" customWidth="1"/>
    <col min="14348" max="14348" width="10.44140625" style="119" customWidth="1"/>
    <col min="14349" max="14349" width="11.71875" style="119" customWidth="1"/>
    <col min="14350" max="14350" width="10.44140625" style="119" customWidth="1"/>
    <col min="14351" max="14351" width="12" style="119" customWidth="1"/>
    <col min="14352" max="14352" width="16.71875" style="119" customWidth="1"/>
    <col min="14353" max="14353" width="12.44140625" style="119" customWidth="1"/>
    <col min="14354" max="14354" width="9.27734375" style="119" customWidth="1"/>
    <col min="14355" max="14355" width="13" style="119" customWidth="1"/>
    <col min="14356" max="14356" width="12" style="119" customWidth="1"/>
    <col min="14357" max="14357" width="18.44140625" style="119" customWidth="1"/>
    <col min="14358" max="14589" width="11.44140625" style="119"/>
    <col min="14590" max="14590" width="58.44140625" style="119" customWidth="1"/>
    <col min="14591" max="14591" width="11.44140625" style="119" bestFit="1" customWidth="1"/>
    <col min="14592" max="14592" width="11.5546875" style="119" customWidth="1"/>
    <col min="14593" max="14593" width="7.71875" style="119" customWidth="1"/>
    <col min="14594" max="14594" width="13.44140625" style="119" customWidth="1"/>
    <col min="14595" max="14595" width="13.71875" style="119" bestFit="1" customWidth="1"/>
    <col min="14596" max="14596" width="14.44140625" style="119" customWidth="1"/>
    <col min="14597" max="14597" width="12.44140625" style="119" customWidth="1"/>
    <col min="14598" max="14598" width="12.5546875" style="119" bestFit="1" customWidth="1"/>
    <col min="14599" max="14599" width="8.44140625" style="119" customWidth="1"/>
    <col min="14600" max="14601" width="11.5546875" style="119" customWidth="1"/>
    <col min="14602" max="14602" width="11.71875" style="119" customWidth="1"/>
    <col min="14603" max="14603" width="11.5546875" style="119" customWidth="1"/>
    <col min="14604" max="14604" width="10.44140625" style="119" customWidth="1"/>
    <col min="14605" max="14605" width="11.71875" style="119" customWidth="1"/>
    <col min="14606" max="14606" width="10.44140625" style="119" customWidth="1"/>
    <col min="14607" max="14607" width="12" style="119" customWidth="1"/>
    <col min="14608" max="14608" width="16.71875" style="119" customWidth="1"/>
    <col min="14609" max="14609" width="12.44140625" style="119" customWidth="1"/>
    <col min="14610" max="14610" width="9.27734375" style="119" customWidth="1"/>
    <col min="14611" max="14611" width="13" style="119" customWidth="1"/>
    <col min="14612" max="14612" width="12" style="119" customWidth="1"/>
    <col min="14613" max="14613" width="18.44140625" style="119" customWidth="1"/>
    <col min="14614" max="14845" width="11.44140625" style="119"/>
    <col min="14846" max="14846" width="58.44140625" style="119" customWidth="1"/>
    <col min="14847" max="14847" width="11.44140625" style="119" bestFit="1" customWidth="1"/>
    <col min="14848" max="14848" width="11.5546875" style="119" customWidth="1"/>
    <col min="14849" max="14849" width="7.71875" style="119" customWidth="1"/>
    <col min="14850" max="14850" width="13.44140625" style="119" customWidth="1"/>
    <col min="14851" max="14851" width="13.71875" style="119" bestFit="1" customWidth="1"/>
    <col min="14852" max="14852" width="14.44140625" style="119" customWidth="1"/>
    <col min="14853" max="14853" width="12.44140625" style="119" customWidth="1"/>
    <col min="14854" max="14854" width="12.5546875" style="119" bestFit="1" customWidth="1"/>
    <col min="14855" max="14855" width="8.44140625" style="119" customWidth="1"/>
    <col min="14856" max="14857" width="11.5546875" style="119" customWidth="1"/>
    <col min="14858" max="14858" width="11.71875" style="119" customWidth="1"/>
    <col min="14859" max="14859" width="11.5546875" style="119" customWidth="1"/>
    <col min="14860" max="14860" width="10.44140625" style="119" customWidth="1"/>
    <col min="14861" max="14861" width="11.71875" style="119" customWidth="1"/>
    <col min="14862" max="14862" width="10.44140625" style="119" customWidth="1"/>
    <col min="14863" max="14863" width="12" style="119" customWidth="1"/>
    <col min="14864" max="14864" width="16.71875" style="119" customWidth="1"/>
    <col min="14865" max="14865" width="12.44140625" style="119" customWidth="1"/>
    <col min="14866" max="14866" width="9.27734375" style="119" customWidth="1"/>
    <col min="14867" max="14867" width="13" style="119" customWidth="1"/>
    <col min="14868" max="14868" width="12" style="119" customWidth="1"/>
    <col min="14869" max="14869" width="18.44140625" style="119" customWidth="1"/>
    <col min="14870" max="15101" width="11.44140625" style="119"/>
    <col min="15102" max="15102" width="58.44140625" style="119" customWidth="1"/>
    <col min="15103" max="15103" width="11.44140625" style="119" bestFit="1" customWidth="1"/>
    <col min="15104" max="15104" width="11.5546875" style="119" customWidth="1"/>
    <col min="15105" max="15105" width="7.71875" style="119" customWidth="1"/>
    <col min="15106" max="15106" width="13.44140625" style="119" customWidth="1"/>
    <col min="15107" max="15107" width="13.71875" style="119" bestFit="1" customWidth="1"/>
    <col min="15108" max="15108" width="14.44140625" style="119" customWidth="1"/>
    <col min="15109" max="15109" width="12.44140625" style="119" customWidth="1"/>
    <col min="15110" max="15110" width="12.5546875" style="119" bestFit="1" customWidth="1"/>
    <col min="15111" max="15111" width="8.44140625" style="119" customWidth="1"/>
    <col min="15112" max="15113" width="11.5546875" style="119" customWidth="1"/>
    <col min="15114" max="15114" width="11.71875" style="119" customWidth="1"/>
    <col min="15115" max="15115" width="11.5546875" style="119" customWidth="1"/>
    <col min="15116" max="15116" width="10.44140625" style="119" customWidth="1"/>
    <col min="15117" max="15117" width="11.71875" style="119" customWidth="1"/>
    <col min="15118" max="15118" width="10.44140625" style="119" customWidth="1"/>
    <col min="15119" max="15119" width="12" style="119" customWidth="1"/>
    <col min="15120" max="15120" width="16.71875" style="119" customWidth="1"/>
    <col min="15121" max="15121" width="12.44140625" style="119" customWidth="1"/>
    <col min="15122" max="15122" width="9.27734375" style="119" customWidth="1"/>
    <col min="15123" max="15123" width="13" style="119" customWidth="1"/>
    <col min="15124" max="15124" width="12" style="119" customWidth="1"/>
    <col min="15125" max="15125" width="18.44140625" style="119" customWidth="1"/>
    <col min="15126" max="15357" width="11.44140625" style="119"/>
    <col min="15358" max="15358" width="58.44140625" style="119" customWidth="1"/>
    <col min="15359" max="15359" width="11.44140625" style="119" bestFit="1" customWidth="1"/>
    <col min="15360" max="15360" width="11.5546875" style="119" customWidth="1"/>
    <col min="15361" max="15361" width="7.71875" style="119" customWidth="1"/>
    <col min="15362" max="15362" width="13.44140625" style="119" customWidth="1"/>
    <col min="15363" max="15363" width="13.71875" style="119" bestFit="1" customWidth="1"/>
    <col min="15364" max="15364" width="14.44140625" style="119" customWidth="1"/>
    <col min="15365" max="15365" width="12.44140625" style="119" customWidth="1"/>
    <col min="15366" max="15366" width="12.5546875" style="119" bestFit="1" customWidth="1"/>
    <col min="15367" max="15367" width="8.44140625" style="119" customWidth="1"/>
    <col min="15368" max="15369" width="11.5546875" style="119" customWidth="1"/>
    <col min="15370" max="15370" width="11.71875" style="119" customWidth="1"/>
    <col min="15371" max="15371" width="11.5546875" style="119" customWidth="1"/>
    <col min="15372" max="15372" width="10.44140625" style="119" customWidth="1"/>
    <col min="15373" max="15373" width="11.71875" style="119" customWidth="1"/>
    <col min="15374" max="15374" width="10.44140625" style="119" customWidth="1"/>
    <col min="15375" max="15375" width="12" style="119" customWidth="1"/>
    <col min="15376" max="15376" width="16.71875" style="119" customWidth="1"/>
    <col min="15377" max="15377" width="12.44140625" style="119" customWidth="1"/>
    <col min="15378" max="15378" width="9.27734375" style="119" customWidth="1"/>
    <col min="15379" max="15379" width="13" style="119" customWidth="1"/>
    <col min="15380" max="15380" width="12" style="119" customWidth="1"/>
    <col min="15381" max="15381" width="18.44140625" style="119" customWidth="1"/>
    <col min="15382" max="15613" width="11.44140625" style="119"/>
    <col min="15614" max="15614" width="58.44140625" style="119" customWidth="1"/>
    <col min="15615" max="15615" width="11.44140625" style="119" bestFit="1" customWidth="1"/>
    <col min="15616" max="15616" width="11.5546875" style="119" customWidth="1"/>
    <col min="15617" max="15617" width="7.71875" style="119" customWidth="1"/>
    <col min="15618" max="15618" width="13.44140625" style="119" customWidth="1"/>
    <col min="15619" max="15619" width="13.71875" style="119" bestFit="1" customWidth="1"/>
    <col min="15620" max="15620" width="14.44140625" style="119" customWidth="1"/>
    <col min="15621" max="15621" width="12.44140625" style="119" customWidth="1"/>
    <col min="15622" max="15622" width="12.5546875" style="119" bestFit="1" customWidth="1"/>
    <col min="15623" max="15623" width="8.44140625" style="119" customWidth="1"/>
    <col min="15624" max="15625" width="11.5546875" style="119" customWidth="1"/>
    <col min="15626" max="15626" width="11.71875" style="119" customWidth="1"/>
    <col min="15627" max="15627" width="11.5546875" style="119" customWidth="1"/>
    <col min="15628" max="15628" width="10.44140625" style="119" customWidth="1"/>
    <col min="15629" max="15629" width="11.71875" style="119" customWidth="1"/>
    <col min="15630" max="15630" width="10.44140625" style="119" customWidth="1"/>
    <col min="15631" max="15631" width="12" style="119" customWidth="1"/>
    <col min="15632" max="15632" width="16.71875" style="119" customWidth="1"/>
    <col min="15633" max="15633" width="12.44140625" style="119" customWidth="1"/>
    <col min="15634" max="15634" width="9.27734375" style="119" customWidth="1"/>
    <col min="15635" max="15635" width="13" style="119" customWidth="1"/>
    <col min="15636" max="15636" width="12" style="119" customWidth="1"/>
    <col min="15637" max="15637" width="18.44140625" style="119" customWidth="1"/>
    <col min="15638" max="15869" width="11.44140625" style="119"/>
    <col min="15870" max="15870" width="58.44140625" style="119" customWidth="1"/>
    <col min="15871" max="15871" width="11.44140625" style="119" bestFit="1" customWidth="1"/>
    <col min="15872" max="15872" width="11.5546875" style="119" customWidth="1"/>
    <col min="15873" max="15873" width="7.71875" style="119" customWidth="1"/>
    <col min="15874" max="15874" width="13.44140625" style="119" customWidth="1"/>
    <col min="15875" max="15875" width="13.71875" style="119" bestFit="1" customWidth="1"/>
    <col min="15876" max="15876" width="14.44140625" style="119" customWidth="1"/>
    <col min="15877" max="15877" width="12.44140625" style="119" customWidth="1"/>
    <col min="15878" max="15878" width="12.5546875" style="119" bestFit="1" customWidth="1"/>
    <col min="15879" max="15879" width="8.44140625" style="119" customWidth="1"/>
    <col min="15880" max="15881" width="11.5546875" style="119" customWidth="1"/>
    <col min="15882" max="15882" width="11.71875" style="119" customWidth="1"/>
    <col min="15883" max="15883" width="11.5546875" style="119" customWidth="1"/>
    <col min="15884" max="15884" width="10.44140625" style="119" customWidth="1"/>
    <col min="15885" max="15885" width="11.71875" style="119" customWidth="1"/>
    <col min="15886" max="15886" width="10.44140625" style="119" customWidth="1"/>
    <col min="15887" max="15887" width="12" style="119" customWidth="1"/>
    <col min="15888" max="15888" width="16.71875" style="119" customWidth="1"/>
    <col min="15889" max="15889" width="12.44140625" style="119" customWidth="1"/>
    <col min="15890" max="15890" width="9.27734375" style="119" customWidth="1"/>
    <col min="15891" max="15891" width="13" style="119" customWidth="1"/>
    <col min="15892" max="15892" width="12" style="119" customWidth="1"/>
    <col min="15893" max="15893" width="18.44140625" style="119" customWidth="1"/>
    <col min="15894" max="16125" width="11.44140625" style="119"/>
    <col min="16126" max="16126" width="58.44140625" style="119" customWidth="1"/>
    <col min="16127" max="16127" width="11.44140625" style="119" bestFit="1" customWidth="1"/>
    <col min="16128" max="16128" width="11.5546875" style="119" customWidth="1"/>
    <col min="16129" max="16129" width="7.71875" style="119" customWidth="1"/>
    <col min="16130" max="16130" width="13.44140625" style="119" customWidth="1"/>
    <col min="16131" max="16131" width="13.71875" style="119" bestFit="1" customWidth="1"/>
    <col min="16132" max="16132" width="14.44140625" style="119" customWidth="1"/>
    <col min="16133" max="16133" width="12.44140625" style="119" customWidth="1"/>
    <col min="16134" max="16134" width="12.5546875" style="119" bestFit="1" customWidth="1"/>
    <col min="16135" max="16135" width="8.44140625" style="119" customWidth="1"/>
    <col min="16136" max="16137" width="11.5546875" style="119" customWidth="1"/>
    <col min="16138" max="16138" width="11.71875" style="119" customWidth="1"/>
    <col min="16139" max="16139" width="11.5546875" style="119" customWidth="1"/>
    <col min="16140" max="16140" width="10.44140625" style="119" customWidth="1"/>
    <col min="16141" max="16141" width="11.71875" style="119" customWidth="1"/>
    <col min="16142" max="16142" width="10.44140625" style="119" customWidth="1"/>
    <col min="16143" max="16143" width="12" style="119" customWidth="1"/>
    <col min="16144" max="16144" width="16.71875" style="119" customWidth="1"/>
    <col min="16145" max="16145" width="12.44140625" style="119" customWidth="1"/>
    <col min="16146" max="16146" width="9.27734375" style="119" customWidth="1"/>
    <col min="16147" max="16147" width="13" style="119" customWidth="1"/>
    <col min="16148" max="16148" width="12" style="119" customWidth="1"/>
    <col min="16149" max="16149" width="18.44140625" style="119" customWidth="1"/>
    <col min="16150" max="16384" width="11.44140625" style="119"/>
  </cols>
  <sheetData>
    <row r="1" spans="1:21" ht="12" customHeight="1" x14ac:dyDescent="0.4">
      <c r="A1" s="354" t="s">
        <v>362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117"/>
      <c r="Q1" s="118"/>
      <c r="R1" s="118"/>
      <c r="S1" s="118"/>
      <c r="T1" s="118"/>
      <c r="U1" s="118"/>
    </row>
    <row r="2" spans="1:21" ht="12" customHeight="1" x14ac:dyDescent="0.4">
      <c r="A2" s="355" t="s">
        <v>450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120"/>
      <c r="Q2" s="118"/>
      <c r="R2" s="118"/>
    </row>
    <row r="3" spans="1:21" s="250" customFormat="1" ht="12.6" x14ac:dyDescent="0.45">
      <c r="A3" s="358" t="s">
        <v>31</v>
      </c>
      <c r="B3" s="358"/>
      <c r="C3" s="251"/>
      <c r="D3" s="251"/>
      <c r="E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</row>
    <row r="4" spans="1:21" s="250" customFormat="1" ht="12.6" x14ac:dyDescent="0.45">
      <c r="A4" s="252"/>
      <c r="B4" s="261"/>
      <c r="C4" s="251"/>
      <c r="D4" s="251"/>
      <c r="E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</row>
    <row r="5" spans="1:21" s="250" customFormat="1" ht="12.6" x14ac:dyDescent="0.45">
      <c r="A5" s="252" t="s">
        <v>33</v>
      </c>
      <c r="B5" s="261">
        <v>1.05</v>
      </c>
      <c r="C5" s="255"/>
      <c r="D5" s="255"/>
      <c r="E5" s="256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</row>
    <row r="6" spans="1:21" s="250" customFormat="1" ht="12.6" x14ac:dyDescent="0.45">
      <c r="A6" s="252"/>
      <c r="B6" s="261"/>
      <c r="C6" s="255"/>
      <c r="D6" s="255"/>
      <c r="E6" s="256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</row>
    <row r="7" spans="1:21" s="250" customFormat="1" ht="12.6" x14ac:dyDescent="0.45">
      <c r="A7" s="252" t="s">
        <v>366</v>
      </c>
      <c r="B7" s="302">
        <v>1.0349999999999999</v>
      </c>
      <c r="C7" s="255"/>
      <c r="D7" s="255"/>
      <c r="E7" s="256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</row>
    <row r="8" spans="1:21" ht="12" customHeight="1" x14ac:dyDescent="0.35">
      <c r="A8" s="356"/>
      <c r="B8" s="356"/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6"/>
      <c r="O8" s="356"/>
    </row>
    <row r="9" spans="1:21" ht="31.8" thickBot="1" x14ac:dyDescent="0.45">
      <c r="A9" s="124" t="s">
        <v>3</v>
      </c>
      <c r="B9" s="124" t="s">
        <v>40</v>
      </c>
      <c r="C9" s="124" t="s">
        <v>41</v>
      </c>
      <c r="D9" s="124" t="s">
        <v>42</v>
      </c>
      <c r="E9" s="126" t="s">
        <v>368</v>
      </c>
      <c r="F9" s="127" t="s">
        <v>44</v>
      </c>
      <c r="G9" s="124" t="s">
        <v>42</v>
      </c>
      <c r="H9" s="127" t="s">
        <v>45</v>
      </c>
      <c r="I9" s="124" t="s">
        <v>42</v>
      </c>
      <c r="J9" s="127" t="s">
        <v>46</v>
      </c>
      <c r="K9" s="124" t="s">
        <v>42</v>
      </c>
      <c r="L9" s="127" t="s">
        <v>369</v>
      </c>
      <c r="M9" s="126" t="s">
        <v>451</v>
      </c>
      <c r="N9" s="126" t="s">
        <v>5</v>
      </c>
      <c r="O9" s="126" t="s">
        <v>6</v>
      </c>
    </row>
    <row r="10" spans="1:21" ht="13.5" customHeight="1" x14ac:dyDescent="0.4">
      <c r="A10" s="128"/>
      <c r="B10" s="128"/>
      <c r="C10" s="129"/>
      <c r="D10" s="129"/>
      <c r="E10" s="131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3"/>
      <c r="Q10" s="133"/>
      <c r="R10" s="134"/>
    </row>
    <row r="11" spans="1:21" ht="13.5" customHeight="1" x14ac:dyDescent="0.4">
      <c r="A11" s="128" t="s">
        <v>7</v>
      </c>
      <c r="B11" s="128"/>
      <c r="C11" s="129"/>
      <c r="D11" s="129"/>
      <c r="E11" s="131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33"/>
      <c r="R11" s="134"/>
    </row>
    <row r="12" spans="1:21" ht="12" customHeight="1" x14ac:dyDescent="0.4">
      <c r="A12" s="180" t="s">
        <v>452</v>
      </c>
      <c r="B12" s="264"/>
      <c r="C12" s="264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</row>
    <row r="13" spans="1:21" s="208" customFormat="1" ht="12" customHeight="1" x14ac:dyDescent="0.35">
      <c r="A13" s="149" t="s">
        <v>453</v>
      </c>
      <c r="B13" s="149" t="s">
        <v>54</v>
      </c>
      <c r="C13" s="149" t="s">
        <v>55</v>
      </c>
      <c r="D13" s="142">
        <v>0</v>
      </c>
      <c r="E13" s="142">
        <v>615</v>
      </c>
      <c r="F13" s="142">
        <f>D13*E13</f>
        <v>0</v>
      </c>
      <c r="G13" s="142">
        <v>12</v>
      </c>
      <c r="H13" s="142">
        <f>G13*E13*$B$7</f>
        <v>7638.2999999999993</v>
      </c>
      <c r="I13" s="142">
        <v>12</v>
      </c>
      <c r="J13" s="142">
        <f>I13*E13</f>
        <v>7380</v>
      </c>
      <c r="K13" s="142">
        <v>0</v>
      </c>
      <c r="L13" s="142">
        <f>K13*E13</f>
        <v>0</v>
      </c>
      <c r="M13" s="142">
        <f>SUM(F13+H13+J13+L13)</f>
        <v>15018.3</v>
      </c>
      <c r="N13" s="142">
        <v>0</v>
      </c>
      <c r="O13" s="142">
        <f>SUM(M13:N13)</f>
        <v>15018.3</v>
      </c>
      <c r="P13" s="260"/>
      <c r="Q13" s="204"/>
      <c r="R13" s="205"/>
      <c r="S13" s="206"/>
      <c r="T13" s="207"/>
    </row>
    <row r="14" spans="1:21" ht="12" customHeight="1" x14ac:dyDescent="0.35">
      <c r="A14" s="149" t="s">
        <v>454</v>
      </c>
      <c r="B14" s="149" t="s">
        <v>54</v>
      </c>
      <c r="C14" s="149" t="s">
        <v>55</v>
      </c>
      <c r="D14" s="142">
        <v>0</v>
      </c>
      <c r="E14" s="142">
        <v>762</v>
      </c>
      <c r="F14" s="142">
        <f>D14*E14</f>
        <v>0</v>
      </c>
      <c r="G14" s="142">
        <v>12</v>
      </c>
      <c r="H14" s="142">
        <f>G14*E14*$B$7</f>
        <v>9464.0399999999991</v>
      </c>
      <c r="I14" s="142">
        <v>12</v>
      </c>
      <c r="J14" s="142">
        <f>I14*E14</f>
        <v>9144</v>
      </c>
      <c r="K14" s="142">
        <v>0</v>
      </c>
      <c r="L14" s="142">
        <f>K14*E14</f>
        <v>0</v>
      </c>
      <c r="M14" s="142">
        <f t="shared" ref="M14:M17" si="0">SUM(F14+H14+J14+L14)</f>
        <v>18608.04</v>
      </c>
      <c r="N14" s="142">
        <v>0</v>
      </c>
      <c r="O14" s="142">
        <f>SUM(M14:N14)</f>
        <v>18608.04</v>
      </c>
      <c r="P14" s="13"/>
    </row>
    <row r="15" spans="1:21" ht="12" customHeight="1" x14ac:dyDescent="0.4">
      <c r="A15" s="180" t="s">
        <v>455</v>
      </c>
      <c r="B15" s="264"/>
      <c r="C15" s="264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51"/>
      <c r="Q15" s="13"/>
      <c r="R15" s="13"/>
    </row>
    <row r="16" spans="1:21" ht="12" customHeight="1" x14ac:dyDescent="0.35">
      <c r="A16" s="149" t="s">
        <v>456</v>
      </c>
      <c r="B16" s="149" t="s">
        <v>54</v>
      </c>
      <c r="C16" s="149" t="s">
        <v>55</v>
      </c>
      <c r="D16" s="142">
        <v>0</v>
      </c>
      <c r="E16" s="142">
        <v>307</v>
      </c>
      <c r="F16" s="142">
        <f>D16*E16</f>
        <v>0</v>
      </c>
      <c r="G16" s="142">
        <v>10</v>
      </c>
      <c r="H16" s="142">
        <f>G16*E16*$B$7</f>
        <v>3177.45</v>
      </c>
      <c r="I16" s="142">
        <v>12</v>
      </c>
      <c r="J16" s="142">
        <f>I16*E16</f>
        <v>3684</v>
      </c>
      <c r="K16" s="142">
        <v>0</v>
      </c>
      <c r="L16" s="142">
        <f>K16*E16</f>
        <v>0</v>
      </c>
      <c r="M16" s="142">
        <f t="shared" si="0"/>
        <v>6861.45</v>
      </c>
      <c r="N16" s="142">
        <v>0</v>
      </c>
      <c r="O16" s="142">
        <f>SUM(M16:N16)</f>
        <v>6861.45</v>
      </c>
      <c r="P16" s="151"/>
      <c r="Q16" s="13"/>
      <c r="R16" s="114"/>
    </row>
    <row r="17" spans="1:18" ht="12" customHeight="1" x14ac:dyDescent="0.35">
      <c r="A17" s="149" t="s">
        <v>457</v>
      </c>
      <c r="B17" s="149" t="s">
        <v>54</v>
      </c>
      <c r="C17" s="149" t="s">
        <v>55</v>
      </c>
      <c r="D17" s="142">
        <v>0</v>
      </c>
      <c r="E17" s="142">
        <v>108</v>
      </c>
      <c r="F17" s="142">
        <f>D17*E17</f>
        <v>0</v>
      </c>
      <c r="G17" s="142">
        <v>10</v>
      </c>
      <c r="H17" s="142">
        <f>G17*E17*$B$7</f>
        <v>1117.8</v>
      </c>
      <c r="I17" s="142">
        <v>12</v>
      </c>
      <c r="J17" s="142">
        <f>I17*E17</f>
        <v>1296</v>
      </c>
      <c r="K17" s="142">
        <v>0</v>
      </c>
      <c r="L17" s="142">
        <f>K17*E17</f>
        <v>0</v>
      </c>
      <c r="M17" s="142">
        <f t="shared" si="0"/>
        <v>2413.8000000000002</v>
      </c>
      <c r="N17" s="142">
        <v>0</v>
      </c>
      <c r="O17" s="142">
        <f>SUM(M17:N17)</f>
        <v>2413.8000000000002</v>
      </c>
      <c r="P17" s="151"/>
      <c r="Q17" s="13"/>
      <c r="R17" s="13"/>
    </row>
    <row r="18" spans="1:18" ht="12" customHeight="1" x14ac:dyDescent="0.35"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3"/>
      <c r="Q18" s="13"/>
      <c r="R18" s="13"/>
    </row>
    <row r="19" spans="1:18" ht="12" customHeight="1" x14ac:dyDescent="0.4">
      <c r="A19" s="180" t="s">
        <v>75</v>
      </c>
      <c r="B19" s="264"/>
      <c r="C19" s="264"/>
      <c r="D19" s="168"/>
      <c r="E19" s="168"/>
      <c r="F19" s="168">
        <f>SUM(F13:F17)</f>
        <v>0</v>
      </c>
      <c r="G19" s="168"/>
      <c r="H19" s="295">
        <f>SUM(H13:H17)</f>
        <v>21397.589999999997</v>
      </c>
      <c r="I19" s="295"/>
      <c r="J19" s="295">
        <f>SUM(J13:J17)</f>
        <v>21504</v>
      </c>
      <c r="K19" s="295"/>
      <c r="L19" s="295">
        <f>SUM(L13:L17)</f>
        <v>0</v>
      </c>
      <c r="M19" s="295">
        <f>SUM(F19+H19+J19+L19)</f>
        <v>42901.59</v>
      </c>
      <c r="N19" s="295">
        <v>0</v>
      </c>
      <c r="O19" s="295">
        <f>SUM(M19:N19)</f>
        <v>42901.59</v>
      </c>
      <c r="P19" s="13"/>
      <c r="Q19" s="149"/>
      <c r="R19" s="114"/>
    </row>
    <row r="20" spans="1:18" ht="12" customHeight="1" x14ac:dyDescent="0.4">
      <c r="A20" s="135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3"/>
      <c r="Q20" s="149"/>
      <c r="R20" s="114"/>
    </row>
    <row r="21" spans="1:18" ht="12" customHeight="1" x14ac:dyDescent="0.4">
      <c r="A21" s="135" t="s">
        <v>76</v>
      </c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3"/>
      <c r="Q21" s="146"/>
      <c r="R21" s="13"/>
    </row>
    <row r="22" spans="1:18" ht="12" customHeight="1" x14ac:dyDescent="0.35">
      <c r="A22" s="149" t="s">
        <v>458</v>
      </c>
      <c r="B22" s="149" t="s">
        <v>76</v>
      </c>
      <c r="C22" s="149" t="s">
        <v>55</v>
      </c>
      <c r="D22" s="142">
        <v>0</v>
      </c>
      <c r="E22" s="299">
        <v>0.53766000000000003</v>
      </c>
      <c r="F22" s="142">
        <f>F19*E22</f>
        <v>0</v>
      </c>
      <c r="G22" s="142"/>
      <c r="H22" s="142">
        <f>H19*E22</f>
        <v>11504.628239399999</v>
      </c>
      <c r="I22" s="142"/>
      <c r="J22" s="142">
        <f>E22*J19</f>
        <v>11561.84064</v>
      </c>
      <c r="K22" s="142"/>
      <c r="L22" s="142">
        <f>L19*E22</f>
        <v>0</v>
      </c>
      <c r="M22" s="142">
        <f>SUM(F22+H22+J22+L22)</f>
        <v>23066.468879399999</v>
      </c>
      <c r="N22" s="142">
        <v>0</v>
      </c>
      <c r="O22" s="142">
        <f>SUM(M22:N22)</f>
        <v>23066.468879399999</v>
      </c>
      <c r="P22" s="151"/>
      <c r="R22" s="13"/>
    </row>
    <row r="23" spans="1:18" ht="12" customHeight="1" x14ac:dyDescent="0.35">
      <c r="D23" s="142"/>
      <c r="E23" s="138"/>
      <c r="F23" s="138"/>
      <c r="G23" s="138"/>
      <c r="H23" s="138"/>
      <c r="I23" s="138"/>
      <c r="J23" s="138"/>
      <c r="K23" s="138"/>
      <c r="L23" s="138"/>
      <c r="M23" s="138"/>
      <c r="N23" s="142"/>
      <c r="O23" s="138"/>
      <c r="P23" s="13"/>
      <c r="Q23" s="13"/>
      <c r="R23" s="13"/>
    </row>
    <row r="24" spans="1:18" ht="10.8" thickBot="1" x14ac:dyDescent="0.45">
      <c r="A24" s="154" t="s">
        <v>82</v>
      </c>
      <c r="B24" s="154"/>
      <c r="C24" s="155"/>
      <c r="D24" s="155"/>
      <c r="E24" s="156"/>
      <c r="F24" s="157">
        <f>SUM(F19:F22)</f>
        <v>0</v>
      </c>
      <c r="G24" s="157"/>
      <c r="H24" s="157">
        <f>SUM(H19:H22)</f>
        <v>32902.218239399997</v>
      </c>
      <c r="I24" s="157"/>
      <c r="J24" s="157">
        <f>SUM(J19:J22)</f>
        <v>33065.840640000002</v>
      </c>
      <c r="K24" s="157"/>
      <c r="L24" s="157">
        <f>SUM(L19:L22)</f>
        <v>0</v>
      </c>
      <c r="M24" s="157">
        <f>F24+H24+J24+L24</f>
        <v>65968.058879399992</v>
      </c>
      <c r="N24" s="157">
        <f>SUM(N12:N22)</f>
        <v>0</v>
      </c>
      <c r="O24" s="158">
        <f>SUM(M24:N24)</f>
        <v>65968.058879399992</v>
      </c>
      <c r="R24" s="159"/>
    </row>
    <row r="25" spans="1:18" ht="12" customHeight="1" x14ac:dyDescent="0.35">
      <c r="C25" s="153"/>
      <c r="D25" s="209"/>
      <c r="E25" s="138"/>
      <c r="F25" s="210"/>
      <c r="G25" s="138"/>
      <c r="H25" s="210"/>
      <c r="I25" s="138"/>
      <c r="J25" s="138"/>
      <c r="K25" s="138"/>
      <c r="L25" s="138"/>
      <c r="M25" s="138"/>
      <c r="N25" s="142"/>
      <c r="O25" s="138"/>
      <c r="P25" s="13"/>
      <c r="Q25" s="13"/>
      <c r="R25" s="13"/>
    </row>
    <row r="26" spans="1:18" ht="12" customHeight="1" x14ac:dyDescent="0.4">
      <c r="A26" s="160" t="s">
        <v>8</v>
      </c>
      <c r="B26" s="160"/>
      <c r="C26" s="161"/>
      <c r="D26" s="161"/>
      <c r="E26" s="162"/>
      <c r="F26" s="163"/>
      <c r="G26" s="163"/>
      <c r="H26" s="163"/>
      <c r="I26" s="163"/>
      <c r="J26" s="163"/>
      <c r="K26" s="163"/>
      <c r="L26" s="163"/>
      <c r="M26" s="163"/>
      <c r="N26" s="163"/>
      <c r="O26" s="164"/>
      <c r="Q26" s="165"/>
    </row>
    <row r="27" spans="1:18" ht="12" customHeight="1" x14ac:dyDescent="0.35">
      <c r="A27" s="139"/>
      <c r="B27" s="139"/>
      <c r="C27" s="170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Q27" s="169"/>
    </row>
    <row r="28" spans="1:18" ht="12" customHeight="1" thickBot="1" x14ac:dyDescent="0.45">
      <c r="A28" s="154" t="s">
        <v>118</v>
      </c>
      <c r="B28" s="154"/>
      <c r="C28" s="155"/>
      <c r="D28" s="155"/>
      <c r="E28" s="156"/>
      <c r="F28" s="157">
        <f>F2</f>
        <v>0</v>
      </c>
      <c r="G28" s="157"/>
      <c r="H28" s="157">
        <f>H27</f>
        <v>0</v>
      </c>
      <c r="I28" s="157"/>
      <c r="J28" s="157">
        <f>J27</f>
        <v>0</v>
      </c>
      <c r="K28" s="157"/>
      <c r="L28" s="157">
        <f>L27</f>
        <v>0</v>
      </c>
      <c r="M28" s="157">
        <f>F28+H28+J28+L28</f>
        <v>0</v>
      </c>
      <c r="N28" s="157">
        <f>N27</f>
        <v>0</v>
      </c>
      <c r="O28" s="158">
        <f>SUM(M28:N28)</f>
        <v>0</v>
      </c>
      <c r="Q28" s="169"/>
    </row>
    <row r="29" spans="1:18" ht="12" customHeight="1" x14ac:dyDescent="0.4">
      <c r="A29" s="129" t="s">
        <v>10</v>
      </c>
      <c r="B29" s="129"/>
      <c r="C29" s="129"/>
      <c r="D29" s="129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Q29" s="171"/>
    </row>
    <row r="30" spans="1:18" ht="10.199999999999999" x14ac:dyDescent="0.35">
      <c r="A30" s="149" t="s">
        <v>459</v>
      </c>
      <c r="B30" s="139" t="s">
        <v>124</v>
      </c>
      <c r="C30" s="170" t="s">
        <v>125</v>
      </c>
      <c r="D30" s="142">
        <v>0</v>
      </c>
      <c r="E30" s="142">
        <v>750</v>
      </c>
      <c r="F30" s="142">
        <f>D30*E30</f>
        <v>0</v>
      </c>
      <c r="G30" s="142">
        <v>3</v>
      </c>
      <c r="H30" s="142">
        <f t="shared" ref="H30:H40" si="1">G30*E30*$B$5</f>
        <v>2362.5</v>
      </c>
      <c r="I30" s="142">
        <v>0</v>
      </c>
      <c r="J30" s="142">
        <f t="shared" ref="J30:J40" si="2">(I30*E30)*$B$5*$B$5</f>
        <v>0</v>
      </c>
      <c r="K30" s="142">
        <v>0</v>
      </c>
      <c r="L30" s="142">
        <f t="shared" ref="L30:L40" si="3">(K30*E30)*$B$5*$B$5*$B$5</f>
        <v>0</v>
      </c>
      <c r="M30" s="142">
        <f>F30+H30+J30+L30</f>
        <v>2362.5</v>
      </c>
      <c r="N30" s="142">
        <v>0</v>
      </c>
      <c r="O30" s="142">
        <f t="shared" ref="O30:O31" si="4">SUM(M30:N30)</f>
        <v>2362.5</v>
      </c>
    </row>
    <row r="31" spans="1:18" ht="12" customHeight="1" x14ac:dyDescent="0.35">
      <c r="A31" s="149" t="s">
        <v>460</v>
      </c>
      <c r="B31" s="139" t="s">
        <v>124</v>
      </c>
      <c r="C31" s="153" t="s">
        <v>55</v>
      </c>
      <c r="D31" s="142">
        <v>0</v>
      </c>
      <c r="E31" s="142">
        <v>19</v>
      </c>
      <c r="F31" s="142">
        <f>D31*E31</f>
        <v>0</v>
      </c>
      <c r="G31" s="142">
        <v>12</v>
      </c>
      <c r="H31" s="142">
        <f t="shared" si="1"/>
        <v>239.4</v>
      </c>
      <c r="I31" s="142">
        <v>12</v>
      </c>
      <c r="J31" s="142">
        <f t="shared" si="2"/>
        <v>251.37</v>
      </c>
      <c r="K31" s="142">
        <v>0</v>
      </c>
      <c r="L31" s="142">
        <f t="shared" si="3"/>
        <v>0</v>
      </c>
      <c r="M31" s="142">
        <f t="shared" ref="M31:M40" si="5">F31+H31+J31+L31</f>
        <v>490.77</v>
      </c>
      <c r="N31" s="142">
        <v>0</v>
      </c>
      <c r="O31" s="142">
        <f t="shared" si="4"/>
        <v>490.77</v>
      </c>
    </row>
    <row r="32" spans="1:18" ht="10.199999999999999" x14ac:dyDescent="0.35">
      <c r="A32" s="149" t="s">
        <v>461</v>
      </c>
      <c r="B32" s="139" t="s">
        <v>124</v>
      </c>
      <c r="C32" s="153" t="s">
        <v>125</v>
      </c>
      <c r="D32" s="142">
        <v>0</v>
      </c>
      <c r="E32" s="142">
        <v>500</v>
      </c>
      <c r="F32" s="142">
        <f t="shared" ref="F32" si="6">D32*E32</f>
        <v>0</v>
      </c>
      <c r="G32" s="142">
        <v>1</v>
      </c>
      <c r="H32" s="142">
        <f t="shared" si="1"/>
        <v>525</v>
      </c>
      <c r="I32" s="142">
        <v>0</v>
      </c>
      <c r="J32" s="142">
        <f t="shared" si="2"/>
        <v>0</v>
      </c>
      <c r="K32" s="142"/>
      <c r="L32" s="142">
        <f t="shared" si="3"/>
        <v>0</v>
      </c>
      <c r="M32" s="142">
        <f t="shared" si="5"/>
        <v>525</v>
      </c>
      <c r="N32" s="142">
        <v>0</v>
      </c>
      <c r="O32" s="142">
        <f>SUM(M32:N32)</f>
        <v>525</v>
      </c>
    </row>
    <row r="33" spans="1:20" ht="10.199999999999999" x14ac:dyDescent="0.35">
      <c r="A33" s="149" t="s">
        <v>462</v>
      </c>
      <c r="B33" s="139" t="s">
        <v>124</v>
      </c>
      <c r="C33" s="153" t="s">
        <v>55</v>
      </c>
      <c r="D33" s="142">
        <v>0</v>
      </c>
      <c r="E33" s="142">
        <v>25</v>
      </c>
      <c r="F33" s="142">
        <f>D33*E33</f>
        <v>0</v>
      </c>
      <c r="G33" s="142">
        <v>12</v>
      </c>
      <c r="H33" s="142">
        <f t="shared" si="1"/>
        <v>315</v>
      </c>
      <c r="I33" s="142">
        <v>12</v>
      </c>
      <c r="J33" s="142">
        <f t="shared" si="2"/>
        <v>330.75</v>
      </c>
      <c r="K33" s="142">
        <v>0</v>
      </c>
      <c r="L33" s="142">
        <f t="shared" si="3"/>
        <v>0</v>
      </c>
      <c r="M33" s="142">
        <f t="shared" si="5"/>
        <v>645.75</v>
      </c>
      <c r="N33" s="142">
        <v>0</v>
      </c>
      <c r="O33" s="142">
        <f>SUM(M33:N33)</f>
        <v>645.75</v>
      </c>
    </row>
    <row r="34" spans="1:20" ht="10.199999999999999" x14ac:dyDescent="0.35">
      <c r="A34" s="139" t="s">
        <v>400</v>
      </c>
      <c r="B34" s="139" t="s">
        <v>124</v>
      </c>
      <c r="C34" s="170" t="s">
        <v>55</v>
      </c>
      <c r="D34" s="142">
        <v>0</v>
      </c>
      <c r="E34" s="142">
        <v>30</v>
      </c>
      <c r="F34" s="142">
        <f t="shared" ref="F34:F40" si="7">D34*E34</f>
        <v>0</v>
      </c>
      <c r="G34" s="142">
        <v>12</v>
      </c>
      <c r="H34" s="142">
        <f t="shared" si="1"/>
        <v>378</v>
      </c>
      <c r="I34" s="142">
        <v>12</v>
      </c>
      <c r="J34" s="142">
        <f>(I34*E34)*$B$5*$B$5</f>
        <v>396.90000000000003</v>
      </c>
      <c r="K34" s="142">
        <v>0</v>
      </c>
      <c r="L34" s="142">
        <f t="shared" si="3"/>
        <v>0</v>
      </c>
      <c r="M34" s="142">
        <f t="shared" si="5"/>
        <v>774.90000000000009</v>
      </c>
      <c r="N34" s="142">
        <v>0</v>
      </c>
      <c r="O34" s="142">
        <f t="shared" ref="O34:O40" si="8">SUM(M34:N34)</f>
        <v>774.90000000000009</v>
      </c>
      <c r="P34" s="178"/>
    </row>
    <row r="35" spans="1:20" ht="12" customHeight="1" x14ac:dyDescent="0.35">
      <c r="A35" s="139" t="s">
        <v>401</v>
      </c>
      <c r="B35" s="139" t="s">
        <v>124</v>
      </c>
      <c r="C35" s="170" t="s">
        <v>130</v>
      </c>
      <c r="D35" s="142">
        <v>0</v>
      </c>
      <c r="E35" s="142">
        <v>100</v>
      </c>
      <c r="F35" s="142">
        <f t="shared" si="7"/>
        <v>0</v>
      </c>
      <c r="G35" s="142">
        <v>1</v>
      </c>
      <c r="H35" s="142">
        <f t="shared" si="1"/>
        <v>105</v>
      </c>
      <c r="I35" s="142">
        <v>1</v>
      </c>
      <c r="J35" s="142">
        <f t="shared" si="2"/>
        <v>110.25</v>
      </c>
      <c r="K35" s="142">
        <v>0</v>
      </c>
      <c r="L35" s="142">
        <f t="shared" si="3"/>
        <v>0</v>
      </c>
      <c r="M35" s="142">
        <f t="shared" si="5"/>
        <v>215.25</v>
      </c>
      <c r="N35" s="142">
        <v>0</v>
      </c>
      <c r="O35" s="142">
        <f t="shared" si="8"/>
        <v>215.25</v>
      </c>
    </row>
    <row r="36" spans="1:20" ht="10.199999999999999" x14ac:dyDescent="0.35">
      <c r="A36" s="139" t="s">
        <v>132</v>
      </c>
      <c r="B36" s="139" t="s">
        <v>124</v>
      </c>
      <c r="C36" s="170" t="s">
        <v>130</v>
      </c>
      <c r="D36" s="142">
        <v>0</v>
      </c>
      <c r="E36" s="142">
        <v>81</v>
      </c>
      <c r="F36" s="142">
        <f t="shared" si="7"/>
        <v>0</v>
      </c>
      <c r="G36" s="142">
        <v>3</v>
      </c>
      <c r="H36" s="142">
        <f t="shared" si="1"/>
        <v>255.15</v>
      </c>
      <c r="I36" s="142">
        <v>0</v>
      </c>
      <c r="J36" s="142">
        <f t="shared" si="2"/>
        <v>0</v>
      </c>
      <c r="K36" s="142">
        <v>0</v>
      </c>
      <c r="L36" s="142">
        <f t="shared" si="3"/>
        <v>0</v>
      </c>
      <c r="M36" s="142">
        <f t="shared" si="5"/>
        <v>255.15</v>
      </c>
      <c r="N36" s="142">
        <v>0</v>
      </c>
      <c r="O36" s="142">
        <f t="shared" si="8"/>
        <v>255.15</v>
      </c>
    </row>
    <row r="37" spans="1:20" ht="10.199999999999999" x14ac:dyDescent="0.35">
      <c r="A37" s="139" t="s">
        <v>463</v>
      </c>
      <c r="B37" s="139" t="s">
        <v>124</v>
      </c>
      <c r="C37" s="170" t="s">
        <v>55</v>
      </c>
      <c r="D37" s="142">
        <v>0</v>
      </c>
      <c r="E37" s="142">
        <v>43</v>
      </c>
      <c r="F37" s="142">
        <f t="shared" si="7"/>
        <v>0</v>
      </c>
      <c r="G37" s="142">
        <v>12</v>
      </c>
      <c r="H37" s="142">
        <f t="shared" si="1"/>
        <v>541.80000000000007</v>
      </c>
      <c r="I37" s="142">
        <v>12</v>
      </c>
      <c r="J37" s="142">
        <f t="shared" si="2"/>
        <v>568.8900000000001</v>
      </c>
      <c r="K37" s="142">
        <v>0</v>
      </c>
      <c r="L37" s="142">
        <f t="shared" si="3"/>
        <v>0</v>
      </c>
      <c r="M37" s="142">
        <f t="shared" si="5"/>
        <v>1110.69</v>
      </c>
      <c r="N37" s="142">
        <v>0</v>
      </c>
      <c r="O37" s="142">
        <f t="shared" si="8"/>
        <v>1110.69</v>
      </c>
    </row>
    <row r="38" spans="1:20" ht="10.199999999999999" x14ac:dyDescent="0.35">
      <c r="A38" s="139" t="s">
        <v>464</v>
      </c>
      <c r="B38" s="139" t="s">
        <v>124</v>
      </c>
      <c r="C38" s="170" t="s">
        <v>55</v>
      </c>
      <c r="D38" s="142">
        <v>0</v>
      </c>
      <c r="E38" s="142">
        <v>111</v>
      </c>
      <c r="F38" s="142">
        <f t="shared" si="7"/>
        <v>0</v>
      </c>
      <c r="G38" s="142">
        <v>12</v>
      </c>
      <c r="H38" s="142">
        <f t="shared" si="1"/>
        <v>1398.6000000000001</v>
      </c>
      <c r="I38" s="142">
        <v>12</v>
      </c>
      <c r="J38" s="142">
        <f t="shared" si="2"/>
        <v>1468.5300000000002</v>
      </c>
      <c r="K38" s="142">
        <v>0</v>
      </c>
      <c r="L38" s="142">
        <f t="shared" si="3"/>
        <v>0</v>
      </c>
      <c r="M38" s="142">
        <f t="shared" si="5"/>
        <v>2867.13</v>
      </c>
      <c r="N38" s="142">
        <v>0</v>
      </c>
      <c r="O38" s="142">
        <f t="shared" si="8"/>
        <v>2867.13</v>
      </c>
      <c r="P38" s="179"/>
    </row>
    <row r="39" spans="1:20" ht="10.199999999999999" x14ac:dyDescent="0.35">
      <c r="A39" s="303" t="s">
        <v>142</v>
      </c>
      <c r="B39" s="303" t="s">
        <v>124</v>
      </c>
      <c r="C39" s="304" t="s">
        <v>55</v>
      </c>
      <c r="D39" s="305">
        <v>0</v>
      </c>
      <c r="E39" s="305">
        <v>1000</v>
      </c>
      <c r="F39" s="305">
        <f t="shared" si="7"/>
        <v>0</v>
      </c>
      <c r="G39" s="305">
        <v>12</v>
      </c>
      <c r="H39" s="305">
        <f t="shared" si="1"/>
        <v>12600</v>
      </c>
      <c r="I39" s="305">
        <v>12</v>
      </c>
      <c r="J39" s="305">
        <f t="shared" si="2"/>
        <v>13230</v>
      </c>
      <c r="K39" s="305">
        <v>0</v>
      </c>
      <c r="L39" s="305">
        <f t="shared" si="3"/>
        <v>0</v>
      </c>
      <c r="M39" s="305">
        <f t="shared" si="5"/>
        <v>25830</v>
      </c>
      <c r="N39" s="305">
        <v>0</v>
      </c>
      <c r="O39" s="305">
        <f t="shared" si="8"/>
        <v>25830</v>
      </c>
      <c r="P39" s="179"/>
    </row>
    <row r="40" spans="1:20" ht="11.25" customHeight="1" x14ac:dyDescent="0.35">
      <c r="A40" s="139" t="s">
        <v>465</v>
      </c>
      <c r="B40" s="139" t="s">
        <v>124</v>
      </c>
      <c r="C40" s="170" t="s">
        <v>55</v>
      </c>
      <c r="D40" s="142">
        <v>0</v>
      </c>
      <c r="E40" s="142">
        <v>42</v>
      </c>
      <c r="F40" s="142">
        <f t="shared" si="7"/>
        <v>0</v>
      </c>
      <c r="G40" s="142">
        <v>12</v>
      </c>
      <c r="H40" s="142">
        <f t="shared" si="1"/>
        <v>529.20000000000005</v>
      </c>
      <c r="I40" s="142">
        <v>12</v>
      </c>
      <c r="J40" s="142">
        <f t="shared" si="2"/>
        <v>555.66000000000008</v>
      </c>
      <c r="K40" s="142">
        <v>0</v>
      </c>
      <c r="L40" s="142">
        <f t="shared" si="3"/>
        <v>0</v>
      </c>
      <c r="M40" s="142">
        <f t="shared" si="5"/>
        <v>1084.8600000000001</v>
      </c>
      <c r="N40" s="142">
        <v>0</v>
      </c>
      <c r="O40" s="142">
        <f t="shared" si="8"/>
        <v>1084.8600000000001</v>
      </c>
    </row>
    <row r="41" spans="1:20" ht="12" customHeight="1" x14ac:dyDescent="0.35">
      <c r="A41" s="139"/>
      <c r="B41" s="139"/>
      <c r="C41" s="170"/>
    </row>
    <row r="42" spans="1:20" ht="12" customHeight="1" thickBot="1" x14ac:dyDescent="0.45">
      <c r="A42" s="174" t="s">
        <v>466</v>
      </c>
      <c r="B42" s="174"/>
      <c r="C42" s="154"/>
      <c r="D42" s="154"/>
      <c r="E42" s="154"/>
      <c r="F42" s="106">
        <f>SUM(F30:F40)</f>
        <v>0</v>
      </c>
      <c r="G42" s="106"/>
      <c r="H42" s="106">
        <f>SUM(H30:H40)</f>
        <v>19249.650000000001</v>
      </c>
      <c r="I42" s="106"/>
      <c r="J42" s="106">
        <f>SUM(J30:J40)</f>
        <v>16912.350000000002</v>
      </c>
      <c r="K42" s="106"/>
      <c r="L42" s="106">
        <f>SUM(L30:L40)</f>
        <v>0</v>
      </c>
      <c r="M42" s="157">
        <f>F42+H42+J42+L42</f>
        <v>36162</v>
      </c>
      <c r="N42" s="106">
        <f>SUM(N30:N40)</f>
        <v>0</v>
      </c>
      <c r="O42" s="158">
        <f>SUM(M42:N42)</f>
        <v>36162</v>
      </c>
      <c r="R42" s="177"/>
    </row>
    <row r="43" spans="1:20" ht="30" customHeight="1" thickBot="1" x14ac:dyDescent="0.4">
      <c r="A43" s="357" t="s">
        <v>403</v>
      </c>
      <c r="B43" s="357"/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357"/>
      <c r="O43" s="357"/>
      <c r="R43" s="177"/>
    </row>
    <row r="44" spans="1:20" ht="12" customHeight="1" x14ac:dyDescent="0.4">
      <c r="A44" s="181" t="s">
        <v>188</v>
      </c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4"/>
      <c r="Q44" s="171"/>
      <c r="T44" s="118"/>
    </row>
    <row r="45" spans="1:20" ht="12" customHeight="1" x14ac:dyDescent="0.4">
      <c r="A45" s="185" t="s">
        <v>155</v>
      </c>
      <c r="B45" s="186"/>
      <c r="C45" s="187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Q45" s="169"/>
    </row>
    <row r="46" spans="1:20" ht="12" customHeight="1" x14ac:dyDescent="0.35">
      <c r="A46" s="139" t="s">
        <v>428</v>
      </c>
      <c r="B46" s="139" t="s">
        <v>467</v>
      </c>
      <c r="C46" s="139" t="s">
        <v>125</v>
      </c>
      <c r="D46" s="142">
        <f>$F$24</f>
        <v>0</v>
      </c>
      <c r="E46" s="150">
        <v>0.25</v>
      </c>
      <c r="F46" s="142">
        <f>D46*E46</f>
        <v>0</v>
      </c>
      <c r="G46" s="142">
        <f>H24</f>
        <v>32902.218239399997</v>
      </c>
      <c r="H46" s="142">
        <f>G46*E46</f>
        <v>8225.5545598499994</v>
      </c>
      <c r="I46" s="142">
        <f>$J$24</f>
        <v>33065.840640000002</v>
      </c>
      <c r="J46" s="142">
        <f>I46*E46</f>
        <v>8266.4601600000005</v>
      </c>
      <c r="K46" s="142">
        <f>$L$24</f>
        <v>0</v>
      </c>
      <c r="L46" s="142">
        <f>K46*E46</f>
        <v>0</v>
      </c>
      <c r="M46" s="142">
        <f>F46+H46+J46+L46</f>
        <v>16492.014719849998</v>
      </c>
      <c r="N46" s="142">
        <v>0</v>
      </c>
      <c r="O46" s="142">
        <f>SUM(M46:N46)</f>
        <v>16492.014719849998</v>
      </c>
      <c r="P46" s="184"/>
    </row>
    <row r="47" spans="1:20" ht="12" customHeight="1" x14ac:dyDescent="0.35">
      <c r="A47" s="303" t="s">
        <v>468</v>
      </c>
      <c r="B47" s="303" t="s">
        <v>124</v>
      </c>
      <c r="C47" s="303" t="s">
        <v>125</v>
      </c>
      <c r="D47" s="305">
        <f>$F$42</f>
        <v>0</v>
      </c>
      <c r="E47" s="308">
        <v>0.25</v>
      </c>
      <c r="F47" s="305">
        <f>D47*E47</f>
        <v>0</v>
      </c>
      <c r="G47" s="305">
        <f>H42</f>
        <v>19249.650000000001</v>
      </c>
      <c r="H47" s="305">
        <f>G47*E47</f>
        <v>4812.4125000000004</v>
      </c>
      <c r="I47" s="305">
        <f>$J$42</f>
        <v>16912.350000000002</v>
      </c>
      <c r="J47" s="305">
        <f t="shared" ref="J47" si="9">I47*E47</f>
        <v>4228.0875000000005</v>
      </c>
      <c r="K47" s="305">
        <f>$L$42</f>
        <v>0</v>
      </c>
      <c r="L47" s="305">
        <f t="shared" ref="L47" si="10">K47*E47</f>
        <v>0</v>
      </c>
      <c r="M47" s="305">
        <f t="shared" ref="M47:M56" si="11">F47+H47+J47+L47</f>
        <v>9040.5</v>
      </c>
      <c r="N47" s="305">
        <v>0</v>
      </c>
      <c r="O47" s="305">
        <f t="shared" ref="O47:O49" si="12">SUM(M47:N47)</f>
        <v>9040.5</v>
      </c>
    </row>
    <row r="48" spans="1:20" ht="10.199999999999999" x14ac:dyDescent="0.35">
      <c r="A48" s="244" t="s">
        <v>469</v>
      </c>
      <c r="B48" s="166"/>
      <c r="C48" s="166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</row>
    <row r="49" spans="1:20" ht="10.199999999999999" x14ac:dyDescent="0.35">
      <c r="A49" s="139" t="s">
        <v>470</v>
      </c>
      <c r="B49" s="139" t="s">
        <v>167</v>
      </c>
      <c r="C49" s="139" t="s">
        <v>177</v>
      </c>
      <c r="D49" s="142">
        <v>0</v>
      </c>
      <c r="E49" s="142">
        <v>125</v>
      </c>
      <c r="F49" s="142">
        <f t="shared" ref="F49" si="13">D49*E49</f>
        <v>0</v>
      </c>
      <c r="G49" s="142">
        <v>8</v>
      </c>
      <c r="H49" s="142">
        <f>(G49*E49)*$B$5</f>
        <v>1050</v>
      </c>
      <c r="I49" s="142">
        <v>4</v>
      </c>
      <c r="J49" s="142">
        <f>(I49*E49)*$B$5*$B$5</f>
        <v>551.25</v>
      </c>
      <c r="K49" s="142">
        <v>0</v>
      </c>
      <c r="L49" s="142">
        <f>(K49*E49)*$B$5*$B$5*$B$5</f>
        <v>0</v>
      </c>
      <c r="M49" s="142">
        <f t="shared" si="11"/>
        <v>1601.25</v>
      </c>
      <c r="N49" s="142">
        <v>0</v>
      </c>
      <c r="O49" s="142">
        <f t="shared" si="12"/>
        <v>1601.25</v>
      </c>
      <c r="P49" s="184"/>
    </row>
    <row r="50" spans="1:20" ht="12" customHeight="1" x14ac:dyDescent="0.35">
      <c r="A50" s="244" t="s">
        <v>471</v>
      </c>
      <c r="B50" s="166"/>
      <c r="C50" s="166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84"/>
    </row>
    <row r="51" spans="1:20" ht="12" customHeight="1" x14ac:dyDescent="0.35">
      <c r="A51" s="139" t="s">
        <v>472</v>
      </c>
      <c r="B51" s="139" t="s">
        <v>160</v>
      </c>
      <c r="C51" s="139" t="s">
        <v>91</v>
      </c>
      <c r="D51" s="142">
        <v>0</v>
      </c>
      <c r="E51" s="142">
        <v>35</v>
      </c>
      <c r="F51" s="142">
        <f>D51*E51</f>
        <v>0</v>
      </c>
      <c r="G51" s="142">
        <v>60</v>
      </c>
      <c r="H51" s="142">
        <f>G51*E51*$B$7</f>
        <v>2173.5</v>
      </c>
      <c r="I51" s="142">
        <v>60</v>
      </c>
      <c r="J51" s="142">
        <f>I51*E51</f>
        <v>2100</v>
      </c>
      <c r="K51" s="142">
        <v>0</v>
      </c>
      <c r="L51" s="142">
        <f>K51*E51</f>
        <v>0</v>
      </c>
      <c r="M51" s="142">
        <f t="shared" si="11"/>
        <v>4273.5</v>
      </c>
      <c r="N51" s="142">
        <v>0</v>
      </c>
      <c r="O51" s="142">
        <f>SUM(M51:N51)</f>
        <v>4273.5</v>
      </c>
      <c r="P51" s="184"/>
    </row>
    <row r="52" spans="1:20" ht="12" customHeight="1" x14ac:dyDescent="0.35">
      <c r="A52" s="139" t="s">
        <v>473</v>
      </c>
      <c r="B52" s="139" t="s">
        <v>167</v>
      </c>
      <c r="C52" s="139" t="s">
        <v>214</v>
      </c>
      <c r="D52" s="142">
        <v>0</v>
      </c>
      <c r="E52" s="142">
        <v>300</v>
      </c>
      <c r="F52" s="142">
        <f>E52*D52</f>
        <v>0</v>
      </c>
      <c r="G52" s="142">
        <v>6</v>
      </c>
      <c r="H52" s="142">
        <f>G52*E52</f>
        <v>1800</v>
      </c>
      <c r="I52" s="142">
        <v>2</v>
      </c>
      <c r="J52" s="142">
        <f>I52*E52</f>
        <v>600</v>
      </c>
      <c r="K52" s="142">
        <v>0</v>
      </c>
      <c r="L52" s="142">
        <f>K52*E52</f>
        <v>0</v>
      </c>
      <c r="M52" s="142">
        <f t="shared" si="11"/>
        <v>2400</v>
      </c>
      <c r="N52" s="142">
        <v>0</v>
      </c>
      <c r="O52" s="142">
        <f>SUM(M52:N52)</f>
        <v>2400</v>
      </c>
      <c r="P52" s="184"/>
    </row>
    <row r="53" spans="1:20" ht="12" customHeight="1" x14ac:dyDescent="0.35">
      <c r="A53" s="139" t="s">
        <v>474</v>
      </c>
      <c r="B53" s="139" t="s">
        <v>167</v>
      </c>
      <c r="C53" s="139" t="s">
        <v>214</v>
      </c>
      <c r="D53" s="142">
        <v>0</v>
      </c>
      <c r="E53" s="173">
        <v>300</v>
      </c>
      <c r="F53" s="142">
        <f>E53*D53</f>
        <v>0</v>
      </c>
      <c r="G53" s="142">
        <v>6</v>
      </c>
      <c r="H53" s="142">
        <f>G53*E53</f>
        <v>1800</v>
      </c>
      <c r="I53" s="142">
        <v>2</v>
      </c>
      <c r="J53" s="142">
        <f t="shared" ref="J53:J56" si="14">I53*E53</f>
        <v>600</v>
      </c>
      <c r="K53" s="142">
        <v>0</v>
      </c>
      <c r="L53" s="142">
        <f t="shared" ref="L53:L56" si="15">K53*E53</f>
        <v>0</v>
      </c>
      <c r="M53" s="142">
        <f t="shared" si="11"/>
        <v>2400</v>
      </c>
      <c r="N53" s="142">
        <v>0</v>
      </c>
      <c r="O53" s="142">
        <f t="shared" ref="O53:O56" si="16">SUM(M53:N53)</f>
        <v>2400</v>
      </c>
    </row>
    <row r="54" spans="1:20" ht="12" customHeight="1" x14ac:dyDescent="0.35">
      <c r="A54" s="139" t="s">
        <v>475</v>
      </c>
      <c r="B54" s="139" t="s">
        <v>8</v>
      </c>
      <c r="C54" s="139" t="s">
        <v>91</v>
      </c>
      <c r="D54" s="142">
        <v>0</v>
      </c>
      <c r="E54" s="173">
        <v>108</v>
      </c>
      <c r="F54" s="142">
        <f>D54*E54</f>
        <v>0</v>
      </c>
      <c r="G54" s="142">
        <v>12</v>
      </c>
      <c r="H54" s="142">
        <f>G54*E54</f>
        <v>1296</v>
      </c>
      <c r="I54" s="142">
        <v>2</v>
      </c>
      <c r="J54" s="142">
        <f t="shared" si="14"/>
        <v>216</v>
      </c>
      <c r="K54" s="142">
        <v>0</v>
      </c>
      <c r="L54" s="142">
        <f t="shared" si="15"/>
        <v>0</v>
      </c>
      <c r="M54" s="142">
        <f t="shared" si="11"/>
        <v>1512</v>
      </c>
      <c r="N54" s="142">
        <v>0</v>
      </c>
      <c r="O54" s="142">
        <f t="shared" si="16"/>
        <v>1512</v>
      </c>
    </row>
    <row r="55" spans="1:20" ht="12" customHeight="1" x14ac:dyDescent="0.35">
      <c r="A55" s="139" t="s">
        <v>476</v>
      </c>
      <c r="B55" s="139" t="s">
        <v>8</v>
      </c>
      <c r="C55" s="139" t="s">
        <v>86</v>
      </c>
      <c r="D55" s="142">
        <v>0</v>
      </c>
      <c r="E55" s="173">
        <v>46</v>
      </c>
      <c r="F55" s="142">
        <f>D55*E55</f>
        <v>0</v>
      </c>
      <c r="G55" s="142">
        <v>6</v>
      </c>
      <c r="H55" s="142">
        <f>G55*E55</f>
        <v>276</v>
      </c>
      <c r="I55" s="142">
        <v>1</v>
      </c>
      <c r="J55" s="142">
        <f t="shared" si="14"/>
        <v>46</v>
      </c>
      <c r="K55" s="142">
        <v>0</v>
      </c>
      <c r="L55" s="142">
        <f t="shared" si="15"/>
        <v>0</v>
      </c>
      <c r="M55" s="142">
        <f t="shared" si="11"/>
        <v>322</v>
      </c>
      <c r="N55" s="142">
        <v>0</v>
      </c>
      <c r="O55" s="142">
        <f t="shared" si="16"/>
        <v>322</v>
      </c>
    </row>
    <row r="56" spans="1:20" ht="12" customHeight="1" x14ac:dyDescent="0.35">
      <c r="A56" s="139" t="s">
        <v>477</v>
      </c>
      <c r="B56" s="139" t="s">
        <v>167</v>
      </c>
      <c r="C56" s="139" t="s">
        <v>214</v>
      </c>
      <c r="D56" s="142">
        <v>0</v>
      </c>
      <c r="E56" s="173">
        <v>200</v>
      </c>
      <c r="F56" s="142">
        <f>D56*E56</f>
        <v>0</v>
      </c>
      <c r="G56" s="142">
        <v>12</v>
      </c>
      <c r="H56" s="142">
        <f>G56*E56</f>
        <v>2400</v>
      </c>
      <c r="I56" s="142">
        <v>2</v>
      </c>
      <c r="J56" s="142">
        <f t="shared" si="14"/>
        <v>400</v>
      </c>
      <c r="K56" s="142">
        <v>0</v>
      </c>
      <c r="L56" s="142">
        <f t="shared" si="15"/>
        <v>0</v>
      </c>
      <c r="M56" s="142">
        <f t="shared" si="11"/>
        <v>2800</v>
      </c>
      <c r="N56" s="142">
        <v>0</v>
      </c>
      <c r="O56" s="142">
        <f t="shared" si="16"/>
        <v>2800</v>
      </c>
    </row>
    <row r="57" spans="1:20" ht="12" customHeight="1" x14ac:dyDescent="0.35">
      <c r="A57" s="139"/>
      <c r="B57" s="139"/>
      <c r="C57" s="139"/>
      <c r="D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</row>
    <row r="58" spans="1:20" ht="10.8" thickBot="1" x14ac:dyDescent="0.45">
      <c r="A58" s="154" t="s">
        <v>426</v>
      </c>
      <c r="B58" s="154"/>
      <c r="C58" s="154"/>
      <c r="D58" s="190"/>
      <c r="E58" s="190"/>
      <c r="F58" s="158">
        <f>SUM(F46:F56)</f>
        <v>0</v>
      </c>
      <c r="G58" s="158"/>
      <c r="H58" s="158">
        <f>SUM(H46:H56)</f>
        <v>23833.467059850002</v>
      </c>
      <c r="I58" s="158"/>
      <c r="J58" s="158">
        <f>SUM(J46:J56)</f>
        <v>17007.79766</v>
      </c>
      <c r="K58" s="158"/>
      <c r="L58" s="158">
        <f>SUM(L46:L56)</f>
        <v>0</v>
      </c>
      <c r="M58" s="158">
        <f>F58+H58+J58+L58</f>
        <v>40841.264719850005</v>
      </c>
      <c r="N58" s="158">
        <f>SUM(N46:N49)</f>
        <v>0</v>
      </c>
      <c r="O58" s="158">
        <f>SUM(M58:N58)</f>
        <v>40841.264719850005</v>
      </c>
      <c r="Q58" s="191"/>
    </row>
    <row r="59" spans="1:20" ht="12" customHeight="1" x14ac:dyDescent="0.35">
      <c r="A59" s="139"/>
      <c r="B59" s="139"/>
      <c r="C59" s="170"/>
    </row>
    <row r="60" spans="1:20" ht="12" customHeight="1" x14ac:dyDescent="0.4">
      <c r="A60" s="192" t="s">
        <v>427</v>
      </c>
      <c r="B60" s="149" t="s">
        <v>361</v>
      </c>
      <c r="C60" s="193"/>
      <c r="D60" s="193"/>
      <c r="E60" s="152">
        <v>0.1</v>
      </c>
      <c r="F60" s="194">
        <f>(F58)*E60</f>
        <v>0</v>
      </c>
      <c r="G60" s="194"/>
      <c r="H60" s="194">
        <f>(H58)*E60</f>
        <v>2383.3467059850004</v>
      </c>
      <c r="I60" s="194"/>
      <c r="J60" s="194">
        <f>(J58)*E60</f>
        <v>1700.7797660000001</v>
      </c>
      <c r="L60" s="194">
        <f>(L58)*E60</f>
        <v>0</v>
      </c>
      <c r="M60" s="194">
        <f>SUM(F60+H60+J60+L60)</f>
        <v>4084.1264719850005</v>
      </c>
      <c r="N60" s="194">
        <v>0</v>
      </c>
      <c r="O60" s="194">
        <f>SUM(M60:N60)</f>
        <v>4084.1264719850005</v>
      </c>
      <c r="Q60" s="169"/>
    </row>
    <row r="61" spans="1:20" ht="12" customHeight="1" x14ac:dyDescent="0.35">
      <c r="A61" s="139"/>
      <c r="B61" s="139"/>
      <c r="C61" s="170"/>
    </row>
    <row r="62" spans="1:20" ht="12" customHeight="1" x14ac:dyDescent="0.4">
      <c r="A62" s="154" t="s">
        <v>230</v>
      </c>
      <c r="B62" s="154"/>
      <c r="C62" s="154"/>
      <c r="D62" s="154"/>
      <c r="E62" s="190"/>
      <c r="F62" s="158">
        <f>SUM(F58:F60)</f>
        <v>0</v>
      </c>
      <c r="G62" s="158"/>
      <c r="H62" s="158">
        <f>SUM(H58:H60)</f>
        <v>26216.813765835002</v>
      </c>
      <c r="I62" s="158"/>
      <c r="J62" s="158">
        <f>SUM(J58:J60)</f>
        <v>18708.577426</v>
      </c>
      <c r="K62" s="158"/>
      <c r="L62" s="158">
        <f>SUM(L58:L60)</f>
        <v>0</v>
      </c>
      <c r="M62" s="158">
        <f>F62+H62+J62+L62</f>
        <v>44925.391191835006</v>
      </c>
      <c r="N62" s="158">
        <f>SUM(N49:N49)</f>
        <v>0</v>
      </c>
      <c r="O62" s="158">
        <f>SUM(M62:N62)</f>
        <v>44925.391191835006</v>
      </c>
      <c r="Q62" s="191"/>
    </row>
    <row r="63" spans="1:20" ht="12" customHeight="1" x14ac:dyDescent="0.4">
      <c r="A63" s="115" t="s">
        <v>231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4"/>
      <c r="Q63" s="171"/>
      <c r="T63" s="118"/>
    </row>
    <row r="64" spans="1:20" ht="12" customHeight="1" x14ac:dyDescent="0.4">
      <c r="A64" s="185" t="s">
        <v>155</v>
      </c>
      <c r="B64" s="186"/>
      <c r="C64" s="187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Q64" s="169"/>
    </row>
    <row r="65" spans="1:16" ht="12" customHeight="1" x14ac:dyDescent="0.35">
      <c r="A65" s="139" t="s">
        <v>404</v>
      </c>
      <c r="B65" s="139" t="s">
        <v>467</v>
      </c>
      <c r="C65" s="139" t="s">
        <v>125</v>
      </c>
      <c r="D65" s="142">
        <f>$F$24</f>
        <v>0</v>
      </c>
      <c r="E65" s="150">
        <v>0.5</v>
      </c>
      <c r="F65" s="142">
        <f>D65*E65</f>
        <v>0</v>
      </c>
      <c r="G65" s="142">
        <f>H24</f>
        <v>32902.218239399997</v>
      </c>
      <c r="H65" s="142">
        <f>G65*E65</f>
        <v>16451.109119699999</v>
      </c>
      <c r="I65" s="142">
        <f>$J$24</f>
        <v>33065.840640000002</v>
      </c>
      <c r="J65" s="142">
        <f>I65*E65</f>
        <v>16532.920320000001</v>
      </c>
      <c r="K65" s="142">
        <f>$L$24</f>
        <v>0</v>
      </c>
      <c r="L65" s="142">
        <f>K65*E65</f>
        <v>0</v>
      </c>
      <c r="M65" s="142">
        <f>F65+H65+J65+L65</f>
        <v>32984.029439699996</v>
      </c>
      <c r="N65" s="142">
        <v>0</v>
      </c>
      <c r="O65" s="142">
        <f>SUM(M65:N65)</f>
        <v>32984.029439699996</v>
      </c>
      <c r="P65" s="184"/>
    </row>
    <row r="66" spans="1:16" ht="12" customHeight="1" x14ac:dyDescent="0.35">
      <c r="A66" s="303" t="s">
        <v>478</v>
      </c>
      <c r="B66" s="303" t="s">
        <v>124</v>
      </c>
      <c r="C66" s="303" t="s">
        <v>125</v>
      </c>
      <c r="D66" s="305">
        <f>$F$42</f>
        <v>0</v>
      </c>
      <c r="E66" s="308">
        <v>0.5</v>
      </c>
      <c r="F66" s="305">
        <f>D66*E66</f>
        <v>0</v>
      </c>
      <c r="G66" s="305">
        <f>H60</f>
        <v>2383.3467059850004</v>
      </c>
      <c r="H66" s="305">
        <f>G66*E66</f>
        <v>1191.6733529925002</v>
      </c>
      <c r="I66" s="305">
        <f>$J$42</f>
        <v>16912.350000000002</v>
      </c>
      <c r="J66" s="305">
        <f t="shared" ref="J66" si="17">I66*E66</f>
        <v>8456.1750000000011</v>
      </c>
      <c r="K66" s="305">
        <f>$L$42</f>
        <v>0</v>
      </c>
      <c r="L66" s="305">
        <f t="shared" ref="L66" si="18">K66*E66</f>
        <v>0</v>
      </c>
      <c r="M66" s="305">
        <f t="shared" ref="M66:M79" si="19">F66+H66+J66+L66</f>
        <v>9647.8483529925015</v>
      </c>
      <c r="N66" s="305">
        <v>0</v>
      </c>
      <c r="O66" s="305">
        <f t="shared" ref="O66" si="20">SUM(M66:N66)</f>
        <v>9647.8483529925015</v>
      </c>
    </row>
    <row r="67" spans="1:16" ht="10.199999999999999" x14ac:dyDescent="0.35">
      <c r="A67" s="244" t="s">
        <v>479</v>
      </c>
      <c r="B67" s="166"/>
      <c r="C67" s="166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</row>
    <row r="68" spans="1:16" ht="10.5" customHeight="1" x14ac:dyDescent="0.35">
      <c r="A68" s="139" t="s">
        <v>480</v>
      </c>
      <c r="B68" s="139" t="s">
        <v>167</v>
      </c>
      <c r="C68" s="139" t="s">
        <v>205</v>
      </c>
      <c r="D68" s="142">
        <v>0</v>
      </c>
      <c r="E68" s="142">
        <v>300</v>
      </c>
      <c r="F68" s="142">
        <f t="shared" ref="F68:F69" si="21">D68*E68</f>
        <v>0</v>
      </c>
      <c r="G68" s="142">
        <v>1</v>
      </c>
      <c r="H68" s="142">
        <f>(G68*E68)*$B$5</f>
        <v>315</v>
      </c>
      <c r="I68" s="142">
        <v>4</v>
      </c>
      <c r="J68" s="142">
        <f>(I68*E68)*$B$5*$B$5</f>
        <v>1323</v>
      </c>
      <c r="K68" s="142">
        <v>0</v>
      </c>
      <c r="L68" s="142">
        <f>(K68*F68)*$B$5*$B$5*$B$5</f>
        <v>0</v>
      </c>
      <c r="M68" s="142">
        <f t="shared" si="19"/>
        <v>1638</v>
      </c>
      <c r="N68" s="142">
        <v>0</v>
      </c>
      <c r="O68" s="142">
        <f t="shared" ref="O68:O69" si="22">SUM(M68:N68)</f>
        <v>1638</v>
      </c>
      <c r="P68" s="184"/>
    </row>
    <row r="69" spans="1:16" ht="12" customHeight="1" x14ac:dyDescent="0.35">
      <c r="A69" s="139" t="s">
        <v>481</v>
      </c>
      <c r="B69" s="139" t="s">
        <v>167</v>
      </c>
      <c r="C69" s="139" t="s">
        <v>205</v>
      </c>
      <c r="D69" s="142">
        <v>0</v>
      </c>
      <c r="E69" s="142">
        <v>300</v>
      </c>
      <c r="F69" s="142">
        <f t="shared" si="21"/>
        <v>0</v>
      </c>
      <c r="G69" s="142">
        <v>1</v>
      </c>
      <c r="H69" s="142">
        <f>(G69*E69)*$B$5</f>
        <v>315</v>
      </c>
      <c r="I69" s="142">
        <v>4</v>
      </c>
      <c r="J69" s="142">
        <f>(I69*E69)*$B$5*$B$5</f>
        <v>1323</v>
      </c>
      <c r="K69" s="142">
        <v>0</v>
      </c>
      <c r="L69" s="142">
        <f>(K69*F69)*$B$5*$B$5*$B$5</f>
        <v>0</v>
      </c>
      <c r="M69" s="142">
        <f t="shared" si="19"/>
        <v>1638</v>
      </c>
      <c r="N69" s="142">
        <v>0</v>
      </c>
      <c r="O69" s="142">
        <f t="shared" si="22"/>
        <v>1638</v>
      </c>
      <c r="P69" s="184"/>
    </row>
    <row r="70" spans="1:16" ht="12" customHeight="1" x14ac:dyDescent="0.35">
      <c r="A70" s="139" t="s">
        <v>475</v>
      </c>
      <c r="B70" s="139" t="s">
        <v>8</v>
      </c>
      <c r="C70" s="139" t="s">
        <v>91</v>
      </c>
      <c r="D70" s="142">
        <v>0</v>
      </c>
      <c r="E70" s="142">
        <v>108</v>
      </c>
      <c r="F70" s="142">
        <f>D70*E70</f>
        <v>0</v>
      </c>
      <c r="G70" s="142">
        <v>0</v>
      </c>
      <c r="H70" s="142">
        <f>G70*E70</f>
        <v>0</v>
      </c>
      <c r="I70" s="142">
        <v>6</v>
      </c>
      <c r="J70" s="142">
        <f t="shared" ref="J70:J72" si="23">I70*E70</f>
        <v>648</v>
      </c>
      <c r="K70" s="142">
        <v>0</v>
      </c>
      <c r="L70" s="142">
        <f t="shared" ref="L70:L72" si="24">K70*E70</f>
        <v>0</v>
      </c>
      <c r="M70" s="142">
        <f t="shared" si="19"/>
        <v>648</v>
      </c>
      <c r="N70" s="142">
        <v>0</v>
      </c>
      <c r="O70" s="142">
        <f t="shared" ref="O70:O72" si="25">SUM(M70:N70)</f>
        <v>648</v>
      </c>
      <c r="P70" s="184"/>
    </row>
    <row r="71" spans="1:16" ht="12" customHeight="1" x14ac:dyDescent="0.35">
      <c r="A71" s="139" t="s">
        <v>476</v>
      </c>
      <c r="B71" s="139" t="s">
        <v>8</v>
      </c>
      <c r="C71" s="139" t="s">
        <v>86</v>
      </c>
      <c r="D71" s="142">
        <v>0</v>
      </c>
      <c r="E71" s="142">
        <v>46</v>
      </c>
      <c r="F71" s="142">
        <f>D71*E71</f>
        <v>0</v>
      </c>
      <c r="G71" s="142">
        <v>0</v>
      </c>
      <c r="H71" s="142">
        <f>G71*E71</f>
        <v>0</v>
      </c>
      <c r="I71" s="142">
        <v>3</v>
      </c>
      <c r="J71" s="142">
        <f t="shared" si="23"/>
        <v>138</v>
      </c>
      <c r="K71" s="142">
        <v>0</v>
      </c>
      <c r="L71" s="142">
        <f t="shared" si="24"/>
        <v>0</v>
      </c>
      <c r="M71" s="142">
        <f t="shared" si="19"/>
        <v>138</v>
      </c>
      <c r="N71" s="142">
        <v>0</v>
      </c>
      <c r="O71" s="142">
        <f t="shared" si="25"/>
        <v>138</v>
      </c>
      <c r="P71" s="184"/>
    </row>
    <row r="72" spans="1:16" ht="12" customHeight="1" x14ac:dyDescent="0.35">
      <c r="A72" s="139" t="s">
        <v>482</v>
      </c>
      <c r="B72" s="139" t="s">
        <v>167</v>
      </c>
      <c r="C72" s="139" t="s">
        <v>205</v>
      </c>
      <c r="D72" s="142">
        <v>0</v>
      </c>
      <c r="E72" s="142">
        <v>200</v>
      </c>
      <c r="F72" s="142">
        <f>D72*E72</f>
        <v>0</v>
      </c>
      <c r="G72" s="142">
        <v>1</v>
      </c>
      <c r="H72" s="142">
        <f>G72*E72</f>
        <v>200</v>
      </c>
      <c r="I72" s="142">
        <v>6</v>
      </c>
      <c r="J72" s="142">
        <f t="shared" si="23"/>
        <v>1200</v>
      </c>
      <c r="K72" s="142">
        <v>0</v>
      </c>
      <c r="L72" s="142">
        <f t="shared" si="24"/>
        <v>0</v>
      </c>
      <c r="M72" s="142">
        <f t="shared" si="19"/>
        <v>1400</v>
      </c>
      <c r="N72" s="142">
        <v>0</v>
      </c>
      <c r="O72" s="142">
        <f t="shared" si="25"/>
        <v>1400</v>
      </c>
      <c r="P72" s="184"/>
    </row>
    <row r="73" spans="1:16" ht="12" customHeight="1" x14ac:dyDescent="0.35">
      <c r="A73" s="244" t="s">
        <v>483</v>
      </c>
      <c r="B73" s="166"/>
      <c r="C73" s="166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84"/>
    </row>
    <row r="74" spans="1:16" ht="18.75" customHeight="1" x14ac:dyDescent="0.35">
      <c r="A74" s="139" t="s">
        <v>484</v>
      </c>
      <c r="B74" s="139" t="s">
        <v>167</v>
      </c>
      <c r="C74" s="139" t="s">
        <v>205</v>
      </c>
      <c r="D74" s="142">
        <v>0</v>
      </c>
      <c r="E74" s="142">
        <v>300</v>
      </c>
      <c r="F74" s="142">
        <f>SUM(D74*E74)</f>
        <v>0</v>
      </c>
      <c r="G74" s="142">
        <v>0</v>
      </c>
      <c r="H74" s="142">
        <f>G74*E74</f>
        <v>0</v>
      </c>
      <c r="I74" s="142">
        <v>2</v>
      </c>
      <c r="J74" s="142">
        <f>I74*E74</f>
        <v>600</v>
      </c>
      <c r="K74" s="142">
        <v>0</v>
      </c>
      <c r="L74" s="142">
        <f>K74*E74</f>
        <v>0</v>
      </c>
      <c r="M74" s="142">
        <f t="shared" si="19"/>
        <v>600</v>
      </c>
      <c r="N74" s="142">
        <v>0</v>
      </c>
      <c r="O74" s="142">
        <f>SUM(M74:N74)</f>
        <v>600</v>
      </c>
      <c r="P74" s="184"/>
    </row>
    <row r="75" spans="1:16" ht="10.199999999999999" x14ac:dyDescent="0.35">
      <c r="A75" s="139" t="s">
        <v>485</v>
      </c>
      <c r="B75" s="139" t="s">
        <v>167</v>
      </c>
      <c r="C75" s="139" t="s">
        <v>205</v>
      </c>
      <c r="D75" s="142">
        <v>0</v>
      </c>
      <c r="E75" s="142">
        <v>150</v>
      </c>
      <c r="F75" s="142">
        <f t="shared" ref="F75:F79" si="26">SUM(D75*E75)</f>
        <v>0</v>
      </c>
      <c r="G75" s="142">
        <v>0</v>
      </c>
      <c r="H75" s="142">
        <f t="shared" ref="H75:H79" si="27">G75*E75</f>
        <v>0</v>
      </c>
      <c r="I75" s="142">
        <v>2</v>
      </c>
      <c r="J75" s="142">
        <f t="shared" ref="J75:J79" si="28">I75*E75</f>
        <v>300</v>
      </c>
      <c r="K75" s="142">
        <v>0</v>
      </c>
      <c r="L75" s="142">
        <f t="shared" ref="L75:L79" si="29">K75*E75</f>
        <v>0</v>
      </c>
      <c r="M75" s="142">
        <f t="shared" si="19"/>
        <v>300</v>
      </c>
      <c r="N75" s="142">
        <v>0</v>
      </c>
      <c r="O75" s="142">
        <f t="shared" ref="O75:O79" si="30">SUM(M75:N75)</f>
        <v>300</v>
      </c>
      <c r="P75" s="184"/>
    </row>
    <row r="76" spans="1:16" ht="12" customHeight="1" x14ac:dyDescent="0.35">
      <c r="A76" s="139" t="s">
        <v>486</v>
      </c>
      <c r="B76" s="139" t="s">
        <v>8</v>
      </c>
      <c r="C76" s="139" t="s">
        <v>91</v>
      </c>
      <c r="D76" s="142">
        <v>0</v>
      </c>
      <c r="E76" s="142">
        <v>108</v>
      </c>
      <c r="F76" s="142">
        <f t="shared" si="26"/>
        <v>0</v>
      </c>
      <c r="G76" s="142">
        <v>0</v>
      </c>
      <c r="H76" s="142">
        <f t="shared" si="27"/>
        <v>0</v>
      </c>
      <c r="I76" s="142">
        <v>16</v>
      </c>
      <c r="J76" s="142">
        <f t="shared" si="28"/>
        <v>1728</v>
      </c>
      <c r="K76" s="142">
        <v>0</v>
      </c>
      <c r="L76" s="142">
        <f t="shared" si="29"/>
        <v>0</v>
      </c>
      <c r="M76" s="142">
        <f t="shared" si="19"/>
        <v>1728</v>
      </c>
      <c r="N76" s="142">
        <v>0</v>
      </c>
      <c r="O76" s="142">
        <f t="shared" si="30"/>
        <v>1728</v>
      </c>
      <c r="P76" s="184"/>
    </row>
    <row r="77" spans="1:16" ht="12" customHeight="1" x14ac:dyDescent="0.35">
      <c r="A77" s="139" t="s">
        <v>487</v>
      </c>
      <c r="B77" s="139" t="s">
        <v>8</v>
      </c>
      <c r="C77" s="139" t="s">
        <v>86</v>
      </c>
      <c r="D77" s="142">
        <v>0</v>
      </c>
      <c r="E77" s="173">
        <v>46</v>
      </c>
      <c r="F77" s="142">
        <f t="shared" si="26"/>
        <v>0</v>
      </c>
      <c r="G77" s="142">
        <v>0</v>
      </c>
      <c r="H77" s="142">
        <f t="shared" si="27"/>
        <v>0</v>
      </c>
      <c r="I77" s="142">
        <v>8</v>
      </c>
      <c r="J77" s="142">
        <f t="shared" si="28"/>
        <v>368</v>
      </c>
      <c r="K77" s="142">
        <v>0</v>
      </c>
      <c r="L77" s="142">
        <f t="shared" si="29"/>
        <v>0</v>
      </c>
      <c r="M77" s="142">
        <f t="shared" si="19"/>
        <v>368</v>
      </c>
      <c r="N77" s="142">
        <v>0</v>
      </c>
      <c r="O77" s="142">
        <f t="shared" si="30"/>
        <v>368</v>
      </c>
    </row>
    <row r="78" spans="1:16" ht="12" customHeight="1" x14ac:dyDescent="0.35">
      <c r="A78" s="139" t="s">
        <v>475</v>
      </c>
      <c r="B78" s="139" t="s">
        <v>8</v>
      </c>
      <c r="C78" s="139" t="s">
        <v>91</v>
      </c>
      <c r="D78" s="142">
        <v>0</v>
      </c>
      <c r="E78" s="173">
        <v>108</v>
      </c>
      <c r="F78" s="142">
        <f t="shared" si="26"/>
        <v>0</v>
      </c>
      <c r="G78" s="142">
        <v>0</v>
      </c>
      <c r="H78" s="142">
        <f t="shared" si="27"/>
        <v>0</v>
      </c>
      <c r="I78" s="142">
        <v>8</v>
      </c>
      <c r="J78" s="142">
        <f t="shared" si="28"/>
        <v>864</v>
      </c>
      <c r="K78" s="142">
        <v>0</v>
      </c>
      <c r="L78" s="142">
        <f t="shared" si="29"/>
        <v>0</v>
      </c>
      <c r="M78" s="142">
        <f t="shared" si="19"/>
        <v>864</v>
      </c>
      <c r="N78" s="142">
        <v>0</v>
      </c>
      <c r="O78" s="142">
        <f t="shared" si="30"/>
        <v>864</v>
      </c>
    </row>
    <row r="79" spans="1:16" ht="12" customHeight="1" x14ac:dyDescent="0.35">
      <c r="A79" s="139" t="s">
        <v>476</v>
      </c>
      <c r="B79" s="139" t="s">
        <v>8</v>
      </c>
      <c r="C79" s="139" t="s">
        <v>86</v>
      </c>
      <c r="D79" s="142">
        <v>0</v>
      </c>
      <c r="E79" s="173">
        <v>46</v>
      </c>
      <c r="F79" s="142">
        <f t="shared" si="26"/>
        <v>0</v>
      </c>
      <c r="G79" s="142">
        <v>0</v>
      </c>
      <c r="H79" s="142">
        <f t="shared" si="27"/>
        <v>0</v>
      </c>
      <c r="I79" s="142">
        <v>4</v>
      </c>
      <c r="J79" s="142">
        <f t="shared" si="28"/>
        <v>184</v>
      </c>
      <c r="K79" s="142">
        <v>0</v>
      </c>
      <c r="L79" s="142">
        <f t="shared" si="29"/>
        <v>0</v>
      </c>
      <c r="M79" s="142">
        <f t="shared" si="19"/>
        <v>184</v>
      </c>
      <c r="N79" s="142">
        <v>0</v>
      </c>
      <c r="O79" s="142">
        <f t="shared" si="30"/>
        <v>184</v>
      </c>
    </row>
    <row r="80" spans="1:16" ht="12" customHeight="1" x14ac:dyDescent="0.35">
      <c r="A80" s="139"/>
      <c r="B80" s="139"/>
      <c r="C80" s="139"/>
      <c r="D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</row>
    <row r="81" spans="1:20" ht="10.8" thickBot="1" x14ac:dyDescent="0.45">
      <c r="A81" s="154" t="s">
        <v>440</v>
      </c>
      <c r="B81" s="154"/>
      <c r="C81" s="154"/>
      <c r="D81" s="190"/>
      <c r="E81" s="190"/>
      <c r="F81" s="158">
        <f>SUM(F65:F79)</f>
        <v>0</v>
      </c>
      <c r="G81" s="158"/>
      <c r="H81" s="158">
        <f>SUM(H65:H79)</f>
        <v>18472.782472692499</v>
      </c>
      <c r="I81" s="158"/>
      <c r="J81" s="158">
        <f>SUM(J65:J79)</f>
        <v>33665.09532</v>
      </c>
      <c r="K81" s="158"/>
      <c r="L81" s="158">
        <f>SUM(L65:L79)</f>
        <v>0</v>
      </c>
      <c r="M81" s="158">
        <f>F81+H81+J81+L81</f>
        <v>52137.877792692496</v>
      </c>
      <c r="N81" s="158">
        <f>SUM(N65:N79)</f>
        <v>0</v>
      </c>
      <c r="O81" s="158">
        <f>SUM(M81:N81)</f>
        <v>52137.877792692496</v>
      </c>
      <c r="Q81" s="191"/>
    </row>
    <row r="82" spans="1:20" ht="12" customHeight="1" x14ac:dyDescent="0.35">
      <c r="A82" s="139"/>
      <c r="B82" s="139"/>
      <c r="C82" s="170"/>
    </row>
    <row r="83" spans="1:20" ht="12" customHeight="1" x14ac:dyDescent="0.4">
      <c r="A83" s="192" t="s">
        <v>441</v>
      </c>
      <c r="B83" s="149" t="s">
        <v>361</v>
      </c>
      <c r="C83" s="193"/>
      <c r="D83" s="193"/>
      <c r="E83" s="152">
        <v>0.1</v>
      </c>
      <c r="F83" s="194">
        <f>(F81)*E83</f>
        <v>0</v>
      </c>
      <c r="G83" s="194"/>
      <c r="H83" s="194">
        <f>(H81)*E83</f>
        <v>1847.27824726925</v>
      </c>
      <c r="I83" s="194"/>
      <c r="J83" s="194">
        <f>(J81)*E83</f>
        <v>3366.509532</v>
      </c>
      <c r="L83" s="194">
        <f>(L81)*E83</f>
        <v>0</v>
      </c>
      <c r="M83" s="194">
        <f>SUM(F83+H83+J83+L83)</f>
        <v>5213.7877792692498</v>
      </c>
      <c r="N83" s="194">
        <v>0</v>
      </c>
      <c r="O83" s="194">
        <f>SUM(M83:N83)</f>
        <v>5213.7877792692498</v>
      </c>
      <c r="Q83" s="169"/>
    </row>
    <row r="84" spans="1:20" ht="12" customHeight="1" x14ac:dyDescent="0.35">
      <c r="A84" s="139"/>
      <c r="B84" s="139"/>
      <c r="C84" s="170"/>
    </row>
    <row r="85" spans="1:20" ht="12" customHeight="1" thickBot="1" x14ac:dyDescent="0.45">
      <c r="A85" s="154" t="s">
        <v>257</v>
      </c>
      <c r="B85" s="154"/>
      <c r="C85" s="154"/>
      <c r="D85" s="190"/>
      <c r="E85" s="190"/>
      <c r="F85" s="158">
        <f>SUM(F81:F83)</f>
        <v>0</v>
      </c>
      <c r="G85" s="158"/>
      <c r="H85" s="158">
        <f>SUM(H81:H83)</f>
        <v>20320.060719961748</v>
      </c>
      <c r="I85" s="158"/>
      <c r="J85" s="158">
        <f>SUM(J81:J83)</f>
        <v>37031.604852000004</v>
      </c>
      <c r="K85" s="158"/>
      <c r="L85" s="158">
        <f>SUM(L81:L83)</f>
        <v>0</v>
      </c>
      <c r="M85" s="158">
        <f>F85+H85+J85+L85</f>
        <v>57351.665571961756</v>
      </c>
      <c r="N85" s="158">
        <f>SUM(N81:N83)</f>
        <v>0</v>
      </c>
      <c r="O85" s="158">
        <f>SUM(M85:N85)</f>
        <v>57351.665571961756</v>
      </c>
      <c r="Q85" s="191"/>
    </row>
    <row r="86" spans="1:20" ht="12" customHeight="1" x14ac:dyDescent="0.4">
      <c r="A86" s="115" t="s">
        <v>258</v>
      </c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4"/>
      <c r="Q86" s="171"/>
      <c r="T86" s="118"/>
    </row>
    <row r="87" spans="1:20" ht="12" customHeight="1" x14ac:dyDescent="0.4">
      <c r="A87" s="185" t="s">
        <v>155</v>
      </c>
      <c r="B87" s="186"/>
      <c r="C87" s="187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Q87" s="169"/>
    </row>
    <row r="88" spans="1:20" ht="12" customHeight="1" x14ac:dyDescent="0.35">
      <c r="A88" s="139" t="s">
        <v>428</v>
      </c>
      <c r="B88" s="139" t="s">
        <v>467</v>
      </c>
      <c r="C88" s="139" t="s">
        <v>125</v>
      </c>
      <c r="D88" s="142">
        <f>$F$24</f>
        <v>0</v>
      </c>
      <c r="E88" s="150">
        <v>0.2</v>
      </c>
      <c r="F88" s="142">
        <f>D88*E88</f>
        <v>0</v>
      </c>
      <c r="G88" s="142">
        <f>H24</f>
        <v>32902.218239399997</v>
      </c>
      <c r="H88" s="142">
        <f>G88*E88</f>
        <v>6580.4436478799998</v>
      </c>
      <c r="I88" s="142">
        <f>$J$24</f>
        <v>33065.840640000002</v>
      </c>
      <c r="J88" s="142">
        <f>I88*E88</f>
        <v>6613.1681280000012</v>
      </c>
      <c r="K88" s="142">
        <f>$L$24</f>
        <v>0</v>
      </c>
      <c r="L88" s="142">
        <f>K88*E88</f>
        <v>0</v>
      </c>
      <c r="M88" s="142">
        <f>F88+H88+J88+L88</f>
        <v>13193.611775880001</v>
      </c>
      <c r="N88" s="142">
        <v>0</v>
      </c>
      <c r="O88" s="142">
        <f>SUM(M88:N88)</f>
        <v>13193.611775880001</v>
      </c>
      <c r="P88" s="184"/>
    </row>
    <row r="89" spans="1:20" ht="12" customHeight="1" x14ac:dyDescent="0.35">
      <c r="A89" s="303" t="s">
        <v>468</v>
      </c>
      <c r="B89" s="303" t="s">
        <v>124</v>
      </c>
      <c r="C89" s="303" t="s">
        <v>125</v>
      </c>
      <c r="D89" s="305">
        <f>$F$42</f>
        <v>0</v>
      </c>
      <c r="E89" s="308">
        <v>0.2</v>
      </c>
      <c r="F89" s="305">
        <f>D89*E89</f>
        <v>0</v>
      </c>
      <c r="G89" s="305">
        <f>H83</f>
        <v>1847.27824726925</v>
      </c>
      <c r="H89" s="305">
        <f>G89*E89</f>
        <v>369.45564945385001</v>
      </c>
      <c r="I89" s="305">
        <f>$J$42</f>
        <v>16912.350000000002</v>
      </c>
      <c r="J89" s="305">
        <f t="shared" ref="J89" si="31">I89*E89</f>
        <v>3382.4700000000007</v>
      </c>
      <c r="K89" s="305">
        <f>$L$42</f>
        <v>0</v>
      </c>
      <c r="L89" s="305">
        <f t="shared" ref="L89" si="32">K89*E89</f>
        <v>0</v>
      </c>
      <c r="M89" s="305">
        <f>F89+H89+J89+L89</f>
        <v>3751.9256494538508</v>
      </c>
      <c r="N89" s="305">
        <v>0</v>
      </c>
      <c r="O89" s="305">
        <f t="shared" ref="O89" si="33">SUM(M89:N89)</f>
        <v>3751.9256494538508</v>
      </c>
    </row>
    <row r="90" spans="1:20" ht="10.199999999999999" x14ac:dyDescent="0.35">
      <c r="A90" s="244" t="s">
        <v>488</v>
      </c>
      <c r="B90" s="166"/>
      <c r="C90" s="166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</row>
    <row r="91" spans="1:20" ht="10.199999999999999" x14ac:dyDescent="0.35">
      <c r="A91" s="139" t="s">
        <v>489</v>
      </c>
      <c r="B91" s="139" t="s">
        <v>167</v>
      </c>
      <c r="C91" s="139" t="s">
        <v>186</v>
      </c>
      <c r="D91" s="142">
        <v>0</v>
      </c>
      <c r="E91" s="142">
        <v>500</v>
      </c>
      <c r="F91" s="142">
        <f t="shared" ref="F91:F92" si="34">D91*E91</f>
        <v>0</v>
      </c>
      <c r="G91" s="142">
        <v>1</v>
      </c>
      <c r="H91" s="142">
        <f>(G91*E91)*$B$5</f>
        <v>525</v>
      </c>
      <c r="I91" s="142">
        <v>4</v>
      </c>
      <c r="J91" s="142">
        <f>(I91*E91)*$B$5*$B$5</f>
        <v>2205</v>
      </c>
      <c r="K91" s="142">
        <v>0</v>
      </c>
      <c r="L91" s="142">
        <f>(K91*E91)*$B$5*$B$5*$B$5</f>
        <v>0</v>
      </c>
      <c r="M91" s="142">
        <f>F91+H91+J91+L91</f>
        <v>2730</v>
      </c>
      <c r="N91" s="142">
        <v>0</v>
      </c>
      <c r="O91" s="142">
        <f t="shared" ref="O91:O92" si="35">SUM(M91:N91)</f>
        <v>2730</v>
      </c>
      <c r="P91" s="184"/>
    </row>
    <row r="92" spans="1:20" ht="12" customHeight="1" x14ac:dyDescent="0.35">
      <c r="A92" s="139" t="s">
        <v>490</v>
      </c>
      <c r="B92" s="139" t="s">
        <v>160</v>
      </c>
      <c r="C92" s="139" t="s">
        <v>91</v>
      </c>
      <c r="D92" s="142">
        <v>0</v>
      </c>
      <c r="E92" s="142">
        <v>100</v>
      </c>
      <c r="F92" s="142">
        <f t="shared" si="34"/>
        <v>0</v>
      </c>
      <c r="G92" s="142">
        <v>5</v>
      </c>
      <c r="H92" s="142">
        <f>(G92*E92)*$B$5</f>
        <v>525</v>
      </c>
      <c r="I92" s="142">
        <v>15</v>
      </c>
      <c r="J92" s="142">
        <f>(I92*E92)*$B$5*$B$5</f>
        <v>1653.75</v>
      </c>
      <c r="K92" s="142">
        <v>0</v>
      </c>
      <c r="L92" s="142">
        <f>(K92*E92)*$B$5*$B$5*$B$5</f>
        <v>0</v>
      </c>
      <c r="M92" s="142">
        <f>F92+H92+J92+L92</f>
        <v>2178.75</v>
      </c>
      <c r="N92" s="142">
        <v>0</v>
      </c>
      <c r="O92" s="142">
        <f t="shared" si="35"/>
        <v>2178.75</v>
      </c>
      <c r="P92" s="184"/>
    </row>
    <row r="93" spans="1:20" ht="12" customHeight="1" x14ac:dyDescent="0.35">
      <c r="A93" s="139"/>
      <c r="B93" s="139"/>
      <c r="C93" s="139"/>
      <c r="D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</row>
    <row r="94" spans="1:20" ht="10.8" thickBot="1" x14ac:dyDescent="0.45">
      <c r="A94" s="154" t="s">
        <v>491</v>
      </c>
      <c r="B94" s="154"/>
      <c r="C94" s="154"/>
      <c r="D94" s="190"/>
      <c r="E94" s="190"/>
      <c r="F94" s="158">
        <f>SUM(F88:F92)</f>
        <v>0</v>
      </c>
      <c r="G94" s="158"/>
      <c r="H94" s="158">
        <f>SUM(H88:H92)</f>
        <v>7999.89929733385</v>
      </c>
      <c r="I94" s="158"/>
      <c r="J94" s="158">
        <f>SUM(J88:J92)</f>
        <v>13854.388128000002</v>
      </c>
      <c r="K94" s="158"/>
      <c r="L94" s="158">
        <f>SUM(L88:L92)</f>
        <v>0</v>
      </c>
      <c r="M94" s="158">
        <f>F94+H94+J94+L94</f>
        <v>21854.287425333852</v>
      </c>
      <c r="N94" s="158">
        <f>SUM(N88:N92)</f>
        <v>0</v>
      </c>
      <c r="O94" s="158">
        <f>SUM(M94:N94)</f>
        <v>21854.287425333852</v>
      </c>
      <c r="Q94" s="191"/>
    </row>
    <row r="95" spans="1:20" ht="12" customHeight="1" x14ac:dyDescent="0.35">
      <c r="A95" s="139"/>
      <c r="B95" s="139"/>
      <c r="C95" s="170"/>
    </row>
    <row r="96" spans="1:20" ht="12" customHeight="1" x14ac:dyDescent="0.4">
      <c r="A96" s="192" t="s">
        <v>492</v>
      </c>
      <c r="B96" s="149" t="s">
        <v>361</v>
      </c>
      <c r="C96" s="193"/>
      <c r="D96" s="193"/>
      <c r="E96" s="152">
        <v>0.1</v>
      </c>
      <c r="F96" s="194">
        <f>(F94)*E96</f>
        <v>0</v>
      </c>
      <c r="G96" s="194"/>
      <c r="H96" s="194">
        <f>(H94)*E96</f>
        <v>799.989929733385</v>
      </c>
      <c r="I96" s="194"/>
      <c r="J96" s="194">
        <f>(J94)*E96</f>
        <v>1385.4388128000003</v>
      </c>
      <c r="L96" s="194">
        <f>(L94)*E96</f>
        <v>0</v>
      </c>
      <c r="M96" s="194">
        <f>SUM(F96+H96+J96+L96)</f>
        <v>2185.428742533385</v>
      </c>
      <c r="N96" s="194">
        <v>0</v>
      </c>
      <c r="O96" s="194">
        <f>SUM(M96:N96)</f>
        <v>2185.428742533385</v>
      </c>
      <c r="Q96" s="169"/>
    </row>
    <row r="97" spans="1:20" ht="12" customHeight="1" x14ac:dyDescent="0.35">
      <c r="A97" s="139"/>
      <c r="B97" s="139"/>
      <c r="C97" s="170"/>
    </row>
    <row r="98" spans="1:20" ht="12" customHeight="1" thickBot="1" x14ac:dyDescent="0.45">
      <c r="A98" s="154" t="s">
        <v>315</v>
      </c>
      <c r="B98" s="154"/>
      <c r="C98" s="154"/>
      <c r="D98" s="190"/>
      <c r="E98" s="190"/>
      <c r="F98" s="158">
        <f>SUM(F94:F96)</f>
        <v>0</v>
      </c>
      <c r="G98" s="158"/>
      <c r="H98" s="158">
        <f>SUM(H94:H96)</f>
        <v>8799.889227067235</v>
      </c>
      <c r="I98" s="158"/>
      <c r="J98" s="158">
        <f>SUM(J94:J96)</f>
        <v>15239.826940800003</v>
      </c>
      <c r="K98" s="158"/>
      <c r="L98" s="158">
        <f>SUM(L94:L96)</f>
        <v>0</v>
      </c>
      <c r="M98" s="158">
        <f>F98+H98+J98+L98</f>
        <v>24039.716167867238</v>
      </c>
      <c r="N98" s="158">
        <f>SUM(N91:N92)</f>
        <v>0</v>
      </c>
      <c r="O98" s="158">
        <f>SUM(M98:N98)</f>
        <v>24039.716167867238</v>
      </c>
      <c r="Q98" s="191"/>
    </row>
    <row r="99" spans="1:20" ht="12" customHeight="1" x14ac:dyDescent="0.4">
      <c r="A99" s="181" t="s">
        <v>316</v>
      </c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4"/>
      <c r="Q99" s="171"/>
      <c r="T99" s="118"/>
    </row>
    <row r="100" spans="1:20" ht="12" customHeight="1" x14ac:dyDescent="0.4">
      <c r="A100" s="185" t="s">
        <v>155</v>
      </c>
      <c r="B100" s="186"/>
      <c r="C100" s="187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Q100" s="169"/>
    </row>
    <row r="101" spans="1:20" ht="12" customHeight="1" x14ac:dyDescent="0.35">
      <c r="A101" s="139" t="s">
        <v>442</v>
      </c>
      <c r="B101" s="139" t="s">
        <v>348</v>
      </c>
      <c r="C101" s="153" t="s">
        <v>125</v>
      </c>
      <c r="D101" s="142">
        <f>$F$24</f>
        <v>0</v>
      </c>
      <c r="E101" s="150">
        <v>0.05</v>
      </c>
      <c r="F101" s="142">
        <f t="shared" ref="F101:F106" si="36">D101*E101</f>
        <v>0</v>
      </c>
      <c r="G101" s="142">
        <f>H24</f>
        <v>32902.218239399997</v>
      </c>
      <c r="H101" s="142">
        <f t="shared" ref="H101:H102" si="37">G101*E101</f>
        <v>1645.11091197</v>
      </c>
      <c r="I101" s="142">
        <f>$J$24</f>
        <v>33065.840640000002</v>
      </c>
      <c r="J101" s="142">
        <f t="shared" ref="J101:J102" si="38">I101*E101</f>
        <v>1653.2920320000003</v>
      </c>
      <c r="K101" s="142">
        <f>$L$24</f>
        <v>0</v>
      </c>
      <c r="L101" s="142">
        <f t="shared" ref="L101:L106" si="39">K101*E101</f>
        <v>0</v>
      </c>
      <c r="M101" s="142">
        <f>F101+H101+J101+L101</f>
        <v>3298.4029439700003</v>
      </c>
      <c r="N101" s="142">
        <v>0</v>
      </c>
      <c r="O101" s="142">
        <f t="shared" ref="O101:O106" si="40">SUM(M101:N101)</f>
        <v>3298.4029439700003</v>
      </c>
    </row>
    <row r="102" spans="1:20" ht="12" customHeight="1" x14ac:dyDescent="0.35">
      <c r="A102" s="303" t="s">
        <v>493</v>
      </c>
      <c r="B102" s="303" t="s">
        <v>348</v>
      </c>
      <c r="C102" s="307" t="s">
        <v>125</v>
      </c>
      <c r="D102" s="305">
        <f>$F$42</f>
        <v>0</v>
      </c>
      <c r="E102" s="308">
        <v>0.05</v>
      </c>
      <c r="F102" s="305">
        <f t="shared" si="36"/>
        <v>0</v>
      </c>
      <c r="G102" s="305">
        <f>H42</f>
        <v>19249.650000000001</v>
      </c>
      <c r="H102" s="305">
        <f t="shared" si="37"/>
        <v>962.48250000000007</v>
      </c>
      <c r="I102" s="305">
        <f>$J$42</f>
        <v>16912.350000000002</v>
      </c>
      <c r="J102" s="305">
        <f t="shared" si="38"/>
        <v>845.61750000000018</v>
      </c>
      <c r="K102" s="305">
        <f>$L$42</f>
        <v>0</v>
      </c>
      <c r="L102" s="305">
        <f t="shared" si="39"/>
        <v>0</v>
      </c>
      <c r="M102" s="305">
        <f t="shared" ref="M102:M106" si="41">F102+H102+J102+L102</f>
        <v>1808.1000000000004</v>
      </c>
      <c r="N102" s="305">
        <v>0</v>
      </c>
      <c r="O102" s="305">
        <f t="shared" si="40"/>
        <v>1808.1000000000004</v>
      </c>
    </row>
    <row r="103" spans="1:20" ht="12" customHeight="1" x14ac:dyDescent="0.35">
      <c r="A103" s="244" t="s">
        <v>494</v>
      </c>
      <c r="B103" s="166"/>
      <c r="C103" s="262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>
        <f t="shared" si="41"/>
        <v>0</v>
      </c>
      <c r="N103" s="168"/>
      <c r="O103" s="168"/>
    </row>
    <row r="104" spans="1:20" ht="12" customHeight="1" x14ac:dyDescent="0.35">
      <c r="A104" s="139" t="s">
        <v>495</v>
      </c>
      <c r="B104" s="139" t="s">
        <v>348</v>
      </c>
      <c r="C104" s="153" t="s">
        <v>91</v>
      </c>
      <c r="D104" s="142"/>
      <c r="E104" s="142">
        <v>108</v>
      </c>
      <c r="F104" s="142">
        <f t="shared" si="36"/>
        <v>0</v>
      </c>
      <c r="G104" s="142">
        <v>12</v>
      </c>
      <c r="H104" s="142">
        <f>(G104*E104)*$B$5</f>
        <v>1360.8</v>
      </c>
      <c r="I104" s="142">
        <v>15</v>
      </c>
      <c r="J104" s="142">
        <f>(I104*E104)*$B$5*$B$5</f>
        <v>1786.0500000000002</v>
      </c>
      <c r="K104" s="142">
        <v>0</v>
      </c>
      <c r="L104" s="142">
        <f t="shared" si="39"/>
        <v>0</v>
      </c>
      <c r="M104" s="142">
        <f t="shared" si="41"/>
        <v>3146.8500000000004</v>
      </c>
      <c r="N104" s="142">
        <v>0</v>
      </c>
      <c r="O104" s="142">
        <f t="shared" si="40"/>
        <v>3146.8500000000004</v>
      </c>
    </row>
    <row r="105" spans="1:20" ht="12" customHeight="1" x14ac:dyDescent="0.35">
      <c r="A105" s="139" t="s">
        <v>347</v>
      </c>
      <c r="B105" s="139" t="s">
        <v>348</v>
      </c>
      <c r="C105" s="153" t="s">
        <v>86</v>
      </c>
      <c r="D105" s="142"/>
      <c r="E105" s="142">
        <v>46</v>
      </c>
      <c r="F105" s="142">
        <f t="shared" si="36"/>
        <v>0</v>
      </c>
      <c r="G105" s="142">
        <v>8</v>
      </c>
      <c r="H105" s="142">
        <f>(G105*E105)*$B$5</f>
        <v>386.40000000000003</v>
      </c>
      <c r="I105" s="142">
        <v>10</v>
      </c>
      <c r="J105" s="142">
        <f>(I105*E105)*$B$5*$B$5</f>
        <v>507.15000000000003</v>
      </c>
      <c r="K105" s="142">
        <v>0</v>
      </c>
      <c r="L105" s="142">
        <f t="shared" si="39"/>
        <v>0</v>
      </c>
      <c r="M105" s="142">
        <f t="shared" si="41"/>
        <v>893.55000000000007</v>
      </c>
      <c r="N105" s="142">
        <v>0</v>
      </c>
      <c r="O105" s="142">
        <f t="shared" si="40"/>
        <v>893.55000000000007</v>
      </c>
    </row>
    <row r="106" spans="1:20" ht="12" customHeight="1" x14ac:dyDescent="0.35">
      <c r="A106" s="139" t="s">
        <v>350</v>
      </c>
      <c r="B106" s="139" t="s">
        <v>348</v>
      </c>
      <c r="C106" s="153" t="s">
        <v>55</v>
      </c>
      <c r="D106" s="142"/>
      <c r="E106" s="142">
        <v>150</v>
      </c>
      <c r="F106" s="142">
        <f t="shared" si="36"/>
        <v>0</v>
      </c>
      <c r="G106" s="142">
        <v>6</v>
      </c>
      <c r="H106" s="142">
        <f>(G106*E106)*$B$5</f>
        <v>945</v>
      </c>
      <c r="I106" s="142">
        <v>6</v>
      </c>
      <c r="J106" s="142">
        <f>(I106*E106)*$B$5*$B$5</f>
        <v>992.25</v>
      </c>
      <c r="K106" s="142">
        <v>0</v>
      </c>
      <c r="L106" s="142">
        <f t="shared" si="39"/>
        <v>0</v>
      </c>
      <c r="M106" s="142">
        <f t="shared" si="41"/>
        <v>1937.25</v>
      </c>
      <c r="N106" s="142">
        <v>0</v>
      </c>
      <c r="O106" s="142">
        <f t="shared" si="40"/>
        <v>1937.25</v>
      </c>
    </row>
    <row r="107" spans="1:20" ht="12" customHeight="1" x14ac:dyDescent="0.35">
      <c r="A107" s="139"/>
      <c r="B107" s="139"/>
      <c r="C107" s="170"/>
    </row>
    <row r="108" spans="1:20" ht="10.8" thickBot="1" x14ac:dyDescent="0.45">
      <c r="A108" s="292" t="s">
        <v>448</v>
      </c>
      <c r="B108" s="154"/>
      <c r="C108" s="154"/>
      <c r="D108" s="190"/>
      <c r="E108" s="190"/>
      <c r="F108" s="158">
        <f>SUM(F101:F106)</f>
        <v>0</v>
      </c>
      <c r="G108" s="158"/>
      <c r="H108" s="158">
        <f>SUM(H101:H106)</f>
        <v>5299.7934119699994</v>
      </c>
      <c r="I108" s="158"/>
      <c r="J108" s="158">
        <f>SUM(J101:J106)</f>
        <v>5784.3595320000004</v>
      </c>
      <c r="K108" s="158"/>
      <c r="L108" s="158">
        <f>SUM(L101:L106)</f>
        <v>0</v>
      </c>
      <c r="M108" s="158">
        <f>F108+H108+J108+L108</f>
        <v>11084.152943969999</v>
      </c>
      <c r="N108" s="158">
        <f>SUM(N101:N106)</f>
        <v>0</v>
      </c>
      <c r="O108" s="158">
        <f>SUM(M108:N108)</f>
        <v>11084.152943969999</v>
      </c>
      <c r="Q108" s="191"/>
    </row>
    <row r="109" spans="1:20" ht="12" customHeight="1" x14ac:dyDescent="0.35">
      <c r="A109" s="139"/>
      <c r="B109" s="139"/>
      <c r="C109" s="170"/>
    </row>
    <row r="110" spans="1:20" ht="12" customHeight="1" x14ac:dyDescent="0.4">
      <c r="A110" s="192" t="s">
        <v>449</v>
      </c>
      <c r="B110" s="149" t="s">
        <v>361</v>
      </c>
      <c r="C110" s="193"/>
      <c r="D110" s="193"/>
      <c r="E110" s="152">
        <v>0.1</v>
      </c>
      <c r="F110" s="194">
        <f>(F108)*E110</f>
        <v>0</v>
      </c>
      <c r="G110" s="194"/>
      <c r="H110" s="194">
        <f>(H108)*E110</f>
        <v>529.97934119699994</v>
      </c>
      <c r="I110" s="194"/>
      <c r="J110" s="194">
        <f>(J108)*E110</f>
        <v>578.43595320000009</v>
      </c>
      <c r="L110" s="194">
        <f>(L108)*E110</f>
        <v>0</v>
      </c>
      <c r="M110" s="194">
        <f>SUM(F110+H110+J110+L110)</f>
        <v>1108.415294397</v>
      </c>
      <c r="N110" s="194">
        <v>0</v>
      </c>
      <c r="O110" s="194">
        <f>SUM(M110:N110)</f>
        <v>1108.415294397</v>
      </c>
      <c r="Q110" s="169"/>
    </row>
    <row r="111" spans="1:20" ht="12" customHeight="1" x14ac:dyDescent="0.35">
      <c r="A111" s="139"/>
      <c r="B111" s="139"/>
      <c r="C111" s="170"/>
    </row>
    <row r="112" spans="1:20" ht="12" customHeight="1" thickBot="1" x14ac:dyDescent="0.45">
      <c r="A112" s="154" t="s">
        <v>358</v>
      </c>
      <c r="B112" s="154"/>
      <c r="C112" s="154"/>
      <c r="D112" s="190"/>
      <c r="E112" s="190"/>
      <c r="F112" s="158">
        <f>SUM(F108:F110)</f>
        <v>0</v>
      </c>
      <c r="G112" s="158"/>
      <c r="H112" s="158">
        <f>SUM(H108:H110)</f>
        <v>5829.7727531669989</v>
      </c>
      <c r="I112" s="158"/>
      <c r="J112" s="158">
        <f>SUM(J108:J110)</f>
        <v>6362.7954852000003</v>
      </c>
      <c r="K112" s="158"/>
      <c r="L112" s="158">
        <f>SUM(L108:L110)</f>
        <v>0</v>
      </c>
      <c r="M112" s="158">
        <f>F112+H112+J112+L112</f>
        <v>12192.568238366999</v>
      </c>
      <c r="N112" s="158">
        <f>SUM(N108:N110)</f>
        <v>0</v>
      </c>
      <c r="O112" s="158">
        <f>SUM(M112:N112)</f>
        <v>12192.568238366999</v>
      </c>
      <c r="Q112" s="191"/>
    </row>
    <row r="113" spans="1:18" ht="12" customHeight="1" x14ac:dyDescent="0.4">
      <c r="A113" s="184"/>
      <c r="B113" s="184"/>
      <c r="C113" s="196"/>
      <c r="D113" s="118"/>
      <c r="E113" s="13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73"/>
      <c r="Q113" s="169"/>
      <c r="R113" s="198"/>
    </row>
    <row r="114" spans="1:18" ht="12" customHeight="1" thickBot="1" x14ac:dyDescent="0.45">
      <c r="A114" s="199" t="s">
        <v>18</v>
      </c>
      <c r="B114" s="199"/>
      <c r="C114" s="199"/>
      <c r="D114" s="199"/>
      <c r="E114" s="200"/>
      <c r="F114" s="110">
        <f>F112+F98+F85+F62</f>
        <v>0</v>
      </c>
      <c r="G114" s="110"/>
      <c r="H114" s="110">
        <f>H112+H98+H85+H62</f>
        <v>61166.536466030986</v>
      </c>
      <c r="I114" s="110"/>
      <c r="J114" s="110">
        <f>J112+J98+J85+J62</f>
        <v>77342.804704000009</v>
      </c>
      <c r="K114" s="110"/>
      <c r="L114" s="110">
        <f>L112+L62+L98+L85</f>
        <v>0</v>
      </c>
      <c r="M114" s="110">
        <f>L114+J114+H114+F114</f>
        <v>138509.341170031</v>
      </c>
      <c r="N114" s="110">
        <f>N112+N62</f>
        <v>0</v>
      </c>
      <c r="O114" s="110">
        <f>SUM(M114:N114)</f>
        <v>138509.341170031</v>
      </c>
      <c r="Q114" s="169"/>
    </row>
    <row r="115" spans="1:18" ht="12" customHeight="1" thickTop="1" x14ac:dyDescent="0.35">
      <c r="F115" s="211"/>
      <c r="H115" s="211"/>
    </row>
    <row r="116" spans="1:18" ht="12" customHeight="1" x14ac:dyDescent="0.4">
      <c r="O116" s="171"/>
    </row>
    <row r="117" spans="1:18" ht="12" customHeight="1" x14ac:dyDescent="0.4">
      <c r="A117" s="193"/>
      <c r="M117" s="201"/>
    </row>
    <row r="118" spans="1:18" ht="12" customHeight="1" x14ac:dyDescent="0.4">
      <c r="B118" s="212"/>
      <c r="E118" s="119"/>
      <c r="N118" s="64"/>
    </row>
    <row r="119" spans="1:18" ht="12" customHeight="1" x14ac:dyDescent="0.35">
      <c r="B119" s="203"/>
      <c r="C119" s="203"/>
    </row>
    <row r="120" spans="1:18" ht="12" customHeight="1" x14ac:dyDescent="0.35">
      <c r="B120" s="203"/>
      <c r="C120" s="46"/>
    </row>
    <row r="121" spans="1:18" ht="12" customHeight="1" x14ac:dyDescent="0.35">
      <c r="B121" s="203"/>
      <c r="C121" s="46"/>
    </row>
    <row r="122" spans="1:18" ht="12" customHeight="1" x14ac:dyDescent="0.35">
      <c r="B122" s="213"/>
    </row>
    <row r="123" spans="1:18" ht="12" customHeight="1" x14ac:dyDescent="0.35">
      <c r="B123" s="203"/>
      <c r="C123" s="203"/>
    </row>
    <row r="124" spans="1:18" ht="12" customHeight="1" x14ac:dyDescent="0.35">
      <c r="B124" s="203"/>
      <c r="C124" s="203"/>
    </row>
    <row r="125" spans="1:18" ht="12" customHeight="1" x14ac:dyDescent="0.4">
      <c r="A125" s="193"/>
      <c r="B125" s="214"/>
      <c r="C125" s="46"/>
    </row>
    <row r="127" spans="1:18" ht="24.75" customHeight="1" x14ac:dyDescent="0.35">
      <c r="B127" s="203"/>
      <c r="C127" s="203"/>
    </row>
    <row r="128" spans="1:18" ht="12" customHeight="1" x14ac:dyDescent="0.35">
      <c r="B128" s="203"/>
      <c r="C128" s="46"/>
    </row>
    <row r="129" spans="1:22" ht="12" customHeight="1" x14ac:dyDescent="0.4">
      <c r="A129" s="193"/>
      <c r="B129" s="214"/>
    </row>
    <row r="130" spans="1:22" ht="12" customHeight="1" x14ac:dyDescent="0.4">
      <c r="A130" s="193"/>
      <c r="B130" s="214"/>
    </row>
    <row r="131" spans="1:22" ht="12" customHeight="1" x14ac:dyDescent="0.4">
      <c r="A131" s="193"/>
      <c r="B131" s="202"/>
      <c r="C131" s="203"/>
    </row>
    <row r="132" spans="1:22" ht="12" customHeight="1" x14ac:dyDescent="0.35">
      <c r="B132" s="203"/>
      <c r="C132" s="203"/>
    </row>
    <row r="133" spans="1:22" ht="12" customHeight="1" x14ac:dyDescent="0.35">
      <c r="V133" s="149"/>
    </row>
    <row r="134" spans="1:22" ht="12" customHeight="1" x14ac:dyDescent="0.4">
      <c r="A134" s="193"/>
      <c r="B134" s="214"/>
      <c r="C134" s="203"/>
    </row>
    <row r="135" spans="1:22" ht="12" customHeight="1" x14ac:dyDescent="0.4">
      <c r="A135" s="202"/>
      <c r="B135" s="314"/>
      <c r="C135" s="46"/>
    </row>
    <row r="138" spans="1:22" ht="12" customHeight="1" x14ac:dyDescent="0.4">
      <c r="A138" s="193"/>
    </row>
    <row r="139" spans="1:22" ht="12" customHeight="1" x14ac:dyDescent="0.35">
      <c r="A139" s="119"/>
      <c r="B139" s="203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</row>
    <row r="140" spans="1:22" ht="12" customHeight="1" x14ac:dyDescent="0.35">
      <c r="B140" s="203"/>
    </row>
    <row r="141" spans="1:22" ht="12" customHeight="1" x14ac:dyDescent="0.35">
      <c r="A141" s="119"/>
      <c r="B141" s="203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</row>
    <row r="142" spans="1:22" ht="12" customHeight="1" x14ac:dyDescent="0.35">
      <c r="B142" s="203"/>
    </row>
    <row r="143" spans="1:22" ht="12" customHeight="1" x14ac:dyDescent="0.35">
      <c r="B143" s="203"/>
    </row>
  </sheetData>
  <mergeCells count="5">
    <mergeCell ref="A1:O1"/>
    <mergeCell ref="A2:O2"/>
    <mergeCell ref="A8:O8"/>
    <mergeCell ref="A43:O43"/>
    <mergeCell ref="A3:B3"/>
  </mergeCells>
  <pageMargins left="0.7" right="0.7" top="0.75" bottom="0.75" header="0.3" footer="0.3"/>
  <pageSetup scale="1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66D9-7294-8044-B1DD-29A53BD3C7A0}">
  <sheetPr>
    <pageSetUpPr fitToPage="1"/>
  </sheetPr>
  <dimension ref="A1:W154"/>
  <sheetViews>
    <sheetView topLeftCell="B1" zoomScale="70" zoomScaleNormal="70" zoomScaleSheetLayoutView="90" workbookViewId="0">
      <pane ySplit="11" topLeftCell="A99" activePane="bottomLeft" state="frozen"/>
      <selection pane="bottomLeft" activeCell="F123" sqref="F123"/>
    </sheetView>
  </sheetViews>
  <sheetFormatPr defaultColWidth="11.44140625" defaultRowHeight="12" customHeight="1" x14ac:dyDescent="0.35"/>
  <cols>
    <col min="1" max="1" width="57.5546875" style="149" customWidth="1"/>
    <col min="2" max="2" width="7.44140625" style="149" bestFit="1" customWidth="1"/>
    <col min="3" max="3" width="13" style="149" bestFit="1" customWidth="1"/>
    <col min="4" max="4" width="7.71875" style="149" bestFit="1" customWidth="1"/>
    <col min="5" max="5" width="8.27734375" style="149" bestFit="1" customWidth="1"/>
    <col min="6" max="6" width="7.27734375" style="173" customWidth="1"/>
    <col min="7" max="7" width="12.27734375" style="123" customWidth="1"/>
    <col min="8" max="8" width="8.27734375" style="123" bestFit="1" customWidth="1"/>
    <col min="9" max="9" width="8.71875" style="123" bestFit="1" customWidth="1"/>
    <col min="10" max="10" width="8.44140625" style="123" customWidth="1"/>
    <col min="11" max="11" width="10.71875" style="123" customWidth="1"/>
    <col min="12" max="12" width="8.27734375" style="123" bestFit="1" customWidth="1"/>
    <col min="13" max="13" width="10.44140625" style="123" customWidth="1"/>
    <col min="14" max="14" width="12.44140625" style="123" customWidth="1"/>
    <col min="15" max="15" width="10.27734375" style="123" bestFit="1" customWidth="1"/>
    <col min="16" max="16" width="11.44140625" style="123" bestFit="1" customWidth="1"/>
    <col min="17" max="17" width="9.71875" style="119" customWidth="1"/>
    <col min="18" max="18" width="4.27734375" style="119" customWidth="1"/>
    <col min="19" max="19" width="9.27734375" style="119" customWidth="1"/>
    <col min="20" max="20" width="13" style="119" customWidth="1"/>
    <col min="21" max="21" width="12" style="119" customWidth="1"/>
    <col min="22" max="22" width="18.44140625" style="119" customWidth="1"/>
    <col min="23" max="254" width="11.44140625" style="119"/>
    <col min="255" max="255" width="59.5546875" style="119" customWidth="1"/>
    <col min="256" max="256" width="7.44140625" style="119" bestFit="1" customWidth="1"/>
    <col min="257" max="257" width="13.5546875" style="119" customWidth="1"/>
    <col min="258" max="258" width="7.71875" style="119" customWidth="1"/>
    <col min="259" max="259" width="8.27734375" style="119" bestFit="1" customWidth="1"/>
    <col min="260" max="260" width="8.44140625" style="119" bestFit="1" customWidth="1"/>
    <col min="261" max="261" width="14.44140625" style="119" customWidth="1"/>
    <col min="262" max="262" width="8.71875" style="119" customWidth="1"/>
    <col min="263" max="263" width="12.27734375" style="119" customWidth="1"/>
    <col min="264" max="264" width="8.44140625" style="119" customWidth="1"/>
    <col min="265" max="266" width="11.5546875" style="119" customWidth="1"/>
    <col min="267" max="267" width="11.71875" style="119" customWidth="1"/>
    <col min="268" max="268" width="11.5546875" style="119" customWidth="1"/>
    <col min="269" max="269" width="10.44140625" style="119" customWidth="1"/>
    <col min="270" max="270" width="11.71875" style="119" customWidth="1"/>
    <col min="271" max="271" width="10.44140625" style="119" customWidth="1"/>
    <col min="272" max="272" width="12" style="119" customWidth="1"/>
    <col min="273" max="273" width="16.71875" style="119" customWidth="1"/>
    <col min="274" max="274" width="12.44140625" style="119" customWidth="1"/>
    <col min="275" max="275" width="9.27734375" style="119" customWidth="1"/>
    <col min="276" max="276" width="13" style="119" customWidth="1"/>
    <col min="277" max="277" width="12" style="119" customWidth="1"/>
    <col min="278" max="278" width="18.44140625" style="119" customWidth="1"/>
    <col min="279" max="510" width="11.44140625" style="119"/>
    <col min="511" max="511" width="59.5546875" style="119" customWidth="1"/>
    <col min="512" max="512" width="7.44140625" style="119" bestFit="1" customWidth="1"/>
    <col min="513" max="513" width="13.5546875" style="119" customWidth="1"/>
    <col min="514" max="514" width="7.71875" style="119" customWidth="1"/>
    <col min="515" max="515" width="8.27734375" style="119" bestFit="1" customWidth="1"/>
    <col min="516" max="516" width="8.44140625" style="119" bestFit="1" customWidth="1"/>
    <col min="517" max="517" width="14.44140625" style="119" customWidth="1"/>
    <col min="518" max="518" width="8.71875" style="119" customWidth="1"/>
    <col min="519" max="519" width="12.27734375" style="119" customWidth="1"/>
    <col min="520" max="520" width="8.44140625" style="119" customWidth="1"/>
    <col min="521" max="522" width="11.5546875" style="119" customWidth="1"/>
    <col min="523" max="523" width="11.71875" style="119" customWidth="1"/>
    <col min="524" max="524" width="11.5546875" style="119" customWidth="1"/>
    <col min="525" max="525" width="10.44140625" style="119" customWidth="1"/>
    <col min="526" max="526" width="11.71875" style="119" customWidth="1"/>
    <col min="527" max="527" width="10.44140625" style="119" customWidth="1"/>
    <col min="528" max="528" width="12" style="119" customWidth="1"/>
    <col min="529" max="529" width="16.71875" style="119" customWidth="1"/>
    <col min="530" max="530" width="12.44140625" style="119" customWidth="1"/>
    <col min="531" max="531" width="9.27734375" style="119" customWidth="1"/>
    <col min="532" max="532" width="13" style="119" customWidth="1"/>
    <col min="533" max="533" width="12" style="119" customWidth="1"/>
    <col min="534" max="534" width="18.44140625" style="119" customWidth="1"/>
    <col min="535" max="766" width="11.44140625" style="119"/>
    <col min="767" max="767" width="59.5546875" style="119" customWidth="1"/>
    <col min="768" max="768" width="7.44140625" style="119" bestFit="1" customWidth="1"/>
    <col min="769" max="769" width="13.5546875" style="119" customWidth="1"/>
    <col min="770" max="770" width="7.71875" style="119" customWidth="1"/>
    <col min="771" max="771" width="8.27734375" style="119" bestFit="1" customWidth="1"/>
    <col min="772" max="772" width="8.44140625" style="119" bestFit="1" customWidth="1"/>
    <col min="773" max="773" width="14.44140625" style="119" customWidth="1"/>
    <col min="774" max="774" width="8.71875" style="119" customWidth="1"/>
    <col min="775" max="775" width="12.27734375" style="119" customWidth="1"/>
    <col min="776" max="776" width="8.44140625" style="119" customWidth="1"/>
    <col min="777" max="778" width="11.5546875" style="119" customWidth="1"/>
    <col min="779" max="779" width="11.71875" style="119" customWidth="1"/>
    <col min="780" max="780" width="11.5546875" style="119" customWidth="1"/>
    <col min="781" max="781" width="10.44140625" style="119" customWidth="1"/>
    <col min="782" max="782" width="11.71875" style="119" customWidth="1"/>
    <col min="783" max="783" width="10.44140625" style="119" customWidth="1"/>
    <col min="784" max="784" width="12" style="119" customWidth="1"/>
    <col min="785" max="785" width="16.71875" style="119" customWidth="1"/>
    <col min="786" max="786" width="12.44140625" style="119" customWidth="1"/>
    <col min="787" max="787" width="9.27734375" style="119" customWidth="1"/>
    <col min="788" max="788" width="13" style="119" customWidth="1"/>
    <col min="789" max="789" width="12" style="119" customWidth="1"/>
    <col min="790" max="790" width="18.44140625" style="119" customWidth="1"/>
    <col min="791" max="1022" width="11.44140625" style="119"/>
    <col min="1023" max="1023" width="59.5546875" style="119" customWidth="1"/>
    <col min="1024" max="1024" width="7.44140625" style="119" bestFit="1" customWidth="1"/>
    <col min="1025" max="1025" width="13.5546875" style="119" customWidth="1"/>
    <col min="1026" max="1026" width="7.71875" style="119" customWidth="1"/>
    <col min="1027" max="1027" width="8.27734375" style="119" bestFit="1" customWidth="1"/>
    <col min="1028" max="1028" width="8.44140625" style="119" bestFit="1" customWidth="1"/>
    <col min="1029" max="1029" width="14.44140625" style="119" customWidth="1"/>
    <col min="1030" max="1030" width="8.71875" style="119" customWidth="1"/>
    <col min="1031" max="1031" width="12.27734375" style="119" customWidth="1"/>
    <col min="1032" max="1032" width="8.44140625" style="119" customWidth="1"/>
    <col min="1033" max="1034" width="11.5546875" style="119" customWidth="1"/>
    <col min="1035" max="1035" width="11.71875" style="119" customWidth="1"/>
    <col min="1036" max="1036" width="11.5546875" style="119" customWidth="1"/>
    <col min="1037" max="1037" width="10.44140625" style="119" customWidth="1"/>
    <col min="1038" max="1038" width="11.71875" style="119" customWidth="1"/>
    <col min="1039" max="1039" width="10.44140625" style="119" customWidth="1"/>
    <col min="1040" max="1040" width="12" style="119" customWidth="1"/>
    <col min="1041" max="1041" width="16.71875" style="119" customWidth="1"/>
    <col min="1042" max="1042" width="12.44140625" style="119" customWidth="1"/>
    <col min="1043" max="1043" width="9.27734375" style="119" customWidth="1"/>
    <col min="1044" max="1044" width="13" style="119" customWidth="1"/>
    <col min="1045" max="1045" width="12" style="119" customWidth="1"/>
    <col min="1046" max="1046" width="18.44140625" style="119" customWidth="1"/>
    <col min="1047" max="1278" width="11.44140625" style="119"/>
    <col min="1279" max="1279" width="59.5546875" style="119" customWidth="1"/>
    <col min="1280" max="1280" width="7.44140625" style="119" bestFit="1" customWidth="1"/>
    <col min="1281" max="1281" width="13.5546875" style="119" customWidth="1"/>
    <col min="1282" max="1282" width="7.71875" style="119" customWidth="1"/>
    <col min="1283" max="1283" width="8.27734375" style="119" bestFit="1" customWidth="1"/>
    <col min="1284" max="1284" width="8.44140625" style="119" bestFit="1" customWidth="1"/>
    <col min="1285" max="1285" width="14.44140625" style="119" customWidth="1"/>
    <col min="1286" max="1286" width="8.71875" style="119" customWidth="1"/>
    <col min="1287" max="1287" width="12.27734375" style="119" customWidth="1"/>
    <col min="1288" max="1288" width="8.44140625" style="119" customWidth="1"/>
    <col min="1289" max="1290" width="11.5546875" style="119" customWidth="1"/>
    <col min="1291" max="1291" width="11.71875" style="119" customWidth="1"/>
    <col min="1292" max="1292" width="11.5546875" style="119" customWidth="1"/>
    <col min="1293" max="1293" width="10.44140625" style="119" customWidth="1"/>
    <col min="1294" max="1294" width="11.71875" style="119" customWidth="1"/>
    <col min="1295" max="1295" width="10.44140625" style="119" customWidth="1"/>
    <col min="1296" max="1296" width="12" style="119" customWidth="1"/>
    <col min="1297" max="1297" width="16.71875" style="119" customWidth="1"/>
    <col min="1298" max="1298" width="12.44140625" style="119" customWidth="1"/>
    <col min="1299" max="1299" width="9.27734375" style="119" customWidth="1"/>
    <col min="1300" max="1300" width="13" style="119" customWidth="1"/>
    <col min="1301" max="1301" width="12" style="119" customWidth="1"/>
    <col min="1302" max="1302" width="18.44140625" style="119" customWidth="1"/>
    <col min="1303" max="1534" width="11.44140625" style="119"/>
    <col min="1535" max="1535" width="59.5546875" style="119" customWidth="1"/>
    <col min="1536" max="1536" width="7.44140625" style="119" bestFit="1" customWidth="1"/>
    <col min="1537" max="1537" width="13.5546875" style="119" customWidth="1"/>
    <col min="1538" max="1538" width="7.71875" style="119" customWidth="1"/>
    <col min="1539" max="1539" width="8.27734375" style="119" bestFit="1" customWidth="1"/>
    <col min="1540" max="1540" width="8.44140625" style="119" bestFit="1" customWidth="1"/>
    <col min="1541" max="1541" width="14.44140625" style="119" customWidth="1"/>
    <col min="1542" max="1542" width="8.71875" style="119" customWidth="1"/>
    <col min="1543" max="1543" width="12.27734375" style="119" customWidth="1"/>
    <col min="1544" max="1544" width="8.44140625" style="119" customWidth="1"/>
    <col min="1545" max="1546" width="11.5546875" style="119" customWidth="1"/>
    <col min="1547" max="1547" width="11.71875" style="119" customWidth="1"/>
    <col min="1548" max="1548" width="11.5546875" style="119" customWidth="1"/>
    <col min="1549" max="1549" width="10.44140625" style="119" customWidth="1"/>
    <col min="1550" max="1550" width="11.71875" style="119" customWidth="1"/>
    <col min="1551" max="1551" width="10.44140625" style="119" customWidth="1"/>
    <col min="1552" max="1552" width="12" style="119" customWidth="1"/>
    <col min="1553" max="1553" width="16.71875" style="119" customWidth="1"/>
    <col min="1554" max="1554" width="12.44140625" style="119" customWidth="1"/>
    <col min="1555" max="1555" width="9.27734375" style="119" customWidth="1"/>
    <col min="1556" max="1556" width="13" style="119" customWidth="1"/>
    <col min="1557" max="1557" width="12" style="119" customWidth="1"/>
    <col min="1558" max="1558" width="18.44140625" style="119" customWidth="1"/>
    <col min="1559" max="1790" width="11.44140625" style="119"/>
    <col min="1791" max="1791" width="59.5546875" style="119" customWidth="1"/>
    <col min="1792" max="1792" width="7.44140625" style="119" bestFit="1" customWidth="1"/>
    <col min="1793" max="1793" width="13.5546875" style="119" customWidth="1"/>
    <col min="1794" max="1794" width="7.71875" style="119" customWidth="1"/>
    <col min="1795" max="1795" width="8.27734375" style="119" bestFit="1" customWidth="1"/>
    <col min="1796" max="1796" width="8.44140625" style="119" bestFit="1" customWidth="1"/>
    <col min="1797" max="1797" width="14.44140625" style="119" customWidth="1"/>
    <col min="1798" max="1798" width="8.71875" style="119" customWidth="1"/>
    <col min="1799" max="1799" width="12.27734375" style="119" customWidth="1"/>
    <col min="1800" max="1800" width="8.44140625" style="119" customWidth="1"/>
    <col min="1801" max="1802" width="11.5546875" style="119" customWidth="1"/>
    <col min="1803" max="1803" width="11.71875" style="119" customWidth="1"/>
    <col min="1804" max="1804" width="11.5546875" style="119" customWidth="1"/>
    <col min="1805" max="1805" width="10.44140625" style="119" customWidth="1"/>
    <col min="1806" max="1806" width="11.71875" style="119" customWidth="1"/>
    <col min="1807" max="1807" width="10.44140625" style="119" customWidth="1"/>
    <col min="1808" max="1808" width="12" style="119" customWidth="1"/>
    <col min="1809" max="1809" width="16.71875" style="119" customWidth="1"/>
    <col min="1810" max="1810" width="12.44140625" style="119" customWidth="1"/>
    <col min="1811" max="1811" width="9.27734375" style="119" customWidth="1"/>
    <col min="1812" max="1812" width="13" style="119" customWidth="1"/>
    <col min="1813" max="1813" width="12" style="119" customWidth="1"/>
    <col min="1814" max="1814" width="18.44140625" style="119" customWidth="1"/>
    <col min="1815" max="2046" width="11.44140625" style="119"/>
    <col min="2047" max="2047" width="59.5546875" style="119" customWidth="1"/>
    <col min="2048" max="2048" width="7.44140625" style="119" bestFit="1" customWidth="1"/>
    <col min="2049" max="2049" width="13.5546875" style="119" customWidth="1"/>
    <col min="2050" max="2050" width="7.71875" style="119" customWidth="1"/>
    <col min="2051" max="2051" width="8.27734375" style="119" bestFit="1" customWidth="1"/>
    <col min="2052" max="2052" width="8.44140625" style="119" bestFit="1" customWidth="1"/>
    <col min="2053" max="2053" width="14.44140625" style="119" customWidth="1"/>
    <col min="2054" max="2054" width="8.71875" style="119" customWidth="1"/>
    <col min="2055" max="2055" width="12.27734375" style="119" customWidth="1"/>
    <col min="2056" max="2056" width="8.44140625" style="119" customWidth="1"/>
    <col min="2057" max="2058" width="11.5546875" style="119" customWidth="1"/>
    <col min="2059" max="2059" width="11.71875" style="119" customWidth="1"/>
    <col min="2060" max="2060" width="11.5546875" style="119" customWidth="1"/>
    <col min="2061" max="2061" width="10.44140625" style="119" customWidth="1"/>
    <col min="2062" max="2062" width="11.71875" style="119" customWidth="1"/>
    <col min="2063" max="2063" width="10.44140625" style="119" customWidth="1"/>
    <col min="2064" max="2064" width="12" style="119" customWidth="1"/>
    <col min="2065" max="2065" width="16.71875" style="119" customWidth="1"/>
    <col min="2066" max="2066" width="12.44140625" style="119" customWidth="1"/>
    <col min="2067" max="2067" width="9.27734375" style="119" customWidth="1"/>
    <col min="2068" max="2068" width="13" style="119" customWidth="1"/>
    <col min="2069" max="2069" width="12" style="119" customWidth="1"/>
    <col min="2070" max="2070" width="18.44140625" style="119" customWidth="1"/>
    <col min="2071" max="2302" width="11.44140625" style="119"/>
    <col min="2303" max="2303" width="59.5546875" style="119" customWidth="1"/>
    <col min="2304" max="2304" width="7.44140625" style="119" bestFit="1" customWidth="1"/>
    <col min="2305" max="2305" width="13.5546875" style="119" customWidth="1"/>
    <col min="2306" max="2306" width="7.71875" style="119" customWidth="1"/>
    <col min="2307" max="2307" width="8.27734375" style="119" bestFit="1" customWidth="1"/>
    <col min="2308" max="2308" width="8.44140625" style="119" bestFit="1" customWidth="1"/>
    <col min="2309" max="2309" width="14.44140625" style="119" customWidth="1"/>
    <col min="2310" max="2310" width="8.71875" style="119" customWidth="1"/>
    <col min="2311" max="2311" width="12.27734375" style="119" customWidth="1"/>
    <col min="2312" max="2312" width="8.44140625" style="119" customWidth="1"/>
    <col min="2313" max="2314" width="11.5546875" style="119" customWidth="1"/>
    <col min="2315" max="2315" width="11.71875" style="119" customWidth="1"/>
    <col min="2316" max="2316" width="11.5546875" style="119" customWidth="1"/>
    <col min="2317" max="2317" width="10.44140625" style="119" customWidth="1"/>
    <col min="2318" max="2318" width="11.71875" style="119" customWidth="1"/>
    <col min="2319" max="2319" width="10.44140625" style="119" customWidth="1"/>
    <col min="2320" max="2320" width="12" style="119" customWidth="1"/>
    <col min="2321" max="2321" width="16.71875" style="119" customWidth="1"/>
    <col min="2322" max="2322" width="12.44140625" style="119" customWidth="1"/>
    <col min="2323" max="2323" width="9.27734375" style="119" customWidth="1"/>
    <col min="2324" max="2324" width="13" style="119" customWidth="1"/>
    <col min="2325" max="2325" width="12" style="119" customWidth="1"/>
    <col min="2326" max="2326" width="18.44140625" style="119" customWidth="1"/>
    <col min="2327" max="2558" width="11.44140625" style="119"/>
    <col min="2559" max="2559" width="59.5546875" style="119" customWidth="1"/>
    <col min="2560" max="2560" width="7.44140625" style="119" bestFit="1" customWidth="1"/>
    <col min="2561" max="2561" width="13.5546875" style="119" customWidth="1"/>
    <col min="2562" max="2562" width="7.71875" style="119" customWidth="1"/>
    <col min="2563" max="2563" width="8.27734375" style="119" bestFit="1" customWidth="1"/>
    <col min="2564" max="2564" width="8.44140625" style="119" bestFit="1" customWidth="1"/>
    <col min="2565" max="2565" width="14.44140625" style="119" customWidth="1"/>
    <col min="2566" max="2566" width="8.71875" style="119" customWidth="1"/>
    <col min="2567" max="2567" width="12.27734375" style="119" customWidth="1"/>
    <col min="2568" max="2568" width="8.44140625" style="119" customWidth="1"/>
    <col min="2569" max="2570" width="11.5546875" style="119" customWidth="1"/>
    <col min="2571" max="2571" width="11.71875" style="119" customWidth="1"/>
    <col min="2572" max="2572" width="11.5546875" style="119" customWidth="1"/>
    <col min="2573" max="2573" width="10.44140625" style="119" customWidth="1"/>
    <col min="2574" max="2574" width="11.71875" style="119" customWidth="1"/>
    <col min="2575" max="2575" width="10.44140625" style="119" customWidth="1"/>
    <col min="2576" max="2576" width="12" style="119" customWidth="1"/>
    <col min="2577" max="2577" width="16.71875" style="119" customWidth="1"/>
    <col min="2578" max="2578" width="12.44140625" style="119" customWidth="1"/>
    <col min="2579" max="2579" width="9.27734375" style="119" customWidth="1"/>
    <col min="2580" max="2580" width="13" style="119" customWidth="1"/>
    <col min="2581" max="2581" width="12" style="119" customWidth="1"/>
    <col min="2582" max="2582" width="18.44140625" style="119" customWidth="1"/>
    <col min="2583" max="2814" width="11.44140625" style="119"/>
    <col min="2815" max="2815" width="59.5546875" style="119" customWidth="1"/>
    <col min="2816" max="2816" width="7.44140625" style="119" bestFit="1" customWidth="1"/>
    <col min="2817" max="2817" width="13.5546875" style="119" customWidth="1"/>
    <col min="2818" max="2818" width="7.71875" style="119" customWidth="1"/>
    <col min="2819" max="2819" width="8.27734375" style="119" bestFit="1" customWidth="1"/>
    <col min="2820" max="2820" width="8.44140625" style="119" bestFit="1" customWidth="1"/>
    <col min="2821" max="2821" width="14.44140625" style="119" customWidth="1"/>
    <col min="2822" max="2822" width="8.71875" style="119" customWidth="1"/>
    <col min="2823" max="2823" width="12.27734375" style="119" customWidth="1"/>
    <col min="2824" max="2824" width="8.44140625" style="119" customWidth="1"/>
    <col min="2825" max="2826" width="11.5546875" style="119" customWidth="1"/>
    <col min="2827" max="2827" width="11.71875" style="119" customWidth="1"/>
    <col min="2828" max="2828" width="11.5546875" style="119" customWidth="1"/>
    <col min="2829" max="2829" width="10.44140625" style="119" customWidth="1"/>
    <col min="2830" max="2830" width="11.71875" style="119" customWidth="1"/>
    <col min="2831" max="2831" width="10.44140625" style="119" customWidth="1"/>
    <col min="2832" max="2832" width="12" style="119" customWidth="1"/>
    <col min="2833" max="2833" width="16.71875" style="119" customWidth="1"/>
    <col min="2834" max="2834" width="12.44140625" style="119" customWidth="1"/>
    <col min="2835" max="2835" width="9.27734375" style="119" customWidth="1"/>
    <col min="2836" max="2836" width="13" style="119" customWidth="1"/>
    <col min="2837" max="2837" width="12" style="119" customWidth="1"/>
    <col min="2838" max="2838" width="18.44140625" style="119" customWidth="1"/>
    <col min="2839" max="3070" width="11.44140625" style="119"/>
    <col min="3071" max="3071" width="59.5546875" style="119" customWidth="1"/>
    <col min="3072" max="3072" width="7.44140625" style="119" bestFit="1" customWidth="1"/>
    <col min="3073" max="3073" width="13.5546875" style="119" customWidth="1"/>
    <col min="3074" max="3074" width="7.71875" style="119" customWidth="1"/>
    <col min="3075" max="3075" width="8.27734375" style="119" bestFit="1" customWidth="1"/>
    <col min="3076" max="3076" width="8.44140625" style="119" bestFit="1" customWidth="1"/>
    <col min="3077" max="3077" width="14.44140625" style="119" customWidth="1"/>
    <col min="3078" max="3078" width="8.71875" style="119" customWidth="1"/>
    <col min="3079" max="3079" width="12.27734375" style="119" customWidth="1"/>
    <col min="3080" max="3080" width="8.44140625" style="119" customWidth="1"/>
    <col min="3081" max="3082" width="11.5546875" style="119" customWidth="1"/>
    <col min="3083" max="3083" width="11.71875" style="119" customWidth="1"/>
    <col min="3084" max="3084" width="11.5546875" style="119" customWidth="1"/>
    <col min="3085" max="3085" width="10.44140625" style="119" customWidth="1"/>
    <col min="3086" max="3086" width="11.71875" style="119" customWidth="1"/>
    <col min="3087" max="3087" width="10.44140625" style="119" customWidth="1"/>
    <col min="3088" max="3088" width="12" style="119" customWidth="1"/>
    <col min="3089" max="3089" width="16.71875" style="119" customWidth="1"/>
    <col min="3090" max="3090" width="12.44140625" style="119" customWidth="1"/>
    <col min="3091" max="3091" width="9.27734375" style="119" customWidth="1"/>
    <col min="3092" max="3092" width="13" style="119" customWidth="1"/>
    <col min="3093" max="3093" width="12" style="119" customWidth="1"/>
    <col min="3094" max="3094" width="18.44140625" style="119" customWidth="1"/>
    <col min="3095" max="3326" width="11.44140625" style="119"/>
    <col min="3327" max="3327" width="59.5546875" style="119" customWidth="1"/>
    <col min="3328" max="3328" width="7.44140625" style="119" bestFit="1" customWidth="1"/>
    <col min="3329" max="3329" width="13.5546875" style="119" customWidth="1"/>
    <col min="3330" max="3330" width="7.71875" style="119" customWidth="1"/>
    <col min="3331" max="3331" width="8.27734375" style="119" bestFit="1" customWidth="1"/>
    <col min="3332" max="3332" width="8.44140625" style="119" bestFit="1" customWidth="1"/>
    <col min="3333" max="3333" width="14.44140625" style="119" customWidth="1"/>
    <col min="3334" max="3334" width="8.71875" style="119" customWidth="1"/>
    <col min="3335" max="3335" width="12.27734375" style="119" customWidth="1"/>
    <col min="3336" max="3336" width="8.44140625" style="119" customWidth="1"/>
    <col min="3337" max="3338" width="11.5546875" style="119" customWidth="1"/>
    <col min="3339" max="3339" width="11.71875" style="119" customWidth="1"/>
    <col min="3340" max="3340" width="11.5546875" style="119" customWidth="1"/>
    <col min="3341" max="3341" width="10.44140625" style="119" customWidth="1"/>
    <col min="3342" max="3342" width="11.71875" style="119" customWidth="1"/>
    <col min="3343" max="3343" width="10.44140625" style="119" customWidth="1"/>
    <col min="3344" max="3344" width="12" style="119" customWidth="1"/>
    <col min="3345" max="3345" width="16.71875" style="119" customWidth="1"/>
    <col min="3346" max="3346" width="12.44140625" style="119" customWidth="1"/>
    <col min="3347" max="3347" width="9.27734375" style="119" customWidth="1"/>
    <col min="3348" max="3348" width="13" style="119" customWidth="1"/>
    <col min="3349" max="3349" width="12" style="119" customWidth="1"/>
    <col min="3350" max="3350" width="18.44140625" style="119" customWidth="1"/>
    <col min="3351" max="3582" width="11.44140625" style="119"/>
    <col min="3583" max="3583" width="59.5546875" style="119" customWidth="1"/>
    <col min="3584" max="3584" width="7.44140625" style="119" bestFit="1" customWidth="1"/>
    <col min="3585" max="3585" width="13.5546875" style="119" customWidth="1"/>
    <col min="3586" max="3586" width="7.71875" style="119" customWidth="1"/>
    <col min="3587" max="3587" width="8.27734375" style="119" bestFit="1" customWidth="1"/>
    <col min="3588" max="3588" width="8.44140625" style="119" bestFit="1" customWidth="1"/>
    <col min="3589" max="3589" width="14.44140625" style="119" customWidth="1"/>
    <col min="3590" max="3590" width="8.71875" style="119" customWidth="1"/>
    <col min="3591" max="3591" width="12.27734375" style="119" customWidth="1"/>
    <col min="3592" max="3592" width="8.44140625" style="119" customWidth="1"/>
    <col min="3593" max="3594" width="11.5546875" style="119" customWidth="1"/>
    <col min="3595" max="3595" width="11.71875" style="119" customWidth="1"/>
    <col min="3596" max="3596" width="11.5546875" style="119" customWidth="1"/>
    <col min="3597" max="3597" width="10.44140625" style="119" customWidth="1"/>
    <col min="3598" max="3598" width="11.71875" style="119" customWidth="1"/>
    <col min="3599" max="3599" width="10.44140625" style="119" customWidth="1"/>
    <col min="3600" max="3600" width="12" style="119" customWidth="1"/>
    <col min="3601" max="3601" width="16.71875" style="119" customWidth="1"/>
    <col min="3602" max="3602" width="12.44140625" style="119" customWidth="1"/>
    <col min="3603" max="3603" width="9.27734375" style="119" customWidth="1"/>
    <col min="3604" max="3604" width="13" style="119" customWidth="1"/>
    <col min="3605" max="3605" width="12" style="119" customWidth="1"/>
    <col min="3606" max="3606" width="18.44140625" style="119" customWidth="1"/>
    <col min="3607" max="3838" width="11.44140625" style="119"/>
    <col min="3839" max="3839" width="59.5546875" style="119" customWidth="1"/>
    <col min="3840" max="3840" width="7.44140625" style="119" bestFit="1" customWidth="1"/>
    <col min="3841" max="3841" width="13.5546875" style="119" customWidth="1"/>
    <col min="3842" max="3842" width="7.71875" style="119" customWidth="1"/>
    <col min="3843" max="3843" width="8.27734375" style="119" bestFit="1" customWidth="1"/>
    <col min="3844" max="3844" width="8.44140625" style="119" bestFit="1" customWidth="1"/>
    <col min="3845" max="3845" width="14.44140625" style="119" customWidth="1"/>
    <col min="3846" max="3846" width="8.71875" style="119" customWidth="1"/>
    <col min="3847" max="3847" width="12.27734375" style="119" customWidth="1"/>
    <col min="3848" max="3848" width="8.44140625" style="119" customWidth="1"/>
    <col min="3849" max="3850" width="11.5546875" style="119" customWidth="1"/>
    <col min="3851" max="3851" width="11.71875" style="119" customWidth="1"/>
    <col min="3852" max="3852" width="11.5546875" style="119" customWidth="1"/>
    <col min="3853" max="3853" width="10.44140625" style="119" customWidth="1"/>
    <col min="3854" max="3854" width="11.71875" style="119" customWidth="1"/>
    <col min="3855" max="3855" width="10.44140625" style="119" customWidth="1"/>
    <col min="3856" max="3856" width="12" style="119" customWidth="1"/>
    <col min="3857" max="3857" width="16.71875" style="119" customWidth="1"/>
    <col min="3858" max="3858" width="12.44140625" style="119" customWidth="1"/>
    <col min="3859" max="3859" width="9.27734375" style="119" customWidth="1"/>
    <col min="3860" max="3860" width="13" style="119" customWidth="1"/>
    <col min="3861" max="3861" width="12" style="119" customWidth="1"/>
    <col min="3862" max="3862" width="18.44140625" style="119" customWidth="1"/>
    <col min="3863" max="4094" width="11.44140625" style="119"/>
    <col min="4095" max="4095" width="59.5546875" style="119" customWidth="1"/>
    <col min="4096" max="4096" width="7.44140625" style="119" bestFit="1" customWidth="1"/>
    <col min="4097" max="4097" width="13.5546875" style="119" customWidth="1"/>
    <col min="4098" max="4098" width="7.71875" style="119" customWidth="1"/>
    <col min="4099" max="4099" width="8.27734375" style="119" bestFit="1" customWidth="1"/>
    <col min="4100" max="4100" width="8.44140625" style="119" bestFit="1" customWidth="1"/>
    <col min="4101" max="4101" width="14.44140625" style="119" customWidth="1"/>
    <col min="4102" max="4102" width="8.71875" style="119" customWidth="1"/>
    <col min="4103" max="4103" width="12.27734375" style="119" customWidth="1"/>
    <col min="4104" max="4104" width="8.44140625" style="119" customWidth="1"/>
    <col min="4105" max="4106" width="11.5546875" style="119" customWidth="1"/>
    <col min="4107" max="4107" width="11.71875" style="119" customWidth="1"/>
    <col min="4108" max="4108" width="11.5546875" style="119" customWidth="1"/>
    <col min="4109" max="4109" width="10.44140625" style="119" customWidth="1"/>
    <col min="4110" max="4110" width="11.71875" style="119" customWidth="1"/>
    <col min="4111" max="4111" width="10.44140625" style="119" customWidth="1"/>
    <col min="4112" max="4112" width="12" style="119" customWidth="1"/>
    <col min="4113" max="4113" width="16.71875" style="119" customWidth="1"/>
    <col min="4114" max="4114" width="12.44140625" style="119" customWidth="1"/>
    <col min="4115" max="4115" width="9.27734375" style="119" customWidth="1"/>
    <col min="4116" max="4116" width="13" style="119" customWidth="1"/>
    <col min="4117" max="4117" width="12" style="119" customWidth="1"/>
    <col min="4118" max="4118" width="18.44140625" style="119" customWidth="1"/>
    <col min="4119" max="4350" width="11.44140625" style="119"/>
    <col min="4351" max="4351" width="59.5546875" style="119" customWidth="1"/>
    <col min="4352" max="4352" width="7.44140625" style="119" bestFit="1" customWidth="1"/>
    <col min="4353" max="4353" width="13.5546875" style="119" customWidth="1"/>
    <col min="4354" max="4354" width="7.71875" style="119" customWidth="1"/>
    <col min="4355" max="4355" width="8.27734375" style="119" bestFit="1" customWidth="1"/>
    <col min="4356" max="4356" width="8.44140625" style="119" bestFit="1" customWidth="1"/>
    <col min="4357" max="4357" width="14.44140625" style="119" customWidth="1"/>
    <col min="4358" max="4358" width="8.71875" style="119" customWidth="1"/>
    <col min="4359" max="4359" width="12.27734375" style="119" customWidth="1"/>
    <col min="4360" max="4360" width="8.44140625" style="119" customWidth="1"/>
    <col min="4361" max="4362" width="11.5546875" style="119" customWidth="1"/>
    <col min="4363" max="4363" width="11.71875" style="119" customWidth="1"/>
    <col min="4364" max="4364" width="11.5546875" style="119" customWidth="1"/>
    <col min="4365" max="4365" width="10.44140625" style="119" customWidth="1"/>
    <col min="4366" max="4366" width="11.71875" style="119" customWidth="1"/>
    <col min="4367" max="4367" width="10.44140625" style="119" customWidth="1"/>
    <col min="4368" max="4368" width="12" style="119" customWidth="1"/>
    <col min="4369" max="4369" width="16.71875" style="119" customWidth="1"/>
    <col min="4370" max="4370" width="12.44140625" style="119" customWidth="1"/>
    <col min="4371" max="4371" width="9.27734375" style="119" customWidth="1"/>
    <col min="4372" max="4372" width="13" style="119" customWidth="1"/>
    <col min="4373" max="4373" width="12" style="119" customWidth="1"/>
    <col min="4374" max="4374" width="18.44140625" style="119" customWidth="1"/>
    <col min="4375" max="4606" width="11.44140625" style="119"/>
    <col min="4607" max="4607" width="59.5546875" style="119" customWidth="1"/>
    <col min="4608" max="4608" width="7.44140625" style="119" bestFit="1" customWidth="1"/>
    <col min="4609" max="4609" width="13.5546875" style="119" customWidth="1"/>
    <col min="4610" max="4610" width="7.71875" style="119" customWidth="1"/>
    <col min="4611" max="4611" width="8.27734375" style="119" bestFit="1" customWidth="1"/>
    <col min="4612" max="4612" width="8.44140625" style="119" bestFit="1" customWidth="1"/>
    <col min="4613" max="4613" width="14.44140625" style="119" customWidth="1"/>
    <col min="4614" max="4614" width="8.71875" style="119" customWidth="1"/>
    <col min="4615" max="4615" width="12.27734375" style="119" customWidth="1"/>
    <col min="4616" max="4616" width="8.44140625" style="119" customWidth="1"/>
    <col min="4617" max="4618" width="11.5546875" style="119" customWidth="1"/>
    <col min="4619" max="4619" width="11.71875" style="119" customWidth="1"/>
    <col min="4620" max="4620" width="11.5546875" style="119" customWidth="1"/>
    <col min="4621" max="4621" width="10.44140625" style="119" customWidth="1"/>
    <col min="4622" max="4622" width="11.71875" style="119" customWidth="1"/>
    <col min="4623" max="4623" width="10.44140625" style="119" customWidth="1"/>
    <col min="4624" max="4624" width="12" style="119" customWidth="1"/>
    <col min="4625" max="4625" width="16.71875" style="119" customWidth="1"/>
    <col min="4626" max="4626" width="12.44140625" style="119" customWidth="1"/>
    <col min="4627" max="4627" width="9.27734375" style="119" customWidth="1"/>
    <col min="4628" max="4628" width="13" style="119" customWidth="1"/>
    <col min="4629" max="4629" width="12" style="119" customWidth="1"/>
    <col min="4630" max="4630" width="18.44140625" style="119" customWidth="1"/>
    <col min="4631" max="4862" width="11.44140625" style="119"/>
    <col min="4863" max="4863" width="59.5546875" style="119" customWidth="1"/>
    <col min="4864" max="4864" width="7.44140625" style="119" bestFit="1" customWidth="1"/>
    <col min="4865" max="4865" width="13.5546875" style="119" customWidth="1"/>
    <col min="4866" max="4866" width="7.71875" style="119" customWidth="1"/>
    <col min="4867" max="4867" width="8.27734375" style="119" bestFit="1" customWidth="1"/>
    <col min="4868" max="4868" width="8.44140625" style="119" bestFit="1" customWidth="1"/>
    <col min="4869" max="4869" width="14.44140625" style="119" customWidth="1"/>
    <col min="4870" max="4870" width="8.71875" style="119" customWidth="1"/>
    <col min="4871" max="4871" width="12.27734375" style="119" customWidth="1"/>
    <col min="4872" max="4872" width="8.44140625" style="119" customWidth="1"/>
    <col min="4873" max="4874" width="11.5546875" style="119" customWidth="1"/>
    <col min="4875" max="4875" width="11.71875" style="119" customWidth="1"/>
    <col min="4876" max="4876" width="11.5546875" style="119" customWidth="1"/>
    <col min="4877" max="4877" width="10.44140625" style="119" customWidth="1"/>
    <col min="4878" max="4878" width="11.71875" style="119" customWidth="1"/>
    <col min="4879" max="4879" width="10.44140625" style="119" customWidth="1"/>
    <col min="4880" max="4880" width="12" style="119" customWidth="1"/>
    <col min="4881" max="4881" width="16.71875" style="119" customWidth="1"/>
    <col min="4882" max="4882" width="12.44140625" style="119" customWidth="1"/>
    <col min="4883" max="4883" width="9.27734375" style="119" customWidth="1"/>
    <col min="4884" max="4884" width="13" style="119" customWidth="1"/>
    <col min="4885" max="4885" width="12" style="119" customWidth="1"/>
    <col min="4886" max="4886" width="18.44140625" style="119" customWidth="1"/>
    <col min="4887" max="5118" width="11.44140625" style="119"/>
    <col min="5119" max="5119" width="59.5546875" style="119" customWidth="1"/>
    <col min="5120" max="5120" width="7.44140625" style="119" bestFit="1" customWidth="1"/>
    <col min="5121" max="5121" width="13.5546875" style="119" customWidth="1"/>
    <col min="5122" max="5122" width="7.71875" style="119" customWidth="1"/>
    <col min="5123" max="5123" width="8.27734375" style="119" bestFit="1" customWidth="1"/>
    <col min="5124" max="5124" width="8.44140625" style="119" bestFit="1" customWidth="1"/>
    <col min="5125" max="5125" width="14.44140625" style="119" customWidth="1"/>
    <col min="5126" max="5126" width="8.71875" style="119" customWidth="1"/>
    <col min="5127" max="5127" width="12.27734375" style="119" customWidth="1"/>
    <col min="5128" max="5128" width="8.44140625" style="119" customWidth="1"/>
    <col min="5129" max="5130" width="11.5546875" style="119" customWidth="1"/>
    <col min="5131" max="5131" width="11.71875" style="119" customWidth="1"/>
    <col min="5132" max="5132" width="11.5546875" style="119" customWidth="1"/>
    <col min="5133" max="5133" width="10.44140625" style="119" customWidth="1"/>
    <col min="5134" max="5134" width="11.71875" style="119" customWidth="1"/>
    <col min="5135" max="5135" width="10.44140625" style="119" customWidth="1"/>
    <col min="5136" max="5136" width="12" style="119" customWidth="1"/>
    <col min="5137" max="5137" width="16.71875" style="119" customWidth="1"/>
    <col min="5138" max="5138" width="12.44140625" style="119" customWidth="1"/>
    <col min="5139" max="5139" width="9.27734375" style="119" customWidth="1"/>
    <col min="5140" max="5140" width="13" style="119" customWidth="1"/>
    <col min="5141" max="5141" width="12" style="119" customWidth="1"/>
    <col min="5142" max="5142" width="18.44140625" style="119" customWidth="1"/>
    <col min="5143" max="5374" width="11.44140625" style="119"/>
    <col min="5375" max="5375" width="59.5546875" style="119" customWidth="1"/>
    <col min="5376" max="5376" width="7.44140625" style="119" bestFit="1" customWidth="1"/>
    <col min="5377" max="5377" width="13.5546875" style="119" customWidth="1"/>
    <col min="5378" max="5378" width="7.71875" style="119" customWidth="1"/>
    <col min="5379" max="5379" width="8.27734375" style="119" bestFit="1" customWidth="1"/>
    <col min="5380" max="5380" width="8.44140625" style="119" bestFit="1" customWidth="1"/>
    <col min="5381" max="5381" width="14.44140625" style="119" customWidth="1"/>
    <col min="5382" max="5382" width="8.71875" style="119" customWidth="1"/>
    <col min="5383" max="5383" width="12.27734375" style="119" customWidth="1"/>
    <col min="5384" max="5384" width="8.44140625" style="119" customWidth="1"/>
    <col min="5385" max="5386" width="11.5546875" style="119" customWidth="1"/>
    <col min="5387" max="5387" width="11.71875" style="119" customWidth="1"/>
    <col min="5388" max="5388" width="11.5546875" style="119" customWidth="1"/>
    <col min="5389" max="5389" width="10.44140625" style="119" customWidth="1"/>
    <col min="5390" max="5390" width="11.71875" style="119" customWidth="1"/>
    <col min="5391" max="5391" width="10.44140625" style="119" customWidth="1"/>
    <col min="5392" max="5392" width="12" style="119" customWidth="1"/>
    <col min="5393" max="5393" width="16.71875" style="119" customWidth="1"/>
    <col min="5394" max="5394" width="12.44140625" style="119" customWidth="1"/>
    <col min="5395" max="5395" width="9.27734375" style="119" customWidth="1"/>
    <col min="5396" max="5396" width="13" style="119" customWidth="1"/>
    <col min="5397" max="5397" width="12" style="119" customWidth="1"/>
    <col min="5398" max="5398" width="18.44140625" style="119" customWidth="1"/>
    <col min="5399" max="5630" width="11.44140625" style="119"/>
    <col min="5631" max="5631" width="59.5546875" style="119" customWidth="1"/>
    <col min="5632" max="5632" width="7.44140625" style="119" bestFit="1" customWidth="1"/>
    <col min="5633" max="5633" width="13.5546875" style="119" customWidth="1"/>
    <col min="5634" max="5634" width="7.71875" style="119" customWidth="1"/>
    <col min="5635" max="5635" width="8.27734375" style="119" bestFit="1" customWidth="1"/>
    <col min="5636" max="5636" width="8.44140625" style="119" bestFit="1" customWidth="1"/>
    <col min="5637" max="5637" width="14.44140625" style="119" customWidth="1"/>
    <col min="5638" max="5638" width="8.71875" style="119" customWidth="1"/>
    <col min="5639" max="5639" width="12.27734375" style="119" customWidth="1"/>
    <col min="5640" max="5640" width="8.44140625" style="119" customWidth="1"/>
    <col min="5641" max="5642" width="11.5546875" style="119" customWidth="1"/>
    <col min="5643" max="5643" width="11.71875" style="119" customWidth="1"/>
    <col min="5644" max="5644" width="11.5546875" style="119" customWidth="1"/>
    <col min="5645" max="5645" width="10.44140625" style="119" customWidth="1"/>
    <col min="5646" max="5646" width="11.71875" style="119" customWidth="1"/>
    <col min="5647" max="5647" width="10.44140625" style="119" customWidth="1"/>
    <col min="5648" max="5648" width="12" style="119" customWidth="1"/>
    <col min="5649" max="5649" width="16.71875" style="119" customWidth="1"/>
    <col min="5650" max="5650" width="12.44140625" style="119" customWidth="1"/>
    <col min="5651" max="5651" width="9.27734375" style="119" customWidth="1"/>
    <col min="5652" max="5652" width="13" style="119" customWidth="1"/>
    <col min="5653" max="5653" width="12" style="119" customWidth="1"/>
    <col min="5654" max="5654" width="18.44140625" style="119" customWidth="1"/>
    <col min="5655" max="5886" width="11.44140625" style="119"/>
    <col min="5887" max="5887" width="59.5546875" style="119" customWidth="1"/>
    <col min="5888" max="5888" width="7.44140625" style="119" bestFit="1" customWidth="1"/>
    <col min="5889" max="5889" width="13.5546875" style="119" customWidth="1"/>
    <col min="5890" max="5890" width="7.71875" style="119" customWidth="1"/>
    <col min="5891" max="5891" width="8.27734375" style="119" bestFit="1" customWidth="1"/>
    <col min="5892" max="5892" width="8.44140625" style="119" bestFit="1" customWidth="1"/>
    <col min="5893" max="5893" width="14.44140625" style="119" customWidth="1"/>
    <col min="5894" max="5894" width="8.71875" style="119" customWidth="1"/>
    <col min="5895" max="5895" width="12.27734375" style="119" customWidth="1"/>
    <col min="5896" max="5896" width="8.44140625" style="119" customWidth="1"/>
    <col min="5897" max="5898" width="11.5546875" style="119" customWidth="1"/>
    <col min="5899" max="5899" width="11.71875" style="119" customWidth="1"/>
    <col min="5900" max="5900" width="11.5546875" style="119" customWidth="1"/>
    <col min="5901" max="5901" width="10.44140625" style="119" customWidth="1"/>
    <col min="5902" max="5902" width="11.71875" style="119" customWidth="1"/>
    <col min="5903" max="5903" width="10.44140625" style="119" customWidth="1"/>
    <col min="5904" max="5904" width="12" style="119" customWidth="1"/>
    <col min="5905" max="5905" width="16.71875" style="119" customWidth="1"/>
    <col min="5906" max="5906" width="12.44140625" style="119" customWidth="1"/>
    <col min="5907" max="5907" width="9.27734375" style="119" customWidth="1"/>
    <col min="5908" max="5908" width="13" style="119" customWidth="1"/>
    <col min="5909" max="5909" width="12" style="119" customWidth="1"/>
    <col min="5910" max="5910" width="18.44140625" style="119" customWidth="1"/>
    <col min="5911" max="6142" width="11.44140625" style="119"/>
    <col min="6143" max="6143" width="59.5546875" style="119" customWidth="1"/>
    <col min="6144" max="6144" width="7.44140625" style="119" bestFit="1" customWidth="1"/>
    <col min="6145" max="6145" width="13.5546875" style="119" customWidth="1"/>
    <col min="6146" max="6146" width="7.71875" style="119" customWidth="1"/>
    <col min="6147" max="6147" width="8.27734375" style="119" bestFit="1" customWidth="1"/>
    <col min="6148" max="6148" width="8.44140625" style="119" bestFit="1" customWidth="1"/>
    <col min="6149" max="6149" width="14.44140625" style="119" customWidth="1"/>
    <col min="6150" max="6150" width="8.71875" style="119" customWidth="1"/>
    <col min="6151" max="6151" width="12.27734375" style="119" customWidth="1"/>
    <col min="6152" max="6152" width="8.44140625" style="119" customWidth="1"/>
    <col min="6153" max="6154" width="11.5546875" style="119" customWidth="1"/>
    <col min="6155" max="6155" width="11.71875" style="119" customWidth="1"/>
    <col min="6156" max="6156" width="11.5546875" style="119" customWidth="1"/>
    <col min="6157" max="6157" width="10.44140625" style="119" customWidth="1"/>
    <col min="6158" max="6158" width="11.71875" style="119" customWidth="1"/>
    <col min="6159" max="6159" width="10.44140625" style="119" customWidth="1"/>
    <col min="6160" max="6160" width="12" style="119" customWidth="1"/>
    <col min="6161" max="6161" width="16.71875" style="119" customWidth="1"/>
    <col min="6162" max="6162" width="12.44140625" style="119" customWidth="1"/>
    <col min="6163" max="6163" width="9.27734375" style="119" customWidth="1"/>
    <col min="6164" max="6164" width="13" style="119" customWidth="1"/>
    <col min="6165" max="6165" width="12" style="119" customWidth="1"/>
    <col min="6166" max="6166" width="18.44140625" style="119" customWidth="1"/>
    <col min="6167" max="6398" width="11.44140625" style="119"/>
    <col min="6399" max="6399" width="59.5546875" style="119" customWidth="1"/>
    <col min="6400" max="6400" width="7.44140625" style="119" bestFit="1" customWidth="1"/>
    <col min="6401" max="6401" width="13.5546875" style="119" customWidth="1"/>
    <col min="6402" max="6402" width="7.71875" style="119" customWidth="1"/>
    <col min="6403" max="6403" width="8.27734375" style="119" bestFit="1" customWidth="1"/>
    <col min="6404" max="6404" width="8.44140625" style="119" bestFit="1" customWidth="1"/>
    <col min="6405" max="6405" width="14.44140625" style="119" customWidth="1"/>
    <col min="6406" max="6406" width="8.71875" style="119" customWidth="1"/>
    <col min="6407" max="6407" width="12.27734375" style="119" customWidth="1"/>
    <col min="6408" max="6408" width="8.44140625" style="119" customWidth="1"/>
    <col min="6409" max="6410" width="11.5546875" style="119" customWidth="1"/>
    <col min="6411" max="6411" width="11.71875" style="119" customWidth="1"/>
    <col min="6412" max="6412" width="11.5546875" style="119" customWidth="1"/>
    <col min="6413" max="6413" width="10.44140625" style="119" customWidth="1"/>
    <col min="6414" max="6414" width="11.71875" style="119" customWidth="1"/>
    <col min="6415" max="6415" width="10.44140625" style="119" customWidth="1"/>
    <col min="6416" max="6416" width="12" style="119" customWidth="1"/>
    <col min="6417" max="6417" width="16.71875" style="119" customWidth="1"/>
    <col min="6418" max="6418" width="12.44140625" style="119" customWidth="1"/>
    <col min="6419" max="6419" width="9.27734375" style="119" customWidth="1"/>
    <col min="6420" max="6420" width="13" style="119" customWidth="1"/>
    <col min="6421" max="6421" width="12" style="119" customWidth="1"/>
    <col min="6422" max="6422" width="18.44140625" style="119" customWidth="1"/>
    <col min="6423" max="6654" width="11.44140625" style="119"/>
    <col min="6655" max="6655" width="59.5546875" style="119" customWidth="1"/>
    <col min="6656" max="6656" width="7.44140625" style="119" bestFit="1" customWidth="1"/>
    <col min="6657" max="6657" width="13.5546875" style="119" customWidth="1"/>
    <col min="6658" max="6658" width="7.71875" style="119" customWidth="1"/>
    <col min="6659" max="6659" width="8.27734375" style="119" bestFit="1" customWidth="1"/>
    <col min="6660" max="6660" width="8.44140625" style="119" bestFit="1" customWidth="1"/>
    <col min="6661" max="6661" width="14.44140625" style="119" customWidth="1"/>
    <col min="6662" max="6662" width="8.71875" style="119" customWidth="1"/>
    <col min="6663" max="6663" width="12.27734375" style="119" customWidth="1"/>
    <col min="6664" max="6664" width="8.44140625" style="119" customWidth="1"/>
    <col min="6665" max="6666" width="11.5546875" style="119" customWidth="1"/>
    <col min="6667" max="6667" width="11.71875" style="119" customWidth="1"/>
    <col min="6668" max="6668" width="11.5546875" style="119" customWidth="1"/>
    <col min="6669" max="6669" width="10.44140625" style="119" customWidth="1"/>
    <col min="6670" max="6670" width="11.71875" style="119" customWidth="1"/>
    <col min="6671" max="6671" width="10.44140625" style="119" customWidth="1"/>
    <col min="6672" max="6672" width="12" style="119" customWidth="1"/>
    <col min="6673" max="6673" width="16.71875" style="119" customWidth="1"/>
    <col min="6674" max="6674" width="12.44140625" style="119" customWidth="1"/>
    <col min="6675" max="6675" width="9.27734375" style="119" customWidth="1"/>
    <col min="6676" max="6676" width="13" style="119" customWidth="1"/>
    <col min="6677" max="6677" width="12" style="119" customWidth="1"/>
    <col min="6678" max="6678" width="18.44140625" style="119" customWidth="1"/>
    <col min="6679" max="6910" width="11.44140625" style="119"/>
    <col min="6911" max="6911" width="59.5546875" style="119" customWidth="1"/>
    <col min="6912" max="6912" width="7.44140625" style="119" bestFit="1" customWidth="1"/>
    <col min="6913" max="6913" width="13.5546875" style="119" customWidth="1"/>
    <col min="6914" max="6914" width="7.71875" style="119" customWidth="1"/>
    <col min="6915" max="6915" width="8.27734375" style="119" bestFit="1" customWidth="1"/>
    <col min="6916" max="6916" width="8.44140625" style="119" bestFit="1" customWidth="1"/>
    <col min="6917" max="6917" width="14.44140625" style="119" customWidth="1"/>
    <col min="6918" max="6918" width="8.71875" style="119" customWidth="1"/>
    <col min="6919" max="6919" width="12.27734375" style="119" customWidth="1"/>
    <col min="6920" max="6920" width="8.44140625" style="119" customWidth="1"/>
    <col min="6921" max="6922" width="11.5546875" style="119" customWidth="1"/>
    <col min="6923" max="6923" width="11.71875" style="119" customWidth="1"/>
    <col min="6924" max="6924" width="11.5546875" style="119" customWidth="1"/>
    <col min="6925" max="6925" width="10.44140625" style="119" customWidth="1"/>
    <col min="6926" max="6926" width="11.71875" style="119" customWidth="1"/>
    <col min="6927" max="6927" width="10.44140625" style="119" customWidth="1"/>
    <col min="6928" max="6928" width="12" style="119" customWidth="1"/>
    <col min="6929" max="6929" width="16.71875" style="119" customWidth="1"/>
    <col min="6930" max="6930" width="12.44140625" style="119" customWidth="1"/>
    <col min="6931" max="6931" width="9.27734375" style="119" customWidth="1"/>
    <col min="6932" max="6932" width="13" style="119" customWidth="1"/>
    <col min="6933" max="6933" width="12" style="119" customWidth="1"/>
    <col min="6934" max="6934" width="18.44140625" style="119" customWidth="1"/>
    <col min="6935" max="7166" width="11.44140625" style="119"/>
    <col min="7167" max="7167" width="59.5546875" style="119" customWidth="1"/>
    <col min="7168" max="7168" width="7.44140625" style="119" bestFit="1" customWidth="1"/>
    <col min="7169" max="7169" width="13.5546875" style="119" customWidth="1"/>
    <col min="7170" max="7170" width="7.71875" style="119" customWidth="1"/>
    <col min="7171" max="7171" width="8.27734375" style="119" bestFit="1" customWidth="1"/>
    <col min="7172" max="7172" width="8.44140625" style="119" bestFit="1" customWidth="1"/>
    <col min="7173" max="7173" width="14.44140625" style="119" customWidth="1"/>
    <col min="7174" max="7174" width="8.71875" style="119" customWidth="1"/>
    <col min="7175" max="7175" width="12.27734375" style="119" customWidth="1"/>
    <col min="7176" max="7176" width="8.44140625" style="119" customWidth="1"/>
    <col min="7177" max="7178" width="11.5546875" style="119" customWidth="1"/>
    <col min="7179" max="7179" width="11.71875" style="119" customWidth="1"/>
    <col min="7180" max="7180" width="11.5546875" style="119" customWidth="1"/>
    <col min="7181" max="7181" width="10.44140625" style="119" customWidth="1"/>
    <col min="7182" max="7182" width="11.71875" style="119" customWidth="1"/>
    <col min="7183" max="7183" width="10.44140625" style="119" customWidth="1"/>
    <col min="7184" max="7184" width="12" style="119" customWidth="1"/>
    <col min="7185" max="7185" width="16.71875" style="119" customWidth="1"/>
    <col min="7186" max="7186" width="12.44140625" style="119" customWidth="1"/>
    <col min="7187" max="7187" width="9.27734375" style="119" customWidth="1"/>
    <col min="7188" max="7188" width="13" style="119" customWidth="1"/>
    <col min="7189" max="7189" width="12" style="119" customWidth="1"/>
    <col min="7190" max="7190" width="18.44140625" style="119" customWidth="1"/>
    <col min="7191" max="7422" width="11.44140625" style="119"/>
    <col min="7423" max="7423" width="59.5546875" style="119" customWidth="1"/>
    <col min="7424" max="7424" width="7.44140625" style="119" bestFit="1" customWidth="1"/>
    <col min="7425" max="7425" width="13.5546875" style="119" customWidth="1"/>
    <col min="7426" max="7426" width="7.71875" style="119" customWidth="1"/>
    <col min="7427" max="7427" width="8.27734375" style="119" bestFit="1" customWidth="1"/>
    <col min="7428" max="7428" width="8.44140625" style="119" bestFit="1" customWidth="1"/>
    <col min="7429" max="7429" width="14.44140625" style="119" customWidth="1"/>
    <col min="7430" max="7430" width="8.71875" style="119" customWidth="1"/>
    <col min="7431" max="7431" width="12.27734375" style="119" customWidth="1"/>
    <col min="7432" max="7432" width="8.44140625" style="119" customWidth="1"/>
    <col min="7433" max="7434" width="11.5546875" style="119" customWidth="1"/>
    <col min="7435" max="7435" width="11.71875" style="119" customWidth="1"/>
    <col min="7436" max="7436" width="11.5546875" style="119" customWidth="1"/>
    <col min="7437" max="7437" width="10.44140625" style="119" customWidth="1"/>
    <col min="7438" max="7438" width="11.71875" style="119" customWidth="1"/>
    <col min="7439" max="7439" width="10.44140625" style="119" customWidth="1"/>
    <col min="7440" max="7440" width="12" style="119" customWidth="1"/>
    <col min="7441" max="7441" width="16.71875" style="119" customWidth="1"/>
    <col min="7442" max="7442" width="12.44140625" style="119" customWidth="1"/>
    <col min="7443" max="7443" width="9.27734375" style="119" customWidth="1"/>
    <col min="7444" max="7444" width="13" style="119" customWidth="1"/>
    <col min="7445" max="7445" width="12" style="119" customWidth="1"/>
    <col min="7446" max="7446" width="18.44140625" style="119" customWidth="1"/>
    <col min="7447" max="7678" width="11.44140625" style="119"/>
    <col min="7679" max="7679" width="59.5546875" style="119" customWidth="1"/>
    <col min="7680" max="7680" width="7.44140625" style="119" bestFit="1" customWidth="1"/>
    <col min="7681" max="7681" width="13.5546875" style="119" customWidth="1"/>
    <col min="7682" max="7682" width="7.71875" style="119" customWidth="1"/>
    <col min="7683" max="7683" width="8.27734375" style="119" bestFit="1" customWidth="1"/>
    <col min="7684" max="7684" width="8.44140625" style="119" bestFit="1" customWidth="1"/>
    <col min="7685" max="7685" width="14.44140625" style="119" customWidth="1"/>
    <col min="7686" max="7686" width="8.71875" style="119" customWidth="1"/>
    <col min="7687" max="7687" width="12.27734375" style="119" customWidth="1"/>
    <col min="7688" max="7688" width="8.44140625" style="119" customWidth="1"/>
    <col min="7689" max="7690" width="11.5546875" style="119" customWidth="1"/>
    <col min="7691" max="7691" width="11.71875" style="119" customWidth="1"/>
    <col min="7692" max="7692" width="11.5546875" style="119" customWidth="1"/>
    <col min="7693" max="7693" width="10.44140625" style="119" customWidth="1"/>
    <col min="7694" max="7694" width="11.71875" style="119" customWidth="1"/>
    <col min="7695" max="7695" width="10.44140625" style="119" customWidth="1"/>
    <col min="7696" max="7696" width="12" style="119" customWidth="1"/>
    <col min="7697" max="7697" width="16.71875" style="119" customWidth="1"/>
    <col min="7698" max="7698" width="12.44140625" style="119" customWidth="1"/>
    <col min="7699" max="7699" width="9.27734375" style="119" customWidth="1"/>
    <col min="7700" max="7700" width="13" style="119" customWidth="1"/>
    <col min="7701" max="7701" width="12" style="119" customWidth="1"/>
    <col min="7702" max="7702" width="18.44140625" style="119" customWidth="1"/>
    <col min="7703" max="7934" width="11.44140625" style="119"/>
    <col min="7935" max="7935" width="59.5546875" style="119" customWidth="1"/>
    <col min="7936" max="7936" width="7.44140625" style="119" bestFit="1" customWidth="1"/>
    <col min="7937" max="7937" width="13.5546875" style="119" customWidth="1"/>
    <col min="7938" max="7938" width="7.71875" style="119" customWidth="1"/>
    <col min="7939" max="7939" width="8.27734375" style="119" bestFit="1" customWidth="1"/>
    <col min="7940" max="7940" width="8.44140625" style="119" bestFit="1" customWidth="1"/>
    <col min="7941" max="7941" width="14.44140625" style="119" customWidth="1"/>
    <col min="7942" max="7942" width="8.71875" style="119" customWidth="1"/>
    <col min="7943" max="7943" width="12.27734375" style="119" customWidth="1"/>
    <col min="7944" max="7944" width="8.44140625" style="119" customWidth="1"/>
    <col min="7945" max="7946" width="11.5546875" style="119" customWidth="1"/>
    <col min="7947" max="7947" width="11.71875" style="119" customWidth="1"/>
    <col min="7948" max="7948" width="11.5546875" style="119" customWidth="1"/>
    <col min="7949" max="7949" width="10.44140625" style="119" customWidth="1"/>
    <col min="7950" max="7950" width="11.71875" style="119" customWidth="1"/>
    <col min="7951" max="7951" width="10.44140625" style="119" customWidth="1"/>
    <col min="7952" max="7952" width="12" style="119" customWidth="1"/>
    <col min="7953" max="7953" width="16.71875" style="119" customWidth="1"/>
    <col min="7954" max="7954" width="12.44140625" style="119" customWidth="1"/>
    <col min="7955" max="7955" width="9.27734375" style="119" customWidth="1"/>
    <col min="7956" max="7956" width="13" style="119" customWidth="1"/>
    <col min="7957" max="7957" width="12" style="119" customWidth="1"/>
    <col min="7958" max="7958" width="18.44140625" style="119" customWidth="1"/>
    <col min="7959" max="8190" width="11.44140625" style="119"/>
    <col min="8191" max="8191" width="59.5546875" style="119" customWidth="1"/>
    <col min="8192" max="8192" width="7.44140625" style="119" bestFit="1" customWidth="1"/>
    <col min="8193" max="8193" width="13.5546875" style="119" customWidth="1"/>
    <col min="8194" max="8194" width="7.71875" style="119" customWidth="1"/>
    <col min="8195" max="8195" width="8.27734375" style="119" bestFit="1" customWidth="1"/>
    <col min="8196" max="8196" width="8.44140625" style="119" bestFit="1" customWidth="1"/>
    <col min="8197" max="8197" width="14.44140625" style="119" customWidth="1"/>
    <col min="8198" max="8198" width="8.71875" style="119" customWidth="1"/>
    <col min="8199" max="8199" width="12.27734375" style="119" customWidth="1"/>
    <col min="8200" max="8200" width="8.44140625" style="119" customWidth="1"/>
    <col min="8201" max="8202" width="11.5546875" style="119" customWidth="1"/>
    <col min="8203" max="8203" width="11.71875" style="119" customWidth="1"/>
    <col min="8204" max="8204" width="11.5546875" style="119" customWidth="1"/>
    <col min="8205" max="8205" width="10.44140625" style="119" customWidth="1"/>
    <col min="8206" max="8206" width="11.71875" style="119" customWidth="1"/>
    <col min="8207" max="8207" width="10.44140625" style="119" customWidth="1"/>
    <col min="8208" max="8208" width="12" style="119" customWidth="1"/>
    <col min="8209" max="8209" width="16.71875" style="119" customWidth="1"/>
    <col min="8210" max="8210" width="12.44140625" style="119" customWidth="1"/>
    <col min="8211" max="8211" width="9.27734375" style="119" customWidth="1"/>
    <col min="8212" max="8212" width="13" style="119" customWidth="1"/>
    <col min="8213" max="8213" width="12" style="119" customWidth="1"/>
    <col min="8214" max="8214" width="18.44140625" style="119" customWidth="1"/>
    <col min="8215" max="8446" width="11.44140625" style="119"/>
    <col min="8447" max="8447" width="59.5546875" style="119" customWidth="1"/>
    <col min="8448" max="8448" width="7.44140625" style="119" bestFit="1" customWidth="1"/>
    <col min="8449" max="8449" width="13.5546875" style="119" customWidth="1"/>
    <col min="8450" max="8450" width="7.71875" style="119" customWidth="1"/>
    <col min="8451" max="8451" width="8.27734375" style="119" bestFit="1" customWidth="1"/>
    <col min="8452" max="8452" width="8.44140625" style="119" bestFit="1" customWidth="1"/>
    <col min="8453" max="8453" width="14.44140625" style="119" customWidth="1"/>
    <col min="8454" max="8454" width="8.71875" style="119" customWidth="1"/>
    <col min="8455" max="8455" width="12.27734375" style="119" customWidth="1"/>
    <col min="8456" max="8456" width="8.44140625" style="119" customWidth="1"/>
    <col min="8457" max="8458" width="11.5546875" style="119" customWidth="1"/>
    <col min="8459" max="8459" width="11.71875" style="119" customWidth="1"/>
    <col min="8460" max="8460" width="11.5546875" style="119" customWidth="1"/>
    <col min="8461" max="8461" width="10.44140625" style="119" customWidth="1"/>
    <col min="8462" max="8462" width="11.71875" style="119" customWidth="1"/>
    <col min="8463" max="8463" width="10.44140625" style="119" customWidth="1"/>
    <col min="8464" max="8464" width="12" style="119" customWidth="1"/>
    <col min="8465" max="8465" width="16.71875" style="119" customWidth="1"/>
    <col min="8466" max="8466" width="12.44140625" style="119" customWidth="1"/>
    <col min="8467" max="8467" width="9.27734375" style="119" customWidth="1"/>
    <col min="8468" max="8468" width="13" style="119" customWidth="1"/>
    <col min="8469" max="8469" width="12" style="119" customWidth="1"/>
    <col min="8470" max="8470" width="18.44140625" style="119" customWidth="1"/>
    <col min="8471" max="8702" width="11.44140625" style="119"/>
    <col min="8703" max="8703" width="59.5546875" style="119" customWidth="1"/>
    <col min="8704" max="8704" width="7.44140625" style="119" bestFit="1" customWidth="1"/>
    <col min="8705" max="8705" width="13.5546875" style="119" customWidth="1"/>
    <col min="8706" max="8706" width="7.71875" style="119" customWidth="1"/>
    <col min="8707" max="8707" width="8.27734375" style="119" bestFit="1" customWidth="1"/>
    <col min="8708" max="8708" width="8.44140625" style="119" bestFit="1" customWidth="1"/>
    <col min="8709" max="8709" width="14.44140625" style="119" customWidth="1"/>
    <col min="8710" max="8710" width="8.71875" style="119" customWidth="1"/>
    <col min="8711" max="8711" width="12.27734375" style="119" customWidth="1"/>
    <col min="8712" max="8712" width="8.44140625" style="119" customWidth="1"/>
    <col min="8713" max="8714" width="11.5546875" style="119" customWidth="1"/>
    <col min="8715" max="8715" width="11.71875" style="119" customWidth="1"/>
    <col min="8716" max="8716" width="11.5546875" style="119" customWidth="1"/>
    <col min="8717" max="8717" width="10.44140625" style="119" customWidth="1"/>
    <col min="8718" max="8718" width="11.71875" style="119" customWidth="1"/>
    <col min="8719" max="8719" width="10.44140625" style="119" customWidth="1"/>
    <col min="8720" max="8720" width="12" style="119" customWidth="1"/>
    <col min="8721" max="8721" width="16.71875" style="119" customWidth="1"/>
    <col min="8722" max="8722" width="12.44140625" style="119" customWidth="1"/>
    <col min="8723" max="8723" width="9.27734375" style="119" customWidth="1"/>
    <col min="8724" max="8724" width="13" style="119" customWidth="1"/>
    <col min="8725" max="8725" width="12" style="119" customWidth="1"/>
    <col min="8726" max="8726" width="18.44140625" style="119" customWidth="1"/>
    <col min="8727" max="8958" width="11.44140625" style="119"/>
    <col min="8959" max="8959" width="59.5546875" style="119" customWidth="1"/>
    <col min="8960" max="8960" width="7.44140625" style="119" bestFit="1" customWidth="1"/>
    <col min="8961" max="8961" width="13.5546875" style="119" customWidth="1"/>
    <col min="8962" max="8962" width="7.71875" style="119" customWidth="1"/>
    <col min="8963" max="8963" width="8.27734375" style="119" bestFit="1" customWidth="1"/>
    <col min="8964" max="8964" width="8.44140625" style="119" bestFit="1" customWidth="1"/>
    <col min="8965" max="8965" width="14.44140625" style="119" customWidth="1"/>
    <col min="8966" max="8966" width="8.71875" style="119" customWidth="1"/>
    <col min="8967" max="8967" width="12.27734375" style="119" customWidth="1"/>
    <col min="8968" max="8968" width="8.44140625" style="119" customWidth="1"/>
    <col min="8969" max="8970" width="11.5546875" style="119" customWidth="1"/>
    <col min="8971" max="8971" width="11.71875" style="119" customWidth="1"/>
    <col min="8972" max="8972" width="11.5546875" style="119" customWidth="1"/>
    <col min="8973" max="8973" width="10.44140625" style="119" customWidth="1"/>
    <col min="8974" max="8974" width="11.71875" style="119" customWidth="1"/>
    <col min="8975" max="8975" width="10.44140625" style="119" customWidth="1"/>
    <col min="8976" max="8976" width="12" style="119" customWidth="1"/>
    <col min="8977" max="8977" width="16.71875" style="119" customWidth="1"/>
    <col min="8978" max="8978" width="12.44140625" style="119" customWidth="1"/>
    <col min="8979" max="8979" width="9.27734375" style="119" customWidth="1"/>
    <col min="8980" max="8980" width="13" style="119" customWidth="1"/>
    <col min="8981" max="8981" width="12" style="119" customWidth="1"/>
    <col min="8982" max="8982" width="18.44140625" style="119" customWidth="1"/>
    <col min="8983" max="9214" width="11.44140625" style="119"/>
    <col min="9215" max="9215" width="59.5546875" style="119" customWidth="1"/>
    <col min="9216" max="9216" width="7.44140625" style="119" bestFit="1" customWidth="1"/>
    <col min="9217" max="9217" width="13.5546875" style="119" customWidth="1"/>
    <col min="9218" max="9218" width="7.71875" style="119" customWidth="1"/>
    <col min="9219" max="9219" width="8.27734375" style="119" bestFit="1" customWidth="1"/>
    <col min="9220" max="9220" width="8.44140625" style="119" bestFit="1" customWidth="1"/>
    <col min="9221" max="9221" width="14.44140625" style="119" customWidth="1"/>
    <col min="9222" max="9222" width="8.71875" style="119" customWidth="1"/>
    <col min="9223" max="9223" width="12.27734375" style="119" customWidth="1"/>
    <col min="9224" max="9224" width="8.44140625" style="119" customWidth="1"/>
    <col min="9225" max="9226" width="11.5546875" style="119" customWidth="1"/>
    <col min="9227" max="9227" width="11.71875" style="119" customWidth="1"/>
    <col min="9228" max="9228" width="11.5546875" style="119" customWidth="1"/>
    <col min="9229" max="9229" width="10.44140625" style="119" customWidth="1"/>
    <col min="9230" max="9230" width="11.71875" style="119" customWidth="1"/>
    <col min="9231" max="9231" width="10.44140625" style="119" customWidth="1"/>
    <col min="9232" max="9232" width="12" style="119" customWidth="1"/>
    <col min="9233" max="9233" width="16.71875" style="119" customWidth="1"/>
    <col min="9234" max="9234" width="12.44140625" style="119" customWidth="1"/>
    <col min="9235" max="9235" width="9.27734375" style="119" customWidth="1"/>
    <col min="9236" max="9236" width="13" style="119" customWidth="1"/>
    <col min="9237" max="9237" width="12" style="119" customWidth="1"/>
    <col min="9238" max="9238" width="18.44140625" style="119" customWidth="1"/>
    <col min="9239" max="9470" width="11.44140625" style="119"/>
    <col min="9471" max="9471" width="59.5546875" style="119" customWidth="1"/>
    <col min="9472" max="9472" width="7.44140625" style="119" bestFit="1" customWidth="1"/>
    <col min="9473" max="9473" width="13.5546875" style="119" customWidth="1"/>
    <col min="9474" max="9474" width="7.71875" style="119" customWidth="1"/>
    <col min="9475" max="9475" width="8.27734375" style="119" bestFit="1" customWidth="1"/>
    <col min="9476" max="9476" width="8.44140625" style="119" bestFit="1" customWidth="1"/>
    <col min="9477" max="9477" width="14.44140625" style="119" customWidth="1"/>
    <col min="9478" max="9478" width="8.71875" style="119" customWidth="1"/>
    <col min="9479" max="9479" width="12.27734375" style="119" customWidth="1"/>
    <col min="9480" max="9480" width="8.44140625" style="119" customWidth="1"/>
    <col min="9481" max="9482" width="11.5546875" style="119" customWidth="1"/>
    <col min="9483" max="9483" width="11.71875" style="119" customWidth="1"/>
    <col min="9484" max="9484" width="11.5546875" style="119" customWidth="1"/>
    <col min="9485" max="9485" width="10.44140625" style="119" customWidth="1"/>
    <col min="9486" max="9486" width="11.71875" style="119" customWidth="1"/>
    <col min="9487" max="9487" width="10.44140625" style="119" customWidth="1"/>
    <col min="9488" max="9488" width="12" style="119" customWidth="1"/>
    <col min="9489" max="9489" width="16.71875" style="119" customWidth="1"/>
    <col min="9490" max="9490" width="12.44140625" style="119" customWidth="1"/>
    <col min="9491" max="9491" width="9.27734375" style="119" customWidth="1"/>
    <col min="9492" max="9492" width="13" style="119" customWidth="1"/>
    <col min="9493" max="9493" width="12" style="119" customWidth="1"/>
    <col min="9494" max="9494" width="18.44140625" style="119" customWidth="1"/>
    <col min="9495" max="9726" width="11.44140625" style="119"/>
    <col min="9727" max="9727" width="59.5546875" style="119" customWidth="1"/>
    <col min="9728" max="9728" width="7.44140625" style="119" bestFit="1" customWidth="1"/>
    <col min="9729" max="9729" width="13.5546875" style="119" customWidth="1"/>
    <col min="9730" max="9730" width="7.71875" style="119" customWidth="1"/>
    <col min="9731" max="9731" width="8.27734375" style="119" bestFit="1" customWidth="1"/>
    <col min="9732" max="9732" width="8.44140625" style="119" bestFit="1" customWidth="1"/>
    <col min="9733" max="9733" width="14.44140625" style="119" customWidth="1"/>
    <col min="9734" max="9734" width="8.71875" style="119" customWidth="1"/>
    <col min="9735" max="9735" width="12.27734375" style="119" customWidth="1"/>
    <col min="9736" max="9736" width="8.44140625" style="119" customWidth="1"/>
    <col min="9737" max="9738" width="11.5546875" style="119" customWidth="1"/>
    <col min="9739" max="9739" width="11.71875" style="119" customWidth="1"/>
    <col min="9740" max="9740" width="11.5546875" style="119" customWidth="1"/>
    <col min="9741" max="9741" width="10.44140625" style="119" customWidth="1"/>
    <col min="9742" max="9742" width="11.71875" style="119" customWidth="1"/>
    <col min="9743" max="9743" width="10.44140625" style="119" customWidth="1"/>
    <col min="9744" max="9744" width="12" style="119" customWidth="1"/>
    <col min="9745" max="9745" width="16.71875" style="119" customWidth="1"/>
    <col min="9746" max="9746" width="12.44140625" style="119" customWidth="1"/>
    <col min="9747" max="9747" width="9.27734375" style="119" customWidth="1"/>
    <col min="9748" max="9748" width="13" style="119" customWidth="1"/>
    <col min="9749" max="9749" width="12" style="119" customWidth="1"/>
    <col min="9750" max="9750" width="18.44140625" style="119" customWidth="1"/>
    <col min="9751" max="9982" width="11.44140625" style="119"/>
    <col min="9983" max="9983" width="59.5546875" style="119" customWidth="1"/>
    <col min="9984" max="9984" width="7.44140625" style="119" bestFit="1" customWidth="1"/>
    <col min="9985" max="9985" width="13.5546875" style="119" customWidth="1"/>
    <col min="9986" max="9986" width="7.71875" style="119" customWidth="1"/>
    <col min="9987" max="9987" width="8.27734375" style="119" bestFit="1" customWidth="1"/>
    <col min="9988" max="9988" width="8.44140625" style="119" bestFit="1" customWidth="1"/>
    <col min="9989" max="9989" width="14.44140625" style="119" customWidth="1"/>
    <col min="9990" max="9990" width="8.71875" style="119" customWidth="1"/>
    <col min="9991" max="9991" width="12.27734375" style="119" customWidth="1"/>
    <col min="9992" max="9992" width="8.44140625" style="119" customWidth="1"/>
    <col min="9993" max="9994" width="11.5546875" style="119" customWidth="1"/>
    <col min="9995" max="9995" width="11.71875" style="119" customWidth="1"/>
    <col min="9996" max="9996" width="11.5546875" style="119" customWidth="1"/>
    <col min="9997" max="9997" width="10.44140625" style="119" customWidth="1"/>
    <col min="9998" max="9998" width="11.71875" style="119" customWidth="1"/>
    <col min="9999" max="9999" width="10.44140625" style="119" customWidth="1"/>
    <col min="10000" max="10000" width="12" style="119" customWidth="1"/>
    <col min="10001" max="10001" width="16.71875" style="119" customWidth="1"/>
    <col min="10002" max="10002" width="12.44140625" style="119" customWidth="1"/>
    <col min="10003" max="10003" width="9.27734375" style="119" customWidth="1"/>
    <col min="10004" max="10004" width="13" style="119" customWidth="1"/>
    <col min="10005" max="10005" width="12" style="119" customWidth="1"/>
    <col min="10006" max="10006" width="18.44140625" style="119" customWidth="1"/>
    <col min="10007" max="10238" width="11.44140625" style="119"/>
    <col min="10239" max="10239" width="59.5546875" style="119" customWidth="1"/>
    <col min="10240" max="10240" width="7.44140625" style="119" bestFit="1" customWidth="1"/>
    <col min="10241" max="10241" width="13.5546875" style="119" customWidth="1"/>
    <col min="10242" max="10242" width="7.71875" style="119" customWidth="1"/>
    <col min="10243" max="10243" width="8.27734375" style="119" bestFit="1" customWidth="1"/>
    <col min="10244" max="10244" width="8.44140625" style="119" bestFit="1" customWidth="1"/>
    <col min="10245" max="10245" width="14.44140625" style="119" customWidth="1"/>
    <col min="10246" max="10246" width="8.71875" style="119" customWidth="1"/>
    <col min="10247" max="10247" width="12.27734375" style="119" customWidth="1"/>
    <col min="10248" max="10248" width="8.44140625" style="119" customWidth="1"/>
    <col min="10249" max="10250" width="11.5546875" style="119" customWidth="1"/>
    <col min="10251" max="10251" width="11.71875" style="119" customWidth="1"/>
    <col min="10252" max="10252" width="11.5546875" style="119" customWidth="1"/>
    <col min="10253" max="10253" width="10.44140625" style="119" customWidth="1"/>
    <col min="10254" max="10254" width="11.71875" style="119" customWidth="1"/>
    <col min="10255" max="10255" width="10.44140625" style="119" customWidth="1"/>
    <col min="10256" max="10256" width="12" style="119" customWidth="1"/>
    <col min="10257" max="10257" width="16.71875" style="119" customWidth="1"/>
    <col min="10258" max="10258" width="12.44140625" style="119" customWidth="1"/>
    <col min="10259" max="10259" width="9.27734375" style="119" customWidth="1"/>
    <col min="10260" max="10260" width="13" style="119" customWidth="1"/>
    <col min="10261" max="10261" width="12" style="119" customWidth="1"/>
    <col min="10262" max="10262" width="18.44140625" style="119" customWidth="1"/>
    <col min="10263" max="10494" width="11.44140625" style="119"/>
    <col min="10495" max="10495" width="59.5546875" style="119" customWidth="1"/>
    <col min="10496" max="10496" width="7.44140625" style="119" bestFit="1" customWidth="1"/>
    <col min="10497" max="10497" width="13.5546875" style="119" customWidth="1"/>
    <col min="10498" max="10498" width="7.71875" style="119" customWidth="1"/>
    <col min="10499" max="10499" width="8.27734375" style="119" bestFit="1" customWidth="1"/>
    <col min="10500" max="10500" width="8.44140625" style="119" bestFit="1" customWidth="1"/>
    <col min="10501" max="10501" width="14.44140625" style="119" customWidth="1"/>
    <col min="10502" max="10502" width="8.71875" style="119" customWidth="1"/>
    <col min="10503" max="10503" width="12.27734375" style="119" customWidth="1"/>
    <col min="10504" max="10504" width="8.44140625" style="119" customWidth="1"/>
    <col min="10505" max="10506" width="11.5546875" style="119" customWidth="1"/>
    <col min="10507" max="10507" width="11.71875" style="119" customWidth="1"/>
    <col min="10508" max="10508" width="11.5546875" style="119" customWidth="1"/>
    <col min="10509" max="10509" width="10.44140625" style="119" customWidth="1"/>
    <col min="10510" max="10510" width="11.71875" style="119" customWidth="1"/>
    <col min="10511" max="10511" width="10.44140625" style="119" customWidth="1"/>
    <col min="10512" max="10512" width="12" style="119" customWidth="1"/>
    <col min="10513" max="10513" width="16.71875" style="119" customWidth="1"/>
    <col min="10514" max="10514" width="12.44140625" style="119" customWidth="1"/>
    <col min="10515" max="10515" width="9.27734375" style="119" customWidth="1"/>
    <col min="10516" max="10516" width="13" style="119" customWidth="1"/>
    <col min="10517" max="10517" width="12" style="119" customWidth="1"/>
    <col min="10518" max="10518" width="18.44140625" style="119" customWidth="1"/>
    <col min="10519" max="10750" width="11.44140625" style="119"/>
    <col min="10751" max="10751" width="59.5546875" style="119" customWidth="1"/>
    <col min="10752" max="10752" width="7.44140625" style="119" bestFit="1" customWidth="1"/>
    <col min="10753" max="10753" width="13.5546875" style="119" customWidth="1"/>
    <col min="10754" max="10754" width="7.71875" style="119" customWidth="1"/>
    <col min="10755" max="10755" width="8.27734375" style="119" bestFit="1" customWidth="1"/>
    <col min="10756" max="10756" width="8.44140625" style="119" bestFit="1" customWidth="1"/>
    <col min="10757" max="10757" width="14.44140625" style="119" customWidth="1"/>
    <col min="10758" max="10758" width="8.71875" style="119" customWidth="1"/>
    <col min="10759" max="10759" width="12.27734375" style="119" customWidth="1"/>
    <col min="10760" max="10760" width="8.44140625" style="119" customWidth="1"/>
    <col min="10761" max="10762" width="11.5546875" style="119" customWidth="1"/>
    <col min="10763" max="10763" width="11.71875" style="119" customWidth="1"/>
    <col min="10764" max="10764" width="11.5546875" style="119" customWidth="1"/>
    <col min="10765" max="10765" width="10.44140625" style="119" customWidth="1"/>
    <col min="10766" max="10766" width="11.71875" style="119" customWidth="1"/>
    <col min="10767" max="10767" width="10.44140625" style="119" customWidth="1"/>
    <col min="10768" max="10768" width="12" style="119" customWidth="1"/>
    <col min="10769" max="10769" width="16.71875" style="119" customWidth="1"/>
    <col min="10770" max="10770" width="12.44140625" style="119" customWidth="1"/>
    <col min="10771" max="10771" width="9.27734375" style="119" customWidth="1"/>
    <col min="10772" max="10772" width="13" style="119" customWidth="1"/>
    <col min="10773" max="10773" width="12" style="119" customWidth="1"/>
    <col min="10774" max="10774" width="18.44140625" style="119" customWidth="1"/>
    <col min="10775" max="11006" width="11.44140625" style="119"/>
    <col min="11007" max="11007" width="59.5546875" style="119" customWidth="1"/>
    <col min="11008" max="11008" width="7.44140625" style="119" bestFit="1" customWidth="1"/>
    <col min="11009" max="11009" width="13.5546875" style="119" customWidth="1"/>
    <col min="11010" max="11010" width="7.71875" style="119" customWidth="1"/>
    <col min="11011" max="11011" width="8.27734375" style="119" bestFit="1" customWidth="1"/>
    <col min="11012" max="11012" width="8.44140625" style="119" bestFit="1" customWidth="1"/>
    <col min="11013" max="11013" width="14.44140625" style="119" customWidth="1"/>
    <col min="11014" max="11014" width="8.71875" style="119" customWidth="1"/>
    <col min="11015" max="11015" width="12.27734375" style="119" customWidth="1"/>
    <col min="11016" max="11016" width="8.44140625" style="119" customWidth="1"/>
    <col min="11017" max="11018" width="11.5546875" style="119" customWidth="1"/>
    <col min="11019" max="11019" width="11.71875" style="119" customWidth="1"/>
    <col min="11020" max="11020" width="11.5546875" style="119" customWidth="1"/>
    <col min="11021" max="11021" width="10.44140625" style="119" customWidth="1"/>
    <col min="11022" max="11022" width="11.71875" style="119" customWidth="1"/>
    <col min="11023" max="11023" width="10.44140625" style="119" customWidth="1"/>
    <col min="11024" max="11024" width="12" style="119" customWidth="1"/>
    <col min="11025" max="11025" width="16.71875" style="119" customWidth="1"/>
    <col min="11026" max="11026" width="12.44140625" style="119" customWidth="1"/>
    <col min="11027" max="11027" width="9.27734375" style="119" customWidth="1"/>
    <col min="11028" max="11028" width="13" style="119" customWidth="1"/>
    <col min="11029" max="11029" width="12" style="119" customWidth="1"/>
    <col min="11030" max="11030" width="18.44140625" style="119" customWidth="1"/>
    <col min="11031" max="11262" width="11.44140625" style="119"/>
    <col min="11263" max="11263" width="59.5546875" style="119" customWidth="1"/>
    <col min="11264" max="11264" width="7.44140625" style="119" bestFit="1" customWidth="1"/>
    <col min="11265" max="11265" width="13.5546875" style="119" customWidth="1"/>
    <col min="11266" max="11266" width="7.71875" style="119" customWidth="1"/>
    <col min="11267" max="11267" width="8.27734375" style="119" bestFit="1" customWidth="1"/>
    <col min="11268" max="11268" width="8.44140625" style="119" bestFit="1" customWidth="1"/>
    <col min="11269" max="11269" width="14.44140625" style="119" customWidth="1"/>
    <col min="11270" max="11270" width="8.71875" style="119" customWidth="1"/>
    <col min="11271" max="11271" width="12.27734375" style="119" customWidth="1"/>
    <col min="11272" max="11272" width="8.44140625" style="119" customWidth="1"/>
    <col min="11273" max="11274" width="11.5546875" style="119" customWidth="1"/>
    <col min="11275" max="11275" width="11.71875" style="119" customWidth="1"/>
    <col min="11276" max="11276" width="11.5546875" style="119" customWidth="1"/>
    <col min="11277" max="11277" width="10.44140625" style="119" customWidth="1"/>
    <col min="11278" max="11278" width="11.71875" style="119" customWidth="1"/>
    <col min="11279" max="11279" width="10.44140625" style="119" customWidth="1"/>
    <col min="11280" max="11280" width="12" style="119" customWidth="1"/>
    <col min="11281" max="11281" width="16.71875" style="119" customWidth="1"/>
    <col min="11282" max="11282" width="12.44140625" style="119" customWidth="1"/>
    <col min="11283" max="11283" width="9.27734375" style="119" customWidth="1"/>
    <col min="11284" max="11284" width="13" style="119" customWidth="1"/>
    <col min="11285" max="11285" width="12" style="119" customWidth="1"/>
    <col min="11286" max="11286" width="18.44140625" style="119" customWidth="1"/>
    <col min="11287" max="11518" width="11.44140625" style="119"/>
    <col min="11519" max="11519" width="59.5546875" style="119" customWidth="1"/>
    <col min="11520" max="11520" width="7.44140625" style="119" bestFit="1" customWidth="1"/>
    <col min="11521" max="11521" width="13.5546875" style="119" customWidth="1"/>
    <col min="11522" max="11522" width="7.71875" style="119" customWidth="1"/>
    <col min="11523" max="11523" width="8.27734375" style="119" bestFit="1" customWidth="1"/>
    <col min="11524" max="11524" width="8.44140625" style="119" bestFit="1" customWidth="1"/>
    <col min="11525" max="11525" width="14.44140625" style="119" customWidth="1"/>
    <col min="11526" max="11526" width="8.71875" style="119" customWidth="1"/>
    <col min="11527" max="11527" width="12.27734375" style="119" customWidth="1"/>
    <col min="11528" max="11528" width="8.44140625" style="119" customWidth="1"/>
    <col min="11529" max="11530" width="11.5546875" style="119" customWidth="1"/>
    <col min="11531" max="11531" width="11.71875" style="119" customWidth="1"/>
    <col min="11532" max="11532" width="11.5546875" style="119" customWidth="1"/>
    <col min="11533" max="11533" width="10.44140625" style="119" customWidth="1"/>
    <col min="11534" max="11534" width="11.71875" style="119" customWidth="1"/>
    <col min="11535" max="11535" width="10.44140625" style="119" customWidth="1"/>
    <col min="11536" max="11536" width="12" style="119" customWidth="1"/>
    <col min="11537" max="11537" width="16.71875" style="119" customWidth="1"/>
    <col min="11538" max="11538" width="12.44140625" style="119" customWidth="1"/>
    <col min="11539" max="11539" width="9.27734375" style="119" customWidth="1"/>
    <col min="11540" max="11540" width="13" style="119" customWidth="1"/>
    <col min="11541" max="11541" width="12" style="119" customWidth="1"/>
    <col min="11542" max="11542" width="18.44140625" style="119" customWidth="1"/>
    <col min="11543" max="11774" width="11.44140625" style="119"/>
    <col min="11775" max="11775" width="59.5546875" style="119" customWidth="1"/>
    <col min="11776" max="11776" width="7.44140625" style="119" bestFit="1" customWidth="1"/>
    <col min="11777" max="11777" width="13.5546875" style="119" customWidth="1"/>
    <col min="11778" max="11778" width="7.71875" style="119" customWidth="1"/>
    <col min="11779" max="11779" width="8.27734375" style="119" bestFit="1" customWidth="1"/>
    <col min="11780" max="11780" width="8.44140625" style="119" bestFit="1" customWidth="1"/>
    <col min="11781" max="11781" width="14.44140625" style="119" customWidth="1"/>
    <col min="11782" max="11782" width="8.71875" style="119" customWidth="1"/>
    <col min="11783" max="11783" width="12.27734375" style="119" customWidth="1"/>
    <col min="11784" max="11784" width="8.44140625" style="119" customWidth="1"/>
    <col min="11785" max="11786" width="11.5546875" style="119" customWidth="1"/>
    <col min="11787" max="11787" width="11.71875" style="119" customWidth="1"/>
    <col min="11788" max="11788" width="11.5546875" style="119" customWidth="1"/>
    <col min="11789" max="11789" width="10.44140625" style="119" customWidth="1"/>
    <col min="11790" max="11790" width="11.71875" style="119" customWidth="1"/>
    <col min="11791" max="11791" width="10.44140625" style="119" customWidth="1"/>
    <col min="11792" max="11792" width="12" style="119" customWidth="1"/>
    <col min="11793" max="11793" width="16.71875" style="119" customWidth="1"/>
    <col min="11794" max="11794" width="12.44140625" style="119" customWidth="1"/>
    <col min="11795" max="11795" width="9.27734375" style="119" customWidth="1"/>
    <col min="11796" max="11796" width="13" style="119" customWidth="1"/>
    <col min="11797" max="11797" width="12" style="119" customWidth="1"/>
    <col min="11798" max="11798" width="18.44140625" style="119" customWidth="1"/>
    <col min="11799" max="12030" width="11.44140625" style="119"/>
    <col min="12031" max="12031" width="59.5546875" style="119" customWidth="1"/>
    <col min="12032" max="12032" width="7.44140625" style="119" bestFit="1" customWidth="1"/>
    <col min="12033" max="12033" width="13.5546875" style="119" customWidth="1"/>
    <col min="12034" max="12034" width="7.71875" style="119" customWidth="1"/>
    <col min="12035" max="12035" width="8.27734375" style="119" bestFit="1" customWidth="1"/>
    <col min="12036" max="12036" width="8.44140625" style="119" bestFit="1" customWidth="1"/>
    <col min="12037" max="12037" width="14.44140625" style="119" customWidth="1"/>
    <col min="12038" max="12038" width="8.71875" style="119" customWidth="1"/>
    <col min="12039" max="12039" width="12.27734375" style="119" customWidth="1"/>
    <col min="12040" max="12040" width="8.44140625" style="119" customWidth="1"/>
    <col min="12041" max="12042" width="11.5546875" style="119" customWidth="1"/>
    <col min="12043" max="12043" width="11.71875" style="119" customWidth="1"/>
    <col min="12044" max="12044" width="11.5546875" style="119" customWidth="1"/>
    <col min="12045" max="12045" width="10.44140625" style="119" customWidth="1"/>
    <col min="12046" max="12046" width="11.71875" style="119" customWidth="1"/>
    <col min="12047" max="12047" width="10.44140625" style="119" customWidth="1"/>
    <col min="12048" max="12048" width="12" style="119" customWidth="1"/>
    <col min="12049" max="12049" width="16.71875" style="119" customWidth="1"/>
    <col min="12050" max="12050" width="12.44140625" style="119" customWidth="1"/>
    <col min="12051" max="12051" width="9.27734375" style="119" customWidth="1"/>
    <col min="12052" max="12052" width="13" style="119" customWidth="1"/>
    <col min="12053" max="12053" width="12" style="119" customWidth="1"/>
    <col min="12054" max="12054" width="18.44140625" style="119" customWidth="1"/>
    <col min="12055" max="12286" width="11.44140625" style="119"/>
    <col min="12287" max="12287" width="59.5546875" style="119" customWidth="1"/>
    <col min="12288" max="12288" width="7.44140625" style="119" bestFit="1" customWidth="1"/>
    <col min="12289" max="12289" width="13.5546875" style="119" customWidth="1"/>
    <col min="12290" max="12290" width="7.71875" style="119" customWidth="1"/>
    <col min="12291" max="12291" width="8.27734375" style="119" bestFit="1" customWidth="1"/>
    <col min="12292" max="12292" width="8.44140625" style="119" bestFit="1" customWidth="1"/>
    <col min="12293" max="12293" width="14.44140625" style="119" customWidth="1"/>
    <col min="12294" max="12294" width="8.71875" style="119" customWidth="1"/>
    <col min="12295" max="12295" width="12.27734375" style="119" customWidth="1"/>
    <col min="12296" max="12296" width="8.44140625" style="119" customWidth="1"/>
    <col min="12297" max="12298" width="11.5546875" style="119" customWidth="1"/>
    <col min="12299" max="12299" width="11.71875" style="119" customWidth="1"/>
    <col min="12300" max="12300" width="11.5546875" style="119" customWidth="1"/>
    <col min="12301" max="12301" width="10.44140625" style="119" customWidth="1"/>
    <col min="12302" max="12302" width="11.71875" style="119" customWidth="1"/>
    <col min="12303" max="12303" width="10.44140625" style="119" customWidth="1"/>
    <col min="12304" max="12304" width="12" style="119" customWidth="1"/>
    <col min="12305" max="12305" width="16.71875" style="119" customWidth="1"/>
    <col min="12306" max="12306" width="12.44140625" style="119" customWidth="1"/>
    <col min="12307" max="12307" width="9.27734375" style="119" customWidth="1"/>
    <col min="12308" max="12308" width="13" style="119" customWidth="1"/>
    <col min="12309" max="12309" width="12" style="119" customWidth="1"/>
    <col min="12310" max="12310" width="18.44140625" style="119" customWidth="1"/>
    <col min="12311" max="12542" width="11.44140625" style="119"/>
    <col min="12543" max="12543" width="59.5546875" style="119" customWidth="1"/>
    <col min="12544" max="12544" width="7.44140625" style="119" bestFit="1" customWidth="1"/>
    <col min="12545" max="12545" width="13.5546875" style="119" customWidth="1"/>
    <col min="12546" max="12546" width="7.71875" style="119" customWidth="1"/>
    <col min="12547" max="12547" width="8.27734375" style="119" bestFit="1" customWidth="1"/>
    <col min="12548" max="12548" width="8.44140625" style="119" bestFit="1" customWidth="1"/>
    <col min="12549" max="12549" width="14.44140625" style="119" customWidth="1"/>
    <col min="12550" max="12550" width="8.71875" style="119" customWidth="1"/>
    <col min="12551" max="12551" width="12.27734375" style="119" customWidth="1"/>
    <col min="12552" max="12552" width="8.44140625" style="119" customWidth="1"/>
    <col min="12553" max="12554" width="11.5546875" style="119" customWidth="1"/>
    <col min="12555" max="12555" width="11.71875" style="119" customWidth="1"/>
    <col min="12556" max="12556" width="11.5546875" style="119" customWidth="1"/>
    <col min="12557" max="12557" width="10.44140625" style="119" customWidth="1"/>
    <col min="12558" max="12558" width="11.71875" style="119" customWidth="1"/>
    <col min="12559" max="12559" width="10.44140625" style="119" customWidth="1"/>
    <col min="12560" max="12560" width="12" style="119" customWidth="1"/>
    <col min="12561" max="12561" width="16.71875" style="119" customWidth="1"/>
    <col min="12562" max="12562" width="12.44140625" style="119" customWidth="1"/>
    <col min="12563" max="12563" width="9.27734375" style="119" customWidth="1"/>
    <col min="12564" max="12564" width="13" style="119" customWidth="1"/>
    <col min="12565" max="12565" width="12" style="119" customWidth="1"/>
    <col min="12566" max="12566" width="18.44140625" style="119" customWidth="1"/>
    <col min="12567" max="12798" width="11.44140625" style="119"/>
    <col min="12799" max="12799" width="59.5546875" style="119" customWidth="1"/>
    <col min="12800" max="12800" width="7.44140625" style="119" bestFit="1" customWidth="1"/>
    <col min="12801" max="12801" width="13.5546875" style="119" customWidth="1"/>
    <col min="12802" max="12802" width="7.71875" style="119" customWidth="1"/>
    <col min="12803" max="12803" width="8.27734375" style="119" bestFit="1" customWidth="1"/>
    <col min="12804" max="12804" width="8.44140625" style="119" bestFit="1" customWidth="1"/>
    <col min="12805" max="12805" width="14.44140625" style="119" customWidth="1"/>
    <col min="12806" max="12806" width="8.71875" style="119" customWidth="1"/>
    <col min="12807" max="12807" width="12.27734375" style="119" customWidth="1"/>
    <col min="12808" max="12808" width="8.44140625" style="119" customWidth="1"/>
    <col min="12809" max="12810" width="11.5546875" style="119" customWidth="1"/>
    <col min="12811" max="12811" width="11.71875" style="119" customWidth="1"/>
    <col min="12812" max="12812" width="11.5546875" style="119" customWidth="1"/>
    <col min="12813" max="12813" width="10.44140625" style="119" customWidth="1"/>
    <col min="12814" max="12814" width="11.71875" style="119" customWidth="1"/>
    <col min="12815" max="12815" width="10.44140625" style="119" customWidth="1"/>
    <col min="12816" max="12816" width="12" style="119" customWidth="1"/>
    <col min="12817" max="12817" width="16.71875" style="119" customWidth="1"/>
    <col min="12818" max="12818" width="12.44140625" style="119" customWidth="1"/>
    <col min="12819" max="12819" width="9.27734375" style="119" customWidth="1"/>
    <col min="12820" max="12820" width="13" style="119" customWidth="1"/>
    <col min="12821" max="12821" width="12" style="119" customWidth="1"/>
    <col min="12822" max="12822" width="18.44140625" style="119" customWidth="1"/>
    <col min="12823" max="13054" width="11.44140625" style="119"/>
    <col min="13055" max="13055" width="59.5546875" style="119" customWidth="1"/>
    <col min="13056" max="13056" width="7.44140625" style="119" bestFit="1" customWidth="1"/>
    <col min="13057" max="13057" width="13.5546875" style="119" customWidth="1"/>
    <col min="13058" max="13058" width="7.71875" style="119" customWidth="1"/>
    <col min="13059" max="13059" width="8.27734375" style="119" bestFit="1" customWidth="1"/>
    <col min="13060" max="13060" width="8.44140625" style="119" bestFit="1" customWidth="1"/>
    <col min="13061" max="13061" width="14.44140625" style="119" customWidth="1"/>
    <col min="13062" max="13062" width="8.71875" style="119" customWidth="1"/>
    <col min="13063" max="13063" width="12.27734375" style="119" customWidth="1"/>
    <col min="13064" max="13064" width="8.44140625" style="119" customWidth="1"/>
    <col min="13065" max="13066" width="11.5546875" style="119" customWidth="1"/>
    <col min="13067" max="13067" width="11.71875" style="119" customWidth="1"/>
    <col min="13068" max="13068" width="11.5546875" style="119" customWidth="1"/>
    <col min="13069" max="13069" width="10.44140625" style="119" customWidth="1"/>
    <col min="13070" max="13070" width="11.71875" style="119" customWidth="1"/>
    <col min="13071" max="13071" width="10.44140625" style="119" customWidth="1"/>
    <col min="13072" max="13072" width="12" style="119" customWidth="1"/>
    <col min="13073" max="13073" width="16.71875" style="119" customWidth="1"/>
    <col min="13074" max="13074" width="12.44140625" style="119" customWidth="1"/>
    <col min="13075" max="13075" width="9.27734375" style="119" customWidth="1"/>
    <col min="13076" max="13076" width="13" style="119" customWidth="1"/>
    <col min="13077" max="13077" width="12" style="119" customWidth="1"/>
    <col min="13078" max="13078" width="18.44140625" style="119" customWidth="1"/>
    <col min="13079" max="13310" width="11.44140625" style="119"/>
    <col min="13311" max="13311" width="59.5546875" style="119" customWidth="1"/>
    <col min="13312" max="13312" width="7.44140625" style="119" bestFit="1" customWidth="1"/>
    <col min="13313" max="13313" width="13.5546875" style="119" customWidth="1"/>
    <col min="13314" max="13314" width="7.71875" style="119" customWidth="1"/>
    <col min="13315" max="13315" width="8.27734375" style="119" bestFit="1" customWidth="1"/>
    <col min="13316" max="13316" width="8.44140625" style="119" bestFit="1" customWidth="1"/>
    <col min="13317" max="13317" width="14.44140625" style="119" customWidth="1"/>
    <col min="13318" max="13318" width="8.71875" style="119" customWidth="1"/>
    <col min="13319" max="13319" width="12.27734375" style="119" customWidth="1"/>
    <col min="13320" max="13320" width="8.44140625" style="119" customWidth="1"/>
    <col min="13321" max="13322" width="11.5546875" style="119" customWidth="1"/>
    <col min="13323" max="13323" width="11.71875" style="119" customWidth="1"/>
    <col min="13324" max="13324" width="11.5546875" style="119" customWidth="1"/>
    <col min="13325" max="13325" width="10.44140625" style="119" customWidth="1"/>
    <col min="13326" max="13326" width="11.71875" style="119" customWidth="1"/>
    <col min="13327" max="13327" width="10.44140625" style="119" customWidth="1"/>
    <col min="13328" max="13328" width="12" style="119" customWidth="1"/>
    <col min="13329" max="13329" width="16.71875" style="119" customWidth="1"/>
    <col min="13330" max="13330" width="12.44140625" style="119" customWidth="1"/>
    <col min="13331" max="13331" width="9.27734375" style="119" customWidth="1"/>
    <col min="13332" max="13332" width="13" style="119" customWidth="1"/>
    <col min="13333" max="13333" width="12" style="119" customWidth="1"/>
    <col min="13334" max="13334" width="18.44140625" style="119" customWidth="1"/>
    <col min="13335" max="13566" width="11.44140625" style="119"/>
    <col min="13567" max="13567" width="59.5546875" style="119" customWidth="1"/>
    <col min="13568" max="13568" width="7.44140625" style="119" bestFit="1" customWidth="1"/>
    <col min="13569" max="13569" width="13.5546875" style="119" customWidth="1"/>
    <col min="13570" max="13570" width="7.71875" style="119" customWidth="1"/>
    <col min="13571" max="13571" width="8.27734375" style="119" bestFit="1" customWidth="1"/>
    <col min="13572" max="13572" width="8.44140625" style="119" bestFit="1" customWidth="1"/>
    <col min="13573" max="13573" width="14.44140625" style="119" customWidth="1"/>
    <col min="13574" max="13574" width="8.71875" style="119" customWidth="1"/>
    <col min="13575" max="13575" width="12.27734375" style="119" customWidth="1"/>
    <col min="13576" max="13576" width="8.44140625" style="119" customWidth="1"/>
    <col min="13577" max="13578" width="11.5546875" style="119" customWidth="1"/>
    <col min="13579" max="13579" width="11.71875" style="119" customWidth="1"/>
    <col min="13580" max="13580" width="11.5546875" style="119" customWidth="1"/>
    <col min="13581" max="13581" width="10.44140625" style="119" customWidth="1"/>
    <col min="13582" max="13582" width="11.71875" style="119" customWidth="1"/>
    <col min="13583" max="13583" width="10.44140625" style="119" customWidth="1"/>
    <col min="13584" max="13584" width="12" style="119" customWidth="1"/>
    <col min="13585" max="13585" width="16.71875" style="119" customWidth="1"/>
    <col min="13586" max="13586" width="12.44140625" style="119" customWidth="1"/>
    <col min="13587" max="13587" width="9.27734375" style="119" customWidth="1"/>
    <col min="13588" max="13588" width="13" style="119" customWidth="1"/>
    <col min="13589" max="13589" width="12" style="119" customWidth="1"/>
    <col min="13590" max="13590" width="18.44140625" style="119" customWidth="1"/>
    <col min="13591" max="13822" width="11.44140625" style="119"/>
    <col min="13823" max="13823" width="59.5546875" style="119" customWidth="1"/>
    <col min="13824" max="13824" width="7.44140625" style="119" bestFit="1" customWidth="1"/>
    <col min="13825" max="13825" width="13.5546875" style="119" customWidth="1"/>
    <col min="13826" max="13826" width="7.71875" style="119" customWidth="1"/>
    <col min="13827" max="13827" width="8.27734375" style="119" bestFit="1" customWidth="1"/>
    <col min="13828" max="13828" width="8.44140625" style="119" bestFit="1" customWidth="1"/>
    <col min="13829" max="13829" width="14.44140625" style="119" customWidth="1"/>
    <col min="13830" max="13830" width="8.71875" style="119" customWidth="1"/>
    <col min="13831" max="13831" width="12.27734375" style="119" customWidth="1"/>
    <col min="13832" max="13832" width="8.44140625" style="119" customWidth="1"/>
    <col min="13833" max="13834" width="11.5546875" style="119" customWidth="1"/>
    <col min="13835" max="13835" width="11.71875" style="119" customWidth="1"/>
    <col min="13836" max="13836" width="11.5546875" style="119" customWidth="1"/>
    <col min="13837" max="13837" width="10.44140625" style="119" customWidth="1"/>
    <col min="13838" max="13838" width="11.71875" style="119" customWidth="1"/>
    <col min="13839" max="13839" width="10.44140625" style="119" customWidth="1"/>
    <col min="13840" max="13840" width="12" style="119" customWidth="1"/>
    <col min="13841" max="13841" width="16.71875" style="119" customWidth="1"/>
    <col min="13842" max="13842" width="12.44140625" style="119" customWidth="1"/>
    <col min="13843" max="13843" width="9.27734375" style="119" customWidth="1"/>
    <col min="13844" max="13844" width="13" style="119" customWidth="1"/>
    <col min="13845" max="13845" width="12" style="119" customWidth="1"/>
    <col min="13846" max="13846" width="18.44140625" style="119" customWidth="1"/>
    <col min="13847" max="14078" width="11.44140625" style="119"/>
    <col min="14079" max="14079" width="59.5546875" style="119" customWidth="1"/>
    <col min="14080" max="14080" width="7.44140625" style="119" bestFit="1" customWidth="1"/>
    <col min="14081" max="14081" width="13.5546875" style="119" customWidth="1"/>
    <col min="14082" max="14082" width="7.71875" style="119" customWidth="1"/>
    <col min="14083" max="14083" width="8.27734375" style="119" bestFit="1" customWidth="1"/>
    <col min="14084" max="14084" width="8.44140625" style="119" bestFit="1" customWidth="1"/>
    <col min="14085" max="14085" width="14.44140625" style="119" customWidth="1"/>
    <col min="14086" max="14086" width="8.71875" style="119" customWidth="1"/>
    <col min="14087" max="14087" width="12.27734375" style="119" customWidth="1"/>
    <col min="14088" max="14088" width="8.44140625" style="119" customWidth="1"/>
    <col min="14089" max="14090" width="11.5546875" style="119" customWidth="1"/>
    <col min="14091" max="14091" width="11.71875" style="119" customWidth="1"/>
    <col min="14092" max="14092" width="11.5546875" style="119" customWidth="1"/>
    <col min="14093" max="14093" width="10.44140625" style="119" customWidth="1"/>
    <col min="14094" max="14094" width="11.71875" style="119" customWidth="1"/>
    <col min="14095" max="14095" width="10.44140625" style="119" customWidth="1"/>
    <col min="14096" max="14096" width="12" style="119" customWidth="1"/>
    <col min="14097" max="14097" width="16.71875" style="119" customWidth="1"/>
    <col min="14098" max="14098" width="12.44140625" style="119" customWidth="1"/>
    <col min="14099" max="14099" width="9.27734375" style="119" customWidth="1"/>
    <col min="14100" max="14100" width="13" style="119" customWidth="1"/>
    <col min="14101" max="14101" width="12" style="119" customWidth="1"/>
    <col min="14102" max="14102" width="18.44140625" style="119" customWidth="1"/>
    <col min="14103" max="14334" width="11.44140625" style="119"/>
    <col min="14335" max="14335" width="59.5546875" style="119" customWidth="1"/>
    <col min="14336" max="14336" width="7.44140625" style="119" bestFit="1" customWidth="1"/>
    <col min="14337" max="14337" width="13.5546875" style="119" customWidth="1"/>
    <col min="14338" max="14338" width="7.71875" style="119" customWidth="1"/>
    <col min="14339" max="14339" width="8.27734375" style="119" bestFit="1" customWidth="1"/>
    <col min="14340" max="14340" width="8.44140625" style="119" bestFit="1" customWidth="1"/>
    <col min="14341" max="14341" width="14.44140625" style="119" customWidth="1"/>
    <col min="14342" max="14342" width="8.71875" style="119" customWidth="1"/>
    <col min="14343" max="14343" width="12.27734375" style="119" customWidth="1"/>
    <col min="14344" max="14344" width="8.44140625" style="119" customWidth="1"/>
    <col min="14345" max="14346" width="11.5546875" style="119" customWidth="1"/>
    <col min="14347" max="14347" width="11.71875" style="119" customWidth="1"/>
    <col min="14348" max="14348" width="11.5546875" style="119" customWidth="1"/>
    <col min="14349" max="14349" width="10.44140625" style="119" customWidth="1"/>
    <col min="14350" max="14350" width="11.71875" style="119" customWidth="1"/>
    <col min="14351" max="14351" width="10.44140625" style="119" customWidth="1"/>
    <col min="14352" max="14352" width="12" style="119" customWidth="1"/>
    <col min="14353" max="14353" width="16.71875" style="119" customWidth="1"/>
    <col min="14354" max="14354" width="12.44140625" style="119" customWidth="1"/>
    <col min="14355" max="14355" width="9.27734375" style="119" customWidth="1"/>
    <col min="14356" max="14356" width="13" style="119" customWidth="1"/>
    <col min="14357" max="14357" width="12" style="119" customWidth="1"/>
    <col min="14358" max="14358" width="18.44140625" style="119" customWidth="1"/>
    <col min="14359" max="14590" width="11.44140625" style="119"/>
    <col min="14591" max="14591" width="59.5546875" style="119" customWidth="1"/>
    <col min="14592" max="14592" width="7.44140625" style="119" bestFit="1" customWidth="1"/>
    <col min="14593" max="14593" width="13.5546875" style="119" customWidth="1"/>
    <col min="14594" max="14594" width="7.71875" style="119" customWidth="1"/>
    <col min="14595" max="14595" width="8.27734375" style="119" bestFit="1" customWidth="1"/>
    <col min="14596" max="14596" width="8.44140625" style="119" bestFit="1" customWidth="1"/>
    <col min="14597" max="14597" width="14.44140625" style="119" customWidth="1"/>
    <col min="14598" max="14598" width="8.71875" style="119" customWidth="1"/>
    <col min="14599" max="14599" width="12.27734375" style="119" customWidth="1"/>
    <col min="14600" max="14600" width="8.44140625" style="119" customWidth="1"/>
    <col min="14601" max="14602" width="11.5546875" style="119" customWidth="1"/>
    <col min="14603" max="14603" width="11.71875" style="119" customWidth="1"/>
    <col min="14604" max="14604" width="11.5546875" style="119" customWidth="1"/>
    <col min="14605" max="14605" width="10.44140625" style="119" customWidth="1"/>
    <col min="14606" max="14606" width="11.71875" style="119" customWidth="1"/>
    <col min="14607" max="14607" width="10.44140625" style="119" customWidth="1"/>
    <col min="14608" max="14608" width="12" style="119" customWidth="1"/>
    <col min="14609" max="14609" width="16.71875" style="119" customWidth="1"/>
    <col min="14610" max="14610" width="12.44140625" style="119" customWidth="1"/>
    <col min="14611" max="14611" width="9.27734375" style="119" customWidth="1"/>
    <col min="14612" max="14612" width="13" style="119" customWidth="1"/>
    <col min="14613" max="14613" width="12" style="119" customWidth="1"/>
    <col min="14614" max="14614" width="18.44140625" style="119" customWidth="1"/>
    <col min="14615" max="14846" width="11.44140625" style="119"/>
    <col min="14847" max="14847" width="59.5546875" style="119" customWidth="1"/>
    <col min="14848" max="14848" width="7.44140625" style="119" bestFit="1" customWidth="1"/>
    <col min="14849" max="14849" width="13.5546875" style="119" customWidth="1"/>
    <col min="14850" max="14850" width="7.71875" style="119" customWidth="1"/>
    <col min="14851" max="14851" width="8.27734375" style="119" bestFit="1" customWidth="1"/>
    <col min="14852" max="14852" width="8.44140625" style="119" bestFit="1" customWidth="1"/>
    <col min="14853" max="14853" width="14.44140625" style="119" customWidth="1"/>
    <col min="14854" max="14854" width="8.71875" style="119" customWidth="1"/>
    <col min="14855" max="14855" width="12.27734375" style="119" customWidth="1"/>
    <col min="14856" max="14856" width="8.44140625" style="119" customWidth="1"/>
    <col min="14857" max="14858" width="11.5546875" style="119" customWidth="1"/>
    <col min="14859" max="14859" width="11.71875" style="119" customWidth="1"/>
    <col min="14860" max="14860" width="11.5546875" style="119" customWidth="1"/>
    <col min="14861" max="14861" width="10.44140625" style="119" customWidth="1"/>
    <col min="14862" max="14862" width="11.71875" style="119" customWidth="1"/>
    <col min="14863" max="14863" width="10.44140625" style="119" customWidth="1"/>
    <col min="14864" max="14864" width="12" style="119" customWidth="1"/>
    <col min="14865" max="14865" width="16.71875" style="119" customWidth="1"/>
    <col min="14866" max="14866" width="12.44140625" style="119" customWidth="1"/>
    <col min="14867" max="14867" width="9.27734375" style="119" customWidth="1"/>
    <col min="14868" max="14868" width="13" style="119" customWidth="1"/>
    <col min="14869" max="14869" width="12" style="119" customWidth="1"/>
    <col min="14870" max="14870" width="18.44140625" style="119" customWidth="1"/>
    <col min="14871" max="15102" width="11.44140625" style="119"/>
    <col min="15103" max="15103" width="59.5546875" style="119" customWidth="1"/>
    <col min="15104" max="15104" width="7.44140625" style="119" bestFit="1" customWidth="1"/>
    <col min="15105" max="15105" width="13.5546875" style="119" customWidth="1"/>
    <col min="15106" max="15106" width="7.71875" style="119" customWidth="1"/>
    <col min="15107" max="15107" width="8.27734375" style="119" bestFit="1" customWidth="1"/>
    <col min="15108" max="15108" width="8.44140625" style="119" bestFit="1" customWidth="1"/>
    <col min="15109" max="15109" width="14.44140625" style="119" customWidth="1"/>
    <col min="15110" max="15110" width="8.71875" style="119" customWidth="1"/>
    <col min="15111" max="15111" width="12.27734375" style="119" customWidth="1"/>
    <col min="15112" max="15112" width="8.44140625" style="119" customWidth="1"/>
    <col min="15113" max="15114" width="11.5546875" style="119" customWidth="1"/>
    <col min="15115" max="15115" width="11.71875" style="119" customWidth="1"/>
    <col min="15116" max="15116" width="11.5546875" style="119" customWidth="1"/>
    <col min="15117" max="15117" width="10.44140625" style="119" customWidth="1"/>
    <col min="15118" max="15118" width="11.71875" style="119" customWidth="1"/>
    <col min="15119" max="15119" width="10.44140625" style="119" customWidth="1"/>
    <col min="15120" max="15120" width="12" style="119" customWidth="1"/>
    <col min="15121" max="15121" width="16.71875" style="119" customWidth="1"/>
    <col min="15122" max="15122" width="12.44140625" style="119" customWidth="1"/>
    <col min="15123" max="15123" width="9.27734375" style="119" customWidth="1"/>
    <col min="15124" max="15124" width="13" style="119" customWidth="1"/>
    <col min="15125" max="15125" width="12" style="119" customWidth="1"/>
    <col min="15126" max="15126" width="18.44140625" style="119" customWidth="1"/>
    <col min="15127" max="15358" width="11.44140625" style="119"/>
    <col min="15359" max="15359" width="59.5546875" style="119" customWidth="1"/>
    <col min="15360" max="15360" width="7.44140625" style="119" bestFit="1" customWidth="1"/>
    <col min="15361" max="15361" width="13.5546875" style="119" customWidth="1"/>
    <col min="15362" max="15362" width="7.71875" style="119" customWidth="1"/>
    <col min="15363" max="15363" width="8.27734375" style="119" bestFit="1" customWidth="1"/>
    <col min="15364" max="15364" width="8.44140625" style="119" bestFit="1" customWidth="1"/>
    <col min="15365" max="15365" width="14.44140625" style="119" customWidth="1"/>
    <col min="15366" max="15366" width="8.71875" style="119" customWidth="1"/>
    <col min="15367" max="15367" width="12.27734375" style="119" customWidth="1"/>
    <col min="15368" max="15368" width="8.44140625" style="119" customWidth="1"/>
    <col min="15369" max="15370" width="11.5546875" style="119" customWidth="1"/>
    <col min="15371" max="15371" width="11.71875" style="119" customWidth="1"/>
    <col min="15372" max="15372" width="11.5546875" style="119" customWidth="1"/>
    <col min="15373" max="15373" width="10.44140625" style="119" customWidth="1"/>
    <col min="15374" max="15374" width="11.71875" style="119" customWidth="1"/>
    <col min="15375" max="15375" width="10.44140625" style="119" customWidth="1"/>
    <col min="15376" max="15376" width="12" style="119" customWidth="1"/>
    <col min="15377" max="15377" width="16.71875" style="119" customWidth="1"/>
    <col min="15378" max="15378" width="12.44140625" style="119" customWidth="1"/>
    <col min="15379" max="15379" width="9.27734375" style="119" customWidth="1"/>
    <col min="15380" max="15380" width="13" style="119" customWidth="1"/>
    <col min="15381" max="15381" width="12" style="119" customWidth="1"/>
    <col min="15382" max="15382" width="18.44140625" style="119" customWidth="1"/>
    <col min="15383" max="15614" width="11.44140625" style="119"/>
    <col min="15615" max="15615" width="59.5546875" style="119" customWidth="1"/>
    <col min="15616" max="15616" width="7.44140625" style="119" bestFit="1" customWidth="1"/>
    <col min="15617" max="15617" width="13.5546875" style="119" customWidth="1"/>
    <col min="15618" max="15618" width="7.71875" style="119" customWidth="1"/>
    <col min="15619" max="15619" width="8.27734375" style="119" bestFit="1" customWidth="1"/>
    <col min="15620" max="15620" width="8.44140625" style="119" bestFit="1" customWidth="1"/>
    <col min="15621" max="15621" width="14.44140625" style="119" customWidth="1"/>
    <col min="15622" max="15622" width="8.71875" style="119" customWidth="1"/>
    <col min="15623" max="15623" width="12.27734375" style="119" customWidth="1"/>
    <col min="15624" max="15624" width="8.44140625" style="119" customWidth="1"/>
    <col min="15625" max="15626" width="11.5546875" style="119" customWidth="1"/>
    <col min="15627" max="15627" width="11.71875" style="119" customWidth="1"/>
    <col min="15628" max="15628" width="11.5546875" style="119" customWidth="1"/>
    <col min="15629" max="15629" width="10.44140625" style="119" customWidth="1"/>
    <col min="15630" max="15630" width="11.71875" style="119" customWidth="1"/>
    <col min="15631" max="15631" width="10.44140625" style="119" customWidth="1"/>
    <col min="15632" max="15632" width="12" style="119" customWidth="1"/>
    <col min="15633" max="15633" width="16.71875" style="119" customWidth="1"/>
    <col min="15634" max="15634" width="12.44140625" style="119" customWidth="1"/>
    <col min="15635" max="15635" width="9.27734375" style="119" customWidth="1"/>
    <col min="15636" max="15636" width="13" style="119" customWidth="1"/>
    <col min="15637" max="15637" width="12" style="119" customWidth="1"/>
    <col min="15638" max="15638" width="18.44140625" style="119" customWidth="1"/>
    <col min="15639" max="15870" width="11.44140625" style="119"/>
    <col min="15871" max="15871" width="59.5546875" style="119" customWidth="1"/>
    <col min="15872" max="15872" width="7.44140625" style="119" bestFit="1" customWidth="1"/>
    <col min="15873" max="15873" width="13.5546875" style="119" customWidth="1"/>
    <col min="15874" max="15874" width="7.71875" style="119" customWidth="1"/>
    <col min="15875" max="15875" width="8.27734375" style="119" bestFit="1" customWidth="1"/>
    <col min="15876" max="15876" width="8.44140625" style="119" bestFit="1" customWidth="1"/>
    <col min="15877" max="15877" width="14.44140625" style="119" customWidth="1"/>
    <col min="15878" max="15878" width="8.71875" style="119" customWidth="1"/>
    <col min="15879" max="15879" width="12.27734375" style="119" customWidth="1"/>
    <col min="15880" max="15880" width="8.44140625" style="119" customWidth="1"/>
    <col min="15881" max="15882" width="11.5546875" style="119" customWidth="1"/>
    <col min="15883" max="15883" width="11.71875" style="119" customWidth="1"/>
    <col min="15884" max="15884" width="11.5546875" style="119" customWidth="1"/>
    <col min="15885" max="15885" width="10.44140625" style="119" customWidth="1"/>
    <col min="15886" max="15886" width="11.71875" style="119" customWidth="1"/>
    <col min="15887" max="15887" width="10.44140625" style="119" customWidth="1"/>
    <col min="15888" max="15888" width="12" style="119" customWidth="1"/>
    <col min="15889" max="15889" width="16.71875" style="119" customWidth="1"/>
    <col min="15890" max="15890" width="12.44140625" style="119" customWidth="1"/>
    <col min="15891" max="15891" width="9.27734375" style="119" customWidth="1"/>
    <col min="15892" max="15892" width="13" style="119" customWidth="1"/>
    <col min="15893" max="15893" width="12" style="119" customWidth="1"/>
    <col min="15894" max="15894" width="18.44140625" style="119" customWidth="1"/>
    <col min="15895" max="16126" width="11.44140625" style="119"/>
    <col min="16127" max="16127" width="59.5546875" style="119" customWidth="1"/>
    <col min="16128" max="16128" width="7.44140625" style="119" bestFit="1" customWidth="1"/>
    <col min="16129" max="16129" width="13.5546875" style="119" customWidth="1"/>
    <col min="16130" max="16130" width="7.71875" style="119" customWidth="1"/>
    <col min="16131" max="16131" width="8.27734375" style="119" bestFit="1" customWidth="1"/>
    <col min="16132" max="16132" width="8.44140625" style="119" bestFit="1" customWidth="1"/>
    <col min="16133" max="16133" width="14.44140625" style="119" customWidth="1"/>
    <col min="16134" max="16134" width="8.71875" style="119" customWidth="1"/>
    <col min="16135" max="16135" width="12.27734375" style="119" customWidth="1"/>
    <col min="16136" max="16136" width="8.44140625" style="119" customWidth="1"/>
    <col min="16137" max="16138" width="11.5546875" style="119" customWidth="1"/>
    <col min="16139" max="16139" width="11.71875" style="119" customWidth="1"/>
    <col min="16140" max="16140" width="11.5546875" style="119" customWidth="1"/>
    <col min="16141" max="16141" width="10.44140625" style="119" customWidth="1"/>
    <col min="16142" max="16142" width="11.71875" style="119" customWidth="1"/>
    <col min="16143" max="16143" width="10.44140625" style="119" customWidth="1"/>
    <col min="16144" max="16144" width="12" style="119" customWidth="1"/>
    <col min="16145" max="16145" width="16.71875" style="119" customWidth="1"/>
    <col min="16146" max="16146" width="12.44140625" style="119" customWidth="1"/>
    <col min="16147" max="16147" width="9.27734375" style="119" customWidth="1"/>
    <col min="16148" max="16148" width="13" style="119" customWidth="1"/>
    <col min="16149" max="16149" width="12" style="119" customWidth="1"/>
    <col min="16150" max="16150" width="18.44140625" style="119" customWidth="1"/>
    <col min="16151" max="16384" width="11.44140625" style="119"/>
  </cols>
  <sheetData>
    <row r="1" spans="1:22" ht="12" customHeight="1" x14ac:dyDescent="0.4">
      <c r="A1" s="354" t="s">
        <v>362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117"/>
      <c r="R1" s="118"/>
      <c r="S1" s="118"/>
      <c r="T1" s="118"/>
      <c r="U1" s="118"/>
      <c r="V1" s="118"/>
    </row>
    <row r="2" spans="1:22" ht="12" customHeight="1" x14ac:dyDescent="0.4">
      <c r="A2" s="355" t="s">
        <v>496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120"/>
      <c r="R2" s="118"/>
      <c r="S2" s="118"/>
    </row>
    <row r="3" spans="1:22" ht="12" customHeight="1" x14ac:dyDescent="0.35">
      <c r="A3" s="356" t="s">
        <v>364</v>
      </c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</row>
    <row r="4" spans="1:22" s="250" customFormat="1" ht="12.6" x14ac:dyDescent="0.45">
      <c r="A4" s="358" t="s">
        <v>31</v>
      </c>
      <c r="B4" s="358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</row>
    <row r="5" spans="1:22" s="250" customFormat="1" ht="12.6" x14ac:dyDescent="0.45">
      <c r="A5" s="252" t="s">
        <v>32</v>
      </c>
      <c r="B5" s="261">
        <v>1.03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</row>
    <row r="6" spans="1:22" s="250" customFormat="1" ht="12.6" x14ac:dyDescent="0.45">
      <c r="A6" s="252" t="s">
        <v>33</v>
      </c>
      <c r="B6" s="261">
        <v>1.05</v>
      </c>
      <c r="C6" s="251"/>
      <c r="D6" s="255"/>
      <c r="E6" s="255"/>
      <c r="F6" s="256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</row>
    <row r="7" spans="1:22" s="250" customFormat="1" ht="12.6" x14ac:dyDescent="0.45">
      <c r="A7" s="252" t="s">
        <v>365</v>
      </c>
      <c r="B7" s="261">
        <v>1.03</v>
      </c>
      <c r="C7" s="251"/>
      <c r="D7" s="255"/>
      <c r="E7" s="255"/>
      <c r="F7" s="256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</row>
    <row r="8" spans="1:22" s="250" customFormat="1" ht="12.6" x14ac:dyDescent="0.45">
      <c r="A8" s="252"/>
      <c r="B8" s="302"/>
      <c r="C8" s="251"/>
      <c r="D8" s="255"/>
      <c r="E8" s="255"/>
      <c r="F8" s="256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</row>
    <row r="9" spans="1:22" ht="12" customHeight="1" x14ac:dyDescent="0.35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</row>
    <row r="10" spans="1:22" ht="31.8" thickBot="1" x14ac:dyDescent="0.45">
      <c r="A10" s="124" t="s">
        <v>3</v>
      </c>
      <c r="B10" s="124" t="s">
        <v>367</v>
      </c>
      <c r="C10" s="124" t="s">
        <v>40</v>
      </c>
      <c r="D10" s="124" t="s">
        <v>41</v>
      </c>
      <c r="E10" s="124" t="s">
        <v>42</v>
      </c>
      <c r="F10" s="126" t="s">
        <v>368</v>
      </c>
      <c r="G10" s="127" t="s">
        <v>44</v>
      </c>
      <c r="H10" s="124" t="s">
        <v>42</v>
      </c>
      <c r="I10" s="127" t="s">
        <v>45</v>
      </c>
      <c r="J10" s="124" t="s">
        <v>42</v>
      </c>
      <c r="K10" s="127" t="s">
        <v>46</v>
      </c>
      <c r="L10" s="124" t="s">
        <v>42</v>
      </c>
      <c r="M10" s="127" t="s">
        <v>369</v>
      </c>
      <c r="N10" s="126" t="s">
        <v>497</v>
      </c>
      <c r="O10" s="126" t="s">
        <v>5</v>
      </c>
      <c r="P10" s="126" t="s">
        <v>6</v>
      </c>
    </row>
    <row r="11" spans="1:22" ht="27.6" x14ac:dyDescent="0.4">
      <c r="A11" s="128"/>
      <c r="B11" s="128"/>
      <c r="C11" s="128"/>
      <c r="D11" s="129"/>
      <c r="E11" s="129"/>
      <c r="F11" s="131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33"/>
      <c r="S11" s="134"/>
    </row>
    <row r="12" spans="1:22" ht="13.5" customHeight="1" x14ac:dyDescent="0.4">
      <c r="A12" s="215" t="s">
        <v>7</v>
      </c>
      <c r="B12" s="128"/>
      <c r="C12" s="128"/>
      <c r="D12" s="129"/>
      <c r="E12" s="129"/>
      <c r="F12" s="131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  <c r="R12" s="133"/>
      <c r="S12" s="134"/>
    </row>
    <row r="13" spans="1:22" ht="12" customHeight="1" x14ac:dyDescent="0.4">
      <c r="A13" s="216" t="s">
        <v>378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47"/>
      <c r="R13" s="13"/>
      <c r="S13" s="13"/>
    </row>
    <row r="14" spans="1:22" ht="12" customHeight="1" x14ac:dyDescent="0.4">
      <c r="A14" s="315" t="s">
        <v>498</v>
      </c>
      <c r="B14" s="303"/>
      <c r="C14" s="303" t="s">
        <v>54</v>
      </c>
      <c r="D14" s="325" t="s">
        <v>55</v>
      </c>
      <c r="E14" s="305">
        <v>10</v>
      </c>
      <c r="F14" s="305">
        <v>2500</v>
      </c>
      <c r="G14" s="305">
        <f>E14*F14</f>
        <v>25000</v>
      </c>
      <c r="H14" s="305">
        <v>12</v>
      </c>
      <c r="I14" s="305">
        <f>((H14*F14)*50%)*$B$7</f>
        <v>15450</v>
      </c>
      <c r="J14" s="305">
        <v>12</v>
      </c>
      <c r="K14" s="305">
        <f>((J14*F14)*50%)*$B$7*$B$7</f>
        <v>15913.5</v>
      </c>
      <c r="L14" s="305">
        <v>10</v>
      </c>
      <c r="M14" s="305">
        <f>((L14*F14)*40%)*$B$7*$B$7*$B$7</f>
        <v>10927.27</v>
      </c>
      <c r="N14" s="305">
        <f>SUM(G14+I14+K14+M14)</f>
        <v>67290.77</v>
      </c>
      <c r="O14" s="305">
        <v>0</v>
      </c>
      <c r="P14" s="305">
        <f>SUM(N14:O14)</f>
        <v>67290.77</v>
      </c>
      <c r="Q14" s="13"/>
      <c r="R14" s="13"/>
      <c r="S14" s="114"/>
    </row>
    <row r="15" spans="1:22" ht="12" customHeight="1" x14ac:dyDescent="0.4">
      <c r="A15" s="315" t="s">
        <v>499</v>
      </c>
      <c r="B15" s="303"/>
      <c r="C15" s="303" t="s">
        <v>54</v>
      </c>
      <c r="D15" s="325" t="s">
        <v>55</v>
      </c>
      <c r="E15" s="305">
        <v>10</v>
      </c>
      <c r="F15" s="305">
        <v>1800</v>
      </c>
      <c r="G15" s="305">
        <f>E15*F15</f>
        <v>18000</v>
      </c>
      <c r="H15" s="305">
        <v>12</v>
      </c>
      <c r="I15" s="305">
        <f>((H15*F15)*50%)*$B$7</f>
        <v>11124</v>
      </c>
      <c r="J15" s="305">
        <v>12</v>
      </c>
      <c r="K15" s="305">
        <f>((J15*F15)*50%)*$B$7*$B$7</f>
        <v>11457.720000000001</v>
      </c>
      <c r="L15" s="305">
        <v>10</v>
      </c>
      <c r="M15" s="305">
        <f>((L15*F15)*40%)*$B$7*$B$7*$B$7</f>
        <v>7867.6344000000008</v>
      </c>
      <c r="N15" s="305">
        <f t="shared" ref="N15:N16" si="0">SUM(G15+I15+K15+M15)</f>
        <v>48449.354400000004</v>
      </c>
      <c r="O15" s="305">
        <v>0</v>
      </c>
      <c r="P15" s="305">
        <f>SUM(N15:O15)</f>
        <v>48449.354400000004</v>
      </c>
      <c r="Q15" s="13"/>
      <c r="R15" s="13"/>
      <c r="S15" s="13"/>
    </row>
    <row r="16" spans="1:22" ht="12" customHeight="1" x14ac:dyDescent="0.4">
      <c r="A16" s="217" t="s">
        <v>500</v>
      </c>
      <c r="B16" s="139"/>
      <c r="C16" s="139" t="s">
        <v>54</v>
      </c>
      <c r="D16" s="140" t="s">
        <v>55</v>
      </c>
      <c r="E16" s="142">
        <v>10</v>
      </c>
      <c r="F16" s="142">
        <v>1000</v>
      </c>
      <c r="G16" s="142">
        <f>E16*F16</f>
        <v>10000</v>
      </c>
      <c r="H16" s="142">
        <v>3</v>
      </c>
      <c r="I16" s="142">
        <f>((H16*F16)*50%)*$B$7</f>
        <v>1545</v>
      </c>
      <c r="J16" s="142">
        <v>0</v>
      </c>
      <c r="K16" s="142">
        <f>((J16*F16)*50%)*$B$7*$B$7</f>
        <v>0</v>
      </c>
      <c r="L16" s="142">
        <v>0</v>
      </c>
      <c r="M16" s="142">
        <f>((L16*F16)*40%)*$B$7*$B$7*$B$7</f>
        <v>0</v>
      </c>
      <c r="N16" s="142">
        <f t="shared" si="0"/>
        <v>11545</v>
      </c>
      <c r="O16" s="142">
        <v>0</v>
      </c>
      <c r="P16" s="142">
        <f>SUM(N16:O16)</f>
        <v>11545</v>
      </c>
      <c r="Q16" s="151"/>
      <c r="R16" s="13"/>
      <c r="S16" s="13"/>
    </row>
    <row r="17" spans="1:19" ht="12" customHeight="1" x14ac:dyDescent="0.4">
      <c r="A17" s="217"/>
      <c r="B17" s="139"/>
      <c r="C17" s="139"/>
      <c r="D17" s="140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3"/>
      <c r="R17" s="13"/>
      <c r="S17" s="13"/>
    </row>
    <row r="18" spans="1:19" ht="12" customHeight="1" x14ac:dyDescent="0.4">
      <c r="A18" s="218" t="s">
        <v>75</v>
      </c>
      <c r="B18" s="135"/>
      <c r="C18" s="135"/>
      <c r="D18" s="136"/>
      <c r="E18" s="148"/>
      <c r="F18" s="148"/>
      <c r="G18" s="148">
        <f>SUM(G13:G16)</f>
        <v>53000</v>
      </c>
      <c r="H18" s="148"/>
      <c r="I18" s="148">
        <f>SUM(I13:I16)</f>
        <v>28119</v>
      </c>
      <c r="J18" s="148"/>
      <c r="K18" s="148">
        <f>SUM(K13:K16)</f>
        <v>27371.22</v>
      </c>
      <c r="L18" s="148"/>
      <c r="M18" s="148">
        <f>SUM(M13:M16)</f>
        <v>18794.904399999999</v>
      </c>
      <c r="N18" s="148">
        <f>SUM(G18+I18+K18+M18)</f>
        <v>127285.1244</v>
      </c>
      <c r="O18" s="148">
        <v>0</v>
      </c>
      <c r="P18" s="148">
        <f>SUM(N18:O18)</f>
        <v>127285.1244</v>
      </c>
      <c r="Q18" s="13"/>
      <c r="R18" s="149"/>
      <c r="S18" s="114"/>
    </row>
    <row r="19" spans="1:19" ht="12" customHeight="1" x14ac:dyDescent="0.4">
      <c r="A19" s="218"/>
      <c r="B19" s="135"/>
      <c r="C19" s="135"/>
      <c r="D19" s="136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3"/>
      <c r="R19" s="149"/>
      <c r="S19" s="114"/>
    </row>
    <row r="20" spans="1:19" ht="12" customHeight="1" x14ac:dyDescent="0.4">
      <c r="A20" s="216" t="s">
        <v>76</v>
      </c>
      <c r="B20" s="180"/>
      <c r="C20" s="180"/>
      <c r="D20" s="294"/>
      <c r="E20" s="295"/>
      <c r="F20" s="295"/>
      <c r="G20" s="295"/>
      <c r="H20" s="295"/>
      <c r="I20" s="295"/>
      <c r="J20" s="295"/>
      <c r="K20" s="295"/>
      <c r="L20" s="295"/>
      <c r="M20" s="295"/>
      <c r="N20" s="168"/>
      <c r="O20" s="295"/>
      <c r="P20" s="295"/>
      <c r="Q20" s="13"/>
      <c r="R20" s="146"/>
      <c r="S20" s="13"/>
    </row>
    <row r="21" spans="1:19" ht="12" customHeight="1" x14ac:dyDescent="0.4">
      <c r="A21" s="217" t="s">
        <v>458</v>
      </c>
      <c r="B21" s="139"/>
      <c r="C21" s="139" t="s">
        <v>76</v>
      </c>
      <c r="D21" s="140"/>
      <c r="E21" s="142"/>
      <c r="F21" s="150">
        <v>0.31640000000000001</v>
      </c>
      <c r="G21" s="142">
        <f>G18*F21</f>
        <v>16769.2</v>
      </c>
      <c r="H21" s="142"/>
      <c r="I21" s="142">
        <f>I18*F21</f>
        <v>8896.8516</v>
      </c>
      <c r="J21" s="142"/>
      <c r="K21" s="142">
        <f>K18*F21</f>
        <v>8660.2540079999999</v>
      </c>
      <c r="L21" s="142"/>
      <c r="M21" s="142">
        <f>M18*F21</f>
        <v>5946.7077521600004</v>
      </c>
      <c r="N21" s="142">
        <f>SUM(G21+I21+K21+M21)</f>
        <v>40273.013360159995</v>
      </c>
      <c r="O21" s="142">
        <v>0</v>
      </c>
      <c r="P21" s="142">
        <f>SUM(N21:O21)</f>
        <v>40273.013360159995</v>
      </c>
      <c r="Q21" s="151"/>
      <c r="S21" s="13"/>
    </row>
    <row r="22" spans="1:19" ht="12" customHeight="1" x14ac:dyDescent="0.4">
      <c r="A22" s="219"/>
      <c r="D22" s="153"/>
      <c r="E22" s="209"/>
      <c r="F22" s="138"/>
      <c r="G22" s="138"/>
      <c r="H22" s="138"/>
      <c r="I22" s="138"/>
      <c r="J22" s="138"/>
      <c r="K22" s="138"/>
      <c r="L22" s="138"/>
      <c r="M22" s="138"/>
      <c r="N22" s="138"/>
      <c r="O22" s="142"/>
      <c r="P22" s="138"/>
      <c r="Q22" s="13"/>
      <c r="R22" s="13"/>
      <c r="S22" s="13"/>
    </row>
    <row r="23" spans="1:19" ht="11.7" thickBot="1" x14ac:dyDescent="0.45">
      <c r="A23" s="220" t="s">
        <v>82</v>
      </c>
      <c r="B23" s="154"/>
      <c r="C23" s="154"/>
      <c r="D23" s="155"/>
      <c r="E23" s="155"/>
      <c r="F23" s="156"/>
      <c r="G23" s="157">
        <f>SUM(G18:G21)</f>
        <v>69769.2</v>
      </c>
      <c r="H23" s="157"/>
      <c r="I23" s="157">
        <f>SUM(I18:I21)</f>
        <v>37015.851600000002</v>
      </c>
      <c r="J23" s="157"/>
      <c r="K23" s="157">
        <f>SUM(K18:K21)</f>
        <v>36031.474008000005</v>
      </c>
      <c r="L23" s="157"/>
      <c r="M23" s="157">
        <f>SUM(M18:M21)</f>
        <v>24741.61215216</v>
      </c>
      <c r="N23" s="157">
        <f>G23+I23+K23+M23</f>
        <v>167558.13776016</v>
      </c>
      <c r="O23" s="157">
        <f>SUM(O13:O21)</f>
        <v>0</v>
      </c>
      <c r="P23" s="158">
        <f>SUM(N23:O23)</f>
        <v>167558.13776016</v>
      </c>
      <c r="S23" s="159"/>
    </row>
    <row r="24" spans="1:19" ht="12" customHeight="1" x14ac:dyDescent="0.4">
      <c r="A24" s="219"/>
      <c r="D24" s="153"/>
      <c r="E24" s="209"/>
      <c r="F24" s="138"/>
      <c r="G24" s="138"/>
      <c r="H24" s="138"/>
      <c r="I24" s="138"/>
      <c r="J24" s="138"/>
      <c r="K24" s="138"/>
      <c r="L24" s="138"/>
      <c r="M24" s="138"/>
      <c r="N24" s="138"/>
      <c r="O24" s="142"/>
      <c r="P24" s="138"/>
      <c r="Q24" s="13"/>
      <c r="R24" s="13"/>
      <c r="S24" s="13"/>
    </row>
    <row r="25" spans="1:19" ht="12" customHeight="1" x14ac:dyDescent="0.4">
      <c r="A25" s="221" t="s">
        <v>8</v>
      </c>
      <c r="B25" s="160"/>
      <c r="C25" s="160"/>
      <c r="D25" s="161"/>
      <c r="E25" s="161"/>
      <c r="F25" s="162"/>
      <c r="G25" s="163"/>
      <c r="H25" s="163"/>
      <c r="I25" s="163"/>
      <c r="J25" s="163"/>
      <c r="K25" s="163"/>
      <c r="L25" s="163"/>
      <c r="M25" s="163"/>
      <c r="N25" s="163"/>
      <c r="O25" s="163"/>
      <c r="P25" s="164"/>
      <c r="R25" s="165"/>
    </row>
    <row r="26" spans="1:19" ht="12" customHeight="1" x14ac:dyDescent="0.4">
      <c r="A26" s="217"/>
      <c r="B26" s="139"/>
      <c r="C26" s="139"/>
      <c r="D26" s="170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R26" s="169"/>
    </row>
    <row r="27" spans="1:19" ht="12" customHeight="1" thickBot="1" x14ac:dyDescent="0.45">
      <c r="A27" s="220" t="s">
        <v>118</v>
      </c>
      <c r="B27" s="154"/>
      <c r="C27" s="154"/>
      <c r="D27" s="155"/>
      <c r="E27" s="155"/>
      <c r="F27" s="156"/>
      <c r="G27" s="157">
        <f>G26</f>
        <v>0</v>
      </c>
      <c r="H27" s="157"/>
      <c r="I27" s="157">
        <f>I26</f>
        <v>0</v>
      </c>
      <c r="J27" s="157"/>
      <c r="K27" s="157">
        <f>K26</f>
        <v>0</v>
      </c>
      <c r="L27" s="157"/>
      <c r="M27" s="157">
        <f>M26</f>
        <v>0</v>
      </c>
      <c r="N27" s="157">
        <f>G27+I27+K27+M27</f>
        <v>0</v>
      </c>
      <c r="O27" s="157">
        <f>O26</f>
        <v>0</v>
      </c>
      <c r="P27" s="158">
        <f>SUM(N27:O27)</f>
        <v>0</v>
      </c>
      <c r="R27" s="169"/>
    </row>
    <row r="28" spans="1:19" ht="12" customHeight="1" x14ac:dyDescent="0.4">
      <c r="A28" s="222" t="s">
        <v>395</v>
      </c>
      <c r="B28" s="129"/>
      <c r="C28" s="129"/>
      <c r="D28" s="129"/>
      <c r="E28" s="129"/>
      <c r="F28" s="131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R28" s="171"/>
    </row>
    <row r="29" spans="1:19" ht="12" customHeight="1" x14ac:dyDescent="0.4">
      <c r="A29" s="217"/>
      <c r="B29" s="139"/>
      <c r="C29" s="139"/>
      <c r="D29" s="170"/>
    </row>
    <row r="30" spans="1:19" ht="12" customHeight="1" thickBot="1" x14ac:dyDescent="0.45">
      <c r="A30" s="223" t="s">
        <v>398</v>
      </c>
      <c r="B30" s="174"/>
      <c r="C30" s="174"/>
      <c r="D30" s="154"/>
      <c r="E30" s="154"/>
      <c r="F30" s="176"/>
      <c r="G30" s="106">
        <f>G29</f>
        <v>0</v>
      </c>
      <c r="H30" s="106"/>
      <c r="I30" s="106">
        <f>I29</f>
        <v>0</v>
      </c>
      <c r="J30" s="106"/>
      <c r="K30" s="106">
        <f>K29</f>
        <v>0</v>
      </c>
      <c r="L30" s="106"/>
      <c r="M30" s="106">
        <f>M29</f>
        <v>0</v>
      </c>
      <c r="N30" s="157">
        <f>G30+I30+K30+M30</f>
        <v>0</v>
      </c>
      <c r="O30" s="106">
        <f>O29</f>
        <v>0</v>
      </c>
      <c r="P30" s="158">
        <f>SUM(N30:O30)</f>
        <v>0</v>
      </c>
      <c r="S30" s="177"/>
    </row>
    <row r="31" spans="1:19" ht="12" customHeight="1" x14ac:dyDescent="0.4">
      <c r="A31" s="222" t="s">
        <v>399</v>
      </c>
      <c r="B31" s="129"/>
      <c r="C31" s="129"/>
      <c r="D31" s="129"/>
      <c r="E31" s="129"/>
      <c r="F31" s="131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R31" s="171"/>
    </row>
    <row r="32" spans="1:19" ht="12" customHeight="1" x14ac:dyDescent="0.4">
      <c r="A32" s="315" t="s">
        <v>400</v>
      </c>
      <c r="B32" s="303"/>
      <c r="C32" s="303" t="s">
        <v>399</v>
      </c>
      <c r="D32" s="304" t="s">
        <v>55</v>
      </c>
      <c r="E32" s="305">
        <v>10</v>
      </c>
      <c r="F32" s="305">
        <v>30</v>
      </c>
      <c r="G32" s="305">
        <f t="shared" ref="G32:G35" si="1">E32*F32</f>
        <v>300</v>
      </c>
      <c r="H32" s="305">
        <v>12</v>
      </c>
      <c r="I32" s="305">
        <f>((H32*F32)*50%)*$B$6</f>
        <v>189</v>
      </c>
      <c r="J32" s="305">
        <v>12</v>
      </c>
      <c r="K32" s="305">
        <f>((J32*F32)*50%)*$B$6*$B$6</f>
        <v>198.45000000000002</v>
      </c>
      <c r="L32" s="305">
        <v>10</v>
      </c>
      <c r="M32" s="305">
        <f>((L32*F32)*40%)*$B$6*$B$6*$B$6</f>
        <v>138.91500000000002</v>
      </c>
      <c r="N32" s="305">
        <f>G32+I32+K32+M32</f>
        <v>826.36500000000001</v>
      </c>
      <c r="O32" s="305">
        <v>0</v>
      </c>
      <c r="P32" s="305">
        <f t="shared" ref="P32:P35" si="2">SUM(N32:O32)</f>
        <v>826.36500000000001</v>
      </c>
      <c r="Q32" s="224"/>
    </row>
    <row r="33" spans="1:21" ht="12" customHeight="1" x14ac:dyDescent="0.4">
      <c r="A33" s="315" t="s">
        <v>134</v>
      </c>
      <c r="B33" s="303"/>
      <c r="C33" s="303" t="s">
        <v>399</v>
      </c>
      <c r="D33" s="304" t="s">
        <v>55</v>
      </c>
      <c r="E33" s="305">
        <v>10</v>
      </c>
      <c r="F33" s="305">
        <v>150</v>
      </c>
      <c r="G33" s="305">
        <f t="shared" si="1"/>
        <v>1500</v>
      </c>
      <c r="H33" s="305">
        <v>12</v>
      </c>
      <c r="I33" s="305">
        <f t="shared" ref="I33:I35" si="3">((H33*F33)*50%)*$B$6</f>
        <v>945</v>
      </c>
      <c r="J33" s="305">
        <v>12</v>
      </c>
      <c r="K33" s="305">
        <f t="shared" ref="K33:K35" si="4">((J33*F33)*50%)*$B$6*$B$6</f>
        <v>992.25</v>
      </c>
      <c r="L33" s="305">
        <v>10</v>
      </c>
      <c r="M33" s="305">
        <f t="shared" ref="M33:M35" si="5">((L33*F33)*40%)*$B$6*$B$6*$B$6</f>
        <v>694.57500000000005</v>
      </c>
      <c r="N33" s="305">
        <f t="shared" ref="N33:N35" si="6">G33+I33+K33+M33</f>
        <v>4131.8249999999998</v>
      </c>
      <c r="O33" s="305">
        <v>0</v>
      </c>
      <c r="P33" s="305">
        <f t="shared" si="2"/>
        <v>4131.8249999999998</v>
      </c>
      <c r="Q33" s="224"/>
    </row>
    <row r="34" spans="1:21" ht="12" customHeight="1" x14ac:dyDescent="0.4">
      <c r="A34" s="315" t="s">
        <v>142</v>
      </c>
      <c r="B34" s="303"/>
      <c r="C34" s="303" t="s">
        <v>399</v>
      </c>
      <c r="D34" s="304" t="s">
        <v>55</v>
      </c>
      <c r="E34" s="305">
        <v>10</v>
      </c>
      <c r="F34" s="305">
        <v>1000</v>
      </c>
      <c r="G34" s="305">
        <f t="shared" si="1"/>
        <v>10000</v>
      </c>
      <c r="H34" s="305">
        <v>12</v>
      </c>
      <c r="I34" s="305">
        <f t="shared" si="3"/>
        <v>6300</v>
      </c>
      <c r="J34" s="305">
        <v>12</v>
      </c>
      <c r="K34" s="305">
        <f t="shared" si="4"/>
        <v>6615</v>
      </c>
      <c r="L34" s="305">
        <v>10</v>
      </c>
      <c r="M34" s="305">
        <f t="shared" si="5"/>
        <v>4630.5</v>
      </c>
      <c r="N34" s="305">
        <f t="shared" si="6"/>
        <v>27545.5</v>
      </c>
      <c r="O34" s="305">
        <v>0</v>
      </c>
      <c r="P34" s="305">
        <f t="shared" si="2"/>
        <v>27545.5</v>
      </c>
      <c r="Q34" s="224"/>
    </row>
    <row r="35" spans="1:21" ht="12" customHeight="1" x14ac:dyDescent="0.4">
      <c r="A35" s="315" t="s">
        <v>501</v>
      </c>
      <c r="B35" s="303"/>
      <c r="C35" s="303" t="s">
        <v>399</v>
      </c>
      <c r="D35" s="304" t="s">
        <v>55</v>
      </c>
      <c r="E35" s="305">
        <v>10</v>
      </c>
      <c r="F35" s="305">
        <v>40</v>
      </c>
      <c r="G35" s="305">
        <f t="shared" si="1"/>
        <v>400</v>
      </c>
      <c r="H35" s="305">
        <v>12</v>
      </c>
      <c r="I35" s="305">
        <f t="shared" si="3"/>
        <v>252</v>
      </c>
      <c r="J35" s="305">
        <v>12</v>
      </c>
      <c r="K35" s="305">
        <f t="shared" si="4"/>
        <v>264.60000000000002</v>
      </c>
      <c r="L35" s="305">
        <v>10</v>
      </c>
      <c r="M35" s="305">
        <f t="shared" si="5"/>
        <v>185.22000000000003</v>
      </c>
      <c r="N35" s="305">
        <f t="shared" si="6"/>
        <v>1101.8200000000002</v>
      </c>
      <c r="O35" s="305">
        <v>0</v>
      </c>
      <c r="P35" s="305">
        <f t="shared" si="2"/>
        <v>1101.8200000000002</v>
      </c>
      <c r="Q35" s="224"/>
    </row>
    <row r="36" spans="1:21" ht="12" customHeight="1" x14ac:dyDescent="0.4">
      <c r="A36" s="217"/>
      <c r="B36" s="139"/>
      <c r="C36" s="139"/>
      <c r="D36" s="170"/>
    </row>
    <row r="37" spans="1:21" ht="12" customHeight="1" thickBot="1" x14ac:dyDescent="0.45">
      <c r="A37" s="223" t="s">
        <v>153</v>
      </c>
      <c r="B37" s="174"/>
      <c r="C37" s="174"/>
      <c r="D37" s="154"/>
      <c r="E37" s="154"/>
      <c r="F37" s="176"/>
      <c r="G37" s="106">
        <f>SUM(G32:G35)</f>
        <v>12200</v>
      </c>
      <c r="H37" s="106"/>
      <c r="I37" s="106">
        <f>SUM(I32:I35)</f>
        <v>7686</v>
      </c>
      <c r="J37" s="106"/>
      <c r="K37" s="106">
        <f>SUM(K32:K35)</f>
        <v>8070.3</v>
      </c>
      <c r="L37" s="106"/>
      <c r="M37" s="106">
        <f>SUM(M32:M35)</f>
        <v>5649.21</v>
      </c>
      <c r="N37" s="157">
        <f>G37+I37+K37+M37</f>
        <v>33605.51</v>
      </c>
      <c r="O37" s="106">
        <f>SUM(O32:O35)</f>
        <v>0</v>
      </c>
      <c r="P37" s="158">
        <f>SUM(N37:O37)</f>
        <v>33605.51</v>
      </c>
      <c r="S37" s="177"/>
    </row>
    <row r="38" spans="1:21" ht="30" customHeight="1" thickBot="1" x14ac:dyDescent="0.4">
      <c r="A38" s="357" t="s">
        <v>403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S38" s="177"/>
    </row>
    <row r="39" spans="1:21" ht="12" customHeight="1" x14ac:dyDescent="0.4">
      <c r="A39" s="225" t="s">
        <v>154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4"/>
      <c r="R39" s="171"/>
      <c r="U39" s="118"/>
    </row>
    <row r="40" spans="1:21" ht="12" customHeight="1" x14ac:dyDescent="0.4">
      <c r="A40" s="226" t="s">
        <v>155</v>
      </c>
      <c r="B40" s="186"/>
      <c r="C40" s="186"/>
      <c r="D40" s="187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R40" s="169"/>
    </row>
    <row r="41" spans="1:21" ht="12" customHeight="1" x14ac:dyDescent="0.4">
      <c r="A41" s="315" t="s">
        <v>502</v>
      </c>
      <c r="B41" s="316"/>
      <c r="C41" s="303" t="s">
        <v>54</v>
      </c>
      <c r="D41" s="303" t="s">
        <v>55</v>
      </c>
      <c r="E41" s="305">
        <f>G23</f>
        <v>69769.2</v>
      </c>
      <c r="F41" s="308">
        <v>0.25</v>
      </c>
      <c r="G41" s="305">
        <f t="shared" ref="G41:G47" si="7">E41*F41</f>
        <v>17442.3</v>
      </c>
      <c r="H41" s="305">
        <f>I23</f>
        <v>37015.851600000002</v>
      </c>
      <c r="I41" s="305">
        <f>H41*F41</f>
        <v>9253.9629000000004</v>
      </c>
      <c r="J41" s="305">
        <f>K23</f>
        <v>36031.474008000005</v>
      </c>
      <c r="K41" s="305">
        <f>J41*F41</f>
        <v>9007.8685020000012</v>
      </c>
      <c r="L41" s="305">
        <f>M23</f>
        <v>24741.61215216</v>
      </c>
      <c r="M41" s="305">
        <f>L41*F41</f>
        <v>6185.40303804</v>
      </c>
      <c r="N41" s="305">
        <f>G41+I41+K41+M41</f>
        <v>41889.534440039999</v>
      </c>
      <c r="O41" s="305" t="s">
        <v>87</v>
      </c>
      <c r="P41" s="305">
        <f t="shared" ref="P41:P53" si="8">SUM(N41:O41)</f>
        <v>41889.534440039999</v>
      </c>
      <c r="Q41" s="184"/>
      <c r="R41" s="169"/>
    </row>
    <row r="42" spans="1:21" ht="12" customHeight="1" x14ac:dyDescent="0.4">
      <c r="A42" s="315" t="s">
        <v>422</v>
      </c>
      <c r="B42" s="316"/>
      <c r="C42" s="303" t="s">
        <v>124</v>
      </c>
      <c r="D42" s="303" t="s">
        <v>55</v>
      </c>
      <c r="E42" s="305">
        <f>G37</f>
        <v>12200</v>
      </c>
      <c r="F42" s="308">
        <v>0.25</v>
      </c>
      <c r="G42" s="305">
        <f t="shared" si="7"/>
        <v>3050</v>
      </c>
      <c r="H42" s="305">
        <f>I37</f>
        <v>7686</v>
      </c>
      <c r="I42" s="305">
        <f>H42*F42</f>
        <v>1921.5</v>
      </c>
      <c r="J42" s="305">
        <f>K37</f>
        <v>8070.3</v>
      </c>
      <c r="K42" s="305">
        <f>J42*F42</f>
        <v>2017.575</v>
      </c>
      <c r="L42" s="305">
        <f>M37</f>
        <v>5649.21</v>
      </c>
      <c r="M42" s="305">
        <f>L42*F42</f>
        <v>1412.3025</v>
      </c>
      <c r="N42" s="305">
        <f t="shared" ref="N42:N58" si="9">G42+I42+K42+M42</f>
        <v>8401.3775000000005</v>
      </c>
      <c r="O42" s="305" t="s">
        <v>87</v>
      </c>
      <c r="P42" s="305">
        <f t="shared" si="8"/>
        <v>8401.3775000000005</v>
      </c>
      <c r="R42" s="169"/>
    </row>
    <row r="43" spans="1:21" ht="12" customHeight="1" x14ac:dyDescent="0.4">
      <c r="A43" s="217" t="s">
        <v>503</v>
      </c>
      <c r="B43" s="139"/>
      <c r="C43" s="139" t="s">
        <v>54</v>
      </c>
      <c r="D43" s="140" t="s">
        <v>55</v>
      </c>
      <c r="E43" s="142">
        <v>10</v>
      </c>
      <c r="F43" s="142">
        <v>1800</v>
      </c>
      <c r="G43" s="142">
        <f t="shared" si="7"/>
        <v>18000</v>
      </c>
      <c r="H43" s="142">
        <v>0</v>
      </c>
      <c r="I43" s="142">
        <f>((H43*F43)*50%)*$B$8</f>
        <v>0</v>
      </c>
      <c r="J43" s="142">
        <v>0</v>
      </c>
      <c r="K43" s="142">
        <f t="shared" ref="K43:K48" si="10">((J43*F43)*50%)*$B$8*$B$8</f>
        <v>0</v>
      </c>
      <c r="L43" s="142">
        <v>0</v>
      </c>
      <c r="M43" s="142">
        <f t="shared" ref="M43:M48" si="11">((L43*F43)*40%)*$B$8*$B$8*$B$8</f>
        <v>0</v>
      </c>
      <c r="N43" s="142">
        <f t="shared" si="9"/>
        <v>18000</v>
      </c>
      <c r="O43" s="142">
        <v>0</v>
      </c>
      <c r="P43" s="142">
        <f t="shared" ref="P43:P48" si="12">SUM(N43:O43)</f>
        <v>18000</v>
      </c>
      <c r="Q43" s="184"/>
      <c r="R43" s="169"/>
    </row>
    <row r="44" spans="1:21" ht="12" customHeight="1" x14ac:dyDescent="0.4">
      <c r="A44" s="217" t="s">
        <v>504</v>
      </c>
      <c r="B44" s="139"/>
      <c r="C44" s="139" t="s">
        <v>54</v>
      </c>
      <c r="D44" s="140" t="s">
        <v>55</v>
      </c>
      <c r="E44" s="142">
        <v>10</v>
      </c>
      <c r="F44" s="142">
        <v>1500</v>
      </c>
      <c r="G44" s="142">
        <f t="shared" si="7"/>
        <v>15000</v>
      </c>
      <c r="H44" s="142">
        <v>0</v>
      </c>
      <c r="I44" s="142">
        <f>((H44*F44)*50%)*$B$8</f>
        <v>0</v>
      </c>
      <c r="J44" s="142">
        <v>0</v>
      </c>
      <c r="K44" s="142">
        <f t="shared" si="10"/>
        <v>0</v>
      </c>
      <c r="L44" s="142">
        <v>0</v>
      </c>
      <c r="M44" s="142">
        <f t="shared" si="11"/>
        <v>0</v>
      </c>
      <c r="N44" s="142">
        <f t="shared" si="9"/>
        <v>15000</v>
      </c>
      <c r="O44" s="142">
        <v>0</v>
      </c>
      <c r="P44" s="142">
        <f t="shared" si="12"/>
        <v>15000</v>
      </c>
      <c r="R44" s="169"/>
    </row>
    <row r="45" spans="1:21" ht="12" customHeight="1" x14ac:dyDescent="0.4">
      <c r="A45" s="217" t="s">
        <v>505</v>
      </c>
      <c r="B45" s="139"/>
      <c r="C45" s="139" t="s">
        <v>54</v>
      </c>
      <c r="D45" s="140" t="s">
        <v>55</v>
      </c>
      <c r="E45" s="142">
        <v>10</v>
      </c>
      <c r="F45" s="142">
        <v>1000</v>
      </c>
      <c r="G45" s="142">
        <f t="shared" si="7"/>
        <v>10000</v>
      </c>
      <c r="H45" s="142">
        <v>0</v>
      </c>
      <c r="I45" s="142">
        <f>((H45*F45)*50%)*$B$8</f>
        <v>0</v>
      </c>
      <c r="J45" s="142">
        <v>0</v>
      </c>
      <c r="K45" s="142">
        <f t="shared" si="10"/>
        <v>0</v>
      </c>
      <c r="L45" s="142">
        <v>0</v>
      </c>
      <c r="M45" s="142">
        <f t="shared" si="11"/>
        <v>0</v>
      </c>
      <c r="N45" s="142">
        <f t="shared" si="9"/>
        <v>10000</v>
      </c>
      <c r="O45" s="142">
        <v>0</v>
      </c>
      <c r="P45" s="142">
        <f t="shared" si="12"/>
        <v>10000</v>
      </c>
      <c r="R45" s="169"/>
    </row>
    <row r="46" spans="1:21" ht="12" customHeight="1" x14ac:dyDescent="0.4">
      <c r="A46" s="217" t="s">
        <v>506</v>
      </c>
      <c r="B46" s="139"/>
      <c r="C46" s="139" t="s">
        <v>54</v>
      </c>
      <c r="D46" s="140" t="s">
        <v>55</v>
      </c>
      <c r="E46" s="142">
        <v>10</v>
      </c>
      <c r="F46" s="142">
        <v>1000</v>
      </c>
      <c r="G46" s="142">
        <f t="shared" si="7"/>
        <v>10000</v>
      </c>
      <c r="H46" s="142">
        <v>0</v>
      </c>
      <c r="I46" s="142">
        <f>((H46*F46)*50%)*$B$8</f>
        <v>0</v>
      </c>
      <c r="J46" s="142">
        <v>0</v>
      </c>
      <c r="K46" s="142">
        <f t="shared" si="10"/>
        <v>0</v>
      </c>
      <c r="L46" s="142">
        <v>0</v>
      </c>
      <c r="M46" s="142">
        <f t="shared" si="11"/>
        <v>0</v>
      </c>
      <c r="N46" s="142">
        <f t="shared" si="9"/>
        <v>10000</v>
      </c>
      <c r="O46" s="142">
        <v>0</v>
      </c>
      <c r="P46" s="142">
        <f t="shared" si="12"/>
        <v>10000</v>
      </c>
      <c r="R46" s="169"/>
    </row>
    <row r="47" spans="1:21" ht="12" customHeight="1" x14ac:dyDescent="0.4">
      <c r="A47" s="217" t="s">
        <v>507</v>
      </c>
      <c r="B47" s="139"/>
      <c r="C47" s="139" t="s">
        <v>54</v>
      </c>
      <c r="D47" s="140" t="s">
        <v>55</v>
      </c>
      <c r="E47" s="142">
        <v>10</v>
      </c>
      <c r="F47" s="142">
        <v>1000</v>
      </c>
      <c r="G47" s="142">
        <f t="shared" si="7"/>
        <v>10000</v>
      </c>
      <c r="H47" s="142">
        <v>0</v>
      </c>
      <c r="I47" s="142">
        <f>((H47*F47)*50%)*$B$8</f>
        <v>0</v>
      </c>
      <c r="J47" s="142">
        <v>0</v>
      </c>
      <c r="K47" s="142">
        <f t="shared" si="10"/>
        <v>0</v>
      </c>
      <c r="L47" s="142">
        <v>0</v>
      </c>
      <c r="M47" s="142">
        <f t="shared" si="11"/>
        <v>0</v>
      </c>
      <c r="N47" s="142">
        <f t="shared" si="9"/>
        <v>10000</v>
      </c>
      <c r="O47" s="142">
        <v>0</v>
      </c>
      <c r="P47" s="142">
        <f t="shared" si="12"/>
        <v>10000</v>
      </c>
      <c r="R47" s="169"/>
    </row>
    <row r="48" spans="1:21" ht="12" customHeight="1" x14ac:dyDescent="0.4">
      <c r="A48" s="217" t="s">
        <v>508</v>
      </c>
      <c r="B48" s="139"/>
      <c r="C48" s="139" t="s">
        <v>76</v>
      </c>
      <c r="D48" s="140"/>
      <c r="F48" s="150">
        <v>0.31640000000000001</v>
      </c>
      <c r="G48" s="142">
        <f>SUM(G43:G47)*F48</f>
        <v>19933.2</v>
      </c>
      <c r="H48" s="142"/>
      <c r="I48" s="142">
        <f>SUM(I43:I47)*F48</f>
        <v>0</v>
      </c>
      <c r="J48" s="142"/>
      <c r="K48" s="142">
        <f t="shared" si="10"/>
        <v>0</v>
      </c>
      <c r="L48" s="142"/>
      <c r="M48" s="142">
        <f t="shared" si="11"/>
        <v>0</v>
      </c>
      <c r="N48" s="142">
        <f t="shared" si="9"/>
        <v>19933.2</v>
      </c>
      <c r="O48" s="142">
        <v>0</v>
      </c>
      <c r="P48" s="142">
        <f t="shared" si="12"/>
        <v>19933.2</v>
      </c>
      <c r="R48" s="169"/>
    </row>
    <row r="49" spans="1:18" ht="22.8" x14ac:dyDescent="0.4">
      <c r="A49" s="227" t="s">
        <v>509</v>
      </c>
      <c r="B49" s="166"/>
      <c r="C49" s="166"/>
      <c r="D49" s="167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>
        <f t="shared" si="8"/>
        <v>0</v>
      </c>
      <c r="R49" s="169"/>
    </row>
    <row r="50" spans="1:18" ht="12" customHeight="1" x14ac:dyDescent="0.4">
      <c r="A50" s="219" t="s">
        <v>510</v>
      </c>
      <c r="C50" s="149" t="s">
        <v>8</v>
      </c>
      <c r="D50" s="170" t="s">
        <v>86</v>
      </c>
      <c r="E50" s="142">
        <v>6</v>
      </c>
      <c r="F50" s="142">
        <v>100</v>
      </c>
      <c r="G50" s="142">
        <f>E50*F50</f>
        <v>600</v>
      </c>
      <c r="H50" s="142">
        <v>0</v>
      </c>
      <c r="I50" s="142">
        <f>(H50*F50)*$B$6</f>
        <v>0</v>
      </c>
      <c r="J50" s="142">
        <v>0</v>
      </c>
      <c r="K50" s="142">
        <f>(J50*F50)*$B$6*$B$6</f>
        <v>0</v>
      </c>
      <c r="L50" s="142">
        <v>0</v>
      </c>
      <c r="M50" s="142">
        <f>(L50*F50)*$B$6*$B$6*$B$6</f>
        <v>0</v>
      </c>
      <c r="N50" s="142">
        <f t="shared" si="9"/>
        <v>600</v>
      </c>
      <c r="O50" s="142" t="s">
        <v>87</v>
      </c>
      <c r="P50" s="142">
        <f t="shared" si="8"/>
        <v>600</v>
      </c>
      <c r="R50" s="165"/>
    </row>
    <row r="51" spans="1:18" ht="12" customHeight="1" x14ac:dyDescent="0.4">
      <c r="A51" s="219" t="s">
        <v>511</v>
      </c>
      <c r="C51" s="149" t="s">
        <v>8</v>
      </c>
      <c r="D51" s="170" t="s">
        <v>91</v>
      </c>
      <c r="E51" s="142">
        <v>24</v>
      </c>
      <c r="F51" s="142">
        <v>150</v>
      </c>
      <c r="G51" s="142">
        <f>E51*F51</f>
        <v>3600</v>
      </c>
      <c r="H51" s="142">
        <v>0</v>
      </c>
      <c r="I51" s="142">
        <f t="shared" ref="I51:I58" si="13">(H51*F51)*$B$6</f>
        <v>0</v>
      </c>
      <c r="J51" s="142">
        <v>0</v>
      </c>
      <c r="K51" s="142">
        <f t="shared" ref="K51:K58" si="14">(J51*F51)*$B$6*$B$6</f>
        <v>0</v>
      </c>
      <c r="L51" s="142">
        <v>0</v>
      </c>
      <c r="M51" s="142">
        <f t="shared" ref="M51:M58" si="15">(L51*F51)*$B$6*$B$6*$B$6</f>
        <v>0</v>
      </c>
      <c r="N51" s="142">
        <f t="shared" si="9"/>
        <v>3600</v>
      </c>
      <c r="O51" s="142" t="s">
        <v>87</v>
      </c>
      <c r="P51" s="142">
        <f t="shared" si="8"/>
        <v>3600</v>
      </c>
      <c r="R51" s="165"/>
    </row>
    <row r="52" spans="1:18" ht="12" customHeight="1" x14ac:dyDescent="0.4">
      <c r="A52" s="219" t="s">
        <v>512</v>
      </c>
      <c r="C52" s="149" t="s">
        <v>8</v>
      </c>
      <c r="D52" s="170" t="s">
        <v>91</v>
      </c>
      <c r="E52" s="142">
        <v>24</v>
      </c>
      <c r="F52" s="142">
        <v>25</v>
      </c>
      <c r="G52" s="142">
        <f>E52*F52</f>
        <v>600</v>
      </c>
      <c r="H52" s="142">
        <v>0</v>
      </c>
      <c r="I52" s="142">
        <f t="shared" si="13"/>
        <v>0</v>
      </c>
      <c r="J52" s="142">
        <v>0</v>
      </c>
      <c r="K52" s="142">
        <f t="shared" si="14"/>
        <v>0</v>
      </c>
      <c r="L52" s="142">
        <v>0</v>
      </c>
      <c r="M52" s="142">
        <f t="shared" si="15"/>
        <v>0</v>
      </c>
      <c r="N52" s="142">
        <f t="shared" si="9"/>
        <v>600</v>
      </c>
      <c r="O52" s="142" t="s">
        <v>87</v>
      </c>
      <c r="P52" s="142">
        <f t="shared" si="8"/>
        <v>600</v>
      </c>
      <c r="R52" s="165"/>
    </row>
    <row r="53" spans="1:18" ht="12" customHeight="1" x14ac:dyDescent="0.4">
      <c r="A53" s="219" t="s">
        <v>513</v>
      </c>
      <c r="C53" s="149" t="s">
        <v>8</v>
      </c>
      <c r="D53" s="170" t="s">
        <v>91</v>
      </c>
      <c r="E53" s="142">
        <v>24</v>
      </c>
      <c r="F53" s="142">
        <v>50</v>
      </c>
      <c r="G53" s="142">
        <f>E53*F53</f>
        <v>1200</v>
      </c>
      <c r="H53" s="142">
        <v>0</v>
      </c>
      <c r="I53" s="142">
        <f t="shared" si="13"/>
        <v>0</v>
      </c>
      <c r="J53" s="142">
        <v>0</v>
      </c>
      <c r="K53" s="142">
        <f t="shared" si="14"/>
        <v>0</v>
      </c>
      <c r="L53" s="142">
        <v>0</v>
      </c>
      <c r="M53" s="142">
        <f t="shared" si="15"/>
        <v>0</v>
      </c>
      <c r="N53" s="142">
        <f t="shared" si="9"/>
        <v>1200</v>
      </c>
      <c r="O53" s="142" t="s">
        <v>87</v>
      </c>
      <c r="P53" s="142">
        <f t="shared" si="8"/>
        <v>1200</v>
      </c>
      <c r="R53" s="165"/>
    </row>
    <row r="54" spans="1:18" ht="22.8" x14ac:dyDescent="0.4">
      <c r="A54" s="227" t="s">
        <v>514</v>
      </c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168"/>
      <c r="O54" s="227"/>
      <c r="P54" s="227"/>
      <c r="R54" s="169"/>
    </row>
    <row r="55" spans="1:18" ht="12" customHeight="1" x14ac:dyDescent="0.4">
      <c r="A55" s="219" t="s">
        <v>515</v>
      </c>
      <c r="C55" s="149" t="s">
        <v>8</v>
      </c>
      <c r="D55" s="170" t="s">
        <v>91</v>
      </c>
      <c r="E55" s="142">
        <v>4</v>
      </c>
      <c r="F55" s="142">
        <v>200</v>
      </c>
      <c r="G55" s="142">
        <f>E55*F55</f>
        <v>800</v>
      </c>
      <c r="H55" s="142">
        <v>0</v>
      </c>
      <c r="I55" s="142">
        <f>(H55*F55)*$B$6</f>
        <v>0</v>
      </c>
      <c r="J55" s="142">
        <v>0</v>
      </c>
      <c r="K55" s="142">
        <f>(J55*F55)*$B$6*$B$6</f>
        <v>0</v>
      </c>
      <c r="L55" s="142">
        <v>0</v>
      </c>
      <c r="M55" s="142">
        <f>(L55*F55)*$B$6*$B$6*$B$6</f>
        <v>0</v>
      </c>
      <c r="N55" s="142">
        <f t="shared" si="9"/>
        <v>800</v>
      </c>
      <c r="O55" s="142" t="s">
        <v>87</v>
      </c>
      <c r="P55" s="142">
        <f>SUM(N55:O55)</f>
        <v>800</v>
      </c>
      <c r="R55" s="169"/>
    </row>
    <row r="56" spans="1:18" ht="12" customHeight="1" x14ac:dyDescent="0.4">
      <c r="A56" s="219" t="s">
        <v>510</v>
      </c>
      <c r="C56" s="149" t="s">
        <v>8</v>
      </c>
      <c r="D56" s="170" t="s">
        <v>86</v>
      </c>
      <c r="E56" s="142">
        <v>6</v>
      </c>
      <c r="F56" s="142">
        <v>100</v>
      </c>
      <c r="G56" s="142">
        <f t="shared" ref="G56:G58" si="16">E56*F56</f>
        <v>600</v>
      </c>
      <c r="H56" s="142">
        <v>0</v>
      </c>
      <c r="I56" s="142">
        <f t="shared" si="13"/>
        <v>0</v>
      </c>
      <c r="J56" s="142">
        <v>0</v>
      </c>
      <c r="K56" s="142">
        <f t="shared" si="14"/>
        <v>0</v>
      </c>
      <c r="L56" s="142">
        <v>0</v>
      </c>
      <c r="M56" s="142">
        <f t="shared" si="15"/>
        <v>0</v>
      </c>
      <c r="N56" s="142">
        <f t="shared" si="9"/>
        <v>600</v>
      </c>
      <c r="O56" s="142" t="s">
        <v>87</v>
      </c>
      <c r="P56" s="142">
        <f t="shared" ref="P56:P58" si="17">SUM(N56:O56)</f>
        <v>600</v>
      </c>
      <c r="R56" s="169"/>
    </row>
    <row r="57" spans="1:18" ht="12" customHeight="1" x14ac:dyDescent="0.4">
      <c r="A57" s="219" t="s">
        <v>511</v>
      </c>
      <c r="C57" s="149" t="s">
        <v>8</v>
      </c>
      <c r="D57" s="170" t="s">
        <v>91</v>
      </c>
      <c r="E57" s="142">
        <v>24</v>
      </c>
      <c r="F57" s="142">
        <v>150</v>
      </c>
      <c r="G57" s="142">
        <f t="shared" si="16"/>
        <v>3600</v>
      </c>
      <c r="H57" s="142">
        <v>0</v>
      </c>
      <c r="I57" s="142">
        <f t="shared" si="13"/>
        <v>0</v>
      </c>
      <c r="J57" s="142">
        <v>0</v>
      </c>
      <c r="K57" s="142">
        <f t="shared" si="14"/>
        <v>0</v>
      </c>
      <c r="L57" s="142">
        <v>0</v>
      </c>
      <c r="M57" s="142">
        <f t="shared" si="15"/>
        <v>0</v>
      </c>
      <c r="N57" s="142">
        <f t="shared" si="9"/>
        <v>3600</v>
      </c>
      <c r="O57" s="142" t="s">
        <v>87</v>
      </c>
      <c r="P57" s="142">
        <f t="shared" si="17"/>
        <v>3600</v>
      </c>
      <c r="R57" s="169"/>
    </row>
    <row r="58" spans="1:18" ht="12" customHeight="1" x14ac:dyDescent="0.4">
      <c r="A58" s="219" t="s">
        <v>513</v>
      </c>
      <c r="C58" s="149" t="s">
        <v>8</v>
      </c>
      <c r="D58" s="170" t="s">
        <v>91</v>
      </c>
      <c r="E58" s="142">
        <v>24</v>
      </c>
      <c r="F58" s="142">
        <v>50</v>
      </c>
      <c r="G58" s="142">
        <f t="shared" si="16"/>
        <v>1200</v>
      </c>
      <c r="H58" s="142">
        <v>0</v>
      </c>
      <c r="I58" s="142">
        <f t="shared" si="13"/>
        <v>0</v>
      </c>
      <c r="J58" s="142">
        <v>0</v>
      </c>
      <c r="K58" s="142">
        <f t="shared" si="14"/>
        <v>0</v>
      </c>
      <c r="L58" s="142">
        <v>0</v>
      </c>
      <c r="M58" s="142">
        <f t="shared" si="15"/>
        <v>0</v>
      </c>
      <c r="N58" s="142">
        <f t="shared" si="9"/>
        <v>1200</v>
      </c>
      <c r="O58" s="142" t="s">
        <v>87</v>
      </c>
      <c r="P58" s="142">
        <f t="shared" si="17"/>
        <v>1200</v>
      </c>
      <c r="R58" s="169"/>
    </row>
    <row r="59" spans="1:18" ht="12" customHeight="1" x14ac:dyDescent="0.4">
      <c r="A59" s="219"/>
      <c r="D59" s="170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R59" s="169"/>
    </row>
    <row r="60" spans="1:18" ht="16.149999999999999" customHeight="1" thickBot="1" x14ac:dyDescent="0.45">
      <c r="A60" s="220" t="s">
        <v>416</v>
      </c>
      <c r="B60" s="220"/>
      <c r="C60" s="220"/>
      <c r="D60" s="220"/>
      <c r="E60" s="220"/>
      <c r="F60" s="220"/>
      <c r="G60" s="228">
        <f>SUM(G41:G58)</f>
        <v>115625.5</v>
      </c>
      <c r="H60" s="228"/>
      <c r="I60" s="228">
        <f>SUM(I41:I58)</f>
        <v>11175.4629</v>
      </c>
      <c r="J60" s="228"/>
      <c r="K60" s="228">
        <f>SUM(K41:K58)</f>
        <v>11025.443502000002</v>
      </c>
      <c r="L60" s="228"/>
      <c r="M60" s="228">
        <f>SUM(M41:M58)</f>
        <v>7597.7055380399997</v>
      </c>
      <c r="N60" s="228">
        <f>G60+I60+K60+M60</f>
        <v>145424.11194003999</v>
      </c>
      <c r="O60" s="281">
        <f>SUM(O50:O58)</f>
        <v>0</v>
      </c>
      <c r="P60" s="229">
        <f>SUM(N60:O60)</f>
        <v>145424.11194003999</v>
      </c>
      <c r="R60" s="169"/>
    </row>
    <row r="61" spans="1:18" ht="16.149999999999999" customHeight="1" x14ac:dyDescent="0.4">
      <c r="A61" s="230"/>
      <c r="B61" s="230"/>
      <c r="C61" s="230"/>
      <c r="D61" s="230"/>
      <c r="E61" s="230"/>
      <c r="F61" s="230"/>
      <c r="G61" s="231"/>
      <c r="H61" s="231"/>
      <c r="I61" s="231"/>
      <c r="J61" s="231"/>
      <c r="K61" s="231"/>
      <c r="L61" s="231"/>
      <c r="M61" s="231"/>
      <c r="N61" s="142"/>
      <c r="O61" s="230"/>
      <c r="P61" s="230"/>
      <c r="R61" s="169"/>
    </row>
    <row r="62" spans="1:18" ht="16.149999999999999" customHeight="1" x14ac:dyDescent="0.4">
      <c r="A62" s="232" t="s">
        <v>417</v>
      </c>
      <c r="B62" s="230"/>
      <c r="C62" s="219" t="s">
        <v>361</v>
      </c>
      <c r="D62" s="230"/>
      <c r="E62" s="230"/>
      <c r="F62" s="233">
        <v>0.1</v>
      </c>
      <c r="G62" s="234">
        <f>G60*F62</f>
        <v>11562.550000000001</v>
      </c>
      <c r="H62" s="234"/>
      <c r="I62" s="234">
        <f>I60*F62</f>
        <v>1117.54629</v>
      </c>
      <c r="J62" s="234"/>
      <c r="K62" s="234">
        <f>K60*F62</f>
        <v>1102.5443502000003</v>
      </c>
      <c r="L62" s="234"/>
      <c r="M62" s="234">
        <f>M60*F62</f>
        <v>759.77055380399997</v>
      </c>
      <c r="N62" s="234">
        <f>G62+I62+K62+M62</f>
        <v>14542.411194004002</v>
      </c>
      <c r="O62" s="282">
        <v>0</v>
      </c>
      <c r="P62" s="235">
        <f>SUM(N62:O62)</f>
        <v>14542.411194004002</v>
      </c>
      <c r="R62" s="169"/>
    </row>
    <row r="63" spans="1:18" ht="12" customHeight="1" x14ac:dyDescent="0.4">
      <c r="A63" s="217"/>
      <c r="B63" s="139"/>
      <c r="C63" s="139"/>
      <c r="D63" s="170"/>
      <c r="N63" s="142"/>
    </row>
    <row r="64" spans="1:18" ht="12" customHeight="1" thickBot="1" x14ac:dyDescent="0.45">
      <c r="A64" s="220" t="s">
        <v>187</v>
      </c>
      <c r="B64" s="154"/>
      <c r="C64" s="154"/>
      <c r="D64" s="154"/>
      <c r="E64" s="190"/>
      <c r="F64" s="190"/>
      <c r="G64" s="158">
        <f>SUM(G60:G62)</f>
        <v>127188.05</v>
      </c>
      <c r="H64" s="158"/>
      <c r="I64" s="158">
        <f>SUM(I60:I62)</f>
        <v>12293.009190000001</v>
      </c>
      <c r="J64" s="158"/>
      <c r="K64" s="158">
        <f>SUM(K60:K62)</f>
        <v>12127.987852200002</v>
      </c>
      <c r="L64" s="158"/>
      <c r="M64" s="158">
        <f>SUM(M60:M62)</f>
        <v>8357.4760918440006</v>
      </c>
      <c r="N64" s="158">
        <f>G64+I64+K64+M64</f>
        <v>159966.52313404399</v>
      </c>
      <c r="O64" s="158">
        <f>SUM(O60:O62)</f>
        <v>0</v>
      </c>
      <c r="P64" s="158">
        <f>SUM(N64:O64)</f>
        <v>159966.52313404399</v>
      </c>
      <c r="R64" s="191"/>
    </row>
    <row r="65" spans="1:21" ht="12" customHeight="1" x14ac:dyDescent="0.4">
      <c r="A65" s="225" t="s">
        <v>516</v>
      </c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4"/>
      <c r="R65" s="171"/>
      <c r="U65" s="118"/>
    </row>
    <row r="66" spans="1:21" ht="12" customHeight="1" x14ac:dyDescent="0.4">
      <c r="A66" s="226" t="s">
        <v>155</v>
      </c>
      <c r="B66" s="186"/>
      <c r="C66" s="186"/>
      <c r="D66" s="187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R66" s="169"/>
    </row>
    <row r="67" spans="1:21" ht="12" customHeight="1" x14ac:dyDescent="0.4">
      <c r="A67" s="315" t="s">
        <v>502</v>
      </c>
      <c r="B67" s="316"/>
      <c r="C67" s="303" t="s">
        <v>54</v>
      </c>
      <c r="D67" s="303" t="s">
        <v>55</v>
      </c>
      <c r="E67" s="305">
        <f>G23</f>
        <v>69769.2</v>
      </c>
      <c r="F67" s="308">
        <v>0.25</v>
      </c>
      <c r="G67" s="305">
        <f>E67*F67</f>
        <v>17442.3</v>
      </c>
      <c r="H67" s="305">
        <f>I23</f>
        <v>37015.851600000002</v>
      </c>
      <c r="I67" s="305">
        <f>H67*F67</f>
        <v>9253.9629000000004</v>
      </c>
      <c r="J67" s="305">
        <f>K23</f>
        <v>36031.474008000005</v>
      </c>
      <c r="K67" s="305">
        <f>J67*F67</f>
        <v>9007.8685020000012</v>
      </c>
      <c r="L67" s="305">
        <f>M23</f>
        <v>24741.61215216</v>
      </c>
      <c r="M67" s="305">
        <f>L67*F67</f>
        <v>6185.40303804</v>
      </c>
      <c r="N67" s="305">
        <f>G67+I67+K67+M67</f>
        <v>41889.534440039999</v>
      </c>
      <c r="O67" s="305" t="s">
        <v>87</v>
      </c>
      <c r="P67" s="305">
        <f>SUM(N67:O67)</f>
        <v>41889.534440039999</v>
      </c>
      <c r="R67" s="169"/>
    </row>
    <row r="68" spans="1:21" ht="12" customHeight="1" x14ac:dyDescent="0.4">
      <c r="A68" s="315" t="s">
        <v>422</v>
      </c>
      <c r="B68" s="316"/>
      <c r="C68" s="303" t="s">
        <v>124</v>
      </c>
      <c r="D68" s="303" t="s">
        <v>55</v>
      </c>
      <c r="E68" s="305">
        <f>G37</f>
        <v>12200</v>
      </c>
      <c r="F68" s="308">
        <v>0.25</v>
      </c>
      <c r="G68" s="305">
        <f>E68*F68</f>
        <v>3050</v>
      </c>
      <c r="H68" s="305">
        <f>I37</f>
        <v>7686</v>
      </c>
      <c r="I68" s="305">
        <f>H68*F68</f>
        <v>1921.5</v>
      </c>
      <c r="J68" s="305">
        <f>K37</f>
        <v>8070.3</v>
      </c>
      <c r="K68" s="305">
        <f>J68*F68</f>
        <v>2017.575</v>
      </c>
      <c r="L68" s="305">
        <f>M37</f>
        <v>5649.21</v>
      </c>
      <c r="M68" s="305">
        <f>L68*F68</f>
        <v>1412.3025</v>
      </c>
      <c r="N68" s="305">
        <f t="shared" ref="N68:N79" si="18">G68+I68+K68+M68</f>
        <v>8401.3775000000005</v>
      </c>
      <c r="O68" s="305" t="s">
        <v>87</v>
      </c>
      <c r="P68" s="305">
        <f>SUM(N68:O68)</f>
        <v>8401.3775000000005</v>
      </c>
      <c r="R68" s="169"/>
    </row>
    <row r="69" spans="1:21" ht="11.4" x14ac:dyDescent="0.4">
      <c r="A69" s="284" t="s">
        <v>517</v>
      </c>
      <c r="B69" s="285"/>
      <c r="C69" s="285"/>
      <c r="D69" s="286"/>
      <c r="E69" s="287"/>
      <c r="F69" s="287"/>
      <c r="G69" s="287"/>
      <c r="H69" s="287"/>
      <c r="I69" s="287"/>
      <c r="J69" s="287"/>
      <c r="K69" s="287"/>
      <c r="L69" s="287"/>
      <c r="M69" s="287"/>
      <c r="N69" s="168"/>
      <c r="O69" s="287"/>
      <c r="P69" s="287"/>
      <c r="R69" s="169"/>
    </row>
    <row r="70" spans="1:21" ht="11.4" x14ac:dyDescent="0.4">
      <c r="A70" s="283" t="s">
        <v>518</v>
      </c>
      <c r="B70" s="192"/>
      <c r="C70" s="149" t="s">
        <v>167</v>
      </c>
      <c r="D70" s="149" t="s">
        <v>177</v>
      </c>
      <c r="E70" s="142">
        <v>0</v>
      </c>
      <c r="F70" s="142">
        <v>75</v>
      </c>
      <c r="G70" s="142">
        <f>F70*E70</f>
        <v>0</v>
      </c>
      <c r="H70" s="142">
        <v>3</v>
      </c>
      <c r="I70" s="142">
        <f>H70*F70</f>
        <v>225</v>
      </c>
      <c r="J70" s="142">
        <v>6</v>
      </c>
      <c r="K70" s="142">
        <f>J70*F70</f>
        <v>450</v>
      </c>
      <c r="L70" s="142">
        <v>2</v>
      </c>
      <c r="M70" s="142">
        <f>L70*F70</f>
        <v>150</v>
      </c>
      <c r="N70" s="142">
        <f t="shared" si="18"/>
        <v>825</v>
      </c>
      <c r="O70" s="142">
        <v>0</v>
      </c>
      <c r="P70" s="142">
        <f>SUM(N70:O70)</f>
        <v>825</v>
      </c>
      <c r="R70" s="169"/>
    </row>
    <row r="71" spans="1:21" ht="11.4" x14ac:dyDescent="0.4">
      <c r="A71" s="288" t="s">
        <v>519</v>
      </c>
      <c r="C71" s="149" t="s">
        <v>167</v>
      </c>
      <c r="D71" s="149" t="s">
        <v>214</v>
      </c>
      <c r="E71" s="142">
        <v>0</v>
      </c>
      <c r="F71" s="142">
        <v>150</v>
      </c>
      <c r="G71" s="142">
        <f t="shared" ref="G71:G79" si="19">F71*E71</f>
        <v>0</v>
      </c>
      <c r="H71" s="142">
        <v>2</v>
      </c>
      <c r="I71" s="142">
        <f t="shared" ref="I71:I79" si="20">H71*F71</f>
        <v>300</v>
      </c>
      <c r="J71" s="142">
        <v>4</v>
      </c>
      <c r="K71" s="142">
        <f t="shared" ref="K71:K79" si="21">J71*F71</f>
        <v>600</v>
      </c>
      <c r="L71" s="142">
        <v>2</v>
      </c>
      <c r="M71" s="142">
        <f t="shared" ref="M71:M79" si="22">L71*F71</f>
        <v>300</v>
      </c>
      <c r="N71" s="142">
        <f t="shared" si="18"/>
        <v>1200</v>
      </c>
      <c r="O71" s="142">
        <v>0</v>
      </c>
      <c r="P71" s="142">
        <f t="shared" ref="P71:P79" si="23">SUM(N71:O71)</f>
        <v>1200</v>
      </c>
      <c r="R71" s="169"/>
    </row>
    <row r="72" spans="1:21" ht="11.4" x14ac:dyDescent="0.4">
      <c r="A72" s="288" t="s">
        <v>520</v>
      </c>
      <c r="C72" s="149" t="s">
        <v>160</v>
      </c>
      <c r="D72" s="149" t="s">
        <v>91</v>
      </c>
      <c r="E72" s="142">
        <v>0</v>
      </c>
      <c r="F72" s="142">
        <v>120</v>
      </c>
      <c r="G72" s="142">
        <f t="shared" si="19"/>
        <v>0</v>
      </c>
      <c r="H72" s="142">
        <v>5</v>
      </c>
      <c r="I72" s="142">
        <f t="shared" si="20"/>
        <v>600</v>
      </c>
      <c r="J72" s="142">
        <v>10</v>
      </c>
      <c r="K72" s="142">
        <f t="shared" si="21"/>
        <v>1200</v>
      </c>
      <c r="L72" s="142">
        <v>5</v>
      </c>
      <c r="M72" s="142">
        <f t="shared" si="22"/>
        <v>600</v>
      </c>
      <c r="N72" s="142">
        <f t="shared" si="18"/>
        <v>2400</v>
      </c>
      <c r="O72" s="142">
        <v>0</v>
      </c>
      <c r="P72" s="142">
        <f t="shared" si="23"/>
        <v>2400</v>
      </c>
      <c r="R72" s="169"/>
    </row>
    <row r="73" spans="1:21" ht="11.4" x14ac:dyDescent="0.4">
      <c r="A73" s="289" t="s">
        <v>521</v>
      </c>
      <c r="C73" s="149" t="s">
        <v>167</v>
      </c>
      <c r="D73" s="149" t="s">
        <v>205</v>
      </c>
      <c r="E73" s="142">
        <v>0</v>
      </c>
      <c r="F73" s="142">
        <v>300</v>
      </c>
      <c r="G73" s="142">
        <f t="shared" si="19"/>
        <v>0</v>
      </c>
      <c r="H73" s="142">
        <v>1</v>
      </c>
      <c r="I73" s="142">
        <f t="shared" si="20"/>
        <v>300</v>
      </c>
      <c r="J73" s="142">
        <v>5</v>
      </c>
      <c r="K73" s="142">
        <f t="shared" si="21"/>
        <v>1500</v>
      </c>
      <c r="L73" s="142">
        <v>2</v>
      </c>
      <c r="M73" s="142">
        <f t="shared" si="22"/>
        <v>600</v>
      </c>
      <c r="N73" s="142">
        <f t="shared" si="18"/>
        <v>2400</v>
      </c>
      <c r="O73" s="142">
        <v>0</v>
      </c>
      <c r="P73" s="142">
        <f t="shared" si="23"/>
        <v>2400</v>
      </c>
      <c r="R73" s="169"/>
    </row>
    <row r="74" spans="1:21" ht="11.4" x14ac:dyDescent="0.4">
      <c r="A74" s="289" t="s">
        <v>522</v>
      </c>
      <c r="C74" s="149" t="s">
        <v>160</v>
      </c>
      <c r="D74" s="149" t="s">
        <v>91</v>
      </c>
      <c r="E74" s="142">
        <v>0</v>
      </c>
      <c r="F74" s="142">
        <v>120</v>
      </c>
      <c r="G74" s="142">
        <f t="shared" si="19"/>
        <v>0</v>
      </c>
      <c r="H74" s="142">
        <v>3</v>
      </c>
      <c r="I74" s="142">
        <f t="shared" si="20"/>
        <v>360</v>
      </c>
      <c r="J74" s="142">
        <v>14</v>
      </c>
      <c r="K74" s="142">
        <f t="shared" si="21"/>
        <v>1680</v>
      </c>
      <c r="L74" s="142">
        <v>7</v>
      </c>
      <c r="M74" s="142">
        <f t="shared" si="22"/>
        <v>840</v>
      </c>
      <c r="N74" s="142">
        <f t="shared" si="18"/>
        <v>2880</v>
      </c>
      <c r="O74" s="142">
        <v>0</v>
      </c>
      <c r="P74" s="142">
        <f t="shared" si="23"/>
        <v>2880</v>
      </c>
      <c r="R74" s="169"/>
    </row>
    <row r="75" spans="1:21" ht="12" customHeight="1" x14ac:dyDescent="0.4">
      <c r="A75" s="219" t="s">
        <v>523</v>
      </c>
      <c r="C75" s="149" t="s">
        <v>167</v>
      </c>
      <c r="D75" s="149" t="s">
        <v>205</v>
      </c>
      <c r="E75" s="142">
        <v>0</v>
      </c>
      <c r="F75" s="142">
        <v>300</v>
      </c>
      <c r="G75" s="142">
        <f t="shared" si="19"/>
        <v>0</v>
      </c>
      <c r="H75" s="142">
        <v>1</v>
      </c>
      <c r="I75" s="142">
        <f t="shared" si="20"/>
        <v>300</v>
      </c>
      <c r="J75" s="142">
        <v>4</v>
      </c>
      <c r="K75" s="142">
        <f t="shared" si="21"/>
        <v>1200</v>
      </c>
      <c r="L75" s="142">
        <v>2</v>
      </c>
      <c r="M75" s="142">
        <f t="shared" si="22"/>
        <v>600</v>
      </c>
      <c r="N75" s="142">
        <f t="shared" si="18"/>
        <v>2100</v>
      </c>
      <c r="O75" s="142">
        <v>0</v>
      </c>
      <c r="P75" s="142">
        <f t="shared" si="23"/>
        <v>2100</v>
      </c>
      <c r="R75" s="169"/>
    </row>
    <row r="76" spans="1:21" ht="12" customHeight="1" x14ac:dyDescent="0.4">
      <c r="A76" s="219" t="s">
        <v>524</v>
      </c>
      <c r="C76" s="149" t="s">
        <v>167</v>
      </c>
      <c r="D76" s="149" t="s">
        <v>525</v>
      </c>
      <c r="E76" s="142">
        <v>0</v>
      </c>
      <c r="F76" s="142">
        <v>150</v>
      </c>
      <c r="G76" s="142">
        <f t="shared" si="19"/>
        <v>0</v>
      </c>
      <c r="H76" s="142">
        <v>4</v>
      </c>
      <c r="I76" s="142">
        <f t="shared" si="20"/>
        <v>600</v>
      </c>
      <c r="J76" s="142">
        <v>13</v>
      </c>
      <c r="K76" s="142">
        <f t="shared" si="21"/>
        <v>1950</v>
      </c>
      <c r="L76" s="142">
        <v>6</v>
      </c>
      <c r="M76" s="142">
        <f t="shared" si="22"/>
        <v>900</v>
      </c>
      <c r="N76" s="142">
        <f t="shared" si="18"/>
        <v>3450</v>
      </c>
      <c r="O76" s="142">
        <v>0</v>
      </c>
      <c r="P76" s="142">
        <f t="shared" si="23"/>
        <v>3450</v>
      </c>
      <c r="R76" s="169"/>
    </row>
    <row r="77" spans="1:21" ht="12" customHeight="1" x14ac:dyDescent="0.4">
      <c r="A77" s="219" t="s">
        <v>526</v>
      </c>
      <c r="C77" s="149" t="s">
        <v>8</v>
      </c>
      <c r="D77" s="149" t="s">
        <v>91</v>
      </c>
      <c r="E77" s="142">
        <v>0</v>
      </c>
      <c r="F77" s="142">
        <v>150</v>
      </c>
      <c r="G77" s="142">
        <f t="shared" si="19"/>
        <v>0</v>
      </c>
      <c r="H77" s="142">
        <v>4</v>
      </c>
      <c r="I77" s="142">
        <f t="shared" si="20"/>
        <v>600</v>
      </c>
      <c r="J77" s="142">
        <v>13</v>
      </c>
      <c r="K77" s="142">
        <f t="shared" si="21"/>
        <v>1950</v>
      </c>
      <c r="L77" s="142">
        <v>6</v>
      </c>
      <c r="M77" s="142">
        <f t="shared" si="22"/>
        <v>900</v>
      </c>
      <c r="N77" s="142">
        <f t="shared" si="18"/>
        <v>3450</v>
      </c>
      <c r="O77" s="142">
        <v>0</v>
      </c>
      <c r="P77" s="142">
        <f t="shared" si="23"/>
        <v>3450</v>
      </c>
      <c r="R77" s="169"/>
    </row>
    <row r="78" spans="1:21" ht="12" customHeight="1" x14ac:dyDescent="0.4">
      <c r="A78" s="219" t="s">
        <v>527</v>
      </c>
      <c r="C78" s="149" t="s">
        <v>8</v>
      </c>
      <c r="D78" s="149" t="s">
        <v>91</v>
      </c>
      <c r="E78" s="142">
        <v>0</v>
      </c>
      <c r="F78" s="142">
        <v>50</v>
      </c>
      <c r="G78" s="142">
        <f t="shared" si="19"/>
        <v>0</v>
      </c>
      <c r="H78" s="142">
        <v>4</v>
      </c>
      <c r="I78" s="142">
        <f t="shared" si="20"/>
        <v>200</v>
      </c>
      <c r="J78" s="142">
        <v>13</v>
      </c>
      <c r="K78" s="142">
        <f t="shared" si="21"/>
        <v>650</v>
      </c>
      <c r="L78" s="142">
        <v>6</v>
      </c>
      <c r="M78" s="142">
        <f t="shared" si="22"/>
        <v>300</v>
      </c>
      <c r="N78" s="142">
        <f t="shared" si="18"/>
        <v>1150</v>
      </c>
      <c r="O78" s="142">
        <v>0</v>
      </c>
      <c r="P78" s="142">
        <f t="shared" si="23"/>
        <v>1150</v>
      </c>
      <c r="R78" s="169"/>
    </row>
    <row r="79" spans="1:21" ht="22.8" x14ac:dyDescent="0.4">
      <c r="A79" s="219" t="s">
        <v>528</v>
      </c>
      <c r="C79" s="149" t="s">
        <v>8</v>
      </c>
      <c r="D79" s="149" t="s">
        <v>91</v>
      </c>
      <c r="E79" s="142">
        <v>0</v>
      </c>
      <c r="F79" s="142">
        <v>25</v>
      </c>
      <c r="G79" s="142">
        <f t="shared" si="19"/>
        <v>0</v>
      </c>
      <c r="H79" s="142">
        <v>4</v>
      </c>
      <c r="I79" s="142">
        <f t="shared" si="20"/>
        <v>100</v>
      </c>
      <c r="J79" s="142">
        <v>13</v>
      </c>
      <c r="K79" s="142">
        <f t="shared" si="21"/>
        <v>325</v>
      </c>
      <c r="L79" s="142">
        <v>6</v>
      </c>
      <c r="M79" s="142">
        <f t="shared" si="22"/>
        <v>150</v>
      </c>
      <c r="N79" s="142">
        <f t="shared" si="18"/>
        <v>575</v>
      </c>
      <c r="O79" s="142">
        <v>0</v>
      </c>
      <c r="P79" s="142">
        <f t="shared" si="23"/>
        <v>575</v>
      </c>
      <c r="R79" s="169"/>
    </row>
    <row r="80" spans="1:21" ht="12" customHeight="1" x14ac:dyDescent="0.4">
      <c r="A80" s="219"/>
      <c r="D80" s="170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R80" s="169"/>
    </row>
    <row r="81" spans="1:21" ht="16.149999999999999" customHeight="1" thickBot="1" x14ac:dyDescent="0.45">
      <c r="A81" s="220" t="s">
        <v>426</v>
      </c>
      <c r="B81" s="220"/>
      <c r="C81" s="220"/>
      <c r="D81" s="220"/>
      <c r="E81" s="220"/>
      <c r="F81" s="220"/>
      <c r="G81" s="228">
        <f>SUM(G67:G79)</f>
        <v>20492.3</v>
      </c>
      <c r="H81" s="228"/>
      <c r="I81" s="228">
        <f>SUM(I67:I79)</f>
        <v>14760.4629</v>
      </c>
      <c r="J81" s="228"/>
      <c r="K81" s="228">
        <f>SUM(K67:K79)</f>
        <v>22530.443502000002</v>
      </c>
      <c r="L81" s="228"/>
      <c r="M81" s="228">
        <f>SUM(M67:M79)</f>
        <v>12937.70553804</v>
      </c>
      <c r="N81" s="228">
        <f>G81+I81+K81+M81</f>
        <v>70720.911940040009</v>
      </c>
      <c r="O81" s="280">
        <f>SUM(O67:O79)</f>
        <v>0</v>
      </c>
      <c r="P81" s="229">
        <f>SUM(N81:O81)</f>
        <v>70720.911940040009</v>
      </c>
      <c r="R81" s="259"/>
    </row>
    <row r="82" spans="1:21" ht="16.149999999999999" customHeight="1" x14ac:dyDescent="0.4">
      <c r="A82" s="230"/>
      <c r="B82" s="230"/>
      <c r="C82" s="230"/>
      <c r="D82" s="230"/>
      <c r="E82" s="230"/>
      <c r="F82" s="230"/>
      <c r="G82" s="231"/>
      <c r="H82" s="231"/>
      <c r="I82" s="231"/>
      <c r="J82" s="231"/>
      <c r="K82" s="231"/>
      <c r="L82" s="231"/>
      <c r="M82" s="231"/>
      <c r="N82" s="142"/>
      <c r="O82" s="230"/>
      <c r="P82" s="230"/>
      <c r="R82" s="169"/>
    </row>
    <row r="83" spans="1:21" ht="16.149999999999999" customHeight="1" x14ac:dyDescent="0.4">
      <c r="A83" s="232" t="s">
        <v>427</v>
      </c>
      <c r="B83" s="230"/>
      <c r="C83" s="219" t="s">
        <v>361</v>
      </c>
      <c r="D83" s="230"/>
      <c r="E83" s="230"/>
      <c r="F83" s="233">
        <v>0.1</v>
      </c>
      <c r="G83" s="234">
        <f>G81*F83</f>
        <v>2049.23</v>
      </c>
      <c r="H83" s="234"/>
      <c r="I83" s="234">
        <f>I81*F83</f>
        <v>1476.0462900000002</v>
      </c>
      <c r="J83" s="234"/>
      <c r="K83" s="234">
        <f>K81*F83</f>
        <v>2253.0443502000003</v>
      </c>
      <c r="L83" s="234"/>
      <c r="M83" s="234">
        <f>M81*F83</f>
        <v>1293.770553804</v>
      </c>
      <c r="N83" s="234">
        <f>G83+I83+K83+M83</f>
        <v>7072.0911940040005</v>
      </c>
      <c r="O83" s="282">
        <v>0</v>
      </c>
      <c r="P83" s="235">
        <f>SUM(N83:O83)</f>
        <v>7072.0911940040005</v>
      </c>
      <c r="R83" s="169"/>
    </row>
    <row r="84" spans="1:21" ht="12" customHeight="1" x14ac:dyDescent="0.4">
      <c r="A84" s="217"/>
      <c r="B84" s="139"/>
      <c r="C84" s="139"/>
      <c r="D84" s="170"/>
    </row>
    <row r="85" spans="1:21" ht="12" customHeight="1" thickBot="1" x14ac:dyDescent="0.45">
      <c r="A85" s="220" t="s">
        <v>230</v>
      </c>
      <c r="B85" s="154"/>
      <c r="C85" s="154"/>
      <c r="D85" s="154"/>
      <c r="E85" s="190"/>
      <c r="F85" s="190"/>
      <c r="G85" s="158">
        <f>SUM(G81:G83)</f>
        <v>22541.53</v>
      </c>
      <c r="H85" s="158"/>
      <c r="I85" s="158">
        <f t="shared" ref="I85:M85" si="24">SUM(I81:I83)</f>
        <v>16236.509190000001</v>
      </c>
      <c r="J85" s="158"/>
      <c r="K85" s="158">
        <f t="shared" si="24"/>
        <v>24783.487852200004</v>
      </c>
      <c r="L85" s="158"/>
      <c r="M85" s="158">
        <f t="shared" si="24"/>
        <v>14231.476091844001</v>
      </c>
      <c r="N85" s="158">
        <f>G85+I85+K85+M85</f>
        <v>77793.003134044004</v>
      </c>
      <c r="O85" s="158">
        <f>SUM(O81:O83)</f>
        <v>0</v>
      </c>
      <c r="P85" s="158">
        <f>SUM(N85:O85)</f>
        <v>77793.003134044004</v>
      </c>
      <c r="R85" s="191"/>
    </row>
    <row r="86" spans="1:21" ht="12" customHeight="1" x14ac:dyDescent="0.4">
      <c r="A86" s="181" t="s">
        <v>231</v>
      </c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4"/>
      <c r="R86" s="171"/>
      <c r="U86" s="118"/>
    </row>
    <row r="87" spans="1:21" ht="12" customHeight="1" x14ac:dyDescent="0.4">
      <c r="A87" s="185" t="s">
        <v>155</v>
      </c>
      <c r="B87" s="186"/>
      <c r="C87" s="186"/>
      <c r="D87" s="187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R87" s="169"/>
    </row>
    <row r="88" spans="1:21" ht="12" customHeight="1" x14ac:dyDescent="0.35">
      <c r="A88" s="303" t="s">
        <v>418</v>
      </c>
      <c r="B88" s="303"/>
      <c r="C88" s="303" t="s">
        <v>429</v>
      </c>
      <c r="D88" s="307" t="s">
        <v>125</v>
      </c>
      <c r="E88" s="305">
        <f>G23</f>
        <v>69769.2</v>
      </c>
      <c r="F88" s="306">
        <v>0.25</v>
      </c>
      <c r="G88" s="305">
        <f t="shared" ref="G88:G89" si="25">E88*F88</f>
        <v>17442.3</v>
      </c>
      <c r="H88" s="305">
        <f>I23</f>
        <v>37015.851600000002</v>
      </c>
      <c r="I88" s="305">
        <f t="shared" ref="I88:I89" si="26">H88*F88</f>
        <v>9253.9629000000004</v>
      </c>
      <c r="J88" s="305">
        <f>K23</f>
        <v>36031.474008000005</v>
      </c>
      <c r="K88" s="305">
        <f t="shared" ref="K88:K89" si="27">J88*F88</f>
        <v>9007.8685020000012</v>
      </c>
      <c r="L88" s="305">
        <f>M23</f>
        <v>24741.61215216</v>
      </c>
      <c r="M88" s="305">
        <f t="shared" ref="M88:M89" si="28">L88*F88</f>
        <v>6185.40303804</v>
      </c>
      <c r="N88" s="305">
        <f>G88+I88+K88+M88</f>
        <v>41889.534440039999</v>
      </c>
      <c r="O88" s="305">
        <v>0</v>
      </c>
      <c r="P88" s="305">
        <f t="shared" ref="P88:P89" si="29">SUM(N88:O88)</f>
        <v>41889.534440039999</v>
      </c>
    </row>
    <row r="89" spans="1:21" ht="12" customHeight="1" x14ac:dyDescent="0.35">
      <c r="A89" s="303" t="s">
        <v>422</v>
      </c>
      <c r="B89" s="303"/>
      <c r="C89" s="303" t="s">
        <v>429</v>
      </c>
      <c r="D89" s="307" t="s">
        <v>125</v>
      </c>
      <c r="E89" s="305">
        <f>G37</f>
        <v>12200</v>
      </c>
      <c r="F89" s="308">
        <v>0.25</v>
      </c>
      <c r="G89" s="305">
        <f t="shared" si="25"/>
        <v>3050</v>
      </c>
      <c r="H89" s="305">
        <f>I37</f>
        <v>7686</v>
      </c>
      <c r="I89" s="305">
        <f t="shared" si="26"/>
        <v>1921.5</v>
      </c>
      <c r="J89" s="305">
        <f>K37</f>
        <v>8070.3</v>
      </c>
      <c r="K89" s="305">
        <f t="shared" si="27"/>
        <v>2017.575</v>
      </c>
      <c r="L89" s="305">
        <f>M37</f>
        <v>5649.21</v>
      </c>
      <c r="M89" s="305">
        <f t="shared" si="28"/>
        <v>1412.3025</v>
      </c>
      <c r="N89" s="305">
        <f t="shared" ref="N89:N95" si="30">G89+I89+K89+M89</f>
        <v>8401.3775000000005</v>
      </c>
      <c r="O89" s="305">
        <v>0</v>
      </c>
      <c r="P89" s="305">
        <f t="shared" si="29"/>
        <v>8401.3775000000005</v>
      </c>
    </row>
    <row r="90" spans="1:21" ht="12" customHeight="1" x14ac:dyDescent="0.35">
      <c r="A90" s="244" t="s">
        <v>529</v>
      </c>
      <c r="B90" s="166"/>
      <c r="C90" s="166"/>
      <c r="D90" s="262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</row>
    <row r="91" spans="1:21" ht="21.75" customHeight="1" x14ac:dyDescent="0.35">
      <c r="A91" s="139" t="s">
        <v>530</v>
      </c>
      <c r="B91" s="139"/>
      <c r="C91" s="139" t="s">
        <v>167</v>
      </c>
      <c r="D91" s="153" t="s">
        <v>205</v>
      </c>
      <c r="E91" s="142">
        <v>0</v>
      </c>
      <c r="F91" s="142">
        <v>300</v>
      </c>
      <c r="G91" s="142">
        <f>SUM(E91*F91)</f>
        <v>0</v>
      </c>
      <c r="H91" s="142">
        <v>1</v>
      </c>
      <c r="I91" s="142">
        <f>H91*F91</f>
        <v>300</v>
      </c>
      <c r="J91" s="142">
        <v>3</v>
      </c>
      <c r="K91" s="142">
        <f>J91*F91</f>
        <v>900</v>
      </c>
      <c r="L91" s="142">
        <v>0</v>
      </c>
      <c r="M91" s="142">
        <f>L91*F91</f>
        <v>0</v>
      </c>
      <c r="N91" s="142">
        <f t="shared" si="30"/>
        <v>1200</v>
      </c>
      <c r="O91" s="142">
        <v>0</v>
      </c>
      <c r="P91" s="142">
        <f>SUM(N91:O91)</f>
        <v>1200</v>
      </c>
    </row>
    <row r="92" spans="1:21" ht="20.399999999999999" x14ac:dyDescent="0.35">
      <c r="A92" s="139" t="s">
        <v>531</v>
      </c>
      <c r="B92" s="139"/>
      <c r="C92" s="139" t="s">
        <v>167</v>
      </c>
      <c r="D92" s="153" t="s">
        <v>205</v>
      </c>
      <c r="E92" s="142">
        <v>0</v>
      </c>
      <c r="F92" s="142">
        <v>150</v>
      </c>
      <c r="G92" s="142">
        <f t="shared" ref="G92:G95" si="31">SUM(E92*F92)</f>
        <v>0</v>
      </c>
      <c r="H92" s="142">
        <v>1</v>
      </c>
      <c r="I92" s="142">
        <f t="shared" ref="I92:I95" si="32">H92*F92</f>
        <v>150</v>
      </c>
      <c r="J92" s="142">
        <v>3</v>
      </c>
      <c r="K92" s="142">
        <f t="shared" ref="K92:K95" si="33">J92*F92</f>
        <v>450</v>
      </c>
      <c r="L92" s="142">
        <v>0</v>
      </c>
      <c r="M92" s="142">
        <f t="shared" ref="M92:M95" si="34">L92*F92</f>
        <v>0</v>
      </c>
      <c r="N92" s="142">
        <f t="shared" si="30"/>
        <v>600</v>
      </c>
      <c r="O92" s="142">
        <v>0</v>
      </c>
      <c r="P92" s="142">
        <f t="shared" ref="P92:P95" si="35">SUM(N92:O92)</f>
        <v>600</v>
      </c>
    </row>
    <row r="93" spans="1:21" ht="12" customHeight="1" x14ac:dyDescent="0.35">
      <c r="A93" s="139" t="s">
        <v>475</v>
      </c>
      <c r="B93" s="139"/>
      <c r="C93" s="139" t="s">
        <v>8</v>
      </c>
      <c r="D93" s="153" t="s">
        <v>91</v>
      </c>
      <c r="E93" s="142">
        <v>0</v>
      </c>
      <c r="F93" s="142">
        <v>108</v>
      </c>
      <c r="G93" s="142">
        <f t="shared" si="31"/>
        <v>0</v>
      </c>
      <c r="H93" s="142">
        <v>0</v>
      </c>
      <c r="I93" s="142">
        <f t="shared" si="32"/>
        <v>0</v>
      </c>
      <c r="J93" s="142">
        <v>16</v>
      </c>
      <c r="K93" s="142">
        <f t="shared" si="33"/>
        <v>1728</v>
      </c>
      <c r="L93" s="142">
        <v>0</v>
      </c>
      <c r="M93" s="142">
        <f t="shared" si="34"/>
        <v>0</v>
      </c>
      <c r="N93" s="142">
        <f t="shared" si="30"/>
        <v>1728</v>
      </c>
      <c r="O93" s="142">
        <v>0</v>
      </c>
      <c r="P93" s="142">
        <f t="shared" si="35"/>
        <v>1728</v>
      </c>
    </row>
    <row r="94" spans="1:21" ht="12" customHeight="1" x14ac:dyDescent="0.35">
      <c r="A94" s="139" t="s">
        <v>476</v>
      </c>
      <c r="B94" s="139"/>
      <c r="C94" s="139" t="s">
        <v>8</v>
      </c>
      <c r="D94" s="153" t="s">
        <v>91</v>
      </c>
      <c r="E94" s="142">
        <v>0</v>
      </c>
      <c r="F94" s="142">
        <v>46</v>
      </c>
      <c r="G94" s="142">
        <f t="shared" si="31"/>
        <v>0</v>
      </c>
      <c r="H94" s="142">
        <v>0</v>
      </c>
      <c r="I94" s="142">
        <f t="shared" si="32"/>
        <v>0</v>
      </c>
      <c r="J94" s="142">
        <v>8</v>
      </c>
      <c r="K94" s="142">
        <f t="shared" si="33"/>
        <v>368</v>
      </c>
      <c r="L94" s="142">
        <v>0</v>
      </c>
      <c r="M94" s="142">
        <f t="shared" si="34"/>
        <v>0</v>
      </c>
      <c r="N94" s="142">
        <f t="shared" si="30"/>
        <v>368</v>
      </c>
      <c r="O94" s="142">
        <v>0</v>
      </c>
      <c r="P94" s="142">
        <f t="shared" si="35"/>
        <v>368</v>
      </c>
    </row>
    <row r="95" spans="1:21" ht="12" customHeight="1" x14ac:dyDescent="0.35">
      <c r="A95" s="139" t="s">
        <v>532</v>
      </c>
      <c r="B95" s="139"/>
      <c r="C95" s="139" t="s">
        <v>533</v>
      </c>
      <c r="D95" s="153" t="s">
        <v>91</v>
      </c>
      <c r="E95" s="142">
        <v>0</v>
      </c>
      <c r="F95" s="142">
        <v>108</v>
      </c>
      <c r="G95" s="142">
        <f t="shared" si="31"/>
        <v>0</v>
      </c>
      <c r="H95" s="142">
        <v>0</v>
      </c>
      <c r="I95" s="142">
        <f t="shared" si="32"/>
        <v>0</v>
      </c>
      <c r="J95" s="142">
        <v>8</v>
      </c>
      <c r="K95" s="142">
        <f t="shared" si="33"/>
        <v>864</v>
      </c>
      <c r="L95" s="142">
        <v>0</v>
      </c>
      <c r="M95" s="142">
        <f t="shared" si="34"/>
        <v>0</v>
      </c>
      <c r="N95" s="142">
        <f t="shared" si="30"/>
        <v>864</v>
      </c>
      <c r="O95" s="142">
        <v>0</v>
      </c>
      <c r="P95" s="142">
        <f t="shared" si="35"/>
        <v>864</v>
      </c>
    </row>
    <row r="96" spans="1:21" ht="12" customHeight="1" x14ac:dyDescent="0.35">
      <c r="A96" s="139"/>
      <c r="B96" s="139"/>
      <c r="C96" s="139"/>
      <c r="D96" s="170"/>
    </row>
    <row r="97" spans="1:21" ht="12" customHeight="1" thickBot="1" x14ac:dyDescent="0.45">
      <c r="A97" s="154" t="s">
        <v>440</v>
      </c>
      <c r="B97" s="154"/>
      <c r="C97" s="154"/>
      <c r="D97" s="154"/>
      <c r="E97" s="190"/>
      <c r="F97" s="190"/>
      <c r="G97" s="158">
        <f>SUM(G88:G95)</f>
        <v>20492.3</v>
      </c>
      <c r="H97" s="158"/>
      <c r="I97" s="158">
        <f>SUM(I88:I95)</f>
        <v>11625.4629</v>
      </c>
      <c r="J97" s="158"/>
      <c r="K97" s="158">
        <f>SUM(K88:K95)</f>
        <v>15335.443502000002</v>
      </c>
      <c r="L97" s="158"/>
      <c r="M97" s="158">
        <f>SUM(M88:M95)</f>
        <v>7597.7055380399997</v>
      </c>
      <c r="N97" s="158">
        <f>G97+I97+K97+M97</f>
        <v>55050.911940040001</v>
      </c>
      <c r="O97" s="158">
        <f>SUM(O88:O90)</f>
        <v>0</v>
      </c>
      <c r="P97" s="158">
        <f>SUM(N97:O97)</f>
        <v>55050.911940040001</v>
      </c>
      <c r="R97" s="191"/>
    </row>
    <row r="98" spans="1:21" ht="12" customHeight="1" x14ac:dyDescent="0.35">
      <c r="A98" s="139"/>
      <c r="B98" s="139"/>
      <c r="C98" s="139"/>
      <c r="D98" s="170"/>
    </row>
    <row r="99" spans="1:21" ht="12" customHeight="1" x14ac:dyDescent="0.4">
      <c r="A99" s="192" t="s">
        <v>441</v>
      </c>
      <c r="B99" s="192"/>
      <c r="C99" s="149" t="s">
        <v>361</v>
      </c>
      <c r="D99" s="193"/>
      <c r="E99" s="193"/>
      <c r="F99" s="152">
        <v>0.1</v>
      </c>
      <c r="G99" s="194">
        <f>(G97)*F99</f>
        <v>2049.23</v>
      </c>
      <c r="H99" s="194"/>
      <c r="I99" s="194">
        <f>(I97)*F99</f>
        <v>1162.54629</v>
      </c>
      <c r="J99" s="194"/>
      <c r="K99" s="194">
        <f>(K97)*F99</f>
        <v>1533.5443502000003</v>
      </c>
      <c r="M99" s="194">
        <f>(M97)*F99</f>
        <v>759.77055380399997</v>
      </c>
      <c r="N99" s="194">
        <f>SUM(G99+I99+K99+M99)</f>
        <v>5505.0911940039996</v>
      </c>
      <c r="O99" s="194">
        <v>0</v>
      </c>
      <c r="P99" s="194">
        <f>SUM(N99:O99)</f>
        <v>5505.0911940039996</v>
      </c>
      <c r="R99" s="169"/>
    </row>
    <row r="100" spans="1:21" ht="12" customHeight="1" x14ac:dyDescent="0.35">
      <c r="A100" s="139"/>
      <c r="B100" s="139"/>
      <c r="C100" s="139"/>
      <c r="D100" s="170"/>
    </row>
    <row r="101" spans="1:21" ht="12" customHeight="1" thickBot="1" x14ac:dyDescent="0.45">
      <c r="A101" s="154" t="s">
        <v>257</v>
      </c>
      <c r="B101" s="154"/>
      <c r="C101" s="154"/>
      <c r="D101" s="154"/>
      <c r="E101" s="190"/>
      <c r="F101" s="190"/>
      <c r="G101" s="158">
        <f>SUM(G97:G99)</f>
        <v>22541.53</v>
      </c>
      <c r="H101" s="158"/>
      <c r="I101" s="158">
        <f>SUM(I97:I99)</f>
        <v>12788.009190000001</v>
      </c>
      <c r="J101" s="158"/>
      <c r="K101" s="158">
        <f>SUM(K97:K99)</f>
        <v>16868.987852200004</v>
      </c>
      <c r="L101" s="158"/>
      <c r="M101" s="158">
        <f>SUM(M97:M99)</f>
        <v>8357.4760918440006</v>
      </c>
      <c r="N101" s="158">
        <f>G101+I101+K101+M101</f>
        <v>60556.003134044004</v>
      </c>
      <c r="O101" s="158">
        <f>SUM(O90:O90)</f>
        <v>0</v>
      </c>
      <c r="P101" s="158">
        <f>SUM(N101:O101)</f>
        <v>60556.003134044004</v>
      </c>
      <c r="R101" s="191"/>
    </row>
    <row r="102" spans="1:21" ht="12" customHeight="1" x14ac:dyDescent="0.4">
      <c r="A102" s="115" t="s">
        <v>258</v>
      </c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4"/>
      <c r="R102" s="171"/>
      <c r="U102" s="118"/>
    </row>
    <row r="103" spans="1:21" ht="12" customHeight="1" x14ac:dyDescent="0.4">
      <c r="A103" s="185" t="s">
        <v>155</v>
      </c>
      <c r="B103" s="186"/>
      <c r="C103" s="186"/>
      <c r="D103" s="187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R103" s="169"/>
    </row>
    <row r="104" spans="1:21" ht="12" customHeight="1" x14ac:dyDescent="0.35">
      <c r="A104" s="303" t="s">
        <v>428</v>
      </c>
      <c r="B104" s="303"/>
      <c r="C104" s="303" t="s">
        <v>429</v>
      </c>
      <c r="D104" s="307" t="s">
        <v>125</v>
      </c>
      <c r="E104" s="305">
        <f>G23</f>
        <v>69769.2</v>
      </c>
      <c r="F104" s="306">
        <v>0.2</v>
      </c>
      <c r="G104" s="305">
        <f t="shared" ref="G104:G105" si="36">E104*F104</f>
        <v>13953.84</v>
      </c>
      <c r="H104" s="305">
        <f>I23</f>
        <v>37015.851600000002</v>
      </c>
      <c r="I104" s="305">
        <f t="shared" ref="I104:I105" si="37">H104*F104</f>
        <v>7403.1703200000011</v>
      </c>
      <c r="J104" s="305">
        <f>K23</f>
        <v>36031.474008000005</v>
      </c>
      <c r="K104" s="305">
        <f t="shared" ref="K104:K105" si="38">J104*F104</f>
        <v>7206.2948016000009</v>
      </c>
      <c r="L104" s="305">
        <f>M23</f>
        <v>24741.61215216</v>
      </c>
      <c r="M104" s="305">
        <f t="shared" ref="M104:M105" si="39">L104*F104</f>
        <v>4948.3224304320001</v>
      </c>
      <c r="N104" s="305">
        <f>G104+I104+K104+M104</f>
        <v>33511.627552032005</v>
      </c>
      <c r="O104" s="305">
        <v>0</v>
      </c>
      <c r="P104" s="305">
        <f t="shared" ref="P104:P105" si="40">SUM(N104:O104)</f>
        <v>33511.627552032005</v>
      </c>
    </row>
    <row r="105" spans="1:21" ht="12" customHeight="1" x14ac:dyDescent="0.35">
      <c r="A105" s="303" t="s">
        <v>432</v>
      </c>
      <c r="B105" s="303"/>
      <c r="C105" s="303" t="s">
        <v>429</v>
      </c>
      <c r="D105" s="307" t="s">
        <v>125</v>
      </c>
      <c r="E105" s="305">
        <f>G37</f>
        <v>12200</v>
      </c>
      <c r="F105" s="308">
        <v>0.2</v>
      </c>
      <c r="G105" s="305">
        <f t="shared" si="36"/>
        <v>2440</v>
      </c>
      <c r="H105" s="305">
        <f>I37</f>
        <v>7686</v>
      </c>
      <c r="I105" s="305">
        <f t="shared" si="37"/>
        <v>1537.2</v>
      </c>
      <c r="J105" s="305">
        <f>K37</f>
        <v>8070.3</v>
      </c>
      <c r="K105" s="305">
        <f t="shared" si="38"/>
        <v>1614.0600000000002</v>
      </c>
      <c r="L105" s="305">
        <f>M37</f>
        <v>5649.21</v>
      </c>
      <c r="M105" s="305">
        <f t="shared" si="39"/>
        <v>1129.8420000000001</v>
      </c>
      <c r="N105" s="305">
        <f t="shared" ref="N105:N108" si="41">G105+I105+K105+M105</f>
        <v>6721.1020000000008</v>
      </c>
      <c r="O105" s="305">
        <v>0</v>
      </c>
      <c r="P105" s="305">
        <f t="shared" si="40"/>
        <v>6721.1020000000008</v>
      </c>
    </row>
    <row r="106" spans="1:21" ht="12" customHeight="1" x14ac:dyDescent="0.35">
      <c r="A106" s="244" t="s">
        <v>534</v>
      </c>
      <c r="B106" s="166"/>
      <c r="C106" s="166"/>
      <c r="D106" s="262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</row>
    <row r="107" spans="1:21" ht="12" customHeight="1" x14ac:dyDescent="0.35">
      <c r="A107" s="139" t="s">
        <v>535</v>
      </c>
      <c r="B107" s="139"/>
      <c r="C107" s="139" t="s">
        <v>429</v>
      </c>
      <c r="D107" s="153" t="s">
        <v>186</v>
      </c>
      <c r="E107" s="142">
        <v>0</v>
      </c>
      <c r="F107" s="142">
        <v>500</v>
      </c>
      <c r="G107" s="142">
        <f t="shared" ref="G107:G108" si="42">E107*F107</f>
        <v>0</v>
      </c>
      <c r="H107" s="142">
        <v>1</v>
      </c>
      <c r="I107" s="142">
        <f t="shared" ref="I107:I108" si="43">(H107*F107)*$B$5</f>
        <v>515</v>
      </c>
      <c r="J107" s="142">
        <v>4</v>
      </c>
      <c r="K107" s="142">
        <f>(J107*F107)*$B$5*$B$5</f>
        <v>2121.8000000000002</v>
      </c>
      <c r="L107" s="142">
        <v>4</v>
      </c>
      <c r="M107" s="142">
        <f>(L107*F107)*$B$5*$B$5*$B$5</f>
        <v>2185.4540000000002</v>
      </c>
      <c r="N107" s="142">
        <f t="shared" si="41"/>
        <v>4822.2540000000008</v>
      </c>
      <c r="O107" s="142">
        <v>0</v>
      </c>
      <c r="P107" s="142">
        <f t="shared" ref="P107:P108" si="44">SUM(N107:O107)</f>
        <v>4822.2540000000008</v>
      </c>
    </row>
    <row r="108" spans="1:21" ht="12" customHeight="1" x14ac:dyDescent="0.35">
      <c r="A108" s="139" t="s">
        <v>490</v>
      </c>
      <c r="B108" s="139"/>
      <c r="C108" s="139" t="s">
        <v>160</v>
      </c>
      <c r="D108" s="153" t="s">
        <v>91</v>
      </c>
      <c r="E108" s="142">
        <v>0</v>
      </c>
      <c r="F108" s="142">
        <v>100</v>
      </c>
      <c r="G108" s="142">
        <f t="shared" si="42"/>
        <v>0</v>
      </c>
      <c r="H108" s="142">
        <v>5</v>
      </c>
      <c r="I108" s="142">
        <f t="shared" si="43"/>
        <v>515</v>
      </c>
      <c r="J108" s="142">
        <v>15</v>
      </c>
      <c r="K108" s="142">
        <f>(J108*F108)*$B$5*$B$5</f>
        <v>1591.3500000000001</v>
      </c>
      <c r="L108" s="142">
        <v>15</v>
      </c>
      <c r="M108" s="142">
        <f>(L108*F108)*$B$5*$B$5*$B$5</f>
        <v>1639.0905000000002</v>
      </c>
      <c r="N108" s="142">
        <f t="shared" si="41"/>
        <v>3745.4405000000006</v>
      </c>
      <c r="O108" s="142">
        <v>0</v>
      </c>
      <c r="P108" s="142">
        <f t="shared" si="44"/>
        <v>3745.4405000000006</v>
      </c>
    </row>
    <row r="109" spans="1:21" ht="12" customHeight="1" x14ac:dyDescent="0.35">
      <c r="A109" s="139"/>
      <c r="B109" s="139"/>
      <c r="C109" s="139"/>
      <c r="D109" s="170"/>
    </row>
    <row r="110" spans="1:21" ht="12" customHeight="1" thickBot="1" x14ac:dyDescent="0.45">
      <c r="A110" s="154" t="s">
        <v>491</v>
      </c>
      <c r="B110" s="154"/>
      <c r="C110" s="154"/>
      <c r="D110" s="154"/>
      <c r="E110" s="190"/>
      <c r="F110" s="190"/>
      <c r="G110" s="158">
        <f>SUM(G104:G108)</f>
        <v>16393.84</v>
      </c>
      <c r="H110" s="158"/>
      <c r="I110" s="158">
        <f>SUM(I104:I108)</f>
        <v>9970.3703200000018</v>
      </c>
      <c r="J110" s="158"/>
      <c r="K110" s="158">
        <f>SUM(K104:K108)</f>
        <v>12533.504801600002</v>
      </c>
      <c r="L110" s="158"/>
      <c r="M110" s="158">
        <f>SUM(M104:M108)</f>
        <v>9902.7089304319998</v>
      </c>
      <c r="N110" s="158">
        <f>G110+I110+K110+M110</f>
        <v>48800.424052032002</v>
      </c>
      <c r="O110" s="158">
        <f>SUM(O104:O108)</f>
        <v>0</v>
      </c>
      <c r="P110" s="158">
        <f>SUM(N110:O110)</f>
        <v>48800.424052032002</v>
      </c>
      <c r="R110" s="191"/>
    </row>
    <row r="111" spans="1:21" ht="12" customHeight="1" x14ac:dyDescent="0.35">
      <c r="A111" s="139"/>
      <c r="B111" s="139"/>
      <c r="C111" s="139"/>
      <c r="D111" s="170"/>
    </row>
    <row r="112" spans="1:21" ht="12" customHeight="1" x14ac:dyDescent="0.4">
      <c r="A112" s="192" t="s">
        <v>492</v>
      </c>
      <c r="B112" s="192"/>
      <c r="C112" s="149" t="s">
        <v>361</v>
      </c>
      <c r="D112" s="193"/>
      <c r="E112" s="193"/>
      <c r="F112" s="152">
        <v>0.1</v>
      </c>
      <c r="G112" s="194">
        <f>(G110)*F112</f>
        <v>1639.384</v>
      </c>
      <c r="H112" s="194"/>
      <c r="I112" s="194">
        <f>(I110)*F112</f>
        <v>997.03703200000018</v>
      </c>
      <c r="J112" s="194"/>
      <c r="K112" s="194">
        <f>(K110)*F112</f>
        <v>1253.3504801600002</v>
      </c>
      <c r="M112" s="194">
        <f>(M110)*F112</f>
        <v>990.27089304319998</v>
      </c>
      <c r="N112" s="194">
        <f>SUM(G112+I112+K112+M112)</f>
        <v>4880.0424052032004</v>
      </c>
      <c r="O112" s="194">
        <v>0</v>
      </c>
      <c r="P112" s="194">
        <f>SUM(N112:O112)</f>
        <v>4880.0424052032004</v>
      </c>
      <c r="R112" s="169"/>
    </row>
    <row r="113" spans="1:18" ht="12" customHeight="1" x14ac:dyDescent="0.35">
      <c r="A113" s="139"/>
      <c r="B113" s="139"/>
      <c r="C113" s="139"/>
      <c r="D113" s="170"/>
    </row>
    <row r="114" spans="1:18" ht="12" customHeight="1" thickBot="1" x14ac:dyDescent="0.45">
      <c r="A114" s="154" t="s">
        <v>315</v>
      </c>
      <c r="B114" s="154"/>
      <c r="C114" s="154"/>
      <c r="D114" s="154"/>
      <c r="E114" s="190"/>
      <c r="F114" s="190"/>
      <c r="G114" s="158">
        <f>SUM(G110:G112)</f>
        <v>18033.224000000002</v>
      </c>
      <c r="H114" s="158"/>
      <c r="I114" s="158">
        <f>SUM(I110:I112)</f>
        <v>10967.407352000002</v>
      </c>
      <c r="J114" s="158"/>
      <c r="K114" s="158">
        <f>SUM(K110:K112)</f>
        <v>13786.855281760003</v>
      </c>
      <c r="L114" s="158"/>
      <c r="M114" s="158">
        <f>SUM(M110:M112)</f>
        <v>10892.9798234752</v>
      </c>
      <c r="N114" s="158">
        <f>G114+I114+K114+M114</f>
        <v>53680.466457235212</v>
      </c>
      <c r="O114" s="158">
        <f>SUM(O110:O112)</f>
        <v>0</v>
      </c>
      <c r="P114" s="158">
        <f>SUM(N114:O114)</f>
        <v>53680.466457235212</v>
      </c>
      <c r="R114" s="191"/>
    </row>
    <row r="115" spans="1:18" ht="12" customHeight="1" x14ac:dyDescent="0.35">
      <c r="A115" s="181" t="s">
        <v>316</v>
      </c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</row>
    <row r="116" spans="1:18" ht="12" customHeight="1" x14ac:dyDescent="0.4">
      <c r="A116" s="185" t="s">
        <v>155</v>
      </c>
      <c r="B116" s="186"/>
      <c r="C116" s="186"/>
      <c r="D116" s="187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</row>
    <row r="117" spans="1:18" ht="12" customHeight="1" x14ac:dyDescent="0.4">
      <c r="A117" s="315" t="s">
        <v>442</v>
      </c>
      <c r="B117" s="303"/>
      <c r="C117" s="303" t="s">
        <v>348</v>
      </c>
      <c r="D117" s="304" t="s">
        <v>125</v>
      </c>
      <c r="E117" s="317">
        <f>G23</f>
        <v>69769.2</v>
      </c>
      <c r="F117" s="318">
        <v>0.05</v>
      </c>
      <c r="G117" s="319">
        <f t="shared" ref="G117:G118" si="45">E117*F117</f>
        <v>3488.46</v>
      </c>
      <c r="H117" s="319">
        <f>I23</f>
        <v>37015.851600000002</v>
      </c>
      <c r="I117" s="319">
        <f t="shared" ref="I117:I118" si="46">H117*F117</f>
        <v>1850.7925800000003</v>
      </c>
      <c r="J117" s="319">
        <f>K23</f>
        <v>36031.474008000005</v>
      </c>
      <c r="K117" s="319">
        <f t="shared" ref="K117:K118" si="47">J117*F117</f>
        <v>1801.5737004000002</v>
      </c>
      <c r="L117" s="319">
        <f>M23</f>
        <v>24741.61215216</v>
      </c>
      <c r="M117" s="319">
        <f t="shared" ref="M117:M118" si="48">L117*F117</f>
        <v>1237.080607608</v>
      </c>
      <c r="N117" s="319">
        <f>G117+I117+K117+M117</f>
        <v>8377.9068880080013</v>
      </c>
      <c r="O117" s="305">
        <v>0</v>
      </c>
      <c r="P117" s="319">
        <f t="shared" ref="P117:P122" si="49">SUM(N117:O117)</f>
        <v>8377.9068880080013</v>
      </c>
    </row>
    <row r="118" spans="1:18" ht="12" customHeight="1" x14ac:dyDescent="0.4">
      <c r="A118" s="315" t="s">
        <v>445</v>
      </c>
      <c r="B118" s="303"/>
      <c r="C118" s="303" t="s">
        <v>348</v>
      </c>
      <c r="D118" s="304" t="s">
        <v>125</v>
      </c>
      <c r="E118" s="317">
        <f>G37</f>
        <v>12200</v>
      </c>
      <c r="F118" s="318">
        <v>0.05</v>
      </c>
      <c r="G118" s="319">
        <f t="shared" si="45"/>
        <v>610</v>
      </c>
      <c r="H118" s="319">
        <f>I37</f>
        <v>7686</v>
      </c>
      <c r="I118" s="319">
        <f t="shared" si="46"/>
        <v>384.3</v>
      </c>
      <c r="J118" s="319">
        <f>K37</f>
        <v>8070.3</v>
      </c>
      <c r="K118" s="319">
        <f t="shared" si="47"/>
        <v>403.51500000000004</v>
      </c>
      <c r="L118" s="319">
        <f>M37</f>
        <v>5649.21</v>
      </c>
      <c r="M118" s="319">
        <f t="shared" si="48"/>
        <v>282.46050000000002</v>
      </c>
      <c r="N118" s="319">
        <f t="shared" ref="N118:N122" si="50">G118+I118+K118+M118</f>
        <v>1680.2755000000002</v>
      </c>
      <c r="O118" s="305">
        <v>0</v>
      </c>
      <c r="P118" s="319">
        <f t="shared" si="49"/>
        <v>1680.2755000000002</v>
      </c>
    </row>
    <row r="119" spans="1:18" ht="12" customHeight="1" x14ac:dyDescent="0.4">
      <c r="A119" s="227" t="s">
        <v>536</v>
      </c>
      <c r="B119" s="244"/>
      <c r="C119" s="244"/>
      <c r="D119" s="286"/>
      <c r="E119" s="285"/>
      <c r="F119" s="290"/>
      <c r="G119" s="291"/>
      <c r="H119" s="291"/>
      <c r="I119" s="291"/>
      <c r="J119" s="291"/>
      <c r="K119" s="291"/>
      <c r="L119" s="291"/>
      <c r="M119" s="291"/>
      <c r="N119" s="322"/>
      <c r="O119" s="168"/>
      <c r="P119" s="291"/>
    </row>
    <row r="120" spans="1:18" ht="12" customHeight="1" x14ac:dyDescent="0.4">
      <c r="A120" s="217" t="s">
        <v>495</v>
      </c>
      <c r="B120" s="139"/>
      <c r="C120" s="139" t="s">
        <v>348</v>
      </c>
      <c r="D120" s="170" t="s">
        <v>91</v>
      </c>
      <c r="E120" s="142">
        <v>0</v>
      </c>
      <c r="F120" s="149">
        <v>108</v>
      </c>
      <c r="G120" s="142">
        <f>F120*E120</f>
        <v>0</v>
      </c>
      <c r="H120" s="123">
        <v>12</v>
      </c>
      <c r="I120" s="123">
        <f>(H120*F120)*$B$6</f>
        <v>1360.8</v>
      </c>
      <c r="J120" s="123">
        <v>15</v>
      </c>
      <c r="K120" s="123">
        <f>J120*F120*$B$6*$B$6</f>
        <v>1786.0500000000002</v>
      </c>
      <c r="L120" s="123">
        <v>15</v>
      </c>
      <c r="M120" s="123">
        <f>L120*F120*$B$6*$B$6*$B$6</f>
        <v>1875.3525000000002</v>
      </c>
      <c r="N120" s="123">
        <f t="shared" si="50"/>
        <v>5022.2025000000003</v>
      </c>
      <c r="O120" s="142">
        <v>0</v>
      </c>
      <c r="P120" s="123">
        <f t="shared" si="49"/>
        <v>5022.2025000000003</v>
      </c>
    </row>
    <row r="121" spans="1:18" ht="12" customHeight="1" x14ac:dyDescent="0.4">
      <c r="A121" s="217" t="s">
        <v>347</v>
      </c>
      <c r="B121" s="139"/>
      <c r="C121" s="139" t="s">
        <v>348</v>
      </c>
      <c r="D121" s="170" t="s">
        <v>86</v>
      </c>
      <c r="E121" s="142">
        <v>0</v>
      </c>
      <c r="F121" s="149">
        <v>46</v>
      </c>
      <c r="G121" s="142">
        <f t="shared" ref="G121:G122" si="51">F121*E121</f>
        <v>0</v>
      </c>
      <c r="H121" s="123">
        <v>8</v>
      </c>
      <c r="I121" s="123">
        <f>(H121*F121)*$B$6</f>
        <v>386.40000000000003</v>
      </c>
      <c r="J121" s="123">
        <v>10</v>
      </c>
      <c r="K121" s="123">
        <f>J121*F121*$B$6*$B$6</f>
        <v>507.15000000000003</v>
      </c>
      <c r="L121" s="123">
        <v>10</v>
      </c>
      <c r="M121" s="123">
        <f>L121*F121*$B$6*$B$6*$B$6</f>
        <v>532.50750000000005</v>
      </c>
      <c r="N121" s="123">
        <f t="shared" si="50"/>
        <v>1426.0575000000001</v>
      </c>
      <c r="O121" s="142">
        <v>0</v>
      </c>
      <c r="P121" s="123">
        <f t="shared" si="49"/>
        <v>1426.0575000000001</v>
      </c>
    </row>
    <row r="122" spans="1:18" ht="12" customHeight="1" x14ac:dyDescent="0.4">
      <c r="A122" s="217" t="s">
        <v>350</v>
      </c>
      <c r="B122" s="139"/>
      <c r="C122" s="139" t="s">
        <v>348</v>
      </c>
      <c r="D122" s="170" t="s">
        <v>55</v>
      </c>
      <c r="E122" s="142">
        <v>0</v>
      </c>
      <c r="F122" s="149">
        <v>150</v>
      </c>
      <c r="G122" s="142">
        <f t="shared" si="51"/>
        <v>0</v>
      </c>
      <c r="H122" s="123">
        <v>6</v>
      </c>
      <c r="I122" s="123">
        <f>(H122*F122)*$B$6</f>
        <v>945</v>
      </c>
      <c r="J122" s="123">
        <v>6</v>
      </c>
      <c r="K122" s="123">
        <f>J122*F122*$B$6*$B$6</f>
        <v>992.25</v>
      </c>
      <c r="L122" s="123">
        <v>6</v>
      </c>
      <c r="M122" s="123">
        <f>L122*F122*$B$6*$B$6*$B$6</f>
        <v>1041.8625</v>
      </c>
      <c r="N122" s="123">
        <f t="shared" si="50"/>
        <v>2979.1125000000002</v>
      </c>
      <c r="O122" s="142">
        <v>0</v>
      </c>
      <c r="P122" s="123">
        <f t="shared" si="49"/>
        <v>2979.1125000000002</v>
      </c>
    </row>
    <row r="123" spans="1:18" ht="12" customHeight="1" x14ac:dyDescent="0.4">
      <c r="A123" s="217"/>
      <c r="B123" s="139"/>
      <c r="C123" s="139"/>
      <c r="D123" s="170"/>
    </row>
    <row r="124" spans="1:18" ht="12" customHeight="1" thickBot="1" x14ac:dyDescent="0.45">
      <c r="A124" s="292" t="s">
        <v>448</v>
      </c>
      <c r="B124" s="154"/>
      <c r="C124" s="154"/>
      <c r="D124" s="154"/>
      <c r="E124" s="190"/>
      <c r="F124" s="190"/>
      <c r="G124" s="158">
        <f>SUM(G117:G122)</f>
        <v>4098.46</v>
      </c>
      <c r="H124" s="158"/>
      <c r="I124" s="158">
        <f>SUM(I117:I122)</f>
        <v>4927.2925800000012</v>
      </c>
      <c r="J124" s="158"/>
      <c r="K124" s="158">
        <f>SUM(K117:K122)</f>
        <v>5490.5387004000004</v>
      </c>
      <c r="L124" s="158"/>
      <c r="M124" s="158">
        <f>SUM(M117:M122)</f>
        <v>4969.2636076079998</v>
      </c>
      <c r="N124" s="158">
        <f>G124+I124+K124+M124</f>
        <v>19485.554888008002</v>
      </c>
      <c r="O124" s="158">
        <f>SUM(O117:O122)</f>
        <v>0</v>
      </c>
      <c r="P124" s="158">
        <f>SUM(N124:O124)</f>
        <v>19485.554888008002</v>
      </c>
    </row>
    <row r="125" spans="1:18" ht="12" customHeight="1" x14ac:dyDescent="0.4">
      <c r="A125" s="217"/>
      <c r="B125" s="139"/>
      <c r="C125" s="139"/>
      <c r="D125" s="170"/>
    </row>
    <row r="126" spans="1:18" ht="12" customHeight="1" x14ac:dyDescent="0.4">
      <c r="A126" s="192" t="s">
        <v>449</v>
      </c>
      <c r="B126" s="192"/>
      <c r="C126" s="149" t="s">
        <v>361</v>
      </c>
      <c r="D126" s="193"/>
      <c r="E126" s="193"/>
      <c r="F126" s="152">
        <v>0.1</v>
      </c>
      <c r="G126" s="194">
        <f>(G124)*F126</f>
        <v>409.846</v>
      </c>
      <c r="H126" s="194"/>
      <c r="I126" s="194">
        <f>(I124)*F126</f>
        <v>492.72925800000013</v>
      </c>
      <c r="J126" s="194"/>
      <c r="K126" s="194">
        <f>(K124)*F126</f>
        <v>549.05387004000011</v>
      </c>
      <c r="M126" s="194">
        <f>(M124)*F126</f>
        <v>496.92636076079998</v>
      </c>
      <c r="N126" s="194">
        <f>SUM(G126+I126+K126+M126)</f>
        <v>1948.5554888008</v>
      </c>
      <c r="O126" s="194">
        <v>0</v>
      </c>
      <c r="P126" s="194">
        <f>SUM(N126:O126)</f>
        <v>1948.5554888008</v>
      </c>
    </row>
    <row r="127" spans="1:18" ht="12" customHeight="1" x14ac:dyDescent="0.35">
      <c r="A127" s="139"/>
      <c r="B127" s="139"/>
      <c r="C127" s="139"/>
      <c r="D127" s="170"/>
    </row>
    <row r="128" spans="1:18" ht="12" customHeight="1" thickBot="1" x14ac:dyDescent="0.45">
      <c r="A128" s="154" t="s">
        <v>358</v>
      </c>
      <c r="B128" s="154"/>
      <c r="C128" s="154"/>
      <c r="D128" s="154"/>
      <c r="E128" s="190"/>
      <c r="F128" s="190"/>
      <c r="G128" s="158">
        <f>SUM(G124:G126)</f>
        <v>4508.3060000000005</v>
      </c>
      <c r="H128" s="158"/>
      <c r="I128" s="158">
        <f>SUM(I124:I126)</f>
        <v>5420.0218380000015</v>
      </c>
      <c r="J128" s="158"/>
      <c r="K128" s="158">
        <f>SUM(K124:K126)</f>
        <v>6039.5925704400006</v>
      </c>
      <c r="L128" s="158"/>
      <c r="M128" s="158">
        <f>SUM(M124:M126)</f>
        <v>5466.1899683687998</v>
      </c>
      <c r="N128" s="158">
        <f>G128+I128+K128+M128</f>
        <v>21434.1103768088</v>
      </c>
      <c r="O128" s="158">
        <f>SUM(O124:O126)</f>
        <v>0</v>
      </c>
      <c r="P128" s="158">
        <f>SUM(N128:O128)</f>
        <v>21434.1103768088</v>
      </c>
    </row>
    <row r="129" spans="1:19" ht="12" customHeight="1" x14ac:dyDescent="0.4">
      <c r="A129" s="236"/>
      <c r="B129" s="184"/>
      <c r="C129" s="184"/>
      <c r="D129" s="196"/>
      <c r="E129" s="118"/>
      <c r="F129" s="13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73"/>
      <c r="R129" s="169"/>
      <c r="S129" s="198"/>
    </row>
    <row r="130" spans="1:19" ht="12" customHeight="1" thickBot="1" x14ac:dyDescent="0.45">
      <c r="A130" s="237" t="s">
        <v>18</v>
      </c>
      <c r="B130" s="199"/>
      <c r="C130" s="199"/>
      <c r="D130" s="199"/>
      <c r="E130" s="199"/>
      <c r="F130" s="200"/>
      <c r="G130" s="110">
        <f>SUM(G128+G114+G101+G85+G64)</f>
        <v>194812.64</v>
      </c>
      <c r="H130" s="110"/>
      <c r="I130" s="110">
        <f>SUM(I128+I114+I101+I85+I64)</f>
        <v>57704.956760000001</v>
      </c>
      <c r="J130" s="110"/>
      <c r="K130" s="110">
        <f>SUM(K128+K114+K101+K85+K64)</f>
        <v>73606.911408800021</v>
      </c>
      <c r="L130" s="110"/>
      <c r="M130" s="110">
        <f>SUM(M128+M114+M101+M85+M64)</f>
        <v>47305.598067376006</v>
      </c>
      <c r="N130" s="110">
        <f>M130+K130+I130+G130</f>
        <v>373430.10623617604</v>
      </c>
      <c r="O130" s="110">
        <f>O85+O64</f>
        <v>0</v>
      </c>
      <c r="P130" s="110">
        <f>SUM(N130:O130)</f>
        <v>373430.10623617604</v>
      </c>
      <c r="R130" s="169"/>
    </row>
    <row r="131" spans="1:19" ht="12" customHeight="1" thickTop="1" x14ac:dyDescent="0.35"/>
    <row r="133" spans="1:19" ht="12" customHeight="1" x14ac:dyDescent="0.35">
      <c r="N133" s="201"/>
    </row>
    <row r="134" spans="1:19" ht="12" customHeight="1" x14ac:dyDescent="0.35">
      <c r="F134" s="119"/>
      <c r="O134" s="64"/>
    </row>
    <row r="135" spans="1:19" ht="12" customHeight="1" x14ac:dyDescent="0.35">
      <c r="A135" s="202"/>
      <c r="B135" s="202"/>
      <c r="C135" s="202"/>
      <c r="D135" s="203"/>
    </row>
    <row r="136" spans="1:19" ht="12" customHeight="1" x14ac:dyDescent="0.35">
      <c r="A136" s="202"/>
      <c r="B136" s="202"/>
      <c r="C136" s="202"/>
      <c r="D136" s="46"/>
    </row>
    <row r="138" spans="1:19" ht="12" customHeight="1" x14ac:dyDescent="0.35">
      <c r="A138" s="202"/>
      <c r="B138" s="202"/>
      <c r="C138" s="202"/>
      <c r="D138" s="203"/>
    </row>
    <row r="139" spans="1:19" ht="12" customHeight="1" x14ac:dyDescent="0.35">
      <c r="A139" s="202"/>
      <c r="B139" s="202"/>
      <c r="C139" s="202"/>
      <c r="D139" s="46"/>
    </row>
    <row r="141" spans="1:19" ht="12" customHeight="1" x14ac:dyDescent="0.35">
      <c r="A141" s="202"/>
      <c r="B141" s="202"/>
      <c r="C141" s="202"/>
      <c r="D141" s="203"/>
    </row>
    <row r="142" spans="1:19" ht="12" customHeight="1" x14ac:dyDescent="0.35">
      <c r="A142" s="202"/>
      <c r="B142" s="202"/>
      <c r="C142" s="202"/>
      <c r="D142" s="46"/>
    </row>
    <row r="144" spans="1:19" ht="12" customHeight="1" x14ac:dyDescent="0.35">
      <c r="A144" s="202"/>
      <c r="B144" s="202"/>
      <c r="C144" s="202"/>
      <c r="D144" s="203"/>
    </row>
    <row r="145" spans="1:23" ht="12" customHeight="1" x14ac:dyDescent="0.35">
      <c r="A145" s="202"/>
      <c r="B145" s="202"/>
      <c r="C145" s="202"/>
      <c r="D145" s="46"/>
    </row>
    <row r="146" spans="1:23" ht="12" customHeight="1" x14ac:dyDescent="0.35">
      <c r="W146" s="149"/>
    </row>
    <row r="147" spans="1:23" ht="12" customHeight="1" x14ac:dyDescent="0.35">
      <c r="A147" s="202"/>
      <c r="B147" s="202"/>
      <c r="C147" s="202"/>
      <c r="D147" s="203"/>
    </row>
    <row r="148" spans="1:23" ht="12" customHeight="1" x14ac:dyDescent="0.35">
      <c r="A148" s="202"/>
      <c r="B148" s="202"/>
      <c r="C148" s="202"/>
      <c r="D148" s="46"/>
    </row>
    <row r="152" spans="1:23" ht="12" customHeight="1" x14ac:dyDescent="0.35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</row>
    <row r="154" spans="1:23" ht="12" customHeight="1" x14ac:dyDescent="0.35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</row>
  </sheetData>
  <mergeCells count="5">
    <mergeCell ref="A1:P1"/>
    <mergeCell ref="A2:P2"/>
    <mergeCell ref="A3:P3"/>
    <mergeCell ref="A38:P38"/>
    <mergeCell ref="A4:B4"/>
  </mergeCells>
  <pageMargins left="0.7" right="0.7" top="0.75" bottom="0.75" header="0.3" footer="0.3"/>
  <pageSetup scale="1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="150" zoomScaleNormal="150" workbookViewId="0">
      <selection activeCell="F15" sqref="F15"/>
    </sheetView>
  </sheetViews>
  <sheetFormatPr defaultColWidth="10.71875" defaultRowHeight="12.3" x14ac:dyDescent="0.4"/>
  <cols>
    <col min="1" max="1" width="10.71875" style="82"/>
    <col min="2" max="2" width="18.27734375" style="82" customWidth="1"/>
    <col min="3" max="3" width="17" style="82" customWidth="1"/>
    <col min="4" max="16384" width="10.71875" style="82"/>
  </cols>
  <sheetData>
    <row r="1" spans="2:3" ht="12.6" thickBot="1" x14ac:dyDescent="0.45"/>
    <row r="2" spans="2:3" ht="12.6" thickBot="1" x14ac:dyDescent="0.45">
      <c r="B2" s="86" t="s">
        <v>537</v>
      </c>
      <c r="C2" s="87" t="s">
        <v>538</v>
      </c>
    </row>
    <row r="3" spans="2:3" ht="24" customHeight="1" thickTop="1" x14ac:dyDescent="0.4">
      <c r="B3" s="85" t="s">
        <v>54</v>
      </c>
      <c r="C3" s="89">
        <f>SUMIF(Category,B3,TotalDOL)</f>
        <v>1152187.3740982998</v>
      </c>
    </row>
    <row r="4" spans="2:3" ht="23.25" customHeight="1" x14ac:dyDescent="0.4">
      <c r="B4" s="83" t="s">
        <v>76</v>
      </c>
      <c r="C4" s="89">
        <f>SUMIF(Category,"Fringe Benefits",TotalDOL)</f>
        <v>536153.00187938497</v>
      </c>
    </row>
    <row r="5" spans="2:3" ht="23.25" customHeight="1" x14ac:dyDescent="0.4">
      <c r="B5" s="83" t="s">
        <v>8</v>
      </c>
      <c r="C5" s="89">
        <f>SUMIF(Category,"Travel",TotalDOL)</f>
        <v>105008.5628801</v>
      </c>
    </row>
    <row r="6" spans="2:3" ht="25.15" customHeight="1" x14ac:dyDescent="0.4">
      <c r="B6" s="83" t="s">
        <v>539</v>
      </c>
      <c r="C6" s="89">
        <f>SUMIF(Category,"Equipment",TotalDOL)</f>
        <v>0</v>
      </c>
    </row>
    <row r="7" spans="2:3" ht="25.15" customHeight="1" x14ac:dyDescent="0.4">
      <c r="B7" s="83" t="s">
        <v>124</v>
      </c>
      <c r="C7" s="89">
        <f>SUMIF(Category,"Supplies",TotalDOL)</f>
        <v>278250.21938349999</v>
      </c>
    </row>
    <row r="8" spans="2:3" ht="24" customHeight="1" x14ac:dyDescent="0.4">
      <c r="B8" s="83" t="s">
        <v>160</v>
      </c>
      <c r="C8" s="89">
        <f>SUMIF(Category,"Contractual",TotalDOL)</f>
        <v>1472575.7114938993</v>
      </c>
    </row>
    <row r="9" spans="2:3" ht="24" customHeight="1" x14ac:dyDescent="0.4">
      <c r="B9" s="83" t="s">
        <v>540</v>
      </c>
      <c r="C9" s="89">
        <f>SUMIF(Category,"Other",TotalDOL)</f>
        <v>315985.65168750007</v>
      </c>
    </row>
    <row r="10" spans="2:3" ht="24" customHeight="1" thickBot="1" x14ac:dyDescent="0.45">
      <c r="B10" s="84" t="s">
        <v>361</v>
      </c>
      <c r="C10" s="90">
        <f>SUMIF(Category,"Indirect Charges",TotalDOL)</f>
        <v>1114694.144341568</v>
      </c>
    </row>
    <row r="11" spans="2:3" ht="12.6" thickBot="1" x14ac:dyDescent="0.45"/>
    <row r="12" spans="2:3" ht="12.6" thickBot="1" x14ac:dyDescent="0.45">
      <c r="B12" s="92" t="s">
        <v>541</v>
      </c>
      <c r="C12" s="91">
        <f>SUM(C3:C10)</f>
        <v>4974854.6657642517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DF9BB1E-915C-4F13-95B9-C67CF818FC28}"/>
</file>

<file path=customXml/itemProps3.xml><?xml version="1.0" encoding="utf-8"?>
<ds:datastoreItem xmlns:ds="http://schemas.openxmlformats.org/officeDocument/2006/customXml" ds:itemID="{20EE720A-F4C5-4436-BEE3-1D5CAAC04136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4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Budget Summary</vt:lpstr>
      <vt:lpstr>Project Budget</vt:lpstr>
      <vt:lpstr>SAI</vt:lpstr>
      <vt:lpstr>Fundación Carvajal</vt:lpstr>
      <vt:lpstr>Universidad Javeriana</vt:lpstr>
      <vt:lpstr>SF-424 Cost Categories</vt:lpstr>
      <vt:lpstr>Category</vt:lpstr>
      <vt:lpstr>DL_TotalDOL</vt:lpstr>
      <vt:lpstr>ME_TotalDOL</vt:lpstr>
      <vt:lpstr>O1_TotalDOL</vt:lpstr>
      <vt:lpstr>'Project Budget'!Print_Area</vt:lpstr>
      <vt:lpstr>SU_TotalDOL</vt:lpstr>
      <vt:lpstr>TotalDOL</vt:lpstr>
      <vt:lpstr>TR_TotalDOL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Danielle Martin</cp:lastModifiedBy>
  <cp:revision/>
  <dcterms:created xsi:type="dcterms:W3CDTF">2007-06-26T13:33:20Z</dcterms:created>
  <dcterms:modified xsi:type="dcterms:W3CDTF">2025-05-14T04:50:15Z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WorkbookGuid">
    <vt:lpwstr>a2d63ec9-8a07-4081-b33b-2c6c741fc70a</vt:lpwstr>
  </property>
  <property fmtid="{D5CDD505-2E9C-101B-9397-08002B2CF9AE}" pid="4" name="ContentTypeId">
    <vt:lpwstr>0x0101003206C8355D678A459F2EF8957171B231</vt:lpwstr>
  </property>
  <property fmtid="{D5CDD505-2E9C-101B-9397-08002B2CF9AE}" pid="5" name="MediaServiceImageTags">
    <vt:lpwstr/>
  </property>
</Properties>
</file>