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L423/"/>
    </mc:Choice>
  </mc:AlternateContent>
  <xr:revisionPtr revIDLastSave="11" documentId="13_ncr:1_{6ECFE0BB-4DD1-4185-803F-48F120058CC7}" xr6:coauthVersionLast="47" xr6:coauthVersionMax="47" xr10:uidLastSave="{F2D2D98A-11EE-4C61-9885-A483932AF89F}"/>
  <bookViews>
    <workbookView xWindow="-96" yWindow="-96" windowWidth="23232" windowHeight="12552" activeTab="1" xr2:uid="{00000000-000D-0000-FFFF-FFFF00000000}"/>
  </bookViews>
  <sheets>
    <sheet name="Budget Summary" sheetId="19" r:id="rId1"/>
    <sheet name="Project Budget" sheetId="4" r:id="rId2"/>
    <sheet name="CFO" sheetId="27" r:id="rId3"/>
    <sheet name="CDM" sheetId="29" r:id="rId4"/>
    <sheet name="SAI" sheetId="30" r:id="rId5"/>
    <sheet name="SF-424 Cost Categories" sheetId="26" state="hidden" r:id="rId6"/>
  </sheets>
  <definedNames>
    <definedName name="_xlnm._FilterDatabase" localSheetId="1" hidden="1">'Project Budget'!$A$13:$Z$13</definedName>
    <definedName name="Category" localSheetId="3">#N/A</definedName>
    <definedName name="Category" localSheetId="2">#N/A</definedName>
    <definedName name="Category" localSheetId="4">#N/A</definedName>
    <definedName name="Category">'Project Budget'!$G$15:$G$181</definedName>
    <definedName name="DL_Country" localSheetId="3">#N/A</definedName>
    <definedName name="DL_Country" localSheetId="2">#N/A</definedName>
    <definedName name="DL_Country" localSheetId="4">#N/A</definedName>
    <definedName name="DL_Country">'Project Budget'!#REF!</definedName>
    <definedName name="DL_TotalDOL" localSheetId="3">#N/A</definedName>
    <definedName name="DL_TotalDOL" localSheetId="2">#N/A</definedName>
    <definedName name="DL_TotalDOL" localSheetId="4">#N/A</definedName>
    <definedName name="DL_TotalDOL">'Project Budget'!$T$14:$T$31</definedName>
    <definedName name="EQ_Country" localSheetId="3">#N/A</definedName>
    <definedName name="EQ_Country" localSheetId="2">#N/A</definedName>
    <definedName name="EQ_Country" localSheetId="4">#N/A</definedName>
    <definedName name="EQ_Country">'Project Budget'!#REF!</definedName>
    <definedName name="EQ_TotalDOL" localSheetId="3">#N/A</definedName>
    <definedName name="EQ_TotalDOL" localSheetId="2">#N/A</definedName>
    <definedName name="EQ_TotalDOL" localSheetId="4">#N/A</definedName>
    <definedName name="EQ_TotalDOL">'Project Budget'!#REF!</definedName>
    <definedName name="inf" localSheetId="3">#N/A</definedName>
    <definedName name="inf" localSheetId="2">#N/A</definedName>
    <definedName name="inf" localSheetId="4">#N/A</definedName>
    <definedName name="inf">#REF!</definedName>
    <definedName name="JEA_Country" localSheetId="3">#N/A</definedName>
    <definedName name="JEA_Country" localSheetId="2">#N/A</definedName>
    <definedName name="JEA_Country" localSheetId="4">#N/A</definedName>
    <definedName name="JEA_Country">#REF!</definedName>
    <definedName name="JEA_Year1" localSheetId="3">#N/A</definedName>
    <definedName name="JEA_Year1" localSheetId="2">#N/A</definedName>
    <definedName name="JEA_Year1" localSheetId="4">#N/A</definedName>
    <definedName name="JEA_Year1">#REF!</definedName>
    <definedName name="ME_Country" localSheetId="3">#N/A</definedName>
    <definedName name="ME_Country" localSheetId="2">#N/A</definedName>
    <definedName name="ME_Country" localSheetId="4">#N/A</definedName>
    <definedName name="ME_Country">'Project Budget'!#REF!</definedName>
    <definedName name="ME_TotalDOL" localSheetId="3">#N/A</definedName>
    <definedName name="ME_TotalDOL" localSheetId="2">#N/A</definedName>
    <definedName name="ME_TotalDOL" localSheetId="4">#N/A</definedName>
    <definedName name="ME_TotalDOL">'Project Budget'!$T$156:$T$167</definedName>
    <definedName name="O1_Country" localSheetId="3">#N/A</definedName>
    <definedName name="O1_Country" localSheetId="2">#N/A</definedName>
    <definedName name="O1_Country" localSheetId="4">#N/A</definedName>
    <definedName name="O1_Country">'Project Budget'!#REF!</definedName>
    <definedName name="O1_TotalDOL" localSheetId="3">#N/A</definedName>
    <definedName name="O1_TotalDOL" localSheetId="2">#N/A</definedName>
    <definedName name="O1_TotalDOL" localSheetId="4">#N/A</definedName>
    <definedName name="O1_TotalDOL">'Project Budget'!$T$75:$T$75</definedName>
    <definedName name="O2_Country" localSheetId="3">#N/A</definedName>
    <definedName name="O2_Country" localSheetId="2">#N/A</definedName>
    <definedName name="O2_Country" localSheetId="4">#N/A</definedName>
    <definedName name="O2_Country">'Project Budget'!#REF!</definedName>
    <definedName name="O2_TotalDOL" localSheetId="3">#N/A</definedName>
    <definedName name="O2_TotalDOL" localSheetId="2">#N/A</definedName>
    <definedName name="O2_TotalDOL" localSheetId="4">#N/A</definedName>
    <definedName name="O2_TotalDOL">'Project Budget'!#REF!</definedName>
    <definedName name="_xlnm.Print_Area" localSheetId="3">#N/A</definedName>
    <definedName name="_xlnm.Print_Area" localSheetId="2">#N/A</definedName>
    <definedName name="_xlnm.Print_Area" localSheetId="1">'Project Budget'!$F$1:$V$183</definedName>
    <definedName name="_xlnm.Print_Area" localSheetId="4">#N/A</definedName>
    <definedName name="SU_Country" localSheetId="3">#N/A</definedName>
    <definedName name="SU_Country" localSheetId="2">#N/A</definedName>
    <definedName name="SU_Country" localSheetId="4">#N/A</definedName>
    <definedName name="SU_Country">'Project Budget'!#REF!</definedName>
    <definedName name="SU_TotalDOL" localSheetId="3">#N/A</definedName>
    <definedName name="SU_TotalDOL" localSheetId="2">#N/A</definedName>
    <definedName name="SU_TotalDOL" localSheetId="4">#N/A</definedName>
    <definedName name="SU_TotalDOL">'Project Budget'!$T$57:$T$67</definedName>
    <definedName name="TotalDOL" localSheetId="3">#N/A</definedName>
    <definedName name="TotalDOL" localSheetId="2">#N/A</definedName>
    <definedName name="TotalDOL" localSheetId="4">#N/A</definedName>
    <definedName name="TotalDOL">'Project Budget'!$T$15:$T$181</definedName>
    <definedName name="TR_Country" localSheetId="3">#N/A</definedName>
    <definedName name="TR_Country" localSheetId="2">#N/A</definedName>
    <definedName name="TR_Country" localSheetId="4">#N/A</definedName>
    <definedName name="TR_Country">'Project Budget'!#REF!</definedName>
    <definedName name="TR_TotalDOL" localSheetId="3">#N/A</definedName>
    <definedName name="TR_TotalDOL" localSheetId="2">#N/A</definedName>
    <definedName name="TR_TotalDOL" localSheetId="4">#N/A</definedName>
    <definedName name="TR_TotalDOL">'Project Budget'!$T$36:$T$50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30" l="1"/>
  <c r="R58" i="30"/>
  <c r="S53" i="30"/>
  <c r="R53" i="30"/>
  <c r="T53" i="30" s="1"/>
  <c r="S51" i="30"/>
  <c r="R51" i="30"/>
  <c r="S46" i="30"/>
  <c r="R46" i="30"/>
  <c r="S41" i="30"/>
  <c r="R41" i="30"/>
  <c r="S28" i="30"/>
  <c r="R28" i="30"/>
  <c r="T28" i="30" s="1"/>
  <c r="S26" i="30"/>
  <c r="R26" i="30"/>
  <c r="S24" i="30"/>
  <c r="R24" i="30"/>
  <c r="S23" i="30"/>
  <c r="R23" i="30"/>
  <c r="T51" i="30" l="1"/>
  <c r="T58" i="30"/>
  <c r="T24" i="30"/>
  <c r="T26" i="30"/>
  <c r="T23" i="30"/>
  <c r="T41" i="30"/>
  <c r="T46" i="30"/>
  <c r="X38" i="29" l="1"/>
  <c r="Y38" i="29" s="1"/>
  <c r="X37" i="29"/>
  <c r="Y37" i="29" s="1"/>
  <c r="X36" i="29"/>
  <c r="Y36" i="29" s="1"/>
  <c r="X35" i="29"/>
  <c r="Y35" i="29" s="1"/>
  <c r="X34" i="29"/>
  <c r="Y34" i="29" s="1"/>
  <c r="X33" i="29"/>
  <c r="Y33" i="29" s="1"/>
  <c r="X32" i="29"/>
  <c r="Y32" i="29" s="1"/>
  <c r="X28" i="29"/>
  <c r="Y28" i="29" s="1"/>
  <c r="X27" i="29"/>
  <c r="Y27" i="29" s="1"/>
  <c r="X26" i="29"/>
  <c r="Y26" i="29" s="1"/>
  <c r="X22" i="29"/>
  <c r="Y22" i="29" s="1"/>
  <c r="X18" i="29"/>
  <c r="Y18" i="29" s="1"/>
  <c r="X13" i="29"/>
  <c r="Y13" i="29" s="1"/>
  <c r="X12" i="29"/>
  <c r="Y12" i="29" s="1"/>
  <c r="X11" i="29"/>
  <c r="Y11" i="29" s="1"/>
  <c r="X10" i="29"/>
  <c r="Y10" i="29" s="1"/>
  <c r="X44" i="27" l="1"/>
  <c r="Y44" i="27" s="1"/>
  <c r="Y43" i="27"/>
  <c r="X43" i="27"/>
  <c r="X42" i="27"/>
  <c r="Y42" i="27" s="1"/>
  <c r="X41" i="27"/>
  <c r="Y41" i="27" s="1"/>
  <c r="X40" i="27"/>
  <c r="Y40" i="27" s="1"/>
  <c r="Y39" i="27"/>
  <c r="X39" i="27"/>
  <c r="X38" i="27"/>
  <c r="Y38" i="27" s="1"/>
  <c r="X34" i="27"/>
  <c r="Y34" i="27" s="1"/>
  <c r="X33" i="27"/>
  <c r="Y33" i="27" s="1"/>
  <c r="Y32" i="27"/>
  <c r="X32" i="27"/>
  <c r="X28" i="27"/>
  <c r="Y28" i="27" s="1"/>
  <c r="X27" i="27"/>
  <c r="Y27" i="27" s="1"/>
  <c r="X26" i="27"/>
  <c r="Y26" i="27" s="1"/>
  <c r="Y20" i="27"/>
  <c r="X20" i="27"/>
  <c r="X15" i="27"/>
  <c r="Y15" i="27" s="1"/>
  <c r="X14" i="27"/>
  <c r="Y14" i="27" s="1"/>
  <c r="X13" i="27"/>
  <c r="Y13" i="27" s="1"/>
  <c r="Y12" i="27"/>
  <c r="X12" i="27"/>
  <c r="X11" i="27"/>
  <c r="Y11" i="27" s="1"/>
  <c r="X10" i="27"/>
  <c r="Y10" i="27" s="1"/>
  <c r="O15" i="4" l="1"/>
  <c r="Q15" i="4"/>
  <c r="P108" i="30" l="1"/>
  <c r="F69" i="30"/>
  <c r="V65" i="29"/>
  <c r="V83" i="27"/>
  <c r="V67" i="27"/>
  <c r="V63" i="27"/>
  <c r="N14" i="27"/>
  <c r="P104" i="30" l="1"/>
  <c r="P84" i="30"/>
  <c r="L16" i="30"/>
  <c r="L15" i="30"/>
  <c r="N16" i="30"/>
  <c r="N15" i="30"/>
  <c r="V61" i="29"/>
  <c r="V17" i="27"/>
  <c r="S167" i="4"/>
  <c r="S166" i="4"/>
  <c r="S164" i="4"/>
  <c r="S162" i="4"/>
  <c r="S161" i="4"/>
  <c r="S159" i="4"/>
  <c r="S158" i="4"/>
  <c r="S156" i="4"/>
  <c r="Q158" i="4"/>
  <c r="Q162" i="4"/>
  <c r="Q161" i="4"/>
  <c r="O162" i="4"/>
  <c r="O161" i="4"/>
  <c r="M159" i="4"/>
  <c r="M162" i="4"/>
  <c r="M161" i="4"/>
  <c r="Q142" i="4"/>
  <c r="O142" i="4"/>
  <c r="M142" i="4"/>
  <c r="O139" i="4"/>
  <c r="M139" i="4"/>
  <c r="M85" i="4"/>
  <c r="M84" i="4"/>
  <c r="K84" i="4"/>
  <c r="K85" i="4"/>
  <c r="O115" i="4"/>
  <c r="M115" i="4"/>
  <c r="M83" i="4"/>
  <c r="K83" i="4"/>
  <c r="Q59" i="4"/>
  <c r="M61" i="4"/>
  <c r="T74" i="29" l="1"/>
  <c r="T75" i="29"/>
  <c r="T73" i="29"/>
  <c r="K162" i="4"/>
  <c r="K13" i="29"/>
  <c r="T162" i="4" l="1"/>
  <c r="V162" i="4" s="1"/>
  <c r="J24" i="4" l="1"/>
  <c r="S15" i="4"/>
  <c r="K161" i="4"/>
  <c r="T161" i="4" s="1"/>
  <c r="V161" i="4" s="1"/>
  <c r="S88" i="4"/>
  <c r="Q88" i="4"/>
  <c r="O88" i="4"/>
  <c r="M88" i="4"/>
  <c r="K88" i="4"/>
  <c r="J25" i="4"/>
  <c r="K10" i="29"/>
  <c r="K18" i="30"/>
  <c r="M18" i="30"/>
  <c r="G18" i="30"/>
  <c r="D19" i="30"/>
  <c r="J68" i="4"/>
  <c r="J51" i="4"/>
  <c r="J50" i="4"/>
  <c r="J49" i="4"/>
  <c r="D18" i="30"/>
  <c r="M20" i="30"/>
  <c r="K20" i="30"/>
  <c r="K21" i="30"/>
  <c r="D21" i="30"/>
  <c r="M19" i="30"/>
  <c r="K19" i="30"/>
  <c r="G19" i="30"/>
  <c r="N69" i="30"/>
  <c r="N70" i="30"/>
  <c r="N71" i="30"/>
  <c r="N72" i="30"/>
  <c r="N68" i="30"/>
  <c r="L69" i="30"/>
  <c r="L70" i="30"/>
  <c r="L71" i="30"/>
  <c r="L72" i="30"/>
  <c r="L68" i="30"/>
  <c r="J69" i="30"/>
  <c r="J70" i="30"/>
  <c r="J71" i="30"/>
  <c r="J72" i="30"/>
  <c r="J68" i="30"/>
  <c r="H69" i="30"/>
  <c r="H70" i="30"/>
  <c r="H71" i="30"/>
  <c r="H72" i="30"/>
  <c r="H68" i="30"/>
  <c r="N102" i="30"/>
  <c r="N101" i="30"/>
  <c r="N100" i="30"/>
  <c r="N99" i="30"/>
  <c r="N97" i="30"/>
  <c r="F102" i="30"/>
  <c r="N96" i="30"/>
  <c r="L97" i="30"/>
  <c r="L99" i="30"/>
  <c r="L100" i="30"/>
  <c r="L101" i="30"/>
  <c r="L102" i="30"/>
  <c r="L96" i="30"/>
  <c r="J97" i="30"/>
  <c r="J99" i="30"/>
  <c r="J100" i="30"/>
  <c r="J101" i="30"/>
  <c r="J102" i="30"/>
  <c r="J96" i="30"/>
  <c r="H97" i="30"/>
  <c r="H99" i="30"/>
  <c r="H100" i="30"/>
  <c r="H101" i="30"/>
  <c r="H102" i="30"/>
  <c r="H96" i="30"/>
  <c r="L98" i="4"/>
  <c r="L97" i="4"/>
  <c r="I19" i="30"/>
  <c r="E19" i="30"/>
  <c r="J16" i="30"/>
  <c r="H16" i="30"/>
  <c r="F16" i="30"/>
  <c r="T15" i="27"/>
  <c r="R15" i="27"/>
  <c r="P15" i="27"/>
  <c r="N15" i="27"/>
  <c r="L15" i="27"/>
  <c r="S171" i="4"/>
  <c r="Q171" i="4"/>
  <c r="O171" i="4"/>
  <c r="M171" i="4"/>
  <c r="K171" i="4"/>
  <c r="S170" i="4"/>
  <c r="Q170" i="4"/>
  <c r="O170" i="4"/>
  <c r="M170" i="4"/>
  <c r="K170" i="4"/>
  <c r="S169" i="4"/>
  <c r="Q169" i="4"/>
  <c r="O169" i="4"/>
  <c r="M169" i="4"/>
  <c r="K169" i="4"/>
  <c r="K12" i="29"/>
  <c r="K11" i="29"/>
  <c r="T102" i="4"/>
  <c r="V102" i="4" s="1"/>
  <c r="N55" i="30"/>
  <c r="N56" i="30"/>
  <c r="N57" i="30"/>
  <c r="N54" i="30"/>
  <c r="L55" i="30"/>
  <c r="L56" i="30"/>
  <c r="L57" i="30"/>
  <c r="L54" i="30"/>
  <c r="J55" i="30"/>
  <c r="J56" i="30"/>
  <c r="J57" i="30"/>
  <c r="J54" i="30"/>
  <c r="H55" i="30"/>
  <c r="H56" i="30"/>
  <c r="H57" i="30"/>
  <c r="H54" i="30"/>
  <c r="N50" i="30"/>
  <c r="N49" i="30"/>
  <c r="L50" i="30"/>
  <c r="L49" i="30"/>
  <c r="J50" i="30"/>
  <c r="J49" i="30"/>
  <c r="H50" i="30"/>
  <c r="H49" i="30"/>
  <c r="T101" i="4"/>
  <c r="V101" i="4" s="1"/>
  <c r="N38" i="30"/>
  <c r="N39" i="30"/>
  <c r="N40" i="30"/>
  <c r="N42" i="30"/>
  <c r="N37" i="30"/>
  <c r="L38" i="30"/>
  <c r="L39" i="30"/>
  <c r="L40" i="30"/>
  <c r="L37" i="30"/>
  <c r="J38" i="30"/>
  <c r="J39" i="30"/>
  <c r="J40" i="30"/>
  <c r="J37" i="30"/>
  <c r="H38" i="30"/>
  <c r="H39" i="30"/>
  <c r="H40" i="30"/>
  <c r="H37" i="30"/>
  <c r="N36" i="30"/>
  <c r="L19" i="30" l="1"/>
  <c r="F19" i="30"/>
  <c r="O16" i="30"/>
  <c r="Q16" i="30" s="1"/>
  <c r="J19" i="30"/>
  <c r="H19" i="30"/>
  <c r="N19" i="30"/>
  <c r="U15" i="27"/>
  <c r="W15" i="27" s="1"/>
  <c r="T88" i="4"/>
  <c r="V88" i="4" s="1"/>
  <c r="T170" i="4"/>
  <c r="V170" i="4" s="1"/>
  <c r="T169" i="4"/>
  <c r="V169" i="4" s="1"/>
  <c r="T171" i="4"/>
  <c r="V171" i="4" s="1"/>
  <c r="L36" i="30"/>
  <c r="J36" i="30"/>
  <c r="H36" i="30"/>
  <c r="N32" i="30"/>
  <c r="N33" i="30"/>
  <c r="N34" i="30"/>
  <c r="N31" i="30"/>
  <c r="O19" i="30" l="1"/>
  <c r="Q19" i="30" s="1"/>
  <c r="L32" i="30"/>
  <c r="L33" i="30"/>
  <c r="L34" i="30"/>
  <c r="L31" i="30"/>
  <c r="J32" i="30"/>
  <c r="J33" i="30"/>
  <c r="J34" i="30"/>
  <c r="J31" i="30"/>
  <c r="H32" i="30"/>
  <c r="H33" i="30"/>
  <c r="H34" i="30"/>
  <c r="H31" i="30"/>
  <c r="K15" i="4"/>
  <c r="M15" i="4"/>
  <c r="T113" i="4"/>
  <c r="V113" i="4" s="1"/>
  <c r="J15" i="30"/>
  <c r="H15" i="30"/>
  <c r="P22" i="30"/>
  <c r="N118" i="30"/>
  <c r="L118" i="30"/>
  <c r="J118" i="30"/>
  <c r="H118" i="30"/>
  <c r="F118" i="30"/>
  <c r="N117" i="30"/>
  <c r="L117" i="30"/>
  <c r="J117" i="30"/>
  <c r="H117" i="30"/>
  <c r="F117" i="30"/>
  <c r="N116" i="30"/>
  <c r="L116" i="30"/>
  <c r="J116" i="30"/>
  <c r="H116" i="30"/>
  <c r="F116" i="30"/>
  <c r="F77" i="30"/>
  <c r="F82" i="30"/>
  <c r="N79" i="30"/>
  <c r="J80" i="30"/>
  <c r="F80" i="30"/>
  <c r="F81" i="30"/>
  <c r="F79" i="30"/>
  <c r="H80" i="30"/>
  <c r="N80" i="30"/>
  <c r="N81" i="30"/>
  <c r="N82" i="30"/>
  <c r="L79" i="30"/>
  <c r="L80" i="30"/>
  <c r="L82" i="30"/>
  <c r="J79" i="30"/>
  <c r="J82" i="30"/>
  <c r="N75" i="30"/>
  <c r="N76" i="30"/>
  <c r="N77" i="30"/>
  <c r="N74" i="30"/>
  <c r="L75" i="30"/>
  <c r="L76" i="30"/>
  <c r="L77" i="30"/>
  <c r="L74" i="30"/>
  <c r="J75" i="30"/>
  <c r="J76" i="30"/>
  <c r="J77" i="30"/>
  <c r="J74" i="30"/>
  <c r="H75" i="30"/>
  <c r="H76" i="30"/>
  <c r="H77" i="30"/>
  <c r="H74" i="30"/>
  <c r="H79" i="30"/>
  <c r="H81" i="30"/>
  <c r="J81" i="30"/>
  <c r="L81" i="30"/>
  <c r="H82" i="30"/>
  <c r="F76" i="30"/>
  <c r="F75" i="30"/>
  <c r="F74" i="30"/>
  <c r="F72" i="30"/>
  <c r="F71" i="30"/>
  <c r="F70" i="30"/>
  <c r="F68" i="30"/>
  <c r="S19" i="30" l="1"/>
  <c r="R19" i="30"/>
  <c r="O116" i="30"/>
  <c r="Q116" i="30" s="1"/>
  <c r="O117" i="30"/>
  <c r="Q117" i="30" s="1"/>
  <c r="O118" i="30"/>
  <c r="Q118" i="30" s="1"/>
  <c r="T15" i="4"/>
  <c r="V15" i="4" s="1"/>
  <c r="O82" i="30"/>
  <c r="Q82" i="30" s="1"/>
  <c r="O81" i="30"/>
  <c r="Q81" i="30" s="1"/>
  <c r="O79" i="30"/>
  <c r="Q79" i="30" s="1"/>
  <c r="O80" i="30"/>
  <c r="Q80" i="30" s="1"/>
  <c r="O76" i="30"/>
  <c r="Q76" i="30" s="1"/>
  <c r="O72" i="30"/>
  <c r="Q72" i="30" s="1"/>
  <c r="O74" i="30"/>
  <c r="Q74" i="30" s="1"/>
  <c r="O70" i="30"/>
  <c r="Q70" i="30" s="1"/>
  <c r="O71" i="30"/>
  <c r="Q71" i="30" s="1"/>
  <c r="O69" i="30"/>
  <c r="Q69" i="30" s="1"/>
  <c r="O77" i="30"/>
  <c r="Q77" i="30" s="1"/>
  <c r="O68" i="30"/>
  <c r="Q68" i="30" s="1"/>
  <c r="O75" i="30"/>
  <c r="Q75" i="30" s="1"/>
  <c r="T19" i="30" l="1"/>
  <c r="T33" i="29"/>
  <c r="T34" i="29"/>
  <c r="T35" i="29"/>
  <c r="T36" i="29"/>
  <c r="T37" i="29"/>
  <c r="T38" i="29"/>
  <c r="T32" i="29"/>
  <c r="R33" i="29"/>
  <c r="R34" i="29"/>
  <c r="R35" i="29"/>
  <c r="R36" i="29"/>
  <c r="R37" i="29"/>
  <c r="R38" i="29"/>
  <c r="R32" i="29"/>
  <c r="P33" i="29"/>
  <c r="P34" i="29"/>
  <c r="P35" i="29"/>
  <c r="P36" i="29"/>
  <c r="P37" i="29"/>
  <c r="P38" i="29"/>
  <c r="P32" i="29"/>
  <c r="N33" i="29"/>
  <c r="N34" i="29"/>
  <c r="N35" i="29"/>
  <c r="N36" i="29"/>
  <c r="N37" i="29"/>
  <c r="N38" i="29"/>
  <c r="N32" i="29"/>
  <c r="R28" i="29"/>
  <c r="R27" i="29"/>
  <c r="R26" i="29"/>
  <c r="T27" i="29"/>
  <c r="T28" i="29"/>
  <c r="T26" i="29"/>
  <c r="P27" i="29"/>
  <c r="P28" i="29"/>
  <c r="P26" i="29"/>
  <c r="N27" i="29"/>
  <c r="N28" i="29"/>
  <c r="N26" i="29"/>
  <c r="T11" i="29"/>
  <c r="T12" i="29"/>
  <c r="T13" i="29"/>
  <c r="T10" i="29"/>
  <c r="R11" i="29"/>
  <c r="R12" i="29"/>
  <c r="R13" i="29"/>
  <c r="R10" i="29"/>
  <c r="P11" i="29"/>
  <c r="P12" i="29"/>
  <c r="P13" i="29"/>
  <c r="P10" i="29"/>
  <c r="N11" i="29"/>
  <c r="N12" i="29"/>
  <c r="N13" i="29"/>
  <c r="N10" i="29"/>
  <c r="L13" i="29"/>
  <c r="T59" i="29"/>
  <c r="R59" i="29"/>
  <c r="N59" i="29"/>
  <c r="P59" i="29"/>
  <c r="L59" i="29"/>
  <c r="U59" i="29" s="1"/>
  <c r="W59" i="29" s="1"/>
  <c r="T55" i="29"/>
  <c r="T54" i="29"/>
  <c r="R55" i="29"/>
  <c r="R54" i="29"/>
  <c r="P55" i="29"/>
  <c r="P54" i="29"/>
  <c r="N55" i="29"/>
  <c r="N54" i="29"/>
  <c r="L54" i="29"/>
  <c r="L55" i="29"/>
  <c r="T53" i="29"/>
  <c r="R53" i="29"/>
  <c r="L53" i="29"/>
  <c r="P53" i="29"/>
  <c r="N53" i="29"/>
  <c r="R15" i="29" l="1"/>
  <c r="N15" i="29"/>
  <c r="P15" i="29"/>
  <c r="T15" i="29"/>
  <c r="U55" i="29"/>
  <c r="W55" i="29" s="1"/>
  <c r="U54" i="29"/>
  <c r="W54" i="29" s="1"/>
  <c r="U13" i="29"/>
  <c r="W13" i="29" s="1"/>
  <c r="U53" i="29"/>
  <c r="W53" i="29" s="1"/>
  <c r="P124" i="30"/>
  <c r="P120" i="30"/>
  <c r="F101" i="30"/>
  <c r="F100" i="30"/>
  <c r="F99" i="30"/>
  <c r="F97" i="30"/>
  <c r="F96" i="30"/>
  <c r="P88" i="30"/>
  <c r="P59" i="30"/>
  <c r="F57" i="30"/>
  <c r="F56" i="30"/>
  <c r="F55" i="30"/>
  <c r="F54" i="30"/>
  <c r="P52" i="30"/>
  <c r="F50" i="30"/>
  <c r="O50" i="30" s="1"/>
  <c r="F49" i="30"/>
  <c r="P47" i="30"/>
  <c r="M45" i="30"/>
  <c r="N45" i="30" s="1"/>
  <c r="K45" i="30"/>
  <c r="L45" i="30" s="1"/>
  <c r="I45" i="30"/>
  <c r="J45" i="30" s="1"/>
  <c r="G45" i="30"/>
  <c r="H45" i="30" s="1"/>
  <c r="D45" i="30"/>
  <c r="F45" i="30" s="1"/>
  <c r="M44" i="30"/>
  <c r="N44" i="30" s="1"/>
  <c r="K44" i="30"/>
  <c r="L44" i="30" s="1"/>
  <c r="I44" i="30"/>
  <c r="J44" i="30" s="1"/>
  <c r="G44" i="30"/>
  <c r="H44" i="30" s="1"/>
  <c r="D44" i="30"/>
  <c r="F44" i="30" s="1"/>
  <c r="M43" i="30"/>
  <c r="N43" i="30" s="1"/>
  <c r="K43" i="30"/>
  <c r="L43" i="30" s="1"/>
  <c r="I43" i="30"/>
  <c r="J43" i="30" s="1"/>
  <c r="G43" i="30"/>
  <c r="H43" i="30" s="1"/>
  <c r="D43" i="30"/>
  <c r="F43" i="30" s="1"/>
  <c r="K42" i="30"/>
  <c r="L42" i="30" s="1"/>
  <c r="I42" i="30"/>
  <c r="J42" i="30" s="1"/>
  <c r="G42" i="30"/>
  <c r="H42" i="30" s="1"/>
  <c r="D42" i="30"/>
  <c r="F42" i="30" s="1"/>
  <c r="F40" i="30"/>
  <c r="F39" i="30"/>
  <c r="F38" i="30"/>
  <c r="F37" i="30"/>
  <c r="F36" i="30"/>
  <c r="D34" i="30"/>
  <c r="F34" i="30" s="1"/>
  <c r="D33" i="30"/>
  <c r="F33" i="30" s="1"/>
  <c r="D32" i="30"/>
  <c r="F32" i="30" s="1"/>
  <c r="D31" i="30"/>
  <c r="F31" i="30" s="1"/>
  <c r="P27" i="30"/>
  <c r="I21" i="30"/>
  <c r="G21" i="30"/>
  <c r="E21" i="30"/>
  <c r="I20" i="30"/>
  <c r="G20" i="30"/>
  <c r="E20" i="30"/>
  <c r="D20" i="30"/>
  <c r="I18" i="30"/>
  <c r="E18" i="30"/>
  <c r="F15" i="30"/>
  <c r="M14" i="30"/>
  <c r="N14" i="30" s="1"/>
  <c r="K14" i="30"/>
  <c r="L14" i="30" s="1"/>
  <c r="I14" i="30"/>
  <c r="J14" i="30" s="1"/>
  <c r="G14" i="30"/>
  <c r="H14" i="30" s="1"/>
  <c r="D14" i="30"/>
  <c r="F14" i="30" s="1"/>
  <c r="M13" i="30"/>
  <c r="N13" i="30" s="1"/>
  <c r="K13" i="30"/>
  <c r="L13" i="30" s="1"/>
  <c r="I13" i="30"/>
  <c r="J13" i="30" s="1"/>
  <c r="G13" i="30"/>
  <c r="H13" i="30" s="1"/>
  <c r="D13" i="30"/>
  <c r="F13" i="30" s="1"/>
  <c r="F59" i="30" l="1"/>
  <c r="H21" i="30"/>
  <c r="J21" i="30"/>
  <c r="H20" i="30"/>
  <c r="J18" i="30"/>
  <c r="F47" i="30"/>
  <c r="N20" i="30"/>
  <c r="L20" i="30"/>
  <c r="N18" i="30"/>
  <c r="H18" i="30"/>
  <c r="L18" i="30"/>
  <c r="J20" i="30"/>
  <c r="N21" i="30"/>
  <c r="L21" i="30"/>
  <c r="F21" i="30"/>
  <c r="F18" i="30"/>
  <c r="O38" i="30"/>
  <c r="Q38" i="30" s="1"/>
  <c r="O33" i="30"/>
  <c r="Q33" i="30" s="1"/>
  <c r="D66" i="30"/>
  <c r="F66" i="30" s="1"/>
  <c r="F52" i="30"/>
  <c r="D93" i="30" s="1"/>
  <c r="F93" i="30" s="1"/>
  <c r="P126" i="30"/>
  <c r="N52" i="30"/>
  <c r="M65" i="30" s="1"/>
  <c r="N65" i="30" s="1"/>
  <c r="O56" i="30"/>
  <c r="Q56" i="30" s="1"/>
  <c r="O97" i="30"/>
  <c r="Q97" i="30" s="1"/>
  <c r="L52" i="30"/>
  <c r="K113" i="30" s="1"/>
  <c r="L113" i="30" s="1"/>
  <c r="H59" i="30"/>
  <c r="G94" i="30" s="1"/>
  <c r="H94" i="30" s="1"/>
  <c r="O57" i="30"/>
  <c r="Q57" i="30" s="1"/>
  <c r="O100" i="30"/>
  <c r="Q100" i="30" s="1"/>
  <c r="J47" i="30"/>
  <c r="I64" i="30" s="1"/>
  <c r="J64" i="30" s="1"/>
  <c r="O37" i="30"/>
  <c r="Q37" i="30" s="1"/>
  <c r="O43" i="30"/>
  <c r="Q43" i="30" s="1"/>
  <c r="Q50" i="30"/>
  <c r="L59" i="30"/>
  <c r="K94" i="30" s="1"/>
  <c r="L94" i="30" s="1"/>
  <c r="O99" i="30"/>
  <c r="Q99" i="30" s="1"/>
  <c r="O102" i="30"/>
  <c r="Q102" i="30" s="1"/>
  <c r="O49" i="30"/>
  <c r="Q49" i="30" s="1"/>
  <c r="N59" i="30"/>
  <c r="M66" i="30" s="1"/>
  <c r="N66" i="30" s="1"/>
  <c r="O101" i="30"/>
  <c r="Q101" i="30" s="1"/>
  <c r="O42" i="30"/>
  <c r="Q42" i="30" s="1"/>
  <c r="H52" i="30"/>
  <c r="G93" i="30" s="1"/>
  <c r="H93" i="30" s="1"/>
  <c r="O55" i="30"/>
  <c r="Q55" i="30" s="1"/>
  <c r="J52" i="30"/>
  <c r="I65" i="30" s="1"/>
  <c r="J65" i="30" s="1"/>
  <c r="O32" i="30"/>
  <c r="Q32" i="30" s="1"/>
  <c r="O36" i="30"/>
  <c r="Q36" i="30" s="1"/>
  <c r="O39" i="30"/>
  <c r="Q39" i="30" s="1"/>
  <c r="O40" i="30"/>
  <c r="Q40" i="30" s="1"/>
  <c r="O96" i="30"/>
  <c r="Q96" i="30" s="1"/>
  <c r="H47" i="30"/>
  <c r="O31" i="30"/>
  <c r="Q31" i="30" s="1"/>
  <c r="O45" i="30"/>
  <c r="Q45" i="30" s="1"/>
  <c r="O44" i="30"/>
  <c r="Q44" i="30" s="1"/>
  <c r="O15" i="30"/>
  <c r="Q15" i="30" s="1"/>
  <c r="L47" i="30"/>
  <c r="O14" i="30"/>
  <c r="Q14" i="30" s="1"/>
  <c r="N47" i="30"/>
  <c r="O13" i="30"/>
  <c r="Q13" i="30" s="1"/>
  <c r="F20" i="30"/>
  <c r="O34" i="30"/>
  <c r="Q34" i="30" s="1"/>
  <c r="J59" i="30"/>
  <c r="O54" i="30"/>
  <c r="Q54" i="30" s="1"/>
  <c r="H22" i="30" l="1"/>
  <c r="N22" i="30"/>
  <c r="J22" i="30"/>
  <c r="R14" i="30"/>
  <c r="S14" i="30"/>
  <c r="R13" i="30"/>
  <c r="S13" i="30"/>
  <c r="T13" i="30" s="1"/>
  <c r="S39" i="30"/>
  <c r="R39" i="30"/>
  <c r="S15" i="30"/>
  <c r="R15" i="30"/>
  <c r="S42" i="30"/>
  <c r="R42" i="30"/>
  <c r="S40" i="30"/>
  <c r="R40" i="30"/>
  <c r="T40" i="30" s="1"/>
  <c r="S44" i="30"/>
  <c r="R44" i="30"/>
  <c r="S57" i="30"/>
  <c r="R57" i="30"/>
  <c r="S45" i="30"/>
  <c r="R45" i="30"/>
  <c r="R33" i="30"/>
  <c r="S33" i="30"/>
  <c r="F22" i="30"/>
  <c r="L22" i="30"/>
  <c r="K114" i="30"/>
  <c r="L114" i="30" s="1"/>
  <c r="K66" i="30"/>
  <c r="L66" i="30" s="1"/>
  <c r="D113" i="30"/>
  <c r="F113" i="30" s="1"/>
  <c r="O21" i="30"/>
  <c r="Q21" i="30" s="1"/>
  <c r="O18" i="30"/>
  <c r="Q18" i="30" s="1"/>
  <c r="D65" i="30"/>
  <c r="F65" i="30" s="1"/>
  <c r="L25" i="30"/>
  <c r="M93" i="30"/>
  <c r="N93" i="30" s="1"/>
  <c r="I92" i="30"/>
  <c r="J92" i="30" s="1"/>
  <c r="M113" i="30"/>
  <c r="N113" i="30" s="1"/>
  <c r="O20" i="30"/>
  <c r="Q20" i="30" s="1"/>
  <c r="M94" i="30"/>
  <c r="N94" i="30" s="1"/>
  <c r="M114" i="30"/>
  <c r="N114" i="30" s="1"/>
  <c r="H25" i="30"/>
  <c r="I93" i="30"/>
  <c r="J93" i="30" s="1"/>
  <c r="I112" i="30"/>
  <c r="J112" i="30" s="1"/>
  <c r="D94" i="30"/>
  <c r="F94" i="30" s="1"/>
  <c r="I113" i="30"/>
  <c r="J113" i="30" s="1"/>
  <c r="D114" i="30"/>
  <c r="F114" i="30" s="1"/>
  <c r="G114" i="30"/>
  <c r="H114" i="30" s="1"/>
  <c r="N25" i="30"/>
  <c r="K93" i="30"/>
  <c r="L93" i="30" s="1"/>
  <c r="G66" i="30"/>
  <c r="H66" i="30" s="1"/>
  <c r="K65" i="30"/>
  <c r="L65" i="30" s="1"/>
  <c r="G113" i="30"/>
  <c r="H113" i="30" s="1"/>
  <c r="G65" i="30"/>
  <c r="H65" i="30" s="1"/>
  <c r="O52" i="30"/>
  <c r="Q52" i="30" s="1"/>
  <c r="K112" i="30"/>
  <c r="L112" i="30" s="1"/>
  <c r="K92" i="30"/>
  <c r="L92" i="30" s="1"/>
  <c r="K64" i="30"/>
  <c r="L64" i="30" s="1"/>
  <c r="D112" i="30"/>
  <c r="F112" i="30" s="1"/>
  <c r="O47" i="30"/>
  <c r="Q47" i="30" s="1"/>
  <c r="D92" i="30"/>
  <c r="F92" i="30" s="1"/>
  <c r="D64" i="30"/>
  <c r="F64" i="30" s="1"/>
  <c r="J25" i="30"/>
  <c r="G92" i="30"/>
  <c r="H92" i="30" s="1"/>
  <c r="G64" i="30"/>
  <c r="H64" i="30" s="1"/>
  <c r="G112" i="30"/>
  <c r="H112" i="30" s="1"/>
  <c r="I114" i="30"/>
  <c r="J114" i="30" s="1"/>
  <c r="I94" i="30"/>
  <c r="J94" i="30" s="1"/>
  <c r="I66" i="30"/>
  <c r="J66" i="30" s="1"/>
  <c r="F25" i="30"/>
  <c r="M112" i="30"/>
  <c r="N112" i="30" s="1"/>
  <c r="M92" i="30"/>
  <c r="N92" i="30" s="1"/>
  <c r="M64" i="30"/>
  <c r="N64" i="30" s="1"/>
  <c r="O59" i="30"/>
  <c r="Q59" i="30" s="1"/>
  <c r="T14" i="30" l="1"/>
  <c r="T44" i="30"/>
  <c r="T42" i="30"/>
  <c r="F27" i="30"/>
  <c r="T57" i="30"/>
  <c r="T39" i="30"/>
  <c r="R18" i="30"/>
  <c r="S18" i="30"/>
  <c r="T33" i="30"/>
  <c r="T45" i="30"/>
  <c r="S21" i="30"/>
  <c r="R21" i="30"/>
  <c r="S52" i="30"/>
  <c r="R52" i="30"/>
  <c r="T52" i="30" s="1"/>
  <c r="T15" i="30"/>
  <c r="S20" i="30"/>
  <c r="R20" i="30"/>
  <c r="S47" i="30"/>
  <c r="R47" i="30"/>
  <c r="J27" i="30"/>
  <c r="I111" i="30" s="1"/>
  <c r="J111" i="30" s="1"/>
  <c r="J120" i="30" s="1"/>
  <c r="N27" i="30"/>
  <c r="M91" i="30" s="1"/>
  <c r="N91" i="30" s="1"/>
  <c r="N104" i="30" s="1"/>
  <c r="L27" i="30"/>
  <c r="K63" i="30" s="1"/>
  <c r="L63" i="30" s="1"/>
  <c r="L84" i="30" s="1"/>
  <c r="O66" i="30"/>
  <c r="Q66" i="30" s="1"/>
  <c r="O93" i="30"/>
  <c r="Q93" i="30" s="1"/>
  <c r="H27" i="30"/>
  <c r="G111" i="30" s="1"/>
  <c r="H111" i="30" s="1"/>
  <c r="H120" i="30" s="1"/>
  <c r="H122" i="30" s="1"/>
  <c r="O113" i="30"/>
  <c r="Q113" i="30" s="1"/>
  <c r="O114" i="30"/>
  <c r="Q114" i="30" s="1"/>
  <c r="O94" i="30"/>
  <c r="Q94" i="30" s="1"/>
  <c r="O65" i="30"/>
  <c r="Q65" i="30" s="1"/>
  <c r="O25" i="30"/>
  <c r="Q25" i="30" s="1"/>
  <c r="O92" i="30"/>
  <c r="Q92" i="30" s="1"/>
  <c r="O112" i="30"/>
  <c r="Q112" i="30" s="1"/>
  <c r="O22" i="30"/>
  <c r="Q22" i="30" s="1"/>
  <c r="O64" i="30"/>
  <c r="Q64" i="30" s="1"/>
  <c r="T20" i="30" l="1"/>
  <c r="T47" i="30"/>
  <c r="T21" i="30"/>
  <c r="R25" i="30"/>
  <c r="S25" i="30"/>
  <c r="S22" i="30"/>
  <c r="R22" i="30"/>
  <c r="T22" i="30" s="1"/>
  <c r="T18" i="30"/>
  <c r="I63" i="30"/>
  <c r="J63" i="30" s="1"/>
  <c r="I91" i="30"/>
  <c r="J91" i="30" s="1"/>
  <c r="J104" i="30" s="1"/>
  <c r="J106" i="30" s="1"/>
  <c r="J108" i="30" s="1"/>
  <c r="O133" i="4" s="1"/>
  <c r="G63" i="30"/>
  <c r="H63" i="30" s="1"/>
  <c r="G91" i="30"/>
  <c r="H91" i="30" s="1"/>
  <c r="H104" i="30" s="1"/>
  <c r="H106" i="30" s="1"/>
  <c r="M111" i="30"/>
  <c r="N111" i="30" s="1"/>
  <c r="N120" i="30" s="1"/>
  <c r="N122" i="30" s="1"/>
  <c r="N124" i="30" s="1"/>
  <c r="S175" i="4" s="1"/>
  <c r="K91" i="30"/>
  <c r="L91" i="30" s="1"/>
  <c r="L104" i="30" s="1"/>
  <c r="L106" i="30" s="1"/>
  <c r="L108" i="30" s="1"/>
  <c r="Q133" i="4" s="1"/>
  <c r="M63" i="30"/>
  <c r="N63" i="30" s="1"/>
  <c r="K111" i="30"/>
  <c r="L111" i="30" s="1"/>
  <c r="L120" i="30" s="1"/>
  <c r="L122" i="30" s="1"/>
  <c r="L124" i="30" s="1"/>
  <c r="Q175" i="4" s="1"/>
  <c r="L86" i="30"/>
  <c r="L88" i="30" s="1"/>
  <c r="Q77" i="4" s="1"/>
  <c r="D63" i="30"/>
  <c r="F63" i="30" s="1"/>
  <c r="F84" i="30" s="1"/>
  <c r="O27" i="30"/>
  <c r="Q27" i="30" s="1"/>
  <c r="D111" i="30"/>
  <c r="F111" i="30" s="1"/>
  <c r="F120" i="30" s="1"/>
  <c r="F122" i="30" s="1"/>
  <c r="D91" i="30"/>
  <c r="F91" i="30" s="1"/>
  <c r="F104" i="30" s="1"/>
  <c r="N106" i="30"/>
  <c r="N108" i="30" s="1"/>
  <c r="S133" i="4" s="1"/>
  <c r="J122" i="30"/>
  <c r="H124" i="30"/>
  <c r="M175" i="4" s="1"/>
  <c r="S27" i="30" l="1"/>
  <c r="R27" i="30"/>
  <c r="T25" i="30"/>
  <c r="F86" i="30"/>
  <c r="F88" i="30" s="1"/>
  <c r="N84" i="30"/>
  <c r="N86" i="30" s="1"/>
  <c r="H84" i="30"/>
  <c r="H86" i="30" s="1"/>
  <c r="J84" i="30"/>
  <c r="J86" i="30" s="1"/>
  <c r="H108" i="30"/>
  <c r="M133" i="4" s="1"/>
  <c r="L126" i="30"/>
  <c r="J124" i="30"/>
  <c r="O175" i="4" s="1"/>
  <c r="O63" i="30"/>
  <c r="Q63" i="30" s="1"/>
  <c r="O91" i="30"/>
  <c r="Q91" i="30" s="1"/>
  <c r="O111" i="30"/>
  <c r="Q111" i="30" s="1"/>
  <c r="T27" i="30" l="1"/>
  <c r="H88" i="30"/>
  <c r="N88" i="30"/>
  <c r="J88" i="30"/>
  <c r="F124" i="30"/>
  <c r="O120" i="30"/>
  <c r="Q120" i="30" s="1"/>
  <c r="F106" i="30"/>
  <c r="O106" i="30" s="1"/>
  <c r="Q106" i="30" s="1"/>
  <c r="O104" i="30"/>
  <c r="Q104" i="30" s="1"/>
  <c r="O84" i="30"/>
  <c r="Q84" i="30" s="1"/>
  <c r="O86" i="30"/>
  <c r="Q86" i="30" s="1"/>
  <c r="K175" i="4" l="1"/>
  <c r="T175" i="4" s="1"/>
  <c r="V175" i="4" s="1"/>
  <c r="N126" i="30"/>
  <c r="S77" i="4"/>
  <c r="J126" i="30"/>
  <c r="O77" i="4"/>
  <c r="H126" i="30"/>
  <c r="M77" i="4"/>
  <c r="F108" i="30"/>
  <c r="F126" i="30" s="1"/>
  <c r="O124" i="30"/>
  <c r="Q124" i="30" s="1"/>
  <c r="O122" i="30"/>
  <c r="O88" i="30" l="1"/>
  <c r="Q88" i="30" s="1"/>
  <c r="K77" i="4"/>
  <c r="T77" i="4" s="1"/>
  <c r="V77" i="4" s="1"/>
  <c r="O108" i="30"/>
  <c r="Q108" i="30" s="1"/>
  <c r="K133" i="4"/>
  <c r="Q122" i="30"/>
  <c r="O126" i="30"/>
  <c r="Q126" i="30" s="1"/>
  <c r="T57" i="29" l="1"/>
  <c r="L38" i="29"/>
  <c r="L37" i="29"/>
  <c r="L36" i="29"/>
  <c r="L35" i="29"/>
  <c r="L34" i="29"/>
  <c r="L33" i="29"/>
  <c r="L32" i="29"/>
  <c r="V30" i="29"/>
  <c r="L28" i="29"/>
  <c r="L27" i="29"/>
  <c r="L26" i="29"/>
  <c r="V24" i="29"/>
  <c r="T22" i="29"/>
  <c r="R22" i="29"/>
  <c r="R24" i="29" s="1"/>
  <c r="P22" i="29"/>
  <c r="N22" i="29"/>
  <c r="L22" i="29"/>
  <c r="T51" i="29"/>
  <c r="R51" i="29"/>
  <c r="P51" i="29"/>
  <c r="N51" i="29"/>
  <c r="L51" i="29"/>
  <c r="L12" i="29"/>
  <c r="L11" i="29"/>
  <c r="L10" i="29"/>
  <c r="L40" i="29" l="1"/>
  <c r="L30" i="29"/>
  <c r="Q69" i="29"/>
  <c r="R69" i="29" s="1"/>
  <c r="Q45" i="29"/>
  <c r="R45" i="29" s="1"/>
  <c r="L15" i="29"/>
  <c r="L18" i="29" s="1"/>
  <c r="L20" i="29" s="1"/>
  <c r="T30" i="29"/>
  <c r="U35" i="29"/>
  <c r="W35" i="29" s="1"/>
  <c r="N24" i="29"/>
  <c r="P24" i="29"/>
  <c r="P30" i="29"/>
  <c r="R30" i="29"/>
  <c r="N30" i="29"/>
  <c r="L24" i="29"/>
  <c r="U38" i="29"/>
  <c r="W38" i="29" s="1"/>
  <c r="U37" i="29"/>
  <c r="W37" i="29" s="1"/>
  <c r="U36" i="29"/>
  <c r="W36" i="29" s="1"/>
  <c r="U34" i="29"/>
  <c r="W34" i="29" s="1"/>
  <c r="U33" i="29"/>
  <c r="W33" i="29" s="1"/>
  <c r="U32" i="29"/>
  <c r="W32" i="29" s="1"/>
  <c r="U22" i="29"/>
  <c r="W22" i="29" s="1"/>
  <c r="U26" i="29"/>
  <c r="W26" i="29" s="1"/>
  <c r="T24" i="29"/>
  <c r="U27" i="29"/>
  <c r="W27" i="29" s="1"/>
  <c r="U51" i="29"/>
  <c r="W51" i="29" s="1"/>
  <c r="U28" i="29"/>
  <c r="W28" i="29" s="1"/>
  <c r="U12" i="29"/>
  <c r="W12" i="29" s="1"/>
  <c r="U11" i="29"/>
  <c r="W11" i="29" s="1"/>
  <c r="U10" i="29"/>
  <c r="W10" i="29" s="1"/>
  <c r="R74" i="29"/>
  <c r="R75" i="29"/>
  <c r="R73" i="29"/>
  <c r="P74" i="29"/>
  <c r="P75" i="29"/>
  <c r="P73" i="29"/>
  <c r="N74" i="29"/>
  <c r="N75" i="29"/>
  <c r="N73" i="29"/>
  <c r="L74" i="29"/>
  <c r="L75" i="29"/>
  <c r="L73" i="29"/>
  <c r="U152" i="4"/>
  <c r="S148" i="4"/>
  <c r="S149" i="4"/>
  <c r="S150" i="4"/>
  <c r="S147" i="4"/>
  <c r="Q148" i="4"/>
  <c r="Q149" i="4"/>
  <c r="Q150" i="4"/>
  <c r="Q147" i="4"/>
  <c r="O148" i="4"/>
  <c r="O149" i="4"/>
  <c r="O150" i="4"/>
  <c r="O147" i="4"/>
  <c r="M148" i="4"/>
  <c r="M149" i="4"/>
  <c r="T149" i="4" s="1"/>
  <c r="V149" i="4" s="1"/>
  <c r="M150" i="4"/>
  <c r="M147" i="4"/>
  <c r="K148" i="4"/>
  <c r="K149" i="4"/>
  <c r="K150" i="4"/>
  <c r="K147" i="4"/>
  <c r="S145" i="4"/>
  <c r="Q145" i="4"/>
  <c r="O145" i="4"/>
  <c r="M145" i="4"/>
  <c r="K145" i="4"/>
  <c r="S144" i="4"/>
  <c r="Q144" i="4"/>
  <c r="O144" i="4"/>
  <c r="M144" i="4"/>
  <c r="K144" i="4"/>
  <c r="S139" i="4"/>
  <c r="Q139" i="4"/>
  <c r="K139" i="4"/>
  <c r="S136" i="4"/>
  <c r="O136" i="4"/>
  <c r="M136" i="4"/>
  <c r="K136" i="4"/>
  <c r="Q136" i="4" s="1"/>
  <c r="U129" i="4"/>
  <c r="S127" i="4"/>
  <c r="Q127" i="4"/>
  <c r="O127" i="4"/>
  <c r="M127" i="4"/>
  <c r="K127" i="4"/>
  <c r="S117" i="4"/>
  <c r="Q117" i="4"/>
  <c r="O117" i="4"/>
  <c r="M117" i="4"/>
  <c r="K117" i="4"/>
  <c r="S110" i="4"/>
  <c r="Q110" i="4"/>
  <c r="O110" i="4"/>
  <c r="M110" i="4"/>
  <c r="K110" i="4"/>
  <c r="S95" i="4"/>
  <c r="S94" i="4"/>
  <c r="S93" i="4"/>
  <c r="Q95" i="4"/>
  <c r="Q94" i="4"/>
  <c r="Q93" i="4"/>
  <c r="O95" i="4"/>
  <c r="O94" i="4"/>
  <c r="O93" i="4"/>
  <c r="M95" i="4"/>
  <c r="M94" i="4"/>
  <c r="M93" i="4"/>
  <c r="K95" i="4"/>
  <c r="K94" i="4"/>
  <c r="K93" i="4"/>
  <c r="S87" i="4"/>
  <c r="Q87" i="4"/>
  <c r="O87" i="4"/>
  <c r="M87" i="4"/>
  <c r="K87" i="4"/>
  <c r="T61" i="27"/>
  <c r="R61" i="27"/>
  <c r="P61" i="27"/>
  <c r="N61" i="27"/>
  <c r="L61" i="27"/>
  <c r="T56" i="27"/>
  <c r="T57" i="27"/>
  <c r="T58" i="27"/>
  <c r="R56" i="27"/>
  <c r="R57" i="27"/>
  <c r="R58" i="27"/>
  <c r="P56" i="27"/>
  <c r="P57" i="27"/>
  <c r="P58" i="27"/>
  <c r="N56" i="27"/>
  <c r="N57" i="27"/>
  <c r="N58" i="27"/>
  <c r="L56" i="27"/>
  <c r="L57" i="27"/>
  <c r="L58" i="27"/>
  <c r="U56" i="27" l="1"/>
  <c r="W56" i="27" s="1"/>
  <c r="M45" i="29"/>
  <c r="N45" i="29" s="1"/>
  <c r="M69" i="29"/>
  <c r="N69" i="29" s="1"/>
  <c r="O45" i="29"/>
  <c r="P45" i="29" s="1"/>
  <c r="O69" i="29"/>
  <c r="P69" i="29" s="1"/>
  <c r="S69" i="29"/>
  <c r="T69" i="29" s="1"/>
  <c r="S45" i="29"/>
  <c r="T45" i="29" s="1"/>
  <c r="J45" i="29"/>
  <c r="L45" i="29" s="1"/>
  <c r="U45" i="29" s="1"/>
  <c r="W45" i="29" s="1"/>
  <c r="J69" i="29"/>
  <c r="L69" i="29" s="1"/>
  <c r="T150" i="4"/>
  <c r="V150" i="4" s="1"/>
  <c r="T148" i="4"/>
  <c r="V148" i="4" s="1"/>
  <c r="T136" i="4"/>
  <c r="V136" i="4" s="1"/>
  <c r="U57" i="27"/>
  <c r="W57" i="27" s="1"/>
  <c r="T139" i="4"/>
  <c r="V139" i="4" s="1"/>
  <c r="T145" i="4"/>
  <c r="V145" i="4" s="1"/>
  <c r="T147" i="4"/>
  <c r="V147" i="4" s="1"/>
  <c r="T127" i="4"/>
  <c r="V127" i="4" s="1"/>
  <c r="T117" i="4"/>
  <c r="V117" i="4" s="1"/>
  <c r="T144" i="4"/>
  <c r="V144" i="4" s="1"/>
  <c r="U73" i="29"/>
  <c r="W73" i="29" s="1"/>
  <c r="U75" i="29"/>
  <c r="W75" i="29" s="1"/>
  <c r="U24" i="29"/>
  <c r="W24" i="29" s="1"/>
  <c r="U74" i="29"/>
  <c r="W74" i="29" s="1"/>
  <c r="T110" i="4"/>
  <c r="V110" i="4" s="1"/>
  <c r="T87" i="4"/>
  <c r="V87" i="4" s="1"/>
  <c r="T95" i="4"/>
  <c r="V95" i="4" s="1"/>
  <c r="T94" i="4"/>
  <c r="V94" i="4" s="1"/>
  <c r="T93" i="4"/>
  <c r="V93" i="4" s="1"/>
  <c r="U61" i="27"/>
  <c r="W61" i="27" s="1"/>
  <c r="U58" i="27"/>
  <c r="W58" i="27" s="1"/>
  <c r="S80" i="4"/>
  <c r="S81" i="4"/>
  <c r="Q80" i="4"/>
  <c r="Q81" i="4"/>
  <c r="M80" i="4"/>
  <c r="M81" i="4"/>
  <c r="K80" i="4"/>
  <c r="O80" i="4" s="1"/>
  <c r="K81" i="4"/>
  <c r="O81" i="4" s="1"/>
  <c r="U71" i="4"/>
  <c r="S69" i="4"/>
  <c r="Q69" i="4"/>
  <c r="O69" i="4"/>
  <c r="M69" i="4"/>
  <c r="K69" i="4"/>
  <c r="K49" i="4"/>
  <c r="U69" i="29" l="1"/>
  <c r="W69" i="29" s="1"/>
  <c r="T69" i="4"/>
  <c r="V69" i="4" s="1"/>
  <c r="T81" i="4"/>
  <c r="V81" i="4" s="1"/>
  <c r="S49" i="4"/>
  <c r="T80" i="4"/>
  <c r="V80" i="4" s="1"/>
  <c r="M90" i="4"/>
  <c r="T39" i="27"/>
  <c r="T40" i="27"/>
  <c r="T41" i="27"/>
  <c r="T42" i="27"/>
  <c r="T43" i="27"/>
  <c r="T44" i="27"/>
  <c r="T38" i="27"/>
  <c r="R39" i="27"/>
  <c r="R40" i="27"/>
  <c r="R41" i="27"/>
  <c r="R42" i="27"/>
  <c r="R43" i="27"/>
  <c r="R44" i="27"/>
  <c r="R38" i="27"/>
  <c r="P39" i="27"/>
  <c r="P40" i="27"/>
  <c r="P41" i="27"/>
  <c r="P42" i="27"/>
  <c r="P43" i="27"/>
  <c r="P44" i="27"/>
  <c r="P38" i="27"/>
  <c r="N39" i="27"/>
  <c r="N40" i="27"/>
  <c r="N41" i="27"/>
  <c r="N42" i="27"/>
  <c r="N43" i="27"/>
  <c r="N44" i="27"/>
  <c r="N38" i="27"/>
  <c r="T33" i="27"/>
  <c r="T34" i="27"/>
  <c r="T32" i="27"/>
  <c r="R33" i="27"/>
  <c r="R34" i="27"/>
  <c r="R32" i="27"/>
  <c r="P33" i="27"/>
  <c r="P34" i="27"/>
  <c r="P32" i="27"/>
  <c r="N33" i="27"/>
  <c r="N34" i="27"/>
  <c r="N32" i="27"/>
  <c r="T27" i="27"/>
  <c r="T28" i="27"/>
  <c r="T26" i="27"/>
  <c r="R27" i="27"/>
  <c r="R28" i="27"/>
  <c r="R26" i="27"/>
  <c r="P27" i="27"/>
  <c r="P28" i="27"/>
  <c r="P26" i="27"/>
  <c r="N27" i="27"/>
  <c r="N28" i="27"/>
  <c r="N26" i="27"/>
  <c r="T11" i="27"/>
  <c r="T12" i="27"/>
  <c r="T13" i="27"/>
  <c r="T14" i="27"/>
  <c r="T10" i="27"/>
  <c r="R11" i="27"/>
  <c r="R12" i="27"/>
  <c r="R13" i="27"/>
  <c r="R14" i="27"/>
  <c r="R10" i="27"/>
  <c r="P11" i="27"/>
  <c r="P12" i="27"/>
  <c r="P13" i="27"/>
  <c r="P14" i="27"/>
  <c r="P10" i="27"/>
  <c r="N11" i="27"/>
  <c r="N12" i="27"/>
  <c r="N13" i="27"/>
  <c r="N10" i="27"/>
  <c r="S66" i="4"/>
  <c r="S65" i="4"/>
  <c r="S57" i="4"/>
  <c r="S58" i="4"/>
  <c r="S59" i="4"/>
  <c r="S60" i="4"/>
  <c r="S61" i="4"/>
  <c r="S62" i="4"/>
  <c r="S63" i="4"/>
  <c r="S56" i="4"/>
  <c r="Q66" i="4"/>
  <c r="Q65" i="4"/>
  <c r="Q57" i="4"/>
  <c r="Q58" i="4"/>
  <c r="Q60" i="4"/>
  <c r="Q61" i="4"/>
  <c r="Q62" i="4"/>
  <c r="Q63" i="4"/>
  <c r="Q56" i="4"/>
  <c r="O66" i="4"/>
  <c r="O65" i="4"/>
  <c r="O57" i="4"/>
  <c r="O58" i="4"/>
  <c r="O59" i="4"/>
  <c r="O60" i="4"/>
  <c r="O61" i="4"/>
  <c r="O62" i="4"/>
  <c r="O63" i="4"/>
  <c r="O56" i="4"/>
  <c r="M66" i="4"/>
  <c r="M65" i="4"/>
  <c r="M57" i="4"/>
  <c r="M58" i="4"/>
  <c r="M59" i="4"/>
  <c r="M60" i="4"/>
  <c r="M62" i="4"/>
  <c r="M63" i="4"/>
  <c r="M56" i="4"/>
  <c r="S43" i="4"/>
  <c r="S45" i="4"/>
  <c r="S47" i="4"/>
  <c r="S50" i="4"/>
  <c r="S51" i="4"/>
  <c r="S41" i="4"/>
  <c r="Q43" i="4"/>
  <c r="Q45" i="4"/>
  <c r="Q47" i="4"/>
  <c r="Q50" i="4"/>
  <c r="Q51" i="4"/>
  <c r="Q41" i="4"/>
  <c r="O43" i="4"/>
  <c r="O45" i="4"/>
  <c r="O50" i="4"/>
  <c r="O51" i="4"/>
  <c r="O41" i="4"/>
  <c r="M45" i="4"/>
  <c r="M41" i="4"/>
  <c r="M50" i="4"/>
  <c r="M51" i="4"/>
  <c r="M43" i="4"/>
  <c r="S16" i="4"/>
  <c r="S19" i="4"/>
  <c r="S20" i="4"/>
  <c r="S21" i="4"/>
  <c r="Q16" i="4"/>
  <c r="Q19" i="4"/>
  <c r="Q20" i="4"/>
  <c r="Q21" i="4"/>
  <c r="O16" i="4"/>
  <c r="O19" i="4"/>
  <c r="O20" i="4"/>
  <c r="O21" i="4"/>
  <c r="M19" i="4"/>
  <c r="M20" i="4"/>
  <c r="M21" i="4"/>
  <c r="M16" i="4"/>
  <c r="K56" i="4"/>
  <c r="K19" i="4"/>
  <c r="N17" i="27" l="1"/>
  <c r="N20" i="27" s="1"/>
  <c r="N46" i="27"/>
  <c r="M30" i="4"/>
  <c r="Q30" i="4"/>
  <c r="O30" i="4"/>
  <c r="S30" i="4"/>
  <c r="P17" i="27"/>
  <c r="T17" i="27"/>
  <c r="T46" i="27"/>
  <c r="R17" i="27"/>
  <c r="R46" i="27"/>
  <c r="P46" i="27"/>
  <c r="T19" i="4"/>
  <c r="V19" i="4" s="1"/>
  <c r="T56" i="4"/>
  <c r="V56" i="4" s="1"/>
  <c r="P60" i="27"/>
  <c r="S125" i="4"/>
  <c r="S124" i="4"/>
  <c r="Q125" i="4"/>
  <c r="Q124" i="4"/>
  <c r="O125" i="4"/>
  <c r="O124" i="4"/>
  <c r="M125" i="4"/>
  <c r="M124" i="4"/>
  <c r="K125" i="4"/>
  <c r="K124" i="4"/>
  <c r="S115" i="4"/>
  <c r="Q115" i="4"/>
  <c r="K115" i="4"/>
  <c r="S112" i="4"/>
  <c r="O112" i="4"/>
  <c r="Q112" i="4"/>
  <c r="M112" i="4"/>
  <c r="T55" i="27"/>
  <c r="R55" i="27"/>
  <c r="P55" i="27"/>
  <c r="N55" i="27"/>
  <c r="L55" i="27"/>
  <c r="T50" i="29"/>
  <c r="T52" i="29"/>
  <c r="T56" i="29"/>
  <c r="T58" i="29"/>
  <c r="R50" i="29"/>
  <c r="R52" i="29"/>
  <c r="R56" i="29"/>
  <c r="R57" i="29"/>
  <c r="R58" i="29"/>
  <c r="P50" i="29"/>
  <c r="P52" i="29"/>
  <c r="P56" i="29"/>
  <c r="P57" i="29"/>
  <c r="P58" i="29"/>
  <c r="N52" i="29"/>
  <c r="N56" i="29"/>
  <c r="N57" i="29"/>
  <c r="N58" i="29"/>
  <c r="L52" i="29"/>
  <c r="L56" i="29"/>
  <c r="L57" i="29"/>
  <c r="L58" i="29"/>
  <c r="K90" i="4"/>
  <c r="S90" i="4"/>
  <c r="Q90" i="4"/>
  <c r="O90" i="4"/>
  <c r="N50" i="29"/>
  <c r="L50" i="29"/>
  <c r="T49" i="29"/>
  <c r="R49" i="29"/>
  <c r="P49" i="29"/>
  <c r="N49" i="29"/>
  <c r="L49" i="29"/>
  <c r="V81" i="29"/>
  <c r="V77" i="29"/>
  <c r="T72" i="29"/>
  <c r="R72" i="29"/>
  <c r="P72" i="29"/>
  <c r="N72" i="29"/>
  <c r="L72" i="29"/>
  <c r="V40" i="29"/>
  <c r="V15" i="29"/>
  <c r="V20" i="29" s="1"/>
  <c r="L42" i="27"/>
  <c r="L44" i="27"/>
  <c r="L43" i="27"/>
  <c r="L41" i="27"/>
  <c r="L40" i="27"/>
  <c r="L39" i="27"/>
  <c r="L38" i="27"/>
  <c r="L34" i="27"/>
  <c r="L33" i="27"/>
  <c r="L32" i="27"/>
  <c r="L28" i="27"/>
  <c r="L27" i="27"/>
  <c r="L26" i="27"/>
  <c r="L14" i="27"/>
  <c r="L13" i="27"/>
  <c r="L12" i="27"/>
  <c r="L11" i="27"/>
  <c r="L10" i="27"/>
  <c r="L30" i="27" l="1"/>
  <c r="L17" i="27"/>
  <c r="L46" i="27"/>
  <c r="V83" i="29"/>
  <c r="U52" i="29"/>
  <c r="W52" i="29" s="1"/>
  <c r="U58" i="29"/>
  <c r="W58" i="29" s="1"/>
  <c r="U56" i="29"/>
  <c r="W56" i="29" s="1"/>
  <c r="U50" i="29"/>
  <c r="W50" i="29" s="1"/>
  <c r="U55" i="27"/>
  <c r="W55" i="27" s="1"/>
  <c r="U57" i="29"/>
  <c r="W57" i="29" s="1"/>
  <c r="Q49" i="4"/>
  <c r="M49" i="4"/>
  <c r="O49" i="4"/>
  <c r="T125" i="4"/>
  <c r="V125" i="4" s="1"/>
  <c r="T124" i="4"/>
  <c r="V124" i="4" s="1"/>
  <c r="T90" i="4"/>
  <c r="V90" i="4" s="1"/>
  <c r="T112" i="4"/>
  <c r="V112" i="4" s="1"/>
  <c r="T115" i="4"/>
  <c r="V115" i="4" s="1"/>
  <c r="T18" i="29"/>
  <c r="T20" i="29" s="1"/>
  <c r="Q70" i="29"/>
  <c r="R70" i="29" s="1"/>
  <c r="U49" i="29"/>
  <c r="W49" i="29" s="1"/>
  <c r="R18" i="29"/>
  <c r="R20" i="29" s="1"/>
  <c r="T46" i="29"/>
  <c r="U72" i="29"/>
  <c r="W72" i="29" s="1"/>
  <c r="P18" i="29"/>
  <c r="P20" i="29" s="1"/>
  <c r="J47" i="29"/>
  <c r="L47" i="29" s="1"/>
  <c r="M46" i="29"/>
  <c r="N46" i="29" s="1"/>
  <c r="N40" i="29"/>
  <c r="O70" i="29"/>
  <c r="P70" i="29" s="1"/>
  <c r="P40" i="29"/>
  <c r="T40" i="29"/>
  <c r="S47" i="29" s="1"/>
  <c r="T47" i="29" s="1"/>
  <c r="R40" i="29"/>
  <c r="U44" i="27"/>
  <c r="W44" i="27" s="1"/>
  <c r="U34" i="27"/>
  <c r="W34" i="27" s="1"/>
  <c r="U42" i="27"/>
  <c r="W42" i="27" s="1"/>
  <c r="U33" i="27"/>
  <c r="W33" i="27" s="1"/>
  <c r="U40" i="27"/>
  <c r="W40" i="27" s="1"/>
  <c r="U43" i="27"/>
  <c r="W43" i="27" s="1"/>
  <c r="U39" i="27"/>
  <c r="W39" i="27" s="1"/>
  <c r="U41" i="27"/>
  <c r="W41" i="27" s="1"/>
  <c r="U38" i="27"/>
  <c r="W38" i="27" s="1"/>
  <c r="U32" i="27"/>
  <c r="W32" i="27" s="1"/>
  <c r="R20" i="27"/>
  <c r="U27" i="27"/>
  <c r="W27" i="27" s="1"/>
  <c r="U26" i="27"/>
  <c r="W26" i="27" s="1"/>
  <c r="U28" i="27"/>
  <c r="W28" i="27" s="1"/>
  <c r="N22" i="27"/>
  <c r="P20" i="27"/>
  <c r="T20" i="27"/>
  <c r="U14" i="27"/>
  <c r="W14" i="27" s="1"/>
  <c r="U11" i="27"/>
  <c r="W11" i="27" s="1"/>
  <c r="U12" i="27"/>
  <c r="W12" i="27" s="1"/>
  <c r="U10" i="27"/>
  <c r="W10" i="27" s="1"/>
  <c r="U13" i="27"/>
  <c r="W13" i="27" s="1"/>
  <c r="L20" i="27" l="1"/>
  <c r="L22" i="27" s="1"/>
  <c r="U17" i="27"/>
  <c r="J71" i="29"/>
  <c r="L71" i="29" s="1"/>
  <c r="T70" i="29"/>
  <c r="Q46" i="29"/>
  <c r="R46" i="29" s="1"/>
  <c r="S68" i="29"/>
  <c r="T68" i="29" s="1"/>
  <c r="Q68" i="29"/>
  <c r="R68" i="29" s="1"/>
  <c r="U15" i="29"/>
  <c r="W15" i="29" s="1"/>
  <c r="M70" i="29"/>
  <c r="N70" i="29" s="1"/>
  <c r="T71" i="29"/>
  <c r="M47" i="29"/>
  <c r="N47" i="29" s="1"/>
  <c r="M71" i="29"/>
  <c r="N71" i="29" s="1"/>
  <c r="O71" i="29"/>
  <c r="P71" i="29" s="1"/>
  <c r="U40" i="29"/>
  <c r="W40" i="29" s="1"/>
  <c r="O47" i="29"/>
  <c r="P47" i="29" s="1"/>
  <c r="O46" i="29"/>
  <c r="P46" i="29" s="1"/>
  <c r="U30" i="29"/>
  <c r="W30" i="29" s="1"/>
  <c r="J46" i="29"/>
  <c r="L46" i="29" s="1"/>
  <c r="J70" i="29"/>
  <c r="L70" i="29" s="1"/>
  <c r="J68" i="29"/>
  <c r="L68" i="29" s="1"/>
  <c r="J44" i="29"/>
  <c r="L44" i="29" s="1"/>
  <c r="N18" i="29"/>
  <c r="N20" i="29" s="1"/>
  <c r="Q47" i="29"/>
  <c r="R47" i="29" s="1"/>
  <c r="Q71" i="29"/>
  <c r="R71" i="29" s="1"/>
  <c r="U20" i="27"/>
  <c r="W20" i="27" s="1"/>
  <c r="T77" i="29" l="1"/>
  <c r="L61" i="29"/>
  <c r="L63" i="29" s="1"/>
  <c r="R77" i="29"/>
  <c r="L77" i="29"/>
  <c r="L79" i="29" s="1"/>
  <c r="U18" i="29"/>
  <c r="W18" i="29" s="1"/>
  <c r="S44" i="29"/>
  <c r="T44" i="29" s="1"/>
  <c r="T61" i="29" s="1"/>
  <c r="Q44" i="29"/>
  <c r="R44" i="29" s="1"/>
  <c r="R61" i="29" s="1"/>
  <c r="U70" i="29"/>
  <c r="W70" i="29" s="1"/>
  <c r="U71" i="29"/>
  <c r="W71" i="29" s="1"/>
  <c r="U47" i="29"/>
  <c r="W47" i="29" s="1"/>
  <c r="U46" i="29"/>
  <c r="W46" i="29" s="1"/>
  <c r="O68" i="29"/>
  <c r="P68" i="29" s="1"/>
  <c r="P77" i="29" s="1"/>
  <c r="O44" i="29"/>
  <c r="P44" i="29" s="1"/>
  <c r="P61" i="29" s="1"/>
  <c r="V79" i="27"/>
  <c r="T77" i="27"/>
  <c r="R77" i="27"/>
  <c r="P77" i="27"/>
  <c r="N77" i="27"/>
  <c r="L77" i="27"/>
  <c r="T76" i="27"/>
  <c r="R76" i="27"/>
  <c r="P76" i="27"/>
  <c r="N76" i="27"/>
  <c r="L76" i="27"/>
  <c r="T75" i="27"/>
  <c r="R75" i="27"/>
  <c r="P75" i="27"/>
  <c r="N75" i="27"/>
  <c r="L75" i="27"/>
  <c r="T60" i="27"/>
  <c r="R60" i="27"/>
  <c r="N60" i="27"/>
  <c r="L60" i="27"/>
  <c r="V46" i="27"/>
  <c r="V36" i="27"/>
  <c r="V30" i="27"/>
  <c r="V22" i="27"/>
  <c r="R22" i="27"/>
  <c r="P22" i="27"/>
  <c r="K174" i="4" l="1"/>
  <c r="V85" i="27"/>
  <c r="L65" i="29"/>
  <c r="K76" i="4" s="1"/>
  <c r="P79" i="29"/>
  <c r="P81" i="29" s="1"/>
  <c r="O174" i="4" s="1"/>
  <c r="R63" i="29"/>
  <c r="R65" i="29" s="1"/>
  <c r="Q76" i="4" s="1"/>
  <c r="M44" i="29"/>
  <c r="N44" i="29" s="1"/>
  <c r="N61" i="29" s="1"/>
  <c r="M68" i="29"/>
  <c r="N68" i="29" s="1"/>
  <c r="N77" i="29" s="1"/>
  <c r="U20" i="29"/>
  <c r="W20" i="29" s="1"/>
  <c r="P63" i="29"/>
  <c r="P65" i="29" s="1"/>
  <c r="O76" i="4" s="1"/>
  <c r="T79" i="29"/>
  <c r="T81" i="29" s="1"/>
  <c r="S174" i="4" s="1"/>
  <c r="R79" i="29"/>
  <c r="R81" i="29" s="1"/>
  <c r="T63" i="29"/>
  <c r="T65" i="29" s="1"/>
  <c r="U76" i="27"/>
  <c r="W76" i="27" s="1"/>
  <c r="U60" i="27"/>
  <c r="W60" i="27" s="1"/>
  <c r="R30" i="27"/>
  <c r="Q71" i="27" s="1"/>
  <c r="R71" i="27" s="1"/>
  <c r="T30" i="27"/>
  <c r="U77" i="27"/>
  <c r="W77" i="27" s="1"/>
  <c r="P30" i="27"/>
  <c r="O71" i="27" s="1"/>
  <c r="P71" i="27" s="1"/>
  <c r="M50" i="27"/>
  <c r="N50" i="27" s="1"/>
  <c r="M70" i="27"/>
  <c r="N70" i="27" s="1"/>
  <c r="O70" i="27"/>
  <c r="P70" i="27" s="1"/>
  <c r="O50" i="27"/>
  <c r="P50" i="27" s="1"/>
  <c r="N30" i="27"/>
  <c r="L36" i="27"/>
  <c r="R36" i="27"/>
  <c r="Q70" i="27"/>
  <c r="R70" i="27" s="1"/>
  <c r="Q50" i="27"/>
  <c r="R50" i="27" s="1"/>
  <c r="P36" i="27"/>
  <c r="U75" i="27"/>
  <c r="W75" i="27" s="1"/>
  <c r="T22" i="27"/>
  <c r="N36" i="27"/>
  <c r="T36" i="27"/>
  <c r="S140" i="4"/>
  <c r="S142" i="4"/>
  <c r="Q140" i="4"/>
  <c r="K140" i="4"/>
  <c r="K142" i="4"/>
  <c r="M140" i="4"/>
  <c r="O140" i="4"/>
  <c r="S137" i="4"/>
  <c r="S135" i="4"/>
  <c r="O137" i="4"/>
  <c r="O135" i="4"/>
  <c r="M137" i="4"/>
  <c r="M135" i="4"/>
  <c r="K137" i="4"/>
  <c r="Q137" i="4" s="1"/>
  <c r="K135" i="4"/>
  <c r="T133" i="4"/>
  <c r="S120" i="4"/>
  <c r="S121" i="4"/>
  <c r="S122" i="4"/>
  <c r="Q120" i="4"/>
  <c r="Q121" i="4"/>
  <c r="Q122" i="4"/>
  <c r="O120" i="4"/>
  <c r="O121" i="4"/>
  <c r="O122" i="4"/>
  <c r="M120" i="4"/>
  <c r="M121" i="4"/>
  <c r="M122" i="4"/>
  <c r="K120" i="4"/>
  <c r="K121" i="4"/>
  <c r="K122" i="4"/>
  <c r="S119" i="4"/>
  <c r="Q119" i="4"/>
  <c r="O119" i="4"/>
  <c r="M119" i="4"/>
  <c r="K119" i="4"/>
  <c r="S111" i="4"/>
  <c r="Q111" i="4"/>
  <c r="O111" i="4"/>
  <c r="M111" i="4"/>
  <c r="K111" i="4"/>
  <c r="S109" i="4"/>
  <c r="Q109" i="4"/>
  <c r="O109" i="4"/>
  <c r="M109" i="4"/>
  <c r="K109" i="4"/>
  <c r="S107" i="4"/>
  <c r="Q107" i="4"/>
  <c r="O107" i="4"/>
  <c r="M107" i="4"/>
  <c r="K107" i="4"/>
  <c r="S105" i="4"/>
  <c r="S106" i="4"/>
  <c r="S104" i="4"/>
  <c r="Q105" i="4"/>
  <c r="Q106" i="4"/>
  <c r="Q104" i="4"/>
  <c r="O105" i="4"/>
  <c r="O106" i="4"/>
  <c r="O104" i="4"/>
  <c r="M105" i="4"/>
  <c r="M106" i="4"/>
  <c r="M104" i="4"/>
  <c r="K105" i="4"/>
  <c r="K106" i="4"/>
  <c r="K104" i="4"/>
  <c r="M152" i="4" l="1"/>
  <c r="O152" i="4"/>
  <c r="K152" i="4"/>
  <c r="S152" i="4"/>
  <c r="S76" i="4"/>
  <c r="T83" i="29"/>
  <c r="R83" i="29"/>
  <c r="Q174" i="4"/>
  <c r="P83" i="29"/>
  <c r="Q135" i="4"/>
  <c r="Q152" i="4" s="1"/>
  <c r="V133" i="4"/>
  <c r="T137" i="4"/>
  <c r="V137" i="4" s="1"/>
  <c r="T140" i="4"/>
  <c r="V140" i="4" s="1"/>
  <c r="T142" i="4"/>
  <c r="V142" i="4" s="1"/>
  <c r="U44" i="29"/>
  <c r="L81" i="29"/>
  <c r="L83" i="29" s="1"/>
  <c r="U68" i="29"/>
  <c r="W68" i="29" s="1"/>
  <c r="O51" i="27"/>
  <c r="P51" i="27" s="1"/>
  <c r="Q51" i="27"/>
  <c r="R51" i="27" s="1"/>
  <c r="S71" i="27"/>
  <c r="T71" i="27" s="1"/>
  <c r="S53" i="27"/>
  <c r="T53" i="27" s="1"/>
  <c r="S51" i="27"/>
  <c r="T51" i="27" s="1"/>
  <c r="O53" i="27"/>
  <c r="P53" i="27" s="1"/>
  <c r="O73" i="27"/>
  <c r="P73" i="27" s="1"/>
  <c r="S73" i="27"/>
  <c r="T73" i="27" s="1"/>
  <c r="J71" i="27"/>
  <c r="L71" i="27" s="1"/>
  <c r="U30" i="27"/>
  <c r="W30" i="27" s="1"/>
  <c r="J51" i="27"/>
  <c r="L51" i="27" s="1"/>
  <c r="W17" i="27"/>
  <c r="M72" i="27"/>
  <c r="N72" i="27" s="1"/>
  <c r="M52" i="27"/>
  <c r="N52" i="27" s="1"/>
  <c r="O52" i="27"/>
  <c r="P52" i="27" s="1"/>
  <c r="O72" i="27"/>
  <c r="P72" i="27" s="1"/>
  <c r="Q52" i="27"/>
  <c r="R52" i="27" s="1"/>
  <c r="Q72" i="27"/>
  <c r="R72" i="27" s="1"/>
  <c r="U36" i="27"/>
  <c r="W36" i="27" s="1"/>
  <c r="J72" i="27"/>
  <c r="L72" i="27" s="1"/>
  <c r="J52" i="27"/>
  <c r="L52" i="27" s="1"/>
  <c r="J53" i="27"/>
  <c r="L53" i="27" s="1"/>
  <c r="J73" i="27"/>
  <c r="L73" i="27" s="1"/>
  <c r="U46" i="27"/>
  <c r="W46" i="27" s="1"/>
  <c r="Q73" i="27"/>
  <c r="R73" i="27" s="1"/>
  <c r="Q53" i="27"/>
  <c r="R53" i="27" s="1"/>
  <c r="M53" i="27"/>
  <c r="N53" i="27" s="1"/>
  <c r="M73" i="27"/>
  <c r="N73" i="27" s="1"/>
  <c r="S72" i="27"/>
  <c r="T72" i="27" s="1"/>
  <c r="S52" i="27"/>
  <c r="T52" i="27" s="1"/>
  <c r="M71" i="27"/>
  <c r="N71" i="27" s="1"/>
  <c r="M51" i="27"/>
  <c r="N51" i="27" s="1"/>
  <c r="S50" i="27"/>
  <c r="T50" i="27" s="1"/>
  <c r="S70" i="27"/>
  <c r="T70" i="27" s="1"/>
  <c r="T109" i="4"/>
  <c r="V109" i="4" s="1"/>
  <c r="T119" i="4"/>
  <c r="V119" i="4" s="1"/>
  <c r="T122" i="4"/>
  <c r="V122" i="4" s="1"/>
  <c r="T121" i="4"/>
  <c r="V121" i="4" s="1"/>
  <c r="T120" i="4"/>
  <c r="V120" i="4" s="1"/>
  <c r="T107" i="4"/>
  <c r="V107" i="4" s="1"/>
  <c r="T106" i="4"/>
  <c r="V106" i="4" s="1"/>
  <c r="T104" i="4"/>
  <c r="V104" i="4" s="1"/>
  <c r="T111" i="4"/>
  <c r="V111" i="4" s="1"/>
  <c r="T105" i="4"/>
  <c r="V105" i="4" s="1"/>
  <c r="S92" i="4"/>
  <c r="S91" i="4"/>
  <c r="Q92" i="4"/>
  <c r="Q91" i="4"/>
  <c r="O92" i="4"/>
  <c r="O91" i="4"/>
  <c r="K91" i="4"/>
  <c r="K92" i="4"/>
  <c r="M91" i="4"/>
  <c r="M92" i="4"/>
  <c r="S89" i="4"/>
  <c r="Q89" i="4"/>
  <c r="O89" i="4"/>
  <c r="M89" i="4"/>
  <c r="K89" i="4"/>
  <c r="S100" i="4"/>
  <c r="S99" i="4"/>
  <c r="R98" i="4"/>
  <c r="S98" i="4" s="1"/>
  <c r="R97" i="4"/>
  <c r="S97" i="4" s="1"/>
  <c r="Q100" i="4"/>
  <c r="Q99" i="4"/>
  <c r="P98" i="4"/>
  <c r="Q98" i="4" s="1"/>
  <c r="P97" i="4"/>
  <c r="Q97" i="4" s="1"/>
  <c r="O100" i="4"/>
  <c r="O99" i="4"/>
  <c r="N98" i="4"/>
  <c r="O98" i="4" s="1"/>
  <c r="M98" i="4"/>
  <c r="M97" i="4"/>
  <c r="N97" i="4"/>
  <c r="O97" i="4" s="1"/>
  <c r="M100" i="4"/>
  <c r="M99" i="4"/>
  <c r="K97" i="4"/>
  <c r="K98" i="4"/>
  <c r="K99" i="4"/>
  <c r="K100" i="4"/>
  <c r="N79" i="27" l="1"/>
  <c r="T79" i="27"/>
  <c r="R79" i="27"/>
  <c r="R63" i="27"/>
  <c r="T63" i="27"/>
  <c r="P63" i="27"/>
  <c r="N63" i="27"/>
  <c r="N65" i="27" s="1"/>
  <c r="N67" i="27" s="1"/>
  <c r="M75" i="4" s="1"/>
  <c r="P79" i="27"/>
  <c r="T152" i="4"/>
  <c r="W44" i="29"/>
  <c r="U61" i="29"/>
  <c r="T89" i="4"/>
  <c r="V89" i="4" s="1"/>
  <c r="T135" i="4"/>
  <c r="R65" i="27"/>
  <c r="R67" i="27" s="1"/>
  <c r="Q75" i="4" s="1"/>
  <c r="P65" i="27"/>
  <c r="P67" i="27" s="1"/>
  <c r="O75" i="4" s="1"/>
  <c r="S68" i="4"/>
  <c r="S71" i="4" s="1"/>
  <c r="Q68" i="4"/>
  <c r="Q71" i="4" s="1"/>
  <c r="O68" i="4"/>
  <c r="O71" i="4" s="1"/>
  <c r="M68" i="4"/>
  <c r="M71" i="4" s="1"/>
  <c r="N79" i="29"/>
  <c r="U79" i="29" s="1"/>
  <c r="W79" i="29" s="1"/>
  <c r="U77" i="29"/>
  <c r="W77" i="29" s="1"/>
  <c r="N63" i="29"/>
  <c r="U63" i="29" s="1"/>
  <c r="W63" i="29" s="1"/>
  <c r="W61" i="29"/>
  <c r="U52" i="27"/>
  <c r="W52" i="27" s="1"/>
  <c r="U72" i="27"/>
  <c r="W72" i="27" s="1"/>
  <c r="J50" i="27"/>
  <c r="L50" i="27" s="1"/>
  <c r="L63" i="27" s="1"/>
  <c r="L65" i="27" s="1"/>
  <c r="U22" i="27"/>
  <c r="W22" i="27" s="1"/>
  <c r="J70" i="27"/>
  <c r="L70" i="27" s="1"/>
  <c r="L79" i="27" s="1"/>
  <c r="U73" i="27"/>
  <c r="W73" i="27" s="1"/>
  <c r="U51" i="27"/>
  <c r="W51" i="27" s="1"/>
  <c r="U53" i="27"/>
  <c r="W53" i="27" s="1"/>
  <c r="U71" i="27"/>
  <c r="W71" i="27" s="1"/>
  <c r="T91" i="4"/>
  <c r="V91" i="4" s="1"/>
  <c r="T92" i="4"/>
  <c r="V92" i="4" s="1"/>
  <c r="T98" i="4"/>
  <c r="V98" i="4" s="1"/>
  <c r="T100" i="4"/>
  <c r="V100" i="4" s="1"/>
  <c r="T99" i="4"/>
  <c r="V99" i="4" s="1"/>
  <c r="T97" i="4"/>
  <c r="V97" i="4" s="1"/>
  <c r="S84" i="4"/>
  <c r="S85" i="4"/>
  <c r="Q84" i="4"/>
  <c r="Q85" i="4"/>
  <c r="O84" i="4"/>
  <c r="O85" i="4"/>
  <c r="S83" i="4"/>
  <c r="S79" i="4"/>
  <c r="L81" i="27" l="1"/>
  <c r="L83" i="27" s="1"/>
  <c r="N81" i="27"/>
  <c r="N83" i="27" s="1"/>
  <c r="N85" i="27" s="1"/>
  <c r="M173" i="4"/>
  <c r="T81" i="27"/>
  <c r="T83" i="27" s="1"/>
  <c r="S173" i="4"/>
  <c r="S177" i="4" s="1"/>
  <c r="P81" i="27"/>
  <c r="P83" i="27" s="1"/>
  <c r="P85" i="27" s="1"/>
  <c r="O173" i="4"/>
  <c r="R81" i="27"/>
  <c r="R83" i="27" s="1"/>
  <c r="R85" i="27" s="1"/>
  <c r="Q173" i="4"/>
  <c r="V135" i="4"/>
  <c r="T65" i="27"/>
  <c r="T67" i="27" s="1"/>
  <c r="S75" i="4"/>
  <c r="S129" i="4" s="1"/>
  <c r="N81" i="29"/>
  <c r="N65" i="29"/>
  <c r="U70" i="27"/>
  <c r="W70" i="27" s="1"/>
  <c r="K173" i="4"/>
  <c r="U50" i="27"/>
  <c r="W50" i="27" s="1"/>
  <c r="T85" i="4"/>
  <c r="V85" i="4" s="1"/>
  <c r="T84" i="4"/>
  <c r="J46" i="4"/>
  <c r="S39" i="4"/>
  <c r="S38" i="4"/>
  <c r="S36" i="4"/>
  <c r="J42" i="4"/>
  <c r="O42" i="4" s="1"/>
  <c r="J37" i="4"/>
  <c r="S37" i="4" s="1"/>
  <c r="M174" i="4" l="1"/>
  <c r="T174" i="4" s="1"/>
  <c r="V174" i="4" s="1"/>
  <c r="N83" i="29"/>
  <c r="T85" i="27"/>
  <c r="U65" i="29"/>
  <c r="W65" i="29" s="1"/>
  <c r="M76" i="4"/>
  <c r="U81" i="29"/>
  <c r="W81" i="29" s="1"/>
  <c r="U83" i="29"/>
  <c r="W83" i="29" s="1"/>
  <c r="V84" i="4"/>
  <c r="Q42" i="4"/>
  <c r="M42" i="4"/>
  <c r="S42" i="4"/>
  <c r="S46" i="4"/>
  <c r="Q46" i="4"/>
  <c r="U65" i="27"/>
  <c r="W65" i="27" s="1"/>
  <c r="U63" i="27"/>
  <c r="W63" i="27" s="1"/>
  <c r="U79" i="27"/>
  <c r="W79" i="27" s="1"/>
  <c r="U81" i="27"/>
  <c r="W81" i="27" s="1"/>
  <c r="S53" i="4" l="1"/>
  <c r="T76" i="4"/>
  <c r="V76" i="4" s="1"/>
  <c r="M24" i="4"/>
  <c r="Q24" i="4"/>
  <c r="O24" i="4"/>
  <c r="S24" i="4"/>
  <c r="L67" i="27"/>
  <c r="L85" i="27" s="1"/>
  <c r="O83" i="4"/>
  <c r="D13" i="19"/>
  <c r="Q79" i="4"/>
  <c r="K62" i="4"/>
  <c r="I37" i="4"/>
  <c r="K37" i="4" s="1"/>
  <c r="O47" i="4"/>
  <c r="O46" i="4"/>
  <c r="M47" i="4"/>
  <c r="M46" i="4"/>
  <c r="K46" i="4"/>
  <c r="K47" i="4"/>
  <c r="M166" i="4"/>
  <c r="M79" i="4"/>
  <c r="M129" i="4" s="1"/>
  <c r="K79" i="4"/>
  <c r="O79" i="4" s="1"/>
  <c r="D9" i="19"/>
  <c r="Q83" i="4"/>
  <c r="K51" i="4"/>
  <c r="K156" i="4"/>
  <c r="M156" i="4"/>
  <c r="O156" i="4"/>
  <c r="Q156" i="4"/>
  <c r="K158" i="4"/>
  <c r="M158" i="4"/>
  <c r="O158" i="4"/>
  <c r="K159" i="4"/>
  <c r="O159" i="4"/>
  <c r="Q159" i="4"/>
  <c r="K164" i="4"/>
  <c r="M164" i="4"/>
  <c r="O164" i="4"/>
  <c r="Q164" i="4"/>
  <c r="K166" i="4"/>
  <c r="O166" i="4"/>
  <c r="Q166" i="4"/>
  <c r="K167" i="4"/>
  <c r="M167" i="4"/>
  <c r="O167" i="4"/>
  <c r="Q167" i="4"/>
  <c r="K36" i="4"/>
  <c r="M36" i="4"/>
  <c r="O36" i="4"/>
  <c r="Q36" i="4"/>
  <c r="M37" i="4"/>
  <c r="O37" i="4"/>
  <c r="Q37" i="4"/>
  <c r="K38" i="4"/>
  <c r="M38" i="4"/>
  <c r="O38" i="4"/>
  <c r="Q38" i="4"/>
  <c r="K39" i="4"/>
  <c r="M39" i="4"/>
  <c r="O39" i="4"/>
  <c r="Q39" i="4"/>
  <c r="K41" i="4"/>
  <c r="K42" i="4"/>
  <c r="K43" i="4"/>
  <c r="K45" i="4"/>
  <c r="K50" i="4"/>
  <c r="K57" i="4"/>
  <c r="K58" i="4"/>
  <c r="K59" i="4"/>
  <c r="K60" i="4"/>
  <c r="K61" i="4"/>
  <c r="K63" i="4"/>
  <c r="K65" i="4"/>
  <c r="K66" i="4"/>
  <c r="U53" i="4"/>
  <c r="D6" i="19" s="1"/>
  <c r="U33" i="4"/>
  <c r="D5" i="19" s="1"/>
  <c r="D8" i="19"/>
  <c r="U177" i="4"/>
  <c r="D11" i="19" s="1"/>
  <c r="K16" i="4"/>
  <c r="K21" i="4"/>
  <c r="K20" i="4"/>
  <c r="D10" i="19"/>
  <c r="K24" i="4"/>
  <c r="O53" i="4" l="1"/>
  <c r="M53" i="4"/>
  <c r="K53" i="4"/>
  <c r="Q177" i="4"/>
  <c r="O177" i="4"/>
  <c r="K30" i="4"/>
  <c r="O129" i="4"/>
  <c r="M177" i="4"/>
  <c r="Q129" i="4"/>
  <c r="Q53" i="4"/>
  <c r="K177" i="4"/>
  <c r="D12" i="19"/>
  <c r="D14" i="19" s="1"/>
  <c r="U179" i="4"/>
  <c r="U183" i="4" s="1"/>
  <c r="T37" i="4"/>
  <c r="V37" i="4" s="1"/>
  <c r="T39" i="4"/>
  <c r="V39" i="4" s="1"/>
  <c r="T38" i="4"/>
  <c r="V38" i="4" s="1"/>
  <c r="K75" i="4"/>
  <c r="U67" i="27"/>
  <c r="W67" i="27" s="1"/>
  <c r="U85" i="27"/>
  <c r="W85" i="27" s="1"/>
  <c r="S25" i="4"/>
  <c r="S31" i="4" s="1"/>
  <c r="M25" i="4"/>
  <c r="M31" i="4" s="1"/>
  <c r="Q25" i="4"/>
  <c r="Q31" i="4" s="1"/>
  <c r="O25" i="4"/>
  <c r="O27" i="4" s="1"/>
  <c r="U83" i="27"/>
  <c r="W83" i="27" s="1"/>
  <c r="T83" i="4"/>
  <c r="V83" i="4" s="1"/>
  <c r="T79" i="4"/>
  <c r="V79" i="4" s="1"/>
  <c r="T42" i="4"/>
  <c r="V42" i="4" s="1"/>
  <c r="T63" i="4"/>
  <c r="V63" i="4" s="1"/>
  <c r="T60" i="4"/>
  <c r="V60" i="4" s="1"/>
  <c r="T58" i="4"/>
  <c r="V58" i="4" s="1"/>
  <c r="T50" i="4"/>
  <c r="V50" i="4" s="1"/>
  <c r="T45" i="4"/>
  <c r="V45" i="4" s="1"/>
  <c r="T59" i="4"/>
  <c r="T51" i="4"/>
  <c r="V51" i="4" s="1"/>
  <c r="T57" i="4"/>
  <c r="V57" i="4" s="1"/>
  <c r="T49" i="4"/>
  <c r="V49" i="4" s="1"/>
  <c r="T43" i="4"/>
  <c r="V43" i="4" s="1"/>
  <c r="T46" i="4"/>
  <c r="V46" i="4" s="1"/>
  <c r="T47" i="4"/>
  <c r="V47" i="4" s="1"/>
  <c r="T62" i="4"/>
  <c r="V62" i="4" s="1"/>
  <c r="T65" i="4"/>
  <c r="V65" i="4" s="1"/>
  <c r="K68" i="4"/>
  <c r="K71" i="4" s="1"/>
  <c r="T71" i="4" s="1"/>
  <c r="T66" i="4"/>
  <c r="V66" i="4" s="1"/>
  <c r="T61" i="4"/>
  <c r="V61" i="4" s="1"/>
  <c r="T36" i="4"/>
  <c r="T41" i="4"/>
  <c r="V41" i="4" s="1"/>
  <c r="T24" i="4"/>
  <c r="V24" i="4" s="1"/>
  <c r="T21" i="4"/>
  <c r="T16" i="4"/>
  <c r="V16" i="4" s="1"/>
  <c r="T20" i="4"/>
  <c r="V20" i="4" s="1"/>
  <c r="K25" i="4"/>
  <c r="K31" i="4" s="1"/>
  <c r="T156" i="4"/>
  <c r="V156" i="4" s="1"/>
  <c r="T173" i="4"/>
  <c r="V173" i="4" s="1"/>
  <c r="T167" i="4"/>
  <c r="V167" i="4" s="1"/>
  <c r="T166" i="4"/>
  <c r="V166" i="4" s="1"/>
  <c r="T164" i="4"/>
  <c r="V164" i="4" s="1"/>
  <c r="T159" i="4"/>
  <c r="V159" i="4" s="1"/>
  <c r="T158" i="4"/>
  <c r="V158" i="4" s="1"/>
  <c r="O31" i="4" l="1"/>
  <c r="Q27" i="4"/>
  <c r="Q33" i="4" s="1"/>
  <c r="T177" i="4"/>
  <c r="V177" i="4" s="1"/>
  <c r="O33" i="4"/>
  <c r="K27" i="4"/>
  <c r="K33" i="4" s="1"/>
  <c r="M27" i="4"/>
  <c r="M33" i="4" s="1"/>
  <c r="M179" i="4" s="1"/>
  <c r="M181" i="4" s="1"/>
  <c r="S27" i="4"/>
  <c r="S33" i="4" s="1"/>
  <c r="T53" i="4"/>
  <c r="V53" i="4" s="1"/>
  <c r="T75" i="4"/>
  <c r="K129" i="4"/>
  <c r="T30" i="4"/>
  <c r="V30" i="4" s="1"/>
  <c r="T68" i="4"/>
  <c r="V68" i="4" s="1"/>
  <c r="Q179" i="4"/>
  <c r="T25" i="4"/>
  <c r="V25" i="4" s="1"/>
  <c r="V36" i="4"/>
  <c r="C5" i="26"/>
  <c r="C6" i="26"/>
  <c r="V59" i="4"/>
  <c r="T33" i="4" l="1"/>
  <c r="T27" i="4"/>
  <c r="K179" i="4"/>
  <c r="K181" i="4" s="1"/>
  <c r="T129" i="4"/>
  <c r="C7" i="26"/>
  <c r="T31" i="4"/>
  <c r="O179" i="4"/>
  <c r="V27" i="4"/>
  <c r="V152" i="4"/>
  <c r="Q181" i="4"/>
  <c r="Q183" i="4" s="1"/>
  <c r="C9" i="26"/>
  <c r="C6" i="19"/>
  <c r="C11" i="19"/>
  <c r="E11" i="19" s="1"/>
  <c r="V71" i="4"/>
  <c r="C8" i="19"/>
  <c r="E8" i="19" s="1"/>
  <c r="E7" i="19"/>
  <c r="S179" i="4" l="1"/>
  <c r="S181" i="4" s="1"/>
  <c r="S183" i="4" s="1"/>
  <c r="E6" i="19"/>
  <c r="T179" i="4"/>
  <c r="C10" i="19"/>
  <c r="E10" i="19" s="1"/>
  <c r="O181" i="4"/>
  <c r="O183" i="4" s="1"/>
  <c r="V31" i="4"/>
  <c r="C4" i="26"/>
  <c r="K183" i="4" l="1"/>
  <c r="V33" i="4"/>
  <c r="C5" i="19"/>
  <c r="E5" i="19" l="1"/>
  <c r="T181" i="4"/>
  <c r="V75" i="4"/>
  <c r="C8" i="26"/>
  <c r="M183" i="4" l="1"/>
  <c r="V129" i="4"/>
  <c r="C9" i="19"/>
  <c r="C17" i="19" s="1"/>
  <c r="C13" i="19"/>
  <c r="C16" i="19" s="1"/>
  <c r="C10" i="26"/>
  <c r="V181" i="4"/>
  <c r="C12" i="19" l="1"/>
  <c r="C14" i="19" s="1"/>
  <c r="E13" i="19"/>
  <c r="V179" i="4"/>
  <c r="T183" i="4"/>
  <c r="V183" i="4" s="1"/>
  <c r="E9" i="19"/>
  <c r="E12" i="19" s="1"/>
  <c r="E14" i="19" l="1"/>
  <c r="V21" i="4" l="1"/>
  <c r="C3" i="26"/>
  <c r="C12" i="26" s="1"/>
</calcChain>
</file>

<file path=xl/sharedStrings.xml><?xml version="1.0" encoding="utf-8"?>
<sst xmlns="http://schemas.openxmlformats.org/spreadsheetml/2006/main" count="1758" uniqueCount="564">
  <si>
    <t>Mexico Awareness Raising Project</t>
  </si>
  <si>
    <t>FOA-ILAB-20-10</t>
  </si>
  <si>
    <t>Partners of the Americas</t>
  </si>
  <si>
    <t>BUDGET ITEM</t>
  </si>
  <si>
    <t>TOTAL DOL</t>
  </si>
  <si>
    <t>TOTAL COST SHARING</t>
  </si>
  <si>
    <t>PROJECT GRAND TOTAL</t>
  </si>
  <si>
    <t>Direct Labor</t>
  </si>
  <si>
    <t>Travel</t>
  </si>
  <si>
    <t>Equipment</t>
  </si>
  <si>
    <t>Supplies and Office Expenses</t>
  </si>
  <si>
    <t>Outcome 1</t>
  </si>
  <si>
    <t>Outcome 2</t>
  </si>
  <si>
    <t>Monitoring, Evaluation, and Collection of Reliable Data</t>
  </si>
  <si>
    <t>Total Direct Costs</t>
  </si>
  <si>
    <t>Indirect Costs (NICRA)</t>
  </si>
  <si>
    <t>TOTAL COSTS</t>
  </si>
  <si>
    <t>ADMINISTRATIVE COSTS (Direct Labor, Equipment, Supplies, Indirect Costs)</t>
  </si>
  <si>
    <t>PROGRAM COSTS (Travel, Contractual, Other Direct Costs)</t>
  </si>
  <si>
    <t>Equal Access to Quality Jobs for Women and Girls in Agriculture (EQUAL)</t>
  </si>
  <si>
    <t>FOA-ILAB-19-02</t>
  </si>
  <si>
    <t xml:space="preserve">Partners of the Americas </t>
  </si>
  <si>
    <t>Entity:</t>
  </si>
  <si>
    <t>P</t>
  </si>
  <si>
    <t>Program-Dept.:</t>
  </si>
  <si>
    <t>NOFO: FOA-ILAB-20-10</t>
  </si>
  <si>
    <t>Funder-Grant:</t>
  </si>
  <si>
    <t>DOL423</t>
  </si>
  <si>
    <t>Country: Mexico</t>
  </si>
  <si>
    <t>Budget Assumptions:</t>
  </si>
  <si>
    <t>Inflation - US Based Goods/Services</t>
  </si>
  <si>
    <t>Inflation - Locally Purchased Goods/Services</t>
  </si>
  <si>
    <t>Merit Based Increases for HQ &amp; Field Staff</t>
  </si>
  <si>
    <t>Sage Activity</t>
  </si>
  <si>
    <t>Sage Object Code/ Line Item</t>
  </si>
  <si>
    <t>Country Code (DC=0 or MX)</t>
  </si>
  <si>
    <t>Office Code (DC=0 or MX)</t>
  </si>
  <si>
    <t>Subcontract Code</t>
  </si>
  <si>
    <t>CATEGORY</t>
  </si>
  <si>
    <t>UNIT</t>
  </si>
  <si>
    <t># of Units</t>
  </si>
  <si>
    <t>RATE / UNIT</t>
  </si>
  <si>
    <t>YEAR 1</t>
  </si>
  <si>
    <t>YEAR 2</t>
  </si>
  <si>
    <t>YEAR 3</t>
  </si>
  <si>
    <t>YEAR 4</t>
  </si>
  <si>
    <t>YEAR 5</t>
  </si>
  <si>
    <t>TOTAL COST 
SHARING</t>
  </si>
  <si>
    <t>Key Personnel</t>
  </si>
  <si>
    <t>PERSNL-PD</t>
  </si>
  <si>
    <t>MEX</t>
  </si>
  <si>
    <t>Project Director (100%)</t>
  </si>
  <si>
    <t>Salaries</t>
  </si>
  <si>
    <t>Month</t>
  </si>
  <si>
    <t>PERSNL-M&amp;E</t>
  </si>
  <si>
    <t>Monitoring and Evaluation (M&amp;E) Officer (100%)</t>
  </si>
  <si>
    <t>Other Professional Personnel</t>
  </si>
  <si>
    <t>PERSNL-CBS</t>
  </si>
  <si>
    <t>Capacity Building Specialist (100%)</t>
  </si>
  <si>
    <t>PERSNL-COM</t>
  </si>
  <si>
    <t>Communications Specialist (100%)</t>
  </si>
  <si>
    <t>PERSNL-F&amp;A</t>
  </si>
  <si>
    <t>Finance and Administration Manager (100%)</t>
  </si>
  <si>
    <t>Home Office Support</t>
  </si>
  <si>
    <t>PERSNL-PM</t>
  </si>
  <si>
    <t>Timesheets</t>
  </si>
  <si>
    <t>Project Manager (20%)</t>
  </si>
  <si>
    <t>PERSNL-PO</t>
  </si>
  <si>
    <t>Program Officer (50%)</t>
  </si>
  <si>
    <t xml:space="preserve">Subtotal </t>
  </si>
  <si>
    <t>Fringe Benefits</t>
  </si>
  <si>
    <t>FRINGE-MX</t>
  </si>
  <si>
    <t>Fringe benefits - Mexico Staff</t>
  </si>
  <si>
    <t>FRINGE</t>
  </si>
  <si>
    <t xml:space="preserve">Fringe benefits - Home Office Support </t>
  </si>
  <si>
    <t>Subtotal Direct Labor</t>
  </si>
  <si>
    <t>T1: Post-award Meeting with ILAB</t>
  </si>
  <si>
    <t>MX.T1.A</t>
  </si>
  <si>
    <t xml:space="preserve">Airfare - Mexico-DC </t>
  </si>
  <si>
    <t>Trip</t>
  </si>
  <si>
    <t>-</t>
  </si>
  <si>
    <t>MX.T1.B</t>
  </si>
  <si>
    <t>86030 (Lodging)/ 86050 (M&amp;IE)</t>
  </si>
  <si>
    <t>Lodging and M&amp;IE in DC</t>
  </si>
  <si>
    <t>Day</t>
  </si>
  <si>
    <t>MX.T1.C</t>
  </si>
  <si>
    <t>Local transportation in DC</t>
  </si>
  <si>
    <t>MX.T1.D</t>
  </si>
  <si>
    <t xml:space="preserve">U.S. Visa Fees </t>
  </si>
  <si>
    <t>T2: Field Personnel Annual Visits with ILAB</t>
  </si>
  <si>
    <t>MX.T2.A</t>
  </si>
  <si>
    <t>MX.T2.B</t>
  </si>
  <si>
    <t>MX.T2.C</t>
  </si>
  <si>
    <t>T3: Project Management Travel to Field</t>
  </si>
  <si>
    <t>MX.T3.A</t>
  </si>
  <si>
    <t>Airfare - DC-Mexico</t>
  </si>
  <si>
    <t>MX.T3.B</t>
  </si>
  <si>
    <t xml:space="preserve">Lodging and M&amp;IE </t>
  </si>
  <si>
    <t>MX.T3.C</t>
  </si>
  <si>
    <t xml:space="preserve">Local transportation </t>
  </si>
  <si>
    <t xml:space="preserve">T.4 Field-based Travel for Non-M&amp;E Activities </t>
  </si>
  <si>
    <t>MX.T4.A</t>
  </si>
  <si>
    <t>Lodging and M&amp;IE</t>
  </si>
  <si>
    <t>MX.T4.B</t>
  </si>
  <si>
    <t>Local transportation (ground transportation)</t>
  </si>
  <si>
    <t>MX.T4.C</t>
  </si>
  <si>
    <t>Local transportation (airfare)</t>
  </si>
  <si>
    <t>Subtotal Travel</t>
  </si>
  <si>
    <t>Project Office</t>
  </si>
  <si>
    <t>LAPTOP</t>
  </si>
  <si>
    <t>MEX/0</t>
  </si>
  <si>
    <t xml:space="preserve">Laptop computers &amp; software  </t>
  </si>
  <si>
    <t>Unit</t>
  </si>
  <si>
    <t>BANK FEES</t>
  </si>
  <si>
    <t>Banking and cash handling fees</t>
  </si>
  <si>
    <t>Supplies</t>
  </si>
  <si>
    <t>COURIER</t>
  </si>
  <si>
    <t xml:space="preserve">Courier fees/services </t>
  </si>
  <si>
    <t>Year</t>
  </si>
  <si>
    <t>RECRUIT</t>
  </si>
  <si>
    <t xml:space="preserve">Recruitment/Procurement Advertising </t>
  </si>
  <si>
    <t>SUPPLIES</t>
  </si>
  <si>
    <t>Office supplies</t>
  </si>
  <si>
    <t>RENT &amp; UT</t>
  </si>
  <si>
    <t>Coworking office space</t>
  </si>
  <si>
    <t>PROP&amp;LIAB</t>
  </si>
  <si>
    <t>Property and liability insurance</t>
  </si>
  <si>
    <t>LEGAL</t>
  </si>
  <si>
    <t>Legal fees</t>
  </si>
  <si>
    <t xml:space="preserve">Audits and Attestation Engagements </t>
  </si>
  <si>
    <t>AUDIT</t>
  </si>
  <si>
    <t>Audit costs (A-133)</t>
  </si>
  <si>
    <t>ATTESTENG</t>
  </si>
  <si>
    <t>Attestation Engagement</t>
  </si>
  <si>
    <t>Project-wide Web Fees</t>
  </si>
  <si>
    <t>SUBSCRIPT</t>
  </si>
  <si>
    <t>Timekeeping and expense reporting platform</t>
  </si>
  <si>
    <t>Zoom license</t>
  </si>
  <si>
    <t>Subtotal Supplies and Office Expenses</t>
  </si>
  <si>
    <t>Outcome 1: Increase understanding by workers, employers, and union leaders on how to utilize Mexico’s new labor systems to protect labor rights and effectively address labor disputes.</t>
  </si>
  <si>
    <t>Activities/Costs</t>
  </si>
  <si>
    <t>1.1 Sub-awards</t>
  </si>
  <si>
    <t>MX.1.1.A</t>
  </si>
  <si>
    <t>CFO</t>
  </si>
  <si>
    <t>1.1.1. Contractual: Sub-award to CFO</t>
  </si>
  <si>
    <t>Contractual</t>
  </si>
  <si>
    <t>MX.1.1.B</t>
  </si>
  <si>
    <t>CDM</t>
  </si>
  <si>
    <t>1.1.2. Contractual: Sub-award to CDM</t>
  </si>
  <si>
    <t>MX.1.1.C</t>
  </si>
  <si>
    <t>SAI</t>
  </si>
  <si>
    <t>1.1.3. Contractual: Sub-award to SAI</t>
  </si>
  <si>
    <t>1.2: Baseline Survey of Key Stakeholder Groups (Pre-Program)</t>
  </si>
  <si>
    <t>MX.1.2.A</t>
  </si>
  <si>
    <t>Local transportation for project staff to support Baseline Survey</t>
  </si>
  <si>
    <t>MX.1.2.B</t>
  </si>
  <si>
    <t>Translation of Baseline Survey</t>
  </si>
  <si>
    <t>Other</t>
  </si>
  <si>
    <t>Document</t>
  </si>
  <si>
    <t>MX.1.2.C</t>
  </si>
  <si>
    <t>Workshop to socialize results of Baseline Survey with key stakeholders</t>
  </si>
  <si>
    <t>Workshop</t>
  </si>
  <si>
    <t>1.3 Development of comprehensive STPS website for multiple audiences</t>
  </si>
  <si>
    <t>MX.1.3.A</t>
  </si>
  <si>
    <t>Technical assistance to develop comprehensive content for STPS website</t>
  </si>
  <si>
    <t>Deliverable</t>
  </si>
  <si>
    <t>MX.1.3.B</t>
  </si>
  <si>
    <t>Meetings with STPS to design content for website</t>
  </si>
  <si>
    <t>Meetings</t>
  </si>
  <si>
    <t>MX.1.3.C</t>
  </si>
  <si>
    <t>Local transportation for project staff to support STPS website development</t>
  </si>
  <si>
    <t>1.4 Mass and social media campaigns for workers and the general populace</t>
  </si>
  <si>
    <t>MX.1.4.A</t>
  </si>
  <si>
    <t>Consultant: Graphic design for mass and social media campaigns</t>
  </si>
  <si>
    <t>MX.1.4.B</t>
  </si>
  <si>
    <t>Consultant: Video production for mass media campaign</t>
  </si>
  <si>
    <t>MX.1.4.C</t>
  </si>
  <si>
    <t>Local transportation for project staff to support STPS Facebook development</t>
  </si>
  <si>
    <t>MX.1.4.D</t>
  </si>
  <si>
    <t>Capacity-building trainings for social media</t>
  </si>
  <si>
    <t>Trainings</t>
  </si>
  <si>
    <t>MX.1.4.E</t>
  </si>
  <si>
    <t>Lodging and M&amp;IE for project staff to support exchanges with CDM</t>
  </si>
  <si>
    <t>MX.1.4.F</t>
  </si>
  <si>
    <t>Local transportation for project staff to support exchanges with CDM</t>
  </si>
  <si>
    <t>MX.1.4.G</t>
  </si>
  <si>
    <t>Dissemination of radio campaigns</t>
  </si>
  <si>
    <t>Campaign</t>
  </si>
  <si>
    <t>MX.1.4.H</t>
  </si>
  <si>
    <t>Development of comic book for workers</t>
  </si>
  <si>
    <t>MX.1.4.I</t>
  </si>
  <si>
    <t>Dissemination of Know Your Rights posters and cards and other materials</t>
  </si>
  <si>
    <t>1.5 Public Forums for the public, workers, and union leaders</t>
  </si>
  <si>
    <t>MX.1.5.A</t>
  </si>
  <si>
    <t>Lodging and M&amp;IE for speakers of public forums</t>
  </si>
  <si>
    <t>MX.1.5.B</t>
  </si>
  <si>
    <t>Transportation for speakers of public forums</t>
  </si>
  <si>
    <t>MX.1.5.C</t>
  </si>
  <si>
    <t>Lodging and M&amp;IE for project staff to support public forums</t>
  </si>
  <si>
    <t>MX.1.5.D</t>
  </si>
  <si>
    <t>Transportation for project staff to support public forums</t>
  </si>
  <si>
    <t>MX.1.5.E</t>
  </si>
  <si>
    <t>Consultant: FESIIAAAN: implementation of 9 forums</t>
  </si>
  <si>
    <t>Lump sum</t>
  </si>
  <si>
    <t>MX.1.5.F</t>
  </si>
  <si>
    <t>Consultant: FAT: implementation of 21 public forums</t>
  </si>
  <si>
    <t>1.6 Educational Workshops for Workers and Union Leaders</t>
  </si>
  <si>
    <t>MX.1.6.A</t>
  </si>
  <si>
    <t>Outreach campaigns for existing workshops</t>
  </si>
  <si>
    <t>MX.1.6.B</t>
  </si>
  <si>
    <t>Consultant: Development of tailored modules and teaching materials for workshops</t>
  </si>
  <si>
    <t>MX.1.6.C</t>
  </si>
  <si>
    <t>Consultant: Assessment and development of confederation education programs</t>
  </si>
  <si>
    <t>MX.1.6.D</t>
  </si>
  <si>
    <t>Translation of outreach materials to native languages</t>
  </si>
  <si>
    <t>1.7 Trainings for union leadership</t>
  </si>
  <si>
    <t>MX.1.7.A</t>
  </si>
  <si>
    <t>Trainings on FOA and CBA guidelines for union leaders</t>
  </si>
  <si>
    <t>MX.1.7.B</t>
  </si>
  <si>
    <t>Material development and printing for trainings for union leaders</t>
  </si>
  <si>
    <t>MX.1.7.C</t>
  </si>
  <si>
    <t>Transportation for speakers</t>
  </si>
  <si>
    <t>Participant</t>
  </si>
  <si>
    <t>MX.1.7.D</t>
  </si>
  <si>
    <t>Meetings with STPS to expand training program</t>
  </si>
  <si>
    <t>MX.1.7.E</t>
  </si>
  <si>
    <t>Consultant: FAT: implementation of 16 trainings for union leaders</t>
  </si>
  <si>
    <t>1.8 Two-way messaging for employers</t>
  </si>
  <si>
    <t>MX.1.8.A</t>
  </si>
  <si>
    <t>Consultant: Viamo: Development and implementation of Two-way Mobile Messaging System</t>
  </si>
  <si>
    <t>1.9 On-Line Webinars for the Business Sector</t>
  </si>
  <si>
    <t>MX.1.9.A</t>
  </si>
  <si>
    <t>Material development for online use</t>
  </si>
  <si>
    <t>1.10 Two-Day In-Person Summits w/ STPS for Sectoral Business Associations</t>
  </si>
  <si>
    <t>MX.1.10.A</t>
  </si>
  <si>
    <t>Summits for targeted sectoral business associations</t>
  </si>
  <si>
    <t>Summits</t>
  </si>
  <si>
    <t>MX.1.10.B</t>
  </si>
  <si>
    <t>Material design and printing for summits</t>
  </si>
  <si>
    <t>MX.1.10.C</t>
  </si>
  <si>
    <t>Lodging and M&amp;IE for project staff to support summits</t>
  </si>
  <si>
    <t>MX.1.10.D</t>
  </si>
  <si>
    <t>Local transportation for project staff to support summits</t>
  </si>
  <si>
    <t>1.11 Exchanges on Best Practices for FOA and Gender</t>
  </si>
  <si>
    <t>MX.1.11.A</t>
  </si>
  <si>
    <t>Transportation for exchange participants</t>
  </si>
  <si>
    <t>MX.1.11.B</t>
  </si>
  <si>
    <t>Transportation for project staff to support exchanges</t>
  </si>
  <si>
    <t xml:space="preserve">1.12 Monitoring and Development of USMCA Cases </t>
  </si>
  <si>
    <t>MX.1.12.A</t>
  </si>
  <si>
    <t>Consultant: Development of document of cases</t>
  </si>
  <si>
    <t>Subtotal Outcome 1</t>
  </si>
  <si>
    <t>Outcome 2: Build the capacity of the federal and state level Secretariat of Labor and Social Welfare (Secretaría de Trabajo y Prevención Social or STPS) staff and constituents from key institutions to conduct outreach regarding labor rights and implementation of the labor reforms among target audiences.</t>
  </si>
  <si>
    <t>2.1 Sub-awards</t>
  </si>
  <si>
    <t>MX.2.1.C</t>
  </si>
  <si>
    <t>2.1.1. Contractual: Sub-award to SAI</t>
  </si>
  <si>
    <t>2.2 Initial communications capacity assessment of STPS &amp; peer institutions</t>
  </si>
  <si>
    <t>MX.2.2.A</t>
  </si>
  <si>
    <t>Consultant: Development of needs assessment of STPS and peer institutions</t>
  </si>
  <si>
    <t>MX.2.2.B</t>
  </si>
  <si>
    <t>Assessment tool chosen</t>
  </si>
  <si>
    <t>MX.2.2.C</t>
  </si>
  <si>
    <t>Meetings with STPS and peer institutions for development of needs assessment</t>
  </si>
  <si>
    <t>2.3 Construction of Capacity-Building Action Plans for STPS</t>
  </si>
  <si>
    <t>MX.2.3.A</t>
  </si>
  <si>
    <t>Consultant: Collaborate Up: Co-Creation Facilitator</t>
  </si>
  <si>
    <t>MX.2.3.B</t>
  </si>
  <si>
    <t>Meetings with STPS to develop capacity-building action plans</t>
  </si>
  <si>
    <t>2.4 Delivery of Capacity-Building Activities</t>
  </si>
  <si>
    <t>MX.2.4.A</t>
  </si>
  <si>
    <t>Capacity-building needs of STPS and peer institutions</t>
  </si>
  <si>
    <t>2.5 Communication and Media Outreach Technical Training Program</t>
  </si>
  <si>
    <t>MX.2.5.A</t>
  </si>
  <si>
    <t>Consultant: assessment of current and future needs for content generation</t>
  </si>
  <si>
    <t>MX.2.5.B</t>
  </si>
  <si>
    <t>Meetings to develop a work plan for the systematization of new content generation</t>
  </si>
  <si>
    <t>2.6 Strengthened Coordination across STPS and peers on communication planning</t>
  </si>
  <si>
    <t>MX.2.6.A</t>
  </si>
  <si>
    <t>Workshops on the development of progress reports</t>
  </si>
  <si>
    <t>Workshops</t>
  </si>
  <si>
    <t>MX.2.6.B</t>
  </si>
  <si>
    <t>Lodging and M&amp;IE for project staff</t>
  </si>
  <si>
    <t>MX.2.6.C</t>
  </si>
  <si>
    <t>Local transportation for project staff</t>
  </si>
  <si>
    <t>MX.2.6.D</t>
  </si>
  <si>
    <t>Meeting expenses with STPS and peer institutions</t>
  </si>
  <si>
    <t>Subtotal Outcome 2</t>
  </si>
  <si>
    <t>3: Monitoring, Evaluation, and Collection of Reliable Data</t>
  </si>
  <si>
    <t>3.1 Database Development</t>
  </si>
  <si>
    <t>MX.3.1.A</t>
  </si>
  <si>
    <t xml:space="preserve">Consultant fees </t>
  </si>
  <si>
    <t>3.2 Monitoring Guidelines Development</t>
  </si>
  <si>
    <t>MX.3.2.A</t>
  </si>
  <si>
    <t>Monitoring guidelines production and printing</t>
  </si>
  <si>
    <t xml:space="preserve">Document </t>
  </si>
  <si>
    <t>MX.3.2.B</t>
  </si>
  <si>
    <t xml:space="preserve">Monitoring guidelines training workshop </t>
  </si>
  <si>
    <t>3.3 Development of Performance Monitoring Plan</t>
  </si>
  <si>
    <t>MX.3.3.A</t>
  </si>
  <si>
    <t xml:space="preserve"> -      </t>
  </si>
  <si>
    <t>MX.3.3.B</t>
  </si>
  <si>
    <t>Document translation</t>
  </si>
  <si>
    <t>3.4 On-going M&amp;E Training</t>
  </si>
  <si>
    <t>MX.3.4.A</t>
  </si>
  <si>
    <t>On-going M&amp;E training workshops</t>
  </si>
  <si>
    <t>3.5 External Evaluations</t>
  </si>
  <si>
    <t>MX.3.5.A</t>
  </si>
  <si>
    <t>Interim Performance Evaluation</t>
  </si>
  <si>
    <t>Evaluation</t>
  </si>
  <si>
    <t>MX.3.5.B</t>
  </si>
  <si>
    <t>Final Performance Evaluation</t>
  </si>
  <si>
    <t>3.6 Collection of Reliable Data and Processing of Monitoring Data</t>
  </si>
  <si>
    <t>MX.3.6.A</t>
  </si>
  <si>
    <t>Lodging and M&amp;IE - Field verification and data collection visits</t>
  </si>
  <si>
    <t>M&amp;E</t>
  </si>
  <si>
    <t>MX.3.6.B</t>
  </si>
  <si>
    <t>Local transportation - Field verification and data collection visits</t>
  </si>
  <si>
    <t>MX.3.6.C</t>
  </si>
  <si>
    <t>82420 (Program supplies/ 85300 (Printing)</t>
  </si>
  <si>
    <t>Data collection materials and printing</t>
  </si>
  <si>
    <t>3.7 Sub-Awards</t>
  </si>
  <si>
    <t>MX.3.7.A</t>
  </si>
  <si>
    <t>3.7.1 Contractual: Sub-award with CFO</t>
  </si>
  <si>
    <t>MX.3.7.B</t>
  </si>
  <si>
    <t>3.7.2 Contractual: Sub-award with CDM</t>
  </si>
  <si>
    <t>MX.3.7.C</t>
  </si>
  <si>
    <t>3.7.3 Contractual: Sub-award with SAI</t>
  </si>
  <si>
    <t>Subtotal Monitoring, Evaluation, and Collection of Reliable Data</t>
  </si>
  <si>
    <t>IDC</t>
  </si>
  <si>
    <t xml:space="preserve">Total Indirect Costs (NICRA) </t>
  </si>
  <si>
    <t>Indirect Charges</t>
  </si>
  <si>
    <t>Name of Project: Mexico Awareness Raising Project</t>
  </si>
  <si>
    <t>CCL</t>
  </si>
  <si>
    <t>Name of Subawardee: Comité Fronterizo de Obreros (CFO)</t>
  </si>
  <si>
    <t>Subaward Budget</t>
  </si>
  <si>
    <t>Merit Based Increases for Field Staff</t>
  </si>
  <si>
    <t>Open1 Code</t>
  </si>
  <si>
    <t>RATE/ UNIT</t>
  </si>
  <si>
    <r>
      <t xml:space="preserve">YEAR </t>
    </r>
    <r>
      <rPr>
        <b/>
        <sz val="8"/>
        <rFont val="Arial"/>
        <family val="2"/>
      </rPr>
      <t>4</t>
    </r>
  </si>
  <si>
    <t>TOTAL CFO</t>
  </si>
  <si>
    <t>Percentage 95% to Outcome 1</t>
  </si>
  <si>
    <t>Percentage 5% to Outcome 3</t>
  </si>
  <si>
    <t>Personnel</t>
  </si>
  <si>
    <t>MX.1.1.A (Outcome 1)/ MX.3.7.A (M&amp;E)</t>
  </si>
  <si>
    <t>MX</t>
  </si>
  <si>
    <t>CFOPERSLLC</t>
  </si>
  <si>
    <t>Lead Coordinator for the Project (50%)</t>
  </si>
  <si>
    <t>CFOPERSLGC</t>
  </si>
  <si>
    <t>Gender Coordinator (50%)</t>
  </si>
  <si>
    <t>CFOPERSLAA</t>
  </si>
  <si>
    <t>Administrative Assistant (50%)</t>
  </si>
  <si>
    <t>CFOPERSLP1</t>
  </si>
  <si>
    <t>Promoter 1 (100%)</t>
  </si>
  <si>
    <t>CFOPERSLP2</t>
  </si>
  <si>
    <t>Promoter 2 (100%)</t>
  </si>
  <si>
    <t>CFOPERSLP3</t>
  </si>
  <si>
    <t>Promoter 3 (100%)</t>
  </si>
  <si>
    <t>CFOFRINGE</t>
  </si>
  <si>
    <t xml:space="preserve">Fringe benefits </t>
  </si>
  <si>
    <t>Fringe benefits</t>
  </si>
  <si>
    <t>T1. Meetings with POA in Mexico City</t>
  </si>
  <si>
    <t>CFOT1AIR</t>
  </si>
  <si>
    <t>Project Staff - Airfare</t>
  </si>
  <si>
    <t>CFOT1LODME</t>
  </si>
  <si>
    <t>Project Staff - Lodging and M&amp;IE</t>
  </si>
  <si>
    <t>CFOT1TRANS</t>
  </si>
  <si>
    <t>Project Staff - Ground Transportation</t>
  </si>
  <si>
    <t>CFOLAPTOP</t>
  </si>
  <si>
    <t>Laptops and software</t>
  </si>
  <si>
    <t>CFOPHONE</t>
  </si>
  <si>
    <t>Cellphone</t>
  </si>
  <si>
    <t>CFOPRINT</t>
  </si>
  <si>
    <t>Printer and copier</t>
  </si>
  <si>
    <t>Subtotal Supplies</t>
  </si>
  <si>
    <t>Office Expenses</t>
  </si>
  <si>
    <t>CFOBANKFEE</t>
  </si>
  <si>
    <t xml:space="preserve">Banking and cash handling fees </t>
  </si>
  <si>
    <t>CFOPOSTAGE</t>
  </si>
  <si>
    <t>Courier fees/services/postage</t>
  </si>
  <si>
    <t>CFOEMAIL</t>
  </si>
  <si>
    <t xml:space="preserve">Email/Internet </t>
  </si>
  <si>
    <t>CFORENT</t>
  </si>
  <si>
    <t>Office Rent</t>
  </si>
  <si>
    <t>CFOUTILITY</t>
  </si>
  <si>
    <t>Office Utilities</t>
  </si>
  <si>
    <t>CFOMAINT</t>
  </si>
  <si>
    <t xml:space="preserve">Equipment and office repairs and maintenance </t>
  </si>
  <si>
    <t>CFOTRANS</t>
  </si>
  <si>
    <t>Translation Costs</t>
  </si>
  <si>
    <t>Subtotal Office Expenses</t>
  </si>
  <si>
    <t>The above is only for percentage calculations for the below outcomes</t>
  </si>
  <si>
    <t>See above</t>
  </si>
  <si>
    <t>Personnel &amp; Fringe (95% of Direct Labor line item)</t>
  </si>
  <si>
    <t>Outcome1</t>
  </si>
  <si>
    <t>Travel 95%</t>
  </si>
  <si>
    <t>Supplies 95%</t>
  </si>
  <si>
    <t>Office Expenses 95%</t>
  </si>
  <si>
    <t>1.1.1.1 Educational Workshops for Workers and Union Leaders</t>
  </si>
  <si>
    <t>CFOGBVPROG</t>
  </si>
  <si>
    <t>Assessment and inclusion of gender-based violence at work within educational programs</t>
  </si>
  <si>
    <t>CFOGEMA</t>
  </si>
  <si>
    <t>Extension of GEMA to two additional states</t>
  </si>
  <si>
    <t>Program</t>
  </si>
  <si>
    <t>CFOGEMALOD</t>
  </si>
  <si>
    <t>Lodging and M&amp;IE for project staff to support GEMA extension</t>
  </si>
  <si>
    <t>CFOGEMATRN</t>
  </si>
  <si>
    <t>Transportation for project staff to support GEMA extension</t>
  </si>
  <si>
    <t>1.1.1.2 Exchanges on Best Practices for FOA and Gender</t>
  </si>
  <si>
    <t>CFOEXTRANS</t>
  </si>
  <si>
    <t>Local transportation for project staff to support exchanges</t>
  </si>
  <si>
    <t>CFOEXMATL</t>
  </si>
  <si>
    <t>Material design and printing for exchanges</t>
  </si>
  <si>
    <t>Direct Costs Total for Outcome 1</t>
  </si>
  <si>
    <t>CFOIDCCOST</t>
  </si>
  <si>
    <t>Total Indirect Costs (De Minimis 10%) for Outcome 1</t>
  </si>
  <si>
    <t>Personnel &amp; Fringe (5% of Direct Labor line item)</t>
  </si>
  <si>
    <t>Travel 5%</t>
  </si>
  <si>
    <t>Supplies 5%</t>
  </si>
  <si>
    <t>Office Expenses 5%</t>
  </si>
  <si>
    <t>3.7.1.1 Collection of Reliable Data and Processing of Monitoring Data</t>
  </si>
  <si>
    <t>CFOM&amp;ELOD</t>
  </si>
  <si>
    <t>CFOM&amp;ETRAN</t>
  </si>
  <si>
    <t>CFOM&amp;EMATL</t>
  </si>
  <si>
    <t>Direct Costs Total for Monitoring, Evaluation, and Collection of Reliable Data</t>
  </si>
  <si>
    <t>Total Indirect Costs (NICRA or De Minimis)  for M&amp;E and Collection of Reliable Data</t>
  </si>
  <si>
    <t>Name of Subawardee: Centro de los Derechos del Migrante (CDM)</t>
  </si>
  <si>
    <t>Merit Based Increases for Staff</t>
  </si>
  <si>
    <t>Account Code</t>
  </si>
  <si>
    <t>Country Code</t>
  </si>
  <si>
    <t>Office Code</t>
  </si>
  <si>
    <t>Sub Activity</t>
  </si>
  <si>
    <t>TOTAL CDM</t>
  </si>
  <si>
    <t>MX.1.1.B (Outcome 1) / MX.3.7.B (M&amp;E)</t>
  </si>
  <si>
    <t>CDMPERSCDC</t>
  </si>
  <si>
    <t>Communications Director/Coordinator (100%)</t>
  </si>
  <si>
    <t>CDMPERSSMS</t>
  </si>
  <si>
    <t>Social Media Strategist (100%)</t>
  </si>
  <si>
    <t>CDMPERSAA</t>
  </si>
  <si>
    <t>Administration Assistant (100%)</t>
  </si>
  <si>
    <t>CDMPERSPM</t>
  </si>
  <si>
    <t>Partnerships Manager (50%)</t>
  </si>
  <si>
    <t>CDMFRINGE</t>
  </si>
  <si>
    <t>T1. Meetings with POA</t>
  </si>
  <si>
    <t>CDMGROUND</t>
  </si>
  <si>
    <t>Supplies - Under $5,000 USD</t>
  </si>
  <si>
    <t>CDMLAPTOP</t>
  </si>
  <si>
    <t>Device</t>
  </si>
  <si>
    <t>CDMPHONE</t>
  </si>
  <si>
    <t>CDMSUPPLY</t>
  </si>
  <si>
    <t>Office Supplies</t>
  </si>
  <si>
    <t>CDMBANKFEE</t>
  </si>
  <si>
    <t>CDMPOSTAGE</t>
  </si>
  <si>
    <t>CDMADVERT</t>
  </si>
  <si>
    <t>Recruitment/Procurement Advertising</t>
  </si>
  <si>
    <t>CDMEMAIL</t>
  </si>
  <si>
    <t>CDMCELL</t>
  </si>
  <si>
    <t>Cellphone plan</t>
  </si>
  <si>
    <t>CDMRENT</t>
  </si>
  <si>
    <t>CDMMAINT</t>
  </si>
  <si>
    <t>See breakdown column X, Y</t>
  </si>
  <si>
    <t>1.1.1.2 Mass and social media campaigns for workers and the general populace</t>
  </si>
  <si>
    <t>CDMTRANSTP</t>
  </si>
  <si>
    <t>Local transportation to support STPS Facebook development</t>
  </si>
  <si>
    <t>CDMDESIGN</t>
  </si>
  <si>
    <t>Graphic design and material development for STPS Facebook</t>
  </si>
  <si>
    <t>CDMCONSULT</t>
  </si>
  <si>
    <t>Consultant: Mexican Lawyer to inform materials being developed</t>
  </si>
  <si>
    <t>CDMCONTDEV</t>
  </si>
  <si>
    <t>Content development and diffusion trainings with unions, confederations, and labor rights NGOs</t>
  </si>
  <si>
    <t>CDMMATLDES</t>
  </si>
  <si>
    <t>Material design and printing for trainings with unions, confederations, and labor rights NGOs</t>
  </si>
  <si>
    <t>CDMSUPPTRA</t>
  </si>
  <si>
    <t>Transportation for project staff to support trainings</t>
  </si>
  <si>
    <t>CDMLODGING</t>
  </si>
  <si>
    <t>Lodging and M&amp;IE for project staff to support trainings</t>
  </si>
  <si>
    <t>CDMKNOWRIG</t>
  </si>
  <si>
    <t>Design of Know Your Rights posters and cards for workers</t>
  </si>
  <si>
    <t>CDMDISSEM</t>
  </si>
  <si>
    <t>Dissemination campaign for Know Your Rights posters and cards within their network</t>
  </si>
  <si>
    <t>CDMPRINT</t>
  </si>
  <si>
    <t>Printing of Know Your Rights posters and cards for dissemination within their network</t>
  </si>
  <si>
    <t>CDMTRANSL</t>
  </si>
  <si>
    <t>Translation costs</t>
  </si>
  <si>
    <t>CDMIDCCOST</t>
  </si>
  <si>
    <t>3.7.2.1 Collection of Reliable Data and Processing of Monitoring Data</t>
  </si>
  <si>
    <t>CDMM&amp;ELOD</t>
  </si>
  <si>
    <t>CDMM&amp;ETRAN</t>
  </si>
  <si>
    <t>CDMM&amp;EMATL</t>
  </si>
  <si>
    <t>Name of Subawardee: Social Accountability International (SAI)</t>
  </si>
  <si>
    <t>TOTALSAI</t>
  </si>
  <si>
    <t>Percentage 60% to Outcome 1</t>
  </si>
  <si>
    <t>Percentage 35% to Outcome 2</t>
  </si>
  <si>
    <t>Field Personnel</t>
  </si>
  <si>
    <t>Assessor, Trainer &amp; Facilitator 1</t>
  </si>
  <si>
    <t>Assessor, Trainer &amp; Facilitator 2</t>
  </si>
  <si>
    <t>Assessor, Trainer &amp; Facilitator 3</t>
  </si>
  <si>
    <t>Assessor, Trainer &amp; Facilitator 4</t>
  </si>
  <si>
    <t>HQ Personnel</t>
  </si>
  <si>
    <t>Senior Director, Innovations and Capacity Building</t>
  </si>
  <si>
    <t>Associate Director, Innovations and Partnerships</t>
  </si>
  <si>
    <t>Manager, Policy &amp; Stakeholder Engagement</t>
  </si>
  <si>
    <t>Manager, Communications &amp; Marketing</t>
  </si>
  <si>
    <t>Fringe benefits HQ Support</t>
  </si>
  <si>
    <t>T1. Meetings with Partners and USDOL</t>
  </si>
  <si>
    <t>HQ Staff - Train NYC&lt;&gt;DC</t>
  </si>
  <si>
    <t>HQ Staff - Lodging in DC</t>
  </si>
  <si>
    <t>HQ Staff - Local Transportation in DC</t>
  </si>
  <si>
    <t>HQ Staff - M&amp;IE in DC</t>
  </si>
  <si>
    <t>T2. HQ Trips to Mexico</t>
  </si>
  <si>
    <t>Airfare for: NYC&lt;&gt;Mexico City</t>
  </si>
  <si>
    <t>Airfare within Mexico</t>
  </si>
  <si>
    <t>Transportation (to and from home airports)</t>
  </si>
  <si>
    <t>Local transportation</t>
  </si>
  <si>
    <t>T3. Field Personnel Trips in Mexico</t>
  </si>
  <si>
    <t>Desktop computers, laptops and software</t>
  </si>
  <si>
    <t>Stationery/Printing Materials</t>
  </si>
  <si>
    <t>Teleconferencing/Videoconferencing</t>
  </si>
  <si>
    <t>Insurance</t>
  </si>
  <si>
    <t>Personnel &amp; Fringe (60% of Direct Labor line item)</t>
  </si>
  <si>
    <t>Travel 60%</t>
  </si>
  <si>
    <t>Supplies 60%</t>
  </si>
  <si>
    <t>Office Expenses 60%</t>
  </si>
  <si>
    <t>1.1.3.1 Baseline Survey of Key Stakeholder Groups (Pre-Program)</t>
  </si>
  <si>
    <t>Workshops (focus groups)</t>
  </si>
  <si>
    <t>Workshop days</t>
  </si>
  <si>
    <t>Printing and materials</t>
  </si>
  <si>
    <t>Online surveys and data analysis subscription fees (monthly)</t>
  </si>
  <si>
    <t>Monthly</t>
  </si>
  <si>
    <t>Mobile and social media surveys</t>
  </si>
  <si>
    <t>Survey campaign</t>
  </si>
  <si>
    <t>Stipends for worker canvassers and participation incentives</t>
  </si>
  <si>
    <t>Person</t>
  </si>
  <si>
    <t>1.1.3.2 Mass and social media campaigns for workers and the general populace</t>
  </si>
  <si>
    <t>Stakeholder Focus Group workshops</t>
  </si>
  <si>
    <t>Printing and materials for Focus Group workshops</t>
  </si>
  <si>
    <t>Prototypes of videos, multi-media campaigns</t>
  </si>
  <si>
    <t>Portfolio by state</t>
  </si>
  <si>
    <t>Consultant: Multi-Media Specialist</t>
  </si>
  <si>
    <t>Contract</t>
  </si>
  <si>
    <t>1.1.3.3 On-Line Webinars for the Business Sector</t>
  </si>
  <si>
    <t>Short video and app development and editing fees (for online training)</t>
  </si>
  <si>
    <t>Online data analysis subscription fees (monthly)</t>
  </si>
  <si>
    <t>Mobile and social media engagement campaigns</t>
  </si>
  <si>
    <t>Online Training System</t>
  </si>
  <si>
    <t>Personnel &amp; Fringe (35% of Direct Labor line item)</t>
  </si>
  <si>
    <t>Outcome2</t>
  </si>
  <si>
    <t>Travel 35%</t>
  </si>
  <si>
    <t>Supplies 35%</t>
  </si>
  <si>
    <t>Office Expenses 35%</t>
  </si>
  <si>
    <t>2.1.1 Initial communications capacity assessment of STPS &amp; peer institutions</t>
  </si>
  <si>
    <t>Training and Stakeholder Consultation workshops</t>
  </si>
  <si>
    <t>2.1.2 Delivery of Capacity-Building Activities</t>
  </si>
  <si>
    <t>Short video and app development fees (training govt how to deploy)</t>
  </si>
  <si>
    <t>Social media subscription and campaign placement fees (training govt how to deploy)</t>
  </si>
  <si>
    <t>Data analysis and management portal (prototyping for govt)</t>
  </si>
  <si>
    <t>Direct Costs Total for Outcome 2</t>
  </si>
  <si>
    <t>Total Indirect Costs (De Minimis 10%) for Outcome 2</t>
  </si>
  <si>
    <t>3.7.3.1 Collection of Reliable Data and Processing of Monitoring Data</t>
  </si>
  <si>
    <t>Total Indirect Costs (De Minimis 10%)  for M&amp;E and Collection of Reliable Data</t>
  </si>
  <si>
    <t>Category</t>
  </si>
  <si>
    <t>TOTAL USDOL</t>
  </si>
  <si>
    <t xml:space="preserve">Equipment </t>
  </si>
  <si>
    <t>Other Direct Charges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</si>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</sst>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\ &quot;Bs&quot;_-;\-* #,##0.00\ &quot;Bs&quot;_-;_-* &quot;-&quot;??\ &quot;Bs&quot;_-;_-@_-"/>
    <numFmt numFmtId="166" formatCode="_-* #,##0.00\ _B_s_-;\-* #,##0.00\ _B_s_-;_-* &quot;-&quot;??\ _B_s_-;_-@_-"/>
    <numFmt numFmtId="167" formatCode="_-* #,##0\ _B_s_-;\-* #,##0\ _B_s_-;_-* &quot;-&quot;??\ _B_s_-;_-@_-"/>
    <numFmt numFmtId="168" formatCode="0.0%"/>
    <numFmt numFmtId="169" formatCode="_(&quot;$&quot;* #,##0_);_(&quot;$&quot;* \(#,##0\);_(&quot;$&quot;* &quot;-&quot;??_);_(@_)"/>
    <numFmt numFmtId="170" formatCode="_([$$-409]* #,##0_);_([$$-409]* \(#,##0\);_([$$-409]* &quot;-&quot;??_);_(@_)"/>
    <numFmt numFmtId="171" formatCode="_-* #,##0.000\ _B_s_-;\-* #,##0.000\ _B_s_-;_-* &quot;-&quot;??\ _B_s_-;_-@_-"/>
    <numFmt numFmtId="172" formatCode="_-&quot;$&quot;* #,##0_-;\-&quot;$&quot;* #,##0_-;_-&quot;$&quot;* &quot;-&quot;??_-;_-@_-"/>
    <numFmt numFmtId="173" formatCode="_-* #,##0.00\ _€_-;\-* #,##0.00\ _€_-;_-* &quot;-&quot;??\ _€_-;_-@_-"/>
    <numFmt numFmtId="174" formatCode="#,##0.00;[Red]#,##0.00"/>
    <numFmt numFmtId="175" formatCode="_-* #,##0\ _B_s_-;\-* #,##0\ _B_s_-;_-* &quot;-&quot;??\ _B_s_-;_-@"/>
    <numFmt numFmtId="176" formatCode="_(* #,##0_);_(* \(#,##0\);_(* &quot;-&quot;??_);_(@_)"/>
    <numFmt numFmtId="177" formatCode="_-* #,##0.0\ _B_s_-;\-* #,##0.0\ _B_s_-;_-* &quot;-&quot;??\ _B_s_-;_-@_-"/>
  </numFmts>
  <fonts count="4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indexed="8"/>
      <name val="Tahoma"/>
      <family val="2"/>
    </font>
    <font>
      <sz val="8"/>
      <color indexed="14"/>
      <name val="Tahoma"/>
      <family val="2"/>
    </font>
    <font>
      <b/>
      <sz val="8"/>
      <color indexed="62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Tahoma"/>
      <family val="2"/>
    </font>
    <font>
      <sz val="8"/>
      <color theme="0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sz val="10"/>
      <color rgb="FF000000"/>
      <name val="Arial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i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8"/>
      <color theme="1"/>
      <name val="Arial"/>
      <family val="2"/>
    </font>
    <font>
      <u val="singleAccounting"/>
      <sz val="8"/>
      <name val="Arial"/>
      <family val="2"/>
    </font>
    <font>
      <b/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96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2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5" borderId="0" applyNumberFormat="0" applyBorder="0" applyAlignment="0" applyProtection="0"/>
    <xf numFmtId="0" fontId="17" fillId="12" borderId="0" applyNumberFormat="0" applyBorder="0" applyAlignment="0" applyProtection="0"/>
    <xf numFmtId="0" fontId="17" fillId="6" borderId="0" applyNumberFormat="0" applyBorder="0" applyAlignment="0" applyProtection="0"/>
    <xf numFmtId="0" fontId="17" fillId="5" borderId="0" applyNumberFormat="0" applyBorder="0" applyAlignment="0" applyProtection="0"/>
    <xf numFmtId="0" fontId="17" fillId="13" borderId="0" applyNumberFormat="0" applyBorder="0" applyAlignment="0" applyProtection="0"/>
    <xf numFmtId="0" fontId="17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14" borderId="0" applyNumberFormat="0" applyBorder="0" applyAlignment="0" applyProtection="0"/>
    <xf numFmtId="0" fontId="18" fillId="6" borderId="0" applyNumberFormat="0" applyBorder="0" applyAlignment="0" applyProtection="0"/>
    <xf numFmtId="0" fontId="18" fillId="5" borderId="0" applyNumberFormat="0" applyBorder="0" applyAlignment="0" applyProtection="0"/>
    <xf numFmtId="0" fontId="18" fillId="15" borderId="0" applyNumberFormat="0" applyBorder="0" applyAlignment="0" applyProtection="0"/>
    <xf numFmtId="0" fontId="18" fillId="3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4" fillId="18" borderId="0" applyNumberFormat="0" applyBorder="0" applyAlignment="0" applyProtection="0"/>
    <xf numFmtId="0" fontId="19" fillId="2" borderId="20" applyNumberFormat="0" applyAlignment="0" applyProtection="0"/>
    <xf numFmtId="0" fontId="20" fillId="19" borderId="21" applyNumberFormat="0" applyAlignment="0" applyProtection="0"/>
    <xf numFmtId="166" fontId="1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73" fontId="1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1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20" borderId="0" applyNumberFormat="0" applyBorder="0" applyAlignment="0" applyProtection="0"/>
    <xf numFmtId="0" fontId="15" fillId="0" borderId="1" applyNumberFormat="0" applyFill="0" applyAlignment="0" applyProtection="0"/>
    <xf numFmtId="0" fontId="15" fillId="0" borderId="22" applyNumberFormat="0" applyFill="0" applyAlignment="0" applyProtection="0"/>
    <xf numFmtId="0" fontId="15" fillId="0" borderId="2" applyNumberFormat="0" applyFill="0" applyAlignment="0" applyProtection="0"/>
    <xf numFmtId="0" fontId="15" fillId="0" borderId="0" applyNumberFormat="0" applyFill="0" applyBorder="0" applyAlignment="0" applyProtection="0"/>
    <xf numFmtId="0" fontId="24" fillId="21" borderId="20" applyNumberFormat="0" applyAlignment="0" applyProtection="0"/>
    <xf numFmtId="0" fontId="25" fillId="0" borderId="23" applyNumberFormat="0" applyFill="0" applyAlignment="0" applyProtection="0"/>
    <xf numFmtId="174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6" fillId="22" borderId="0" applyNumberFormat="0" applyBorder="0" applyAlignment="0" applyProtection="0"/>
    <xf numFmtId="0" fontId="8" fillId="0" borderId="0"/>
    <xf numFmtId="0" fontId="6" fillId="0" borderId="0"/>
    <xf numFmtId="0" fontId="17" fillId="0" borderId="0"/>
    <xf numFmtId="3" fontId="2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21" fillId="0" borderId="0"/>
    <xf numFmtId="0" fontId="13" fillId="23" borderId="24" applyNumberFormat="0" applyFont="0" applyAlignment="0" applyProtection="0"/>
    <xf numFmtId="0" fontId="27" fillId="2" borderId="25" applyNumberFormat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8" fillId="0" borderId="3" applyNumberFormat="0" applyFill="0" applyAlignment="0" applyProtection="0"/>
    <xf numFmtId="0" fontId="29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327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3" fontId="2" fillId="0" borderId="0" xfId="0" applyNumberFormat="1" applyFont="1"/>
    <xf numFmtId="3" fontId="2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167" fontId="2" fillId="0" borderId="0" xfId="0" applyNumberFormat="1" applyFont="1" applyAlignment="1">
      <alignment horizontal="right" wrapText="1"/>
    </xf>
    <xf numFmtId="3" fontId="3" fillId="24" borderId="4" xfId="0" applyNumberFormat="1" applyFont="1" applyFill="1" applyBorder="1" applyAlignment="1">
      <alignment wrapText="1"/>
    </xf>
    <xf numFmtId="0" fontId="3" fillId="25" borderId="5" xfId="0" applyFont="1" applyFill="1" applyBorder="1" applyAlignment="1">
      <alignment wrapText="1"/>
    </xf>
    <xf numFmtId="3" fontId="2" fillId="26" borderId="0" xfId="0" applyNumberFormat="1" applyFont="1" applyFill="1"/>
    <xf numFmtId="0" fontId="2" fillId="0" borderId="0" xfId="0" applyFont="1" applyAlignment="1">
      <alignment horizontal="left" wrapText="1"/>
    </xf>
    <xf numFmtId="167" fontId="2" fillId="0" borderId="0" xfId="28" applyNumberFormat="1" applyFont="1" applyFill="1" applyBorder="1" applyAlignment="1"/>
    <xf numFmtId="0" fontId="3" fillId="25" borderId="4" xfId="0" applyFont="1" applyFill="1" applyBorder="1" applyAlignment="1">
      <alignment wrapText="1"/>
    </xf>
    <xf numFmtId="0" fontId="3" fillId="0" borderId="4" xfId="0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3" fontId="2" fillId="0" borderId="0" xfId="0" applyNumberFormat="1" applyFont="1" applyAlignment="1">
      <alignment horizontal="right" wrapText="1"/>
    </xf>
    <xf numFmtId="0" fontId="3" fillId="24" borderId="4" xfId="0" applyFont="1" applyFill="1" applyBorder="1" applyAlignment="1">
      <alignment wrapText="1"/>
    </xf>
    <xf numFmtId="170" fontId="3" fillId="24" borderId="4" xfId="0" applyNumberFormat="1" applyFont="1" applyFill="1" applyBorder="1" applyAlignment="1">
      <alignment horizontal="right" wrapText="1"/>
    </xf>
    <xf numFmtId="0" fontId="3" fillId="0" borderId="0" xfId="0" applyFont="1" applyAlignment="1">
      <alignment vertical="center" wrapText="1"/>
    </xf>
    <xf numFmtId="0" fontId="3" fillId="25" borderId="0" xfId="0" applyFont="1" applyFill="1"/>
    <xf numFmtId="0" fontId="30" fillId="0" borderId="0" xfId="0" applyFont="1"/>
    <xf numFmtId="10" fontId="3" fillId="0" borderId="0" xfId="0" applyNumberFormat="1" applyFont="1"/>
    <xf numFmtId="0" fontId="3" fillId="0" borderId="0" xfId="0" applyFont="1"/>
    <xf numFmtId="167" fontId="3" fillId="24" borderId="4" xfId="0" applyNumberFormat="1" applyFont="1" applyFill="1" applyBorder="1" applyAlignment="1">
      <alignment horizontal="right" wrapText="1"/>
    </xf>
    <xf numFmtId="10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24" borderId="4" xfId="0" applyFont="1" applyFill="1" applyBorder="1" applyAlignment="1">
      <alignment horizontal="right" wrapText="1"/>
    </xf>
    <xf numFmtId="3" fontId="3" fillId="24" borderId="4" xfId="0" applyNumberFormat="1" applyFont="1" applyFill="1" applyBorder="1" applyAlignment="1">
      <alignment horizontal="right" wrapText="1"/>
    </xf>
    <xf numFmtId="169" fontId="3" fillId="24" borderId="4" xfId="0" applyNumberFormat="1" applyFont="1" applyFill="1" applyBorder="1" applyAlignment="1">
      <alignment horizontal="right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24" borderId="4" xfId="0" applyFont="1" applyFill="1" applyBorder="1" applyAlignment="1">
      <alignment horizontal="left" wrapText="1"/>
    </xf>
    <xf numFmtId="170" fontId="2" fillId="0" borderId="0" xfId="0" applyNumberFormat="1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3" fontId="3" fillId="25" borderId="5" xfId="0" applyNumberFormat="1" applyFont="1" applyFill="1" applyBorder="1" applyAlignment="1">
      <alignment horizontal="right" wrapText="1"/>
    </xf>
    <xf numFmtId="0" fontId="3" fillId="27" borderId="0" xfId="0" applyFont="1" applyFill="1" applyAlignment="1">
      <alignment wrapText="1"/>
    </xf>
    <xf numFmtId="0" fontId="3" fillId="26" borderId="0" xfId="0" applyFont="1" applyFill="1" applyAlignment="1">
      <alignment wrapText="1"/>
    </xf>
    <xf numFmtId="3" fontId="3" fillId="26" borderId="0" xfId="0" applyNumberFormat="1" applyFont="1" applyFill="1" applyAlignment="1">
      <alignment wrapText="1"/>
    </xf>
    <xf numFmtId="0" fontId="3" fillId="27" borderId="0" xfId="0" applyFont="1" applyFill="1" applyAlignment="1">
      <alignment horizontal="left" vertical="top"/>
    </xf>
    <xf numFmtId="167" fontId="3" fillId="27" borderId="0" xfId="0" applyNumberFormat="1" applyFont="1" applyFill="1" applyAlignment="1">
      <alignment horizontal="right" wrapText="1"/>
    </xf>
    <xf numFmtId="167" fontId="2" fillId="27" borderId="0" xfId="0" applyNumberFormat="1" applyFont="1" applyFill="1" applyAlignment="1">
      <alignment horizontal="right" wrapText="1"/>
    </xf>
    <xf numFmtId="0" fontId="3" fillId="27" borderId="0" xfId="0" applyFont="1" applyFill="1" applyAlignment="1">
      <alignment horizontal="left" wrapText="1"/>
    </xf>
    <xf numFmtId="169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167" fontId="3" fillId="0" borderId="0" xfId="0" applyNumberFormat="1" applyFont="1" applyAlignment="1">
      <alignment horizontal="right" wrapText="1"/>
    </xf>
    <xf numFmtId="171" fontId="2" fillId="0" borderId="0" xfId="28" applyNumberFormat="1" applyFont="1" applyFill="1" applyBorder="1" applyAlignment="1"/>
    <xf numFmtId="167" fontId="2" fillId="0" borderId="0" xfId="0" applyNumberFormat="1" applyFont="1" applyAlignment="1">
      <alignment wrapText="1"/>
    </xf>
    <xf numFmtId="167" fontId="2" fillId="0" borderId="0" xfId="28" applyNumberFormat="1" applyFont="1" applyAlignment="1">
      <alignment wrapText="1"/>
    </xf>
    <xf numFmtId="0" fontId="3" fillId="28" borderId="0" xfId="0" applyFont="1" applyFill="1" applyAlignment="1">
      <alignment wrapText="1"/>
    </xf>
    <xf numFmtId="0" fontId="3" fillId="28" borderId="0" xfId="0" applyFont="1" applyFill="1" applyAlignment="1">
      <alignment horizontal="right" wrapText="1"/>
    </xf>
    <xf numFmtId="3" fontId="3" fillId="28" borderId="0" xfId="0" applyNumberFormat="1" applyFont="1" applyFill="1" applyAlignment="1">
      <alignment horizontal="right" wrapText="1"/>
    </xf>
    <xf numFmtId="170" fontId="3" fillId="28" borderId="0" xfId="0" applyNumberFormat="1" applyFont="1" applyFill="1" applyAlignment="1">
      <alignment horizontal="right" wrapText="1"/>
    </xf>
    <xf numFmtId="169" fontId="3" fillId="28" borderId="0" xfId="0" applyNumberFormat="1" applyFont="1" applyFill="1" applyAlignment="1">
      <alignment horizontal="right" wrapText="1"/>
    </xf>
    <xf numFmtId="3" fontId="3" fillId="0" borderId="4" xfId="0" applyNumberFormat="1" applyFont="1" applyBorder="1" applyAlignment="1">
      <alignment horizontal="center"/>
    </xf>
    <xf numFmtId="0" fontId="4" fillId="24" borderId="0" xfId="0" applyFont="1" applyFill="1" applyAlignment="1">
      <alignment horizontal="left" wrapText="1"/>
    </xf>
    <xf numFmtId="3" fontId="2" fillId="24" borderId="0" xfId="0" applyNumberFormat="1" applyFont="1" applyFill="1" applyAlignment="1">
      <alignment wrapText="1"/>
    </xf>
    <xf numFmtId="0" fontId="4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3" fontId="3" fillId="24" borderId="0" xfId="0" applyNumberFormat="1" applyFont="1" applyFill="1" applyAlignment="1">
      <alignment horizontal="right" wrapText="1"/>
    </xf>
    <xf numFmtId="170" fontId="3" fillId="24" borderId="0" xfId="0" applyNumberFormat="1" applyFont="1" applyFill="1" applyAlignment="1">
      <alignment horizontal="right" wrapText="1"/>
    </xf>
    <xf numFmtId="169" fontId="3" fillId="24" borderId="0" xfId="0" applyNumberFormat="1" applyFont="1" applyFill="1" applyAlignment="1">
      <alignment horizontal="right" wrapText="1"/>
    </xf>
    <xf numFmtId="0" fontId="3" fillId="26" borderId="0" xfId="0" applyFont="1" applyFill="1" applyAlignment="1">
      <alignment vertical="center" wrapText="1"/>
    </xf>
    <xf numFmtId="0" fontId="2" fillId="24" borderId="0" xfId="0" applyFont="1" applyFill="1" applyAlignment="1">
      <alignment wrapText="1"/>
    </xf>
    <xf numFmtId="0" fontId="2" fillId="24" borderId="0" xfId="0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right" wrapText="1"/>
    </xf>
    <xf numFmtId="10" fontId="2" fillId="0" borderId="0" xfId="280" applyNumberFormat="1" applyFont="1"/>
    <xf numFmtId="3" fontId="3" fillId="0" borderId="0" xfId="0" applyNumberFormat="1" applyFont="1" applyAlignment="1">
      <alignment vertical="center" wrapText="1"/>
    </xf>
    <xf numFmtId="0" fontId="3" fillId="24" borderId="0" xfId="0" applyFont="1" applyFill="1" applyAlignment="1">
      <alignment vertical="center" wrapText="1"/>
    </xf>
    <xf numFmtId="0" fontId="2" fillId="24" borderId="0" xfId="0" applyFont="1" applyFill="1" applyAlignment="1">
      <alignment horizontal="left" wrapText="1"/>
    </xf>
    <xf numFmtId="3" fontId="3" fillId="24" borderId="0" xfId="0" applyNumberFormat="1" applyFont="1" applyFill="1" applyAlignment="1">
      <alignment wrapText="1"/>
    </xf>
    <xf numFmtId="3" fontId="2" fillId="24" borderId="0" xfId="0" applyNumberFormat="1" applyFont="1" applyFill="1"/>
    <xf numFmtId="0" fontId="3" fillId="24" borderId="0" xfId="0" applyFont="1" applyFill="1"/>
    <xf numFmtId="0" fontId="3" fillId="24" borderId="0" xfId="0" applyFont="1" applyFill="1" applyAlignment="1">
      <alignment wrapText="1"/>
    </xf>
    <xf numFmtId="170" fontId="0" fillId="0" borderId="0" xfId="0" applyNumberFormat="1"/>
    <xf numFmtId="0" fontId="3" fillId="0" borderId="7" xfId="0" applyFont="1" applyBorder="1"/>
    <xf numFmtId="0" fontId="3" fillId="0" borderId="8" xfId="0" applyFont="1" applyBorder="1" applyAlignment="1">
      <alignment wrapText="1"/>
    </xf>
    <xf numFmtId="0" fontId="3" fillId="28" borderId="6" xfId="0" applyFont="1" applyFill="1" applyBorder="1" applyAlignment="1">
      <alignment vertical="center"/>
    </xf>
    <xf numFmtId="172" fontId="3" fillId="24" borderId="0" xfId="143" applyNumberFormat="1" applyFont="1" applyFill="1" applyAlignment="1">
      <alignment horizontal="left" vertical="top"/>
    </xf>
    <xf numFmtId="172" fontId="3" fillId="25" borderId="0" xfId="143" applyNumberFormat="1" applyFont="1" applyFill="1" applyAlignment="1">
      <alignment horizontal="left" vertical="top"/>
    </xf>
    <xf numFmtId="172" fontId="3" fillId="25" borderId="5" xfId="143" applyNumberFormat="1" applyFont="1" applyFill="1" applyBorder="1" applyAlignment="1">
      <alignment horizontal="left" vertical="top"/>
    </xf>
    <xf numFmtId="172" fontId="2" fillId="0" borderId="9" xfId="0" applyNumberFormat="1" applyFont="1" applyBorder="1"/>
    <xf numFmtId="172" fontId="2" fillId="0" borderId="10" xfId="0" applyNumberFormat="1" applyFont="1" applyBorder="1"/>
    <xf numFmtId="0" fontId="0" fillId="29" borderId="0" xfId="0" applyFill="1"/>
    <xf numFmtId="0" fontId="0" fillId="29" borderId="11" xfId="0" applyFill="1" applyBorder="1"/>
    <xf numFmtId="0" fontId="0" fillId="29" borderId="12" xfId="0" applyFill="1" applyBorder="1"/>
    <xf numFmtId="0" fontId="0" fillId="29" borderId="13" xfId="0" applyFill="1" applyBorder="1"/>
    <xf numFmtId="0" fontId="7" fillId="24" borderId="14" xfId="0" applyFont="1" applyFill="1" applyBorder="1"/>
    <xf numFmtId="0" fontId="7" fillId="24" borderId="15" xfId="0" applyFont="1" applyFill="1" applyBorder="1"/>
    <xf numFmtId="0" fontId="3" fillId="26" borderId="6" xfId="0" applyFont="1" applyFill="1" applyBorder="1" applyAlignment="1">
      <alignment vertical="top"/>
    </xf>
    <xf numFmtId="172" fontId="0" fillId="29" borderId="16" xfId="0" applyNumberFormat="1" applyFill="1" applyBorder="1"/>
    <xf numFmtId="172" fontId="0" fillId="29" borderId="17" xfId="0" applyNumberFormat="1" applyFill="1" applyBorder="1"/>
    <xf numFmtId="172" fontId="0" fillId="29" borderId="18" xfId="0" applyNumberFormat="1" applyFill="1" applyBorder="1"/>
    <xf numFmtId="0" fontId="7" fillId="29" borderId="19" xfId="0" applyFont="1" applyFill="1" applyBorder="1"/>
    <xf numFmtId="0" fontId="10" fillId="0" borderId="0" xfId="0" applyFont="1"/>
    <xf numFmtId="0" fontId="30" fillId="0" borderId="0" xfId="0" applyFont="1" applyAlignment="1">
      <alignment horizontal="left" wrapText="1"/>
    </xf>
    <xf numFmtId="167" fontId="30" fillId="0" borderId="0" xfId="0" applyNumberFormat="1" applyFont="1" applyAlignment="1">
      <alignment horizontal="right" wrapText="1"/>
    </xf>
    <xf numFmtId="0" fontId="4" fillId="24" borderId="0" xfId="0" applyFont="1" applyFill="1"/>
    <xf numFmtId="2" fontId="2" fillId="0" borderId="0" xfId="0" applyNumberFormat="1" applyFont="1" applyAlignment="1">
      <alignment horizontal="right" wrapText="1"/>
    </xf>
    <xf numFmtId="0" fontId="3" fillId="28" borderId="6" xfId="0" applyFont="1" applyFill="1" applyBorder="1" applyAlignment="1">
      <alignment horizontal="right" vertical="center" wrapText="1"/>
    </xf>
    <xf numFmtId="0" fontId="3" fillId="26" borderId="6" xfId="0" applyFont="1" applyFill="1" applyBorder="1" applyAlignment="1">
      <alignment horizontal="right" vertical="top" wrapText="1"/>
    </xf>
    <xf numFmtId="3" fontId="2" fillId="24" borderId="0" xfId="0" applyNumberFormat="1" applyFont="1" applyFill="1" applyAlignment="1">
      <alignment horizontal="right" wrapText="1"/>
    </xf>
    <xf numFmtId="3" fontId="2" fillId="26" borderId="0" xfId="0" applyNumberFormat="1" applyFont="1" applyFill="1" applyAlignment="1">
      <alignment horizontal="right" wrapText="1"/>
    </xf>
    <xf numFmtId="0" fontId="2" fillId="0" borderId="0" xfId="269" applyFont="1" applyAlignment="1">
      <alignment horizontal="left" wrapText="1"/>
    </xf>
    <xf numFmtId="0" fontId="2" fillId="24" borderId="0" xfId="0" applyFont="1" applyFill="1"/>
    <xf numFmtId="0" fontId="30" fillId="24" borderId="0" xfId="0" applyFont="1" applyFill="1"/>
    <xf numFmtId="0" fontId="2" fillId="24" borderId="0" xfId="0" applyFont="1" applyFill="1" applyAlignment="1">
      <alignment horizontal="left"/>
    </xf>
    <xf numFmtId="175" fontId="2" fillId="0" borderId="0" xfId="0" applyNumberFormat="1" applyFont="1" applyAlignment="1">
      <alignment horizontal="right" vertical="top" wrapText="1"/>
    </xf>
    <xf numFmtId="0" fontId="30" fillId="0" borderId="0" xfId="0" applyFont="1" applyAlignment="1">
      <alignment wrapText="1"/>
    </xf>
    <xf numFmtId="3" fontId="3" fillId="0" borderId="4" xfId="0" applyNumberFormat="1" applyFont="1" applyBorder="1" applyAlignment="1">
      <alignment horizontal="right" wrapText="1"/>
    </xf>
    <xf numFmtId="170" fontId="3" fillId="24" borderId="4" xfId="143" applyNumberFormat="1" applyFont="1" applyFill="1" applyBorder="1" applyAlignment="1">
      <alignment horizontal="right" wrapText="1"/>
    </xf>
    <xf numFmtId="167" fontId="3" fillId="24" borderId="0" xfId="0" applyNumberFormat="1" applyFont="1" applyFill="1" applyAlignment="1">
      <alignment horizontal="right" wrapText="1"/>
    </xf>
    <xf numFmtId="3" fontId="3" fillId="25" borderId="4" xfId="0" applyNumberFormat="1" applyFont="1" applyFill="1" applyBorder="1" applyAlignment="1">
      <alignment horizontal="right" wrapText="1"/>
    </xf>
    <xf numFmtId="170" fontId="3" fillId="25" borderId="4" xfId="0" applyNumberFormat="1" applyFont="1" applyFill="1" applyBorder="1" applyAlignment="1">
      <alignment horizontal="right" wrapText="1"/>
    </xf>
    <xf numFmtId="170" fontId="3" fillId="25" borderId="5" xfId="143" applyNumberFormat="1" applyFont="1" applyFill="1" applyBorder="1" applyAlignment="1">
      <alignment horizontal="right" wrapText="1"/>
    </xf>
    <xf numFmtId="169" fontId="3" fillId="25" borderId="0" xfId="143" applyNumberFormat="1" applyFont="1" applyFill="1" applyAlignment="1">
      <alignment horizontal="left" vertical="top"/>
    </xf>
    <xf numFmtId="0" fontId="3" fillId="24" borderId="0" xfId="0" applyFont="1" applyFill="1" applyAlignment="1">
      <alignment horizontal="left" wrapText="1"/>
    </xf>
    <xf numFmtId="0" fontId="3" fillId="24" borderId="0" xfId="0" applyFont="1" applyFill="1" applyAlignment="1">
      <alignment horizontal="left"/>
    </xf>
    <xf numFmtId="43" fontId="2" fillId="0" borderId="0" xfId="28" applyNumberFormat="1" applyFont="1" applyFill="1" applyBorder="1" applyAlignment="1"/>
    <xf numFmtId="176" fontId="2" fillId="0" borderId="0" xfId="0" applyNumberFormat="1" applyFont="1" applyAlignment="1">
      <alignment horizontal="right" wrapText="1"/>
    </xf>
    <xf numFmtId="0" fontId="9" fillId="26" borderId="6" xfId="0" applyFont="1" applyFill="1" applyBorder="1" applyAlignment="1">
      <alignment vertical="top"/>
    </xf>
    <xf numFmtId="0" fontId="3" fillId="24" borderId="0" xfId="0" applyFont="1" applyFill="1" applyAlignment="1">
      <alignment horizontal="left" vertical="top"/>
    </xf>
    <xf numFmtId="0" fontId="30" fillId="0" borderId="0" xfId="0" applyFont="1" applyAlignment="1">
      <alignment horizontal="left" vertical="top" wrapText="1"/>
    </xf>
    <xf numFmtId="0" fontId="30" fillId="0" borderId="0" xfId="269" applyFont="1" applyAlignment="1">
      <alignment horizontal="left" wrapText="1"/>
    </xf>
    <xf numFmtId="175" fontId="30" fillId="0" borderId="0" xfId="0" applyNumberFormat="1" applyFont="1" applyAlignment="1">
      <alignment horizontal="right" vertical="top" wrapText="1"/>
    </xf>
    <xf numFmtId="0" fontId="4" fillId="24" borderId="0" xfId="0" applyFont="1" applyFill="1" applyAlignment="1">
      <alignment horizontal="left" vertical="top" wrapText="1"/>
    </xf>
    <xf numFmtId="0" fontId="30" fillId="24" borderId="0" xfId="269" applyFont="1" applyFill="1" applyAlignment="1">
      <alignment horizontal="left" wrapText="1"/>
    </xf>
    <xf numFmtId="175" fontId="30" fillId="24" borderId="0" xfId="0" applyNumberFormat="1" applyFont="1" applyFill="1" applyAlignment="1">
      <alignment horizontal="right" vertical="top" wrapText="1"/>
    </xf>
    <xf numFmtId="0" fontId="2" fillId="24" borderId="0" xfId="269" applyFont="1" applyFill="1" applyAlignment="1">
      <alignment horizontal="left" wrapText="1"/>
    </xf>
    <xf numFmtId="175" fontId="2" fillId="24" borderId="0" xfId="0" applyNumberFormat="1" applyFont="1" applyFill="1" applyAlignment="1">
      <alignment horizontal="right" vertical="top" wrapText="1"/>
    </xf>
    <xf numFmtId="9" fontId="7" fillId="0" borderId="0" xfId="0" applyNumberFormat="1" applyFont="1" applyAlignment="1">
      <alignment vertical="center"/>
    </xf>
    <xf numFmtId="4" fontId="2" fillId="0" borderId="0" xfId="0" applyNumberFormat="1" applyFont="1" applyAlignment="1">
      <alignment wrapText="1"/>
    </xf>
    <xf numFmtId="10" fontId="2" fillId="0" borderId="0" xfId="280" applyNumberFormat="1" applyFont="1" applyFill="1" applyAlignment="1">
      <alignment horizontal="right" wrapText="1"/>
    </xf>
    <xf numFmtId="43" fontId="2" fillId="0" borderId="0" xfId="0" applyNumberFormat="1" applyFont="1"/>
    <xf numFmtId="1" fontId="2" fillId="0" borderId="0" xfId="0" applyNumberFormat="1" applyFont="1" applyAlignment="1">
      <alignment horizontal="right"/>
    </xf>
    <xf numFmtId="167" fontId="2" fillId="0" borderId="0" xfId="28" applyNumberFormat="1" applyFont="1" applyFill="1"/>
    <xf numFmtId="0" fontId="3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wrapText="1"/>
    </xf>
    <xf numFmtId="0" fontId="2" fillId="30" borderId="0" xfId="0" applyFont="1" applyFill="1" applyAlignment="1">
      <alignment horizontal="left" vertical="top" wrapText="1"/>
    </xf>
    <xf numFmtId="167" fontId="2" fillId="30" borderId="0" xfId="0" applyNumberFormat="1" applyFont="1" applyFill="1" applyAlignment="1">
      <alignment horizontal="right" wrapText="1"/>
    </xf>
    <xf numFmtId="10" fontId="2" fillId="0" borderId="0" xfId="280" applyNumberFormat="1" applyFont="1" applyFill="1"/>
    <xf numFmtId="2" fontId="2" fillId="0" borderId="0" xfId="0" applyNumberFormat="1" applyFont="1"/>
    <xf numFmtId="0" fontId="2" fillId="0" borderId="0" xfId="0" applyFont="1" applyAlignment="1">
      <alignment horizontal="center"/>
    </xf>
    <xf numFmtId="0" fontId="2" fillId="24" borderId="0" xfId="0" applyFont="1" applyFill="1" applyAlignment="1">
      <alignment horizontal="left" vertical="top"/>
    </xf>
    <xf numFmtId="0" fontId="35" fillId="0" borderId="0" xfId="0" applyFont="1"/>
    <xf numFmtId="0" fontId="37" fillId="0" borderId="0" xfId="0" applyFont="1" applyAlignment="1">
      <alignment horizontal="center" vertical="center" wrapText="1"/>
    </xf>
    <xf numFmtId="0" fontId="35" fillId="0" borderId="28" xfId="0" applyFont="1" applyBorder="1" applyAlignment="1">
      <alignment wrapText="1"/>
    </xf>
    <xf numFmtId="9" fontId="35" fillId="0" borderId="28" xfId="280" applyFont="1" applyBorder="1" applyAlignment="1">
      <alignment horizontal="center" wrapText="1"/>
    </xf>
    <xf numFmtId="167" fontId="37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wrapText="1"/>
    </xf>
    <xf numFmtId="3" fontId="35" fillId="0" borderId="0" xfId="0" applyNumberFormat="1" applyFont="1" applyAlignment="1">
      <alignment wrapText="1"/>
    </xf>
    <xf numFmtId="3" fontId="35" fillId="0" borderId="0" xfId="0" applyNumberFormat="1" applyFont="1"/>
    <xf numFmtId="3" fontId="35" fillId="0" borderId="0" xfId="0" applyNumberFormat="1" applyFont="1" applyAlignment="1">
      <alignment horizontal="center"/>
    </xf>
    <xf numFmtId="168" fontId="35" fillId="0" borderId="28" xfId="280" applyNumberFormat="1" applyFont="1" applyBorder="1" applyAlignment="1">
      <alignment horizontal="center" wrapText="1"/>
    </xf>
    <xf numFmtId="0" fontId="38" fillId="0" borderId="0" xfId="0" applyFont="1" applyAlignment="1">
      <alignment horizontal="center" vertical="center" wrapText="1"/>
    </xf>
    <xf numFmtId="9" fontId="35" fillId="0" borderId="28" xfId="280" applyFont="1" applyBorder="1" applyAlignment="1">
      <alignment wrapText="1"/>
    </xf>
    <xf numFmtId="3" fontId="39" fillId="0" borderId="0" xfId="0" applyNumberFormat="1" applyFont="1"/>
    <xf numFmtId="168" fontId="35" fillId="0" borderId="28" xfId="280" applyNumberFormat="1" applyFont="1" applyBorder="1" applyAlignment="1">
      <alignment wrapText="1"/>
    </xf>
    <xf numFmtId="0" fontId="4" fillId="32" borderId="0" xfId="0" applyFont="1" applyFill="1" applyAlignment="1">
      <alignment horizontal="left" wrapText="1"/>
    </xf>
    <xf numFmtId="0" fontId="4" fillId="24" borderId="0" xfId="0" applyFont="1" applyFill="1" applyAlignment="1">
      <alignment horizontal="left"/>
    </xf>
    <xf numFmtId="0" fontId="40" fillId="0" borderId="0" xfId="0" applyFont="1" applyAlignment="1">
      <alignment horizontal="left" wrapText="1"/>
    </xf>
    <xf numFmtId="0" fontId="3" fillId="0" borderId="0" xfId="269" applyFont="1" applyAlignment="1">
      <alignment horizontal="center" vertical="center"/>
    </xf>
    <xf numFmtId="0" fontId="3" fillId="0" borderId="0" xfId="269" applyFont="1"/>
    <xf numFmtId="0" fontId="2" fillId="0" borderId="0" xfId="269" applyFont="1"/>
    <xf numFmtId="6" fontId="3" fillId="0" borderId="0" xfId="269" applyNumberFormat="1" applyFont="1" applyAlignment="1">
      <alignment horizontal="center" vertical="center"/>
    </xf>
    <xf numFmtId="3" fontId="3" fillId="0" borderId="0" xfId="269" applyNumberFormat="1" applyFont="1" applyAlignment="1">
      <alignment horizontal="center" vertical="center" wrapText="1"/>
    </xf>
    <xf numFmtId="9" fontId="2" fillId="0" borderId="0" xfId="269" applyNumberFormat="1" applyFont="1"/>
    <xf numFmtId="43" fontId="2" fillId="0" borderId="0" xfId="31" applyNumberFormat="1" applyFont="1" applyFill="1" applyBorder="1" applyAlignment="1"/>
    <xf numFmtId="171" fontId="2" fillId="0" borderId="0" xfId="31" applyNumberFormat="1" applyFont="1" applyFill="1" applyBorder="1" applyAlignment="1"/>
    <xf numFmtId="167" fontId="2" fillId="0" borderId="0" xfId="31" applyNumberFormat="1" applyFont="1" applyFill="1" applyBorder="1" applyAlignment="1"/>
    <xf numFmtId="0" fontId="2" fillId="0" borderId="0" xfId="269" applyFont="1" applyAlignment="1">
      <alignment wrapText="1"/>
    </xf>
    <xf numFmtId="169" fontId="2" fillId="0" borderId="0" xfId="269" applyNumberFormat="1" applyFont="1"/>
    <xf numFmtId="3" fontId="2" fillId="0" borderId="0" xfId="269" applyNumberFormat="1" applyFont="1" applyAlignment="1">
      <alignment wrapText="1"/>
    </xf>
    <xf numFmtId="170" fontId="3" fillId="24" borderId="0" xfId="146" applyNumberFormat="1" applyFont="1" applyFill="1" applyBorder="1" applyAlignment="1">
      <alignment horizontal="right" wrapText="1"/>
    </xf>
    <xf numFmtId="44" fontId="2" fillId="0" borderId="0" xfId="269" applyNumberFormat="1" applyFont="1"/>
    <xf numFmtId="170" fontId="2" fillId="0" borderId="0" xfId="269" applyNumberFormat="1" applyFont="1"/>
    <xf numFmtId="10" fontId="2" fillId="0" borderId="0" xfId="282" applyNumberFormat="1" applyFont="1" applyFill="1"/>
    <xf numFmtId="3" fontId="2" fillId="0" borderId="0" xfId="269" applyNumberFormat="1" applyFont="1"/>
    <xf numFmtId="0" fontId="3" fillId="26" borderId="0" xfId="269" applyFont="1" applyFill="1" applyAlignment="1">
      <alignment vertical="center" wrapText="1"/>
    </xf>
    <xf numFmtId="0" fontId="3" fillId="26" borderId="0" xfId="269" applyFont="1" applyFill="1" applyAlignment="1">
      <alignment wrapText="1"/>
    </xf>
    <xf numFmtId="3" fontId="3" fillId="26" borderId="0" xfId="269" applyNumberFormat="1" applyFont="1" applyFill="1" applyAlignment="1">
      <alignment wrapText="1"/>
    </xf>
    <xf numFmtId="3" fontId="2" fillId="26" borderId="0" xfId="269" applyNumberFormat="1" applyFont="1" applyFill="1"/>
    <xf numFmtId="0" fontId="3" fillId="0" borderId="0" xfId="269" applyFont="1" applyAlignment="1">
      <alignment horizontal="left" wrapText="1"/>
    </xf>
    <xf numFmtId="0" fontId="3" fillId="0" borderId="0" xfId="269" applyFont="1" applyAlignment="1">
      <alignment horizontal="left"/>
    </xf>
    <xf numFmtId="3" fontId="3" fillId="0" borderId="0" xfId="269" applyNumberFormat="1" applyFont="1" applyAlignment="1">
      <alignment horizontal="right" wrapText="1"/>
    </xf>
    <xf numFmtId="3" fontId="2" fillId="0" borderId="0" xfId="269" applyNumberFormat="1" applyFont="1" applyAlignment="1">
      <alignment horizontal="right" wrapText="1"/>
    </xf>
    <xf numFmtId="0" fontId="2" fillId="0" borderId="0" xfId="269" applyFont="1" applyAlignment="1">
      <alignment horizontal="left"/>
    </xf>
    <xf numFmtId="43" fontId="3" fillId="0" borderId="0" xfId="269" applyNumberFormat="1" applyFont="1" applyAlignment="1">
      <alignment horizontal="right" wrapText="1"/>
    </xf>
    <xf numFmtId="167" fontId="3" fillId="0" borderId="0" xfId="269" applyNumberFormat="1" applyFont="1" applyAlignment="1">
      <alignment horizontal="right" wrapText="1"/>
    </xf>
    <xf numFmtId="167" fontId="2" fillId="0" borderId="0" xfId="269" applyNumberFormat="1" applyFont="1" applyAlignment="1">
      <alignment horizontal="right" wrapText="1"/>
    </xf>
    <xf numFmtId="10" fontId="2" fillId="0" borderId="0" xfId="269" applyNumberFormat="1" applyFont="1" applyAlignment="1">
      <alignment horizontal="right" wrapText="1"/>
    </xf>
    <xf numFmtId="0" fontId="2" fillId="0" borderId="0" xfId="269" applyFont="1" applyAlignment="1">
      <alignment horizontal="left" vertical="top"/>
    </xf>
    <xf numFmtId="0" fontId="3" fillId="28" borderId="0" xfId="269" applyFont="1" applyFill="1" applyAlignment="1">
      <alignment wrapText="1"/>
    </xf>
    <xf numFmtId="0" fontId="3" fillId="28" borderId="0" xfId="269" applyFont="1" applyFill="1" applyAlignment="1">
      <alignment horizontal="right" wrapText="1"/>
    </xf>
    <xf numFmtId="3" fontId="3" fillId="28" borderId="0" xfId="269" applyNumberFormat="1" applyFont="1" applyFill="1" applyAlignment="1">
      <alignment horizontal="right" wrapText="1"/>
    </xf>
    <xf numFmtId="170" fontId="3" fillId="28" borderId="0" xfId="269" applyNumberFormat="1" applyFont="1" applyFill="1" applyAlignment="1">
      <alignment horizontal="right" wrapText="1"/>
    </xf>
    <xf numFmtId="169" fontId="3" fillId="28" borderId="0" xfId="269" applyNumberFormat="1" applyFont="1" applyFill="1" applyAlignment="1">
      <alignment horizontal="right" wrapText="1"/>
    </xf>
    <xf numFmtId="0" fontId="2" fillId="24" borderId="0" xfId="269" applyFont="1" applyFill="1" applyAlignment="1">
      <alignment horizontal="left" vertical="top" wrapText="1"/>
    </xf>
    <xf numFmtId="3" fontId="2" fillId="24" borderId="0" xfId="269" applyNumberFormat="1" applyFont="1" applyFill="1" applyAlignment="1">
      <alignment horizontal="right" wrapText="1"/>
    </xf>
    <xf numFmtId="167" fontId="2" fillId="24" borderId="0" xfId="269" applyNumberFormat="1" applyFont="1" applyFill="1" applyAlignment="1">
      <alignment horizontal="right" wrapText="1"/>
    </xf>
    <xf numFmtId="0" fontId="2" fillId="0" borderId="0" xfId="269" applyFont="1" applyAlignment="1">
      <alignment horizontal="left" vertical="top" wrapText="1"/>
    </xf>
    <xf numFmtId="0" fontId="3" fillId="24" borderId="0" xfId="269" applyFont="1" applyFill="1" applyAlignment="1">
      <alignment horizontal="left" wrapText="1"/>
    </xf>
    <xf numFmtId="0" fontId="3" fillId="24" borderId="0" xfId="269" applyFont="1" applyFill="1" applyAlignment="1">
      <alignment wrapText="1"/>
    </xf>
    <xf numFmtId="3" fontId="3" fillId="24" borderId="0" xfId="269" applyNumberFormat="1" applyFont="1" applyFill="1" applyAlignment="1">
      <alignment wrapText="1"/>
    </xf>
    <xf numFmtId="170" fontId="3" fillId="24" borderId="0" xfId="269" applyNumberFormat="1" applyFont="1" applyFill="1" applyAlignment="1">
      <alignment horizontal="right" wrapText="1"/>
    </xf>
    <xf numFmtId="169" fontId="3" fillId="24" borderId="0" xfId="269" applyNumberFormat="1" applyFont="1" applyFill="1" applyAlignment="1">
      <alignment horizontal="right" wrapText="1"/>
    </xf>
    <xf numFmtId="0" fontId="3" fillId="30" borderId="0" xfId="269" applyFont="1" applyFill="1" applyAlignment="1">
      <alignment horizontal="left" wrapText="1"/>
    </xf>
    <xf numFmtId="0" fontId="2" fillId="30" borderId="0" xfId="269" applyFont="1" applyFill="1" applyAlignment="1">
      <alignment horizontal="left" wrapText="1"/>
    </xf>
    <xf numFmtId="0" fontId="2" fillId="30" borderId="0" xfId="269" applyFont="1" applyFill="1" applyAlignment="1">
      <alignment horizontal="left" vertical="top" wrapText="1"/>
    </xf>
    <xf numFmtId="3" fontId="2" fillId="30" borderId="0" xfId="269" applyNumberFormat="1" applyFont="1" applyFill="1" applyAlignment="1">
      <alignment horizontal="right" wrapText="1"/>
    </xf>
    <xf numFmtId="167" fontId="2" fillId="30" borderId="0" xfId="269" applyNumberFormat="1" applyFont="1" applyFill="1" applyAlignment="1">
      <alignment horizontal="right" wrapText="1"/>
    </xf>
    <xf numFmtId="10" fontId="2" fillId="0" borderId="0" xfId="282" applyNumberFormat="1" applyFont="1" applyFill="1" applyBorder="1" applyAlignment="1">
      <alignment horizontal="right" wrapText="1"/>
    </xf>
    <xf numFmtId="0" fontId="4" fillId="0" borderId="0" xfId="269" applyFont="1" applyAlignment="1">
      <alignment wrapText="1"/>
    </xf>
    <xf numFmtId="0" fontId="3" fillId="0" borderId="0" xfId="269" applyFont="1" applyAlignment="1">
      <alignment wrapText="1"/>
    </xf>
    <xf numFmtId="3" fontId="3" fillId="0" borderId="0" xfId="269" applyNumberFormat="1" applyFont="1" applyAlignment="1">
      <alignment wrapText="1"/>
    </xf>
    <xf numFmtId="169" fontId="2" fillId="0" borderId="0" xfId="269" applyNumberFormat="1" applyFont="1" applyAlignment="1">
      <alignment horizontal="right" wrapText="1"/>
    </xf>
    <xf numFmtId="0" fontId="30" fillId="0" borderId="0" xfId="269" applyFont="1"/>
    <xf numFmtId="10" fontId="3" fillId="0" borderId="0" xfId="269" applyNumberFormat="1" applyFont="1"/>
    <xf numFmtId="3" fontId="3" fillId="0" borderId="0" xfId="269" applyNumberFormat="1" applyFont="1"/>
    <xf numFmtId="170" fontId="2" fillId="0" borderId="0" xfId="269" applyNumberFormat="1" applyFont="1" applyAlignment="1">
      <alignment horizontal="right" wrapText="1"/>
    </xf>
    <xf numFmtId="2" fontId="2" fillId="0" borderId="0" xfId="269" applyNumberFormat="1" applyFont="1"/>
    <xf numFmtId="10" fontId="2" fillId="0" borderId="0" xfId="282" applyNumberFormat="1" applyFont="1" applyBorder="1"/>
    <xf numFmtId="0" fontId="5" fillId="0" borderId="0" xfId="269" applyFont="1" applyAlignment="1">
      <alignment wrapText="1"/>
    </xf>
    <xf numFmtId="167" fontId="2" fillId="0" borderId="0" xfId="269" applyNumberFormat="1" applyFont="1" applyAlignment="1">
      <alignment wrapText="1"/>
    </xf>
    <xf numFmtId="167" fontId="2" fillId="0" borderId="0" xfId="31" applyNumberFormat="1" applyFont="1" applyBorder="1" applyAlignment="1">
      <alignment wrapText="1"/>
    </xf>
    <xf numFmtId="0" fontId="3" fillId="0" borderId="0" xfId="269" applyFont="1" applyAlignment="1">
      <alignment horizontal="center" wrapText="1"/>
    </xf>
    <xf numFmtId="3" fontId="3" fillId="0" borderId="0" xfId="269" applyNumberFormat="1" applyFont="1" applyAlignment="1">
      <alignment horizontal="center" wrapText="1"/>
    </xf>
    <xf numFmtId="3" fontId="3" fillId="0" borderId="0" xfId="269" applyNumberFormat="1" applyFont="1" applyAlignment="1">
      <alignment horizontal="center"/>
    </xf>
    <xf numFmtId="0" fontId="3" fillId="24" borderId="0" xfId="269" applyFont="1" applyFill="1" applyAlignment="1">
      <alignment horizontal="right" wrapText="1"/>
    </xf>
    <xf numFmtId="3" fontId="3" fillId="24" borderId="0" xfId="269" applyNumberFormat="1" applyFont="1" applyFill="1" applyAlignment="1">
      <alignment horizontal="right" wrapText="1"/>
    </xf>
    <xf numFmtId="0" fontId="9" fillId="26" borderId="0" xfId="269" applyFont="1" applyFill="1" applyAlignment="1">
      <alignment vertical="top"/>
    </xf>
    <xf numFmtId="0" fontId="3" fillId="26" borderId="0" xfId="269" applyFont="1" applyFill="1" applyAlignment="1">
      <alignment vertical="top"/>
    </xf>
    <xf numFmtId="3" fontId="3" fillId="26" borderId="0" xfId="269" applyNumberFormat="1" applyFont="1" applyFill="1" applyAlignment="1">
      <alignment vertical="top"/>
    </xf>
    <xf numFmtId="167" fontId="3" fillId="24" borderId="0" xfId="269" applyNumberFormat="1" applyFont="1" applyFill="1" applyAlignment="1">
      <alignment horizontal="right" wrapText="1"/>
    </xf>
    <xf numFmtId="0" fontId="3" fillId="25" borderId="0" xfId="269" applyFont="1" applyFill="1" applyAlignment="1">
      <alignment wrapText="1"/>
    </xf>
    <xf numFmtId="3" fontId="3" fillId="25" borderId="0" xfId="269" applyNumberFormat="1" applyFont="1" applyFill="1" applyAlignment="1">
      <alignment wrapText="1"/>
    </xf>
    <xf numFmtId="3" fontId="3" fillId="25" borderId="0" xfId="269" applyNumberFormat="1" applyFont="1" applyFill="1" applyAlignment="1">
      <alignment horizontal="right" wrapText="1"/>
    </xf>
    <xf numFmtId="170" fontId="3" fillId="25" borderId="0" xfId="146" applyNumberFormat="1" applyFont="1" applyFill="1" applyBorder="1" applyAlignment="1">
      <alignment horizontal="right" wrapText="1"/>
    </xf>
    <xf numFmtId="0" fontId="4" fillId="24" borderId="0" xfId="269" applyFont="1" applyFill="1" applyAlignment="1">
      <alignment horizontal="left" wrapText="1"/>
    </xf>
    <xf numFmtId="0" fontId="2" fillId="24" borderId="0" xfId="269" applyFont="1" applyFill="1" applyAlignment="1">
      <alignment horizontal="left" vertical="top"/>
    </xf>
    <xf numFmtId="10" fontId="2" fillId="24" borderId="0" xfId="282" applyNumberFormat="1" applyFont="1" applyFill="1" applyBorder="1" applyAlignment="1">
      <alignment horizontal="right" wrapText="1"/>
    </xf>
    <xf numFmtId="170" fontId="2" fillId="0" borderId="0" xfId="0" applyNumberFormat="1" applyFont="1"/>
    <xf numFmtId="3" fontId="2" fillId="24" borderId="0" xfId="269" applyNumberFormat="1" applyFont="1" applyFill="1" applyAlignment="1">
      <alignment wrapText="1"/>
    </xf>
    <xf numFmtId="3" fontId="2" fillId="24" borderId="0" xfId="269" applyNumberFormat="1" applyFont="1" applyFill="1"/>
    <xf numFmtId="10" fontId="2" fillId="24" borderId="0" xfId="269" applyNumberFormat="1" applyFont="1" applyFill="1" applyAlignment="1">
      <alignment horizontal="right" wrapText="1"/>
    </xf>
    <xf numFmtId="0" fontId="41" fillId="24" borderId="0" xfId="269" applyFont="1" applyFill="1" applyAlignment="1">
      <alignment horizontal="left" wrapText="1"/>
    </xf>
    <xf numFmtId="0" fontId="41" fillId="24" borderId="0" xfId="269" applyFont="1" applyFill="1" applyAlignment="1">
      <alignment horizontal="left" vertical="top"/>
    </xf>
    <xf numFmtId="3" fontId="41" fillId="24" borderId="0" xfId="269" applyNumberFormat="1" applyFont="1" applyFill="1" applyAlignment="1">
      <alignment horizontal="right" wrapText="1"/>
    </xf>
    <xf numFmtId="167" fontId="41" fillId="24" borderId="0" xfId="269" applyNumberFormat="1" applyFont="1" applyFill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42" fillId="0" borderId="0" xfId="0" applyFont="1" applyAlignment="1">
      <alignment horizontal="left" vertical="center"/>
    </xf>
    <xf numFmtId="168" fontId="35" fillId="0" borderId="0" xfId="280" applyNumberFormat="1" applyFont="1" applyBorder="1" applyAlignment="1">
      <alignment horizontal="center" wrapText="1"/>
    </xf>
    <xf numFmtId="0" fontId="4" fillId="0" borderId="0" xfId="0" applyFont="1" applyAlignment="1">
      <alignment horizontal="left" wrapText="1"/>
    </xf>
    <xf numFmtId="0" fontId="31" fillId="0" borderId="4" xfId="0" applyFont="1" applyBorder="1" applyAlignment="1">
      <alignment horizontal="center" wrapText="1"/>
    </xf>
    <xf numFmtId="167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vertical="top"/>
    </xf>
    <xf numFmtId="0" fontId="3" fillId="26" borderId="6" xfId="0" applyFont="1" applyFill="1" applyBorder="1" applyAlignment="1">
      <alignment horizontal="left" vertical="top"/>
    </xf>
    <xf numFmtId="167" fontId="2" fillId="0" borderId="0" xfId="0" applyNumberFormat="1" applyFont="1" applyAlignment="1">
      <alignment horizontal="left" vertical="top" wrapText="1"/>
    </xf>
    <xf numFmtId="167" fontId="3" fillId="0" borderId="0" xfId="0" applyNumberFormat="1" applyFont="1" applyAlignment="1">
      <alignment horizontal="left" vertical="top" wrapText="1"/>
    </xf>
    <xf numFmtId="167" fontId="3" fillId="24" borderId="0" xfId="0" applyNumberFormat="1" applyFont="1" applyFill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170" fontId="3" fillId="24" borderId="4" xfId="0" applyNumberFormat="1" applyFont="1" applyFill="1" applyBorder="1" applyAlignment="1">
      <alignment horizontal="left" vertical="top" wrapText="1"/>
    </xf>
    <xf numFmtId="170" fontId="3" fillId="28" borderId="0" xfId="0" applyNumberFormat="1" applyFont="1" applyFill="1" applyAlignment="1">
      <alignment horizontal="left" vertical="top" wrapText="1"/>
    </xf>
    <xf numFmtId="167" fontId="2" fillId="24" borderId="0" xfId="0" applyNumberFormat="1" applyFont="1" applyFill="1" applyAlignment="1">
      <alignment horizontal="left" vertical="top" wrapText="1"/>
    </xf>
    <xf numFmtId="3" fontId="2" fillId="26" borderId="0" xfId="0" applyNumberFormat="1" applyFont="1" applyFill="1" applyAlignment="1">
      <alignment horizontal="left" vertical="top"/>
    </xf>
    <xf numFmtId="3" fontId="2" fillId="0" borderId="0" xfId="0" applyNumberFormat="1" applyFont="1" applyAlignment="1">
      <alignment horizontal="left" vertical="top"/>
    </xf>
    <xf numFmtId="170" fontId="3" fillId="24" borderId="4" xfId="143" applyNumberFormat="1" applyFont="1" applyFill="1" applyBorder="1" applyAlignment="1">
      <alignment horizontal="left" vertical="top" wrapText="1"/>
    </xf>
    <xf numFmtId="167" fontId="2" fillId="30" borderId="0" xfId="0" applyNumberFormat="1" applyFont="1" applyFill="1" applyAlignment="1">
      <alignment horizontal="left" vertical="top" wrapText="1"/>
    </xf>
    <xf numFmtId="169" fontId="3" fillId="24" borderId="4" xfId="0" applyNumberFormat="1" applyFont="1" applyFill="1" applyBorder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70" fontId="3" fillId="25" borderId="5" xfId="143" applyNumberFormat="1" applyFont="1" applyFill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33" borderId="0" xfId="0" applyFont="1" applyFill="1" applyAlignment="1">
      <alignment horizontal="center" vertical="center"/>
    </xf>
    <xf numFmtId="0" fontId="3" fillId="33" borderId="0" xfId="0" applyFont="1" applyFill="1"/>
    <xf numFmtId="6" fontId="3" fillId="33" borderId="0" xfId="0" applyNumberFormat="1" applyFont="1" applyFill="1" applyAlignment="1">
      <alignment horizontal="center" vertical="center"/>
    </xf>
    <xf numFmtId="0" fontId="2" fillId="33" borderId="0" xfId="0" applyFont="1" applyFill="1"/>
    <xf numFmtId="0" fontId="37" fillId="33" borderId="0" xfId="0" applyFont="1" applyFill="1" applyAlignment="1">
      <alignment horizontal="center" vertical="center" wrapText="1"/>
    </xf>
    <xf numFmtId="3" fontId="35" fillId="33" borderId="0" xfId="0" applyNumberFormat="1" applyFont="1" applyFill="1"/>
    <xf numFmtId="3" fontId="3" fillId="33" borderId="4" xfId="0" applyNumberFormat="1" applyFont="1" applyFill="1" applyBorder="1" applyAlignment="1">
      <alignment horizontal="center" wrapText="1"/>
    </xf>
    <xf numFmtId="0" fontId="32" fillId="33" borderId="0" xfId="0" applyFont="1" applyFill="1" applyAlignment="1">
      <alignment vertical="center"/>
    </xf>
    <xf numFmtId="176" fontId="2" fillId="33" borderId="0" xfId="0" applyNumberFormat="1" applyFont="1" applyFill="1" applyAlignment="1">
      <alignment horizontal="center"/>
    </xf>
    <xf numFmtId="167" fontId="2" fillId="33" borderId="0" xfId="0" applyNumberFormat="1" applyFont="1" applyFill="1" applyAlignment="1">
      <alignment horizontal="center" vertical="center"/>
    </xf>
    <xf numFmtId="167" fontId="2" fillId="33" borderId="0" xfId="28" applyNumberFormat="1" applyFont="1" applyFill="1" applyBorder="1" applyAlignment="1"/>
    <xf numFmtId="0" fontId="2" fillId="33" borderId="0" xfId="0" applyFont="1" applyFill="1" applyAlignment="1">
      <alignment wrapText="1"/>
    </xf>
    <xf numFmtId="4" fontId="2" fillId="33" borderId="0" xfId="0" applyNumberFormat="1" applyFont="1" applyFill="1" applyAlignment="1">
      <alignment wrapText="1"/>
    </xf>
    <xf numFmtId="3" fontId="3" fillId="33" borderId="0" xfId="0" applyNumberFormat="1" applyFont="1" applyFill="1" applyAlignment="1">
      <alignment horizontal="right"/>
    </xf>
    <xf numFmtId="169" fontId="2" fillId="33" borderId="0" xfId="0" applyNumberFormat="1" applyFont="1" applyFill="1"/>
    <xf numFmtId="3" fontId="3" fillId="33" borderId="0" xfId="0" applyNumberFormat="1" applyFont="1" applyFill="1"/>
    <xf numFmtId="170" fontId="2" fillId="33" borderId="0" xfId="0" applyNumberFormat="1" applyFont="1" applyFill="1"/>
    <xf numFmtId="3" fontId="2" fillId="33" borderId="0" xfId="0" applyNumberFormat="1" applyFont="1" applyFill="1" applyAlignment="1">
      <alignment wrapText="1"/>
    </xf>
    <xf numFmtId="0" fontId="40" fillId="0" borderId="0" xfId="0" applyFont="1" applyAlignment="1">
      <alignment horizontal="left" vertical="top" wrapText="1"/>
    </xf>
    <xf numFmtId="170" fontId="2" fillId="33" borderId="0" xfId="143" applyNumberFormat="1" applyFont="1" applyFill="1" applyAlignment="1">
      <alignment horizontal="center"/>
    </xf>
    <xf numFmtId="170" fontId="3" fillId="33" borderId="0" xfId="143" applyNumberFormat="1" applyFont="1" applyFill="1"/>
    <xf numFmtId="170" fontId="2" fillId="33" borderId="0" xfId="143" applyNumberFormat="1" applyFont="1" applyFill="1"/>
    <xf numFmtId="170" fontId="3" fillId="33" borderId="4" xfId="143" applyNumberFormat="1" applyFont="1" applyFill="1" applyBorder="1" applyAlignment="1">
      <alignment horizontal="center" wrapText="1"/>
    </xf>
    <xf numFmtId="170" fontId="32" fillId="33" borderId="0" xfId="143" applyNumberFormat="1" applyFont="1" applyFill="1" applyAlignment="1">
      <alignment vertical="center"/>
    </xf>
    <xf numFmtId="170" fontId="7" fillId="33" borderId="0" xfId="143" applyNumberFormat="1" applyFont="1" applyFill="1" applyAlignment="1">
      <alignment vertical="center"/>
    </xf>
    <xf numFmtId="170" fontId="2" fillId="33" borderId="0" xfId="143" applyNumberFormat="1" applyFont="1" applyFill="1" applyAlignment="1">
      <alignment horizontal="center" vertical="center"/>
    </xf>
    <xf numFmtId="170" fontId="2" fillId="33" borderId="0" xfId="143" applyNumberFormat="1" applyFont="1" applyFill="1" applyBorder="1" applyAlignment="1"/>
    <xf numFmtId="170" fontId="2" fillId="33" borderId="0" xfId="143" applyNumberFormat="1" applyFont="1" applyFill="1" applyAlignment="1">
      <alignment wrapText="1"/>
    </xf>
    <xf numFmtId="170" fontId="3" fillId="33" borderId="0" xfId="143" applyNumberFormat="1" applyFont="1" applyFill="1" applyAlignment="1">
      <alignment horizontal="right"/>
    </xf>
    <xf numFmtId="168" fontId="1" fillId="0" borderId="0" xfId="280" applyNumberFormat="1" applyFont="1" applyFill="1" applyBorder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9" fillId="26" borderId="6" xfId="0" applyFont="1" applyFill="1" applyBorder="1" applyAlignment="1">
      <alignment horizontal="left" vertical="top" wrapText="1"/>
    </xf>
    <xf numFmtId="0" fontId="36" fillId="0" borderId="27" xfId="0" applyFont="1" applyBorder="1" applyAlignment="1">
      <alignment horizontal="center" wrapText="1"/>
    </xf>
    <xf numFmtId="0" fontId="36" fillId="31" borderId="29" xfId="0" applyFont="1" applyFill="1" applyBorder="1" applyAlignment="1">
      <alignment horizontal="center" vertical="center" wrapText="1"/>
    </xf>
    <xf numFmtId="0" fontId="36" fillId="31" borderId="28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0" fontId="33" fillId="24" borderId="26" xfId="0" applyFont="1" applyFill="1" applyBorder="1" applyAlignment="1">
      <alignment horizontal="center" vertical="center" wrapText="1"/>
    </xf>
    <xf numFmtId="0" fontId="37" fillId="0" borderId="28" xfId="0" applyFont="1" applyBorder="1" applyAlignment="1">
      <alignment horizontal="center" wrapText="1"/>
    </xf>
    <xf numFmtId="0" fontId="9" fillId="26" borderId="0" xfId="269" applyFont="1" applyFill="1" applyAlignment="1">
      <alignment horizontal="left" vertical="top" wrapText="1"/>
    </xf>
    <xf numFmtId="0" fontId="31" fillId="0" borderId="0" xfId="269" applyFont="1" applyAlignment="1">
      <alignment horizontal="center" wrapText="1"/>
    </xf>
    <xf numFmtId="0" fontId="31" fillId="0" borderId="0" xfId="269" applyFont="1" applyAlignment="1">
      <alignment horizontal="center" vertical="center" wrapText="1"/>
    </xf>
    <xf numFmtId="3" fontId="31" fillId="0" borderId="0" xfId="269" applyNumberFormat="1" applyFont="1" applyAlignment="1">
      <alignment horizontal="center" vertical="center" wrapText="1"/>
    </xf>
    <xf numFmtId="0" fontId="33" fillId="24" borderId="29" xfId="269" applyFont="1" applyFill="1" applyBorder="1" applyAlignment="1">
      <alignment horizontal="center" vertical="center" wrapText="1"/>
    </xf>
    <xf numFmtId="0" fontId="33" fillId="24" borderId="30" xfId="269" applyFont="1" applyFill="1" applyBorder="1" applyAlignment="1">
      <alignment horizontal="center" vertical="center" wrapText="1"/>
    </xf>
    <xf numFmtId="0" fontId="33" fillId="24" borderId="31" xfId="269" applyFont="1" applyFill="1" applyBorder="1" applyAlignment="1">
      <alignment horizontal="center" vertical="center" wrapText="1"/>
    </xf>
  </cellXfs>
  <cellStyles count="296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Comma [0] 2" xfId="29" xr:uid="{00000000-0005-0000-0000-00001C000000}"/>
    <cellStyle name="Comma 10" xfId="30" xr:uid="{00000000-0005-0000-0000-00001D000000}"/>
    <cellStyle name="Comma 100" xfId="31" xr:uid="{00000000-0005-0000-0000-00001E000000}"/>
    <cellStyle name="Comma 101" xfId="32" xr:uid="{00000000-0005-0000-0000-00001F000000}"/>
    <cellStyle name="Comma 102" xfId="33" xr:uid="{00000000-0005-0000-0000-000020000000}"/>
    <cellStyle name="Comma 103" xfId="34" xr:uid="{00000000-0005-0000-0000-000021000000}"/>
    <cellStyle name="Comma 104" xfId="295" xr:uid="{6319D0A6-17D0-4861-9DE3-205F1E6FA71A}"/>
    <cellStyle name="Comma 11" xfId="35" xr:uid="{00000000-0005-0000-0000-000022000000}"/>
    <cellStyle name="Comma 12" xfId="36" xr:uid="{00000000-0005-0000-0000-000023000000}"/>
    <cellStyle name="Comma 13" xfId="37" xr:uid="{00000000-0005-0000-0000-000024000000}"/>
    <cellStyle name="Comma 14" xfId="38" xr:uid="{00000000-0005-0000-0000-000025000000}"/>
    <cellStyle name="Comma 15" xfId="39" xr:uid="{00000000-0005-0000-0000-000026000000}"/>
    <cellStyle name="Comma 16" xfId="40" xr:uid="{00000000-0005-0000-0000-000027000000}"/>
    <cellStyle name="Comma 17" xfId="41" xr:uid="{00000000-0005-0000-0000-000028000000}"/>
    <cellStyle name="Comma 18" xfId="42" xr:uid="{00000000-0005-0000-0000-000029000000}"/>
    <cellStyle name="Comma 19" xfId="43" xr:uid="{00000000-0005-0000-0000-00002A000000}"/>
    <cellStyle name="Comma 2" xfId="44" xr:uid="{00000000-0005-0000-0000-00002B000000}"/>
    <cellStyle name="Comma 2 2" xfId="45" xr:uid="{00000000-0005-0000-0000-00002C000000}"/>
    <cellStyle name="Comma 2 3" xfId="46" xr:uid="{00000000-0005-0000-0000-00002D000000}"/>
    <cellStyle name="Comma 20" xfId="47" xr:uid="{00000000-0005-0000-0000-00002E000000}"/>
    <cellStyle name="Comma 21" xfId="48" xr:uid="{00000000-0005-0000-0000-00002F000000}"/>
    <cellStyle name="Comma 22" xfId="49" xr:uid="{00000000-0005-0000-0000-000030000000}"/>
    <cellStyle name="Comma 23" xfId="50" xr:uid="{00000000-0005-0000-0000-000031000000}"/>
    <cellStyle name="Comma 24" xfId="51" xr:uid="{00000000-0005-0000-0000-000032000000}"/>
    <cellStyle name="Comma 25" xfId="52" xr:uid="{00000000-0005-0000-0000-000033000000}"/>
    <cellStyle name="Comma 26" xfId="53" xr:uid="{00000000-0005-0000-0000-000034000000}"/>
    <cellStyle name="Comma 27" xfId="54" xr:uid="{00000000-0005-0000-0000-000035000000}"/>
    <cellStyle name="Comma 28" xfId="55" xr:uid="{00000000-0005-0000-0000-000036000000}"/>
    <cellStyle name="Comma 29" xfId="56" xr:uid="{00000000-0005-0000-0000-000037000000}"/>
    <cellStyle name="Comma 3" xfId="57" xr:uid="{00000000-0005-0000-0000-000038000000}"/>
    <cellStyle name="Comma 3 2" xfId="58" xr:uid="{00000000-0005-0000-0000-000039000000}"/>
    <cellStyle name="Comma 3 3" xfId="59" xr:uid="{00000000-0005-0000-0000-00003A000000}"/>
    <cellStyle name="Comma 30" xfId="60" xr:uid="{00000000-0005-0000-0000-00003B000000}"/>
    <cellStyle name="Comma 31" xfId="61" xr:uid="{00000000-0005-0000-0000-00003C000000}"/>
    <cellStyle name="Comma 32" xfId="62" xr:uid="{00000000-0005-0000-0000-00003D000000}"/>
    <cellStyle name="Comma 33" xfId="63" xr:uid="{00000000-0005-0000-0000-00003E000000}"/>
    <cellStyle name="Comma 34" xfId="64" xr:uid="{00000000-0005-0000-0000-00003F000000}"/>
    <cellStyle name="Comma 35" xfId="65" xr:uid="{00000000-0005-0000-0000-000040000000}"/>
    <cellStyle name="Comma 36" xfId="66" xr:uid="{00000000-0005-0000-0000-000041000000}"/>
    <cellStyle name="Comma 37" xfId="67" xr:uid="{00000000-0005-0000-0000-000042000000}"/>
    <cellStyle name="Comma 38" xfId="68" xr:uid="{00000000-0005-0000-0000-000043000000}"/>
    <cellStyle name="Comma 39" xfId="69" xr:uid="{00000000-0005-0000-0000-000044000000}"/>
    <cellStyle name="Comma 4" xfId="70" xr:uid="{00000000-0005-0000-0000-000045000000}"/>
    <cellStyle name="Comma 4 2" xfId="71" xr:uid="{00000000-0005-0000-0000-000046000000}"/>
    <cellStyle name="Comma 40" xfId="72" xr:uid="{00000000-0005-0000-0000-000047000000}"/>
    <cellStyle name="Comma 41" xfId="73" xr:uid="{00000000-0005-0000-0000-000048000000}"/>
    <cellStyle name="Comma 42" xfId="74" xr:uid="{00000000-0005-0000-0000-000049000000}"/>
    <cellStyle name="Comma 43" xfId="75" xr:uid="{00000000-0005-0000-0000-00004A000000}"/>
    <cellStyle name="Comma 44" xfId="76" xr:uid="{00000000-0005-0000-0000-00004B000000}"/>
    <cellStyle name="Comma 45" xfId="77" xr:uid="{00000000-0005-0000-0000-00004C000000}"/>
    <cellStyle name="Comma 46" xfId="78" xr:uid="{00000000-0005-0000-0000-00004D000000}"/>
    <cellStyle name="Comma 47" xfId="79" xr:uid="{00000000-0005-0000-0000-00004E000000}"/>
    <cellStyle name="Comma 48" xfId="80" xr:uid="{00000000-0005-0000-0000-00004F000000}"/>
    <cellStyle name="Comma 49" xfId="81" xr:uid="{00000000-0005-0000-0000-000050000000}"/>
    <cellStyle name="Comma 5" xfId="82" xr:uid="{00000000-0005-0000-0000-000051000000}"/>
    <cellStyle name="Comma 5 2" xfId="83" xr:uid="{00000000-0005-0000-0000-000052000000}"/>
    <cellStyle name="Comma 50" xfId="84" xr:uid="{00000000-0005-0000-0000-000053000000}"/>
    <cellStyle name="Comma 51" xfId="85" xr:uid="{00000000-0005-0000-0000-000054000000}"/>
    <cellStyle name="Comma 52" xfId="86" xr:uid="{00000000-0005-0000-0000-000055000000}"/>
    <cellStyle name="Comma 53" xfId="87" xr:uid="{00000000-0005-0000-0000-000056000000}"/>
    <cellStyle name="Comma 54" xfId="88" xr:uid="{00000000-0005-0000-0000-000057000000}"/>
    <cellStyle name="Comma 54 2" xfId="89" xr:uid="{00000000-0005-0000-0000-000058000000}"/>
    <cellStyle name="Comma 55" xfId="90" xr:uid="{00000000-0005-0000-0000-000059000000}"/>
    <cellStyle name="Comma 56" xfId="91" xr:uid="{00000000-0005-0000-0000-00005A000000}"/>
    <cellStyle name="Comma 56 2" xfId="92" xr:uid="{00000000-0005-0000-0000-00005B000000}"/>
    <cellStyle name="Comma 56 3" xfId="93" xr:uid="{00000000-0005-0000-0000-00005C000000}"/>
    <cellStyle name="Comma 57" xfId="94" xr:uid="{00000000-0005-0000-0000-00005D000000}"/>
    <cellStyle name="Comma 58" xfId="95" xr:uid="{00000000-0005-0000-0000-00005E000000}"/>
    <cellStyle name="Comma 59" xfId="96" xr:uid="{00000000-0005-0000-0000-00005F000000}"/>
    <cellStyle name="Comma 6" xfId="97" xr:uid="{00000000-0005-0000-0000-000060000000}"/>
    <cellStyle name="Comma 60" xfId="98" xr:uid="{00000000-0005-0000-0000-000061000000}"/>
    <cellStyle name="Comma 61" xfId="99" xr:uid="{00000000-0005-0000-0000-000062000000}"/>
    <cellStyle name="Comma 62" xfId="100" xr:uid="{00000000-0005-0000-0000-000063000000}"/>
    <cellStyle name="Comma 63" xfId="101" xr:uid="{00000000-0005-0000-0000-000064000000}"/>
    <cellStyle name="Comma 64" xfId="102" xr:uid="{00000000-0005-0000-0000-000065000000}"/>
    <cellStyle name="Comma 65" xfId="103" xr:uid="{00000000-0005-0000-0000-000066000000}"/>
    <cellStyle name="Comma 66" xfId="104" xr:uid="{00000000-0005-0000-0000-000067000000}"/>
    <cellStyle name="Comma 67" xfId="105" xr:uid="{00000000-0005-0000-0000-000068000000}"/>
    <cellStyle name="Comma 68" xfId="106" xr:uid="{00000000-0005-0000-0000-000069000000}"/>
    <cellStyle name="Comma 69" xfId="107" xr:uid="{00000000-0005-0000-0000-00006A000000}"/>
    <cellStyle name="Comma 7" xfId="108" xr:uid="{00000000-0005-0000-0000-00006B000000}"/>
    <cellStyle name="Comma 70" xfId="109" xr:uid="{00000000-0005-0000-0000-00006C000000}"/>
    <cellStyle name="Comma 71" xfId="110" xr:uid="{00000000-0005-0000-0000-00006D000000}"/>
    <cellStyle name="Comma 72" xfId="111" xr:uid="{00000000-0005-0000-0000-00006E000000}"/>
    <cellStyle name="Comma 73" xfId="112" xr:uid="{00000000-0005-0000-0000-00006F000000}"/>
    <cellStyle name="Comma 74" xfId="113" xr:uid="{00000000-0005-0000-0000-000070000000}"/>
    <cellStyle name="Comma 75" xfId="114" xr:uid="{00000000-0005-0000-0000-000071000000}"/>
    <cellStyle name="Comma 76" xfId="115" xr:uid="{00000000-0005-0000-0000-000072000000}"/>
    <cellStyle name="Comma 77" xfId="116" xr:uid="{00000000-0005-0000-0000-000073000000}"/>
    <cellStyle name="Comma 78" xfId="117" xr:uid="{00000000-0005-0000-0000-000074000000}"/>
    <cellStyle name="Comma 79" xfId="118" xr:uid="{00000000-0005-0000-0000-000075000000}"/>
    <cellStyle name="Comma 8" xfId="119" xr:uid="{00000000-0005-0000-0000-000076000000}"/>
    <cellStyle name="Comma 80" xfId="120" xr:uid="{00000000-0005-0000-0000-000077000000}"/>
    <cellStyle name="Comma 81" xfId="121" xr:uid="{00000000-0005-0000-0000-000078000000}"/>
    <cellStyle name="Comma 82" xfId="122" xr:uid="{00000000-0005-0000-0000-000079000000}"/>
    <cellStyle name="Comma 83" xfId="123" xr:uid="{00000000-0005-0000-0000-00007A000000}"/>
    <cellStyle name="Comma 84" xfId="124" xr:uid="{00000000-0005-0000-0000-00007B000000}"/>
    <cellStyle name="Comma 85" xfId="125" xr:uid="{00000000-0005-0000-0000-00007C000000}"/>
    <cellStyle name="Comma 86" xfId="126" xr:uid="{00000000-0005-0000-0000-00007D000000}"/>
    <cellStyle name="Comma 87" xfId="127" xr:uid="{00000000-0005-0000-0000-00007E000000}"/>
    <cellStyle name="Comma 88" xfId="128" xr:uid="{00000000-0005-0000-0000-00007F000000}"/>
    <cellStyle name="Comma 89" xfId="129" xr:uid="{00000000-0005-0000-0000-000080000000}"/>
    <cellStyle name="Comma 9" xfId="130" xr:uid="{00000000-0005-0000-0000-000081000000}"/>
    <cellStyle name="Comma 90" xfId="131" xr:uid="{00000000-0005-0000-0000-000082000000}"/>
    <cellStyle name="Comma 91" xfId="132" xr:uid="{00000000-0005-0000-0000-000083000000}"/>
    <cellStyle name="Comma 92" xfId="133" xr:uid="{00000000-0005-0000-0000-000084000000}"/>
    <cellStyle name="Comma 93" xfId="134" xr:uid="{00000000-0005-0000-0000-000085000000}"/>
    <cellStyle name="Comma 94" xfId="135" xr:uid="{00000000-0005-0000-0000-000086000000}"/>
    <cellStyle name="Comma 95" xfId="136" xr:uid="{00000000-0005-0000-0000-000087000000}"/>
    <cellStyle name="Comma 96" xfId="137" xr:uid="{00000000-0005-0000-0000-000088000000}"/>
    <cellStyle name="Comma 96 2" xfId="138" xr:uid="{00000000-0005-0000-0000-000089000000}"/>
    <cellStyle name="Comma 96 3" xfId="139" xr:uid="{00000000-0005-0000-0000-00008A000000}"/>
    <cellStyle name="Comma 97" xfId="140" xr:uid="{00000000-0005-0000-0000-00008B000000}"/>
    <cellStyle name="Comma 98" xfId="141" xr:uid="{00000000-0005-0000-0000-00008C000000}"/>
    <cellStyle name="Comma 99" xfId="142" xr:uid="{00000000-0005-0000-0000-00008D000000}"/>
    <cellStyle name="Currency" xfId="143" builtinId="4"/>
    <cellStyle name="Currency [0] 2" xfId="144" xr:uid="{00000000-0005-0000-0000-00008F000000}"/>
    <cellStyle name="Currency 10" xfId="145" xr:uid="{00000000-0005-0000-0000-000090000000}"/>
    <cellStyle name="Currency 100" xfId="146" xr:uid="{00000000-0005-0000-0000-000091000000}"/>
    <cellStyle name="Currency 101" xfId="147" xr:uid="{00000000-0005-0000-0000-000092000000}"/>
    <cellStyle name="Currency 102" xfId="148" xr:uid="{00000000-0005-0000-0000-000093000000}"/>
    <cellStyle name="Currency 11" xfId="149" xr:uid="{00000000-0005-0000-0000-000094000000}"/>
    <cellStyle name="Currency 12" xfId="150" xr:uid="{00000000-0005-0000-0000-000095000000}"/>
    <cellStyle name="Currency 13" xfId="151" xr:uid="{00000000-0005-0000-0000-000096000000}"/>
    <cellStyle name="Currency 14" xfId="152" xr:uid="{00000000-0005-0000-0000-000097000000}"/>
    <cellStyle name="Currency 15" xfId="153" xr:uid="{00000000-0005-0000-0000-000098000000}"/>
    <cellStyle name="Currency 16" xfId="154" xr:uid="{00000000-0005-0000-0000-000099000000}"/>
    <cellStyle name="Currency 17" xfId="155" xr:uid="{00000000-0005-0000-0000-00009A000000}"/>
    <cellStyle name="Currency 18" xfId="156" xr:uid="{00000000-0005-0000-0000-00009B000000}"/>
    <cellStyle name="Currency 19" xfId="157" xr:uid="{00000000-0005-0000-0000-00009C000000}"/>
    <cellStyle name="Currency 2" xfId="158" xr:uid="{00000000-0005-0000-0000-00009D000000}"/>
    <cellStyle name="Currency 2 2" xfId="159" xr:uid="{00000000-0005-0000-0000-00009E000000}"/>
    <cellStyle name="Currency 2 3" xfId="160" xr:uid="{00000000-0005-0000-0000-00009F000000}"/>
    <cellStyle name="Currency 20" xfId="161" xr:uid="{00000000-0005-0000-0000-0000A0000000}"/>
    <cellStyle name="Currency 21" xfId="162" xr:uid="{00000000-0005-0000-0000-0000A1000000}"/>
    <cellStyle name="Currency 22" xfId="163" xr:uid="{00000000-0005-0000-0000-0000A2000000}"/>
    <cellStyle name="Currency 23" xfId="164" xr:uid="{00000000-0005-0000-0000-0000A3000000}"/>
    <cellStyle name="Currency 24" xfId="165" xr:uid="{00000000-0005-0000-0000-0000A4000000}"/>
    <cellStyle name="Currency 25" xfId="166" xr:uid="{00000000-0005-0000-0000-0000A5000000}"/>
    <cellStyle name="Currency 26" xfId="167" xr:uid="{00000000-0005-0000-0000-0000A6000000}"/>
    <cellStyle name="Currency 27" xfId="168" xr:uid="{00000000-0005-0000-0000-0000A7000000}"/>
    <cellStyle name="Currency 28" xfId="169" xr:uid="{00000000-0005-0000-0000-0000A8000000}"/>
    <cellStyle name="Currency 29" xfId="170" xr:uid="{00000000-0005-0000-0000-0000A9000000}"/>
    <cellStyle name="Currency 3" xfId="171" xr:uid="{00000000-0005-0000-0000-0000AA000000}"/>
    <cellStyle name="Currency 3 2" xfId="172" xr:uid="{00000000-0005-0000-0000-0000AB000000}"/>
    <cellStyle name="Currency 30" xfId="173" xr:uid="{00000000-0005-0000-0000-0000AC000000}"/>
    <cellStyle name="Currency 31" xfId="174" xr:uid="{00000000-0005-0000-0000-0000AD000000}"/>
    <cellStyle name="Currency 32" xfId="175" xr:uid="{00000000-0005-0000-0000-0000AE000000}"/>
    <cellStyle name="Currency 33" xfId="176" xr:uid="{00000000-0005-0000-0000-0000AF000000}"/>
    <cellStyle name="Currency 34" xfId="177" xr:uid="{00000000-0005-0000-0000-0000B0000000}"/>
    <cellStyle name="Currency 35" xfId="178" xr:uid="{00000000-0005-0000-0000-0000B1000000}"/>
    <cellStyle name="Currency 36" xfId="179" xr:uid="{00000000-0005-0000-0000-0000B2000000}"/>
    <cellStyle name="Currency 37" xfId="180" xr:uid="{00000000-0005-0000-0000-0000B3000000}"/>
    <cellStyle name="Currency 38" xfId="181" xr:uid="{00000000-0005-0000-0000-0000B4000000}"/>
    <cellStyle name="Currency 39" xfId="182" xr:uid="{00000000-0005-0000-0000-0000B5000000}"/>
    <cellStyle name="Currency 4" xfId="183" xr:uid="{00000000-0005-0000-0000-0000B6000000}"/>
    <cellStyle name="Currency 4 2" xfId="184" xr:uid="{00000000-0005-0000-0000-0000B7000000}"/>
    <cellStyle name="Currency 4 3" xfId="185" xr:uid="{00000000-0005-0000-0000-0000B8000000}"/>
    <cellStyle name="Currency 4 4" xfId="186" xr:uid="{00000000-0005-0000-0000-0000B9000000}"/>
    <cellStyle name="Currency 40" xfId="187" xr:uid="{00000000-0005-0000-0000-0000BA000000}"/>
    <cellStyle name="Currency 41" xfId="188" xr:uid="{00000000-0005-0000-0000-0000BB000000}"/>
    <cellStyle name="Currency 42" xfId="189" xr:uid="{00000000-0005-0000-0000-0000BC000000}"/>
    <cellStyle name="Currency 43" xfId="190" xr:uid="{00000000-0005-0000-0000-0000BD000000}"/>
    <cellStyle name="Currency 44" xfId="191" xr:uid="{00000000-0005-0000-0000-0000BE000000}"/>
    <cellStyle name="Currency 45" xfId="192" xr:uid="{00000000-0005-0000-0000-0000BF000000}"/>
    <cellStyle name="Currency 46" xfId="193" xr:uid="{00000000-0005-0000-0000-0000C0000000}"/>
    <cellStyle name="Currency 47" xfId="194" xr:uid="{00000000-0005-0000-0000-0000C1000000}"/>
    <cellStyle name="Currency 48" xfId="195" xr:uid="{00000000-0005-0000-0000-0000C2000000}"/>
    <cellStyle name="Currency 49" xfId="196" xr:uid="{00000000-0005-0000-0000-0000C3000000}"/>
    <cellStyle name="Currency 5" xfId="197" xr:uid="{00000000-0005-0000-0000-0000C4000000}"/>
    <cellStyle name="Currency 5 2" xfId="198" xr:uid="{00000000-0005-0000-0000-0000C5000000}"/>
    <cellStyle name="Currency 50" xfId="199" xr:uid="{00000000-0005-0000-0000-0000C6000000}"/>
    <cellStyle name="Currency 51" xfId="200" xr:uid="{00000000-0005-0000-0000-0000C7000000}"/>
    <cellStyle name="Currency 52" xfId="201" xr:uid="{00000000-0005-0000-0000-0000C8000000}"/>
    <cellStyle name="Currency 53" xfId="202" xr:uid="{00000000-0005-0000-0000-0000C9000000}"/>
    <cellStyle name="Currency 54" xfId="203" xr:uid="{00000000-0005-0000-0000-0000CA000000}"/>
    <cellStyle name="Currency 54 2" xfId="204" xr:uid="{00000000-0005-0000-0000-0000CB000000}"/>
    <cellStyle name="Currency 55" xfId="205" xr:uid="{00000000-0005-0000-0000-0000CC000000}"/>
    <cellStyle name="Currency 55 2" xfId="206" xr:uid="{00000000-0005-0000-0000-0000CD000000}"/>
    <cellStyle name="Currency 56" xfId="207" xr:uid="{00000000-0005-0000-0000-0000CE000000}"/>
    <cellStyle name="Currency 57" xfId="208" xr:uid="{00000000-0005-0000-0000-0000CF000000}"/>
    <cellStyle name="Currency 58" xfId="209" xr:uid="{00000000-0005-0000-0000-0000D0000000}"/>
    <cellStyle name="Currency 59" xfId="210" xr:uid="{00000000-0005-0000-0000-0000D1000000}"/>
    <cellStyle name="Currency 6" xfId="211" xr:uid="{00000000-0005-0000-0000-0000D2000000}"/>
    <cellStyle name="Currency 6 2" xfId="212" xr:uid="{00000000-0005-0000-0000-0000D3000000}"/>
    <cellStyle name="Currency 60" xfId="213" xr:uid="{00000000-0005-0000-0000-0000D4000000}"/>
    <cellStyle name="Currency 61" xfId="214" xr:uid="{00000000-0005-0000-0000-0000D5000000}"/>
    <cellStyle name="Currency 62" xfId="215" xr:uid="{00000000-0005-0000-0000-0000D6000000}"/>
    <cellStyle name="Currency 63" xfId="216" xr:uid="{00000000-0005-0000-0000-0000D7000000}"/>
    <cellStyle name="Currency 64" xfId="217" xr:uid="{00000000-0005-0000-0000-0000D8000000}"/>
    <cellStyle name="Currency 65" xfId="218" xr:uid="{00000000-0005-0000-0000-0000D9000000}"/>
    <cellStyle name="Currency 66" xfId="219" xr:uid="{00000000-0005-0000-0000-0000DA000000}"/>
    <cellStyle name="Currency 67" xfId="220" xr:uid="{00000000-0005-0000-0000-0000DB000000}"/>
    <cellStyle name="Currency 68" xfId="221" xr:uid="{00000000-0005-0000-0000-0000DC000000}"/>
    <cellStyle name="Currency 69" xfId="222" xr:uid="{00000000-0005-0000-0000-0000DD000000}"/>
    <cellStyle name="Currency 7" xfId="223" xr:uid="{00000000-0005-0000-0000-0000DE000000}"/>
    <cellStyle name="Currency 70" xfId="224" xr:uid="{00000000-0005-0000-0000-0000DF000000}"/>
    <cellStyle name="Currency 71" xfId="225" xr:uid="{00000000-0005-0000-0000-0000E0000000}"/>
    <cellStyle name="Currency 72" xfId="226" xr:uid="{00000000-0005-0000-0000-0000E1000000}"/>
    <cellStyle name="Currency 73" xfId="227" xr:uid="{00000000-0005-0000-0000-0000E2000000}"/>
    <cellStyle name="Currency 74" xfId="228" xr:uid="{00000000-0005-0000-0000-0000E3000000}"/>
    <cellStyle name="Currency 75" xfId="229" xr:uid="{00000000-0005-0000-0000-0000E4000000}"/>
    <cellStyle name="Currency 76" xfId="230" xr:uid="{00000000-0005-0000-0000-0000E5000000}"/>
    <cellStyle name="Currency 77" xfId="231" xr:uid="{00000000-0005-0000-0000-0000E6000000}"/>
    <cellStyle name="Currency 78" xfId="232" xr:uid="{00000000-0005-0000-0000-0000E7000000}"/>
    <cellStyle name="Currency 79" xfId="233" xr:uid="{00000000-0005-0000-0000-0000E8000000}"/>
    <cellStyle name="Currency 8" xfId="234" xr:uid="{00000000-0005-0000-0000-0000E9000000}"/>
    <cellStyle name="Currency 80" xfId="235" xr:uid="{00000000-0005-0000-0000-0000EA000000}"/>
    <cellStyle name="Currency 81" xfId="236" xr:uid="{00000000-0005-0000-0000-0000EB000000}"/>
    <cellStyle name="Currency 82" xfId="237" xr:uid="{00000000-0005-0000-0000-0000EC000000}"/>
    <cellStyle name="Currency 83" xfId="238" xr:uid="{00000000-0005-0000-0000-0000ED000000}"/>
    <cellStyle name="Currency 84" xfId="239" xr:uid="{00000000-0005-0000-0000-0000EE000000}"/>
    <cellStyle name="Currency 85" xfId="240" xr:uid="{00000000-0005-0000-0000-0000EF000000}"/>
    <cellStyle name="Currency 86" xfId="241" xr:uid="{00000000-0005-0000-0000-0000F0000000}"/>
    <cellStyle name="Currency 87" xfId="242" xr:uid="{00000000-0005-0000-0000-0000F1000000}"/>
    <cellStyle name="Currency 88" xfId="243" xr:uid="{00000000-0005-0000-0000-0000F2000000}"/>
    <cellStyle name="Currency 89" xfId="244" xr:uid="{00000000-0005-0000-0000-0000F3000000}"/>
    <cellStyle name="Currency 9" xfId="245" xr:uid="{00000000-0005-0000-0000-0000F4000000}"/>
    <cellStyle name="Currency 90" xfId="246" xr:uid="{00000000-0005-0000-0000-0000F5000000}"/>
    <cellStyle name="Currency 91" xfId="247" xr:uid="{00000000-0005-0000-0000-0000F6000000}"/>
    <cellStyle name="Currency 92" xfId="248" xr:uid="{00000000-0005-0000-0000-0000F7000000}"/>
    <cellStyle name="Currency 93" xfId="249" xr:uid="{00000000-0005-0000-0000-0000F8000000}"/>
    <cellStyle name="Currency 94" xfId="250" xr:uid="{00000000-0005-0000-0000-0000F9000000}"/>
    <cellStyle name="Currency 95" xfId="251" xr:uid="{00000000-0005-0000-0000-0000FA000000}"/>
    <cellStyle name="Currency 95 2" xfId="252" xr:uid="{00000000-0005-0000-0000-0000FB000000}"/>
    <cellStyle name="Currency 96" xfId="253" xr:uid="{00000000-0005-0000-0000-0000FC000000}"/>
    <cellStyle name="Currency 97" xfId="254" xr:uid="{00000000-0005-0000-0000-0000FD000000}"/>
    <cellStyle name="Currency 98" xfId="255" xr:uid="{00000000-0005-0000-0000-0000FE000000}"/>
    <cellStyle name="Currency 99" xfId="256" xr:uid="{00000000-0005-0000-0000-0000FF000000}"/>
    <cellStyle name="Explanatory Text 2" xfId="257" xr:uid="{00000000-0005-0000-0000-000000010000}"/>
    <cellStyle name="Good 2" xfId="258" xr:uid="{00000000-0005-0000-0000-000001010000}"/>
    <cellStyle name="Heading 1 2" xfId="259" xr:uid="{00000000-0005-0000-0000-000002010000}"/>
    <cellStyle name="Heading 2 2" xfId="260" xr:uid="{00000000-0005-0000-0000-000003010000}"/>
    <cellStyle name="Heading 3 2" xfId="261" xr:uid="{00000000-0005-0000-0000-000004010000}"/>
    <cellStyle name="Heading 4 2" xfId="262" xr:uid="{00000000-0005-0000-0000-000005010000}"/>
    <cellStyle name="Input 2" xfId="263" xr:uid="{00000000-0005-0000-0000-000006010000}"/>
    <cellStyle name="Linked Cell 2" xfId="264" xr:uid="{00000000-0005-0000-0000-000007010000}"/>
    <cellStyle name="Millares 2" xfId="265" xr:uid="{00000000-0005-0000-0000-000008010000}"/>
    <cellStyle name="Millares 3" xfId="266" xr:uid="{00000000-0005-0000-0000-000009010000}"/>
    <cellStyle name="Neutral 2" xfId="267" xr:uid="{00000000-0005-0000-0000-00000A010000}"/>
    <cellStyle name="Normal" xfId="0" builtinId="0"/>
    <cellStyle name="Normal 2" xfId="268" xr:uid="{00000000-0005-0000-0000-00000C010000}"/>
    <cellStyle name="Normal 2 2" xfId="269" xr:uid="{00000000-0005-0000-0000-00000D010000}"/>
    <cellStyle name="Normal 2 3" xfId="270" xr:uid="{00000000-0005-0000-0000-00000E010000}"/>
    <cellStyle name="Normal 2 4" xfId="271" xr:uid="{00000000-0005-0000-0000-00000F010000}"/>
    <cellStyle name="Normal 3" xfId="272" xr:uid="{00000000-0005-0000-0000-000010010000}"/>
    <cellStyle name="Normal 3 2" xfId="273" xr:uid="{00000000-0005-0000-0000-000011010000}"/>
    <cellStyle name="Normal 4" xfId="274" xr:uid="{00000000-0005-0000-0000-000012010000}"/>
    <cellStyle name="Normal 4 2" xfId="275" xr:uid="{00000000-0005-0000-0000-000013010000}"/>
    <cellStyle name="Normal 5" xfId="276" xr:uid="{00000000-0005-0000-0000-000014010000}"/>
    <cellStyle name="Normal 6" xfId="277" xr:uid="{00000000-0005-0000-0000-000015010000}"/>
    <cellStyle name="Note 2" xfId="278" xr:uid="{00000000-0005-0000-0000-000016010000}"/>
    <cellStyle name="Output 2" xfId="279" xr:uid="{00000000-0005-0000-0000-000017010000}"/>
    <cellStyle name="Percent" xfId="280" builtinId="5"/>
    <cellStyle name="Percent 2" xfId="281" xr:uid="{00000000-0005-0000-0000-000019010000}"/>
    <cellStyle name="Percent 2 2" xfId="282" xr:uid="{00000000-0005-0000-0000-00001A010000}"/>
    <cellStyle name="Percent 2 3" xfId="283" xr:uid="{00000000-0005-0000-0000-00001B010000}"/>
    <cellStyle name="Percent 3" xfId="284" xr:uid="{00000000-0005-0000-0000-00001C010000}"/>
    <cellStyle name="Percent 3 2" xfId="285" xr:uid="{00000000-0005-0000-0000-00001D010000}"/>
    <cellStyle name="Percent 4" xfId="286" xr:uid="{00000000-0005-0000-0000-00001E010000}"/>
    <cellStyle name="Percent 4 2" xfId="287" xr:uid="{00000000-0005-0000-0000-00001F010000}"/>
    <cellStyle name="Percent 5" xfId="288" xr:uid="{00000000-0005-0000-0000-000020010000}"/>
    <cellStyle name="Percent 6" xfId="289" xr:uid="{00000000-0005-0000-0000-000021010000}"/>
    <cellStyle name="Percent 6 2" xfId="290" xr:uid="{00000000-0005-0000-0000-000022010000}"/>
    <cellStyle name="Percent 6 3" xfId="291" xr:uid="{00000000-0005-0000-0000-000023010000}"/>
    <cellStyle name="Title 2" xfId="292" xr:uid="{00000000-0005-0000-0000-000024010000}"/>
    <cellStyle name="Total 2" xfId="293" xr:uid="{00000000-0005-0000-0000-000025010000}"/>
    <cellStyle name="Warning Text 2" xfId="294" xr:uid="{00000000-0005-0000-0000-00002601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8"/>
  <sheetViews>
    <sheetView zoomScale="90" zoomScaleNormal="90" workbookViewId="0">
      <selection activeCell="C6" sqref="C6"/>
    </sheetView>
  </sheetViews>
  <sheetFormatPr defaultColWidth="8.83203125" defaultRowHeight="12.3" x14ac:dyDescent="0.4"/>
  <cols>
    <col min="2" max="2" width="65.27734375" customWidth="1"/>
    <col min="3" max="3" width="16.44140625" customWidth="1"/>
    <col min="4" max="4" width="21.1640625" customWidth="1"/>
    <col min="5" max="5" width="20" customWidth="1"/>
  </cols>
  <sheetData>
    <row r="1" spans="2:12" x14ac:dyDescent="0.4">
      <c r="B1" s="306" t="s">
        <v>0</v>
      </c>
      <c r="C1" s="306"/>
      <c r="D1" s="306"/>
      <c r="E1" s="306"/>
      <c r="F1" s="97"/>
      <c r="G1" s="97"/>
      <c r="H1" s="97"/>
      <c r="I1" s="97"/>
      <c r="J1" s="97"/>
      <c r="K1" s="97"/>
      <c r="L1" s="97"/>
    </row>
    <row r="2" spans="2:12" x14ac:dyDescent="0.4">
      <c r="B2" s="305" t="s">
        <v>1</v>
      </c>
      <c r="C2" s="305"/>
      <c r="D2" s="305"/>
      <c r="E2" s="305"/>
      <c r="F2" s="20"/>
      <c r="G2" s="20"/>
      <c r="H2" s="20"/>
      <c r="I2" s="20"/>
      <c r="J2" s="20"/>
      <c r="K2" s="20"/>
      <c r="L2" s="20"/>
    </row>
    <row r="3" spans="2:12" x14ac:dyDescent="0.4">
      <c r="B3" s="307" t="s">
        <v>2</v>
      </c>
      <c r="C3" s="307"/>
      <c r="D3" s="307"/>
      <c r="E3" s="307"/>
      <c r="F3" s="70"/>
      <c r="G3" s="70"/>
      <c r="H3" s="70"/>
      <c r="I3" s="70"/>
      <c r="J3" s="70"/>
      <c r="K3" s="70"/>
      <c r="L3" s="70"/>
    </row>
    <row r="4" spans="2:12" ht="12.6" thickBot="1" x14ac:dyDescent="0.45">
      <c r="B4" s="15" t="s">
        <v>3</v>
      </c>
      <c r="C4" s="16" t="s">
        <v>4</v>
      </c>
      <c r="D4" s="16" t="s">
        <v>5</v>
      </c>
      <c r="E4" s="16" t="s">
        <v>6</v>
      </c>
    </row>
    <row r="5" spans="2:12" x14ac:dyDescent="0.4">
      <c r="B5" s="71" t="s">
        <v>7</v>
      </c>
      <c r="C5" s="81">
        <f>'Project Budget'!T33</f>
        <v>2303880.3607299016</v>
      </c>
      <c r="D5" s="81">
        <f>'Project Budget'!U33</f>
        <v>0</v>
      </c>
      <c r="E5" s="81">
        <f t="shared" ref="E5:E11" si="0">SUM(C5:D5)</f>
        <v>2303880.3607299016</v>
      </c>
    </row>
    <row r="6" spans="2:12" x14ac:dyDescent="0.4">
      <c r="B6" s="71" t="s">
        <v>8</v>
      </c>
      <c r="C6" s="81">
        <f>'Project Budget'!T53</f>
        <v>204415.30006579205</v>
      </c>
      <c r="D6" s="81">
        <f>'Project Budget'!U53</f>
        <v>0</v>
      </c>
      <c r="E6" s="81">
        <f t="shared" si="0"/>
        <v>204415.30006579205</v>
      </c>
    </row>
    <row r="7" spans="2:12" x14ac:dyDescent="0.4">
      <c r="B7" s="75" t="s">
        <v>9</v>
      </c>
      <c r="C7" s="81">
        <v>0</v>
      </c>
      <c r="D7" s="81">
        <v>0</v>
      </c>
      <c r="E7" s="81">
        <f t="shared" si="0"/>
        <v>0</v>
      </c>
    </row>
    <row r="8" spans="2:12" x14ac:dyDescent="0.4">
      <c r="B8" s="75" t="s">
        <v>10</v>
      </c>
      <c r="C8" s="81">
        <f>'Project Budget'!T71</f>
        <v>259904.78047269999</v>
      </c>
      <c r="D8" s="81">
        <f>'Project Budget'!U71</f>
        <v>0</v>
      </c>
      <c r="E8" s="81">
        <f t="shared" si="0"/>
        <v>259904.78047269999</v>
      </c>
    </row>
    <row r="9" spans="2:12" x14ac:dyDescent="0.4">
      <c r="B9" s="75" t="s">
        <v>11</v>
      </c>
      <c r="C9" s="81">
        <f>'Project Budget'!T129</f>
        <v>3659294.1225545672</v>
      </c>
      <c r="D9" s="81">
        <f>'Project Budget'!U129</f>
        <v>0</v>
      </c>
      <c r="E9" s="81">
        <f t="shared" si="0"/>
        <v>3659294.1225545672</v>
      </c>
    </row>
    <row r="10" spans="2:12" x14ac:dyDescent="0.4">
      <c r="B10" s="76" t="s">
        <v>12</v>
      </c>
      <c r="C10" s="81">
        <f>'Project Budget'!T152</f>
        <v>1019816.1318736272</v>
      </c>
      <c r="D10" s="81">
        <f>'Project Budget'!U152</f>
        <v>0</v>
      </c>
      <c r="E10" s="81">
        <f t="shared" si="0"/>
        <v>1019816.1318736272</v>
      </c>
    </row>
    <row r="11" spans="2:12" x14ac:dyDescent="0.4">
      <c r="B11" s="76" t="s">
        <v>13</v>
      </c>
      <c r="C11" s="81">
        <f>'Project Budget'!T177</f>
        <v>323301.23052233923</v>
      </c>
      <c r="D11" s="81">
        <f>'Project Budget'!U177</f>
        <v>0</v>
      </c>
      <c r="E11" s="81">
        <f t="shared" si="0"/>
        <v>323301.23052233923</v>
      </c>
    </row>
    <row r="12" spans="2:12" ht="12" customHeight="1" x14ac:dyDescent="0.4">
      <c r="B12" s="21" t="s">
        <v>14</v>
      </c>
      <c r="C12" s="118">
        <f>SUM(C5:C11)</f>
        <v>7770611.9262189269</v>
      </c>
      <c r="D12" s="82">
        <f>SUM(D5:D11)</f>
        <v>0</v>
      </c>
      <c r="E12" s="82">
        <f>SUM(E5:E11)</f>
        <v>7770611.9262189269</v>
      </c>
    </row>
    <row r="13" spans="2:12" x14ac:dyDescent="0.4">
      <c r="B13" s="75" t="s">
        <v>15</v>
      </c>
      <c r="C13" s="81">
        <f>'Project Budget'!T181</f>
        <v>2229388.5616322099</v>
      </c>
      <c r="D13" s="81">
        <f>'Project Budget'!U181</f>
        <v>0</v>
      </c>
      <c r="E13" s="81">
        <f>SUM(C13:D13)</f>
        <v>2229388.5616322099</v>
      </c>
    </row>
    <row r="14" spans="2:12" ht="12.6" thickBot="1" x14ac:dyDescent="0.45">
      <c r="B14" s="10" t="s">
        <v>16</v>
      </c>
      <c r="C14" s="83">
        <f>C13+C12</f>
        <v>10000000.487851137</v>
      </c>
      <c r="D14" s="83">
        <f>D13+D12</f>
        <v>0</v>
      </c>
      <c r="E14" s="83">
        <f>E13+E12</f>
        <v>10000000.487851137</v>
      </c>
    </row>
    <row r="15" spans="2:12" ht="12.9" thickTop="1" thickBot="1" x14ac:dyDescent="0.45"/>
    <row r="16" spans="2:12" x14ac:dyDescent="0.4">
      <c r="B16" s="78" t="s">
        <v>17</v>
      </c>
      <c r="C16" s="84">
        <f>C5+C7+C8+C13</f>
        <v>4793173.7028348111</v>
      </c>
      <c r="D16" s="304"/>
    </row>
    <row r="17" spans="2:4" ht="12.6" thickBot="1" x14ac:dyDescent="0.45">
      <c r="B17" s="79" t="s">
        <v>18</v>
      </c>
      <c r="C17" s="85">
        <f>C6+C9+C10+C11</f>
        <v>5206826.7850163253</v>
      </c>
      <c r="D17" s="304"/>
    </row>
    <row r="18" spans="2:4" x14ac:dyDescent="0.4">
      <c r="C18" s="77"/>
    </row>
  </sheetData>
  <mergeCells count="3">
    <mergeCell ref="B2:E2"/>
    <mergeCell ref="B1:E1"/>
    <mergeCell ref="B3:E3"/>
  </mergeCells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92"/>
  <sheetViews>
    <sheetView tabSelected="1" topLeftCell="A4" zoomScale="107" zoomScaleNormal="90" zoomScaleSheetLayoutView="90" workbookViewId="0">
      <pane ySplit="9" topLeftCell="A155" activePane="bottomLeft" state="frozen"/>
      <selection activeCell="A4" sqref="A4"/>
      <selection pane="bottomLeft" activeCell="H11" sqref="H11"/>
    </sheetView>
  </sheetViews>
  <sheetFormatPr defaultColWidth="11.44140625" defaultRowHeight="12" customHeight="1" x14ac:dyDescent="0.35"/>
  <cols>
    <col min="1" max="1" width="15.83203125" style="1" bestFit="1" customWidth="1"/>
    <col min="2" max="2" width="22.44140625" style="1" customWidth="1"/>
    <col min="3" max="3" width="11.83203125" style="1" customWidth="1"/>
    <col min="4" max="5" width="11.44140625" style="1" customWidth="1"/>
    <col min="6" max="6" width="65.44140625" style="1" customWidth="1"/>
    <col min="7" max="7" width="10.83203125" style="1" customWidth="1"/>
    <col min="8" max="8" width="8.44140625" style="1" customWidth="1"/>
    <col min="9" max="9" width="5.44140625" style="1" customWidth="1"/>
    <col min="10" max="10" width="11.44140625" style="6" customWidth="1"/>
    <col min="11" max="11" width="13.44140625" style="5" customWidth="1"/>
    <col min="12" max="12" width="4.83203125" style="5" customWidth="1"/>
    <col min="13" max="13" width="11" style="5" customWidth="1"/>
    <col min="14" max="14" width="4.44140625" style="5" customWidth="1"/>
    <col min="15" max="15" width="9.1640625" style="5" customWidth="1"/>
    <col min="16" max="16" width="4.44140625" style="5" customWidth="1"/>
    <col min="17" max="17" width="10.1640625" style="5" customWidth="1"/>
    <col min="18" max="18" width="4.83203125" style="5" customWidth="1"/>
    <col min="19" max="19" width="10.44140625" style="5" customWidth="1"/>
    <col min="20" max="20" width="10.83203125" style="17" customWidth="1"/>
    <col min="21" max="21" width="9.71875" style="5" customWidth="1"/>
    <col min="22" max="22" width="11" style="17" bestFit="1" customWidth="1"/>
    <col min="23" max="26" width="11.83203125" style="2" customWidth="1"/>
    <col min="27" max="16384" width="11.44140625" style="2"/>
  </cols>
  <sheetData>
    <row r="1" spans="1:26" ht="10.5" x14ac:dyDescent="0.4">
      <c r="A1" s="2"/>
      <c r="B1" s="2"/>
      <c r="C1" s="2"/>
      <c r="D1" s="2"/>
      <c r="E1" s="2"/>
      <c r="F1" s="308" t="s">
        <v>19</v>
      </c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24"/>
      <c r="X1" s="24"/>
      <c r="Y1" s="24"/>
    </row>
    <row r="2" spans="1:26" ht="10.5" x14ac:dyDescent="0.35">
      <c r="A2" s="2"/>
      <c r="B2" s="2"/>
      <c r="C2" s="2"/>
      <c r="D2" s="2"/>
      <c r="E2" s="2"/>
      <c r="F2" s="309" t="s">
        <v>20</v>
      </c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</row>
    <row r="3" spans="1:26" ht="10.5" x14ac:dyDescent="0.35">
      <c r="A3" s="2"/>
      <c r="B3" s="2"/>
      <c r="C3" s="2"/>
      <c r="D3" s="2"/>
      <c r="E3" s="2"/>
      <c r="F3" s="310" t="s">
        <v>21</v>
      </c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</row>
    <row r="4" spans="1:26" s="147" customFormat="1" ht="14.1" x14ac:dyDescent="0.45">
      <c r="A4" s="253" t="s">
        <v>22</v>
      </c>
      <c r="B4" s="253" t="s">
        <v>23</v>
      </c>
      <c r="F4" s="314" t="s">
        <v>2</v>
      </c>
      <c r="G4" s="314"/>
      <c r="H4" s="314"/>
      <c r="I4" s="314"/>
      <c r="J4" s="314"/>
      <c r="K4" s="314"/>
      <c r="L4" s="314"/>
      <c r="M4" s="314"/>
      <c r="N4" s="314"/>
      <c r="O4" s="314"/>
      <c r="P4" s="314"/>
      <c r="Q4" s="314"/>
      <c r="R4" s="314"/>
      <c r="S4" s="314"/>
      <c r="T4" s="314"/>
      <c r="U4" s="314"/>
      <c r="V4" s="314"/>
      <c r="W4" s="314"/>
      <c r="X4" s="314"/>
      <c r="Y4" s="314"/>
      <c r="Z4" s="314"/>
    </row>
    <row r="5" spans="1:26" s="147" customFormat="1" ht="14.1" x14ac:dyDescent="0.45">
      <c r="A5" s="253" t="s">
        <v>24</v>
      </c>
      <c r="B5" s="253">
        <v>20200</v>
      </c>
      <c r="F5" s="313" t="s">
        <v>25</v>
      </c>
      <c r="G5" s="313"/>
      <c r="H5" s="313"/>
      <c r="I5" s="313"/>
      <c r="J5" s="313"/>
      <c r="K5" s="313"/>
      <c r="L5" s="313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</row>
    <row r="6" spans="1:26" s="147" customFormat="1" ht="14.1" x14ac:dyDescent="0.45">
      <c r="A6" s="253" t="s">
        <v>26</v>
      </c>
      <c r="B6" s="253" t="s">
        <v>27</v>
      </c>
      <c r="F6" s="314" t="s">
        <v>28</v>
      </c>
      <c r="G6" s="314"/>
      <c r="H6" s="314"/>
      <c r="I6" s="314"/>
      <c r="J6" s="314"/>
      <c r="K6" s="314"/>
      <c r="L6" s="314"/>
      <c r="M6" s="314"/>
      <c r="N6" s="314"/>
      <c r="O6" s="314"/>
      <c r="P6" s="314"/>
      <c r="Q6" s="314"/>
      <c r="R6" s="314"/>
      <c r="S6" s="314"/>
      <c r="T6" s="314"/>
      <c r="U6" s="314"/>
      <c r="V6" s="314"/>
      <c r="W6" s="314"/>
      <c r="X6" s="314"/>
      <c r="Y6" s="314"/>
      <c r="Z6" s="314"/>
    </row>
    <row r="7" spans="1:26" s="147" customFormat="1" ht="13.8" hidden="1" x14ac:dyDescent="0.45">
      <c r="A7" s="148"/>
      <c r="B7" s="148"/>
      <c r="C7" s="148"/>
      <c r="D7" s="148"/>
      <c r="E7" s="148"/>
      <c r="F7" s="312" t="s">
        <v>29</v>
      </c>
      <c r="G7" s="312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spans="1:26" s="147" customFormat="1" ht="12.6" hidden="1" x14ac:dyDescent="0.45">
      <c r="A8" s="148"/>
      <c r="B8" s="148"/>
      <c r="C8" s="148"/>
      <c r="D8" s="148"/>
      <c r="E8" s="148"/>
      <c r="F8" s="149" t="s">
        <v>30</v>
      </c>
      <c r="G8" s="150">
        <v>1.03</v>
      </c>
      <c r="H8" s="148"/>
      <c r="I8" s="148"/>
      <c r="J8" s="148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48"/>
      <c r="Y8" s="148"/>
      <c r="Z8" s="148"/>
    </row>
    <row r="9" spans="1:26" s="147" customFormat="1" ht="12.6" hidden="1" x14ac:dyDescent="0.45">
      <c r="A9" s="152"/>
      <c r="B9" s="152"/>
      <c r="C9" s="152"/>
      <c r="D9" s="152"/>
      <c r="E9" s="152"/>
      <c r="F9" s="149" t="s">
        <v>31</v>
      </c>
      <c r="G9" s="150">
        <v>1.04</v>
      </c>
      <c r="H9" s="152"/>
      <c r="I9" s="152"/>
      <c r="J9" s="153"/>
      <c r="K9" s="154"/>
      <c r="L9" s="155"/>
      <c r="M9" s="154"/>
      <c r="N9" s="154"/>
      <c r="O9" s="155"/>
      <c r="P9" s="154"/>
      <c r="Q9" s="154"/>
      <c r="R9" s="155"/>
      <c r="S9" s="154"/>
      <c r="T9" s="154"/>
      <c r="U9" s="155"/>
      <c r="V9" s="154"/>
      <c r="W9" s="154"/>
      <c r="X9" s="154"/>
      <c r="Y9" s="154"/>
      <c r="Z9" s="154"/>
    </row>
    <row r="10" spans="1:26" s="147" customFormat="1" ht="12.6" hidden="1" x14ac:dyDescent="0.45">
      <c r="A10" s="152"/>
      <c r="B10" s="152"/>
      <c r="C10" s="152"/>
      <c r="D10" s="152"/>
      <c r="E10" s="152"/>
      <c r="F10" s="149" t="s">
        <v>32</v>
      </c>
      <c r="G10" s="156">
        <v>1.0349999999999999</v>
      </c>
      <c r="H10" s="152"/>
      <c r="I10" s="152"/>
      <c r="J10" s="153"/>
      <c r="K10" s="154"/>
      <c r="L10" s="155"/>
      <c r="M10" s="154"/>
      <c r="N10" s="154"/>
      <c r="O10" s="155"/>
      <c r="P10" s="154"/>
      <c r="Q10" s="154"/>
      <c r="R10" s="155"/>
      <c r="S10" s="154"/>
      <c r="T10" s="154"/>
      <c r="U10" s="155"/>
      <c r="V10" s="154"/>
      <c r="W10" s="154"/>
      <c r="X10" s="154"/>
      <c r="Y10" s="154"/>
      <c r="Z10" s="154"/>
    </row>
    <row r="11" spans="1:26" s="147" customFormat="1" ht="12.6" x14ac:dyDescent="0.45">
      <c r="A11" s="152"/>
      <c r="B11" s="152"/>
      <c r="C11" s="152"/>
      <c r="D11" s="152"/>
      <c r="E11" s="152"/>
      <c r="F11" s="152"/>
      <c r="G11" s="254"/>
      <c r="H11" s="152"/>
      <c r="I11" s="152"/>
      <c r="J11" s="153"/>
      <c r="K11" s="154"/>
      <c r="L11" s="155"/>
      <c r="M11" s="154"/>
      <c r="N11" s="154"/>
      <c r="O11" s="155"/>
      <c r="P11" s="154"/>
      <c r="Q11" s="154"/>
      <c r="R11" s="155"/>
      <c r="S11" s="154"/>
      <c r="T11" s="154"/>
      <c r="U11" s="155"/>
      <c r="V11" s="154"/>
      <c r="W11" s="154"/>
      <c r="X11" s="154"/>
      <c r="Y11" s="154"/>
      <c r="Z11" s="154"/>
    </row>
    <row r="12" spans="1:26" ht="31.8" thickBot="1" x14ac:dyDescent="0.45">
      <c r="A12" s="256" t="s">
        <v>33</v>
      </c>
      <c r="B12" s="256" t="s">
        <v>34</v>
      </c>
      <c r="C12" s="256" t="s">
        <v>35</v>
      </c>
      <c r="D12" s="256" t="s">
        <v>36</v>
      </c>
      <c r="E12" s="256" t="s">
        <v>37</v>
      </c>
      <c r="F12" s="15" t="s">
        <v>3</v>
      </c>
      <c r="G12" s="15" t="s">
        <v>38</v>
      </c>
      <c r="H12" s="15" t="s">
        <v>39</v>
      </c>
      <c r="I12" s="15" t="s">
        <v>40</v>
      </c>
      <c r="J12" s="57" t="s">
        <v>41</v>
      </c>
      <c r="K12" s="57" t="s">
        <v>42</v>
      </c>
      <c r="L12" s="15" t="s">
        <v>40</v>
      </c>
      <c r="M12" s="57" t="s">
        <v>43</v>
      </c>
      <c r="N12" s="15" t="s">
        <v>40</v>
      </c>
      <c r="O12" s="57" t="s">
        <v>44</v>
      </c>
      <c r="P12" s="15" t="s">
        <v>40</v>
      </c>
      <c r="Q12" s="57" t="s">
        <v>45</v>
      </c>
      <c r="R12" s="15" t="s">
        <v>40</v>
      </c>
      <c r="S12" s="57" t="s">
        <v>46</v>
      </c>
      <c r="T12" s="112" t="s">
        <v>4</v>
      </c>
      <c r="U12" s="16" t="s">
        <v>47</v>
      </c>
      <c r="V12" s="112" t="s">
        <v>6</v>
      </c>
    </row>
    <row r="13" spans="1:26" ht="10.5" x14ac:dyDescent="0.4">
      <c r="A13" s="38"/>
      <c r="B13" s="38"/>
      <c r="C13" s="38"/>
      <c r="D13" s="38"/>
      <c r="E13" s="38"/>
      <c r="F13" s="65" t="s">
        <v>7</v>
      </c>
      <c r="G13" s="65"/>
      <c r="H13" s="38"/>
      <c r="I13" s="38"/>
      <c r="J13" s="39"/>
      <c r="K13" s="11"/>
      <c r="L13" s="11"/>
      <c r="M13" s="11"/>
      <c r="N13" s="11"/>
      <c r="O13" s="11"/>
      <c r="P13" s="11"/>
      <c r="Q13" s="11"/>
      <c r="R13" s="11"/>
      <c r="S13" s="11"/>
      <c r="T13" s="105"/>
      <c r="U13" s="11"/>
      <c r="V13" s="105"/>
    </row>
    <row r="14" spans="1:26" ht="10.5" x14ac:dyDescent="0.4">
      <c r="A14" s="120"/>
      <c r="B14" s="120"/>
      <c r="C14" s="120"/>
      <c r="D14" s="120"/>
      <c r="E14" s="120"/>
      <c r="F14" s="119" t="s">
        <v>48</v>
      </c>
      <c r="G14" s="119"/>
      <c r="H14" s="120"/>
      <c r="I14" s="61"/>
      <c r="J14" s="62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</row>
    <row r="15" spans="1:26" ht="10.199999999999999" x14ac:dyDescent="0.35">
      <c r="A15" s="45" t="s">
        <v>49</v>
      </c>
      <c r="B15" s="45">
        <v>70000</v>
      </c>
      <c r="C15" s="45" t="s">
        <v>50</v>
      </c>
      <c r="D15" s="45" t="s">
        <v>50</v>
      </c>
      <c r="E15" s="45">
        <v>0</v>
      </c>
      <c r="F15" s="12" t="s">
        <v>51</v>
      </c>
      <c r="G15" s="12" t="s">
        <v>52</v>
      </c>
      <c r="H15" s="45" t="s">
        <v>53</v>
      </c>
      <c r="I15" s="8">
        <v>12</v>
      </c>
      <c r="J15" s="8">
        <v>12916</v>
      </c>
      <c r="K15" s="8">
        <f>I15*J15</f>
        <v>154992</v>
      </c>
      <c r="L15" s="8">
        <v>12</v>
      </c>
      <c r="M15" s="8">
        <f>L15*J15*$G$10</f>
        <v>160416.72</v>
      </c>
      <c r="N15" s="8">
        <v>12</v>
      </c>
      <c r="O15" s="8">
        <f>(J15*3*$G$10*$G$10)+(N15*7000*$G$10*$G$10)</f>
        <v>131490.72629999998</v>
      </c>
      <c r="P15" s="8">
        <v>12</v>
      </c>
      <c r="Q15" s="8">
        <f>P15*7000*1.015*$G$10*$G$10*$G$10</f>
        <v>94529.28602249996</v>
      </c>
      <c r="R15" s="8">
        <v>6</v>
      </c>
      <c r="S15" s="8">
        <f>R15*7000*$G$10*$G$10*$G$10*$G$10</f>
        <v>48195.966026249989</v>
      </c>
      <c r="T15" s="8">
        <f>SUM(K15+M15+O15+Q15+S15)</f>
        <v>589624.69834874989</v>
      </c>
      <c r="U15" s="8">
        <v>0</v>
      </c>
      <c r="V15" s="8">
        <f>SUM(T15:U15)</f>
        <v>589624.69834874989</v>
      </c>
      <c r="W15" s="121"/>
      <c r="X15" s="49"/>
    </row>
    <row r="16" spans="1:26" ht="10.199999999999999" x14ac:dyDescent="0.35">
      <c r="A16" s="45" t="s">
        <v>54</v>
      </c>
      <c r="B16" s="45">
        <v>70000</v>
      </c>
      <c r="C16" s="45" t="s">
        <v>50</v>
      </c>
      <c r="D16" s="45" t="s">
        <v>50</v>
      </c>
      <c r="E16" s="45">
        <v>0</v>
      </c>
      <c r="F16" s="12" t="s">
        <v>55</v>
      </c>
      <c r="G16" s="12" t="s">
        <v>52</v>
      </c>
      <c r="H16" s="45" t="s">
        <v>53</v>
      </c>
      <c r="I16" s="8">
        <v>12</v>
      </c>
      <c r="J16" s="8">
        <v>4200</v>
      </c>
      <c r="K16" s="8">
        <f>I16*J16</f>
        <v>50400</v>
      </c>
      <c r="L16" s="8">
        <v>12</v>
      </c>
      <c r="M16" s="8">
        <f>L16*J16*$G$10</f>
        <v>52163.999999999993</v>
      </c>
      <c r="N16" s="8">
        <v>12</v>
      </c>
      <c r="O16" s="8">
        <f>N16*J16*$G$10*$G$10</f>
        <v>53989.739999999991</v>
      </c>
      <c r="P16" s="8">
        <v>12</v>
      </c>
      <c r="Q16" s="8">
        <f>P16*J16*1.015*$G$10*$G$10*$G$10</f>
        <v>56717.571613499982</v>
      </c>
      <c r="R16" s="8">
        <v>6</v>
      </c>
      <c r="S16" s="8">
        <f>J16*R16*$G$10*$G$10*$G$10*$G$10</f>
        <v>28917.579615749994</v>
      </c>
      <c r="T16" s="8">
        <f>SUM(K16+M16+O16+Q16+S16)</f>
        <v>242188.89122924997</v>
      </c>
      <c r="U16" s="8">
        <v>0</v>
      </c>
      <c r="V16" s="8">
        <f>SUM(T16:U16)</f>
        <v>242188.89122924997</v>
      </c>
      <c r="W16" s="121"/>
      <c r="X16" s="13"/>
    </row>
    <row r="17" spans="1:24" ht="10.199999999999999" x14ac:dyDescent="0.35">
      <c r="A17" s="45"/>
      <c r="B17" s="45"/>
      <c r="C17" s="45"/>
      <c r="D17" s="45"/>
      <c r="E17" s="45"/>
      <c r="F17" s="12"/>
      <c r="G17" s="12"/>
      <c r="H17" s="45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21"/>
      <c r="X17" s="13"/>
    </row>
    <row r="18" spans="1:24" ht="10.5" x14ac:dyDescent="0.4">
      <c r="A18" s="109"/>
      <c r="B18" s="109"/>
      <c r="C18" s="109"/>
      <c r="D18" s="109"/>
      <c r="E18" s="109"/>
      <c r="F18" s="119" t="s">
        <v>56</v>
      </c>
      <c r="G18" s="119"/>
      <c r="H18" s="109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121"/>
      <c r="X18" s="13"/>
    </row>
    <row r="19" spans="1:24" ht="10.199999999999999" x14ac:dyDescent="0.35">
      <c r="A19" s="45" t="s">
        <v>57</v>
      </c>
      <c r="B19" s="45">
        <v>70000</v>
      </c>
      <c r="C19" s="45" t="s">
        <v>50</v>
      </c>
      <c r="D19" s="45" t="s">
        <v>50</v>
      </c>
      <c r="E19" s="45">
        <v>0</v>
      </c>
      <c r="F19" s="12" t="s">
        <v>58</v>
      </c>
      <c r="G19" s="12" t="s">
        <v>52</v>
      </c>
      <c r="H19" s="45" t="s">
        <v>53</v>
      </c>
      <c r="I19" s="8">
        <v>11</v>
      </c>
      <c r="J19" s="8">
        <v>3600</v>
      </c>
      <c r="K19" s="8">
        <f>I19*J19</f>
        <v>39600</v>
      </c>
      <c r="L19" s="8">
        <v>12</v>
      </c>
      <c r="M19" s="8">
        <f>L19*J19*$G$10</f>
        <v>44712</v>
      </c>
      <c r="N19" s="8">
        <v>12</v>
      </c>
      <c r="O19" s="8">
        <f>N19*J19*$G$10*$G$10</f>
        <v>46276.92</v>
      </c>
      <c r="P19" s="8">
        <v>12</v>
      </c>
      <c r="Q19" s="8">
        <f>P19*J19*1.015*$G$10*$G$10*$G$10</f>
        <v>48615.061382999978</v>
      </c>
      <c r="R19" s="8">
        <v>5</v>
      </c>
      <c r="S19" s="8">
        <f>J19*R19*$G$10*$G$10*$G$10*$G$10</f>
        <v>20655.414011249995</v>
      </c>
      <c r="T19" s="8">
        <f>SUM(K19+M19+O19+Q19+S19)</f>
        <v>199859.39539424996</v>
      </c>
      <c r="U19" s="8">
        <v>0</v>
      </c>
      <c r="V19" s="8">
        <f>SUM(T19:U19)</f>
        <v>199859.39539424996</v>
      </c>
      <c r="W19" s="121"/>
      <c r="X19" s="13"/>
    </row>
    <row r="20" spans="1:24" ht="10.199999999999999" x14ac:dyDescent="0.35">
      <c r="A20" s="45" t="s">
        <v>59</v>
      </c>
      <c r="B20" s="45">
        <v>70000</v>
      </c>
      <c r="C20" s="45" t="s">
        <v>50</v>
      </c>
      <c r="D20" s="45" t="s">
        <v>50</v>
      </c>
      <c r="E20" s="45">
        <v>0</v>
      </c>
      <c r="F20" s="12" t="s">
        <v>60</v>
      </c>
      <c r="G20" s="12" t="s">
        <v>52</v>
      </c>
      <c r="H20" s="45" t="s">
        <v>53</v>
      </c>
      <c r="I20" s="8">
        <v>11</v>
      </c>
      <c r="J20" s="8">
        <v>2800</v>
      </c>
      <c r="K20" s="8">
        <f>I20*J20</f>
        <v>30800</v>
      </c>
      <c r="L20" s="8">
        <v>12</v>
      </c>
      <c r="M20" s="8">
        <f>L20*J20*$G$10</f>
        <v>34776</v>
      </c>
      <c r="N20" s="8">
        <v>12</v>
      </c>
      <c r="O20" s="8">
        <f>N20*J20*$G$10*$G$10</f>
        <v>35993.159999999996</v>
      </c>
      <c r="P20" s="8">
        <v>12</v>
      </c>
      <c r="Q20" s="8">
        <f>P20*J20*1.015*$G$10*$G$10*$G$10</f>
        <v>37811.714408999993</v>
      </c>
      <c r="R20" s="8">
        <v>5</v>
      </c>
      <c r="S20" s="8">
        <f>J20*R20*$G$10*$G$10*$G$10*$G$10</f>
        <v>16065.322008749996</v>
      </c>
      <c r="T20" s="8">
        <f>SUM(K20+M20+O20+Q20+S20)</f>
        <v>155446.19641774998</v>
      </c>
      <c r="U20" s="8">
        <v>0</v>
      </c>
      <c r="V20" s="8">
        <f>SUM(T20:U20)</f>
        <v>155446.19641774998</v>
      </c>
      <c r="W20" s="121"/>
    </row>
    <row r="21" spans="1:24" ht="10.199999999999999" x14ac:dyDescent="0.35">
      <c r="A21" s="45" t="s">
        <v>61</v>
      </c>
      <c r="B21" s="45">
        <v>70000</v>
      </c>
      <c r="C21" s="45" t="s">
        <v>50</v>
      </c>
      <c r="D21" s="45" t="s">
        <v>50</v>
      </c>
      <c r="E21" s="45">
        <v>0</v>
      </c>
      <c r="F21" s="12" t="s">
        <v>62</v>
      </c>
      <c r="G21" s="12" t="s">
        <v>52</v>
      </c>
      <c r="H21" s="45" t="s">
        <v>53</v>
      </c>
      <c r="I21" s="8">
        <v>11</v>
      </c>
      <c r="J21" s="8">
        <v>3200</v>
      </c>
      <c r="K21" s="8">
        <f>I21*J21</f>
        <v>35200</v>
      </c>
      <c r="L21" s="8">
        <v>12</v>
      </c>
      <c r="M21" s="8">
        <f>L21*J21*$G$10</f>
        <v>39744</v>
      </c>
      <c r="N21" s="8">
        <v>12</v>
      </c>
      <c r="O21" s="8">
        <f>N21*J21*$G$10*$G$10</f>
        <v>41135.039999999994</v>
      </c>
      <c r="P21" s="8">
        <v>12</v>
      </c>
      <c r="Q21" s="8">
        <f>P21*J21*1.015*$G$10*$G$10*$G$10</f>
        <v>43213.387895999986</v>
      </c>
      <c r="R21" s="8">
        <v>6</v>
      </c>
      <c r="S21" s="8">
        <f>J21*R21*$G$10*$G$10*$G$10*$G$10</f>
        <v>22032.441611999995</v>
      </c>
      <c r="T21" s="8">
        <f>SUM(K21+M21+O21+Q21+S21)</f>
        <v>181324.86950799997</v>
      </c>
      <c r="U21" s="8">
        <v>0</v>
      </c>
      <c r="V21" s="8">
        <f>SUM(T21:U21)</f>
        <v>181324.86950799997</v>
      </c>
      <c r="W21" s="121"/>
    </row>
    <row r="22" spans="1:24" ht="10.199999999999999" x14ac:dyDescent="0.35">
      <c r="A22" s="45"/>
      <c r="B22" s="45"/>
      <c r="C22" s="45"/>
      <c r="D22" s="45"/>
      <c r="E22" s="45"/>
      <c r="F22" s="12"/>
      <c r="G22" s="12"/>
      <c r="H22" s="4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21"/>
    </row>
    <row r="23" spans="1:24" ht="10.5" x14ac:dyDescent="0.4">
      <c r="A23" s="109"/>
      <c r="B23" s="109"/>
      <c r="C23" s="109"/>
      <c r="D23" s="109"/>
      <c r="E23" s="109"/>
      <c r="F23" s="119" t="s">
        <v>63</v>
      </c>
      <c r="G23" s="72"/>
      <c r="H23" s="109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121"/>
    </row>
    <row r="24" spans="1:24" ht="10.199999999999999" x14ac:dyDescent="0.35">
      <c r="A24" s="45" t="s">
        <v>64</v>
      </c>
      <c r="B24" s="45" t="s">
        <v>65</v>
      </c>
      <c r="C24" s="45">
        <v>0</v>
      </c>
      <c r="D24" s="45">
        <v>0</v>
      </c>
      <c r="E24" s="45">
        <v>0</v>
      </c>
      <c r="F24" s="12" t="s">
        <v>66</v>
      </c>
      <c r="G24" s="12" t="s">
        <v>52</v>
      </c>
      <c r="H24" s="45" t="s">
        <v>53</v>
      </c>
      <c r="I24" s="8">
        <v>12</v>
      </c>
      <c r="J24" s="8">
        <f>9832*0.2</f>
        <v>1966.4</v>
      </c>
      <c r="K24" s="8">
        <f>I24*J24</f>
        <v>23596.800000000003</v>
      </c>
      <c r="L24" s="8">
        <v>12</v>
      </c>
      <c r="M24" s="8">
        <f>L24*J24*$G$10</f>
        <v>24422.688000000002</v>
      </c>
      <c r="N24" s="8">
        <v>12</v>
      </c>
      <c r="O24" s="8">
        <f>N24*J24*$G$10*$G$10</f>
        <v>25277.482080000002</v>
      </c>
      <c r="P24" s="8">
        <v>12</v>
      </c>
      <c r="Q24" s="8">
        <f>P24*J24*1.015*$G$10*$G$10*$G$10</f>
        <v>26554.626862091991</v>
      </c>
      <c r="R24" s="8">
        <v>6</v>
      </c>
      <c r="S24" s="8">
        <f>J24*R24*$G$10*$G$10*$G$10*$G$10</f>
        <v>13538.935370574</v>
      </c>
      <c r="T24" s="8">
        <f>SUM(K24+M24+O24+Q24+S24)</f>
        <v>113390.53231266598</v>
      </c>
      <c r="U24" s="8">
        <v>0</v>
      </c>
      <c r="V24" s="8">
        <f>SUM(T24:U24)</f>
        <v>113390.53231266598</v>
      </c>
      <c r="W24" s="121"/>
    </row>
    <row r="25" spans="1:24" ht="10.199999999999999" x14ac:dyDescent="0.35">
      <c r="A25" s="45" t="s">
        <v>67</v>
      </c>
      <c r="B25" s="45" t="s">
        <v>65</v>
      </c>
      <c r="C25" s="45">
        <v>0</v>
      </c>
      <c r="D25" s="45">
        <v>0</v>
      </c>
      <c r="E25" s="45">
        <v>0</v>
      </c>
      <c r="F25" s="12" t="s">
        <v>68</v>
      </c>
      <c r="G25" s="12" t="s">
        <v>52</v>
      </c>
      <c r="H25" s="45" t="s">
        <v>53</v>
      </c>
      <c r="I25" s="8">
        <v>12</v>
      </c>
      <c r="J25" s="8">
        <f>5500*0.5</f>
        <v>2750</v>
      </c>
      <c r="K25" s="8">
        <f>I25*J25</f>
        <v>33000</v>
      </c>
      <c r="L25" s="8">
        <v>12</v>
      </c>
      <c r="M25" s="8">
        <f>L25*J25*$G$10</f>
        <v>34155</v>
      </c>
      <c r="N25" s="8">
        <v>12</v>
      </c>
      <c r="O25" s="8">
        <f>N25*J25*$G$10*$G$10</f>
        <v>35350.424999999996</v>
      </c>
      <c r="P25" s="8">
        <v>12</v>
      </c>
      <c r="Q25" s="8">
        <f>P25*J25*1.015*$G$10*$G$10*$G$10</f>
        <v>37136.505223124987</v>
      </c>
      <c r="R25" s="8">
        <v>6</v>
      </c>
      <c r="S25" s="8">
        <f>J25*R25*$G$10*$G$10*$G$10*$G$10</f>
        <v>18934.129510312494</v>
      </c>
      <c r="T25" s="8">
        <f>SUM(K25+M25+O25+Q25+S25)</f>
        <v>158576.05973343746</v>
      </c>
      <c r="U25" s="8">
        <v>0</v>
      </c>
      <c r="V25" s="8">
        <f>SUM(T25:U25)</f>
        <v>158576.05973343746</v>
      </c>
      <c r="W25" s="121"/>
    </row>
    <row r="26" spans="1:24" ht="10.199999999999999" x14ac:dyDescent="0.35">
      <c r="A26" s="45"/>
      <c r="B26" s="45"/>
      <c r="C26" s="45"/>
      <c r="D26" s="45"/>
      <c r="E26" s="45"/>
      <c r="F26" s="12"/>
      <c r="G26" s="12"/>
      <c r="H26" s="45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21"/>
    </row>
    <row r="27" spans="1:24" ht="10.5" x14ac:dyDescent="0.4">
      <c r="A27" s="120"/>
      <c r="B27" s="120"/>
      <c r="C27" s="120"/>
      <c r="D27" s="120"/>
      <c r="E27" s="120"/>
      <c r="F27" s="119" t="s">
        <v>69</v>
      </c>
      <c r="G27" s="119"/>
      <c r="H27" s="120"/>
      <c r="I27" s="114"/>
      <c r="J27" s="114"/>
      <c r="K27" s="114">
        <f>SUM(K15:K25)</f>
        <v>367588.8</v>
      </c>
      <c r="L27" s="114"/>
      <c r="M27" s="114">
        <f>SUM(M15:M25)</f>
        <v>390390.408</v>
      </c>
      <c r="N27" s="114"/>
      <c r="O27" s="114">
        <f>SUM(O15:O25)</f>
        <v>369513.49337999988</v>
      </c>
      <c r="P27" s="114"/>
      <c r="Q27" s="114">
        <f>SUM(Q15:Q25)</f>
        <v>344578.1534092169</v>
      </c>
      <c r="R27" s="114"/>
      <c r="S27" s="114">
        <f>SUM(S15:S25)</f>
        <v>168339.78815488645</v>
      </c>
      <c r="T27" s="114">
        <f>SUM(K27+M27+O27+Q27+S27)</f>
        <v>1640410.6429441036</v>
      </c>
      <c r="U27" s="114">
        <v>0</v>
      </c>
      <c r="V27" s="114">
        <f>SUM(T27:U27)</f>
        <v>1640410.6429441036</v>
      </c>
      <c r="W27" s="121"/>
    </row>
    <row r="28" spans="1:24" ht="10.5" x14ac:dyDescent="0.4">
      <c r="A28" s="46"/>
      <c r="B28" s="46"/>
      <c r="C28" s="46"/>
      <c r="D28" s="46"/>
      <c r="E28" s="46"/>
      <c r="F28" s="47"/>
      <c r="G28" s="47"/>
      <c r="H28" s="46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121"/>
    </row>
    <row r="29" spans="1:24" ht="10.5" x14ac:dyDescent="0.4">
      <c r="A29" s="46"/>
      <c r="B29" s="46"/>
      <c r="C29" s="46"/>
      <c r="D29" s="46"/>
      <c r="E29" s="46"/>
      <c r="F29" s="47" t="s">
        <v>70</v>
      </c>
      <c r="G29" s="47"/>
      <c r="H29" s="46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121"/>
    </row>
    <row r="30" spans="1:24" ht="10.199999999999999" x14ac:dyDescent="0.35">
      <c r="A30" s="45" t="s">
        <v>71</v>
      </c>
      <c r="B30" s="45">
        <v>70015</v>
      </c>
      <c r="C30" s="45" t="s">
        <v>50</v>
      </c>
      <c r="D30" s="45" t="s">
        <v>50</v>
      </c>
      <c r="E30" s="45">
        <v>0</v>
      </c>
      <c r="F30" s="12" t="s">
        <v>72</v>
      </c>
      <c r="G30" s="12" t="s">
        <v>70</v>
      </c>
      <c r="H30" s="45"/>
      <c r="I30" s="8"/>
      <c r="J30" s="26">
        <v>0.50839999999999996</v>
      </c>
      <c r="K30" s="122">
        <f>SUM(K16,K19,K20,K21)*J30</f>
        <v>79310.399999999994</v>
      </c>
      <c r="L30" s="8"/>
      <c r="M30" s="8">
        <f>SUM(M16,M19,M20,M21)*J30</f>
        <v>87137.7264</v>
      </c>
      <c r="N30" s="8"/>
      <c r="O30" s="8">
        <f>SUM(O15,O16,O19,O20,O21)*J30</f>
        <v>157037.43207491995</v>
      </c>
      <c r="P30" s="8"/>
      <c r="Q30" s="8">
        <f>SUM(Q15,Q16,Q19,Q20,Q21)*J30</f>
        <v>142802.96164112154</v>
      </c>
      <c r="R30" s="8"/>
      <c r="S30" s="8">
        <f>SUM(S15,S16,S19,S20,S21)*J30</f>
        <v>69074.642112501577</v>
      </c>
      <c r="T30" s="8">
        <f>SUM(K30+M30+O30+Q30+S30)</f>
        <v>535363.16222854308</v>
      </c>
      <c r="U30" s="8">
        <v>0</v>
      </c>
      <c r="V30" s="8">
        <f>SUM(T30:U30)</f>
        <v>535363.16222854308</v>
      </c>
      <c r="W30" s="121"/>
    </row>
    <row r="31" spans="1:24" ht="10.199999999999999" x14ac:dyDescent="0.35">
      <c r="A31" s="45" t="s">
        <v>73</v>
      </c>
      <c r="B31" s="45" t="s">
        <v>65</v>
      </c>
      <c r="C31" s="45">
        <v>0</v>
      </c>
      <c r="D31" s="45">
        <v>0</v>
      </c>
      <c r="E31" s="45">
        <v>0</v>
      </c>
      <c r="F31" s="12" t="s">
        <v>74</v>
      </c>
      <c r="G31" s="12" t="s">
        <v>70</v>
      </c>
      <c r="H31" s="45"/>
      <c r="I31" s="8"/>
      <c r="J31" s="26">
        <v>0.21809999999999999</v>
      </c>
      <c r="K31" s="8">
        <f>SUM(K15,K24:K25)*$J$31</f>
        <v>46147.517279999993</v>
      </c>
      <c r="L31" s="8"/>
      <c r="M31" s="8">
        <f>SUM(M15,M24:M25)*$J$31</f>
        <v>47762.680384799998</v>
      </c>
      <c r="N31" s="8"/>
      <c r="O31" s="8">
        <f>SUM(O24:O25)*$J$31</f>
        <v>13222.946534147999</v>
      </c>
      <c r="P31" s="8"/>
      <c r="Q31" s="8">
        <f>SUM(Q24:Q25)*$J$31</f>
        <v>13891.035907785821</v>
      </c>
      <c r="R31" s="8"/>
      <c r="S31" s="8">
        <f>SUM(S24:S25)*$J$31</f>
        <v>7082.3754505213437</v>
      </c>
      <c r="T31" s="8">
        <f>SUM(K31+M31+O31+Q31+S31)</f>
        <v>128106.55555725514</v>
      </c>
      <c r="U31" s="8">
        <v>0</v>
      </c>
      <c r="V31" s="8">
        <f>SUM(T31:U31)</f>
        <v>128106.55555725514</v>
      </c>
      <c r="W31" s="121"/>
    </row>
    <row r="32" spans="1:24" ht="10.199999999999999" x14ac:dyDescent="0.35">
      <c r="A32" s="31"/>
      <c r="B32" s="31"/>
      <c r="C32" s="31"/>
      <c r="D32" s="31"/>
      <c r="E32" s="31"/>
      <c r="H32" s="31"/>
      <c r="I32" s="27"/>
      <c r="J32" s="17"/>
      <c r="K32" s="17"/>
      <c r="L32" s="17"/>
      <c r="M32" s="17"/>
      <c r="N32" s="17"/>
      <c r="O32" s="17"/>
      <c r="P32" s="17"/>
      <c r="Q32" s="17"/>
      <c r="R32" s="17"/>
      <c r="S32" s="17"/>
      <c r="U32" s="8"/>
    </row>
    <row r="33" spans="1:22" ht="10.8" thickBot="1" x14ac:dyDescent="0.45">
      <c r="A33" s="28"/>
      <c r="B33" s="28"/>
      <c r="C33" s="28"/>
      <c r="D33" s="28"/>
      <c r="E33" s="28"/>
      <c r="F33" s="18" t="s">
        <v>75</v>
      </c>
      <c r="G33" s="18"/>
      <c r="H33" s="28"/>
      <c r="I33" s="28"/>
      <c r="J33" s="29"/>
      <c r="K33" s="19">
        <f>SUM(K27:K31)</f>
        <v>493046.71727999992</v>
      </c>
      <c r="L33" s="19"/>
      <c r="M33" s="19">
        <f>SUM(M27:M31)</f>
        <v>525290.81478479994</v>
      </c>
      <c r="N33" s="19"/>
      <c r="O33" s="19">
        <f>SUM(O27:O31)</f>
        <v>539773.87198906776</v>
      </c>
      <c r="P33" s="19"/>
      <c r="Q33" s="19">
        <f>SUM(Q27:Q31)</f>
        <v>501272.15095812426</v>
      </c>
      <c r="R33" s="19"/>
      <c r="S33" s="19">
        <f>SUM(S27:S31)</f>
        <v>244496.80571790936</v>
      </c>
      <c r="T33" s="19">
        <f>K33+M33+O33+Q33+S33</f>
        <v>2303880.3607299016</v>
      </c>
      <c r="U33" s="19">
        <f>SUM(U27:U31)</f>
        <v>0</v>
      </c>
      <c r="V33" s="30">
        <f>SUM(T33:U33)</f>
        <v>2303880.3607299016</v>
      </c>
    </row>
    <row r="34" spans="1:22" ht="10.5" x14ac:dyDescent="0.4">
      <c r="A34" s="53"/>
      <c r="B34" s="53"/>
      <c r="C34" s="53"/>
      <c r="D34" s="53"/>
      <c r="E34" s="53"/>
      <c r="F34" s="52" t="s">
        <v>8</v>
      </c>
      <c r="G34" s="52"/>
      <c r="H34" s="53"/>
      <c r="I34" s="53"/>
      <c r="J34" s="54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6"/>
    </row>
    <row r="35" spans="1:22" ht="10.5" x14ac:dyDescent="0.4">
      <c r="A35" s="61"/>
      <c r="B35" s="61"/>
      <c r="C35" s="61"/>
      <c r="D35" s="61"/>
      <c r="E35" s="61"/>
      <c r="F35" s="60" t="s">
        <v>76</v>
      </c>
      <c r="G35" s="60"/>
      <c r="H35" s="61"/>
      <c r="I35" s="61"/>
      <c r="J35" s="62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4"/>
    </row>
    <row r="36" spans="1:22" ht="10.199999999999999" x14ac:dyDescent="0.35">
      <c r="A36" s="32" t="s">
        <v>77</v>
      </c>
      <c r="B36" s="32">
        <v>86040</v>
      </c>
      <c r="C36" s="45" t="s">
        <v>50</v>
      </c>
      <c r="D36" s="45" t="s">
        <v>50</v>
      </c>
      <c r="E36" s="32">
        <v>0</v>
      </c>
      <c r="F36" s="1" t="s">
        <v>78</v>
      </c>
      <c r="G36" s="1" t="s">
        <v>8</v>
      </c>
      <c r="H36" s="32" t="s">
        <v>79</v>
      </c>
      <c r="I36" s="8">
        <v>2</v>
      </c>
      <c r="J36" s="8">
        <v>750</v>
      </c>
      <c r="K36" s="8">
        <f>I36*J36</f>
        <v>1500</v>
      </c>
      <c r="L36" s="8">
        <v>0</v>
      </c>
      <c r="M36" s="8">
        <f>L36*J36</f>
        <v>0</v>
      </c>
      <c r="N36" s="8">
        <v>0</v>
      </c>
      <c r="O36" s="8">
        <f>N36*J36</f>
        <v>0</v>
      </c>
      <c r="P36" s="8">
        <v>0</v>
      </c>
      <c r="Q36" s="8">
        <f>P36*J36</f>
        <v>0</v>
      </c>
      <c r="R36" s="8">
        <v>0</v>
      </c>
      <c r="S36" s="8">
        <f>R36*J36</f>
        <v>0</v>
      </c>
      <c r="T36" s="8">
        <f>K36+M36+O36+Q36+S36</f>
        <v>1500</v>
      </c>
      <c r="U36" s="8" t="s">
        <v>80</v>
      </c>
      <c r="V36" s="8">
        <f>SUM(T36:U36)</f>
        <v>1500</v>
      </c>
    </row>
    <row r="37" spans="1:22" ht="10.199999999999999" x14ac:dyDescent="0.35">
      <c r="A37" s="32" t="s">
        <v>81</v>
      </c>
      <c r="B37" s="32" t="s">
        <v>82</v>
      </c>
      <c r="C37" s="45" t="s">
        <v>50</v>
      </c>
      <c r="D37" s="45" t="s">
        <v>50</v>
      </c>
      <c r="E37" s="32">
        <v>0</v>
      </c>
      <c r="F37" s="1" t="s">
        <v>83</v>
      </c>
      <c r="G37" s="1" t="s">
        <v>8</v>
      </c>
      <c r="H37" s="32" t="s">
        <v>84</v>
      </c>
      <c r="I37" s="8">
        <f>5*2</f>
        <v>10</v>
      </c>
      <c r="J37" s="8">
        <f>68.4+210</f>
        <v>278.39999999999998</v>
      </c>
      <c r="K37" s="8">
        <f>I37*J37</f>
        <v>2784</v>
      </c>
      <c r="L37" s="8">
        <v>0</v>
      </c>
      <c r="M37" s="8">
        <f>L37*J37</f>
        <v>0</v>
      </c>
      <c r="N37" s="8">
        <v>0</v>
      </c>
      <c r="O37" s="8">
        <f>N37*J37</f>
        <v>0</v>
      </c>
      <c r="P37" s="8">
        <v>0</v>
      </c>
      <c r="Q37" s="8">
        <f>P37*J37</f>
        <v>0</v>
      </c>
      <c r="R37" s="8">
        <v>0</v>
      </c>
      <c r="S37" s="8">
        <f>R37*J37</f>
        <v>0</v>
      </c>
      <c r="T37" s="8">
        <f t="shared" ref="T37:T39" si="0">K37+M37+O37+Q37+S37</f>
        <v>2784</v>
      </c>
      <c r="U37" s="8" t="s">
        <v>80</v>
      </c>
      <c r="V37" s="8">
        <f>SUM(T37:U37)</f>
        <v>2784</v>
      </c>
    </row>
    <row r="38" spans="1:22" ht="10.199999999999999" x14ac:dyDescent="0.35">
      <c r="A38" s="32" t="s">
        <v>85</v>
      </c>
      <c r="B38" s="32">
        <v>86000</v>
      </c>
      <c r="C38" s="45" t="s">
        <v>50</v>
      </c>
      <c r="D38" s="45" t="s">
        <v>50</v>
      </c>
      <c r="E38" s="32">
        <v>0</v>
      </c>
      <c r="F38" s="1" t="s">
        <v>86</v>
      </c>
      <c r="G38" s="1" t="s">
        <v>8</v>
      </c>
      <c r="H38" s="32" t="s">
        <v>84</v>
      </c>
      <c r="I38" s="8">
        <v>5</v>
      </c>
      <c r="J38" s="8">
        <v>30</v>
      </c>
      <c r="K38" s="8">
        <f>I38*J38</f>
        <v>150</v>
      </c>
      <c r="L38" s="8">
        <v>0</v>
      </c>
      <c r="M38" s="8">
        <f>L38*J38</f>
        <v>0</v>
      </c>
      <c r="N38" s="8">
        <v>0</v>
      </c>
      <c r="O38" s="8">
        <f>N38*J38</f>
        <v>0</v>
      </c>
      <c r="P38" s="8">
        <v>0</v>
      </c>
      <c r="Q38" s="8">
        <f>P38*J38</f>
        <v>0</v>
      </c>
      <c r="R38" s="8">
        <v>0</v>
      </c>
      <c r="S38" s="8">
        <f>R38*J38</f>
        <v>0</v>
      </c>
      <c r="T38" s="8">
        <f t="shared" si="0"/>
        <v>150</v>
      </c>
      <c r="U38" s="8" t="s">
        <v>80</v>
      </c>
      <c r="V38" s="8">
        <f>SUM(T38:U38)</f>
        <v>150</v>
      </c>
    </row>
    <row r="39" spans="1:22" ht="10.199999999999999" x14ac:dyDescent="0.35">
      <c r="A39" s="32" t="s">
        <v>87</v>
      </c>
      <c r="B39" s="32">
        <v>86050</v>
      </c>
      <c r="C39" s="45" t="s">
        <v>50</v>
      </c>
      <c r="D39" s="45" t="s">
        <v>50</v>
      </c>
      <c r="E39" s="32">
        <v>0</v>
      </c>
      <c r="F39" s="1" t="s">
        <v>88</v>
      </c>
      <c r="G39" s="1" t="s">
        <v>8</v>
      </c>
      <c r="H39" s="32" t="s">
        <v>79</v>
      </c>
      <c r="I39" s="8">
        <v>2</v>
      </c>
      <c r="J39" s="8">
        <v>160</v>
      </c>
      <c r="K39" s="8">
        <f>I39*J39</f>
        <v>320</v>
      </c>
      <c r="L39" s="8">
        <v>0</v>
      </c>
      <c r="M39" s="8">
        <f>L39*J39</f>
        <v>0</v>
      </c>
      <c r="N39" s="8">
        <v>0</v>
      </c>
      <c r="O39" s="8">
        <f>N39*J39</f>
        <v>0</v>
      </c>
      <c r="P39" s="8">
        <v>0</v>
      </c>
      <c r="Q39" s="8">
        <f>P39*J39</f>
        <v>0</v>
      </c>
      <c r="R39" s="8">
        <v>0</v>
      </c>
      <c r="S39" s="8">
        <f>R39*J39</f>
        <v>0</v>
      </c>
      <c r="T39" s="8">
        <f t="shared" si="0"/>
        <v>320</v>
      </c>
      <c r="U39" s="8" t="s">
        <v>80</v>
      </c>
      <c r="V39" s="8">
        <f>SUM(T39:U39)</f>
        <v>320</v>
      </c>
    </row>
    <row r="40" spans="1:22" ht="10.199999999999999" x14ac:dyDescent="0.35">
      <c r="A40" s="67"/>
      <c r="B40" s="67"/>
      <c r="C40" s="67"/>
      <c r="D40" s="67"/>
      <c r="E40" s="67"/>
      <c r="F40" s="60" t="s">
        <v>89</v>
      </c>
      <c r="G40" s="60"/>
      <c r="H40" s="67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</row>
    <row r="41" spans="1:22" ht="10.199999999999999" x14ac:dyDescent="0.35">
      <c r="A41" s="32" t="s">
        <v>90</v>
      </c>
      <c r="B41" s="32">
        <v>86040</v>
      </c>
      <c r="C41" s="45" t="s">
        <v>50</v>
      </c>
      <c r="D41" s="45" t="s">
        <v>50</v>
      </c>
      <c r="E41" s="32">
        <v>0</v>
      </c>
      <c r="F41" s="1" t="s">
        <v>78</v>
      </c>
      <c r="G41" s="1" t="s">
        <v>8</v>
      </c>
      <c r="H41" s="32" t="s">
        <v>79</v>
      </c>
      <c r="I41" s="8">
        <v>0</v>
      </c>
      <c r="J41" s="8">
        <v>750</v>
      </c>
      <c r="K41" s="8">
        <f>I41*J41</f>
        <v>0</v>
      </c>
      <c r="L41" s="8">
        <v>1</v>
      </c>
      <c r="M41" s="8">
        <f>L41*J41*$G$9</f>
        <v>780</v>
      </c>
      <c r="N41" s="8">
        <v>2</v>
      </c>
      <c r="O41" s="8">
        <f>N41*J41*$G$9*$G$9</f>
        <v>1622.4</v>
      </c>
      <c r="P41" s="8">
        <v>1</v>
      </c>
      <c r="Q41" s="8">
        <f>P41*J41*$G$9*$G$9*$G$9</f>
        <v>843.64800000000002</v>
      </c>
      <c r="R41" s="8">
        <v>1</v>
      </c>
      <c r="S41" s="8">
        <f>R41*J41*$G$9*$G$9*$G$9*$G$9</f>
        <v>877.39392000000009</v>
      </c>
      <c r="T41" s="8">
        <f>K41+M41+O41+Q41+S41</f>
        <v>4123.4419200000002</v>
      </c>
      <c r="U41" s="8" t="s">
        <v>80</v>
      </c>
      <c r="V41" s="8">
        <f>SUM(T41:U41)</f>
        <v>4123.4419200000002</v>
      </c>
    </row>
    <row r="42" spans="1:22" ht="10.199999999999999" x14ac:dyDescent="0.35">
      <c r="A42" s="32" t="s">
        <v>91</v>
      </c>
      <c r="B42" s="32" t="s">
        <v>82</v>
      </c>
      <c r="C42" s="45" t="s">
        <v>50</v>
      </c>
      <c r="D42" s="45" t="s">
        <v>50</v>
      </c>
      <c r="E42" s="32">
        <v>0</v>
      </c>
      <c r="F42" s="1" t="s">
        <v>83</v>
      </c>
      <c r="G42" s="1" t="s">
        <v>8</v>
      </c>
      <c r="H42" s="32" t="s">
        <v>84</v>
      </c>
      <c r="I42" s="8">
        <v>0</v>
      </c>
      <c r="J42" s="8">
        <f>68.4+210</f>
        <v>278.39999999999998</v>
      </c>
      <c r="K42" s="8">
        <f>I42*J42</f>
        <v>0</v>
      </c>
      <c r="L42" s="8">
        <v>8</v>
      </c>
      <c r="M42" s="8">
        <f>L42*J42*$G$9</f>
        <v>2316.288</v>
      </c>
      <c r="N42" s="8">
        <v>16</v>
      </c>
      <c r="O42" s="8">
        <f>N42*J42*$G$9*$G$9</f>
        <v>4817.8790399999998</v>
      </c>
      <c r="P42" s="8">
        <v>8</v>
      </c>
      <c r="Q42" s="8">
        <f>P42*J42*$G$9*$G$9*$G$9</f>
        <v>2505.2971008</v>
      </c>
      <c r="R42" s="8">
        <v>8</v>
      </c>
      <c r="S42" s="8">
        <f>R42*J42*$G$9*$G$9*$G$9*$G$9</f>
        <v>2605.5089848319999</v>
      </c>
      <c r="T42" s="8">
        <f>K42+M42+O42+Q42+S42</f>
        <v>12244.973125632001</v>
      </c>
      <c r="U42" s="8" t="s">
        <v>80</v>
      </c>
      <c r="V42" s="8">
        <f>SUM(T42:U42)</f>
        <v>12244.973125632001</v>
      </c>
    </row>
    <row r="43" spans="1:22" ht="10.199999999999999" x14ac:dyDescent="0.35">
      <c r="A43" s="32" t="s">
        <v>92</v>
      </c>
      <c r="B43" s="32">
        <v>86000</v>
      </c>
      <c r="C43" s="45" t="s">
        <v>50</v>
      </c>
      <c r="D43" s="45" t="s">
        <v>50</v>
      </c>
      <c r="E43" s="32">
        <v>0</v>
      </c>
      <c r="F43" s="1" t="s">
        <v>86</v>
      </c>
      <c r="G43" s="1" t="s">
        <v>8</v>
      </c>
      <c r="H43" s="32" t="s">
        <v>84</v>
      </c>
      <c r="I43" s="8">
        <v>0</v>
      </c>
      <c r="J43" s="8">
        <v>30</v>
      </c>
      <c r="K43" s="8">
        <f>I43*J43</f>
        <v>0</v>
      </c>
      <c r="L43" s="8">
        <v>8</v>
      </c>
      <c r="M43" s="8">
        <f>L43*J43*$G$9</f>
        <v>249.60000000000002</v>
      </c>
      <c r="N43" s="8">
        <v>8</v>
      </c>
      <c r="O43" s="8">
        <f>N43*J43*$G$9*$G$9</f>
        <v>259.58400000000006</v>
      </c>
      <c r="P43" s="8">
        <v>8</v>
      </c>
      <c r="Q43" s="8">
        <f>P43*J43*$G$9*$G$9*$G$9</f>
        <v>269.9673600000001</v>
      </c>
      <c r="R43" s="8">
        <v>8</v>
      </c>
      <c r="S43" s="8">
        <f>R43*J43*$G$9*$G$9*$G$9*$G$9</f>
        <v>280.76605440000009</v>
      </c>
      <c r="T43" s="8">
        <f>K43+M43+O43+Q43+S43</f>
        <v>1059.9174144000003</v>
      </c>
      <c r="U43" s="8" t="s">
        <v>80</v>
      </c>
      <c r="V43" s="8">
        <f>SUM(T43:U43)</f>
        <v>1059.9174144000003</v>
      </c>
    </row>
    <row r="44" spans="1:22" ht="10.199999999999999" x14ac:dyDescent="0.35">
      <c r="A44" s="67"/>
      <c r="B44" s="67"/>
      <c r="C44" s="67"/>
      <c r="D44" s="67"/>
      <c r="E44" s="67"/>
      <c r="F44" s="60" t="s">
        <v>93</v>
      </c>
      <c r="G44" s="60"/>
      <c r="H44" s="67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</row>
    <row r="45" spans="1:22" ht="10.199999999999999" x14ac:dyDescent="0.35">
      <c r="A45" s="32" t="s">
        <v>94</v>
      </c>
      <c r="B45" s="32">
        <v>86040</v>
      </c>
      <c r="C45" s="32">
        <v>0</v>
      </c>
      <c r="D45" s="32">
        <v>0</v>
      </c>
      <c r="E45" s="32">
        <v>0</v>
      </c>
      <c r="F45" s="1" t="s">
        <v>95</v>
      </c>
      <c r="G45" s="1" t="s">
        <v>8</v>
      </c>
      <c r="H45" s="32" t="s">
        <v>79</v>
      </c>
      <c r="I45" s="8">
        <v>1</v>
      </c>
      <c r="J45" s="8">
        <v>750</v>
      </c>
      <c r="K45" s="8">
        <f>I45*J45</f>
        <v>750</v>
      </c>
      <c r="L45" s="8">
        <v>2</v>
      </c>
      <c r="M45" s="8">
        <f>L45*J45*$G$9</f>
        <v>1560</v>
      </c>
      <c r="N45" s="8">
        <v>2</v>
      </c>
      <c r="O45" s="8">
        <f>N45*J45*$G$9*$G$9</f>
        <v>1622.4</v>
      </c>
      <c r="P45" s="8">
        <v>2</v>
      </c>
      <c r="Q45" s="8">
        <f>P45*J45*$G$9*$G$9*$G$9</f>
        <v>1687.296</v>
      </c>
      <c r="R45" s="8">
        <v>1</v>
      </c>
      <c r="S45" s="8">
        <f>R45*J45*$G$9*$G$9*$G$9*$G$9</f>
        <v>877.39392000000009</v>
      </c>
      <c r="T45" s="8">
        <f>K45+M45+O45+Q45+S45</f>
        <v>6497.0899200000003</v>
      </c>
      <c r="U45" s="8" t="s">
        <v>80</v>
      </c>
      <c r="V45" s="8">
        <f>SUM(T45:U45)</f>
        <v>6497.0899200000003</v>
      </c>
    </row>
    <row r="46" spans="1:22" ht="10.199999999999999" x14ac:dyDescent="0.35">
      <c r="A46" s="32" t="s">
        <v>96</v>
      </c>
      <c r="B46" s="32" t="s">
        <v>82</v>
      </c>
      <c r="C46" s="32">
        <v>0</v>
      </c>
      <c r="D46" s="32">
        <v>0</v>
      </c>
      <c r="E46" s="32">
        <v>0</v>
      </c>
      <c r="F46" s="1" t="s">
        <v>97</v>
      </c>
      <c r="G46" s="1" t="s">
        <v>8</v>
      </c>
      <c r="H46" s="32" t="s">
        <v>84</v>
      </c>
      <c r="I46" s="8">
        <v>5</v>
      </c>
      <c r="J46" s="8">
        <f>106.2+210</f>
        <v>316.2</v>
      </c>
      <c r="K46" s="8">
        <f>I46*J46</f>
        <v>1581</v>
      </c>
      <c r="L46" s="8">
        <v>10</v>
      </c>
      <c r="M46" s="8">
        <f>L46*J46*$G$9</f>
        <v>3288.48</v>
      </c>
      <c r="N46" s="8">
        <v>10</v>
      </c>
      <c r="O46" s="8">
        <f>N46*J46*$G$9*$G$9</f>
        <v>3420.0192000000002</v>
      </c>
      <c r="P46" s="8">
        <v>10</v>
      </c>
      <c r="Q46" s="8">
        <f>P46*J46*$G$9*$G$9*$G$9</f>
        <v>3556.8199680000002</v>
      </c>
      <c r="R46" s="8">
        <v>5</v>
      </c>
      <c r="S46" s="8">
        <f>R46*J46*$G$9*$G$9*$G$9*$G$9</f>
        <v>1849.5463833600002</v>
      </c>
      <c r="T46" s="8">
        <f>K46+M46+O46+Q46+S46</f>
        <v>13695.865551360001</v>
      </c>
      <c r="U46" s="8" t="s">
        <v>80</v>
      </c>
      <c r="V46" s="8">
        <f>SUM(T46:U46)</f>
        <v>13695.865551360001</v>
      </c>
    </row>
    <row r="47" spans="1:22" ht="10.199999999999999" x14ac:dyDescent="0.35">
      <c r="A47" s="32" t="s">
        <v>98</v>
      </c>
      <c r="B47" s="32">
        <v>86000</v>
      </c>
      <c r="C47" s="32">
        <v>0</v>
      </c>
      <c r="D47" s="32">
        <v>0</v>
      </c>
      <c r="E47" s="32">
        <v>0</v>
      </c>
      <c r="F47" s="1" t="s">
        <v>99</v>
      </c>
      <c r="G47" s="1" t="s">
        <v>8</v>
      </c>
      <c r="H47" s="32" t="s">
        <v>84</v>
      </c>
      <c r="I47" s="8">
        <v>5</v>
      </c>
      <c r="J47" s="8">
        <v>60</v>
      </c>
      <c r="K47" s="8">
        <f>I47*J47</f>
        <v>300</v>
      </c>
      <c r="L47" s="8">
        <v>10</v>
      </c>
      <c r="M47" s="8">
        <f>L47*J47*$G$9</f>
        <v>624</v>
      </c>
      <c r="N47" s="8">
        <v>10</v>
      </c>
      <c r="O47" s="8">
        <f>N47*J47*$G$9*$G$9</f>
        <v>648.96</v>
      </c>
      <c r="P47" s="8">
        <v>10</v>
      </c>
      <c r="Q47" s="8">
        <f>P47*J47*$G$9*$G$9*$G$9</f>
        <v>674.91840000000002</v>
      </c>
      <c r="R47" s="8">
        <v>5</v>
      </c>
      <c r="S47" s="8">
        <f>R47*J47*$G$9*$G$9*$G$9*$G$9</f>
        <v>350.95756800000004</v>
      </c>
      <c r="T47" s="8">
        <f>K47+M47+O47+Q47+S47</f>
        <v>2598.8359680000003</v>
      </c>
      <c r="U47" s="8" t="s">
        <v>80</v>
      </c>
      <c r="V47" s="8">
        <f>SUM(T47:U47)</f>
        <v>2598.8359680000003</v>
      </c>
    </row>
    <row r="48" spans="1:22" ht="10.199999999999999" x14ac:dyDescent="0.35">
      <c r="A48" s="67"/>
      <c r="B48" s="67"/>
      <c r="C48" s="67"/>
      <c r="D48" s="67"/>
      <c r="E48" s="67"/>
      <c r="F48" s="60" t="s">
        <v>100</v>
      </c>
      <c r="G48" s="60"/>
      <c r="H48" s="67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ht="10.199999999999999" x14ac:dyDescent="0.35">
      <c r="A49" s="32" t="s">
        <v>101</v>
      </c>
      <c r="B49" s="32" t="s">
        <v>82</v>
      </c>
      <c r="C49" s="45" t="s">
        <v>50</v>
      </c>
      <c r="D49" s="45" t="s">
        <v>50</v>
      </c>
      <c r="E49" s="32">
        <v>0</v>
      </c>
      <c r="F49" s="12" t="s">
        <v>102</v>
      </c>
      <c r="G49" s="1" t="s">
        <v>8</v>
      </c>
      <c r="H49" s="32" t="s">
        <v>53</v>
      </c>
      <c r="I49" s="8">
        <v>8</v>
      </c>
      <c r="J49" s="8">
        <f>110*16</f>
        <v>1760</v>
      </c>
      <c r="K49" s="8">
        <f>I49*J49/2</f>
        <v>7040</v>
      </c>
      <c r="L49" s="8">
        <v>12</v>
      </c>
      <c r="M49" s="8">
        <f>L49*J49*$G$9</f>
        <v>21964.799999999999</v>
      </c>
      <c r="N49" s="8">
        <v>12</v>
      </c>
      <c r="O49" s="8">
        <f>N49*J49*$G$9*$G$9</f>
        <v>22843.392</v>
      </c>
      <c r="P49" s="8">
        <v>12</v>
      </c>
      <c r="Q49" s="8">
        <f>P49*J49*$G$9*$G$9*$G$9</f>
        <v>23757.127680000001</v>
      </c>
      <c r="R49" s="8">
        <v>3</v>
      </c>
      <c r="S49" s="8">
        <f>R49*J49*$G$9*$G$9*$G$9*$G$9/2</f>
        <v>3088.4265984000003</v>
      </c>
      <c r="T49" s="8">
        <f>K49+M49+O49+Q49+S49</f>
        <v>78693.746278399994</v>
      </c>
      <c r="U49" s="8">
        <v>0</v>
      </c>
      <c r="V49" s="8">
        <f>SUM(T49:U49)</f>
        <v>78693.746278399994</v>
      </c>
    </row>
    <row r="50" spans="1:22" ht="10.199999999999999" x14ac:dyDescent="0.35">
      <c r="A50" s="32" t="s">
        <v>103</v>
      </c>
      <c r="B50" s="32">
        <v>86000</v>
      </c>
      <c r="C50" s="45" t="s">
        <v>50</v>
      </c>
      <c r="D50" s="45" t="s">
        <v>50</v>
      </c>
      <c r="E50" s="32">
        <v>0</v>
      </c>
      <c r="F50" s="12" t="s">
        <v>104</v>
      </c>
      <c r="G50" s="1" t="s">
        <v>8</v>
      </c>
      <c r="H50" s="32" t="s">
        <v>53</v>
      </c>
      <c r="I50" s="8">
        <v>8</v>
      </c>
      <c r="J50" s="8">
        <f>100*4</f>
        <v>400</v>
      </c>
      <c r="K50" s="8">
        <f>I50*J50</f>
        <v>3200</v>
      </c>
      <c r="L50" s="8">
        <v>12</v>
      </c>
      <c r="M50" s="8">
        <f>L50*J50*$G$9</f>
        <v>4992</v>
      </c>
      <c r="N50" s="8">
        <v>12</v>
      </c>
      <c r="O50" s="8">
        <f>N50*J50*$G$9*$G$9</f>
        <v>5191.68</v>
      </c>
      <c r="P50" s="8">
        <v>12</v>
      </c>
      <c r="Q50" s="8">
        <f>P50*J50*$G$9*$G$9*$G$9</f>
        <v>5399.3472000000002</v>
      </c>
      <c r="R50" s="8">
        <v>3</v>
      </c>
      <c r="S50" s="8">
        <f>R50*J50*$G$9*$G$9*$G$9*$G$9</f>
        <v>1403.8302720000002</v>
      </c>
      <c r="T50" s="8">
        <f>K50+M50+O50+Q50+S50</f>
        <v>20186.857472</v>
      </c>
      <c r="U50" s="8">
        <v>0</v>
      </c>
      <c r="V50" s="8">
        <f>SUM(T50:U50)</f>
        <v>20186.857472</v>
      </c>
    </row>
    <row r="51" spans="1:22" ht="10.199999999999999" x14ac:dyDescent="0.35">
      <c r="A51" s="32" t="s">
        <v>105</v>
      </c>
      <c r="B51" s="32">
        <v>86040</v>
      </c>
      <c r="C51" s="45" t="s">
        <v>50</v>
      </c>
      <c r="D51" s="45" t="s">
        <v>50</v>
      </c>
      <c r="E51" s="32">
        <v>0</v>
      </c>
      <c r="F51" s="12" t="s">
        <v>106</v>
      </c>
      <c r="G51" s="1" t="s">
        <v>8</v>
      </c>
      <c r="H51" s="32" t="s">
        <v>53</v>
      </c>
      <c r="I51" s="8">
        <v>8</v>
      </c>
      <c r="J51" s="8">
        <f>300*4</f>
        <v>1200</v>
      </c>
      <c r="K51" s="8">
        <f>I51*J51</f>
        <v>9600</v>
      </c>
      <c r="L51" s="8">
        <v>12</v>
      </c>
      <c r="M51" s="8">
        <f>L51*J51*$G$9</f>
        <v>14976</v>
      </c>
      <c r="N51" s="8">
        <v>12</v>
      </c>
      <c r="O51" s="8">
        <f>N51*J51*$G$9*$G$9</f>
        <v>15575.04</v>
      </c>
      <c r="P51" s="8">
        <v>12</v>
      </c>
      <c r="Q51" s="8">
        <f>P51*J51*$G$9*$G$9*$G$9</f>
        <v>16198.041600000002</v>
      </c>
      <c r="R51" s="8">
        <v>3</v>
      </c>
      <c r="S51" s="8">
        <f>R51*J51*$G$9*$G$9*$G$9*$G$9</f>
        <v>4211.4908160000005</v>
      </c>
      <c r="T51" s="8">
        <f>K51+M51+O51+Q51+S51</f>
        <v>60560.572416000003</v>
      </c>
      <c r="U51" s="8">
        <v>0</v>
      </c>
      <c r="V51" s="8">
        <f>SUM(T51:U51)</f>
        <v>60560.572416000003</v>
      </c>
    </row>
    <row r="52" spans="1:22" ht="10.199999999999999" x14ac:dyDescent="0.35">
      <c r="A52" s="32"/>
      <c r="B52" s="32"/>
      <c r="C52" s="32"/>
      <c r="D52" s="32"/>
      <c r="E52" s="32"/>
      <c r="F52" s="12"/>
      <c r="H52" s="32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0.8" thickBot="1" x14ac:dyDescent="0.45">
      <c r="A53" s="28"/>
      <c r="B53" s="28"/>
      <c r="C53" s="28"/>
      <c r="D53" s="28"/>
      <c r="E53" s="28"/>
      <c r="F53" s="18" t="s">
        <v>107</v>
      </c>
      <c r="G53" s="18"/>
      <c r="H53" s="28"/>
      <c r="I53" s="28"/>
      <c r="J53" s="29"/>
      <c r="K53" s="19">
        <f>SUM(K36:K51)</f>
        <v>27225</v>
      </c>
      <c r="L53" s="19"/>
      <c r="M53" s="19">
        <f>SUM(M36:M51)</f>
        <v>50751.167999999998</v>
      </c>
      <c r="N53" s="19"/>
      <c r="O53" s="19">
        <f>SUM(O36:O51)</f>
        <v>56001.354240000001</v>
      </c>
      <c r="P53" s="19"/>
      <c r="Q53" s="19">
        <f>SUM(Q36:Q51)</f>
        <v>54892.463308800005</v>
      </c>
      <c r="R53" s="19"/>
      <c r="S53" s="19">
        <f>SUM(S36:S51)</f>
        <v>15545.314516992003</v>
      </c>
      <c r="T53" s="19">
        <f>K53+M53+O53+Q53+S53</f>
        <v>204415.30006579205</v>
      </c>
      <c r="U53" s="19">
        <f>SUM(U36:U50)</f>
        <v>0</v>
      </c>
      <c r="V53" s="30">
        <f>SUM(T53:U53)</f>
        <v>204415.30006579205</v>
      </c>
    </row>
    <row r="54" spans="1:22" ht="10.5" x14ac:dyDescent="0.4">
      <c r="A54" s="38"/>
      <c r="B54" s="38"/>
      <c r="C54" s="38"/>
      <c r="D54" s="38"/>
      <c r="E54" s="38"/>
      <c r="F54" s="38" t="s">
        <v>10</v>
      </c>
      <c r="G54" s="38"/>
      <c r="H54" s="38"/>
      <c r="I54" s="38"/>
      <c r="J54" s="39"/>
      <c r="K54" s="11"/>
      <c r="L54" s="11"/>
      <c r="M54" s="11"/>
      <c r="N54" s="11"/>
      <c r="O54" s="11"/>
      <c r="P54" s="11"/>
      <c r="Q54" s="11"/>
      <c r="R54" s="11"/>
      <c r="S54" s="11"/>
      <c r="T54" s="105"/>
      <c r="U54" s="11"/>
      <c r="V54" s="105"/>
    </row>
    <row r="55" spans="1:22" ht="10.5" x14ac:dyDescent="0.4">
      <c r="A55" s="76"/>
      <c r="B55" s="76"/>
      <c r="C55" s="76"/>
      <c r="D55" s="76"/>
      <c r="E55" s="76"/>
      <c r="F55" s="60" t="s">
        <v>108</v>
      </c>
      <c r="G55" s="76"/>
      <c r="H55" s="76"/>
      <c r="I55" s="76"/>
      <c r="J55" s="73"/>
      <c r="K55" s="74"/>
      <c r="L55" s="74"/>
      <c r="M55" s="74"/>
      <c r="N55" s="74"/>
      <c r="O55" s="74"/>
      <c r="P55" s="74"/>
      <c r="Q55" s="74"/>
      <c r="R55" s="74"/>
      <c r="S55" s="74"/>
      <c r="T55" s="104"/>
      <c r="U55" s="74"/>
      <c r="V55" s="104"/>
    </row>
    <row r="56" spans="1:22" ht="10.199999999999999" x14ac:dyDescent="0.35">
      <c r="A56" s="12" t="s">
        <v>109</v>
      </c>
      <c r="B56" s="12">
        <v>82401</v>
      </c>
      <c r="C56" s="32" t="s">
        <v>110</v>
      </c>
      <c r="D56" s="32" t="s">
        <v>110</v>
      </c>
      <c r="E56" s="32">
        <v>0</v>
      </c>
      <c r="F56" s="1" t="s">
        <v>111</v>
      </c>
      <c r="G56" s="1" t="s">
        <v>9</v>
      </c>
      <c r="H56" s="1" t="s">
        <v>112</v>
      </c>
      <c r="I56" s="1">
        <v>5</v>
      </c>
      <c r="J56" s="6">
        <v>900</v>
      </c>
      <c r="K56" s="5">
        <f>I56*J56</f>
        <v>4500</v>
      </c>
      <c r="L56" s="8">
        <v>0</v>
      </c>
      <c r="M56" s="8">
        <f t="shared" ref="M56:M63" si="1">L56*J56*$G$9</f>
        <v>0</v>
      </c>
      <c r="N56" s="8">
        <v>0</v>
      </c>
      <c r="O56" s="8">
        <f t="shared" ref="O56:O63" si="2">N56*J56*$G$9*$G$9</f>
        <v>0</v>
      </c>
      <c r="P56" s="8">
        <v>0</v>
      </c>
      <c r="Q56" s="8">
        <f t="shared" ref="Q56:Q63" si="3">P56*J56*$G$9*$G$9*$G$9</f>
        <v>0</v>
      </c>
      <c r="R56" s="8">
        <v>0</v>
      </c>
      <c r="S56" s="8">
        <f t="shared" ref="S56:S63" si="4">R56*J56*$G$9*$G$9*$G$9*$G$9</f>
        <v>0</v>
      </c>
      <c r="T56" s="17">
        <f t="shared" ref="T56" si="5">K56+M56+O56+Q56+S56</f>
        <v>4500</v>
      </c>
      <c r="U56" s="8">
        <v>0</v>
      </c>
      <c r="V56" s="17">
        <f>SUM(T56:U56)</f>
        <v>4500</v>
      </c>
    </row>
    <row r="57" spans="1:22" ht="10.199999999999999" x14ac:dyDescent="0.35">
      <c r="A57" s="12" t="s">
        <v>113</v>
      </c>
      <c r="B57" s="12">
        <v>90900</v>
      </c>
      <c r="C57" s="45" t="s">
        <v>50</v>
      </c>
      <c r="D57" s="45" t="s">
        <v>50</v>
      </c>
      <c r="E57" s="32">
        <v>0</v>
      </c>
      <c r="F57" s="12" t="s">
        <v>114</v>
      </c>
      <c r="G57" s="12" t="s">
        <v>115</v>
      </c>
      <c r="H57" s="32" t="s">
        <v>53</v>
      </c>
      <c r="I57" s="8">
        <v>11</v>
      </c>
      <c r="J57" s="8">
        <v>40</v>
      </c>
      <c r="K57" s="8">
        <f t="shared" ref="K57:K63" si="6">I57*J57</f>
        <v>440</v>
      </c>
      <c r="L57" s="8">
        <v>12</v>
      </c>
      <c r="M57" s="8">
        <f t="shared" si="1"/>
        <v>499.20000000000005</v>
      </c>
      <c r="N57" s="8">
        <v>12</v>
      </c>
      <c r="O57" s="8">
        <f t="shared" si="2"/>
        <v>519.16800000000012</v>
      </c>
      <c r="P57" s="8">
        <v>12</v>
      </c>
      <c r="Q57" s="8">
        <f t="shared" si="3"/>
        <v>539.9347200000002</v>
      </c>
      <c r="R57" s="8">
        <v>5</v>
      </c>
      <c r="S57" s="8">
        <f t="shared" si="4"/>
        <v>233.97171200000003</v>
      </c>
      <c r="T57" s="8">
        <f t="shared" ref="T57:T63" si="7">K57+M57+O57+Q57+S57</f>
        <v>2232.2744320000002</v>
      </c>
      <c r="U57" s="8">
        <v>0</v>
      </c>
      <c r="V57" s="8">
        <f t="shared" ref="V57:V63" si="8">SUM(T57:U57)</f>
        <v>2232.2744320000002</v>
      </c>
    </row>
    <row r="58" spans="1:22" ht="10.199999999999999" x14ac:dyDescent="0.35">
      <c r="A58" s="12" t="s">
        <v>116</v>
      </c>
      <c r="B58" s="12">
        <v>82350</v>
      </c>
      <c r="C58" s="45" t="s">
        <v>50</v>
      </c>
      <c r="D58" s="45" t="s">
        <v>50</v>
      </c>
      <c r="E58" s="32">
        <v>0</v>
      </c>
      <c r="F58" s="12" t="s">
        <v>117</v>
      </c>
      <c r="G58" s="12" t="s">
        <v>115</v>
      </c>
      <c r="H58" s="32" t="s">
        <v>118</v>
      </c>
      <c r="I58" s="8">
        <v>1</v>
      </c>
      <c r="J58" s="8">
        <v>100</v>
      </c>
      <c r="K58" s="8">
        <f t="shared" si="6"/>
        <v>100</v>
      </c>
      <c r="L58" s="8">
        <v>1</v>
      </c>
      <c r="M58" s="8">
        <f t="shared" si="1"/>
        <v>104</v>
      </c>
      <c r="N58" s="8">
        <v>1</v>
      </c>
      <c r="O58" s="8">
        <f t="shared" si="2"/>
        <v>108.16</v>
      </c>
      <c r="P58" s="8">
        <v>1</v>
      </c>
      <c r="Q58" s="8">
        <f t="shared" si="3"/>
        <v>112.4864</v>
      </c>
      <c r="R58" s="8">
        <v>1</v>
      </c>
      <c r="S58" s="8">
        <f t="shared" si="4"/>
        <v>116.98585600000001</v>
      </c>
      <c r="T58" s="8">
        <f t="shared" si="7"/>
        <v>541.63225599999998</v>
      </c>
      <c r="U58" s="8">
        <v>0</v>
      </c>
      <c r="V58" s="8">
        <f t="shared" si="8"/>
        <v>541.63225599999998</v>
      </c>
    </row>
    <row r="59" spans="1:22" ht="10.199999999999999" x14ac:dyDescent="0.35">
      <c r="A59" s="12" t="s">
        <v>119</v>
      </c>
      <c r="B59" s="12">
        <v>90450</v>
      </c>
      <c r="C59" s="45" t="s">
        <v>50</v>
      </c>
      <c r="D59" s="45" t="s">
        <v>50</v>
      </c>
      <c r="E59" s="32">
        <v>0</v>
      </c>
      <c r="F59" s="12" t="s">
        <v>120</v>
      </c>
      <c r="G59" s="12" t="s">
        <v>115</v>
      </c>
      <c r="H59" s="32" t="s">
        <v>118</v>
      </c>
      <c r="I59" s="8">
        <v>1</v>
      </c>
      <c r="J59" s="8">
        <v>400</v>
      </c>
      <c r="K59" s="8">
        <f t="shared" si="6"/>
        <v>400</v>
      </c>
      <c r="L59" s="8">
        <v>1</v>
      </c>
      <c r="M59" s="8">
        <f t="shared" si="1"/>
        <v>416</v>
      </c>
      <c r="N59" s="8">
        <v>1</v>
      </c>
      <c r="O59" s="8">
        <f t="shared" si="2"/>
        <v>432.64</v>
      </c>
      <c r="P59" s="8">
        <v>1</v>
      </c>
      <c r="Q59" s="8">
        <f>P59*J59*$G$9*$G$9*$G$9</f>
        <v>449.94560000000001</v>
      </c>
      <c r="R59" s="8">
        <v>0</v>
      </c>
      <c r="S59" s="8">
        <f t="shared" si="4"/>
        <v>0</v>
      </c>
      <c r="T59" s="8">
        <f t="shared" si="7"/>
        <v>1698.5855999999999</v>
      </c>
      <c r="U59" s="8">
        <v>0</v>
      </c>
      <c r="V59" s="8">
        <f t="shared" si="8"/>
        <v>1698.5855999999999</v>
      </c>
    </row>
    <row r="60" spans="1:22" ht="10.199999999999999" x14ac:dyDescent="0.35">
      <c r="A60" s="12" t="s">
        <v>121</v>
      </c>
      <c r="B60" s="12">
        <v>82401</v>
      </c>
      <c r="C60" s="32" t="s">
        <v>110</v>
      </c>
      <c r="D60" s="32" t="s">
        <v>110</v>
      </c>
      <c r="E60" s="32">
        <v>0</v>
      </c>
      <c r="F60" s="12" t="s">
        <v>122</v>
      </c>
      <c r="G60" s="12" t="s">
        <v>115</v>
      </c>
      <c r="H60" s="32" t="s">
        <v>53</v>
      </c>
      <c r="I60" s="8">
        <v>11</v>
      </c>
      <c r="J60" s="8">
        <v>125</v>
      </c>
      <c r="K60" s="8">
        <f t="shared" si="6"/>
        <v>1375</v>
      </c>
      <c r="L60" s="8">
        <v>12</v>
      </c>
      <c r="M60" s="8">
        <f t="shared" si="1"/>
        <v>1560</v>
      </c>
      <c r="N60" s="8">
        <v>12</v>
      </c>
      <c r="O60" s="8">
        <f t="shared" si="2"/>
        <v>1622.4</v>
      </c>
      <c r="P60" s="8">
        <v>12</v>
      </c>
      <c r="Q60" s="8">
        <f t="shared" si="3"/>
        <v>1687.296</v>
      </c>
      <c r="R60" s="8">
        <v>3</v>
      </c>
      <c r="S60" s="8">
        <f t="shared" si="4"/>
        <v>438.69696000000005</v>
      </c>
      <c r="T60" s="8">
        <f t="shared" si="7"/>
        <v>6683.3929600000001</v>
      </c>
      <c r="U60" s="8">
        <v>0</v>
      </c>
      <c r="V60" s="8">
        <f t="shared" si="8"/>
        <v>6683.3929600000001</v>
      </c>
    </row>
    <row r="61" spans="1:22" ht="10.199999999999999" x14ac:dyDescent="0.35">
      <c r="A61" s="12" t="s">
        <v>123</v>
      </c>
      <c r="B61" s="32">
        <v>85180</v>
      </c>
      <c r="C61" s="45" t="s">
        <v>50</v>
      </c>
      <c r="D61" s="45" t="s">
        <v>50</v>
      </c>
      <c r="E61" s="32">
        <v>0</v>
      </c>
      <c r="F61" s="12" t="s">
        <v>124</v>
      </c>
      <c r="G61" s="12" t="s">
        <v>115</v>
      </c>
      <c r="H61" s="32" t="s">
        <v>53</v>
      </c>
      <c r="I61" s="8">
        <v>11</v>
      </c>
      <c r="J61" s="8">
        <v>1900</v>
      </c>
      <c r="K61" s="8">
        <f t="shared" si="6"/>
        <v>20900</v>
      </c>
      <c r="L61" s="8">
        <v>12</v>
      </c>
      <c r="M61" s="8">
        <f>L61*J61*$G$9</f>
        <v>23712</v>
      </c>
      <c r="N61" s="8">
        <v>12</v>
      </c>
      <c r="O61" s="8">
        <f t="shared" si="2"/>
        <v>24660.48</v>
      </c>
      <c r="P61" s="8">
        <v>12</v>
      </c>
      <c r="Q61" s="8">
        <f t="shared" si="3"/>
        <v>25646.8992</v>
      </c>
      <c r="R61" s="8">
        <v>5</v>
      </c>
      <c r="S61" s="8">
        <f t="shared" si="4"/>
        <v>11113.65632</v>
      </c>
      <c r="T61" s="8">
        <f t="shared" si="7"/>
        <v>106033.03551999999</v>
      </c>
      <c r="U61" s="8">
        <v>0</v>
      </c>
      <c r="V61" s="8">
        <f t="shared" si="8"/>
        <v>106033.03551999999</v>
      </c>
    </row>
    <row r="62" spans="1:22" ht="10.199999999999999" x14ac:dyDescent="0.35">
      <c r="A62" s="12" t="s">
        <v>125</v>
      </c>
      <c r="B62" s="32">
        <v>89500</v>
      </c>
      <c r="C62" s="45" t="s">
        <v>50</v>
      </c>
      <c r="D62" s="45" t="s">
        <v>50</v>
      </c>
      <c r="E62" s="32">
        <v>0</v>
      </c>
      <c r="F62" s="12" t="s">
        <v>126</v>
      </c>
      <c r="G62" s="12" t="s">
        <v>115</v>
      </c>
      <c r="H62" s="32" t="s">
        <v>118</v>
      </c>
      <c r="I62" s="8">
        <v>1</v>
      </c>
      <c r="J62" s="8">
        <v>400</v>
      </c>
      <c r="K62" s="8">
        <f t="shared" si="6"/>
        <v>400</v>
      </c>
      <c r="L62" s="8">
        <v>1</v>
      </c>
      <c r="M62" s="8">
        <f t="shared" si="1"/>
        <v>416</v>
      </c>
      <c r="N62" s="8">
        <v>1</v>
      </c>
      <c r="O62" s="8">
        <f t="shared" si="2"/>
        <v>432.64</v>
      </c>
      <c r="P62" s="8">
        <v>1</v>
      </c>
      <c r="Q62" s="8">
        <f t="shared" si="3"/>
        <v>449.94560000000001</v>
      </c>
      <c r="R62" s="8">
        <v>1</v>
      </c>
      <c r="S62" s="8">
        <f t="shared" si="4"/>
        <v>467.94342400000005</v>
      </c>
      <c r="T62" s="8">
        <f t="shared" si="7"/>
        <v>2166.5290239999999</v>
      </c>
      <c r="U62" s="8">
        <v>0</v>
      </c>
      <c r="V62" s="8">
        <f t="shared" si="8"/>
        <v>2166.5290239999999</v>
      </c>
    </row>
    <row r="63" spans="1:22" ht="10.199999999999999" x14ac:dyDescent="0.35">
      <c r="A63" s="12" t="s">
        <v>127</v>
      </c>
      <c r="B63" s="32">
        <v>90100</v>
      </c>
      <c r="C63" s="45" t="s">
        <v>50</v>
      </c>
      <c r="D63" s="45" t="s">
        <v>50</v>
      </c>
      <c r="E63" s="32">
        <v>0</v>
      </c>
      <c r="F63" s="12" t="s">
        <v>128</v>
      </c>
      <c r="G63" s="12" t="s">
        <v>115</v>
      </c>
      <c r="H63" s="32" t="s">
        <v>118</v>
      </c>
      <c r="I63" s="8">
        <v>1</v>
      </c>
      <c r="J63" s="8">
        <v>1000</v>
      </c>
      <c r="K63" s="8">
        <f t="shared" si="6"/>
        <v>1000</v>
      </c>
      <c r="L63" s="8">
        <v>1</v>
      </c>
      <c r="M63" s="8">
        <f t="shared" si="1"/>
        <v>1040</v>
      </c>
      <c r="N63" s="8">
        <v>1</v>
      </c>
      <c r="O63" s="8">
        <f t="shared" si="2"/>
        <v>1081.6000000000001</v>
      </c>
      <c r="P63" s="8">
        <v>1</v>
      </c>
      <c r="Q63" s="8">
        <f t="shared" si="3"/>
        <v>1124.8640000000003</v>
      </c>
      <c r="R63" s="8">
        <v>1</v>
      </c>
      <c r="S63" s="8">
        <f t="shared" si="4"/>
        <v>1169.8585600000004</v>
      </c>
      <c r="T63" s="8">
        <f t="shared" si="7"/>
        <v>5416.3225600000014</v>
      </c>
      <c r="U63" s="8">
        <v>0</v>
      </c>
      <c r="V63" s="8">
        <f t="shared" si="8"/>
        <v>5416.3225600000014</v>
      </c>
    </row>
    <row r="64" spans="1:22" ht="10.199999999999999" x14ac:dyDescent="0.35">
      <c r="A64" s="67"/>
      <c r="B64" s="67"/>
      <c r="C64" s="67"/>
      <c r="D64" s="67"/>
      <c r="E64" s="67"/>
      <c r="F64" s="58" t="s">
        <v>129</v>
      </c>
      <c r="G64" s="72"/>
      <c r="H64" s="67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</row>
    <row r="65" spans="1:24" ht="10.199999999999999" x14ac:dyDescent="0.35">
      <c r="A65" s="12" t="s">
        <v>130</v>
      </c>
      <c r="B65" s="12">
        <v>82100</v>
      </c>
      <c r="C65" s="45" t="s">
        <v>50</v>
      </c>
      <c r="D65" s="45" t="s">
        <v>50</v>
      </c>
      <c r="E65" s="32">
        <v>0</v>
      </c>
      <c r="F65" s="12" t="s">
        <v>131</v>
      </c>
      <c r="G65" s="12" t="s">
        <v>115</v>
      </c>
      <c r="H65" s="32" t="s">
        <v>118</v>
      </c>
      <c r="I65" s="8">
        <v>1</v>
      </c>
      <c r="J65" s="8">
        <v>5000</v>
      </c>
      <c r="K65" s="8">
        <f>I65*J65</f>
        <v>5000</v>
      </c>
      <c r="L65" s="8">
        <v>1</v>
      </c>
      <c r="M65" s="8">
        <f>L65*J65*$G$8</f>
        <v>5150</v>
      </c>
      <c r="N65" s="8">
        <v>1</v>
      </c>
      <c r="O65" s="8">
        <f>N65*J65*$G$8*$G$8</f>
        <v>5304.5</v>
      </c>
      <c r="P65" s="8">
        <v>1</v>
      </c>
      <c r="Q65" s="8">
        <f>P65*J65*$G$8*$G$8*$G$8</f>
        <v>5463.6350000000002</v>
      </c>
      <c r="R65" s="8">
        <v>0</v>
      </c>
      <c r="S65" s="8">
        <f>R65*J65*$G$8*$G$8*$G$8*$G$8</f>
        <v>0</v>
      </c>
      <c r="T65" s="8">
        <f>K65+M65+O65+Q65+S65</f>
        <v>20918.135000000002</v>
      </c>
      <c r="U65" s="8">
        <v>0</v>
      </c>
      <c r="V65" s="8">
        <f>SUM(T65:U65)</f>
        <v>20918.135000000002</v>
      </c>
    </row>
    <row r="66" spans="1:24" ht="10.199999999999999" x14ac:dyDescent="0.35">
      <c r="A66" s="12" t="s">
        <v>132</v>
      </c>
      <c r="B66" s="12">
        <v>81010</v>
      </c>
      <c r="C66" s="45" t="s">
        <v>50</v>
      </c>
      <c r="D66" s="45" t="s">
        <v>50</v>
      </c>
      <c r="E66" s="32">
        <v>0</v>
      </c>
      <c r="F66" s="12" t="s">
        <v>133</v>
      </c>
      <c r="G66" s="12" t="s">
        <v>115</v>
      </c>
      <c r="H66" s="32" t="s">
        <v>118</v>
      </c>
      <c r="I66" s="8">
        <v>0</v>
      </c>
      <c r="J66" s="8">
        <v>100000</v>
      </c>
      <c r="K66" s="8">
        <f>I66*J66</f>
        <v>0</v>
      </c>
      <c r="L66" s="8">
        <v>0</v>
      </c>
      <c r="M66" s="8">
        <f>L66*J66*$G$8</f>
        <v>0</v>
      </c>
      <c r="N66" s="8">
        <v>1</v>
      </c>
      <c r="O66" s="8">
        <f>N66*J66*$G$8*$G$8</f>
        <v>106090</v>
      </c>
      <c r="P66" s="8">
        <v>0</v>
      </c>
      <c r="Q66" s="8">
        <f>P66*J66*$G$8*$G$8*$G$8</f>
        <v>0</v>
      </c>
      <c r="R66" s="8">
        <v>0</v>
      </c>
      <c r="S66" s="8">
        <f>R66*J66*$G$8*$G$8*$G$8*$G$8</f>
        <v>0</v>
      </c>
      <c r="T66" s="8">
        <f>K66+M66+O66+Q66+S66</f>
        <v>106090</v>
      </c>
      <c r="U66" s="8">
        <v>0</v>
      </c>
      <c r="V66" s="8">
        <f>SUM(T66:U66)</f>
        <v>106090</v>
      </c>
    </row>
    <row r="67" spans="1:24" ht="10.199999999999999" x14ac:dyDescent="0.35">
      <c r="A67" s="67"/>
      <c r="B67" s="67"/>
      <c r="C67" s="67"/>
      <c r="D67" s="67"/>
      <c r="E67" s="67"/>
      <c r="F67" s="58" t="s">
        <v>134</v>
      </c>
      <c r="G67" s="72"/>
      <c r="H67" s="67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</row>
    <row r="68" spans="1:24" ht="10.199999999999999" x14ac:dyDescent="0.35">
      <c r="A68" s="31" t="s">
        <v>135</v>
      </c>
      <c r="B68" s="31">
        <v>89400</v>
      </c>
      <c r="C68" s="32" t="s">
        <v>110</v>
      </c>
      <c r="D68" s="32" t="s">
        <v>110</v>
      </c>
      <c r="E68" s="32">
        <v>0</v>
      </c>
      <c r="F68" s="12" t="s">
        <v>136</v>
      </c>
      <c r="G68" s="12" t="s">
        <v>115</v>
      </c>
      <c r="H68" s="31" t="s">
        <v>53</v>
      </c>
      <c r="I68" s="8">
        <v>12</v>
      </c>
      <c r="J68" s="8">
        <f>5*9</f>
        <v>45</v>
      </c>
      <c r="K68" s="8">
        <f>I68*J68</f>
        <v>540</v>
      </c>
      <c r="L68" s="8">
        <v>12</v>
      </c>
      <c r="M68" s="8">
        <f>L68*J68*$G$8</f>
        <v>556.20000000000005</v>
      </c>
      <c r="N68" s="8">
        <v>12</v>
      </c>
      <c r="O68" s="8">
        <f>N68*J68*$G$8*$G$8</f>
        <v>572.88600000000008</v>
      </c>
      <c r="P68" s="8">
        <v>12</v>
      </c>
      <c r="Q68" s="8">
        <f>P68*J68*$G$8*$G$8*$G$8</f>
        <v>590.07258000000013</v>
      </c>
      <c r="R68" s="8">
        <v>6</v>
      </c>
      <c r="S68" s="8">
        <f>R68*J68*$G$8*$G$8*$G$8*$G$8</f>
        <v>303.88737870000006</v>
      </c>
      <c r="T68" s="8">
        <f>K68+M68+O68+Q68+S68</f>
        <v>2563.0459587000005</v>
      </c>
      <c r="U68" s="8">
        <v>0</v>
      </c>
      <c r="V68" s="8">
        <f>SUM(T68:U68)</f>
        <v>2563.0459587000005</v>
      </c>
    </row>
    <row r="69" spans="1:24" ht="10.199999999999999" x14ac:dyDescent="0.35">
      <c r="A69" s="31" t="s">
        <v>135</v>
      </c>
      <c r="B69" s="31">
        <v>89400</v>
      </c>
      <c r="C69" s="32" t="s">
        <v>110</v>
      </c>
      <c r="D69" s="32" t="s">
        <v>110</v>
      </c>
      <c r="E69" s="32">
        <v>0</v>
      </c>
      <c r="F69" s="12" t="s">
        <v>137</v>
      </c>
      <c r="G69" s="12" t="s">
        <v>115</v>
      </c>
      <c r="H69" s="31" t="s">
        <v>118</v>
      </c>
      <c r="I69" s="8">
        <v>1</v>
      </c>
      <c r="J69" s="8">
        <v>200</v>
      </c>
      <c r="K69" s="8">
        <f>I69*J69</f>
        <v>200</v>
      </c>
      <c r="L69" s="8">
        <v>1</v>
      </c>
      <c r="M69" s="8">
        <f>L69*J69*$G$8</f>
        <v>206</v>
      </c>
      <c r="N69" s="8">
        <v>1</v>
      </c>
      <c r="O69" s="8">
        <f>N69*J69*$G$8*$G$8</f>
        <v>212.18</v>
      </c>
      <c r="P69" s="8">
        <v>1</v>
      </c>
      <c r="Q69" s="8">
        <f>P69*J69*$G$8*$G$8*$G$8</f>
        <v>218.5454</v>
      </c>
      <c r="R69" s="8">
        <v>1</v>
      </c>
      <c r="S69" s="8">
        <f>R69*J69*$G$8*$G$8*$G$8*$G$8</f>
        <v>225.10176200000001</v>
      </c>
      <c r="T69" s="8">
        <f>K69+M69+O69+Q69+S69</f>
        <v>1061.827162</v>
      </c>
      <c r="U69" s="8">
        <v>0</v>
      </c>
      <c r="V69" s="8">
        <f>SUM(T69:U69)</f>
        <v>1061.827162</v>
      </c>
    </row>
    <row r="70" spans="1:24" ht="10.199999999999999" x14ac:dyDescent="0.35">
      <c r="A70" s="32"/>
      <c r="B70" s="32"/>
      <c r="C70" s="32"/>
      <c r="D70" s="32"/>
      <c r="E70" s="32"/>
      <c r="F70" s="12"/>
      <c r="G70" s="12"/>
      <c r="H70" s="32"/>
    </row>
    <row r="71" spans="1:24" ht="10.8" thickBot="1" x14ac:dyDescent="0.45">
      <c r="A71" s="18"/>
      <c r="B71" s="18"/>
      <c r="C71" s="18"/>
      <c r="D71" s="18"/>
      <c r="E71" s="18"/>
      <c r="F71" s="33" t="s">
        <v>138</v>
      </c>
      <c r="G71" s="33"/>
      <c r="H71" s="18"/>
      <c r="I71" s="18"/>
      <c r="J71" s="9"/>
      <c r="K71" s="113">
        <f>SUM(K56:K69)</f>
        <v>34855</v>
      </c>
      <c r="L71" s="113"/>
      <c r="M71" s="113">
        <f>SUM(M56:M69)</f>
        <v>33659.399999999994</v>
      </c>
      <c r="N71" s="113"/>
      <c r="O71" s="113">
        <f>SUM(O56:O69)</f>
        <v>141036.65399999998</v>
      </c>
      <c r="P71" s="113"/>
      <c r="Q71" s="113">
        <f>SUM(Q56:Q69)</f>
        <v>36283.624500000005</v>
      </c>
      <c r="R71" s="113"/>
      <c r="S71" s="113">
        <f>SUM(S56:S69)</f>
        <v>14070.101972700002</v>
      </c>
      <c r="T71" s="19">
        <f>K71+M71+O71+Q71+S71</f>
        <v>259904.78047269999</v>
      </c>
      <c r="U71" s="113">
        <f>SUM(U58:U69)</f>
        <v>0</v>
      </c>
      <c r="V71" s="30">
        <f>SUM(T71:U71)</f>
        <v>259904.78047269999</v>
      </c>
    </row>
    <row r="72" spans="1:24" ht="10.5" x14ac:dyDescent="0.4">
      <c r="A72" s="92"/>
      <c r="B72" s="92"/>
      <c r="C72" s="92"/>
      <c r="D72" s="92"/>
      <c r="E72" s="92"/>
      <c r="F72" s="123" t="s">
        <v>139</v>
      </c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103"/>
      <c r="U72" s="92"/>
      <c r="V72" s="103"/>
      <c r="X72" s="24"/>
    </row>
    <row r="73" spans="1:24" ht="10.5" x14ac:dyDescent="0.4">
      <c r="A73" s="40"/>
      <c r="B73" s="40"/>
      <c r="C73" s="40"/>
      <c r="D73" s="40"/>
      <c r="E73" s="40"/>
      <c r="F73" s="43" t="s">
        <v>140</v>
      </c>
      <c r="G73" s="43"/>
      <c r="H73" s="40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</row>
    <row r="74" spans="1:24" ht="10.5" x14ac:dyDescent="0.4">
      <c r="A74" s="124"/>
      <c r="B74" s="124"/>
      <c r="C74" s="124"/>
      <c r="D74" s="124"/>
      <c r="E74" s="124"/>
      <c r="F74" s="58" t="s">
        <v>141</v>
      </c>
      <c r="G74" s="119"/>
      <c r="H74" s="12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</row>
    <row r="75" spans="1:24" s="22" customFormat="1" ht="10.199999999999999" x14ac:dyDescent="0.35">
      <c r="A75" s="98" t="s">
        <v>142</v>
      </c>
      <c r="B75" s="98">
        <v>89050</v>
      </c>
      <c r="C75" s="274" t="s">
        <v>50</v>
      </c>
      <c r="D75" s="274" t="s">
        <v>50</v>
      </c>
      <c r="E75" s="98" t="s">
        <v>143</v>
      </c>
      <c r="F75" s="98" t="s">
        <v>144</v>
      </c>
      <c r="G75" s="98" t="s">
        <v>145</v>
      </c>
      <c r="H75" s="98" t="s">
        <v>112</v>
      </c>
      <c r="I75" s="99"/>
      <c r="J75" s="99"/>
      <c r="K75" s="99">
        <f>CFO!L67</f>
        <v>23679.974999999999</v>
      </c>
      <c r="L75" s="99"/>
      <c r="M75" s="99">
        <f>CFO!N67</f>
        <v>92387.01999999999</v>
      </c>
      <c r="N75" s="99"/>
      <c r="O75" s="99">
        <f>CFO!P67</f>
        <v>101630.29525</v>
      </c>
      <c r="P75" s="99"/>
      <c r="Q75" s="99">
        <f>CFO!R67</f>
        <v>91175.071611249979</v>
      </c>
      <c r="R75" s="99"/>
      <c r="S75" s="99">
        <f>CFO!T63</f>
        <v>0</v>
      </c>
      <c r="T75" s="99">
        <f>K75+M75+O75+Q75+S75</f>
        <v>308872.36186124996</v>
      </c>
      <c r="U75" s="99">
        <v>0</v>
      </c>
      <c r="V75" s="99">
        <f>T75+U75</f>
        <v>308872.36186124996</v>
      </c>
    </row>
    <row r="76" spans="1:24" s="22" customFormat="1" ht="10.199999999999999" x14ac:dyDescent="0.35">
      <c r="A76" s="98" t="s">
        <v>146</v>
      </c>
      <c r="B76" s="98">
        <v>89050</v>
      </c>
      <c r="C76" s="274" t="s">
        <v>50</v>
      </c>
      <c r="D76" s="274" t="s">
        <v>50</v>
      </c>
      <c r="E76" s="98" t="s">
        <v>147</v>
      </c>
      <c r="F76" s="98" t="s">
        <v>148</v>
      </c>
      <c r="G76" s="98" t="s">
        <v>145</v>
      </c>
      <c r="H76" s="98" t="s">
        <v>112</v>
      </c>
      <c r="I76" s="99"/>
      <c r="J76" s="99"/>
      <c r="K76" s="99">
        <f>CDM!L65</f>
        <v>92985.771999999997</v>
      </c>
      <c r="L76" s="99"/>
      <c r="M76" s="99">
        <f>CDM!N65</f>
        <v>216150.60103999998</v>
      </c>
      <c r="N76" s="99"/>
      <c r="O76" s="99">
        <f>CDM!P65</f>
        <v>219518.16180139995</v>
      </c>
      <c r="P76" s="99"/>
      <c r="Q76" s="99">
        <f>CDM!R65</f>
        <v>224750.35692569896</v>
      </c>
      <c r="R76" s="99"/>
      <c r="S76" s="99">
        <f>CDM!T65</f>
        <v>0</v>
      </c>
      <c r="T76" s="99">
        <f>K76+M76+O76+Q76+S76</f>
        <v>753404.8917670988</v>
      </c>
      <c r="U76" s="99">
        <v>0</v>
      </c>
      <c r="V76" s="99">
        <f>T76+U76</f>
        <v>753404.8917670988</v>
      </c>
    </row>
    <row r="77" spans="1:24" s="22" customFormat="1" ht="10.199999999999999" x14ac:dyDescent="0.35">
      <c r="A77" s="98" t="s">
        <v>149</v>
      </c>
      <c r="B77" s="98">
        <v>89050</v>
      </c>
      <c r="C77" s="125">
        <v>0</v>
      </c>
      <c r="D77" s="125">
        <v>0</v>
      </c>
      <c r="E77" s="98" t="s">
        <v>150</v>
      </c>
      <c r="F77" s="98" t="s">
        <v>151</v>
      </c>
      <c r="G77" s="98" t="s">
        <v>145</v>
      </c>
      <c r="H77" s="98" t="s">
        <v>112</v>
      </c>
      <c r="I77" s="99"/>
      <c r="J77" s="99"/>
      <c r="K77" s="99">
        <f>SAI!F88</f>
        <v>193591.41656335231</v>
      </c>
      <c r="L77" s="99"/>
      <c r="M77" s="99">
        <f>SAI!H88</f>
        <v>295910.51121869573</v>
      </c>
      <c r="N77" s="99"/>
      <c r="O77" s="99">
        <f>SAI!J88</f>
        <v>297364.51978364738</v>
      </c>
      <c r="P77" s="99"/>
      <c r="Q77" s="99">
        <f>SAI!L88</f>
        <v>273401.54423913331</v>
      </c>
      <c r="R77" s="99"/>
      <c r="S77" s="99">
        <f>SAI!N88</f>
        <v>52022.877121389327</v>
      </c>
      <c r="T77" s="99">
        <f>SUM(K77,M77,O77,Q77,S77)</f>
        <v>1112290.868926218</v>
      </c>
      <c r="U77" s="99">
        <v>0</v>
      </c>
      <c r="V77" s="99">
        <f>T77+U77</f>
        <v>1112290.868926218</v>
      </c>
    </row>
    <row r="78" spans="1:24" s="22" customFormat="1" ht="10.199999999999999" x14ac:dyDescent="0.35">
      <c r="A78" s="72"/>
      <c r="B78" s="72"/>
      <c r="C78" s="72"/>
      <c r="D78" s="72"/>
      <c r="E78" s="72"/>
      <c r="F78" s="58" t="s">
        <v>152</v>
      </c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</row>
    <row r="79" spans="1:24" s="22" customFormat="1" ht="10.199999999999999" x14ac:dyDescent="0.35">
      <c r="A79" s="31" t="s">
        <v>153</v>
      </c>
      <c r="B79" s="31">
        <v>86000</v>
      </c>
      <c r="C79" s="45" t="s">
        <v>50</v>
      </c>
      <c r="D79" s="45" t="s">
        <v>50</v>
      </c>
      <c r="E79" s="32">
        <v>0</v>
      </c>
      <c r="F79" s="2" t="s">
        <v>154</v>
      </c>
      <c r="G79" s="12" t="s">
        <v>8</v>
      </c>
      <c r="H79" s="12" t="s">
        <v>84</v>
      </c>
      <c r="I79" s="8">
        <v>30</v>
      </c>
      <c r="J79" s="8">
        <v>30</v>
      </c>
      <c r="K79" s="8">
        <f>J79*I79</f>
        <v>900</v>
      </c>
      <c r="L79" s="8">
        <v>20</v>
      </c>
      <c r="M79" s="8">
        <f>L79*J79</f>
        <v>600</v>
      </c>
      <c r="N79" s="8">
        <v>0</v>
      </c>
      <c r="O79" s="8">
        <f>N79*K79</f>
        <v>0</v>
      </c>
      <c r="P79" s="8">
        <v>0</v>
      </c>
      <c r="Q79" s="8">
        <f>P79*J79</f>
        <v>0</v>
      </c>
      <c r="R79" s="8">
        <v>0</v>
      </c>
      <c r="S79" s="8">
        <f>R79*J79</f>
        <v>0</v>
      </c>
      <c r="T79" s="8">
        <f>Q79+O79+M79+K79+S79</f>
        <v>1500</v>
      </c>
      <c r="U79" s="8">
        <v>0</v>
      </c>
      <c r="V79" s="8">
        <f>SUM(T79:U79)</f>
        <v>1500</v>
      </c>
    </row>
    <row r="80" spans="1:24" s="22" customFormat="1" ht="10.199999999999999" x14ac:dyDescent="0.35">
      <c r="A80" s="31" t="s">
        <v>155</v>
      </c>
      <c r="B80" s="31">
        <v>81021</v>
      </c>
      <c r="C80" s="45" t="s">
        <v>50</v>
      </c>
      <c r="D80" s="45" t="s">
        <v>50</v>
      </c>
      <c r="E80" s="32">
        <v>0</v>
      </c>
      <c r="F80" s="2" t="s">
        <v>156</v>
      </c>
      <c r="G80" s="12" t="s">
        <v>157</v>
      </c>
      <c r="H80" s="12" t="s">
        <v>158</v>
      </c>
      <c r="I80" s="8">
        <v>0</v>
      </c>
      <c r="J80" s="8">
        <v>2000</v>
      </c>
      <c r="K80" s="8">
        <f t="shared" ref="K80:K81" si="9">J80*I80</f>
        <v>0</v>
      </c>
      <c r="L80" s="8">
        <v>1</v>
      </c>
      <c r="M80" s="8">
        <f t="shared" ref="M80:M81" si="10">L80*J80</f>
        <v>2000</v>
      </c>
      <c r="N80" s="8">
        <v>0</v>
      </c>
      <c r="O80" s="8">
        <f t="shared" ref="O80:O81" si="11">N80*K80</f>
        <v>0</v>
      </c>
      <c r="P80" s="8">
        <v>0</v>
      </c>
      <c r="Q80" s="8">
        <f t="shared" ref="Q80:Q81" si="12">P80*J80</f>
        <v>0</v>
      </c>
      <c r="R80" s="8">
        <v>0</v>
      </c>
      <c r="S80" s="8">
        <f t="shared" ref="S80:S81" si="13">R80*J80</f>
        <v>0</v>
      </c>
      <c r="T80" s="8">
        <f t="shared" ref="T80:T81" si="14">Q80+O80+M80+K80+S80</f>
        <v>2000</v>
      </c>
      <c r="U80" s="8">
        <v>0</v>
      </c>
      <c r="V80" s="8">
        <f>SUM(T80:U80)</f>
        <v>2000</v>
      </c>
    </row>
    <row r="81" spans="1:22" s="22" customFormat="1" ht="10.199999999999999" x14ac:dyDescent="0.35">
      <c r="A81" s="31" t="s">
        <v>159</v>
      </c>
      <c r="B81" s="31">
        <v>87000</v>
      </c>
      <c r="C81" s="45" t="s">
        <v>50</v>
      </c>
      <c r="D81" s="45" t="s">
        <v>50</v>
      </c>
      <c r="E81" s="32">
        <v>0</v>
      </c>
      <c r="F81" s="2" t="s">
        <v>160</v>
      </c>
      <c r="G81" s="12" t="s">
        <v>157</v>
      </c>
      <c r="H81" s="12" t="s">
        <v>161</v>
      </c>
      <c r="I81" s="8">
        <v>1</v>
      </c>
      <c r="J81" s="8">
        <v>500</v>
      </c>
      <c r="K81" s="8">
        <f t="shared" si="9"/>
        <v>500</v>
      </c>
      <c r="L81" s="8">
        <v>2</v>
      </c>
      <c r="M81" s="8">
        <f t="shared" si="10"/>
        <v>1000</v>
      </c>
      <c r="N81" s="8">
        <v>0</v>
      </c>
      <c r="O81" s="8">
        <f t="shared" si="11"/>
        <v>0</v>
      </c>
      <c r="P81" s="8">
        <v>0</v>
      </c>
      <c r="Q81" s="8">
        <f t="shared" si="12"/>
        <v>0</v>
      </c>
      <c r="R81" s="8">
        <v>0</v>
      </c>
      <c r="S81" s="8">
        <f t="shared" si="13"/>
        <v>0</v>
      </c>
      <c r="T81" s="8">
        <f t="shared" si="14"/>
        <v>1500</v>
      </c>
      <c r="U81" s="8">
        <v>0</v>
      </c>
      <c r="V81" s="8">
        <f>SUM(T81:U81)</f>
        <v>1500</v>
      </c>
    </row>
    <row r="82" spans="1:22" s="22" customFormat="1" ht="10.199999999999999" x14ac:dyDescent="0.35">
      <c r="A82" s="108"/>
      <c r="B82" s="108"/>
      <c r="C82" s="108"/>
      <c r="D82" s="108"/>
      <c r="E82" s="108"/>
      <c r="F82" s="58" t="s">
        <v>162</v>
      </c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</row>
    <row r="83" spans="1:22" ht="10.199999999999999" x14ac:dyDescent="0.35">
      <c r="A83" s="31" t="s">
        <v>163</v>
      </c>
      <c r="B83" s="31">
        <v>81000</v>
      </c>
      <c r="C83" s="45" t="s">
        <v>50</v>
      </c>
      <c r="D83" s="45" t="s">
        <v>50</v>
      </c>
      <c r="E83" s="32">
        <v>0</v>
      </c>
      <c r="F83" s="12" t="s">
        <v>164</v>
      </c>
      <c r="G83" s="45" t="s">
        <v>145</v>
      </c>
      <c r="H83" s="12" t="s">
        <v>165</v>
      </c>
      <c r="I83" s="252">
        <v>0.5</v>
      </c>
      <c r="J83" s="8">
        <v>30000</v>
      </c>
      <c r="K83" s="8">
        <f>J83*I83</f>
        <v>15000</v>
      </c>
      <c r="L83" s="252">
        <v>0.5</v>
      </c>
      <c r="M83" s="8">
        <f>L83*J83</f>
        <v>15000</v>
      </c>
      <c r="N83" s="8">
        <v>0</v>
      </c>
      <c r="O83" s="8">
        <f>N83*J83</f>
        <v>0</v>
      </c>
      <c r="P83" s="8">
        <v>0</v>
      </c>
      <c r="Q83" s="8">
        <f>P83*J83</f>
        <v>0</v>
      </c>
      <c r="R83" s="8">
        <v>0</v>
      </c>
      <c r="S83" s="8">
        <f>R83*J83</f>
        <v>0</v>
      </c>
      <c r="T83" s="8">
        <f>Q83+O83+M83+K83+S83</f>
        <v>30000</v>
      </c>
      <c r="U83" s="8">
        <v>0</v>
      </c>
      <c r="V83" s="8">
        <f>SUM(T83:U83)</f>
        <v>30000</v>
      </c>
    </row>
    <row r="84" spans="1:22" ht="10.199999999999999" x14ac:dyDescent="0.35">
      <c r="A84" s="31" t="s">
        <v>166</v>
      </c>
      <c r="B84" s="31">
        <v>87010</v>
      </c>
      <c r="C84" s="45" t="s">
        <v>50</v>
      </c>
      <c r="D84" s="45" t="s">
        <v>50</v>
      </c>
      <c r="E84" s="32">
        <v>0</v>
      </c>
      <c r="F84" s="12" t="s">
        <v>167</v>
      </c>
      <c r="G84" s="45" t="s">
        <v>157</v>
      </c>
      <c r="H84" s="12" t="s">
        <v>168</v>
      </c>
      <c r="I84" s="8">
        <v>6</v>
      </c>
      <c r="J84" s="8">
        <v>150</v>
      </c>
      <c r="K84" s="8">
        <f>J84*I84</f>
        <v>900</v>
      </c>
      <c r="L84" s="8">
        <v>12</v>
      </c>
      <c r="M84" s="8">
        <f>L84*J84</f>
        <v>1800</v>
      </c>
      <c r="N84" s="8">
        <v>12</v>
      </c>
      <c r="O84" s="8">
        <f t="shared" ref="O84:O85" si="15">N84*J84</f>
        <v>1800</v>
      </c>
      <c r="P84" s="8">
        <v>12</v>
      </c>
      <c r="Q84" s="8">
        <f t="shared" ref="Q84:Q85" si="16">P84*J84</f>
        <v>1800</v>
      </c>
      <c r="R84" s="8">
        <v>10</v>
      </c>
      <c r="S84" s="8">
        <f t="shared" ref="S84:S85" si="17">R84*J84</f>
        <v>1500</v>
      </c>
      <c r="T84" s="8">
        <f>Q84+O84+M84+K84+S84</f>
        <v>7800</v>
      </c>
      <c r="U84" s="8">
        <v>0</v>
      </c>
      <c r="V84" s="8">
        <f t="shared" ref="V84:V85" si="18">SUM(T84:U84)</f>
        <v>7800</v>
      </c>
    </row>
    <row r="85" spans="1:22" ht="10.199999999999999" x14ac:dyDescent="0.35">
      <c r="A85" s="31" t="s">
        <v>169</v>
      </c>
      <c r="B85" s="31">
        <v>86000</v>
      </c>
      <c r="C85" s="45" t="s">
        <v>50</v>
      </c>
      <c r="D85" s="45" t="s">
        <v>50</v>
      </c>
      <c r="E85" s="32">
        <v>0</v>
      </c>
      <c r="F85" s="12" t="s">
        <v>170</v>
      </c>
      <c r="G85" s="45" t="s">
        <v>8</v>
      </c>
      <c r="H85" s="12" t="s">
        <v>84</v>
      </c>
      <c r="I85" s="8">
        <v>6</v>
      </c>
      <c r="J85" s="8">
        <v>30</v>
      </c>
      <c r="K85" s="8">
        <f>J85*I85</f>
        <v>180</v>
      </c>
      <c r="L85" s="8">
        <v>12</v>
      </c>
      <c r="M85" s="8">
        <f>L85*J85</f>
        <v>360</v>
      </c>
      <c r="N85" s="8">
        <v>12</v>
      </c>
      <c r="O85" s="8">
        <f t="shared" si="15"/>
        <v>360</v>
      </c>
      <c r="P85" s="8">
        <v>12</v>
      </c>
      <c r="Q85" s="8">
        <f t="shared" si="16"/>
        <v>360</v>
      </c>
      <c r="R85" s="8">
        <v>12</v>
      </c>
      <c r="S85" s="8">
        <f t="shared" si="17"/>
        <v>360</v>
      </c>
      <c r="T85" s="8">
        <f>Q85+O85+M85+K85+S85</f>
        <v>1620</v>
      </c>
      <c r="U85" s="8">
        <v>0</v>
      </c>
      <c r="V85" s="8">
        <f t="shared" si="18"/>
        <v>1620</v>
      </c>
    </row>
    <row r="86" spans="1:22" ht="10.199999999999999" x14ac:dyDescent="0.35">
      <c r="A86" s="107"/>
      <c r="B86" s="107"/>
      <c r="C86" s="107"/>
      <c r="D86" s="107"/>
      <c r="E86" s="107"/>
      <c r="F86" s="58" t="s">
        <v>171</v>
      </c>
      <c r="G86" s="107"/>
      <c r="H86" s="107"/>
      <c r="I86" s="107"/>
      <c r="J86" s="107"/>
      <c r="K86" s="107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</row>
    <row r="87" spans="1:22" ht="10.199999999999999" x14ac:dyDescent="0.35">
      <c r="A87" s="31" t="s">
        <v>172</v>
      </c>
      <c r="B87" s="31">
        <v>81000</v>
      </c>
      <c r="C87" s="45" t="s">
        <v>50</v>
      </c>
      <c r="D87" s="45" t="s">
        <v>50</v>
      </c>
      <c r="E87" s="32">
        <v>0</v>
      </c>
      <c r="F87" s="12" t="s">
        <v>173</v>
      </c>
      <c r="G87" s="2" t="s">
        <v>145</v>
      </c>
      <c r="H87" s="2" t="s">
        <v>84</v>
      </c>
      <c r="I87" s="8">
        <v>20</v>
      </c>
      <c r="J87" s="2">
        <v>280</v>
      </c>
      <c r="K87" s="8">
        <f t="shared" ref="K87:K95" si="19">J87*I87</f>
        <v>5600</v>
      </c>
      <c r="L87" s="8">
        <v>60</v>
      </c>
      <c r="M87" s="8">
        <f t="shared" ref="M87:M95" si="20">L87*J87</f>
        <v>16800</v>
      </c>
      <c r="N87" s="8">
        <v>60</v>
      </c>
      <c r="O87" s="8">
        <f t="shared" ref="O87:O95" si="21">N87*J87</f>
        <v>16800</v>
      </c>
      <c r="P87" s="8">
        <v>60</v>
      </c>
      <c r="Q87" s="8">
        <f t="shared" ref="Q87:Q95" si="22">P87*J87</f>
        <v>16800</v>
      </c>
      <c r="R87" s="8">
        <v>10</v>
      </c>
      <c r="S87" s="8">
        <f t="shared" ref="S87:S95" si="23">R87*J87</f>
        <v>2800</v>
      </c>
      <c r="T87" s="8">
        <f t="shared" ref="T87:T95" si="24">SUM(K87,M87,O87,Q87,S87)</f>
        <v>58800</v>
      </c>
      <c r="U87" s="8">
        <v>0</v>
      </c>
      <c r="V87" s="8">
        <f t="shared" ref="V87:V92" si="25">SUM(T87:U87)</f>
        <v>58800</v>
      </c>
    </row>
    <row r="88" spans="1:22" ht="10.199999999999999" x14ac:dyDescent="0.35">
      <c r="A88" s="31" t="s">
        <v>174</v>
      </c>
      <c r="B88" s="31">
        <v>81000</v>
      </c>
      <c r="C88" s="45" t="s">
        <v>50</v>
      </c>
      <c r="D88" s="45" t="s">
        <v>50</v>
      </c>
      <c r="E88" s="32">
        <v>0</v>
      </c>
      <c r="F88" s="12" t="s">
        <v>175</v>
      </c>
      <c r="G88" s="2" t="s">
        <v>145</v>
      </c>
      <c r="H88" s="2" t="s">
        <v>84</v>
      </c>
      <c r="I88" s="8">
        <v>15</v>
      </c>
      <c r="J88" s="2">
        <v>250</v>
      </c>
      <c r="K88" s="8">
        <f t="shared" si="19"/>
        <v>3750</v>
      </c>
      <c r="L88" s="8">
        <v>60</v>
      </c>
      <c r="M88" s="8">
        <f t="shared" si="20"/>
        <v>15000</v>
      </c>
      <c r="N88" s="8">
        <v>60</v>
      </c>
      <c r="O88" s="8">
        <f t="shared" si="21"/>
        <v>15000</v>
      </c>
      <c r="P88" s="8">
        <v>60</v>
      </c>
      <c r="Q88" s="8">
        <f t="shared" si="22"/>
        <v>15000</v>
      </c>
      <c r="R88" s="8">
        <v>10</v>
      </c>
      <c r="S88" s="8">
        <f t="shared" si="23"/>
        <v>2500</v>
      </c>
      <c r="T88" s="8">
        <f t="shared" si="24"/>
        <v>51250</v>
      </c>
      <c r="U88" s="8">
        <v>0</v>
      </c>
      <c r="V88" s="8">
        <f t="shared" si="25"/>
        <v>51250</v>
      </c>
    </row>
    <row r="89" spans="1:22" ht="10.199999999999999" x14ac:dyDescent="0.35">
      <c r="A89" s="31" t="s">
        <v>176</v>
      </c>
      <c r="B89" s="31">
        <v>86000</v>
      </c>
      <c r="C89" s="45" t="s">
        <v>50</v>
      </c>
      <c r="D89" s="45" t="s">
        <v>50</v>
      </c>
      <c r="E89" s="32">
        <v>0</v>
      </c>
      <c r="F89" s="12" t="s">
        <v>177</v>
      </c>
      <c r="G89" s="2" t="s">
        <v>8</v>
      </c>
      <c r="H89" s="2" t="s">
        <v>84</v>
      </c>
      <c r="I89" s="8">
        <v>6</v>
      </c>
      <c r="J89" s="2">
        <v>30</v>
      </c>
      <c r="K89" s="8">
        <f t="shared" si="19"/>
        <v>180</v>
      </c>
      <c r="L89" s="8">
        <v>12</v>
      </c>
      <c r="M89" s="8">
        <f t="shared" si="20"/>
        <v>360</v>
      </c>
      <c r="N89" s="8">
        <v>12</v>
      </c>
      <c r="O89" s="8">
        <f t="shared" si="21"/>
        <v>360</v>
      </c>
      <c r="P89" s="8">
        <v>12</v>
      </c>
      <c r="Q89" s="8">
        <f t="shared" si="22"/>
        <v>360</v>
      </c>
      <c r="R89" s="8">
        <v>6</v>
      </c>
      <c r="S89" s="8">
        <f t="shared" si="23"/>
        <v>180</v>
      </c>
      <c r="T89" s="8">
        <f t="shared" si="24"/>
        <v>1440</v>
      </c>
      <c r="U89" s="8">
        <v>0</v>
      </c>
      <c r="V89" s="8">
        <f t="shared" si="25"/>
        <v>1440</v>
      </c>
    </row>
    <row r="90" spans="1:22" ht="10.199999999999999" x14ac:dyDescent="0.35">
      <c r="A90" s="31" t="s">
        <v>178</v>
      </c>
      <c r="B90" s="31">
        <v>87000</v>
      </c>
      <c r="C90" s="45" t="s">
        <v>50</v>
      </c>
      <c r="D90" s="45" t="s">
        <v>50</v>
      </c>
      <c r="E90" s="32">
        <v>0</v>
      </c>
      <c r="F90" s="12" t="s">
        <v>179</v>
      </c>
      <c r="G90" s="2" t="s">
        <v>157</v>
      </c>
      <c r="H90" s="2" t="s">
        <v>180</v>
      </c>
      <c r="I90" s="8">
        <v>0</v>
      </c>
      <c r="J90" s="2">
        <v>500</v>
      </c>
      <c r="K90" s="8">
        <f t="shared" si="19"/>
        <v>0</v>
      </c>
      <c r="L90" s="8">
        <v>10</v>
      </c>
      <c r="M90" s="8">
        <f t="shared" si="20"/>
        <v>5000</v>
      </c>
      <c r="N90" s="8">
        <v>10</v>
      </c>
      <c r="O90" s="8">
        <f t="shared" si="21"/>
        <v>5000</v>
      </c>
      <c r="P90" s="8">
        <v>10</v>
      </c>
      <c r="Q90" s="8">
        <f t="shared" si="22"/>
        <v>5000</v>
      </c>
      <c r="R90" s="8">
        <v>0</v>
      </c>
      <c r="S90" s="8">
        <f t="shared" si="23"/>
        <v>0</v>
      </c>
      <c r="T90" s="8">
        <f t="shared" si="24"/>
        <v>15000</v>
      </c>
      <c r="U90" s="8">
        <v>0</v>
      </c>
      <c r="V90" s="8">
        <f t="shared" si="25"/>
        <v>15000</v>
      </c>
    </row>
    <row r="91" spans="1:22" ht="10.199999999999999" x14ac:dyDescent="0.35">
      <c r="A91" s="31" t="s">
        <v>181</v>
      </c>
      <c r="B91" s="32" t="s">
        <v>82</v>
      </c>
      <c r="C91" s="45" t="s">
        <v>50</v>
      </c>
      <c r="D91" s="45" t="s">
        <v>50</v>
      </c>
      <c r="E91" s="32">
        <v>0</v>
      </c>
      <c r="F91" s="12" t="s">
        <v>182</v>
      </c>
      <c r="G91" s="2" t="s">
        <v>8</v>
      </c>
      <c r="H91" s="2" t="s">
        <v>84</v>
      </c>
      <c r="I91" s="8">
        <v>0</v>
      </c>
      <c r="J91" s="2">
        <v>110</v>
      </c>
      <c r="K91" s="8">
        <f t="shared" si="19"/>
        <v>0</v>
      </c>
      <c r="L91" s="8">
        <v>15</v>
      </c>
      <c r="M91" s="8">
        <f t="shared" si="20"/>
        <v>1650</v>
      </c>
      <c r="N91" s="8">
        <v>15</v>
      </c>
      <c r="O91" s="8">
        <f t="shared" si="21"/>
        <v>1650</v>
      </c>
      <c r="P91" s="8">
        <v>15</v>
      </c>
      <c r="Q91" s="8">
        <f t="shared" si="22"/>
        <v>1650</v>
      </c>
      <c r="R91" s="8">
        <v>0</v>
      </c>
      <c r="S91" s="8">
        <f t="shared" si="23"/>
        <v>0</v>
      </c>
      <c r="T91" s="8">
        <f t="shared" si="24"/>
        <v>4950</v>
      </c>
      <c r="U91" s="8">
        <v>0</v>
      </c>
      <c r="V91" s="8">
        <f t="shared" si="25"/>
        <v>4950</v>
      </c>
    </row>
    <row r="92" spans="1:22" ht="10.199999999999999" x14ac:dyDescent="0.35">
      <c r="A92" s="31" t="s">
        <v>183</v>
      </c>
      <c r="B92" s="31">
        <v>86000</v>
      </c>
      <c r="C92" s="45" t="s">
        <v>50</v>
      </c>
      <c r="D92" s="45" t="s">
        <v>50</v>
      </c>
      <c r="E92" s="32">
        <v>0</v>
      </c>
      <c r="F92" s="12" t="s">
        <v>184</v>
      </c>
      <c r="G92" s="2" t="s">
        <v>8</v>
      </c>
      <c r="H92" s="2" t="s">
        <v>84</v>
      </c>
      <c r="I92" s="8">
        <v>0</v>
      </c>
      <c r="J92" s="2">
        <v>30</v>
      </c>
      <c r="K92" s="8">
        <f t="shared" si="19"/>
        <v>0</v>
      </c>
      <c r="L92" s="8">
        <v>15</v>
      </c>
      <c r="M92" s="8">
        <f t="shared" si="20"/>
        <v>450</v>
      </c>
      <c r="N92" s="8">
        <v>15</v>
      </c>
      <c r="O92" s="8">
        <f t="shared" si="21"/>
        <v>450</v>
      </c>
      <c r="P92" s="8">
        <v>15</v>
      </c>
      <c r="Q92" s="8">
        <f t="shared" si="22"/>
        <v>450</v>
      </c>
      <c r="R92" s="8">
        <v>0</v>
      </c>
      <c r="S92" s="8">
        <f t="shared" si="23"/>
        <v>0</v>
      </c>
      <c r="T92" s="8">
        <f t="shared" si="24"/>
        <v>1350</v>
      </c>
      <c r="U92" s="8">
        <v>0</v>
      </c>
      <c r="V92" s="8">
        <f t="shared" si="25"/>
        <v>1350</v>
      </c>
    </row>
    <row r="93" spans="1:22" ht="10.199999999999999" x14ac:dyDescent="0.35">
      <c r="A93" s="31" t="s">
        <v>185</v>
      </c>
      <c r="B93" s="31">
        <v>80402</v>
      </c>
      <c r="C93" s="45" t="s">
        <v>50</v>
      </c>
      <c r="D93" s="45" t="s">
        <v>50</v>
      </c>
      <c r="E93" s="32">
        <v>0</v>
      </c>
      <c r="F93" s="12" t="s">
        <v>186</v>
      </c>
      <c r="G93" s="2" t="s">
        <v>157</v>
      </c>
      <c r="H93" s="2" t="s">
        <v>187</v>
      </c>
      <c r="I93" s="8">
        <v>8</v>
      </c>
      <c r="J93" s="2">
        <v>3000</v>
      </c>
      <c r="K93" s="8">
        <f t="shared" si="19"/>
        <v>24000</v>
      </c>
      <c r="L93" s="8">
        <v>13</v>
      </c>
      <c r="M93" s="8">
        <f t="shared" si="20"/>
        <v>39000</v>
      </c>
      <c r="N93" s="8">
        <v>11</v>
      </c>
      <c r="O93" s="8">
        <f t="shared" si="21"/>
        <v>33000</v>
      </c>
      <c r="P93" s="8">
        <v>15</v>
      </c>
      <c r="Q93" s="8">
        <f t="shared" si="22"/>
        <v>45000</v>
      </c>
      <c r="R93" s="8">
        <v>5</v>
      </c>
      <c r="S93" s="8">
        <f t="shared" si="23"/>
        <v>15000</v>
      </c>
      <c r="T93" s="8">
        <f t="shared" si="24"/>
        <v>156000</v>
      </c>
      <c r="U93" s="8">
        <v>0</v>
      </c>
      <c r="V93" s="8">
        <f t="shared" ref="V93:V94" si="26">SUM(T93:U93)</f>
        <v>156000</v>
      </c>
    </row>
    <row r="94" spans="1:22" ht="10.199999999999999" x14ac:dyDescent="0.35">
      <c r="A94" s="31" t="s">
        <v>188</v>
      </c>
      <c r="B94" s="31">
        <v>85300</v>
      </c>
      <c r="C94" s="45" t="s">
        <v>50</v>
      </c>
      <c r="D94" s="45" t="s">
        <v>50</v>
      </c>
      <c r="E94" s="32">
        <v>0</v>
      </c>
      <c r="F94" s="12" t="s">
        <v>189</v>
      </c>
      <c r="G94" s="2" t="s">
        <v>157</v>
      </c>
      <c r="H94" s="2" t="s">
        <v>158</v>
      </c>
      <c r="I94" s="8">
        <v>0</v>
      </c>
      <c r="J94" s="2">
        <v>10000</v>
      </c>
      <c r="K94" s="8">
        <f t="shared" si="19"/>
        <v>0</v>
      </c>
      <c r="L94" s="8">
        <v>1</v>
      </c>
      <c r="M94" s="8">
        <f t="shared" si="20"/>
        <v>10000</v>
      </c>
      <c r="N94" s="8">
        <v>1</v>
      </c>
      <c r="O94" s="8">
        <f t="shared" si="21"/>
        <v>10000</v>
      </c>
      <c r="P94" s="8">
        <v>1</v>
      </c>
      <c r="Q94" s="8">
        <f t="shared" si="22"/>
        <v>10000</v>
      </c>
      <c r="R94" s="8">
        <v>0</v>
      </c>
      <c r="S94" s="8">
        <f t="shared" si="23"/>
        <v>0</v>
      </c>
      <c r="T94" s="8">
        <f t="shared" si="24"/>
        <v>30000</v>
      </c>
      <c r="U94" s="8">
        <v>0</v>
      </c>
      <c r="V94" s="8">
        <f t="shared" si="26"/>
        <v>30000</v>
      </c>
    </row>
    <row r="95" spans="1:22" ht="10.199999999999999" x14ac:dyDescent="0.35">
      <c r="A95" s="31" t="s">
        <v>190</v>
      </c>
      <c r="B95" s="31">
        <v>90450</v>
      </c>
      <c r="C95" s="45" t="s">
        <v>50</v>
      </c>
      <c r="D95" s="45" t="s">
        <v>50</v>
      </c>
      <c r="E95" s="32">
        <v>0</v>
      </c>
      <c r="F95" s="12" t="s">
        <v>191</v>
      </c>
      <c r="G95" s="2" t="s">
        <v>157</v>
      </c>
      <c r="H95" s="2" t="s">
        <v>187</v>
      </c>
      <c r="I95" s="8">
        <v>8</v>
      </c>
      <c r="J95" s="2">
        <v>10000</v>
      </c>
      <c r="K95" s="8">
        <f t="shared" si="19"/>
        <v>80000</v>
      </c>
      <c r="L95" s="8">
        <v>13</v>
      </c>
      <c r="M95" s="8">
        <f t="shared" si="20"/>
        <v>130000</v>
      </c>
      <c r="N95" s="8">
        <v>11</v>
      </c>
      <c r="O95" s="8">
        <f t="shared" si="21"/>
        <v>110000</v>
      </c>
      <c r="P95" s="8">
        <v>15</v>
      </c>
      <c r="Q95" s="8">
        <f t="shared" si="22"/>
        <v>150000</v>
      </c>
      <c r="R95" s="8">
        <v>5</v>
      </c>
      <c r="S95" s="8">
        <f t="shared" si="23"/>
        <v>50000</v>
      </c>
      <c r="T95" s="8">
        <f t="shared" si="24"/>
        <v>520000</v>
      </c>
      <c r="U95" s="8">
        <v>0</v>
      </c>
      <c r="V95" s="8">
        <f>SUM(T95:U95)</f>
        <v>520000</v>
      </c>
    </row>
    <row r="96" spans="1:22" ht="10.199999999999999" x14ac:dyDescent="0.35">
      <c r="A96" s="107"/>
      <c r="B96" s="107"/>
      <c r="C96" s="107"/>
      <c r="D96" s="107"/>
      <c r="E96" s="107"/>
      <c r="F96" s="58" t="s">
        <v>192</v>
      </c>
      <c r="G96" s="107"/>
      <c r="H96" s="107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</row>
    <row r="97" spans="1:24" ht="10.199999999999999" x14ac:dyDescent="0.35">
      <c r="A97" s="31" t="s">
        <v>193</v>
      </c>
      <c r="B97" s="32" t="s">
        <v>82</v>
      </c>
      <c r="C97" s="45" t="s">
        <v>50</v>
      </c>
      <c r="D97" s="45" t="s">
        <v>50</v>
      </c>
      <c r="E97" s="32">
        <v>0</v>
      </c>
      <c r="F97" s="12" t="s">
        <v>194</v>
      </c>
      <c r="G97" s="2" t="s">
        <v>8</v>
      </c>
      <c r="H97" s="2" t="s">
        <v>84</v>
      </c>
      <c r="I97" s="8">
        <v>0</v>
      </c>
      <c r="J97" s="8">
        <v>110</v>
      </c>
      <c r="K97" s="8">
        <f t="shared" ref="K97:K100" si="27">I97*J97</f>
        <v>0</v>
      </c>
      <c r="L97" s="8">
        <f>(2*6)*2</f>
        <v>24</v>
      </c>
      <c r="M97" s="8">
        <f t="shared" ref="M97:M100" si="28">L97*J97</f>
        <v>2640</v>
      </c>
      <c r="N97" s="8">
        <f>(2*6)*2</f>
        <v>24</v>
      </c>
      <c r="O97" s="8">
        <f t="shared" ref="O97:O100" si="29">N97*J97</f>
        <v>2640</v>
      </c>
      <c r="P97" s="8">
        <f>(2*6)*2</f>
        <v>24</v>
      </c>
      <c r="Q97" s="8">
        <f t="shared" ref="Q97:Q100" si="30">P97*J97</f>
        <v>2640</v>
      </c>
      <c r="R97" s="8">
        <f>(2*2)*2</f>
        <v>8</v>
      </c>
      <c r="S97" s="8">
        <f t="shared" ref="S97:S100" si="31">R97*J97</f>
        <v>880</v>
      </c>
      <c r="T97" s="8">
        <f t="shared" ref="T97:T100" si="32">SUM(K97,M97,O97,Q97,S97)</f>
        <v>8800</v>
      </c>
      <c r="U97" s="8">
        <v>0</v>
      </c>
      <c r="V97" s="8">
        <f t="shared" ref="V97:V102" si="33">SUM(T97:U97)</f>
        <v>8800</v>
      </c>
    </row>
    <row r="98" spans="1:24" ht="10.199999999999999" x14ac:dyDescent="0.35">
      <c r="A98" s="31" t="s">
        <v>195</v>
      </c>
      <c r="B98" s="31">
        <v>86000</v>
      </c>
      <c r="C98" s="45" t="s">
        <v>50</v>
      </c>
      <c r="D98" s="45" t="s">
        <v>50</v>
      </c>
      <c r="E98" s="32">
        <v>0</v>
      </c>
      <c r="F98" s="12" t="s">
        <v>196</v>
      </c>
      <c r="G98" s="2" t="s">
        <v>8</v>
      </c>
      <c r="H98" s="2" t="s">
        <v>84</v>
      </c>
      <c r="I98" s="8">
        <v>0</v>
      </c>
      <c r="J98" s="8">
        <v>30</v>
      </c>
      <c r="K98" s="8">
        <f t="shared" si="27"/>
        <v>0</v>
      </c>
      <c r="L98" s="8">
        <f>(2*6)*2</f>
        <v>24</v>
      </c>
      <c r="M98" s="8">
        <f t="shared" si="28"/>
        <v>720</v>
      </c>
      <c r="N98" s="8">
        <f>(2*6)*2</f>
        <v>24</v>
      </c>
      <c r="O98" s="8">
        <f t="shared" si="29"/>
        <v>720</v>
      </c>
      <c r="P98" s="8">
        <f>(2*6)*2</f>
        <v>24</v>
      </c>
      <c r="Q98" s="8">
        <f t="shared" si="30"/>
        <v>720</v>
      </c>
      <c r="R98" s="8">
        <f>(2*2)*2</f>
        <v>8</v>
      </c>
      <c r="S98" s="8">
        <f t="shared" si="31"/>
        <v>240</v>
      </c>
      <c r="T98" s="8">
        <f t="shared" si="32"/>
        <v>2400</v>
      </c>
      <c r="U98" s="8">
        <v>0</v>
      </c>
      <c r="V98" s="8">
        <f t="shared" si="33"/>
        <v>2400</v>
      </c>
    </row>
    <row r="99" spans="1:24" ht="10.199999999999999" x14ac:dyDescent="0.35">
      <c r="A99" s="31" t="s">
        <v>197</v>
      </c>
      <c r="B99" s="32" t="s">
        <v>82</v>
      </c>
      <c r="C99" s="45" t="s">
        <v>50</v>
      </c>
      <c r="D99" s="45" t="s">
        <v>50</v>
      </c>
      <c r="E99" s="32">
        <v>0</v>
      </c>
      <c r="F99" s="12" t="s">
        <v>198</v>
      </c>
      <c r="G99" s="2" t="s">
        <v>8</v>
      </c>
      <c r="H99" s="2" t="s">
        <v>84</v>
      </c>
      <c r="I99" s="8">
        <v>0</v>
      </c>
      <c r="J99" s="8">
        <v>110</v>
      </c>
      <c r="K99" s="8">
        <f t="shared" si="27"/>
        <v>0</v>
      </c>
      <c r="L99" s="8">
        <v>20</v>
      </c>
      <c r="M99" s="8">
        <f t="shared" si="28"/>
        <v>2200</v>
      </c>
      <c r="N99" s="8">
        <v>20</v>
      </c>
      <c r="O99" s="8">
        <f t="shared" si="29"/>
        <v>2200</v>
      </c>
      <c r="P99" s="8">
        <v>20</v>
      </c>
      <c r="Q99" s="8">
        <f t="shared" si="30"/>
        <v>2200</v>
      </c>
      <c r="R99" s="8">
        <v>10</v>
      </c>
      <c r="S99" s="8">
        <f t="shared" si="31"/>
        <v>1100</v>
      </c>
      <c r="T99" s="8">
        <f t="shared" si="32"/>
        <v>7700</v>
      </c>
      <c r="U99" s="8">
        <v>0</v>
      </c>
      <c r="V99" s="8">
        <f t="shared" si="33"/>
        <v>7700</v>
      </c>
    </row>
    <row r="100" spans="1:24" ht="10.199999999999999" x14ac:dyDescent="0.35">
      <c r="A100" s="31" t="s">
        <v>199</v>
      </c>
      <c r="B100" s="31">
        <v>86000</v>
      </c>
      <c r="C100" s="45" t="s">
        <v>50</v>
      </c>
      <c r="D100" s="45" t="s">
        <v>50</v>
      </c>
      <c r="E100" s="32">
        <v>0</v>
      </c>
      <c r="F100" s="12" t="s">
        <v>200</v>
      </c>
      <c r="G100" s="2" t="s">
        <v>8</v>
      </c>
      <c r="H100" s="2" t="s">
        <v>84</v>
      </c>
      <c r="I100" s="8">
        <v>0</v>
      </c>
      <c r="J100" s="8">
        <v>30</v>
      </c>
      <c r="K100" s="8">
        <f t="shared" si="27"/>
        <v>0</v>
      </c>
      <c r="L100" s="8">
        <v>20</v>
      </c>
      <c r="M100" s="8">
        <f t="shared" si="28"/>
        <v>600</v>
      </c>
      <c r="N100" s="8">
        <v>20</v>
      </c>
      <c r="O100" s="8">
        <f t="shared" si="29"/>
        <v>600</v>
      </c>
      <c r="P100" s="8">
        <v>20</v>
      </c>
      <c r="Q100" s="8">
        <f t="shared" si="30"/>
        <v>600</v>
      </c>
      <c r="R100" s="8">
        <v>10</v>
      </c>
      <c r="S100" s="8">
        <f t="shared" si="31"/>
        <v>300</v>
      </c>
      <c r="T100" s="8">
        <f t="shared" si="32"/>
        <v>2100</v>
      </c>
      <c r="U100" s="8">
        <v>0</v>
      </c>
      <c r="V100" s="8">
        <f t="shared" si="33"/>
        <v>2100</v>
      </c>
    </row>
    <row r="101" spans="1:24" ht="10.199999999999999" x14ac:dyDescent="0.35">
      <c r="A101" s="31" t="s">
        <v>201</v>
      </c>
      <c r="B101" s="31">
        <v>81000</v>
      </c>
      <c r="C101" s="45" t="s">
        <v>50</v>
      </c>
      <c r="D101" s="45" t="s">
        <v>50</v>
      </c>
      <c r="E101" s="32">
        <v>0</v>
      </c>
      <c r="F101" s="12" t="s">
        <v>202</v>
      </c>
      <c r="G101" s="2" t="s">
        <v>145</v>
      </c>
      <c r="H101" s="2" t="s">
        <v>203</v>
      </c>
      <c r="I101" s="8"/>
      <c r="J101" s="8"/>
      <c r="K101" s="8">
        <v>3239</v>
      </c>
      <c r="L101" s="8"/>
      <c r="M101" s="8">
        <v>8533</v>
      </c>
      <c r="N101" s="8"/>
      <c r="O101" s="8">
        <v>9686</v>
      </c>
      <c r="P101" s="8"/>
      <c r="Q101" s="8">
        <v>5305</v>
      </c>
      <c r="R101" s="8"/>
      <c r="S101" s="8">
        <v>0</v>
      </c>
      <c r="T101" s="8">
        <f>SUM(K101,M101,O101,Q101,S101)</f>
        <v>26763</v>
      </c>
      <c r="U101" s="8">
        <v>0</v>
      </c>
      <c r="V101" s="8">
        <f t="shared" si="33"/>
        <v>26763</v>
      </c>
    </row>
    <row r="102" spans="1:24" ht="10.199999999999999" x14ac:dyDescent="0.35">
      <c r="A102" s="31" t="s">
        <v>204</v>
      </c>
      <c r="B102" s="31">
        <v>81000</v>
      </c>
      <c r="C102" s="45" t="s">
        <v>50</v>
      </c>
      <c r="D102" s="45" t="s">
        <v>50</v>
      </c>
      <c r="E102" s="32">
        <v>0</v>
      </c>
      <c r="F102" s="12" t="s">
        <v>205</v>
      </c>
      <c r="G102" s="2" t="s">
        <v>145</v>
      </c>
      <c r="H102" s="2" t="s">
        <v>203</v>
      </c>
      <c r="I102" s="8"/>
      <c r="J102" s="8"/>
      <c r="K102" s="8">
        <v>14586</v>
      </c>
      <c r="L102" s="8"/>
      <c r="M102" s="8">
        <v>39981</v>
      </c>
      <c r="N102" s="8"/>
      <c r="O102" s="8">
        <v>39981</v>
      </c>
      <c r="P102" s="8"/>
      <c r="Q102" s="8">
        <v>39981</v>
      </c>
      <c r="R102" s="8"/>
      <c r="S102" s="8">
        <v>0</v>
      </c>
      <c r="T102" s="8">
        <f>SUM(K102,M102,O102,Q102,S102)</f>
        <v>134529</v>
      </c>
      <c r="U102" s="8">
        <v>0</v>
      </c>
      <c r="V102" s="8">
        <f t="shared" si="33"/>
        <v>134529</v>
      </c>
    </row>
    <row r="103" spans="1:24" ht="10.199999999999999" x14ac:dyDescent="0.35">
      <c r="A103" s="107"/>
      <c r="B103" s="107"/>
      <c r="C103" s="107"/>
      <c r="D103" s="107"/>
      <c r="E103" s="107"/>
      <c r="F103" s="58" t="s">
        <v>206</v>
      </c>
      <c r="G103" s="107"/>
      <c r="H103" s="107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</row>
    <row r="104" spans="1:24" ht="10.199999999999999" x14ac:dyDescent="0.35">
      <c r="A104" s="31" t="s">
        <v>207</v>
      </c>
      <c r="B104" s="31">
        <v>90450</v>
      </c>
      <c r="C104" s="45" t="s">
        <v>50</v>
      </c>
      <c r="D104" s="45" t="s">
        <v>50</v>
      </c>
      <c r="E104" s="32">
        <v>0</v>
      </c>
      <c r="F104" s="12" t="s">
        <v>208</v>
      </c>
      <c r="G104" s="2" t="s">
        <v>157</v>
      </c>
      <c r="H104" s="2" t="s">
        <v>187</v>
      </c>
      <c r="I104" s="8">
        <v>1</v>
      </c>
      <c r="J104" s="8">
        <v>2000</v>
      </c>
      <c r="K104" s="8">
        <f>J104*I104</f>
        <v>2000</v>
      </c>
      <c r="L104" s="8">
        <v>6</v>
      </c>
      <c r="M104" s="8">
        <f>L104*J104</f>
        <v>12000</v>
      </c>
      <c r="N104" s="8">
        <v>6</v>
      </c>
      <c r="O104" s="8">
        <f>N104*J104</f>
        <v>12000</v>
      </c>
      <c r="P104" s="8">
        <v>6</v>
      </c>
      <c r="Q104" s="8">
        <f>P104*J104</f>
        <v>12000</v>
      </c>
      <c r="R104" s="8">
        <v>2</v>
      </c>
      <c r="S104" s="8">
        <f>R104*J104</f>
        <v>4000</v>
      </c>
      <c r="T104" s="8">
        <f>SUM(K104,M104,O104,Q104,S104)</f>
        <v>42000</v>
      </c>
      <c r="U104" s="8">
        <v>0</v>
      </c>
      <c r="V104" s="8">
        <f>SUM(T104:U104)</f>
        <v>42000</v>
      </c>
    </row>
    <row r="105" spans="1:24" ht="10.199999999999999" x14ac:dyDescent="0.35">
      <c r="A105" s="31" t="s">
        <v>209</v>
      </c>
      <c r="B105" s="31">
        <v>81000</v>
      </c>
      <c r="C105" s="45" t="s">
        <v>50</v>
      </c>
      <c r="D105" s="45" t="s">
        <v>50</v>
      </c>
      <c r="E105" s="32">
        <v>0</v>
      </c>
      <c r="F105" s="12" t="s">
        <v>210</v>
      </c>
      <c r="G105" s="2" t="s">
        <v>145</v>
      </c>
      <c r="H105" s="2" t="s">
        <v>84</v>
      </c>
      <c r="I105" s="8">
        <v>0</v>
      </c>
      <c r="J105" s="8">
        <v>175</v>
      </c>
      <c r="K105" s="8">
        <f t="shared" ref="K105:K106" si="34">J105*I105</f>
        <v>0</v>
      </c>
      <c r="L105" s="8">
        <v>30</v>
      </c>
      <c r="M105" s="8">
        <f t="shared" ref="M105:M107" si="35">L105*J105</f>
        <v>5250</v>
      </c>
      <c r="N105" s="8">
        <v>30</v>
      </c>
      <c r="O105" s="8">
        <f t="shared" ref="O105:O107" si="36">N105*J105</f>
        <v>5250</v>
      </c>
      <c r="P105" s="8">
        <v>20</v>
      </c>
      <c r="Q105" s="8">
        <f t="shared" ref="Q105:Q107" si="37">P105*J105</f>
        <v>3500</v>
      </c>
      <c r="R105" s="8">
        <v>0</v>
      </c>
      <c r="S105" s="8">
        <f t="shared" ref="S105:S112" si="38">R105*J105</f>
        <v>0</v>
      </c>
      <c r="T105" s="8">
        <f t="shared" ref="T105:T107" si="39">SUM(K105,M105,O105,Q105,S105)</f>
        <v>14000</v>
      </c>
      <c r="U105" s="8">
        <v>0</v>
      </c>
      <c r="V105" s="8">
        <f t="shared" ref="V105:V107" si="40">SUM(T105:U105)</f>
        <v>14000</v>
      </c>
    </row>
    <row r="106" spans="1:24" ht="10.199999999999999" x14ac:dyDescent="0.35">
      <c r="A106" s="31" t="s">
        <v>211</v>
      </c>
      <c r="B106" s="31">
        <v>81000</v>
      </c>
      <c r="C106" s="45" t="s">
        <v>50</v>
      </c>
      <c r="D106" s="45" t="s">
        <v>50</v>
      </c>
      <c r="E106" s="32">
        <v>0</v>
      </c>
      <c r="F106" s="12" t="s">
        <v>212</v>
      </c>
      <c r="G106" s="2" t="s">
        <v>145</v>
      </c>
      <c r="H106" s="2" t="s">
        <v>84</v>
      </c>
      <c r="I106" s="8">
        <v>0</v>
      </c>
      <c r="J106" s="8">
        <v>175</v>
      </c>
      <c r="K106" s="8">
        <f t="shared" si="34"/>
        <v>0</v>
      </c>
      <c r="L106" s="8">
        <v>30</v>
      </c>
      <c r="M106" s="8">
        <f t="shared" si="35"/>
        <v>5250</v>
      </c>
      <c r="N106" s="8">
        <v>30</v>
      </c>
      <c r="O106" s="8">
        <f t="shared" si="36"/>
        <v>5250</v>
      </c>
      <c r="P106" s="8">
        <v>20</v>
      </c>
      <c r="Q106" s="8">
        <f t="shared" si="37"/>
        <v>3500</v>
      </c>
      <c r="R106" s="8">
        <v>0</v>
      </c>
      <c r="S106" s="8">
        <f t="shared" si="38"/>
        <v>0</v>
      </c>
      <c r="T106" s="8">
        <f t="shared" si="39"/>
        <v>14000</v>
      </c>
      <c r="U106" s="8">
        <v>0</v>
      </c>
      <c r="V106" s="8">
        <f t="shared" si="40"/>
        <v>14000</v>
      </c>
    </row>
    <row r="107" spans="1:24" ht="10.199999999999999" x14ac:dyDescent="0.35">
      <c r="A107" s="31" t="s">
        <v>213</v>
      </c>
      <c r="B107" s="32">
        <v>81021</v>
      </c>
      <c r="C107" s="45" t="s">
        <v>50</v>
      </c>
      <c r="D107" s="45" t="s">
        <v>50</v>
      </c>
      <c r="E107" s="32">
        <v>0</v>
      </c>
      <c r="F107" s="12" t="s">
        <v>214</v>
      </c>
      <c r="G107" s="2" t="s">
        <v>157</v>
      </c>
      <c r="H107" s="2" t="s">
        <v>112</v>
      </c>
      <c r="I107" s="8">
        <v>0</v>
      </c>
      <c r="J107" s="8">
        <v>2000</v>
      </c>
      <c r="K107" s="8">
        <f>J107*I107</f>
        <v>0</v>
      </c>
      <c r="L107" s="8">
        <v>8</v>
      </c>
      <c r="M107" s="8">
        <f t="shared" si="35"/>
        <v>16000</v>
      </c>
      <c r="N107" s="8">
        <v>2</v>
      </c>
      <c r="O107" s="8">
        <f t="shared" si="36"/>
        <v>4000</v>
      </c>
      <c r="P107" s="8">
        <v>0</v>
      </c>
      <c r="Q107" s="8">
        <f t="shared" si="37"/>
        <v>0</v>
      </c>
      <c r="R107" s="8">
        <v>0</v>
      </c>
      <c r="S107" s="8">
        <f t="shared" si="38"/>
        <v>0</v>
      </c>
      <c r="T107" s="8">
        <f t="shared" si="39"/>
        <v>20000</v>
      </c>
      <c r="U107" s="8">
        <v>0</v>
      </c>
      <c r="V107" s="8">
        <f t="shared" si="40"/>
        <v>20000</v>
      </c>
    </row>
    <row r="108" spans="1:24" ht="10.199999999999999" x14ac:dyDescent="0.35">
      <c r="A108" s="107"/>
      <c r="B108" s="107"/>
      <c r="C108" s="107"/>
      <c r="D108" s="107"/>
      <c r="E108" s="107"/>
      <c r="F108" s="58" t="s">
        <v>215</v>
      </c>
      <c r="G108" s="107"/>
      <c r="H108" s="107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</row>
    <row r="109" spans="1:24" ht="10.199999999999999" x14ac:dyDescent="0.35">
      <c r="A109" s="31" t="s">
        <v>216</v>
      </c>
      <c r="B109" s="32">
        <v>87000</v>
      </c>
      <c r="C109" s="45" t="s">
        <v>50</v>
      </c>
      <c r="D109" s="45" t="s">
        <v>50</v>
      </c>
      <c r="E109" s="32">
        <v>0</v>
      </c>
      <c r="F109" s="12" t="s">
        <v>217</v>
      </c>
      <c r="G109" s="2" t="s">
        <v>157</v>
      </c>
      <c r="H109" s="2" t="s">
        <v>180</v>
      </c>
      <c r="I109" s="8">
        <v>0</v>
      </c>
      <c r="J109" s="8">
        <v>400</v>
      </c>
      <c r="K109" s="8">
        <f>J109*I109</f>
        <v>0</v>
      </c>
      <c r="L109" s="8">
        <v>6</v>
      </c>
      <c r="M109" s="8">
        <f>L109*J109</f>
        <v>2400</v>
      </c>
      <c r="N109" s="8">
        <v>6</v>
      </c>
      <c r="O109" s="8">
        <f>N109*J109</f>
        <v>2400</v>
      </c>
      <c r="P109" s="8">
        <v>6</v>
      </c>
      <c r="Q109" s="8">
        <f>P109*J109</f>
        <v>2400</v>
      </c>
      <c r="R109" s="8">
        <v>2</v>
      </c>
      <c r="S109" s="8">
        <f t="shared" si="38"/>
        <v>800</v>
      </c>
      <c r="T109" s="8">
        <f>SUM(K109,M109,O109,Q109,S109)</f>
        <v>8000</v>
      </c>
      <c r="U109" s="8">
        <v>0</v>
      </c>
      <c r="V109" s="8">
        <f>SUM(T109:U109)</f>
        <v>8000</v>
      </c>
      <c r="X109" s="22"/>
    </row>
    <row r="110" spans="1:24" ht="10.199999999999999" x14ac:dyDescent="0.35">
      <c r="A110" s="31" t="s">
        <v>218</v>
      </c>
      <c r="B110" s="32">
        <v>85300</v>
      </c>
      <c r="C110" s="45" t="s">
        <v>50</v>
      </c>
      <c r="D110" s="45" t="s">
        <v>50</v>
      </c>
      <c r="E110" s="32">
        <v>0</v>
      </c>
      <c r="F110" s="12" t="s">
        <v>219</v>
      </c>
      <c r="G110" s="2" t="s">
        <v>157</v>
      </c>
      <c r="H110" s="2" t="s">
        <v>180</v>
      </c>
      <c r="I110" s="8"/>
      <c r="J110" s="8">
        <v>300</v>
      </c>
      <c r="K110" s="8">
        <f>J110*I110</f>
        <v>0</v>
      </c>
      <c r="L110" s="8">
        <v>6</v>
      </c>
      <c r="M110" s="8">
        <f>L110*J110</f>
        <v>1800</v>
      </c>
      <c r="N110" s="8">
        <v>6</v>
      </c>
      <c r="O110" s="8">
        <f>N110*J110</f>
        <v>1800</v>
      </c>
      <c r="P110" s="8">
        <v>6</v>
      </c>
      <c r="Q110" s="8">
        <f>P110*J110</f>
        <v>1800</v>
      </c>
      <c r="R110" s="8">
        <v>2</v>
      </c>
      <c r="S110" s="8">
        <f t="shared" si="38"/>
        <v>600</v>
      </c>
      <c r="T110" s="8">
        <f>SUM(K110,M110,O110,Q110,S110)</f>
        <v>6000</v>
      </c>
      <c r="U110" s="8">
        <v>0</v>
      </c>
      <c r="V110" s="8">
        <f>SUM(T110:U110)</f>
        <v>6000</v>
      </c>
      <c r="X110" s="22"/>
    </row>
    <row r="111" spans="1:24" ht="10.199999999999999" x14ac:dyDescent="0.35">
      <c r="A111" s="31" t="s">
        <v>220</v>
      </c>
      <c r="B111" s="32">
        <v>86000</v>
      </c>
      <c r="C111" s="45" t="s">
        <v>50</v>
      </c>
      <c r="D111" s="45" t="s">
        <v>50</v>
      </c>
      <c r="E111" s="32">
        <v>0</v>
      </c>
      <c r="F111" s="12" t="s">
        <v>221</v>
      </c>
      <c r="G111" s="2" t="s">
        <v>8</v>
      </c>
      <c r="H111" s="2" t="s">
        <v>222</v>
      </c>
      <c r="I111" s="8">
        <v>0</v>
      </c>
      <c r="J111" s="8">
        <v>175</v>
      </c>
      <c r="K111" s="8">
        <f>J111*I111</f>
        <v>0</v>
      </c>
      <c r="L111" s="8">
        <v>12</v>
      </c>
      <c r="M111" s="8">
        <f>L111*J111</f>
        <v>2100</v>
      </c>
      <c r="N111" s="8">
        <v>12</v>
      </c>
      <c r="O111" s="8">
        <f>N111*J111</f>
        <v>2100</v>
      </c>
      <c r="P111" s="8">
        <v>12</v>
      </c>
      <c r="Q111" s="8">
        <f>P111*J111</f>
        <v>2100</v>
      </c>
      <c r="R111" s="8">
        <v>4</v>
      </c>
      <c r="S111" s="8">
        <f t="shared" si="38"/>
        <v>700</v>
      </c>
      <c r="T111" s="8">
        <f>SUM(K111,M111,O111,Q111,S111)</f>
        <v>7000</v>
      </c>
      <c r="U111" s="8">
        <v>0</v>
      </c>
      <c r="V111" s="8">
        <f>SUM(T111:U111)</f>
        <v>7000</v>
      </c>
      <c r="X111" s="22"/>
    </row>
    <row r="112" spans="1:24" ht="10.199999999999999" x14ac:dyDescent="0.35">
      <c r="A112" s="31" t="s">
        <v>223</v>
      </c>
      <c r="B112" s="32">
        <v>87010</v>
      </c>
      <c r="C112" s="45" t="s">
        <v>50</v>
      </c>
      <c r="D112" s="45" t="s">
        <v>50</v>
      </c>
      <c r="E112" s="32">
        <v>0</v>
      </c>
      <c r="F112" s="12" t="s">
        <v>224</v>
      </c>
      <c r="G112" s="2" t="s">
        <v>157</v>
      </c>
      <c r="H112" s="2" t="s">
        <v>168</v>
      </c>
      <c r="I112" s="8">
        <v>0</v>
      </c>
      <c r="J112" s="8">
        <v>150</v>
      </c>
      <c r="K112" s="8">
        <v>0</v>
      </c>
      <c r="L112" s="8">
        <v>0</v>
      </c>
      <c r="M112" s="8">
        <f>L112*J112</f>
        <v>0</v>
      </c>
      <c r="N112" s="8">
        <v>10</v>
      </c>
      <c r="O112" s="8">
        <f>N112*J112</f>
        <v>1500</v>
      </c>
      <c r="P112" s="8">
        <v>6</v>
      </c>
      <c r="Q112" s="8">
        <f>P112*J112</f>
        <v>900</v>
      </c>
      <c r="R112" s="8">
        <v>2</v>
      </c>
      <c r="S112" s="8">
        <f t="shared" si="38"/>
        <v>300</v>
      </c>
      <c r="T112" s="8">
        <f>SUM(K112,M112,O112,Q112,S112)</f>
        <v>2700</v>
      </c>
      <c r="U112" s="8">
        <v>0</v>
      </c>
      <c r="V112" s="8">
        <f>SUM(T112:U112)</f>
        <v>2700</v>
      </c>
      <c r="X112" s="22"/>
    </row>
    <row r="113" spans="1:23" ht="10.199999999999999" x14ac:dyDescent="0.35">
      <c r="A113" s="31" t="s">
        <v>225</v>
      </c>
      <c r="B113" s="32">
        <v>81000</v>
      </c>
      <c r="C113" s="45" t="s">
        <v>50</v>
      </c>
      <c r="D113" s="45" t="s">
        <v>50</v>
      </c>
      <c r="E113" s="32">
        <v>0</v>
      </c>
      <c r="F113" s="12" t="s">
        <v>226</v>
      </c>
      <c r="G113" s="2" t="s">
        <v>145</v>
      </c>
      <c r="H113" s="2" t="s">
        <v>203</v>
      </c>
      <c r="I113" s="8"/>
      <c r="J113" s="8"/>
      <c r="K113" s="8">
        <v>4714</v>
      </c>
      <c r="L113" s="8"/>
      <c r="M113" s="8">
        <v>23570</v>
      </c>
      <c r="N113" s="8"/>
      <c r="O113" s="8">
        <v>23570</v>
      </c>
      <c r="P113" s="8"/>
      <c r="Q113" s="8">
        <v>23570</v>
      </c>
      <c r="R113" s="8"/>
      <c r="S113" s="8">
        <v>0</v>
      </c>
      <c r="T113" s="8">
        <f>SUM(K113,M113,O113,Q113,S113)</f>
        <v>75424</v>
      </c>
      <c r="U113" s="8">
        <v>0</v>
      </c>
      <c r="V113" s="8">
        <f>SUM(T113:U113)</f>
        <v>75424</v>
      </c>
    </row>
    <row r="114" spans="1:23" ht="10.5" customHeight="1" x14ac:dyDescent="0.35">
      <c r="A114" s="107"/>
      <c r="B114" s="107"/>
      <c r="C114" s="107"/>
      <c r="D114" s="107"/>
      <c r="E114" s="107"/>
      <c r="F114" s="58" t="s">
        <v>227</v>
      </c>
      <c r="G114" s="107"/>
      <c r="H114" s="107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</row>
    <row r="115" spans="1:23" ht="10.5" customHeight="1" x14ac:dyDescent="0.35">
      <c r="A115" s="31" t="s">
        <v>228</v>
      </c>
      <c r="B115" s="32">
        <v>81000</v>
      </c>
      <c r="C115" s="45" t="s">
        <v>50</v>
      </c>
      <c r="D115" s="45" t="s">
        <v>50</v>
      </c>
      <c r="E115" s="32">
        <v>0</v>
      </c>
      <c r="F115" s="12" t="s">
        <v>229</v>
      </c>
      <c r="G115" s="2" t="s">
        <v>145</v>
      </c>
      <c r="H115" s="2" t="s">
        <v>112</v>
      </c>
      <c r="I115" s="8">
        <v>0</v>
      </c>
      <c r="J115" s="8">
        <v>80000</v>
      </c>
      <c r="K115" s="8">
        <f>J115*I115</f>
        <v>0</v>
      </c>
      <c r="L115" s="8">
        <v>1</v>
      </c>
      <c r="M115" s="8">
        <f>L115*J115</f>
        <v>80000</v>
      </c>
      <c r="N115" s="8">
        <v>1</v>
      </c>
      <c r="O115" s="8">
        <f>N115*J115</f>
        <v>80000</v>
      </c>
      <c r="P115" s="8">
        <v>0</v>
      </c>
      <c r="Q115" s="8">
        <f>P115*J115</f>
        <v>0</v>
      </c>
      <c r="R115" s="8">
        <v>0</v>
      </c>
      <c r="S115" s="8">
        <f>R115*J115</f>
        <v>0</v>
      </c>
      <c r="T115" s="8">
        <f>Q115+O115+M115+K115+S115</f>
        <v>160000</v>
      </c>
      <c r="U115" s="8">
        <v>0</v>
      </c>
      <c r="V115" s="8">
        <f>SUM(T115:U115)</f>
        <v>160000</v>
      </c>
    </row>
    <row r="116" spans="1:23" ht="10.5" customHeight="1" x14ac:dyDescent="0.35">
      <c r="A116" s="107"/>
      <c r="B116" s="107"/>
      <c r="C116" s="107"/>
      <c r="D116" s="107"/>
      <c r="E116" s="107"/>
      <c r="F116" s="58" t="s">
        <v>230</v>
      </c>
      <c r="G116" s="107"/>
      <c r="H116" s="107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</row>
    <row r="117" spans="1:23" ht="10.5" customHeight="1" x14ac:dyDescent="0.35">
      <c r="A117" s="31" t="s">
        <v>231</v>
      </c>
      <c r="B117" s="32">
        <v>85300</v>
      </c>
      <c r="C117" s="45" t="s">
        <v>50</v>
      </c>
      <c r="D117" s="45" t="s">
        <v>50</v>
      </c>
      <c r="E117" s="32">
        <v>0</v>
      </c>
      <c r="F117" s="12" t="s">
        <v>232</v>
      </c>
      <c r="G117" s="2" t="s">
        <v>157</v>
      </c>
      <c r="H117" s="2" t="s">
        <v>112</v>
      </c>
      <c r="I117" s="8">
        <v>0</v>
      </c>
      <c r="J117" s="8">
        <v>500</v>
      </c>
      <c r="K117" s="8">
        <f>J117*I117</f>
        <v>0</v>
      </c>
      <c r="L117" s="8">
        <v>2</v>
      </c>
      <c r="M117" s="8">
        <f>L117*J117</f>
        <v>1000</v>
      </c>
      <c r="N117" s="8">
        <v>2</v>
      </c>
      <c r="O117" s="8">
        <f>N117*J117</f>
        <v>1000</v>
      </c>
      <c r="P117" s="8">
        <v>2</v>
      </c>
      <c r="Q117" s="8">
        <f>P117*J117</f>
        <v>1000</v>
      </c>
      <c r="R117" s="8">
        <v>0</v>
      </c>
      <c r="S117" s="8">
        <f>R117*J117</f>
        <v>0</v>
      </c>
      <c r="T117" s="8">
        <f>SUM(K117,M117,O117,Q117,S117)</f>
        <v>3000</v>
      </c>
      <c r="U117" s="8">
        <v>0</v>
      </c>
      <c r="V117" s="8">
        <f>SUM(T117:U117)</f>
        <v>3000</v>
      </c>
      <c r="W117" s="22"/>
    </row>
    <row r="118" spans="1:23" ht="10.5" customHeight="1" x14ac:dyDescent="0.35">
      <c r="A118" s="107"/>
      <c r="B118" s="107"/>
      <c r="C118" s="107"/>
      <c r="D118" s="107"/>
      <c r="E118" s="107"/>
      <c r="F118" s="58" t="s">
        <v>233</v>
      </c>
      <c r="G118" s="107"/>
      <c r="H118" s="107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</row>
    <row r="119" spans="1:23" ht="10.5" customHeight="1" x14ac:dyDescent="0.35">
      <c r="A119" s="31" t="s">
        <v>234</v>
      </c>
      <c r="B119" s="32">
        <v>87000</v>
      </c>
      <c r="C119" s="45" t="s">
        <v>50</v>
      </c>
      <c r="D119" s="45" t="s">
        <v>50</v>
      </c>
      <c r="E119" s="32">
        <v>0</v>
      </c>
      <c r="F119" s="12" t="s">
        <v>235</v>
      </c>
      <c r="G119" s="2" t="s">
        <v>157</v>
      </c>
      <c r="H119" s="2" t="s">
        <v>236</v>
      </c>
      <c r="I119" s="8">
        <v>0</v>
      </c>
      <c r="J119" s="8">
        <v>3000</v>
      </c>
      <c r="K119" s="8">
        <f>J119*I119</f>
        <v>0</v>
      </c>
      <c r="L119" s="8">
        <v>2</v>
      </c>
      <c r="M119" s="8">
        <f>L119*J119</f>
        <v>6000</v>
      </c>
      <c r="N119" s="8">
        <v>2</v>
      </c>
      <c r="O119" s="8">
        <f>N119*J119</f>
        <v>6000</v>
      </c>
      <c r="P119" s="8">
        <v>2</v>
      </c>
      <c r="Q119" s="8">
        <f>P119*J119</f>
        <v>6000</v>
      </c>
      <c r="R119" s="8">
        <v>0</v>
      </c>
      <c r="S119" s="8">
        <f>R119*J119</f>
        <v>0</v>
      </c>
      <c r="T119" s="8">
        <f>SUM(K119,M119,O119,Q119,S119)</f>
        <v>18000</v>
      </c>
      <c r="U119" s="8">
        <v>0</v>
      </c>
      <c r="V119" s="8">
        <f>SUM(T119:U119)</f>
        <v>18000</v>
      </c>
    </row>
    <row r="120" spans="1:23" ht="10.5" customHeight="1" x14ac:dyDescent="0.35">
      <c r="A120" s="31" t="s">
        <v>237</v>
      </c>
      <c r="B120" s="32">
        <v>85300</v>
      </c>
      <c r="C120" s="45" t="s">
        <v>50</v>
      </c>
      <c r="D120" s="45" t="s">
        <v>50</v>
      </c>
      <c r="E120" s="32">
        <v>0</v>
      </c>
      <c r="F120" s="12" t="s">
        <v>238</v>
      </c>
      <c r="G120" s="2" t="s">
        <v>157</v>
      </c>
      <c r="H120" s="2" t="s">
        <v>236</v>
      </c>
      <c r="I120" s="8">
        <v>0</v>
      </c>
      <c r="J120" s="8">
        <v>2000</v>
      </c>
      <c r="K120" s="8">
        <f t="shared" ref="K120:K122" si="41">J120*I120</f>
        <v>0</v>
      </c>
      <c r="L120" s="8">
        <v>2</v>
      </c>
      <c r="M120" s="8">
        <f t="shared" ref="M120:M122" si="42">L120*J120</f>
        <v>4000</v>
      </c>
      <c r="N120" s="8">
        <v>2</v>
      </c>
      <c r="O120" s="8">
        <f t="shared" ref="O120:O122" si="43">N120*J120</f>
        <v>4000</v>
      </c>
      <c r="P120" s="8">
        <v>2</v>
      </c>
      <c r="Q120" s="8">
        <f t="shared" ref="Q120:Q122" si="44">P120*J120</f>
        <v>4000</v>
      </c>
      <c r="R120" s="8">
        <v>0</v>
      </c>
      <c r="S120" s="8">
        <f t="shared" ref="S120:S122" si="45">R120*J120</f>
        <v>0</v>
      </c>
      <c r="T120" s="8">
        <f t="shared" ref="T120:T122" si="46">SUM(K120,M120,O120,Q120,S120)</f>
        <v>12000</v>
      </c>
      <c r="U120" s="8">
        <v>0</v>
      </c>
      <c r="V120" s="8">
        <f t="shared" ref="V120:V122" si="47">SUM(T120:U120)</f>
        <v>12000</v>
      </c>
    </row>
    <row r="121" spans="1:23" ht="10.5" customHeight="1" x14ac:dyDescent="0.35">
      <c r="A121" s="31" t="s">
        <v>239</v>
      </c>
      <c r="B121" s="32" t="s">
        <v>82</v>
      </c>
      <c r="C121" s="45" t="s">
        <v>50</v>
      </c>
      <c r="D121" s="45" t="s">
        <v>50</v>
      </c>
      <c r="E121" s="32">
        <v>0</v>
      </c>
      <c r="F121" s="12" t="s">
        <v>240</v>
      </c>
      <c r="G121" s="2" t="s">
        <v>8</v>
      </c>
      <c r="H121" s="2" t="s">
        <v>84</v>
      </c>
      <c r="I121" s="8">
        <v>0</v>
      </c>
      <c r="J121" s="8">
        <v>110</v>
      </c>
      <c r="K121" s="8">
        <f t="shared" si="41"/>
        <v>0</v>
      </c>
      <c r="L121" s="8">
        <v>10</v>
      </c>
      <c r="M121" s="8">
        <f t="shared" si="42"/>
        <v>1100</v>
      </c>
      <c r="N121" s="8">
        <v>10</v>
      </c>
      <c r="O121" s="8">
        <f t="shared" si="43"/>
        <v>1100</v>
      </c>
      <c r="P121" s="8">
        <v>10</v>
      </c>
      <c r="Q121" s="8">
        <f t="shared" si="44"/>
        <v>1100</v>
      </c>
      <c r="R121" s="8">
        <v>0</v>
      </c>
      <c r="S121" s="8">
        <f t="shared" si="45"/>
        <v>0</v>
      </c>
      <c r="T121" s="8">
        <f t="shared" si="46"/>
        <v>3300</v>
      </c>
      <c r="U121" s="8">
        <v>0</v>
      </c>
      <c r="V121" s="8">
        <f t="shared" si="47"/>
        <v>3300</v>
      </c>
    </row>
    <row r="122" spans="1:23" ht="10.5" customHeight="1" x14ac:dyDescent="0.35">
      <c r="A122" s="31" t="s">
        <v>241</v>
      </c>
      <c r="B122" s="32">
        <v>86000</v>
      </c>
      <c r="C122" s="45" t="s">
        <v>50</v>
      </c>
      <c r="D122" s="45" t="s">
        <v>50</v>
      </c>
      <c r="E122" s="32">
        <v>0</v>
      </c>
      <c r="F122" s="12" t="s">
        <v>242</v>
      </c>
      <c r="G122" s="2" t="s">
        <v>8</v>
      </c>
      <c r="H122" s="2" t="s">
        <v>84</v>
      </c>
      <c r="I122" s="8">
        <v>0</v>
      </c>
      <c r="J122" s="8">
        <v>30</v>
      </c>
      <c r="K122" s="8">
        <f t="shared" si="41"/>
        <v>0</v>
      </c>
      <c r="L122" s="8">
        <v>10</v>
      </c>
      <c r="M122" s="8">
        <f t="shared" si="42"/>
        <v>300</v>
      </c>
      <c r="N122" s="8">
        <v>10</v>
      </c>
      <c r="O122" s="8">
        <f t="shared" si="43"/>
        <v>300</v>
      </c>
      <c r="P122" s="8">
        <v>10</v>
      </c>
      <c r="Q122" s="8">
        <f t="shared" si="44"/>
        <v>300</v>
      </c>
      <c r="R122" s="8">
        <v>0</v>
      </c>
      <c r="S122" s="8">
        <f t="shared" si="45"/>
        <v>0</v>
      </c>
      <c r="T122" s="8">
        <f t="shared" si="46"/>
        <v>900</v>
      </c>
      <c r="U122" s="8">
        <v>0</v>
      </c>
      <c r="V122" s="8">
        <f t="shared" si="47"/>
        <v>900</v>
      </c>
    </row>
    <row r="123" spans="1:23" ht="10.5" customHeight="1" x14ac:dyDescent="0.35">
      <c r="A123" s="107"/>
      <c r="B123" s="107"/>
      <c r="C123" s="107"/>
      <c r="D123" s="107"/>
      <c r="E123" s="107"/>
      <c r="F123" s="58" t="s">
        <v>243</v>
      </c>
      <c r="G123" s="107"/>
      <c r="H123" s="107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</row>
    <row r="124" spans="1:23" ht="10.5" customHeight="1" x14ac:dyDescent="0.35">
      <c r="A124" s="31" t="s">
        <v>244</v>
      </c>
      <c r="B124" s="32">
        <v>86000</v>
      </c>
      <c r="C124" s="45" t="s">
        <v>50</v>
      </c>
      <c r="D124" s="45" t="s">
        <v>50</v>
      </c>
      <c r="E124" s="32">
        <v>0</v>
      </c>
      <c r="F124" s="12" t="s">
        <v>245</v>
      </c>
      <c r="G124" s="2" t="s">
        <v>8</v>
      </c>
      <c r="H124" s="2" t="s">
        <v>222</v>
      </c>
      <c r="I124" s="8">
        <v>0</v>
      </c>
      <c r="J124" s="8">
        <v>175</v>
      </c>
      <c r="K124" s="8">
        <f>J124*I124</f>
        <v>0</v>
      </c>
      <c r="L124" s="8">
        <v>0</v>
      </c>
      <c r="M124" s="8">
        <f>L124*J124</f>
        <v>0</v>
      </c>
      <c r="N124" s="8">
        <v>20</v>
      </c>
      <c r="O124" s="8">
        <f>N124*J124</f>
        <v>3500</v>
      </c>
      <c r="P124" s="8">
        <v>20</v>
      </c>
      <c r="Q124" s="8">
        <f>P124*J124</f>
        <v>3500</v>
      </c>
      <c r="R124" s="8">
        <v>0</v>
      </c>
      <c r="S124" s="8">
        <f>R124*J124</f>
        <v>0</v>
      </c>
      <c r="T124" s="8">
        <f>SUM(K124,M124,O124,Q124,S124)</f>
        <v>7000</v>
      </c>
      <c r="U124" s="8">
        <v>0</v>
      </c>
      <c r="V124" s="8">
        <f>SUM(T124:U124)</f>
        <v>7000</v>
      </c>
    </row>
    <row r="125" spans="1:23" ht="10.5" customHeight="1" x14ac:dyDescent="0.35">
      <c r="A125" s="31" t="s">
        <v>246</v>
      </c>
      <c r="B125" s="32">
        <v>86000</v>
      </c>
      <c r="C125" s="45" t="s">
        <v>50</v>
      </c>
      <c r="D125" s="45" t="s">
        <v>50</v>
      </c>
      <c r="E125" s="32">
        <v>0</v>
      </c>
      <c r="F125" s="12" t="s">
        <v>247</v>
      </c>
      <c r="G125" s="2" t="s">
        <v>8</v>
      </c>
      <c r="H125" s="2" t="s">
        <v>84</v>
      </c>
      <c r="I125" s="8">
        <v>0</v>
      </c>
      <c r="J125" s="8">
        <v>30</v>
      </c>
      <c r="K125" s="8">
        <f>J125*I125</f>
        <v>0</v>
      </c>
      <c r="L125" s="8">
        <v>0</v>
      </c>
      <c r="M125" s="8">
        <f>L125*J125</f>
        <v>0</v>
      </c>
      <c r="N125" s="8">
        <v>15</v>
      </c>
      <c r="O125" s="8">
        <f>N125*J125</f>
        <v>450</v>
      </c>
      <c r="P125" s="8">
        <v>15</v>
      </c>
      <c r="Q125" s="8">
        <f>P125*J125</f>
        <v>450</v>
      </c>
      <c r="R125" s="8">
        <v>0</v>
      </c>
      <c r="S125" s="8">
        <f>R125*J125</f>
        <v>0</v>
      </c>
      <c r="T125" s="8">
        <f>SUM(K125,M125,O125,Q125,S125)</f>
        <v>900</v>
      </c>
      <c r="U125" s="8">
        <v>0</v>
      </c>
      <c r="V125" s="8">
        <f>SUM(T125:U125)</f>
        <v>900</v>
      </c>
    </row>
    <row r="126" spans="1:23" ht="10.5" customHeight="1" x14ac:dyDescent="0.35">
      <c r="A126" s="107"/>
      <c r="B126" s="107"/>
      <c r="C126" s="107"/>
      <c r="D126" s="107"/>
      <c r="E126" s="107"/>
      <c r="F126" s="58" t="s">
        <v>248</v>
      </c>
      <c r="G126" s="107"/>
      <c r="H126" s="107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</row>
    <row r="127" spans="1:23" ht="10.5" customHeight="1" x14ac:dyDescent="0.35">
      <c r="A127" s="31" t="s">
        <v>249</v>
      </c>
      <c r="B127" s="32">
        <v>81000</v>
      </c>
      <c r="C127" s="45" t="s">
        <v>50</v>
      </c>
      <c r="D127" s="45" t="s">
        <v>50</v>
      </c>
      <c r="E127" s="32">
        <v>0</v>
      </c>
      <c r="F127" s="12" t="s">
        <v>250</v>
      </c>
      <c r="G127" s="2" t="s">
        <v>145</v>
      </c>
      <c r="H127" s="2" t="s">
        <v>84</v>
      </c>
      <c r="I127" s="8">
        <v>0</v>
      </c>
      <c r="J127" s="8">
        <v>250</v>
      </c>
      <c r="K127" s="8">
        <f>J127*I127</f>
        <v>0</v>
      </c>
      <c r="L127" s="8">
        <v>40</v>
      </c>
      <c r="M127" s="8">
        <f>L127*J127</f>
        <v>10000</v>
      </c>
      <c r="N127" s="8">
        <v>30</v>
      </c>
      <c r="O127" s="8">
        <f>N127*J127</f>
        <v>7500</v>
      </c>
      <c r="P127" s="8">
        <v>30</v>
      </c>
      <c r="Q127" s="8">
        <f>P127*J127</f>
        <v>7500</v>
      </c>
      <c r="R127" s="8">
        <v>0</v>
      </c>
      <c r="S127" s="8">
        <f>R127*J127</f>
        <v>0</v>
      </c>
      <c r="T127" s="8">
        <f>SUM(K127,M127,O127,Q127,S127)</f>
        <v>25000</v>
      </c>
      <c r="U127" s="8">
        <v>0</v>
      </c>
      <c r="V127" s="8">
        <f>SUM(T127:U127)</f>
        <v>25000</v>
      </c>
      <c r="W127" s="22"/>
    </row>
    <row r="128" spans="1:23" ht="10.199999999999999" x14ac:dyDescent="0.35">
      <c r="A128" s="31"/>
      <c r="B128" s="32"/>
      <c r="C128" s="32"/>
      <c r="D128" s="32"/>
      <c r="E128" s="32"/>
      <c r="F128" s="2"/>
    </row>
    <row r="129" spans="1:22" ht="10.8" thickBot="1" x14ac:dyDescent="0.45">
      <c r="A129" s="18"/>
      <c r="B129" s="18"/>
      <c r="C129" s="18"/>
      <c r="D129" s="18"/>
      <c r="E129" s="18"/>
      <c r="F129" s="18" t="s">
        <v>251</v>
      </c>
      <c r="G129" s="18"/>
      <c r="H129" s="18"/>
      <c r="I129" s="25"/>
      <c r="J129" s="25"/>
      <c r="K129" s="30">
        <f>SUM(K75:K127)</f>
        <v>465806.16356335231</v>
      </c>
      <c r="L129" s="30"/>
      <c r="M129" s="30">
        <f>SUM(M75:M127)</f>
        <v>1068912.1322586958</v>
      </c>
      <c r="N129" s="30"/>
      <c r="O129" s="30">
        <f>SUM(O75:O127)</f>
        <v>1030479.9768350474</v>
      </c>
      <c r="P129" s="30"/>
      <c r="Q129" s="30">
        <f>SUM(Q75:Q127)</f>
        <v>960812.97277608223</v>
      </c>
      <c r="R129" s="30"/>
      <c r="S129" s="30">
        <f>SUM(S75:S127)</f>
        <v>133282.87712138932</v>
      </c>
      <c r="T129" s="30">
        <f>K129+M129+O129+Q129+S129</f>
        <v>3659294.1225545672</v>
      </c>
      <c r="U129" s="30">
        <f>SUM(U75:U127)</f>
        <v>0</v>
      </c>
      <c r="V129" s="30">
        <f>SUM(T129:U129)</f>
        <v>3659294.1225545672</v>
      </c>
    </row>
    <row r="130" spans="1:22" ht="21" customHeight="1" x14ac:dyDescent="0.35">
      <c r="A130" s="2"/>
      <c r="B130" s="2"/>
      <c r="C130" s="2"/>
      <c r="D130" s="2"/>
      <c r="E130" s="2"/>
      <c r="F130" s="311" t="s">
        <v>252</v>
      </c>
      <c r="G130" s="311"/>
      <c r="H130" s="311"/>
      <c r="I130" s="311"/>
      <c r="J130" s="311"/>
      <c r="K130" s="311"/>
      <c r="L130" s="311"/>
      <c r="M130" s="311"/>
      <c r="N130" s="311"/>
      <c r="O130" s="311"/>
      <c r="P130" s="311"/>
      <c r="Q130" s="311"/>
      <c r="R130" s="311"/>
      <c r="S130" s="311"/>
      <c r="T130" s="311"/>
      <c r="U130" s="311"/>
      <c r="V130" s="311"/>
    </row>
    <row r="131" spans="1:22" ht="10.5" x14ac:dyDescent="0.4">
      <c r="A131" s="40"/>
      <c r="B131" s="40"/>
      <c r="C131" s="40"/>
      <c r="D131" s="40"/>
      <c r="E131" s="40"/>
      <c r="F131" s="43" t="s">
        <v>140</v>
      </c>
      <c r="G131" s="43"/>
      <c r="H131" s="40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</row>
    <row r="132" spans="1:22" ht="10.199999999999999" x14ac:dyDescent="0.35">
      <c r="A132" s="109"/>
      <c r="B132" s="109"/>
      <c r="C132" s="109"/>
      <c r="D132" s="109"/>
      <c r="E132" s="109"/>
      <c r="F132" s="162" t="s">
        <v>253</v>
      </c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</row>
    <row r="133" spans="1:22" ht="10.199999999999999" x14ac:dyDescent="0.35">
      <c r="A133" s="98" t="s">
        <v>254</v>
      </c>
      <c r="B133" s="98">
        <v>89050</v>
      </c>
      <c r="C133" s="125">
        <v>0</v>
      </c>
      <c r="D133" s="125">
        <v>0</v>
      </c>
      <c r="E133" s="98" t="s">
        <v>150</v>
      </c>
      <c r="F133" s="125" t="s">
        <v>255</v>
      </c>
      <c r="G133" s="126" t="s">
        <v>145</v>
      </c>
      <c r="H133" s="126" t="s">
        <v>112</v>
      </c>
      <c r="I133" s="127"/>
      <c r="J133" s="127"/>
      <c r="K133" s="127">
        <f>SAI!F108</f>
        <v>78583.117995288849</v>
      </c>
      <c r="L133" s="127"/>
      <c r="M133" s="127">
        <f>SAI!H108</f>
        <v>120000.08987757252</v>
      </c>
      <c r="N133" s="127"/>
      <c r="O133" s="127">
        <f>SAI!J108</f>
        <v>119244.09487379431</v>
      </c>
      <c r="P133" s="127"/>
      <c r="Q133" s="127">
        <f>SAI!L108</f>
        <v>107816.31747282777</v>
      </c>
      <c r="R133" s="127"/>
      <c r="S133" s="127">
        <f>SAI!N108</f>
        <v>40347.511654143782</v>
      </c>
      <c r="T133" s="127">
        <f>K133+M133+O133+Q133+S133</f>
        <v>465991.13187362719</v>
      </c>
      <c r="U133" s="127">
        <v>0</v>
      </c>
      <c r="V133" s="127">
        <f>T133+U133</f>
        <v>465991.13187362719</v>
      </c>
    </row>
    <row r="134" spans="1:22" ht="10.199999999999999" x14ac:dyDescent="0.35">
      <c r="A134" s="129"/>
      <c r="B134" s="129"/>
      <c r="C134" s="129"/>
      <c r="D134" s="129"/>
      <c r="E134" s="129"/>
      <c r="F134" s="128" t="s">
        <v>256</v>
      </c>
      <c r="G134" s="129"/>
      <c r="H134" s="129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  <c r="U134" s="130"/>
      <c r="V134" s="130"/>
    </row>
    <row r="135" spans="1:22" ht="12" customHeight="1" x14ac:dyDescent="0.35">
      <c r="A135" s="31" t="s">
        <v>257</v>
      </c>
      <c r="B135" s="31">
        <v>81000</v>
      </c>
      <c r="C135" s="45" t="s">
        <v>50</v>
      </c>
      <c r="D135" s="45" t="s">
        <v>50</v>
      </c>
      <c r="E135" s="32">
        <v>0</v>
      </c>
      <c r="F135" s="32" t="s">
        <v>258</v>
      </c>
      <c r="G135" s="106" t="s">
        <v>145</v>
      </c>
      <c r="H135" s="106" t="s">
        <v>165</v>
      </c>
      <c r="I135" s="110">
        <v>1</v>
      </c>
      <c r="J135" s="110">
        <v>20000</v>
      </c>
      <c r="K135" s="110">
        <f>J135*I135</f>
        <v>20000</v>
      </c>
      <c r="L135" s="110">
        <v>0</v>
      </c>
      <c r="M135" s="110">
        <f>L135*J135</f>
        <v>0</v>
      </c>
      <c r="N135" s="110">
        <v>0</v>
      </c>
      <c r="O135" s="110">
        <f>N135*J135</f>
        <v>0</v>
      </c>
      <c r="P135" s="110">
        <v>0</v>
      </c>
      <c r="Q135" s="110">
        <f>P135*K135</f>
        <v>0</v>
      </c>
      <c r="R135" s="110">
        <v>0</v>
      </c>
      <c r="S135" s="110">
        <f>R135*J135</f>
        <v>0</v>
      </c>
      <c r="T135" s="110">
        <f>SUM(K135,M135,O135,Q135,S135)</f>
        <v>20000</v>
      </c>
      <c r="U135" s="110">
        <v>0</v>
      </c>
      <c r="V135" s="110">
        <f>SUM(T135:U135)</f>
        <v>20000</v>
      </c>
    </row>
    <row r="136" spans="1:22" ht="10.199999999999999" x14ac:dyDescent="0.35">
      <c r="A136" s="31" t="s">
        <v>259</v>
      </c>
      <c r="B136" s="31">
        <v>81010</v>
      </c>
      <c r="C136" s="45" t="s">
        <v>50</v>
      </c>
      <c r="D136" s="45" t="s">
        <v>50</v>
      </c>
      <c r="E136" s="32">
        <v>0</v>
      </c>
      <c r="F136" s="32" t="s">
        <v>260</v>
      </c>
      <c r="G136" s="106" t="s">
        <v>157</v>
      </c>
      <c r="H136" s="106" t="s">
        <v>112</v>
      </c>
      <c r="I136" s="110">
        <v>1</v>
      </c>
      <c r="J136" s="110">
        <v>5000</v>
      </c>
      <c r="K136" s="110">
        <f>J136*I136</f>
        <v>5000</v>
      </c>
      <c r="L136" s="110">
        <v>0</v>
      </c>
      <c r="M136" s="110">
        <f>L136*J136</f>
        <v>0</v>
      </c>
      <c r="N136" s="110">
        <v>0</v>
      </c>
      <c r="O136" s="110">
        <f>N136*J136</f>
        <v>0</v>
      </c>
      <c r="P136" s="110">
        <v>0</v>
      </c>
      <c r="Q136" s="110">
        <f>P136*K136</f>
        <v>0</v>
      </c>
      <c r="R136" s="110">
        <v>0</v>
      </c>
      <c r="S136" s="110">
        <f>R136*J136</f>
        <v>0</v>
      </c>
      <c r="T136" s="110">
        <f>SUM(K136,M136,O136,Q136,S136)</f>
        <v>5000</v>
      </c>
      <c r="U136" s="110">
        <v>0</v>
      </c>
      <c r="V136" s="110">
        <f>SUM(T136:U136)</f>
        <v>5000</v>
      </c>
    </row>
    <row r="137" spans="1:22" ht="10.199999999999999" x14ac:dyDescent="0.35">
      <c r="A137" s="31" t="s">
        <v>261</v>
      </c>
      <c r="B137" s="31">
        <v>87010</v>
      </c>
      <c r="C137" s="45" t="s">
        <v>50</v>
      </c>
      <c r="D137" s="45" t="s">
        <v>50</v>
      </c>
      <c r="E137" s="32">
        <v>0</v>
      </c>
      <c r="F137" s="32" t="s">
        <v>262</v>
      </c>
      <c r="G137" s="106" t="s">
        <v>157</v>
      </c>
      <c r="H137" s="106" t="s">
        <v>168</v>
      </c>
      <c r="I137" s="110">
        <v>15</v>
      </c>
      <c r="J137" s="110">
        <v>150</v>
      </c>
      <c r="K137" s="110">
        <f>J137*I137</f>
        <v>2250</v>
      </c>
      <c r="L137" s="110">
        <v>6</v>
      </c>
      <c r="M137" s="110">
        <f>L137*J137</f>
        <v>900</v>
      </c>
      <c r="N137" s="110">
        <v>0</v>
      </c>
      <c r="O137" s="110">
        <f>N137*J137</f>
        <v>0</v>
      </c>
      <c r="P137" s="110">
        <v>0</v>
      </c>
      <c r="Q137" s="110">
        <f>P137*K137</f>
        <v>0</v>
      </c>
      <c r="R137" s="110">
        <v>0</v>
      </c>
      <c r="S137" s="110">
        <f>R137*J137</f>
        <v>0</v>
      </c>
      <c r="T137" s="110">
        <f>SUM(K137,M137,O137,Q137,S137)</f>
        <v>3150</v>
      </c>
      <c r="U137" s="110">
        <v>0</v>
      </c>
      <c r="V137" s="110">
        <f>SUM(T137:U137)</f>
        <v>3150</v>
      </c>
    </row>
    <row r="138" spans="1:22" ht="10.199999999999999" x14ac:dyDescent="0.35">
      <c r="A138" s="131"/>
      <c r="B138" s="131"/>
      <c r="C138" s="131"/>
      <c r="D138" s="131"/>
      <c r="E138" s="131"/>
      <c r="F138" s="128" t="s">
        <v>263</v>
      </c>
      <c r="G138" s="131"/>
      <c r="H138" s="131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</row>
    <row r="139" spans="1:22" ht="10.199999999999999" x14ac:dyDescent="0.35">
      <c r="A139" s="31" t="s">
        <v>264</v>
      </c>
      <c r="B139" s="31">
        <v>81000</v>
      </c>
      <c r="C139" s="45" t="s">
        <v>50</v>
      </c>
      <c r="D139" s="45" t="s">
        <v>50</v>
      </c>
      <c r="E139" s="32">
        <v>0</v>
      </c>
      <c r="F139" s="32" t="s">
        <v>265</v>
      </c>
      <c r="G139" s="106" t="s">
        <v>145</v>
      </c>
      <c r="H139" s="106" t="s">
        <v>165</v>
      </c>
      <c r="I139" s="110">
        <v>0</v>
      </c>
      <c r="J139" s="110">
        <v>15000</v>
      </c>
      <c r="K139" s="110">
        <f>J139*I139</f>
        <v>0</v>
      </c>
      <c r="L139" s="110">
        <v>1</v>
      </c>
      <c r="M139" s="110">
        <f>L139*J139</f>
        <v>15000</v>
      </c>
      <c r="N139" s="110">
        <v>1</v>
      </c>
      <c r="O139" s="110">
        <f>N139*J139</f>
        <v>15000</v>
      </c>
      <c r="P139" s="110">
        <v>0</v>
      </c>
      <c r="Q139" s="110">
        <f>P139*J139</f>
        <v>0</v>
      </c>
      <c r="R139" s="110">
        <v>0</v>
      </c>
      <c r="S139" s="110">
        <f>R139*J139</f>
        <v>0</v>
      </c>
      <c r="T139" s="110">
        <f>SUM(K139,M139,O139,Q139,S139)</f>
        <v>30000</v>
      </c>
      <c r="U139" s="110">
        <v>0</v>
      </c>
      <c r="V139" s="110">
        <f>SUM(T139:U139)</f>
        <v>30000</v>
      </c>
    </row>
    <row r="140" spans="1:22" ht="10.199999999999999" x14ac:dyDescent="0.35">
      <c r="A140" s="31" t="s">
        <v>266</v>
      </c>
      <c r="B140" s="31">
        <v>87010</v>
      </c>
      <c r="C140" s="45" t="s">
        <v>50</v>
      </c>
      <c r="D140" s="45" t="s">
        <v>50</v>
      </c>
      <c r="E140" s="32">
        <v>0</v>
      </c>
      <c r="F140" s="32" t="s">
        <v>267</v>
      </c>
      <c r="G140" s="106" t="s">
        <v>157</v>
      </c>
      <c r="H140" s="106" t="s">
        <v>168</v>
      </c>
      <c r="I140" s="110">
        <v>0</v>
      </c>
      <c r="J140" s="110">
        <v>150</v>
      </c>
      <c r="K140" s="110">
        <f>J140*I140</f>
        <v>0</v>
      </c>
      <c r="L140" s="110">
        <v>12</v>
      </c>
      <c r="M140" s="110">
        <f>L140*J140</f>
        <v>1800</v>
      </c>
      <c r="N140" s="110">
        <v>12</v>
      </c>
      <c r="O140" s="110">
        <f>N140*J140</f>
        <v>1800</v>
      </c>
      <c r="P140" s="110">
        <v>6</v>
      </c>
      <c r="Q140" s="110">
        <f>P140*J140</f>
        <v>900</v>
      </c>
      <c r="R140" s="110">
        <v>3</v>
      </c>
      <c r="S140" s="110">
        <f>R140*J140</f>
        <v>450</v>
      </c>
      <c r="T140" s="110">
        <f>SUM(K140,M140,O140,Q140,S140)</f>
        <v>4950</v>
      </c>
      <c r="U140" s="110">
        <v>0</v>
      </c>
      <c r="V140" s="110">
        <f>SUM(T140:U140)</f>
        <v>4950</v>
      </c>
    </row>
    <row r="141" spans="1:22" ht="10.199999999999999" x14ac:dyDescent="0.35">
      <c r="A141" s="131"/>
      <c r="B141" s="131"/>
      <c r="C141" s="131"/>
      <c r="D141" s="131"/>
      <c r="E141" s="131"/>
      <c r="F141" s="128" t="s">
        <v>268</v>
      </c>
      <c r="G141" s="131"/>
      <c r="H141" s="131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</row>
    <row r="142" spans="1:22" ht="10.199999999999999" x14ac:dyDescent="0.35">
      <c r="A142" s="31" t="s">
        <v>269</v>
      </c>
      <c r="B142" s="31">
        <v>85300</v>
      </c>
      <c r="C142" s="45" t="s">
        <v>50</v>
      </c>
      <c r="D142" s="45" t="s">
        <v>50</v>
      </c>
      <c r="E142" s="32">
        <v>0</v>
      </c>
      <c r="F142" s="32" t="s">
        <v>270</v>
      </c>
      <c r="G142" s="106" t="s">
        <v>157</v>
      </c>
      <c r="H142" s="106" t="s">
        <v>203</v>
      </c>
      <c r="I142" s="110">
        <v>0</v>
      </c>
      <c r="J142" s="110">
        <v>150000</v>
      </c>
      <c r="K142" s="110">
        <f>J142*I142</f>
        <v>0</v>
      </c>
      <c r="L142" s="110">
        <v>1</v>
      </c>
      <c r="M142" s="110">
        <f>L142*J142</f>
        <v>150000</v>
      </c>
      <c r="N142" s="110">
        <v>1</v>
      </c>
      <c r="O142" s="110">
        <f>N142*J142</f>
        <v>150000</v>
      </c>
      <c r="P142" s="110">
        <v>1</v>
      </c>
      <c r="Q142" s="110">
        <f>P142*J142</f>
        <v>150000</v>
      </c>
      <c r="R142" s="110">
        <v>0</v>
      </c>
      <c r="S142" s="110">
        <f>R142*J142</f>
        <v>0</v>
      </c>
      <c r="T142" s="110">
        <f>SUM(K142,M142,O142,Q142,S142)</f>
        <v>450000</v>
      </c>
      <c r="U142" s="110">
        <v>0</v>
      </c>
      <c r="V142" s="110">
        <f>SUM(T142:U142)</f>
        <v>450000</v>
      </c>
    </row>
    <row r="143" spans="1:22" ht="10.199999999999999" x14ac:dyDescent="0.35">
      <c r="A143" s="131"/>
      <c r="B143" s="131"/>
      <c r="C143" s="131"/>
      <c r="D143" s="131"/>
      <c r="E143" s="131"/>
      <c r="F143" s="128" t="s">
        <v>271</v>
      </c>
      <c r="G143" s="131"/>
      <c r="H143" s="131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</row>
    <row r="144" spans="1:22" ht="10.199999999999999" x14ac:dyDescent="0.35">
      <c r="A144" s="31" t="s">
        <v>272</v>
      </c>
      <c r="B144" s="31">
        <v>81000</v>
      </c>
      <c r="C144" s="45" t="s">
        <v>50</v>
      </c>
      <c r="D144" s="45" t="s">
        <v>50</v>
      </c>
      <c r="E144" s="32">
        <v>0</v>
      </c>
      <c r="F144" s="32" t="s">
        <v>273</v>
      </c>
      <c r="G144" s="106" t="s">
        <v>145</v>
      </c>
      <c r="H144" s="106" t="s">
        <v>84</v>
      </c>
      <c r="I144" s="110">
        <v>0</v>
      </c>
      <c r="J144" s="110">
        <v>175</v>
      </c>
      <c r="K144" s="110">
        <f>J144*I144</f>
        <v>0</v>
      </c>
      <c r="L144" s="110">
        <v>0</v>
      </c>
      <c r="M144" s="110">
        <f>L144*J144</f>
        <v>0</v>
      </c>
      <c r="N144" s="110">
        <v>15</v>
      </c>
      <c r="O144" s="110">
        <f>N144*J144</f>
        <v>2625</v>
      </c>
      <c r="P144" s="110">
        <v>30</v>
      </c>
      <c r="Q144" s="110">
        <f>P144*J144</f>
        <v>5250</v>
      </c>
      <c r="R144" s="110">
        <v>10</v>
      </c>
      <c r="S144" s="110">
        <f>R144*J144</f>
        <v>1750</v>
      </c>
      <c r="T144" s="110">
        <f>SUM(K144,M144,O144,Q144,S144)</f>
        <v>9625</v>
      </c>
      <c r="U144" s="110">
        <v>0</v>
      </c>
      <c r="V144" s="110">
        <f>SUM(T144:U144)</f>
        <v>9625</v>
      </c>
    </row>
    <row r="145" spans="1:23" ht="10.199999999999999" x14ac:dyDescent="0.35">
      <c r="A145" s="31" t="s">
        <v>274</v>
      </c>
      <c r="B145" s="31">
        <v>87010</v>
      </c>
      <c r="C145" s="45" t="s">
        <v>50</v>
      </c>
      <c r="D145" s="45" t="s">
        <v>50</v>
      </c>
      <c r="E145" s="32">
        <v>0</v>
      </c>
      <c r="F145" s="32" t="s">
        <v>275</v>
      </c>
      <c r="G145" s="106" t="s">
        <v>157</v>
      </c>
      <c r="H145" s="106" t="s">
        <v>168</v>
      </c>
      <c r="I145" s="110">
        <v>0</v>
      </c>
      <c r="J145" s="110">
        <v>150</v>
      </c>
      <c r="K145" s="110">
        <f>J145*I145</f>
        <v>0</v>
      </c>
      <c r="L145" s="110">
        <v>0</v>
      </c>
      <c r="M145" s="110">
        <f>L145*J145</f>
        <v>0</v>
      </c>
      <c r="N145" s="110">
        <v>6</v>
      </c>
      <c r="O145" s="110">
        <f>N145*J145</f>
        <v>900</v>
      </c>
      <c r="P145" s="110">
        <v>12</v>
      </c>
      <c r="Q145" s="110">
        <f>P145*J145</f>
        <v>1800</v>
      </c>
      <c r="R145" s="110">
        <v>6</v>
      </c>
      <c r="S145" s="110">
        <f>R145*J145</f>
        <v>900</v>
      </c>
      <c r="T145" s="110">
        <f>SUM(K145,M145,O145,Q145,S145)</f>
        <v>3600</v>
      </c>
      <c r="U145" s="110">
        <v>0</v>
      </c>
      <c r="V145" s="110">
        <f>SUM(T145:U145)</f>
        <v>3600</v>
      </c>
    </row>
    <row r="146" spans="1:23" ht="10.199999999999999" x14ac:dyDescent="0.35">
      <c r="A146" s="131"/>
      <c r="B146" s="131"/>
      <c r="C146" s="131"/>
      <c r="D146" s="131"/>
      <c r="E146" s="131"/>
      <c r="F146" s="128" t="s">
        <v>276</v>
      </c>
      <c r="G146" s="131"/>
      <c r="H146" s="131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</row>
    <row r="147" spans="1:23" ht="10.199999999999999" x14ac:dyDescent="0.35">
      <c r="A147" s="31" t="s">
        <v>277</v>
      </c>
      <c r="B147" s="31">
        <v>87000</v>
      </c>
      <c r="C147" s="45" t="s">
        <v>50</v>
      </c>
      <c r="D147" s="45" t="s">
        <v>50</v>
      </c>
      <c r="E147" s="32">
        <v>0</v>
      </c>
      <c r="F147" s="32" t="s">
        <v>278</v>
      </c>
      <c r="G147" s="106" t="s">
        <v>157</v>
      </c>
      <c r="H147" s="106" t="s">
        <v>279</v>
      </c>
      <c r="I147" s="110">
        <v>0</v>
      </c>
      <c r="J147" s="110">
        <v>300</v>
      </c>
      <c r="K147" s="110">
        <f>J147*I147</f>
        <v>0</v>
      </c>
      <c r="L147" s="110">
        <v>12</v>
      </c>
      <c r="M147" s="110">
        <f>L147*J147</f>
        <v>3600</v>
      </c>
      <c r="N147" s="110">
        <v>12</v>
      </c>
      <c r="O147" s="110">
        <f>N147*J147</f>
        <v>3600</v>
      </c>
      <c r="P147" s="110">
        <v>12</v>
      </c>
      <c r="Q147" s="110">
        <f>P147*J147</f>
        <v>3600</v>
      </c>
      <c r="R147" s="110">
        <v>3</v>
      </c>
      <c r="S147" s="110">
        <f>R147*J147</f>
        <v>900</v>
      </c>
      <c r="T147" s="110">
        <f>SUM(K147,M147,O147,Q147,S147)</f>
        <v>11700</v>
      </c>
      <c r="U147" s="110">
        <v>0</v>
      </c>
      <c r="V147" s="110">
        <f>SUM(T147:U147)</f>
        <v>11700</v>
      </c>
    </row>
    <row r="148" spans="1:23" ht="10.199999999999999" x14ac:dyDescent="0.35">
      <c r="A148" s="31" t="s">
        <v>280</v>
      </c>
      <c r="B148" s="32" t="s">
        <v>82</v>
      </c>
      <c r="C148" s="45" t="s">
        <v>50</v>
      </c>
      <c r="D148" s="45" t="s">
        <v>50</v>
      </c>
      <c r="E148" s="32">
        <v>0</v>
      </c>
      <c r="F148" s="32" t="s">
        <v>281</v>
      </c>
      <c r="G148" s="106" t="s">
        <v>8</v>
      </c>
      <c r="H148" s="106" t="s">
        <v>84</v>
      </c>
      <c r="I148" s="110">
        <v>0</v>
      </c>
      <c r="J148" s="110">
        <v>110</v>
      </c>
      <c r="K148" s="110">
        <f t="shared" ref="K148:K150" si="48">J148*I148</f>
        <v>0</v>
      </c>
      <c r="L148" s="110">
        <v>20</v>
      </c>
      <c r="M148" s="110">
        <f t="shared" ref="M148:M150" si="49">L148*J148</f>
        <v>2200</v>
      </c>
      <c r="N148" s="110">
        <v>20</v>
      </c>
      <c r="O148" s="110">
        <f t="shared" ref="O148:O150" si="50">N148*J148</f>
        <v>2200</v>
      </c>
      <c r="P148" s="110">
        <v>20</v>
      </c>
      <c r="Q148" s="110">
        <f t="shared" ref="Q148:Q150" si="51">P148*J148</f>
        <v>2200</v>
      </c>
      <c r="R148" s="110">
        <v>10</v>
      </c>
      <c r="S148" s="110">
        <f t="shared" ref="S148:S150" si="52">R148*J148</f>
        <v>1100</v>
      </c>
      <c r="T148" s="110">
        <f t="shared" ref="T148:T150" si="53">SUM(K148,M148,O148,Q148,S148)</f>
        <v>7700</v>
      </c>
      <c r="U148" s="110">
        <v>0</v>
      </c>
      <c r="V148" s="110">
        <f t="shared" ref="V148:V150" si="54">SUM(T148:U148)</f>
        <v>7700</v>
      </c>
    </row>
    <row r="149" spans="1:23" ht="10.199999999999999" x14ac:dyDescent="0.35">
      <c r="A149" s="31" t="s">
        <v>282</v>
      </c>
      <c r="B149" s="31">
        <v>86000</v>
      </c>
      <c r="C149" s="45" t="s">
        <v>50</v>
      </c>
      <c r="D149" s="45" t="s">
        <v>50</v>
      </c>
      <c r="E149" s="32">
        <v>0</v>
      </c>
      <c r="F149" s="32" t="s">
        <v>283</v>
      </c>
      <c r="G149" s="106" t="s">
        <v>8</v>
      </c>
      <c r="H149" s="106" t="s">
        <v>84</v>
      </c>
      <c r="I149" s="110">
        <v>0</v>
      </c>
      <c r="J149" s="110">
        <v>30</v>
      </c>
      <c r="K149" s="110">
        <f t="shared" si="48"/>
        <v>0</v>
      </c>
      <c r="L149" s="110">
        <v>20</v>
      </c>
      <c r="M149" s="110">
        <f t="shared" si="49"/>
        <v>600</v>
      </c>
      <c r="N149" s="110">
        <v>20</v>
      </c>
      <c r="O149" s="110">
        <f t="shared" si="50"/>
        <v>600</v>
      </c>
      <c r="P149" s="110">
        <v>20</v>
      </c>
      <c r="Q149" s="110">
        <f t="shared" si="51"/>
        <v>600</v>
      </c>
      <c r="R149" s="110">
        <v>10</v>
      </c>
      <c r="S149" s="110">
        <f t="shared" si="52"/>
        <v>300</v>
      </c>
      <c r="T149" s="110">
        <f t="shared" si="53"/>
        <v>2100</v>
      </c>
      <c r="U149" s="110">
        <v>0</v>
      </c>
      <c r="V149" s="110">
        <f t="shared" si="54"/>
        <v>2100</v>
      </c>
    </row>
    <row r="150" spans="1:23" ht="10.199999999999999" x14ac:dyDescent="0.35">
      <c r="A150" s="31" t="s">
        <v>284</v>
      </c>
      <c r="B150" s="31">
        <v>87010</v>
      </c>
      <c r="C150" s="45" t="s">
        <v>50</v>
      </c>
      <c r="D150" s="45" t="s">
        <v>50</v>
      </c>
      <c r="E150" s="32">
        <v>0</v>
      </c>
      <c r="F150" s="32" t="s">
        <v>285</v>
      </c>
      <c r="G150" s="106" t="s">
        <v>157</v>
      </c>
      <c r="H150" s="106" t="s">
        <v>168</v>
      </c>
      <c r="I150" s="110">
        <v>0</v>
      </c>
      <c r="J150" s="110">
        <v>150</v>
      </c>
      <c r="K150" s="110">
        <f t="shared" si="48"/>
        <v>0</v>
      </c>
      <c r="L150" s="110">
        <v>10</v>
      </c>
      <c r="M150" s="110">
        <f t="shared" si="49"/>
        <v>1500</v>
      </c>
      <c r="N150" s="110">
        <v>10</v>
      </c>
      <c r="O150" s="110">
        <f t="shared" si="50"/>
        <v>1500</v>
      </c>
      <c r="P150" s="110">
        <v>10</v>
      </c>
      <c r="Q150" s="110">
        <f t="shared" si="51"/>
        <v>1500</v>
      </c>
      <c r="R150" s="110">
        <v>10</v>
      </c>
      <c r="S150" s="110">
        <f t="shared" si="52"/>
        <v>1500</v>
      </c>
      <c r="T150" s="110">
        <f t="shared" si="53"/>
        <v>6000</v>
      </c>
      <c r="U150" s="110">
        <v>0</v>
      </c>
      <c r="V150" s="110">
        <f t="shared" si="54"/>
        <v>6000</v>
      </c>
    </row>
    <row r="151" spans="1:23" s="22" customFormat="1" ht="10.199999999999999" x14ac:dyDescent="0.35">
      <c r="A151" s="2"/>
      <c r="B151" s="2"/>
      <c r="C151" s="2"/>
      <c r="D151" s="2"/>
      <c r="E151" s="2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7"/>
      <c r="U151" s="2"/>
      <c r="V151" s="27"/>
    </row>
    <row r="152" spans="1:23" ht="10.8" thickBot="1" x14ac:dyDescent="0.45">
      <c r="A152" s="18"/>
      <c r="B152" s="18"/>
      <c r="C152" s="18"/>
      <c r="D152" s="18"/>
      <c r="E152" s="18"/>
      <c r="F152" s="18" t="s">
        <v>286</v>
      </c>
      <c r="G152" s="18"/>
      <c r="H152" s="18"/>
      <c r="I152" s="25"/>
      <c r="J152" s="25"/>
      <c r="K152" s="30">
        <f>SUM(K133:K150)</f>
        <v>105833.11799528885</v>
      </c>
      <c r="L152" s="30"/>
      <c r="M152" s="30">
        <f>SUM(M133:M150)</f>
        <v>295600.08987757249</v>
      </c>
      <c r="N152" s="30"/>
      <c r="O152" s="30">
        <f>SUM(O133:O150)</f>
        <v>297469.0948737943</v>
      </c>
      <c r="P152" s="30"/>
      <c r="Q152" s="30">
        <f>SUM(Q133:Q150)</f>
        <v>273666.31747282774</v>
      </c>
      <c r="R152" s="30"/>
      <c r="S152" s="30">
        <f>SUM(S133:S150)</f>
        <v>47247.511654143782</v>
      </c>
      <c r="T152" s="30">
        <f>K152+M152+O152+Q152+S152</f>
        <v>1019816.1318736272</v>
      </c>
      <c r="U152" s="30">
        <f>SUM(U133:U150)</f>
        <v>0</v>
      </c>
      <c r="V152" s="19">
        <f>SUM(T152+U152)</f>
        <v>1019816.1318736272</v>
      </c>
    </row>
    <row r="153" spans="1:23" ht="10.5" x14ac:dyDescent="0.35">
      <c r="A153" s="80"/>
      <c r="B153" s="80"/>
      <c r="C153" s="80"/>
      <c r="D153" s="80"/>
      <c r="E153" s="80"/>
      <c r="F153" s="80" t="s">
        <v>287</v>
      </c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102"/>
      <c r="U153" s="80"/>
      <c r="V153" s="102"/>
    </row>
    <row r="154" spans="1:23" ht="10.5" x14ac:dyDescent="0.4">
      <c r="A154" s="37"/>
      <c r="B154" s="37"/>
      <c r="C154" s="37"/>
      <c r="D154" s="37"/>
      <c r="E154" s="37"/>
      <c r="F154" s="37" t="s">
        <v>140</v>
      </c>
      <c r="G154" s="37"/>
      <c r="H154" s="37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2"/>
      <c r="V154" s="41"/>
      <c r="W154" s="22"/>
    </row>
    <row r="155" spans="1:23" ht="10.5" x14ac:dyDescent="0.4">
      <c r="A155" s="76"/>
      <c r="B155" s="76"/>
      <c r="C155" s="76"/>
      <c r="D155" s="76"/>
      <c r="E155" s="76"/>
      <c r="F155" s="60" t="s">
        <v>288</v>
      </c>
      <c r="G155" s="60"/>
      <c r="H155" s="76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68"/>
      <c r="V155" s="114"/>
    </row>
    <row r="156" spans="1:23" ht="10.199999999999999" x14ac:dyDescent="0.35">
      <c r="A156" s="31" t="s">
        <v>289</v>
      </c>
      <c r="B156" s="31">
        <v>81000</v>
      </c>
      <c r="C156" s="45" t="s">
        <v>50</v>
      </c>
      <c r="D156" s="45" t="s">
        <v>50</v>
      </c>
      <c r="E156" s="32">
        <v>0</v>
      </c>
      <c r="F156" s="1" t="s">
        <v>290</v>
      </c>
      <c r="G156" s="1" t="s">
        <v>157</v>
      </c>
      <c r="H156" s="32" t="s">
        <v>84</v>
      </c>
      <c r="I156" s="8">
        <v>61.283999999999999</v>
      </c>
      <c r="J156" s="8">
        <v>346.22</v>
      </c>
      <c r="K156" s="8">
        <f>I156*J156</f>
        <v>21217.746480000002</v>
      </c>
      <c r="L156" s="8">
        <v>0</v>
      </c>
      <c r="M156" s="8">
        <f>L156*J156</f>
        <v>0</v>
      </c>
      <c r="N156" s="8">
        <v>0</v>
      </c>
      <c r="O156" s="8">
        <f>N156*J156</f>
        <v>0</v>
      </c>
      <c r="P156" s="8">
        <v>0</v>
      </c>
      <c r="Q156" s="8">
        <f>P156*J156</f>
        <v>0</v>
      </c>
      <c r="R156" s="8">
        <v>0</v>
      </c>
      <c r="S156" s="8">
        <f>R156*J156</f>
        <v>0</v>
      </c>
      <c r="T156" s="8">
        <f>K156+M156+O156+Q156</f>
        <v>21217.746480000002</v>
      </c>
      <c r="U156" s="8">
        <v>0</v>
      </c>
      <c r="V156" s="8">
        <f>SUM(T156:U156)</f>
        <v>21217.746480000002</v>
      </c>
    </row>
    <row r="157" spans="1:23" ht="10.199999999999999" x14ac:dyDescent="0.35">
      <c r="A157" s="67"/>
      <c r="B157" s="67"/>
      <c r="C157" s="67"/>
      <c r="D157" s="67"/>
      <c r="E157" s="67"/>
      <c r="F157" s="58" t="s">
        <v>291</v>
      </c>
      <c r="G157" s="58"/>
      <c r="H157" s="67"/>
      <c r="I157" s="66"/>
      <c r="J157" s="59"/>
      <c r="K157" s="68"/>
      <c r="L157" s="74"/>
      <c r="M157" s="68"/>
      <c r="N157" s="74"/>
      <c r="O157" s="68"/>
      <c r="P157" s="68"/>
      <c r="Q157" s="68"/>
      <c r="R157" s="68"/>
      <c r="S157" s="68"/>
      <c r="T157" s="68"/>
      <c r="U157" s="68"/>
      <c r="V157" s="104"/>
    </row>
    <row r="158" spans="1:23" ht="10.199999999999999" x14ac:dyDescent="0.35">
      <c r="A158" s="31" t="s">
        <v>292</v>
      </c>
      <c r="B158" s="31">
        <v>85300</v>
      </c>
      <c r="C158" s="45" t="s">
        <v>50</v>
      </c>
      <c r="D158" s="45" t="s">
        <v>50</v>
      </c>
      <c r="E158" s="32">
        <v>0</v>
      </c>
      <c r="F158" s="12" t="s">
        <v>293</v>
      </c>
      <c r="G158" s="12" t="s">
        <v>157</v>
      </c>
      <c r="H158" s="32" t="s">
        <v>294</v>
      </c>
      <c r="I158" s="8">
        <v>1</v>
      </c>
      <c r="J158" s="8">
        <v>500</v>
      </c>
      <c r="K158" s="8">
        <f>I158*J158</f>
        <v>500</v>
      </c>
      <c r="L158" s="8">
        <v>0</v>
      </c>
      <c r="M158" s="8">
        <f>L158*J158</f>
        <v>0</v>
      </c>
      <c r="N158" s="8">
        <v>0</v>
      </c>
      <c r="O158" s="8">
        <f>N158*J158</f>
        <v>0</v>
      </c>
      <c r="P158" s="8">
        <v>0</v>
      </c>
      <c r="Q158" s="8">
        <f>P158*J158</f>
        <v>0</v>
      </c>
      <c r="R158" s="8">
        <v>0</v>
      </c>
      <c r="S158" s="8">
        <f>R158*J158</f>
        <v>0</v>
      </c>
      <c r="T158" s="8">
        <f>K158+M158+O158+Q158</f>
        <v>500</v>
      </c>
      <c r="U158" s="8" t="s">
        <v>80</v>
      </c>
      <c r="V158" s="8">
        <f>SUM(T158:U158)</f>
        <v>500</v>
      </c>
    </row>
    <row r="159" spans="1:23" ht="10.199999999999999" x14ac:dyDescent="0.35">
      <c r="A159" s="31" t="s">
        <v>295</v>
      </c>
      <c r="B159" s="31">
        <v>87000</v>
      </c>
      <c r="C159" s="45" t="s">
        <v>50</v>
      </c>
      <c r="D159" s="45" t="s">
        <v>50</v>
      </c>
      <c r="E159" s="32">
        <v>0</v>
      </c>
      <c r="F159" s="12" t="s">
        <v>296</v>
      </c>
      <c r="G159" s="12" t="s">
        <v>157</v>
      </c>
      <c r="H159" s="32" t="s">
        <v>161</v>
      </c>
      <c r="I159" s="8">
        <v>1</v>
      </c>
      <c r="J159" s="8">
        <v>300</v>
      </c>
      <c r="K159" s="8">
        <f>I159*J159</f>
        <v>300</v>
      </c>
      <c r="L159" s="8">
        <v>0</v>
      </c>
      <c r="M159" s="8">
        <f>L159*J159</f>
        <v>0</v>
      </c>
      <c r="N159" s="8">
        <v>0</v>
      </c>
      <c r="O159" s="8">
        <f>N159*J159</f>
        <v>0</v>
      </c>
      <c r="P159" s="8">
        <v>0</v>
      </c>
      <c r="Q159" s="8">
        <f>P159*J159</f>
        <v>0</v>
      </c>
      <c r="R159" s="8">
        <v>0</v>
      </c>
      <c r="S159" s="8">
        <f>R159*J159</f>
        <v>0</v>
      </c>
      <c r="T159" s="8">
        <f>K159+M159+O159+Q159</f>
        <v>300</v>
      </c>
      <c r="U159" s="8" t="s">
        <v>80</v>
      </c>
      <c r="V159" s="8">
        <f>SUM(T159:U159)</f>
        <v>300</v>
      </c>
    </row>
    <row r="160" spans="1:23" ht="10.199999999999999" x14ac:dyDescent="0.35">
      <c r="A160" s="161"/>
      <c r="B160" s="161"/>
      <c r="C160" s="161"/>
      <c r="D160" s="161"/>
      <c r="E160" s="161"/>
      <c r="F160" s="161" t="s">
        <v>297</v>
      </c>
      <c r="G160" s="161"/>
      <c r="H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</row>
    <row r="161" spans="1:22" ht="10.199999999999999" x14ac:dyDescent="0.35">
      <c r="A161" s="31" t="s">
        <v>298</v>
      </c>
      <c r="B161" s="31">
        <v>87000</v>
      </c>
      <c r="C161" s="45" t="s">
        <v>50</v>
      </c>
      <c r="D161" s="45" t="s">
        <v>50</v>
      </c>
      <c r="E161" s="32">
        <v>0</v>
      </c>
      <c r="F161" s="12" t="s">
        <v>279</v>
      </c>
      <c r="G161" s="12" t="s">
        <v>157</v>
      </c>
      <c r="H161" s="32" t="s">
        <v>161</v>
      </c>
      <c r="I161" s="27">
        <v>1</v>
      </c>
      <c r="J161" s="27">
        <v>300</v>
      </c>
      <c r="K161" s="27">
        <f>J161*I161</f>
        <v>300</v>
      </c>
      <c r="L161" s="8">
        <v>0</v>
      </c>
      <c r="M161" s="8">
        <f>L161*J161</f>
        <v>0</v>
      </c>
      <c r="N161" s="8">
        <v>0</v>
      </c>
      <c r="O161" s="8">
        <f>N161*J161</f>
        <v>0</v>
      </c>
      <c r="P161" s="8">
        <v>0</v>
      </c>
      <c r="Q161" s="8">
        <f>P161*J161</f>
        <v>0</v>
      </c>
      <c r="R161" s="8">
        <v>0</v>
      </c>
      <c r="S161" s="8">
        <f>R161*J161</f>
        <v>0</v>
      </c>
      <c r="T161" s="27">
        <f>SUM(K161,M161,O161,Q161,S161)</f>
        <v>300</v>
      </c>
      <c r="U161" s="27" t="s">
        <v>299</v>
      </c>
      <c r="V161" s="8">
        <f>SUM(T161:U161)</f>
        <v>300</v>
      </c>
    </row>
    <row r="162" spans="1:22" ht="10.199999999999999" x14ac:dyDescent="0.35">
      <c r="A162" s="31" t="s">
        <v>300</v>
      </c>
      <c r="B162" s="31">
        <v>81021</v>
      </c>
      <c r="C162" s="45" t="s">
        <v>50</v>
      </c>
      <c r="D162" s="45" t="s">
        <v>50</v>
      </c>
      <c r="E162" s="32">
        <v>0</v>
      </c>
      <c r="F162" s="12" t="s">
        <v>301</v>
      </c>
      <c r="G162" s="12" t="s">
        <v>157</v>
      </c>
      <c r="H162" s="32" t="s">
        <v>294</v>
      </c>
      <c r="I162" s="27">
        <v>1</v>
      </c>
      <c r="J162" s="17">
        <v>3501</v>
      </c>
      <c r="K162" s="27">
        <f>J162*I162</f>
        <v>3501</v>
      </c>
      <c r="L162" s="8">
        <v>0</v>
      </c>
      <c r="M162" s="8">
        <f>L162*J162</f>
        <v>0</v>
      </c>
      <c r="N162" s="8">
        <v>0</v>
      </c>
      <c r="O162" s="8">
        <f>N162*J162</f>
        <v>0</v>
      </c>
      <c r="P162" s="8">
        <v>0</v>
      </c>
      <c r="Q162" s="8">
        <f>P162*J162</f>
        <v>0</v>
      </c>
      <c r="R162" s="8">
        <v>0</v>
      </c>
      <c r="S162" s="8">
        <f>R162*J162</f>
        <v>0</v>
      </c>
      <c r="T162" s="17">
        <f>SUM(K162,M162,O162,Q162,S162)</f>
        <v>3501</v>
      </c>
      <c r="U162" s="27" t="s">
        <v>80</v>
      </c>
      <c r="V162" s="8">
        <f>SUM(T162:U162)</f>
        <v>3501</v>
      </c>
    </row>
    <row r="163" spans="1:22" ht="10.199999999999999" x14ac:dyDescent="0.35">
      <c r="A163" s="67"/>
      <c r="B163" s="67"/>
      <c r="C163" s="67"/>
      <c r="D163" s="67"/>
      <c r="E163" s="67"/>
      <c r="F163" s="58" t="s">
        <v>302</v>
      </c>
      <c r="G163" s="58"/>
      <c r="H163" s="67"/>
      <c r="I163" s="66"/>
      <c r="J163" s="59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</row>
    <row r="164" spans="1:22" ht="10.199999999999999" x14ac:dyDescent="0.35">
      <c r="A164" s="31" t="s">
        <v>303</v>
      </c>
      <c r="B164" s="31">
        <v>87000</v>
      </c>
      <c r="C164" s="45" t="s">
        <v>50</v>
      </c>
      <c r="D164" s="45" t="s">
        <v>50</v>
      </c>
      <c r="E164" s="32">
        <v>0</v>
      </c>
      <c r="F164" s="1" t="s">
        <v>304</v>
      </c>
      <c r="G164" s="1" t="s">
        <v>157</v>
      </c>
      <c r="H164" s="32" t="s">
        <v>161</v>
      </c>
      <c r="I164" s="8">
        <v>5</v>
      </c>
      <c r="J164" s="8">
        <v>250</v>
      </c>
      <c r="K164" s="8">
        <f>I164*J164</f>
        <v>1250</v>
      </c>
      <c r="L164" s="8">
        <v>5</v>
      </c>
      <c r="M164" s="8">
        <f>L164*J164</f>
        <v>1250</v>
      </c>
      <c r="N164" s="8">
        <v>5</v>
      </c>
      <c r="O164" s="8">
        <f>N164*J164</f>
        <v>1250</v>
      </c>
      <c r="P164" s="8">
        <v>5</v>
      </c>
      <c r="Q164" s="8">
        <f>P164*J164</f>
        <v>1250</v>
      </c>
      <c r="R164" s="8">
        <v>0</v>
      </c>
      <c r="S164" s="8">
        <f>R164*J164</f>
        <v>0</v>
      </c>
      <c r="T164" s="8">
        <f>K164+M164+O164+Q164</f>
        <v>5000</v>
      </c>
      <c r="U164" s="8" t="s">
        <v>80</v>
      </c>
      <c r="V164" s="8">
        <f>SUM(T164:U164)</f>
        <v>5000</v>
      </c>
    </row>
    <row r="165" spans="1:22" ht="10.199999999999999" x14ac:dyDescent="0.35">
      <c r="A165" s="67"/>
      <c r="B165" s="67"/>
      <c r="C165" s="67"/>
      <c r="D165" s="67"/>
      <c r="E165" s="67"/>
      <c r="F165" s="60" t="s">
        <v>305</v>
      </c>
      <c r="G165" s="60"/>
      <c r="H165" s="67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</row>
    <row r="166" spans="1:22" ht="10.199999999999999" x14ac:dyDescent="0.35">
      <c r="A166" s="31" t="s">
        <v>306</v>
      </c>
      <c r="B166" s="31">
        <v>81010</v>
      </c>
      <c r="C166" s="45" t="s">
        <v>50</v>
      </c>
      <c r="D166" s="45" t="s">
        <v>50</v>
      </c>
      <c r="E166" s="32">
        <v>0</v>
      </c>
      <c r="F166" s="1" t="s">
        <v>307</v>
      </c>
      <c r="G166" s="1" t="s">
        <v>157</v>
      </c>
      <c r="H166" s="32" t="s">
        <v>308</v>
      </c>
      <c r="I166" s="8">
        <v>0</v>
      </c>
      <c r="J166" s="8">
        <v>35000</v>
      </c>
      <c r="K166" s="8">
        <f>I166*J166</f>
        <v>0</v>
      </c>
      <c r="L166" s="8">
        <v>1</v>
      </c>
      <c r="M166" s="8">
        <f>L166*J166</f>
        <v>35000</v>
      </c>
      <c r="N166" s="8">
        <v>0</v>
      </c>
      <c r="O166" s="8">
        <f>N166*J166</f>
        <v>0</v>
      </c>
      <c r="P166" s="8">
        <v>0</v>
      </c>
      <c r="Q166" s="8">
        <f>P166*J166</f>
        <v>0</v>
      </c>
      <c r="R166" s="8">
        <v>0</v>
      </c>
      <c r="S166" s="8">
        <f>R166*J166</f>
        <v>0</v>
      </c>
      <c r="T166" s="8">
        <f>K166+M166+O166+Q166</f>
        <v>35000</v>
      </c>
      <c r="U166" s="8" t="s">
        <v>80</v>
      </c>
      <c r="V166" s="8">
        <f>SUM(T166:U166)</f>
        <v>35000</v>
      </c>
    </row>
    <row r="167" spans="1:22" ht="10.199999999999999" x14ac:dyDescent="0.35">
      <c r="A167" s="31" t="s">
        <v>309</v>
      </c>
      <c r="B167" s="31">
        <v>81010</v>
      </c>
      <c r="C167" s="45" t="s">
        <v>50</v>
      </c>
      <c r="D167" s="45" t="s">
        <v>50</v>
      </c>
      <c r="E167" s="32">
        <v>0</v>
      </c>
      <c r="F167" s="1" t="s">
        <v>310</v>
      </c>
      <c r="G167" s="1" t="s">
        <v>157</v>
      </c>
      <c r="H167" s="32" t="s">
        <v>308</v>
      </c>
      <c r="I167" s="8">
        <v>0</v>
      </c>
      <c r="J167" s="8">
        <v>35000</v>
      </c>
      <c r="K167" s="8">
        <f>I167*J167</f>
        <v>0</v>
      </c>
      <c r="L167" s="8">
        <v>0</v>
      </c>
      <c r="M167" s="8">
        <f>L167*J167</f>
        <v>0</v>
      </c>
      <c r="N167" s="8">
        <v>0</v>
      </c>
      <c r="O167" s="8">
        <f>N167*J167</f>
        <v>0</v>
      </c>
      <c r="P167" s="8">
        <v>1</v>
      </c>
      <c r="Q167" s="8">
        <f>P167*J167</f>
        <v>35000</v>
      </c>
      <c r="R167" s="8">
        <v>0</v>
      </c>
      <c r="S167" s="8">
        <f>R167*J167</f>
        <v>0</v>
      </c>
      <c r="T167" s="8">
        <f>K167+M167+O167+Q167</f>
        <v>35000</v>
      </c>
      <c r="U167" s="8" t="s">
        <v>80</v>
      </c>
      <c r="V167" s="8">
        <f>SUM(T167:U167)</f>
        <v>35000</v>
      </c>
    </row>
    <row r="168" spans="1:22" ht="10.199999999999999" x14ac:dyDescent="0.35">
      <c r="A168" s="67"/>
      <c r="B168" s="67"/>
      <c r="C168" s="67"/>
      <c r="D168" s="67"/>
      <c r="E168" s="67"/>
      <c r="F168" s="60" t="s">
        <v>311</v>
      </c>
      <c r="G168" s="66"/>
      <c r="H168" s="67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</row>
    <row r="169" spans="1:22" ht="10.199999999999999" x14ac:dyDescent="0.35">
      <c r="A169" s="31" t="s">
        <v>312</v>
      </c>
      <c r="B169" s="32" t="s">
        <v>82</v>
      </c>
      <c r="C169" s="45" t="s">
        <v>50</v>
      </c>
      <c r="D169" s="45" t="s">
        <v>50</v>
      </c>
      <c r="E169" s="32">
        <v>0</v>
      </c>
      <c r="F169" s="1" t="s">
        <v>313</v>
      </c>
      <c r="G169" s="1" t="s">
        <v>314</v>
      </c>
      <c r="H169" s="32" t="s">
        <v>112</v>
      </c>
      <c r="I169" s="8">
        <v>15</v>
      </c>
      <c r="J169" s="8">
        <v>110</v>
      </c>
      <c r="K169" s="8">
        <f>J169*I169</f>
        <v>1650</v>
      </c>
      <c r="L169" s="8">
        <v>60</v>
      </c>
      <c r="M169" s="8">
        <f>L169*J169</f>
        <v>6600</v>
      </c>
      <c r="N169" s="8">
        <v>60</v>
      </c>
      <c r="O169" s="8">
        <f>N169*J169</f>
        <v>6600</v>
      </c>
      <c r="P169" s="8">
        <v>60</v>
      </c>
      <c r="Q169" s="8">
        <f>P169*J169</f>
        <v>6600</v>
      </c>
      <c r="R169" s="8">
        <v>15</v>
      </c>
      <c r="S169" s="8">
        <f>R169*J169</f>
        <v>1650</v>
      </c>
      <c r="T169" s="8">
        <f>SUM(K169,M169,O169,Q169,S169)</f>
        <v>23100</v>
      </c>
      <c r="U169" s="8" t="s">
        <v>299</v>
      </c>
      <c r="V169" s="8">
        <f>SUM(T169:U169)</f>
        <v>23100</v>
      </c>
    </row>
    <row r="170" spans="1:22" ht="10.199999999999999" x14ac:dyDescent="0.35">
      <c r="A170" s="31" t="s">
        <v>315</v>
      </c>
      <c r="B170" s="32">
        <v>86000</v>
      </c>
      <c r="C170" s="45" t="s">
        <v>50</v>
      </c>
      <c r="D170" s="45" t="s">
        <v>50</v>
      </c>
      <c r="E170" s="32">
        <v>0</v>
      </c>
      <c r="F170" s="1" t="s">
        <v>316</v>
      </c>
      <c r="G170" s="1" t="s">
        <v>314</v>
      </c>
      <c r="H170" s="32" t="s">
        <v>112</v>
      </c>
      <c r="I170" s="8">
        <v>15</v>
      </c>
      <c r="J170" s="8">
        <v>30</v>
      </c>
      <c r="K170" s="8">
        <f t="shared" ref="K170:K171" si="55">J170*I170</f>
        <v>450</v>
      </c>
      <c r="L170" s="8">
        <v>60</v>
      </c>
      <c r="M170" s="8">
        <f t="shared" ref="M170:M171" si="56">L170*J170</f>
        <v>1800</v>
      </c>
      <c r="N170" s="8">
        <v>60</v>
      </c>
      <c r="O170" s="8">
        <f t="shared" ref="O170:O171" si="57">N170*J170</f>
        <v>1800</v>
      </c>
      <c r="P170" s="8">
        <v>60</v>
      </c>
      <c r="Q170" s="8">
        <f t="shared" ref="Q170:Q171" si="58">P170*J170</f>
        <v>1800</v>
      </c>
      <c r="R170" s="8">
        <v>15</v>
      </c>
      <c r="S170" s="8">
        <f t="shared" ref="S170:S171" si="59">R170*J170</f>
        <v>450</v>
      </c>
      <c r="T170" s="8">
        <f t="shared" ref="T170:T171" si="60">SUM(K170,M170,O170,Q170,S170)</f>
        <v>6300</v>
      </c>
      <c r="U170" s="8" t="s">
        <v>299</v>
      </c>
      <c r="V170" s="8">
        <f t="shared" ref="V170:V171" si="61">SUM(T170:U170)</f>
        <v>6300</v>
      </c>
    </row>
    <row r="171" spans="1:22" ht="20.399999999999999" x14ac:dyDescent="0.35">
      <c r="A171" s="31" t="s">
        <v>317</v>
      </c>
      <c r="B171" s="32" t="s">
        <v>318</v>
      </c>
      <c r="C171" s="45" t="s">
        <v>50</v>
      </c>
      <c r="D171" s="45" t="s">
        <v>50</v>
      </c>
      <c r="E171" s="32">
        <v>0</v>
      </c>
      <c r="F171" s="1" t="s">
        <v>319</v>
      </c>
      <c r="G171" s="1" t="s">
        <v>314</v>
      </c>
      <c r="H171" s="32" t="s">
        <v>112</v>
      </c>
      <c r="I171" s="8">
        <v>15</v>
      </c>
      <c r="J171" s="8">
        <v>200</v>
      </c>
      <c r="K171" s="8">
        <f t="shared" si="55"/>
        <v>3000</v>
      </c>
      <c r="L171" s="8">
        <v>60</v>
      </c>
      <c r="M171" s="8">
        <f t="shared" si="56"/>
        <v>12000</v>
      </c>
      <c r="N171" s="8">
        <v>60</v>
      </c>
      <c r="O171" s="8">
        <f t="shared" si="57"/>
        <v>12000</v>
      </c>
      <c r="P171" s="8">
        <v>60</v>
      </c>
      <c r="Q171" s="8">
        <f t="shared" si="58"/>
        <v>12000</v>
      </c>
      <c r="R171" s="8">
        <v>15</v>
      </c>
      <c r="S171" s="8">
        <f t="shared" si="59"/>
        <v>3000</v>
      </c>
      <c r="T171" s="8">
        <f t="shared" si="60"/>
        <v>42000</v>
      </c>
      <c r="U171" s="8" t="s">
        <v>299</v>
      </c>
      <c r="V171" s="8">
        <f t="shared" si="61"/>
        <v>42000</v>
      </c>
    </row>
    <row r="172" spans="1:22" ht="10.199999999999999" x14ac:dyDescent="0.35">
      <c r="A172" s="67"/>
      <c r="B172" s="67"/>
      <c r="C172" s="67"/>
      <c r="D172" s="67"/>
      <c r="E172" s="67"/>
      <c r="F172" s="100" t="s">
        <v>320</v>
      </c>
      <c r="G172" s="60"/>
      <c r="H172" s="67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</row>
    <row r="173" spans="1:22" s="22" customFormat="1" ht="10.199999999999999" x14ac:dyDescent="0.35">
      <c r="A173" s="98" t="s">
        <v>321</v>
      </c>
      <c r="B173" s="98">
        <v>89050</v>
      </c>
      <c r="C173" s="274" t="s">
        <v>50</v>
      </c>
      <c r="D173" s="274" t="s">
        <v>50</v>
      </c>
      <c r="E173" s="98" t="s">
        <v>143</v>
      </c>
      <c r="F173" s="98" t="s">
        <v>322</v>
      </c>
      <c r="G173" s="111" t="s">
        <v>145</v>
      </c>
      <c r="H173" s="111" t="s">
        <v>112</v>
      </c>
      <c r="I173" s="99"/>
      <c r="J173" s="99"/>
      <c r="K173" s="99">
        <f>CFO!L79</f>
        <v>2037.75</v>
      </c>
      <c r="L173" s="99"/>
      <c r="M173" s="99">
        <f>CFO!N79</f>
        <v>5892.8</v>
      </c>
      <c r="N173" s="99"/>
      <c r="O173" s="99">
        <f>CFO!P79</f>
        <v>5344.2725</v>
      </c>
      <c r="P173" s="99"/>
      <c r="Q173" s="99">
        <f>CFO!R79</f>
        <v>5475.6015124999994</v>
      </c>
      <c r="R173" s="99"/>
      <c r="S173" s="99">
        <f>CFO!T79</f>
        <v>0</v>
      </c>
      <c r="T173" s="99">
        <f>K173+M173+O173+Q173</f>
        <v>18750.4240125</v>
      </c>
      <c r="U173" s="99">
        <v>0</v>
      </c>
      <c r="V173" s="99">
        <f>SUM(T173:U173)</f>
        <v>18750.4240125</v>
      </c>
    </row>
    <row r="174" spans="1:22" s="22" customFormat="1" ht="10.199999999999999" x14ac:dyDescent="0.35">
      <c r="A174" s="98" t="s">
        <v>323</v>
      </c>
      <c r="B174" s="98">
        <v>89050</v>
      </c>
      <c r="C174" s="274" t="s">
        <v>50</v>
      </c>
      <c r="D174" s="274" t="s">
        <v>50</v>
      </c>
      <c r="E174" s="98" t="s">
        <v>147</v>
      </c>
      <c r="F174" s="98" t="s">
        <v>324</v>
      </c>
      <c r="G174" s="111" t="s">
        <v>145</v>
      </c>
      <c r="H174" s="111" t="s">
        <v>112</v>
      </c>
      <c r="I174" s="99"/>
      <c r="J174" s="99"/>
      <c r="K174" s="99">
        <f>CDM!L77</f>
        <v>4449.08</v>
      </c>
      <c r="L174" s="99"/>
      <c r="M174" s="99">
        <f>CDM!N81</f>
        <v>10983.242160000002</v>
      </c>
      <c r="N174" s="99"/>
      <c r="O174" s="99">
        <f>CDM!P81</f>
        <v>12258.166410599999</v>
      </c>
      <c r="P174" s="99"/>
      <c r="Q174" s="99">
        <f>CDM!R81</f>
        <v>12622.124048721</v>
      </c>
      <c r="R174" s="99"/>
      <c r="S174" s="99">
        <f>CDM!T81</f>
        <v>0</v>
      </c>
      <c r="T174" s="99">
        <f>K174+M174+O174+Q174</f>
        <v>40312.612619321</v>
      </c>
      <c r="U174" s="99">
        <v>0</v>
      </c>
      <c r="V174" s="99">
        <f>SUM(T174:U174)</f>
        <v>40312.612619321</v>
      </c>
    </row>
    <row r="175" spans="1:22" s="22" customFormat="1" ht="10.199999999999999" x14ac:dyDescent="0.35">
      <c r="A175" s="98" t="s">
        <v>325</v>
      </c>
      <c r="B175" s="98">
        <v>89050</v>
      </c>
      <c r="C175" s="274" t="s">
        <v>50</v>
      </c>
      <c r="D175" s="274" t="s">
        <v>50</v>
      </c>
      <c r="E175" s="98" t="s">
        <v>150</v>
      </c>
      <c r="F175" s="98" t="s">
        <v>326</v>
      </c>
      <c r="G175" s="111" t="s">
        <v>145</v>
      </c>
      <c r="H175" s="111" t="s">
        <v>112</v>
      </c>
      <c r="I175" s="99"/>
      <c r="J175" s="99"/>
      <c r="K175" s="99">
        <f>SAI!F124</f>
        <v>16671.159713612695</v>
      </c>
      <c r="L175" s="99"/>
      <c r="M175" s="99">
        <f>SAI!H124</f>
        <v>23703.584268224648</v>
      </c>
      <c r="N175" s="99"/>
      <c r="O175" s="99">
        <f>SAI!J124</f>
        <v>23595.584981970616</v>
      </c>
      <c r="P175" s="99"/>
      <c r="Q175" s="99">
        <f>SAI!L124</f>
        <v>21963.04535326111</v>
      </c>
      <c r="R175" s="99"/>
      <c r="S175" s="99">
        <f>SAI!N124</f>
        <v>6086.0730934491112</v>
      </c>
      <c r="T175" s="99">
        <f>K175+M175+O175+Q175+S175</f>
        <v>92019.447410518187</v>
      </c>
      <c r="U175" s="99">
        <v>0</v>
      </c>
      <c r="V175" s="99">
        <f>SUM(T175:U175)</f>
        <v>92019.447410518187</v>
      </c>
    </row>
    <row r="176" spans="1:22" ht="10.199999999999999" x14ac:dyDescent="0.35"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</row>
    <row r="177" spans="1:23" ht="10.8" thickBot="1" x14ac:dyDescent="0.45">
      <c r="A177" s="18"/>
      <c r="B177" s="18"/>
      <c r="C177" s="18"/>
      <c r="D177" s="18"/>
      <c r="E177" s="18"/>
      <c r="F177" s="18" t="s">
        <v>327</v>
      </c>
      <c r="G177" s="18"/>
      <c r="H177" s="18"/>
      <c r="I177" s="25"/>
      <c r="J177" s="25"/>
      <c r="K177" s="30">
        <f>SUM(K155:K176)</f>
        <v>55326.736193612698</v>
      </c>
      <c r="L177" s="30"/>
      <c r="M177" s="30">
        <f>SUM(M155:M176)</f>
        <v>97229.626428224656</v>
      </c>
      <c r="N177" s="30"/>
      <c r="O177" s="30">
        <f>SUM(O155:O176)</f>
        <v>62848.023892570622</v>
      </c>
      <c r="P177" s="30"/>
      <c r="Q177" s="30">
        <f>SUM(Q155:Q176)</f>
        <v>96710.770914482113</v>
      </c>
      <c r="R177" s="30"/>
      <c r="S177" s="30">
        <f>SUM(S155:S176)</f>
        <v>11186.073093449111</v>
      </c>
      <c r="T177" s="30">
        <f>K177+M177+O177+Q177+S177</f>
        <v>323301.23052233923</v>
      </c>
      <c r="U177" s="30">
        <f>SUM(U156:U167)</f>
        <v>0</v>
      </c>
      <c r="V177" s="30">
        <f>SUM(T177:U177)</f>
        <v>323301.23052233923</v>
      </c>
    </row>
    <row r="178" spans="1:23" ht="10.5" x14ac:dyDescent="0.4">
      <c r="F178" s="3"/>
      <c r="G178" s="3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U178" s="8"/>
    </row>
    <row r="179" spans="1:23" ht="10.8" thickBot="1" x14ac:dyDescent="0.45">
      <c r="A179" s="14"/>
      <c r="B179" s="14"/>
      <c r="C179" s="14"/>
      <c r="D179" s="14"/>
      <c r="E179" s="14"/>
      <c r="F179" s="14" t="s">
        <v>14</v>
      </c>
      <c r="G179" s="14"/>
      <c r="H179" s="14"/>
      <c r="I179" s="14"/>
      <c r="J179" s="115"/>
      <c r="K179" s="116">
        <f>SUM(K33+K53+K71+K129+K152+K177)</f>
        <v>1182092.7350322539</v>
      </c>
      <c r="L179" s="116"/>
      <c r="M179" s="116">
        <f>SUM(M33+M53+M71+M129+M152+M177)</f>
        <v>2071443.2313492927</v>
      </c>
      <c r="N179" s="116"/>
      <c r="O179" s="116">
        <f>SUM(O33+O53+O71+O129+O152+O177)</f>
        <v>2127608.97583048</v>
      </c>
      <c r="P179" s="116"/>
      <c r="Q179" s="116">
        <f>SUM(Q33+Q53+Q71+Q129+Q152+Q177)</f>
        <v>1923638.2999303162</v>
      </c>
      <c r="R179" s="116"/>
      <c r="S179" s="116">
        <f>SUM(S177,S152,S129,S71,S53,S33)</f>
        <v>465828.6840765836</v>
      </c>
      <c r="T179" s="116">
        <f>SUM(T33+T53+T71+T129+T152+T177)</f>
        <v>7770611.9262189269</v>
      </c>
      <c r="U179" s="116">
        <f>SUM(U33+U71+U129+U23+U177)</f>
        <v>0</v>
      </c>
      <c r="V179" s="116">
        <f>SUM(T179:U179)</f>
        <v>7770611.9262189269</v>
      </c>
    </row>
    <row r="180" spans="1:23" ht="10.199999999999999" x14ac:dyDescent="0.35">
      <c r="F180" s="4"/>
      <c r="G180" s="4"/>
      <c r="J180" s="17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 spans="1:23" ht="20.7" x14ac:dyDescent="0.4">
      <c r="A181" s="255" t="s">
        <v>328</v>
      </c>
      <c r="B181" s="255">
        <v>94050</v>
      </c>
      <c r="C181" s="255">
        <v>0</v>
      </c>
      <c r="D181" s="255">
        <v>0</v>
      </c>
      <c r="E181" s="255">
        <v>0</v>
      </c>
      <c r="F181" s="4" t="s">
        <v>329</v>
      </c>
      <c r="G181" s="1" t="s">
        <v>330</v>
      </c>
      <c r="H181" s="3"/>
      <c r="I181" s="3"/>
      <c r="J181" s="26">
        <v>0.28689999999999999</v>
      </c>
      <c r="K181" s="44">
        <f>(K179)*J181</f>
        <v>339142.40568075364</v>
      </c>
      <c r="L181" s="44"/>
      <c r="M181" s="44">
        <f>(M179)*J181</f>
        <v>594297.06307411205</v>
      </c>
      <c r="N181" s="44"/>
      <c r="O181" s="44">
        <f>(O179)*J181</f>
        <v>610411.01516576472</v>
      </c>
      <c r="Q181" s="44">
        <f>(Q179)*J181</f>
        <v>551891.8282500077</v>
      </c>
      <c r="R181" s="44"/>
      <c r="S181" s="44">
        <f>(S179)*J181</f>
        <v>133646.24946157183</v>
      </c>
      <c r="T181" s="44">
        <f>SUM(K181+M181+O181+Q181,S181)</f>
        <v>2229388.5616322099</v>
      </c>
      <c r="U181" s="44">
        <v>0</v>
      </c>
      <c r="V181" s="44">
        <f>SUM(T181:U181)</f>
        <v>2229388.5616322099</v>
      </c>
    </row>
    <row r="182" spans="1:23" ht="10.5" x14ac:dyDescent="0.4">
      <c r="A182" s="23"/>
      <c r="B182" s="23"/>
      <c r="C182" s="23"/>
      <c r="D182" s="23"/>
      <c r="E182" s="23"/>
      <c r="F182" s="22"/>
      <c r="G182" s="22"/>
      <c r="H182" s="23"/>
      <c r="I182" s="24"/>
      <c r="J182" s="35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</row>
    <row r="183" spans="1:23" ht="10.8" thickBot="1" x14ac:dyDescent="0.45">
      <c r="A183" s="10"/>
      <c r="B183" s="10"/>
      <c r="C183" s="10"/>
      <c r="D183" s="10"/>
      <c r="E183" s="10"/>
      <c r="F183" s="10" t="s">
        <v>16</v>
      </c>
      <c r="G183" s="10"/>
      <c r="H183" s="10"/>
      <c r="I183" s="10"/>
      <c r="J183" s="36"/>
      <c r="K183" s="117">
        <f>K179+K181</f>
        <v>1521235.1407130077</v>
      </c>
      <c r="L183" s="117"/>
      <c r="M183" s="117">
        <f t="shared" ref="M183:T183" si="62">M179+M181</f>
        <v>2665740.2944234046</v>
      </c>
      <c r="N183" s="117"/>
      <c r="O183" s="117">
        <f t="shared" si="62"/>
        <v>2738019.9909962448</v>
      </c>
      <c r="P183" s="117"/>
      <c r="Q183" s="117">
        <f t="shared" si="62"/>
        <v>2475530.1281803241</v>
      </c>
      <c r="R183" s="117"/>
      <c r="S183" s="117">
        <f t="shared" si="62"/>
        <v>599474.9335381554</v>
      </c>
      <c r="T183" s="117">
        <f t="shared" si="62"/>
        <v>10000000.487851137</v>
      </c>
      <c r="U183" s="117">
        <f>U179+U181</f>
        <v>0</v>
      </c>
      <c r="V183" s="117">
        <f>SUM(T183:U183)</f>
        <v>10000000.487851137</v>
      </c>
      <c r="W183" s="5"/>
    </row>
    <row r="184" spans="1:23" ht="10.5" thickTop="1" x14ac:dyDescent="0.35"/>
    <row r="185" spans="1:23" ht="10.199999999999999" x14ac:dyDescent="0.35">
      <c r="V185" s="244"/>
    </row>
    <row r="186" spans="1:23" ht="10.199999999999999" x14ac:dyDescent="0.35">
      <c r="T186" s="101"/>
    </row>
    <row r="187" spans="1:23" ht="10.199999999999999" x14ac:dyDescent="0.35">
      <c r="J187" s="2"/>
      <c r="U187" s="69"/>
    </row>
    <row r="188" spans="1:23" ht="10.199999999999999" x14ac:dyDescent="0.35">
      <c r="A188" s="50"/>
      <c r="B188" s="50"/>
      <c r="C188" s="50"/>
      <c r="D188" s="50"/>
      <c r="E188" s="50"/>
      <c r="F188" s="7"/>
      <c r="G188" s="7"/>
      <c r="H188" s="50"/>
    </row>
    <row r="189" spans="1:23" ht="10.199999999999999" x14ac:dyDescent="0.35">
      <c r="A189" s="51"/>
      <c r="B189" s="51"/>
      <c r="C189" s="51"/>
      <c r="D189" s="51"/>
      <c r="E189" s="51"/>
      <c r="F189" s="7"/>
      <c r="G189" s="7"/>
      <c r="H189" s="51"/>
    </row>
    <row r="190" spans="1:23" ht="10.199999999999999" x14ac:dyDescent="0.35"/>
    <row r="191" spans="1:23" ht="12" customHeight="1" x14ac:dyDescent="0.35">
      <c r="A191" s="50"/>
      <c r="B191" s="50"/>
      <c r="C191" s="50"/>
      <c r="D191" s="50"/>
      <c r="E191" s="50"/>
      <c r="F191" s="7"/>
      <c r="G191" s="7"/>
      <c r="H191" s="50"/>
    </row>
    <row r="192" spans="1:23" ht="12" customHeight="1" x14ac:dyDescent="0.35">
      <c r="A192" s="51"/>
      <c r="B192" s="51"/>
      <c r="C192" s="51"/>
      <c r="D192" s="51"/>
      <c r="E192" s="51"/>
      <c r="F192" s="7"/>
      <c r="G192" s="7"/>
      <c r="H192" s="51"/>
    </row>
  </sheetData>
  <mergeCells count="8">
    <mergeCell ref="F1:V1"/>
    <mergeCell ref="F2:V2"/>
    <mergeCell ref="F3:V3"/>
    <mergeCell ref="F130:V130"/>
    <mergeCell ref="F7:G7"/>
    <mergeCell ref="F5:Z5"/>
    <mergeCell ref="F6:Z6"/>
    <mergeCell ref="F4:Z4"/>
  </mergeCells>
  <phoneticPr fontId="2" type="noConversion"/>
  <pageMargins left="0.7" right="0.7" top="0.75" bottom="0.75" header="0.3" footer="0.3"/>
  <pageSetup paperSize="17" scale="94" fitToHeight="0" orientation="landscape" r:id="rId1"/>
  <headerFooter alignWithMargins="0"/>
  <rowBreaks count="2" manualBreakCount="2">
    <brk id="71" min="5" max="16" man="1"/>
    <brk id="152" min="5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E3AD-CC15-4F0F-A0EB-531C2BC15E2B}">
  <sheetPr>
    <pageSetUpPr fitToPage="1"/>
  </sheetPr>
  <dimension ref="A1:AO109"/>
  <sheetViews>
    <sheetView zoomScale="115" zoomScaleNormal="119" zoomScaleSheetLayoutView="90" workbookViewId="0">
      <pane ySplit="7" topLeftCell="A82" activePane="bottomLeft" state="frozen"/>
      <selection pane="bottomLeft" activeCell="AC108" sqref="C102:AC108"/>
    </sheetView>
  </sheetViews>
  <sheetFormatPr defaultColWidth="11.44140625" defaultRowHeight="12" customHeight="1" x14ac:dyDescent="0.35"/>
  <cols>
    <col min="1" max="1" width="27.83203125" style="5" bestFit="1" customWidth="1"/>
    <col min="2" max="5" width="8.44140625" style="5" customWidth="1"/>
    <col min="6" max="6" width="11.83203125" style="5" bestFit="1" customWidth="1"/>
    <col min="7" max="7" width="47.83203125" style="1" customWidth="1"/>
    <col min="8" max="8" width="11.44140625" style="1" customWidth="1"/>
    <col min="9" max="9" width="7.83203125" style="1" customWidth="1"/>
    <col min="10" max="10" width="9.44140625" style="1" customWidth="1"/>
    <col min="11" max="11" width="8.83203125" style="6" customWidth="1"/>
    <col min="12" max="12" width="7.44140625" style="5" bestFit="1" customWidth="1"/>
    <col min="13" max="13" width="8.83203125" style="5" customWidth="1"/>
    <col min="14" max="14" width="7.44140625" style="5" bestFit="1" customWidth="1"/>
    <col min="15" max="15" width="8.44140625" style="5" customWidth="1"/>
    <col min="16" max="16" width="7.83203125" style="5" bestFit="1" customWidth="1"/>
    <col min="17" max="19" width="7.44140625" style="5" bestFit="1" customWidth="1"/>
    <col min="20" max="20" width="7.1640625" style="5" bestFit="1" customWidth="1"/>
    <col min="21" max="21" width="9.1640625" style="5" bestFit="1" customWidth="1"/>
    <col min="22" max="22" width="10.44140625" style="5" customWidth="1"/>
    <col min="23" max="23" width="12" style="5" customWidth="1"/>
    <col min="24" max="24" width="11.1640625" style="278" customWidth="1"/>
    <col min="25" max="25" width="9.1640625" style="278" customWidth="1"/>
    <col min="26" max="26" width="9.1640625" style="2" customWidth="1"/>
    <col min="27" max="27" width="13" style="2" customWidth="1"/>
    <col min="28" max="28" width="12" style="2" customWidth="1"/>
    <col min="29" max="29" width="18.44140625" style="2" customWidth="1"/>
    <col min="30" max="261" width="11.44140625" style="2"/>
    <col min="262" max="262" width="58.44140625" style="2" customWidth="1"/>
    <col min="263" max="263" width="8.44140625" style="2" customWidth="1"/>
    <col min="264" max="264" width="11.44140625" style="2" customWidth="1"/>
    <col min="265" max="265" width="7.83203125" style="2" customWidth="1"/>
    <col min="266" max="266" width="9.44140625" style="2" customWidth="1"/>
    <col min="267" max="267" width="8.83203125" style="2" customWidth="1"/>
    <col min="268" max="268" width="14.44140625" style="2" customWidth="1"/>
    <col min="269" max="269" width="8.83203125" style="2" customWidth="1"/>
    <col min="270" max="270" width="12.1640625" style="2" customWidth="1"/>
    <col min="271" max="271" width="8.44140625" style="2" customWidth="1"/>
    <col min="272" max="273" width="11.44140625" style="2" customWidth="1"/>
    <col min="274" max="274" width="11.83203125" style="2" customWidth="1"/>
    <col min="275" max="275" width="11.44140625" style="2" customWidth="1"/>
    <col min="276" max="276" width="10.44140625" style="2" customWidth="1"/>
    <col min="277" max="277" width="11.83203125" style="2" customWidth="1"/>
    <col min="278" max="278" width="10.44140625" style="2" customWidth="1"/>
    <col min="279" max="279" width="12" style="2" customWidth="1"/>
    <col min="280" max="280" width="16.83203125" style="2" customWidth="1"/>
    <col min="281" max="281" width="12.44140625" style="2" customWidth="1"/>
    <col min="282" max="282" width="9.1640625" style="2" customWidth="1"/>
    <col min="283" max="283" width="13" style="2" customWidth="1"/>
    <col min="284" max="284" width="12" style="2" customWidth="1"/>
    <col min="285" max="285" width="18.44140625" style="2" customWidth="1"/>
    <col min="286" max="517" width="11.44140625" style="2"/>
    <col min="518" max="518" width="58.44140625" style="2" customWidth="1"/>
    <col min="519" max="519" width="8.44140625" style="2" customWidth="1"/>
    <col min="520" max="520" width="11.44140625" style="2" customWidth="1"/>
    <col min="521" max="521" width="7.83203125" style="2" customWidth="1"/>
    <col min="522" max="522" width="9.44140625" style="2" customWidth="1"/>
    <col min="523" max="523" width="8.83203125" style="2" customWidth="1"/>
    <col min="524" max="524" width="14.44140625" style="2" customWidth="1"/>
    <col min="525" max="525" width="8.83203125" style="2" customWidth="1"/>
    <col min="526" max="526" width="12.1640625" style="2" customWidth="1"/>
    <col min="527" max="527" width="8.44140625" style="2" customWidth="1"/>
    <col min="528" max="529" width="11.44140625" style="2" customWidth="1"/>
    <col min="530" max="530" width="11.83203125" style="2" customWidth="1"/>
    <col min="531" max="531" width="11.44140625" style="2" customWidth="1"/>
    <col min="532" max="532" width="10.44140625" style="2" customWidth="1"/>
    <col min="533" max="533" width="11.83203125" style="2" customWidth="1"/>
    <col min="534" max="534" width="10.44140625" style="2" customWidth="1"/>
    <col min="535" max="535" width="12" style="2" customWidth="1"/>
    <col min="536" max="536" width="16.83203125" style="2" customWidth="1"/>
    <col min="537" max="537" width="12.44140625" style="2" customWidth="1"/>
    <col min="538" max="538" width="9.1640625" style="2" customWidth="1"/>
    <col min="539" max="539" width="13" style="2" customWidth="1"/>
    <col min="540" max="540" width="12" style="2" customWidth="1"/>
    <col min="541" max="541" width="18.44140625" style="2" customWidth="1"/>
    <col min="542" max="773" width="11.44140625" style="2"/>
    <col min="774" max="774" width="58.44140625" style="2" customWidth="1"/>
    <col min="775" max="775" width="8.44140625" style="2" customWidth="1"/>
    <col min="776" max="776" width="11.44140625" style="2" customWidth="1"/>
    <col min="777" max="777" width="7.83203125" style="2" customWidth="1"/>
    <col min="778" max="778" width="9.44140625" style="2" customWidth="1"/>
    <col min="779" max="779" width="8.83203125" style="2" customWidth="1"/>
    <col min="780" max="780" width="14.44140625" style="2" customWidth="1"/>
    <col min="781" max="781" width="8.83203125" style="2" customWidth="1"/>
    <col min="782" max="782" width="12.1640625" style="2" customWidth="1"/>
    <col min="783" max="783" width="8.44140625" style="2" customWidth="1"/>
    <col min="784" max="785" width="11.44140625" style="2" customWidth="1"/>
    <col min="786" max="786" width="11.83203125" style="2" customWidth="1"/>
    <col min="787" max="787" width="11.44140625" style="2" customWidth="1"/>
    <col min="788" max="788" width="10.44140625" style="2" customWidth="1"/>
    <col min="789" max="789" width="11.83203125" style="2" customWidth="1"/>
    <col min="790" max="790" width="10.44140625" style="2" customWidth="1"/>
    <col min="791" max="791" width="12" style="2" customWidth="1"/>
    <col min="792" max="792" width="16.83203125" style="2" customWidth="1"/>
    <col min="793" max="793" width="12.44140625" style="2" customWidth="1"/>
    <col min="794" max="794" width="9.1640625" style="2" customWidth="1"/>
    <col min="795" max="795" width="13" style="2" customWidth="1"/>
    <col min="796" max="796" width="12" style="2" customWidth="1"/>
    <col min="797" max="797" width="18.44140625" style="2" customWidth="1"/>
    <col min="798" max="1029" width="11.44140625" style="2"/>
    <col min="1030" max="1030" width="58.44140625" style="2" customWidth="1"/>
    <col min="1031" max="1031" width="8.44140625" style="2" customWidth="1"/>
    <col min="1032" max="1032" width="11.44140625" style="2" customWidth="1"/>
    <col min="1033" max="1033" width="7.83203125" style="2" customWidth="1"/>
    <col min="1034" max="1034" width="9.44140625" style="2" customWidth="1"/>
    <col min="1035" max="1035" width="8.83203125" style="2" customWidth="1"/>
    <col min="1036" max="1036" width="14.44140625" style="2" customWidth="1"/>
    <col min="1037" max="1037" width="8.83203125" style="2" customWidth="1"/>
    <col min="1038" max="1038" width="12.1640625" style="2" customWidth="1"/>
    <col min="1039" max="1039" width="8.44140625" style="2" customWidth="1"/>
    <col min="1040" max="1041" width="11.44140625" style="2" customWidth="1"/>
    <col min="1042" max="1042" width="11.83203125" style="2" customWidth="1"/>
    <col min="1043" max="1043" width="11.44140625" style="2" customWidth="1"/>
    <col min="1044" max="1044" width="10.44140625" style="2" customWidth="1"/>
    <col min="1045" max="1045" width="11.83203125" style="2" customWidth="1"/>
    <col min="1046" max="1046" width="10.44140625" style="2" customWidth="1"/>
    <col min="1047" max="1047" width="12" style="2" customWidth="1"/>
    <col min="1048" max="1048" width="16.83203125" style="2" customWidth="1"/>
    <col min="1049" max="1049" width="12.44140625" style="2" customWidth="1"/>
    <col min="1050" max="1050" width="9.1640625" style="2" customWidth="1"/>
    <col min="1051" max="1051" width="13" style="2" customWidth="1"/>
    <col min="1052" max="1052" width="12" style="2" customWidth="1"/>
    <col min="1053" max="1053" width="18.44140625" style="2" customWidth="1"/>
    <col min="1054" max="1285" width="11.44140625" style="2"/>
    <col min="1286" max="1286" width="58.44140625" style="2" customWidth="1"/>
    <col min="1287" max="1287" width="8.44140625" style="2" customWidth="1"/>
    <col min="1288" max="1288" width="11.44140625" style="2" customWidth="1"/>
    <col min="1289" max="1289" width="7.83203125" style="2" customWidth="1"/>
    <col min="1290" max="1290" width="9.44140625" style="2" customWidth="1"/>
    <col min="1291" max="1291" width="8.83203125" style="2" customWidth="1"/>
    <col min="1292" max="1292" width="14.44140625" style="2" customWidth="1"/>
    <col min="1293" max="1293" width="8.83203125" style="2" customWidth="1"/>
    <col min="1294" max="1294" width="12.1640625" style="2" customWidth="1"/>
    <col min="1295" max="1295" width="8.44140625" style="2" customWidth="1"/>
    <col min="1296" max="1297" width="11.44140625" style="2" customWidth="1"/>
    <col min="1298" max="1298" width="11.83203125" style="2" customWidth="1"/>
    <col min="1299" max="1299" width="11.44140625" style="2" customWidth="1"/>
    <col min="1300" max="1300" width="10.44140625" style="2" customWidth="1"/>
    <col min="1301" max="1301" width="11.83203125" style="2" customWidth="1"/>
    <col min="1302" max="1302" width="10.44140625" style="2" customWidth="1"/>
    <col min="1303" max="1303" width="12" style="2" customWidth="1"/>
    <col min="1304" max="1304" width="16.83203125" style="2" customWidth="1"/>
    <col min="1305" max="1305" width="12.44140625" style="2" customWidth="1"/>
    <col min="1306" max="1306" width="9.1640625" style="2" customWidth="1"/>
    <col min="1307" max="1307" width="13" style="2" customWidth="1"/>
    <col min="1308" max="1308" width="12" style="2" customWidth="1"/>
    <col min="1309" max="1309" width="18.44140625" style="2" customWidth="1"/>
    <col min="1310" max="1541" width="11.44140625" style="2"/>
    <col min="1542" max="1542" width="58.44140625" style="2" customWidth="1"/>
    <col min="1543" max="1543" width="8.44140625" style="2" customWidth="1"/>
    <col min="1544" max="1544" width="11.44140625" style="2" customWidth="1"/>
    <col min="1545" max="1545" width="7.83203125" style="2" customWidth="1"/>
    <col min="1546" max="1546" width="9.44140625" style="2" customWidth="1"/>
    <col min="1547" max="1547" width="8.83203125" style="2" customWidth="1"/>
    <col min="1548" max="1548" width="14.44140625" style="2" customWidth="1"/>
    <col min="1549" max="1549" width="8.83203125" style="2" customWidth="1"/>
    <col min="1550" max="1550" width="12.1640625" style="2" customWidth="1"/>
    <col min="1551" max="1551" width="8.44140625" style="2" customWidth="1"/>
    <col min="1552" max="1553" width="11.44140625" style="2" customWidth="1"/>
    <col min="1554" max="1554" width="11.83203125" style="2" customWidth="1"/>
    <col min="1555" max="1555" width="11.44140625" style="2" customWidth="1"/>
    <col min="1556" max="1556" width="10.44140625" style="2" customWidth="1"/>
    <col min="1557" max="1557" width="11.83203125" style="2" customWidth="1"/>
    <col min="1558" max="1558" width="10.44140625" style="2" customWidth="1"/>
    <col min="1559" max="1559" width="12" style="2" customWidth="1"/>
    <col min="1560" max="1560" width="16.83203125" style="2" customWidth="1"/>
    <col min="1561" max="1561" width="12.44140625" style="2" customWidth="1"/>
    <col min="1562" max="1562" width="9.1640625" style="2" customWidth="1"/>
    <col min="1563" max="1563" width="13" style="2" customWidth="1"/>
    <col min="1564" max="1564" width="12" style="2" customWidth="1"/>
    <col min="1565" max="1565" width="18.44140625" style="2" customWidth="1"/>
    <col min="1566" max="1797" width="11.44140625" style="2"/>
    <col min="1798" max="1798" width="58.44140625" style="2" customWidth="1"/>
    <col min="1799" max="1799" width="8.44140625" style="2" customWidth="1"/>
    <col min="1800" max="1800" width="11.44140625" style="2" customWidth="1"/>
    <col min="1801" max="1801" width="7.83203125" style="2" customWidth="1"/>
    <col min="1802" max="1802" width="9.44140625" style="2" customWidth="1"/>
    <col min="1803" max="1803" width="8.83203125" style="2" customWidth="1"/>
    <col min="1804" max="1804" width="14.44140625" style="2" customWidth="1"/>
    <col min="1805" max="1805" width="8.83203125" style="2" customWidth="1"/>
    <col min="1806" max="1806" width="12.1640625" style="2" customWidth="1"/>
    <col min="1807" max="1807" width="8.44140625" style="2" customWidth="1"/>
    <col min="1808" max="1809" width="11.44140625" style="2" customWidth="1"/>
    <col min="1810" max="1810" width="11.83203125" style="2" customWidth="1"/>
    <col min="1811" max="1811" width="11.44140625" style="2" customWidth="1"/>
    <col min="1812" max="1812" width="10.44140625" style="2" customWidth="1"/>
    <col min="1813" max="1813" width="11.83203125" style="2" customWidth="1"/>
    <col min="1814" max="1814" width="10.44140625" style="2" customWidth="1"/>
    <col min="1815" max="1815" width="12" style="2" customWidth="1"/>
    <col min="1816" max="1816" width="16.83203125" style="2" customWidth="1"/>
    <col min="1817" max="1817" width="12.44140625" style="2" customWidth="1"/>
    <col min="1818" max="1818" width="9.1640625" style="2" customWidth="1"/>
    <col min="1819" max="1819" width="13" style="2" customWidth="1"/>
    <col min="1820" max="1820" width="12" style="2" customWidth="1"/>
    <col min="1821" max="1821" width="18.44140625" style="2" customWidth="1"/>
    <col min="1822" max="2053" width="11.44140625" style="2"/>
    <col min="2054" max="2054" width="58.44140625" style="2" customWidth="1"/>
    <col min="2055" max="2055" width="8.44140625" style="2" customWidth="1"/>
    <col min="2056" max="2056" width="11.44140625" style="2" customWidth="1"/>
    <col min="2057" max="2057" width="7.83203125" style="2" customWidth="1"/>
    <col min="2058" max="2058" width="9.44140625" style="2" customWidth="1"/>
    <col min="2059" max="2059" width="8.83203125" style="2" customWidth="1"/>
    <col min="2060" max="2060" width="14.44140625" style="2" customWidth="1"/>
    <col min="2061" max="2061" width="8.83203125" style="2" customWidth="1"/>
    <col min="2062" max="2062" width="12.1640625" style="2" customWidth="1"/>
    <col min="2063" max="2063" width="8.44140625" style="2" customWidth="1"/>
    <col min="2064" max="2065" width="11.44140625" style="2" customWidth="1"/>
    <col min="2066" max="2066" width="11.83203125" style="2" customWidth="1"/>
    <col min="2067" max="2067" width="11.44140625" style="2" customWidth="1"/>
    <col min="2068" max="2068" width="10.44140625" style="2" customWidth="1"/>
    <col min="2069" max="2069" width="11.83203125" style="2" customWidth="1"/>
    <col min="2070" max="2070" width="10.44140625" style="2" customWidth="1"/>
    <col min="2071" max="2071" width="12" style="2" customWidth="1"/>
    <col min="2072" max="2072" width="16.83203125" style="2" customWidth="1"/>
    <col min="2073" max="2073" width="12.44140625" style="2" customWidth="1"/>
    <col min="2074" max="2074" width="9.1640625" style="2" customWidth="1"/>
    <col min="2075" max="2075" width="13" style="2" customWidth="1"/>
    <col min="2076" max="2076" width="12" style="2" customWidth="1"/>
    <col min="2077" max="2077" width="18.44140625" style="2" customWidth="1"/>
    <col min="2078" max="2309" width="11.44140625" style="2"/>
    <col min="2310" max="2310" width="58.44140625" style="2" customWidth="1"/>
    <col min="2311" max="2311" width="8.44140625" style="2" customWidth="1"/>
    <col min="2312" max="2312" width="11.44140625" style="2" customWidth="1"/>
    <col min="2313" max="2313" width="7.83203125" style="2" customWidth="1"/>
    <col min="2314" max="2314" width="9.44140625" style="2" customWidth="1"/>
    <col min="2315" max="2315" width="8.83203125" style="2" customWidth="1"/>
    <col min="2316" max="2316" width="14.44140625" style="2" customWidth="1"/>
    <col min="2317" max="2317" width="8.83203125" style="2" customWidth="1"/>
    <col min="2318" max="2318" width="12.1640625" style="2" customWidth="1"/>
    <col min="2319" max="2319" width="8.44140625" style="2" customWidth="1"/>
    <col min="2320" max="2321" width="11.44140625" style="2" customWidth="1"/>
    <col min="2322" max="2322" width="11.83203125" style="2" customWidth="1"/>
    <col min="2323" max="2323" width="11.44140625" style="2" customWidth="1"/>
    <col min="2324" max="2324" width="10.44140625" style="2" customWidth="1"/>
    <col min="2325" max="2325" width="11.83203125" style="2" customWidth="1"/>
    <col min="2326" max="2326" width="10.44140625" style="2" customWidth="1"/>
    <col min="2327" max="2327" width="12" style="2" customWidth="1"/>
    <col min="2328" max="2328" width="16.83203125" style="2" customWidth="1"/>
    <col min="2329" max="2329" width="12.44140625" style="2" customWidth="1"/>
    <col min="2330" max="2330" width="9.1640625" style="2" customWidth="1"/>
    <col min="2331" max="2331" width="13" style="2" customWidth="1"/>
    <col min="2332" max="2332" width="12" style="2" customWidth="1"/>
    <col min="2333" max="2333" width="18.44140625" style="2" customWidth="1"/>
    <col min="2334" max="2565" width="11.44140625" style="2"/>
    <col min="2566" max="2566" width="58.44140625" style="2" customWidth="1"/>
    <col min="2567" max="2567" width="8.44140625" style="2" customWidth="1"/>
    <col min="2568" max="2568" width="11.44140625" style="2" customWidth="1"/>
    <col min="2569" max="2569" width="7.83203125" style="2" customWidth="1"/>
    <col min="2570" max="2570" width="9.44140625" style="2" customWidth="1"/>
    <col min="2571" max="2571" width="8.83203125" style="2" customWidth="1"/>
    <col min="2572" max="2572" width="14.44140625" style="2" customWidth="1"/>
    <col min="2573" max="2573" width="8.83203125" style="2" customWidth="1"/>
    <col min="2574" max="2574" width="12.1640625" style="2" customWidth="1"/>
    <col min="2575" max="2575" width="8.44140625" style="2" customWidth="1"/>
    <col min="2576" max="2577" width="11.44140625" style="2" customWidth="1"/>
    <col min="2578" max="2578" width="11.83203125" style="2" customWidth="1"/>
    <col min="2579" max="2579" width="11.44140625" style="2" customWidth="1"/>
    <col min="2580" max="2580" width="10.44140625" style="2" customWidth="1"/>
    <col min="2581" max="2581" width="11.83203125" style="2" customWidth="1"/>
    <col min="2582" max="2582" width="10.44140625" style="2" customWidth="1"/>
    <col min="2583" max="2583" width="12" style="2" customWidth="1"/>
    <col min="2584" max="2584" width="16.83203125" style="2" customWidth="1"/>
    <col min="2585" max="2585" width="12.44140625" style="2" customWidth="1"/>
    <col min="2586" max="2586" width="9.1640625" style="2" customWidth="1"/>
    <col min="2587" max="2587" width="13" style="2" customWidth="1"/>
    <col min="2588" max="2588" width="12" style="2" customWidth="1"/>
    <col min="2589" max="2589" width="18.44140625" style="2" customWidth="1"/>
    <col min="2590" max="2821" width="11.44140625" style="2"/>
    <col min="2822" max="2822" width="58.44140625" style="2" customWidth="1"/>
    <col min="2823" max="2823" width="8.44140625" style="2" customWidth="1"/>
    <col min="2824" max="2824" width="11.44140625" style="2" customWidth="1"/>
    <col min="2825" max="2825" width="7.83203125" style="2" customWidth="1"/>
    <col min="2826" max="2826" width="9.44140625" style="2" customWidth="1"/>
    <col min="2827" max="2827" width="8.83203125" style="2" customWidth="1"/>
    <col min="2828" max="2828" width="14.44140625" style="2" customWidth="1"/>
    <col min="2829" max="2829" width="8.83203125" style="2" customWidth="1"/>
    <col min="2830" max="2830" width="12.1640625" style="2" customWidth="1"/>
    <col min="2831" max="2831" width="8.44140625" style="2" customWidth="1"/>
    <col min="2832" max="2833" width="11.44140625" style="2" customWidth="1"/>
    <col min="2834" max="2834" width="11.83203125" style="2" customWidth="1"/>
    <col min="2835" max="2835" width="11.44140625" style="2" customWidth="1"/>
    <col min="2836" max="2836" width="10.44140625" style="2" customWidth="1"/>
    <col min="2837" max="2837" width="11.83203125" style="2" customWidth="1"/>
    <col min="2838" max="2838" width="10.44140625" style="2" customWidth="1"/>
    <col min="2839" max="2839" width="12" style="2" customWidth="1"/>
    <col min="2840" max="2840" width="16.83203125" style="2" customWidth="1"/>
    <col min="2841" max="2841" width="12.44140625" style="2" customWidth="1"/>
    <col min="2842" max="2842" width="9.1640625" style="2" customWidth="1"/>
    <col min="2843" max="2843" width="13" style="2" customWidth="1"/>
    <col min="2844" max="2844" width="12" style="2" customWidth="1"/>
    <col min="2845" max="2845" width="18.44140625" style="2" customWidth="1"/>
    <col min="2846" max="3077" width="11.44140625" style="2"/>
    <col min="3078" max="3078" width="58.44140625" style="2" customWidth="1"/>
    <col min="3079" max="3079" width="8.44140625" style="2" customWidth="1"/>
    <col min="3080" max="3080" width="11.44140625" style="2" customWidth="1"/>
    <col min="3081" max="3081" width="7.83203125" style="2" customWidth="1"/>
    <col min="3082" max="3082" width="9.44140625" style="2" customWidth="1"/>
    <col min="3083" max="3083" width="8.83203125" style="2" customWidth="1"/>
    <col min="3084" max="3084" width="14.44140625" style="2" customWidth="1"/>
    <col min="3085" max="3085" width="8.83203125" style="2" customWidth="1"/>
    <col min="3086" max="3086" width="12.1640625" style="2" customWidth="1"/>
    <col min="3087" max="3087" width="8.44140625" style="2" customWidth="1"/>
    <col min="3088" max="3089" width="11.44140625" style="2" customWidth="1"/>
    <col min="3090" max="3090" width="11.83203125" style="2" customWidth="1"/>
    <col min="3091" max="3091" width="11.44140625" style="2" customWidth="1"/>
    <col min="3092" max="3092" width="10.44140625" style="2" customWidth="1"/>
    <col min="3093" max="3093" width="11.83203125" style="2" customWidth="1"/>
    <col min="3094" max="3094" width="10.44140625" style="2" customWidth="1"/>
    <col min="3095" max="3095" width="12" style="2" customWidth="1"/>
    <col min="3096" max="3096" width="16.83203125" style="2" customWidth="1"/>
    <col min="3097" max="3097" width="12.44140625" style="2" customWidth="1"/>
    <col min="3098" max="3098" width="9.1640625" style="2" customWidth="1"/>
    <col min="3099" max="3099" width="13" style="2" customWidth="1"/>
    <col min="3100" max="3100" width="12" style="2" customWidth="1"/>
    <col min="3101" max="3101" width="18.44140625" style="2" customWidth="1"/>
    <col min="3102" max="3333" width="11.44140625" style="2"/>
    <col min="3334" max="3334" width="58.44140625" style="2" customWidth="1"/>
    <col min="3335" max="3335" width="8.44140625" style="2" customWidth="1"/>
    <col min="3336" max="3336" width="11.44140625" style="2" customWidth="1"/>
    <col min="3337" max="3337" width="7.83203125" style="2" customWidth="1"/>
    <col min="3338" max="3338" width="9.44140625" style="2" customWidth="1"/>
    <col min="3339" max="3339" width="8.83203125" style="2" customWidth="1"/>
    <col min="3340" max="3340" width="14.44140625" style="2" customWidth="1"/>
    <col min="3341" max="3341" width="8.83203125" style="2" customWidth="1"/>
    <col min="3342" max="3342" width="12.1640625" style="2" customWidth="1"/>
    <col min="3343" max="3343" width="8.44140625" style="2" customWidth="1"/>
    <col min="3344" max="3345" width="11.44140625" style="2" customWidth="1"/>
    <col min="3346" max="3346" width="11.83203125" style="2" customWidth="1"/>
    <col min="3347" max="3347" width="11.44140625" style="2" customWidth="1"/>
    <col min="3348" max="3348" width="10.44140625" style="2" customWidth="1"/>
    <col min="3349" max="3349" width="11.83203125" style="2" customWidth="1"/>
    <col min="3350" max="3350" width="10.44140625" style="2" customWidth="1"/>
    <col min="3351" max="3351" width="12" style="2" customWidth="1"/>
    <col min="3352" max="3352" width="16.83203125" style="2" customWidth="1"/>
    <col min="3353" max="3353" width="12.44140625" style="2" customWidth="1"/>
    <col min="3354" max="3354" width="9.1640625" style="2" customWidth="1"/>
    <col min="3355" max="3355" width="13" style="2" customWidth="1"/>
    <col min="3356" max="3356" width="12" style="2" customWidth="1"/>
    <col min="3357" max="3357" width="18.44140625" style="2" customWidth="1"/>
    <col min="3358" max="3589" width="11.44140625" style="2"/>
    <col min="3590" max="3590" width="58.44140625" style="2" customWidth="1"/>
    <col min="3591" max="3591" width="8.44140625" style="2" customWidth="1"/>
    <col min="3592" max="3592" width="11.44140625" style="2" customWidth="1"/>
    <col min="3593" max="3593" width="7.83203125" style="2" customWidth="1"/>
    <col min="3594" max="3594" width="9.44140625" style="2" customWidth="1"/>
    <col min="3595" max="3595" width="8.83203125" style="2" customWidth="1"/>
    <col min="3596" max="3596" width="14.44140625" style="2" customWidth="1"/>
    <col min="3597" max="3597" width="8.83203125" style="2" customWidth="1"/>
    <col min="3598" max="3598" width="12.1640625" style="2" customWidth="1"/>
    <col min="3599" max="3599" width="8.44140625" style="2" customWidth="1"/>
    <col min="3600" max="3601" width="11.44140625" style="2" customWidth="1"/>
    <col min="3602" max="3602" width="11.83203125" style="2" customWidth="1"/>
    <col min="3603" max="3603" width="11.44140625" style="2" customWidth="1"/>
    <col min="3604" max="3604" width="10.44140625" style="2" customWidth="1"/>
    <col min="3605" max="3605" width="11.83203125" style="2" customWidth="1"/>
    <col min="3606" max="3606" width="10.44140625" style="2" customWidth="1"/>
    <col min="3607" max="3607" width="12" style="2" customWidth="1"/>
    <col min="3608" max="3608" width="16.83203125" style="2" customWidth="1"/>
    <col min="3609" max="3609" width="12.44140625" style="2" customWidth="1"/>
    <col min="3610" max="3610" width="9.1640625" style="2" customWidth="1"/>
    <col min="3611" max="3611" width="13" style="2" customWidth="1"/>
    <col min="3612" max="3612" width="12" style="2" customWidth="1"/>
    <col min="3613" max="3613" width="18.44140625" style="2" customWidth="1"/>
    <col min="3614" max="3845" width="11.44140625" style="2"/>
    <col min="3846" max="3846" width="58.44140625" style="2" customWidth="1"/>
    <col min="3847" max="3847" width="8.44140625" style="2" customWidth="1"/>
    <col min="3848" max="3848" width="11.44140625" style="2" customWidth="1"/>
    <col min="3849" max="3849" width="7.83203125" style="2" customWidth="1"/>
    <col min="3850" max="3850" width="9.44140625" style="2" customWidth="1"/>
    <col min="3851" max="3851" width="8.83203125" style="2" customWidth="1"/>
    <col min="3852" max="3852" width="14.44140625" style="2" customWidth="1"/>
    <col min="3853" max="3853" width="8.83203125" style="2" customWidth="1"/>
    <col min="3854" max="3854" width="12.1640625" style="2" customWidth="1"/>
    <col min="3855" max="3855" width="8.44140625" style="2" customWidth="1"/>
    <col min="3856" max="3857" width="11.44140625" style="2" customWidth="1"/>
    <col min="3858" max="3858" width="11.83203125" style="2" customWidth="1"/>
    <col min="3859" max="3859" width="11.44140625" style="2" customWidth="1"/>
    <col min="3860" max="3860" width="10.44140625" style="2" customWidth="1"/>
    <col min="3861" max="3861" width="11.83203125" style="2" customWidth="1"/>
    <col min="3862" max="3862" width="10.44140625" style="2" customWidth="1"/>
    <col min="3863" max="3863" width="12" style="2" customWidth="1"/>
    <col min="3864" max="3864" width="16.83203125" style="2" customWidth="1"/>
    <col min="3865" max="3865" width="12.44140625" style="2" customWidth="1"/>
    <col min="3866" max="3866" width="9.1640625" style="2" customWidth="1"/>
    <col min="3867" max="3867" width="13" style="2" customWidth="1"/>
    <col min="3868" max="3868" width="12" style="2" customWidth="1"/>
    <col min="3869" max="3869" width="18.44140625" style="2" customWidth="1"/>
    <col min="3870" max="4101" width="11.44140625" style="2"/>
    <col min="4102" max="4102" width="58.44140625" style="2" customWidth="1"/>
    <col min="4103" max="4103" width="8.44140625" style="2" customWidth="1"/>
    <col min="4104" max="4104" width="11.44140625" style="2" customWidth="1"/>
    <col min="4105" max="4105" width="7.83203125" style="2" customWidth="1"/>
    <col min="4106" max="4106" width="9.44140625" style="2" customWidth="1"/>
    <col min="4107" max="4107" width="8.83203125" style="2" customWidth="1"/>
    <col min="4108" max="4108" width="14.44140625" style="2" customWidth="1"/>
    <col min="4109" max="4109" width="8.83203125" style="2" customWidth="1"/>
    <col min="4110" max="4110" width="12.1640625" style="2" customWidth="1"/>
    <col min="4111" max="4111" width="8.44140625" style="2" customWidth="1"/>
    <col min="4112" max="4113" width="11.44140625" style="2" customWidth="1"/>
    <col min="4114" max="4114" width="11.83203125" style="2" customWidth="1"/>
    <col min="4115" max="4115" width="11.44140625" style="2" customWidth="1"/>
    <col min="4116" max="4116" width="10.44140625" style="2" customWidth="1"/>
    <col min="4117" max="4117" width="11.83203125" style="2" customWidth="1"/>
    <col min="4118" max="4118" width="10.44140625" style="2" customWidth="1"/>
    <col min="4119" max="4119" width="12" style="2" customWidth="1"/>
    <col min="4120" max="4120" width="16.83203125" style="2" customWidth="1"/>
    <col min="4121" max="4121" width="12.44140625" style="2" customWidth="1"/>
    <col min="4122" max="4122" width="9.1640625" style="2" customWidth="1"/>
    <col min="4123" max="4123" width="13" style="2" customWidth="1"/>
    <col min="4124" max="4124" width="12" style="2" customWidth="1"/>
    <col min="4125" max="4125" width="18.44140625" style="2" customWidth="1"/>
    <col min="4126" max="4357" width="11.44140625" style="2"/>
    <col min="4358" max="4358" width="58.44140625" style="2" customWidth="1"/>
    <col min="4359" max="4359" width="8.44140625" style="2" customWidth="1"/>
    <col min="4360" max="4360" width="11.44140625" style="2" customWidth="1"/>
    <col min="4361" max="4361" width="7.83203125" style="2" customWidth="1"/>
    <col min="4362" max="4362" width="9.44140625" style="2" customWidth="1"/>
    <col min="4363" max="4363" width="8.83203125" style="2" customWidth="1"/>
    <col min="4364" max="4364" width="14.44140625" style="2" customWidth="1"/>
    <col min="4365" max="4365" width="8.83203125" style="2" customWidth="1"/>
    <col min="4366" max="4366" width="12.1640625" style="2" customWidth="1"/>
    <col min="4367" max="4367" width="8.44140625" style="2" customWidth="1"/>
    <col min="4368" max="4369" width="11.44140625" style="2" customWidth="1"/>
    <col min="4370" max="4370" width="11.83203125" style="2" customWidth="1"/>
    <col min="4371" max="4371" width="11.44140625" style="2" customWidth="1"/>
    <col min="4372" max="4372" width="10.44140625" style="2" customWidth="1"/>
    <col min="4373" max="4373" width="11.83203125" style="2" customWidth="1"/>
    <col min="4374" max="4374" width="10.44140625" style="2" customWidth="1"/>
    <col min="4375" max="4375" width="12" style="2" customWidth="1"/>
    <col min="4376" max="4376" width="16.83203125" style="2" customWidth="1"/>
    <col min="4377" max="4377" width="12.44140625" style="2" customWidth="1"/>
    <col min="4378" max="4378" width="9.1640625" style="2" customWidth="1"/>
    <col min="4379" max="4379" width="13" style="2" customWidth="1"/>
    <col min="4380" max="4380" width="12" style="2" customWidth="1"/>
    <col min="4381" max="4381" width="18.44140625" style="2" customWidth="1"/>
    <col min="4382" max="4613" width="11.44140625" style="2"/>
    <col min="4614" max="4614" width="58.44140625" style="2" customWidth="1"/>
    <col min="4615" max="4615" width="8.44140625" style="2" customWidth="1"/>
    <col min="4616" max="4616" width="11.44140625" style="2" customWidth="1"/>
    <col min="4617" max="4617" width="7.83203125" style="2" customWidth="1"/>
    <col min="4618" max="4618" width="9.44140625" style="2" customWidth="1"/>
    <col min="4619" max="4619" width="8.83203125" style="2" customWidth="1"/>
    <col min="4620" max="4620" width="14.44140625" style="2" customWidth="1"/>
    <col min="4621" max="4621" width="8.83203125" style="2" customWidth="1"/>
    <col min="4622" max="4622" width="12.1640625" style="2" customWidth="1"/>
    <col min="4623" max="4623" width="8.44140625" style="2" customWidth="1"/>
    <col min="4624" max="4625" width="11.44140625" style="2" customWidth="1"/>
    <col min="4626" max="4626" width="11.83203125" style="2" customWidth="1"/>
    <col min="4627" max="4627" width="11.44140625" style="2" customWidth="1"/>
    <col min="4628" max="4628" width="10.44140625" style="2" customWidth="1"/>
    <col min="4629" max="4629" width="11.83203125" style="2" customWidth="1"/>
    <col min="4630" max="4630" width="10.44140625" style="2" customWidth="1"/>
    <col min="4631" max="4631" width="12" style="2" customWidth="1"/>
    <col min="4632" max="4632" width="16.83203125" style="2" customWidth="1"/>
    <col min="4633" max="4633" width="12.44140625" style="2" customWidth="1"/>
    <col min="4634" max="4634" width="9.1640625" style="2" customWidth="1"/>
    <col min="4635" max="4635" width="13" style="2" customWidth="1"/>
    <col min="4636" max="4636" width="12" style="2" customWidth="1"/>
    <col min="4637" max="4637" width="18.44140625" style="2" customWidth="1"/>
    <col min="4638" max="4869" width="11.44140625" style="2"/>
    <col min="4870" max="4870" width="58.44140625" style="2" customWidth="1"/>
    <col min="4871" max="4871" width="8.44140625" style="2" customWidth="1"/>
    <col min="4872" max="4872" width="11.44140625" style="2" customWidth="1"/>
    <col min="4873" max="4873" width="7.83203125" style="2" customWidth="1"/>
    <col min="4874" max="4874" width="9.44140625" style="2" customWidth="1"/>
    <col min="4875" max="4875" width="8.83203125" style="2" customWidth="1"/>
    <col min="4876" max="4876" width="14.44140625" style="2" customWidth="1"/>
    <col min="4877" max="4877" width="8.83203125" style="2" customWidth="1"/>
    <col min="4878" max="4878" width="12.1640625" style="2" customWidth="1"/>
    <col min="4879" max="4879" width="8.44140625" style="2" customWidth="1"/>
    <col min="4880" max="4881" width="11.44140625" style="2" customWidth="1"/>
    <col min="4882" max="4882" width="11.83203125" style="2" customWidth="1"/>
    <col min="4883" max="4883" width="11.44140625" style="2" customWidth="1"/>
    <col min="4884" max="4884" width="10.44140625" style="2" customWidth="1"/>
    <col min="4885" max="4885" width="11.83203125" style="2" customWidth="1"/>
    <col min="4886" max="4886" width="10.44140625" style="2" customWidth="1"/>
    <col min="4887" max="4887" width="12" style="2" customWidth="1"/>
    <col min="4888" max="4888" width="16.83203125" style="2" customWidth="1"/>
    <col min="4889" max="4889" width="12.44140625" style="2" customWidth="1"/>
    <col min="4890" max="4890" width="9.1640625" style="2" customWidth="1"/>
    <col min="4891" max="4891" width="13" style="2" customWidth="1"/>
    <col min="4892" max="4892" width="12" style="2" customWidth="1"/>
    <col min="4893" max="4893" width="18.44140625" style="2" customWidth="1"/>
    <col min="4894" max="5125" width="11.44140625" style="2"/>
    <col min="5126" max="5126" width="58.44140625" style="2" customWidth="1"/>
    <col min="5127" max="5127" width="8.44140625" style="2" customWidth="1"/>
    <col min="5128" max="5128" width="11.44140625" style="2" customWidth="1"/>
    <col min="5129" max="5129" width="7.83203125" style="2" customWidth="1"/>
    <col min="5130" max="5130" width="9.44140625" style="2" customWidth="1"/>
    <col min="5131" max="5131" width="8.83203125" style="2" customWidth="1"/>
    <col min="5132" max="5132" width="14.44140625" style="2" customWidth="1"/>
    <col min="5133" max="5133" width="8.83203125" style="2" customWidth="1"/>
    <col min="5134" max="5134" width="12.1640625" style="2" customWidth="1"/>
    <col min="5135" max="5135" width="8.44140625" style="2" customWidth="1"/>
    <col min="5136" max="5137" width="11.44140625" style="2" customWidth="1"/>
    <col min="5138" max="5138" width="11.83203125" style="2" customWidth="1"/>
    <col min="5139" max="5139" width="11.44140625" style="2" customWidth="1"/>
    <col min="5140" max="5140" width="10.44140625" style="2" customWidth="1"/>
    <col min="5141" max="5141" width="11.83203125" style="2" customWidth="1"/>
    <col min="5142" max="5142" width="10.44140625" style="2" customWidth="1"/>
    <col min="5143" max="5143" width="12" style="2" customWidth="1"/>
    <col min="5144" max="5144" width="16.83203125" style="2" customWidth="1"/>
    <col min="5145" max="5145" width="12.44140625" style="2" customWidth="1"/>
    <col min="5146" max="5146" width="9.1640625" style="2" customWidth="1"/>
    <col min="5147" max="5147" width="13" style="2" customWidth="1"/>
    <col min="5148" max="5148" width="12" style="2" customWidth="1"/>
    <col min="5149" max="5149" width="18.44140625" style="2" customWidth="1"/>
    <col min="5150" max="5381" width="11.44140625" style="2"/>
    <col min="5382" max="5382" width="58.44140625" style="2" customWidth="1"/>
    <col min="5383" max="5383" width="8.44140625" style="2" customWidth="1"/>
    <col min="5384" max="5384" width="11.44140625" style="2" customWidth="1"/>
    <col min="5385" max="5385" width="7.83203125" style="2" customWidth="1"/>
    <col min="5386" max="5386" width="9.44140625" style="2" customWidth="1"/>
    <col min="5387" max="5387" width="8.83203125" style="2" customWidth="1"/>
    <col min="5388" max="5388" width="14.44140625" style="2" customWidth="1"/>
    <col min="5389" max="5389" width="8.83203125" style="2" customWidth="1"/>
    <col min="5390" max="5390" width="12.1640625" style="2" customWidth="1"/>
    <col min="5391" max="5391" width="8.44140625" style="2" customWidth="1"/>
    <col min="5392" max="5393" width="11.44140625" style="2" customWidth="1"/>
    <col min="5394" max="5394" width="11.83203125" style="2" customWidth="1"/>
    <col min="5395" max="5395" width="11.44140625" style="2" customWidth="1"/>
    <col min="5396" max="5396" width="10.44140625" style="2" customWidth="1"/>
    <col min="5397" max="5397" width="11.83203125" style="2" customWidth="1"/>
    <col min="5398" max="5398" width="10.44140625" style="2" customWidth="1"/>
    <col min="5399" max="5399" width="12" style="2" customWidth="1"/>
    <col min="5400" max="5400" width="16.83203125" style="2" customWidth="1"/>
    <col min="5401" max="5401" width="12.44140625" style="2" customWidth="1"/>
    <col min="5402" max="5402" width="9.1640625" style="2" customWidth="1"/>
    <col min="5403" max="5403" width="13" style="2" customWidth="1"/>
    <col min="5404" max="5404" width="12" style="2" customWidth="1"/>
    <col min="5405" max="5405" width="18.44140625" style="2" customWidth="1"/>
    <col min="5406" max="5637" width="11.44140625" style="2"/>
    <col min="5638" max="5638" width="58.44140625" style="2" customWidth="1"/>
    <col min="5639" max="5639" width="8.44140625" style="2" customWidth="1"/>
    <col min="5640" max="5640" width="11.44140625" style="2" customWidth="1"/>
    <col min="5641" max="5641" width="7.83203125" style="2" customWidth="1"/>
    <col min="5642" max="5642" width="9.44140625" style="2" customWidth="1"/>
    <col min="5643" max="5643" width="8.83203125" style="2" customWidth="1"/>
    <col min="5644" max="5644" width="14.44140625" style="2" customWidth="1"/>
    <col min="5645" max="5645" width="8.83203125" style="2" customWidth="1"/>
    <col min="5646" max="5646" width="12.1640625" style="2" customWidth="1"/>
    <col min="5647" max="5647" width="8.44140625" style="2" customWidth="1"/>
    <col min="5648" max="5649" width="11.44140625" style="2" customWidth="1"/>
    <col min="5650" max="5650" width="11.83203125" style="2" customWidth="1"/>
    <col min="5651" max="5651" width="11.44140625" style="2" customWidth="1"/>
    <col min="5652" max="5652" width="10.44140625" style="2" customWidth="1"/>
    <col min="5653" max="5653" width="11.83203125" style="2" customWidth="1"/>
    <col min="5654" max="5654" width="10.44140625" style="2" customWidth="1"/>
    <col min="5655" max="5655" width="12" style="2" customWidth="1"/>
    <col min="5656" max="5656" width="16.83203125" style="2" customWidth="1"/>
    <col min="5657" max="5657" width="12.44140625" style="2" customWidth="1"/>
    <col min="5658" max="5658" width="9.1640625" style="2" customWidth="1"/>
    <col min="5659" max="5659" width="13" style="2" customWidth="1"/>
    <col min="5660" max="5660" width="12" style="2" customWidth="1"/>
    <col min="5661" max="5661" width="18.44140625" style="2" customWidth="1"/>
    <col min="5662" max="5893" width="11.44140625" style="2"/>
    <col min="5894" max="5894" width="58.44140625" style="2" customWidth="1"/>
    <col min="5895" max="5895" width="8.44140625" style="2" customWidth="1"/>
    <col min="5896" max="5896" width="11.44140625" style="2" customWidth="1"/>
    <col min="5897" max="5897" width="7.83203125" style="2" customWidth="1"/>
    <col min="5898" max="5898" width="9.44140625" style="2" customWidth="1"/>
    <col min="5899" max="5899" width="8.83203125" style="2" customWidth="1"/>
    <col min="5900" max="5900" width="14.44140625" style="2" customWidth="1"/>
    <col min="5901" max="5901" width="8.83203125" style="2" customWidth="1"/>
    <col min="5902" max="5902" width="12.1640625" style="2" customWidth="1"/>
    <col min="5903" max="5903" width="8.44140625" style="2" customWidth="1"/>
    <col min="5904" max="5905" width="11.44140625" style="2" customWidth="1"/>
    <col min="5906" max="5906" width="11.83203125" style="2" customWidth="1"/>
    <col min="5907" max="5907" width="11.44140625" style="2" customWidth="1"/>
    <col min="5908" max="5908" width="10.44140625" style="2" customWidth="1"/>
    <col min="5909" max="5909" width="11.83203125" style="2" customWidth="1"/>
    <col min="5910" max="5910" width="10.44140625" style="2" customWidth="1"/>
    <col min="5911" max="5911" width="12" style="2" customWidth="1"/>
    <col min="5912" max="5912" width="16.83203125" style="2" customWidth="1"/>
    <col min="5913" max="5913" width="12.44140625" style="2" customWidth="1"/>
    <col min="5914" max="5914" width="9.1640625" style="2" customWidth="1"/>
    <col min="5915" max="5915" width="13" style="2" customWidth="1"/>
    <col min="5916" max="5916" width="12" style="2" customWidth="1"/>
    <col min="5917" max="5917" width="18.44140625" style="2" customWidth="1"/>
    <col min="5918" max="6149" width="11.44140625" style="2"/>
    <col min="6150" max="6150" width="58.44140625" style="2" customWidth="1"/>
    <col min="6151" max="6151" width="8.44140625" style="2" customWidth="1"/>
    <col min="6152" max="6152" width="11.44140625" style="2" customWidth="1"/>
    <col min="6153" max="6153" width="7.83203125" style="2" customWidth="1"/>
    <col min="6154" max="6154" width="9.44140625" style="2" customWidth="1"/>
    <col min="6155" max="6155" width="8.83203125" style="2" customWidth="1"/>
    <col min="6156" max="6156" width="14.44140625" style="2" customWidth="1"/>
    <col min="6157" max="6157" width="8.83203125" style="2" customWidth="1"/>
    <col min="6158" max="6158" width="12.1640625" style="2" customWidth="1"/>
    <col min="6159" max="6159" width="8.44140625" style="2" customWidth="1"/>
    <col min="6160" max="6161" width="11.44140625" style="2" customWidth="1"/>
    <col min="6162" max="6162" width="11.83203125" style="2" customWidth="1"/>
    <col min="6163" max="6163" width="11.44140625" style="2" customWidth="1"/>
    <col min="6164" max="6164" width="10.44140625" style="2" customWidth="1"/>
    <col min="6165" max="6165" width="11.83203125" style="2" customWidth="1"/>
    <col min="6166" max="6166" width="10.44140625" style="2" customWidth="1"/>
    <col min="6167" max="6167" width="12" style="2" customWidth="1"/>
    <col min="6168" max="6168" width="16.83203125" style="2" customWidth="1"/>
    <col min="6169" max="6169" width="12.44140625" style="2" customWidth="1"/>
    <col min="6170" max="6170" width="9.1640625" style="2" customWidth="1"/>
    <col min="6171" max="6171" width="13" style="2" customWidth="1"/>
    <col min="6172" max="6172" width="12" style="2" customWidth="1"/>
    <col min="6173" max="6173" width="18.44140625" style="2" customWidth="1"/>
    <col min="6174" max="6405" width="11.44140625" style="2"/>
    <col min="6406" max="6406" width="58.44140625" style="2" customWidth="1"/>
    <col min="6407" max="6407" width="8.44140625" style="2" customWidth="1"/>
    <col min="6408" max="6408" width="11.44140625" style="2" customWidth="1"/>
    <col min="6409" max="6409" width="7.83203125" style="2" customWidth="1"/>
    <col min="6410" max="6410" width="9.44140625" style="2" customWidth="1"/>
    <col min="6411" max="6411" width="8.83203125" style="2" customWidth="1"/>
    <col min="6412" max="6412" width="14.44140625" style="2" customWidth="1"/>
    <col min="6413" max="6413" width="8.83203125" style="2" customWidth="1"/>
    <col min="6414" max="6414" width="12.1640625" style="2" customWidth="1"/>
    <col min="6415" max="6415" width="8.44140625" style="2" customWidth="1"/>
    <col min="6416" max="6417" width="11.44140625" style="2" customWidth="1"/>
    <col min="6418" max="6418" width="11.83203125" style="2" customWidth="1"/>
    <col min="6419" max="6419" width="11.44140625" style="2" customWidth="1"/>
    <col min="6420" max="6420" width="10.44140625" style="2" customWidth="1"/>
    <col min="6421" max="6421" width="11.83203125" style="2" customWidth="1"/>
    <col min="6422" max="6422" width="10.44140625" style="2" customWidth="1"/>
    <col min="6423" max="6423" width="12" style="2" customWidth="1"/>
    <col min="6424" max="6424" width="16.83203125" style="2" customWidth="1"/>
    <col min="6425" max="6425" width="12.44140625" style="2" customWidth="1"/>
    <col min="6426" max="6426" width="9.1640625" style="2" customWidth="1"/>
    <col min="6427" max="6427" width="13" style="2" customWidth="1"/>
    <col min="6428" max="6428" width="12" style="2" customWidth="1"/>
    <col min="6429" max="6429" width="18.44140625" style="2" customWidth="1"/>
    <col min="6430" max="6661" width="11.44140625" style="2"/>
    <col min="6662" max="6662" width="58.44140625" style="2" customWidth="1"/>
    <col min="6663" max="6663" width="8.44140625" style="2" customWidth="1"/>
    <col min="6664" max="6664" width="11.44140625" style="2" customWidth="1"/>
    <col min="6665" max="6665" width="7.83203125" style="2" customWidth="1"/>
    <col min="6666" max="6666" width="9.44140625" style="2" customWidth="1"/>
    <col min="6667" max="6667" width="8.83203125" style="2" customWidth="1"/>
    <col min="6668" max="6668" width="14.44140625" style="2" customWidth="1"/>
    <col min="6669" max="6669" width="8.83203125" style="2" customWidth="1"/>
    <col min="6670" max="6670" width="12.1640625" style="2" customWidth="1"/>
    <col min="6671" max="6671" width="8.44140625" style="2" customWidth="1"/>
    <col min="6672" max="6673" width="11.44140625" style="2" customWidth="1"/>
    <col min="6674" max="6674" width="11.83203125" style="2" customWidth="1"/>
    <col min="6675" max="6675" width="11.44140625" style="2" customWidth="1"/>
    <col min="6676" max="6676" width="10.44140625" style="2" customWidth="1"/>
    <col min="6677" max="6677" width="11.83203125" style="2" customWidth="1"/>
    <col min="6678" max="6678" width="10.44140625" style="2" customWidth="1"/>
    <col min="6679" max="6679" width="12" style="2" customWidth="1"/>
    <col min="6680" max="6680" width="16.83203125" style="2" customWidth="1"/>
    <col min="6681" max="6681" width="12.44140625" style="2" customWidth="1"/>
    <col min="6682" max="6682" width="9.1640625" style="2" customWidth="1"/>
    <col min="6683" max="6683" width="13" style="2" customWidth="1"/>
    <col min="6684" max="6684" width="12" style="2" customWidth="1"/>
    <col min="6685" max="6685" width="18.44140625" style="2" customWidth="1"/>
    <col min="6686" max="6917" width="11.44140625" style="2"/>
    <col min="6918" max="6918" width="58.44140625" style="2" customWidth="1"/>
    <col min="6919" max="6919" width="8.44140625" style="2" customWidth="1"/>
    <col min="6920" max="6920" width="11.44140625" style="2" customWidth="1"/>
    <col min="6921" max="6921" width="7.83203125" style="2" customWidth="1"/>
    <col min="6922" max="6922" width="9.44140625" style="2" customWidth="1"/>
    <col min="6923" max="6923" width="8.83203125" style="2" customWidth="1"/>
    <col min="6924" max="6924" width="14.44140625" style="2" customWidth="1"/>
    <col min="6925" max="6925" width="8.83203125" style="2" customWidth="1"/>
    <col min="6926" max="6926" width="12.1640625" style="2" customWidth="1"/>
    <col min="6927" max="6927" width="8.44140625" style="2" customWidth="1"/>
    <col min="6928" max="6929" width="11.44140625" style="2" customWidth="1"/>
    <col min="6930" max="6930" width="11.83203125" style="2" customWidth="1"/>
    <col min="6931" max="6931" width="11.44140625" style="2" customWidth="1"/>
    <col min="6932" max="6932" width="10.44140625" style="2" customWidth="1"/>
    <col min="6933" max="6933" width="11.83203125" style="2" customWidth="1"/>
    <col min="6934" max="6934" width="10.44140625" style="2" customWidth="1"/>
    <col min="6935" max="6935" width="12" style="2" customWidth="1"/>
    <col min="6936" max="6936" width="16.83203125" style="2" customWidth="1"/>
    <col min="6937" max="6937" width="12.44140625" style="2" customWidth="1"/>
    <col min="6938" max="6938" width="9.1640625" style="2" customWidth="1"/>
    <col min="6939" max="6939" width="13" style="2" customWidth="1"/>
    <col min="6940" max="6940" width="12" style="2" customWidth="1"/>
    <col min="6941" max="6941" width="18.44140625" style="2" customWidth="1"/>
    <col min="6942" max="7173" width="11.44140625" style="2"/>
    <col min="7174" max="7174" width="58.44140625" style="2" customWidth="1"/>
    <col min="7175" max="7175" width="8.44140625" style="2" customWidth="1"/>
    <col min="7176" max="7176" width="11.44140625" style="2" customWidth="1"/>
    <col min="7177" max="7177" width="7.83203125" style="2" customWidth="1"/>
    <col min="7178" max="7178" width="9.44140625" style="2" customWidth="1"/>
    <col min="7179" max="7179" width="8.83203125" style="2" customWidth="1"/>
    <col min="7180" max="7180" width="14.44140625" style="2" customWidth="1"/>
    <col min="7181" max="7181" width="8.83203125" style="2" customWidth="1"/>
    <col min="7182" max="7182" width="12.1640625" style="2" customWidth="1"/>
    <col min="7183" max="7183" width="8.44140625" style="2" customWidth="1"/>
    <col min="7184" max="7185" width="11.44140625" style="2" customWidth="1"/>
    <col min="7186" max="7186" width="11.83203125" style="2" customWidth="1"/>
    <col min="7187" max="7187" width="11.44140625" style="2" customWidth="1"/>
    <col min="7188" max="7188" width="10.44140625" style="2" customWidth="1"/>
    <col min="7189" max="7189" width="11.83203125" style="2" customWidth="1"/>
    <col min="7190" max="7190" width="10.44140625" style="2" customWidth="1"/>
    <col min="7191" max="7191" width="12" style="2" customWidth="1"/>
    <col min="7192" max="7192" width="16.83203125" style="2" customWidth="1"/>
    <col min="7193" max="7193" width="12.44140625" style="2" customWidth="1"/>
    <col min="7194" max="7194" width="9.1640625" style="2" customWidth="1"/>
    <col min="7195" max="7195" width="13" style="2" customWidth="1"/>
    <col min="7196" max="7196" width="12" style="2" customWidth="1"/>
    <col min="7197" max="7197" width="18.44140625" style="2" customWidth="1"/>
    <col min="7198" max="7429" width="11.44140625" style="2"/>
    <col min="7430" max="7430" width="58.44140625" style="2" customWidth="1"/>
    <col min="7431" max="7431" width="8.44140625" style="2" customWidth="1"/>
    <col min="7432" max="7432" width="11.44140625" style="2" customWidth="1"/>
    <col min="7433" max="7433" width="7.83203125" style="2" customWidth="1"/>
    <col min="7434" max="7434" width="9.44140625" style="2" customWidth="1"/>
    <col min="7435" max="7435" width="8.83203125" style="2" customWidth="1"/>
    <col min="7436" max="7436" width="14.44140625" style="2" customWidth="1"/>
    <col min="7437" max="7437" width="8.83203125" style="2" customWidth="1"/>
    <col min="7438" max="7438" width="12.1640625" style="2" customWidth="1"/>
    <col min="7439" max="7439" width="8.44140625" style="2" customWidth="1"/>
    <col min="7440" max="7441" width="11.44140625" style="2" customWidth="1"/>
    <col min="7442" max="7442" width="11.83203125" style="2" customWidth="1"/>
    <col min="7443" max="7443" width="11.44140625" style="2" customWidth="1"/>
    <col min="7444" max="7444" width="10.44140625" style="2" customWidth="1"/>
    <col min="7445" max="7445" width="11.83203125" style="2" customWidth="1"/>
    <col min="7446" max="7446" width="10.44140625" style="2" customWidth="1"/>
    <col min="7447" max="7447" width="12" style="2" customWidth="1"/>
    <col min="7448" max="7448" width="16.83203125" style="2" customWidth="1"/>
    <col min="7449" max="7449" width="12.44140625" style="2" customWidth="1"/>
    <col min="7450" max="7450" width="9.1640625" style="2" customWidth="1"/>
    <col min="7451" max="7451" width="13" style="2" customWidth="1"/>
    <col min="7452" max="7452" width="12" style="2" customWidth="1"/>
    <col min="7453" max="7453" width="18.44140625" style="2" customWidth="1"/>
    <col min="7454" max="7685" width="11.44140625" style="2"/>
    <col min="7686" max="7686" width="58.44140625" style="2" customWidth="1"/>
    <col min="7687" max="7687" width="8.44140625" style="2" customWidth="1"/>
    <col min="7688" max="7688" width="11.44140625" style="2" customWidth="1"/>
    <col min="7689" max="7689" width="7.83203125" style="2" customWidth="1"/>
    <col min="7690" max="7690" width="9.44140625" style="2" customWidth="1"/>
    <col min="7691" max="7691" width="8.83203125" style="2" customWidth="1"/>
    <col min="7692" max="7692" width="14.44140625" style="2" customWidth="1"/>
    <col min="7693" max="7693" width="8.83203125" style="2" customWidth="1"/>
    <col min="7694" max="7694" width="12.1640625" style="2" customWidth="1"/>
    <col min="7695" max="7695" width="8.44140625" style="2" customWidth="1"/>
    <col min="7696" max="7697" width="11.44140625" style="2" customWidth="1"/>
    <col min="7698" max="7698" width="11.83203125" style="2" customWidth="1"/>
    <col min="7699" max="7699" width="11.44140625" style="2" customWidth="1"/>
    <col min="7700" max="7700" width="10.44140625" style="2" customWidth="1"/>
    <col min="7701" max="7701" width="11.83203125" style="2" customWidth="1"/>
    <col min="7702" max="7702" width="10.44140625" style="2" customWidth="1"/>
    <col min="7703" max="7703" width="12" style="2" customWidth="1"/>
    <col min="7704" max="7704" width="16.83203125" style="2" customWidth="1"/>
    <col min="7705" max="7705" width="12.44140625" style="2" customWidth="1"/>
    <col min="7706" max="7706" width="9.1640625" style="2" customWidth="1"/>
    <col min="7707" max="7707" width="13" style="2" customWidth="1"/>
    <col min="7708" max="7708" width="12" style="2" customWidth="1"/>
    <col min="7709" max="7709" width="18.44140625" style="2" customWidth="1"/>
    <col min="7710" max="7941" width="11.44140625" style="2"/>
    <col min="7942" max="7942" width="58.44140625" style="2" customWidth="1"/>
    <col min="7943" max="7943" width="8.44140625" style="2" customWidth="1"/>
    <col min="7944" max="7944" width="11.44140625" style="2" customWidth="1"/>
    <col min="7945" max="7945" width="7.83203125" style="2" customWidth="1"/>
    <col min="7946" max="7946" width="9.44140625" style="2" customWidth="1"/>
    <col min="7947" max="7947" width="8.83203125" style="2" customWidth="1"/>
    <col min="7948" max="7948" width="14.44140625" style="2" customWidth="1"/>
    <col min="7949" max="7949" width="8.83203125" style="2" customWidth="1"/>
    <col min="7950" max="7950" width="12.1640625" style="2" customWidth="1"/>
    <col min="7951" max="7951" width="8.44140625" style="2" customWidth="1"/>
    <col min="7952" max="7953" width="11.44140625" style="2" customWidth="1"/>
    <col min="7954" max="7954" width="11.83203125" style="2" customWidth="1"/>
    <col min="7955" max="7955" width="11.44140625" style="2" customWidth="1"/>
    <col min="7956" max="7956" width="10.44140625" style="2" customWidth="1"/>
    <col min="7957" max="7957" width="11.83203125" style="2" customWidth="1"/>
    <col min="7958" max="7958" width="10.44140625" style="2" customWidth="1"/>
    <col min="7959" max="7959" width="12" style="2" customWidth="1"/>
    <col min="7960" max="7960" width="16.83203125" style="2" customWidth="1"/>
    <col min="7961" max="7961" width="12.44140625" style="2" customWidth="1"/>
    <col min="7962" max="7962" width="9.1640625" style="2" customWidth="1"/>
    <col min="7963" max="7963" width="13" style="2" customWidth="1"/>
    <col min="7964" max="7964" width="12" style="2" customWidth="1"/>
    <col min="7965" max="7965" width="18.44140625" style="2" customWidth="1"/>
    <col min="7966" max="8197" width="11.44140625" style="2"/>
    <col min="8198" max="8198" width="58.44140625" style="2" customWidth="1"/>
    <col min="8199" max="8199" width="8.44140625" style="2" customWidth="1"/>
    <col min="8200" max="8200" width="11.44140625" style="2" customWidth="1"/>
    <col min="8201" max="8201" width="7.83203125" style="2" customWidth="1"/>
    <col min="8202" max="8202" width="9.44140625" style="2" customWidth="1"/>
    <col min="8203" max="8203" width="8.83203125" style="2" customWidth="1"/>
    <col min="8204" max="8204" width="14.44140625" style="2" customWidth="1"/>
    <col min="8205" max="8205" width="8.83203125" style="2" customWidth="1"/>
    <col min="8206" max="8206" width="12.1640625" style="2" customWidth="1"/>
    <col min="8207" max="8207" width="8.44140625" style="2" customWidth="1"/>
    <col min="8208" max="8209" width="11.44140625" style="2" customWidth="1"/>
    <col min="8210" max="8210" width="11.83203125" style="2" customWidth="1"/>
    <col min="8211" max="8211" width="11.44140625" style="2" customWidth="1"/>
    <col min="8212" max="8212" width="10.44140625" style="2" customWidth="1"/>
    <col min="8213" max="8213" width="11.83203125" style="2" customWidth="1"/>
    <col min="8214" max="8214" width="10.44140625" style="2" customWidth="1"/>
    <col min="8215" max="8215" width="12" style="2" customWidth="1"/>
    <col min="8216" max="8216" width="16.83203125" style="2" customWidth="1"/>
    <col min="8217" max="8217" width="12.44140625" style="2" customWidth="1"/>
    <col min="8218" max="8218" width="9.1640625" style="2" customWidth="1"/>
    <col min="8219" max="8219" width="13" style="2" customWidth="1"/>
    <col min="8220" max="8220" width="12" style="2" customWidth="1"/>
    <col min="8221" max="8221" width="18.44140625" style="2" customWidth="1"/>
    <col min="8222" max="8453" width="11.44140625" style="2"/>
    <col min="8454" max="8454" width="58.44140625" style="2" customWidth="1"/>
    <col min="8455" max="8455" width="8.44140625" style="2" customWidth="1"/>
    <col min="8456" max="8456" width="11.44140625" style="2" customWidth="1"/>
    <col min="8457" max="8457" width="7.83203125" style="2" customWidth="1"/>
    <col min="8458" max="8458" width="9.44140625" style="2" customWidth="1"/>
    <col min="8459" max="8459" width="8.83203125" style="2" customWidth="1"/>
    <col min="8460" max="8460" width="14.44140625" style="2" customWidth="1"/>
    <col min="8461" max="8461" width="8.83203125" style="2" customWidth="1"/>
    <col min="8462" max="8462" width="12.1640625" style="2" customWidth="1"/>
    <col min="8463" max="8463" width="8.44140625" style="2" customWidth="1"/>
    <col min="8464" max="8465" width="11.44140625" style="2" customWidth="1"/>
    <col min="8466" max="8466" width="11.83203125" style="2" customWidth="1"/>
    <col min="8467" max="8467" width="11.44140625" style="2" customWidth="1"/>
    <col min="8468" max="8468" width="10.44140625" style="2" customWidth="1"/>
    <col min="8469" max="8469" width="11.83203125" style="2" customWidth="1"/>
    <col min="8470" max="8470" width="10.44140625" style="2" customWidth="1"/>
    <col min="8471" max="8471" width="12" style="2" customWidth="1"/>
    <col min="8472" max="8472" width="16.83203125" style="2" customWidth="1"/>
    <col min="8473" max="8473" width="12.44140625" style="2" customWidth="1"/>
    <col min="8474" max="8474" width="9.1640625" style="2" customWidth="1"/>
    <col min="8475" max="8475" width="13" style="2" customWidth="1"/>
    <col min="8476" max="8476" width="12" style="2" customWidth="1"/>
    <col min="8477" max="8477" width="18.44140625" style="2" customWidth="1"/>
    <col min="8478" max="8709" width="11.44140625" style="2"/>
    <col min="8710" max="8710" width="58.44140625" style="2" customWidth="1"/>
    <col min="8711" max="8711" width="8.44140625" style="2" customWidth="1"/>
    <col min="8712" max="8712" width="11.44140625" style="2" customWidth="1"/>
    <col min="8713" max="8713" width="7.83203125" style="2" customWidth="1"/>
    <col min="8714" max="8714" width="9.44140625" style="2" customWidth="1"/>
    <col min="8715" max="8715" width="8.83203125" style="2" customWidth="1"/>
    <col min="8716" max="8716" width="14.44140625" style="2" customWidth="1"/>
    <col min="8717" max="8717" width="8.83203125" style="2" customWidth="1"/>
    <col min="8718" max="8718" width="12.1640625" style="2" customWidth="1"/>
    <col min="8719" max="8719" width="8.44140625" style="2" customWidth="1"/>
    <col min="8720" max="8721" width="11.44140625" style="2" customWidth="1"/>
    <col min="8722" max="8722" width="11.83203125" style="2" customWidth="1"/>
    <col min="8723" max="8723" width="11.44140625" style="2" customWidth="1"/>
    <col min="8724" max="8724" width="10.44140625" style="2" customWidth="1"/>
    <col min="8725" max="8725" width="11.83203125" style="2" customWidth="1"/>
    <col min="8726" max="8726" width="10.44140625" style="2" customWidth="1"/>
    <col min="8727" max="8727" width="12" style="2" customWidth="1"/>
    <col min="8728" max="8728" width="16.83203125" style="2" customWidth="1"/>
    <col min="8729" max="8729" width="12.44140625" style="2" customWidth="1"/>
    <col min="8730" max="8730" width="9.1640625" style="2" customWidth="1"/>
    <col min="8731" max="8731" width="13" style="2" customWidth="1"/>
    <col min="8732" max="8732" width="12" style="2" customWidth="1"/>
    <col min="8733" max="8733" width="18.44140625" style="2" customWidth="1"/>
    <col min="8734" max="8965" width="11.44140625" style="2"/>
    <col min="8966" max="8966" width="58.44140625" style="2" customWidth="1"/>
    <col min="8967" max="8967" width="8.44140625" style="2" customWidth="1"/>
    <col min="8968" max="8968" width="11.44140625" style="2" customWidth="1"/>
    <col min="8969" max="8969" width="7.83203125" style="2" customWidth="1"/>
    <col min="8970" max="8970" width="9.44140625" style="2" customWidth="1"/>
    <col min="8971" max="8971" width="8.83203125" style="2" customWidth="1"/>
    <col min="8972" max="8972" width="14.44140625" style="2" customWidth="1"/>
    <col min="8973" max="8973" width="8.83203125" style="2" customWidth="1"/>
    <col min="8974" max="8974" width="12.1640625" style="2" customWidth="1"/>
    <col min="8975" max="8975" width="8.44140625" style="2" customWidth="1"/>
    <col min="8976" max="8977" width="11.44140625" style="2" customWidth="1"/>
    <col min="8978" max="8978" width="11.83203125" style="2" customWidth="1"/>
    <col min="8979" max="8979" width="11.44140625" style="2" customWidth="1"/>
    <col min="8980" max="8980" width="10.44140625" style="2" customWidth="1"/>
    <col min="8981" max="8981" width="11.83203125" style="2" customWidth="1"/>
    <col min="8982" max="8982" width="10.44140625" style="2" customWidth="1"/>
    <col min="8983" max="8983" width="12" style="2" customWidth="1"/>
    <col min="8984" max="8984" width="16.83203125" style="2" customWidth="1"/>
    <col min="8985" max="8985" width="12.44140625" style="2" customWidth="1"/>
    <col min="8986" max="8986" width="9.1640625" style="2" customWidth="1"/>
    <col min="8987" max="8987" width="13" style="2" customWidth="1"/>
    <col min="8988" max="8988" width="12" style="2" customWidth="1"/>
    <col min="8989" max="8989" width="18.44140625" style="2" customWidth="1"/>
    <col min="8990" max="9221" width="11.44140625" style="2"/>
    <col min="9222" max="9222" width="58.44140625" style="2" customWidth="1"/>
    <col min="9223" max="9223" width="8.44140625" style="2" customWidth="1"/>
    <col min="9224" max="9224" width="11.44140625" style="2" customWidth="1"/>
    <col min="9225" max="9225" width="7.83203125" style="2" customWidth="1"/>
    <col min="9226" max="9226" width="9.44140625" style="2" customWidth="1"/>
    <col min="9227" max="9227" width="8.83203125" style="2" customWidth="1"/>
    <col min="9228" max="9228" width="14.44140625" style="2" customWidth="1"/>
    <col min="9229" max="9229" width="8.83203125" style="2" customWidth="1"/>
    <col min="9230" max="9230" width="12.1640625" style="2" customWidth="1"/>
    <col min="9231" max="9231" width="8.44140625" style="2" customWidth="1"/>
    <col min="9232" max="9233" width="11.44140625" style="2" customWidth="1"/>
    <col min="9234" max="9234" width="11.83203125" style="2" customWidth="1"/>
    <col min="9235" max="9235" width="11.44140625" style="2" customWidth="1"/>
    <col min="9236" max="9236" width="10.44140625" style="2" customWidth="1"/>
    <col min="9237" max="9237" width="11.83203125" style="2" customWidth="1"/>
    <col min="9238" max="9238" width="10.44140625" style="2" customWidth="1"/>
    <col min="9239" max="9239" width="12" style="2" customWidth="1"/>
    <col min="9240" max="9240" width="16.83203125" style="2" customWidth="1"/>
    <col min="9241" max="9241" width="12.44140625" style="2" customWidth="1"/>
    <col min="9242" max="9242" width="9.1640625" style="2" customWidth="1"/>
    <col min="9243" max="9243" width="13" style="2" customWidth="1"/>
    <col min="9244" max="9244" width="12" style="2" customWidth="1"/>
    <col min="9245" max="9245" width="18.44140625" style="2" customWidth="1"/>
    <col min="9246" max="9477" width="11.44140625" style="2"/>
    <col min="9478" max="9478" width="58.44140625" style="2" customWidth="1"/>
    <col min="9479" max="9479" width="8.44140625" style="2" customWidth="1"/>
    <col min="9480" max="9480" width="11.44140625" style="2" customWidth="1"/>
    <col min="9481" max="9481" width="7.83203125" style="2" customWidth="1"/>
    <col min="9482" max="9482" width="9.44140625" style="2" customWidth="1"/>
    <col min="9483" max="9483" width="8.83203125" style="2" customWidth="1"/>
    <col min="9484" max="9484" width="14.44140625" style="2" customWidth="1"/>
    <col min="9485" max="9485" width="8.83203125" style="2" customWidth="1"/>
    <col min="9486" max="9486" width="12.1640625" style="2" customWidth="1"/>
    <col min="9487" max="9487" width="8.44140625" style="2" customWidth="1"/>
    <col min="9488" max="9489" width="11.44140625" style="2" customWidth="1"/>
    <col min="9490" max="9490" width="11.83203125" style="2" customWidth="1"/>
    <col min="9491" max="9491" width="11.44140625" style="2" customWidth="1"/>
    <col min="9492" max="9492" width="10.44140625" style="2" customWidth="1"/>
    <col min="9493" max="9493" width="11.83203125" style="2" customWidth="1"/>
    <col min="9494" max="9494" width="10.44140625" style="2" customWidth="1"/>
    <col min="9495" max="9495" width="12" style="2" customWidth="1"/>
    <col min="9496" max="9496" width="16.83203125" style="2" customWidth="1"/>
    <col min="9497" max="9497" width="12.44140625" style="2" customWidth="1"/>
    <col min="9498" max="9498" width="9.1640625" style="2" customWidth="1"/>
    <col min="9499" max="9499" width="13" style="2" customWidth="1"/>
    <col min="9500" max="9500" width="12" style="2" customWidth="1"/>
    <col min="9501" max="9501" width="18.44140625" style="2" customWidth="1"/>
    <col min="9502" max="9733" width="11.44140625" style="2"/>
    <col min="9734" max="9734" width="58.44140625" style="2" customWidth="1"/>
    <col min="9735" max="9735" width="8.44140625" style="2" customWidth="1"/>
    <col min="9736" max="9736" width="11.44140625" style="2" customWidth="1"/>
    <col min="9737" max="9737" width="7.83203125" style="2" customWidth="1"/>
    <col min="9738" max="9738" width="9.44140625" style="2" customWidth="1"/>
    <col min="9739" max="9739" width="8.83203125" style="2" customWidth="1"/>
    <col min="9740" max="9740" width="14.44140625" style="2" customWidth="1"/>
    <col min="9741" max="9741" width="8.83203125" style="2" customWidth="1"/>
    <col min="9742" max="9742" width="12.1640625" style="2" customWidth="1"/>
    <col min="9743" max="9743" width="8.44140625" style="2" customWidth="1"/>
    <col min="9744" max="9745" width="11.44140625" style="2" customWidth="1"/>
    <col min="9746" max="9746" width="11.83203125" style="2" customWidth="1"/>
    <col min="9747" max="9747" width="11.44140625" style="2" customWidth="1"/>
    <col min="9748" max="9748" width="10.44140625" style="2" customWidth="1"/>
    <col min="9749" max="9749" width="11.83203125" style="2" customWidth="1"/>
    <col min="9750" max="9750" width="10.44140625" style="2" customWidth="1"/>
    <col min="9751" max="9751" width="12" style="2" customWidth="1"/>
    <col min="9752" max="9752" width="16.83203125" style="2" customWidth="1"/>
    <col min="9753" max="9753" width="12.44140625" style="2" customWidth="1"/>
    <col min="9754" max="9754" width="9.1640625" style="2" customWidth="1"/>
    <col min="9755" max="9755" width="13" style="2" customWidth="1"/>
    <col min="9756" max="9756" width="12" style="2" customWidth="1"/>
    <col min="9757" max="9757" width="18.44140625" style="2" customWidth="1"/>
    <col min="9758" max="9989" width="11.44140625" style="2"/>
    <col min="9990" max="9990" width="58.44140625" style="2" customWidth="1"/>
    <col min="9991" max="9991" width="8.44140625" style="2" customWidth="1"/>
    <col min="9992" max="9992" width="11.44140625" style="2" customWidth="1"/>
    <col min="9993" max="9993" width="7.83203125" style="2" customWidth="1"/>
    <col min="9994" max="9994" width="9.44140625" style="2" customWidth="1"/>
    <col min="9995" max="9995" width="8.83203125" style="2" customWidth="1"/>
    <col min="9996" max="9996" width="14.44140625" style="2" customWidth="1"/>
    <col min="9997" max="9997" width="8.83203125" style="2" customWidth="1"/>
    <col min="9998" max="9998" width="12.1640625" style="2" customWidth="1"/>
    <col min="9999" max="9999" width="8.44140625" style="2" customWidth="1"/>
    <col min="10000" max="10001" width="11.44140625" style="2" customWidth="1"/>
    <col min="10002" max="10002" width="11.83203125" style="2" customWidth="1"/>
    <col min="10003" max="10003" width="11.44140625" style="2" customWidth="1"/>
    <col min="10004" max="10004" width="10.44140625" style="2" customWidth="1"/>
    <col min="10005" max="10005" width="11.83203125" style="2" customWidth="1"/>
    <col min="10006" max="10006" width="10.44140625" style="2" customWidth="1"/>
    <col min="10007" max="10007" width="12" style="2" customWidth="1"/>
    <col min="10008" max="10008" width="16.83203125" style="2" customWidth="1"/>
    <col min="10009" max="10009" width="12.44140625" style="2" customWidth="1"/>
    <col min="10010" max="10010" width="9.1640625" style="2" customWidth="1"/>
    <col min="10011" max="10011" width="13" style="2" customWidth="1"/>
    <col min="10012" max="10012" width="12" style="2" customWidth="1"/>
    <col min="10013" max="10013" width="18.44140625" style="2" customWidth="1"/>
    <col min="10014" max="10245" width="11.44140625" style="2"/>
    <col min="10246" max="10246" width="58.44140625" style="2" customWidth="1"/>
    <col min="10247" max="10247" width="8.44140625" style="2" customWidth="1"/>
    <col min="10248" max="10248" width="11.44140625" style="2" customWidth="1"/>
    <col min="10249" max="10249" width="7.83203125" style="2" customWidth="1"/>
    <col min="10250" max="10250" width="9.44140625" style="2" customWidth="1"/>
    <col min="10251" max="10251" width="8.83203125" style="2" customWidth="1"/>
    <col min="10252" max="10252" width="14.44140625" style="2" customWidth="1"/>
    <col min="10253" max="10253" width="8.83203125" style="2" customWidth="1"/>
    <col min="10254" max="10254" width="12.1640625" style="2" customWidth="1"/>
    <col min="10255" max="10255" width="8.44140625" style="2" customWidth="1"/>
    <col min="10256" max="10257" width="11.44140625" style="2" customWidth="1"/>
    <col min="10258" max="10258" width="11.83203125" style="2" customWidth="1"/>
    <col min="10259" max="10259" width="11.44140625" style="2" customWidth="1"/>
    <col min="10260" max="10260" width="10.44140625" style="2" customWidth="1"/>
    <col min="10261" max="10261" width="11.83203125" style="2" customWidth="1"/>
    <col min="10262" max="10262" width="10.44140625" style="2" customWidth="1"/>
    <col min="10263" max="10263" width="12" style="2" customWidth="1"/>
    <col min="10264" max="10264" width="16.83203125" style="2" customWidth="1"/>
    <col min="10265" max="10265" width="12.44140625" style="2" customWidth="1"/>
    <col min="10266" max="10266" width="9.1640625" style="2" customWidth="1"/>
    <col min="10267" max="10267" width="13" style="2" customWidth="1"/>
    <col min="10268" max="10268" width="12" style="2" customWidth="1"/>
    <col min="10269" max="10269" width="18.44140625" style="2" customWidth="1"/>
    <col min="10270" max="10501" width="11.44140625" style="2"/>
    <col min="10502" max="10502" width="58.44140625" style="2" customWidth="1"/>
    <col min="10503" max="10503" width="8.44140625" style="2" customWidth="1"/>
    <col min="10504" max="10504" width="11.44140625" style="2" customWidth="1"/>
    <col min="10505" max="10505" width="7.83203125" style="2" customWidth="1"/>
    <col min="10506" max="10506" width="9.44140625" style="2" customWidth="1"/>
    <col min="10507" max="10507" width="8.83203125" style="2" customWidth="1"/>
    <col min="10508" max="10508" width="14.44140625" style="2" customWidth="1"/>
    <col min="10509" max="10509" width="8.83203125" style="2" customWidth="1"/>
    <col min="10510" max="10510" width="12.1640625" style="2" customWidth="1"/>
    <col min="10511" max="10511" width="8.44140625" style="2" customWidth="1"/>
    <col min="10512" max="10513" width="11.44140625" style="2" customWidth="1"/>
    <col min="10514" max="10514" width="11.83203125" style="2" customWidth="1"/>
    <col min="10515" max="10515" width="11.44140625" style="2" customWidth="1"/>
    <col min="10516" max="10516" width="10.44140625" style="2" customWidth="1"/>
    <col min="10517" max="10517" width="11.83203125" style="2" customWidth="1"/>
    <col min="10518" max="10518" width="10.44140625" style="2" customWidth="1"/>
    <col min="10519" max="10519" width="12" style="2" customWidth="1"/>
    <col min="10520" max="10520" width="16.83203125" style="2" customWidth="1"/>
    <col min="10521" max="10521" width="12.44140625" style="2" customWidth="1"/>
    <col min="10522" max="10522" width="9.1640625" style="2" customWidth="1"/>
    <col min="10523" max="10523" width="13" style="2" customWidth="1"/>
    <col min="10524" max="10524" width="12" style="2" customWidth="1"/>
    <col min="10525" max="10525" width="18.44140625" style="2" customWidth="1"/>
    <col min="10526" max="10757" width="11.44140625" style="2"/>
    <col min="10758" max="10758" width="58.44140625" style="2" customWidth="1"/>
    <col min="10759" max="10759" width="8.44140625" style="2" customWidth="1"/>
    <col min="10760" max="10760" width="11.44140625" style="2" customWidth="1"/>
    <col min="10761" max="10761" width="7.83203125" style="2" customWidth="1"/>
    <col min="10762" max="10762" width="9.44140625" style="2" customWidth="1"/>
    <col min="10763" max="10763" width="8.83203125" style="2" customWidth="1"/>
    <col min="10764" max="10764" width="14.44140625" style="2" customWidth="1"/>
    <col min="10765" max="10765" width="8.83203125" style="2" customWidth="1"/>
    <col min="10766" max="10766" width="12.1640625" style="2" customWidth="1"/>
    <col min="10767" max="10767" width="8.44140625" style="2" customWidth="1"/>
    <col min="10768" max="10769" width="11.44140625" style="2" customWidth="1"/>
    <col min="10770" max="10770" width="11.83203125" style="2" customWidth="1"/>
    <col min="10771" max="10771" width="11.44140625" style="2" customWidth="1"/>
    <col min="10772" max="10772" width="10.44140625" style="2" customWidth="1"/>
    <col min="10773" max="10773" width="11.83203125" style="2" customWidth="1"/>
    <col min="10774" max="10774" width="10.44140625" style="2" customWidth="1"/>
    <col min="10775" max="10775" width="12" style="2" customWidth="1"/>
    <col min="10776" max="10776" width="16.83203125" style="2" customWidth="1"/>
    <col min="10777" max="10777" width="12.44140625" style="2" customWidth="1"/>
    <col min="10778" max="10778" width="9.1640625" style="2" customWidth="1"/>
    <col min="10779" max="10779" width="13" style="2" customWidth="1"/>
    <col min="10780" max="10780" width="12" style="2" customWidth="1"/>
    <col min="10781" max="10781" width="18.44140625" style="2" customWidth="1"/>
    <col min="10782" max="11013" width="11.44140625" style="2"/>
    <col min="11014" max="11014" width="58.44140625" style="2" customWidth="1"/>
    <col min="11015" max="11015" width="8.44140625" style="2" customWidth="1"/>
    <col min="11016" max="11016" width="11.44140625" style="2" customWidth="1"/>
    <col min="11017" max="11017" width="7.83203125" style="2" customWidth="1"/>
    <col min="11018" max="11018" width="9.44140625" style="2" customWidth="1"/>
    <col min="11019" max="11019" width="8.83203125" style="2" customWidth="1"/>
    <col min="11020" max="11020" width="14.44140625" style="2" customWidth="1"/>
    <col min="11021" max="11021" width="8.83203125" style="2" customWidth="1"/>
    <col min="11022" max="11022" width="12.1640625" style="2" customWidth="1"/>
    <col min="11023" max="11023" width="8.44140625" style="2" customWidth="1"/>
    <col min="11024" max="11025" width="11.44140625" style="2" customWidth="1"/>
    <col min="11026" max="11026" width="11.83203125" style="2" customWidth="1"/>
    <col min="11027" max="11027" width="11.44140625" style="2" customWidth="1"/>
    <col min="11028" max="11028" width="10.44140625" style="2" customWidth="1"/>
    <col min="11029" max="11029" width="11.83203125" style="2" customWidth="1"/>
    <col min="11030" max="11030" width="10.44140625" style="2" customWidth="1"/>
    <col min="11031" max="11031" width="12" style="2" customWidth="1"/>
    <col min="11032" max="11032" width="16.83203125" style="2" customWidth="1"/>
    <col min="11033" max="11033" width="12.44140625" style="2" customWidth="1"/>
    <col min="11034" max="11034" width="9.1640625" style="2" customWidth="1"/>
    <col min="11035" max="11035" width="13" style="2" customWidth="1"/>
    <col min="11036" max="11036" width="12" style="2" customWidth="1"/>
    <col min="11037" max="11037" width="18.44140625" style="2" customWidth="1"/>
    <col min="11038" max="11269" width="11.44140625" style="2"/>
    <col min="11270" max="11270" width="58.44140625" style="2" customWidth="1"/>
    <col min="11271" max="11271" width="8.44140625" style="2" customWidth="1"/>
    <col min="11272" max="11272" width="11.44140625" style="2" customWidth="1"/>
    <col min="11273" max="11273" width="7.83203125" style="2" customWidth="1"/>
    <col min="11274" max="11274" width="9.44140625" style="2" customWidth="1"/>
    <col min="11275" max="11275" width="8.83203125" style="2" customWidth="1"/>
    <col min="11276" max="11276" width="14.44140625" style="2" customWidth="1"/>
    <col min="11277" max="11277" width="8.83203125" style="2" customWidth="1"/>
    <col min="11278" max="11278" width="12.1640625" style="2" customWidth="1"/>
    <col min="11279" max="11279" width="8.44140625" style="2" customWidth="1"/>
    <col min="11280" max="11281" width="11.44140625" style="2" customWidth="1"/>
    <col min="11282" max="11282" width="11.83203125" style="2" customWidth="1"/>
    <col min="11283" max="11283" width="11.44140625" style="2" customWidth="1"/>
    <col min="11284" max="11284" width="10.44140625" style="2" customWidth="1"/>
    <col min="11285" max="11285" width="11.83203125" style="2" customWidth="1"/>
    <col min="11286" max="11286" width="10.44140625" style="2" customWidth="1"/>
    <col min="11287" max="11287" width="12" style="2" customWidth="1"/>
    <col min="11288" max="11288" width="16.83203125" style="2" customWidth="1"/>
    <col min="11289" max="11289" width="12.44140625" style="2" customWidth="1"/>
    <col min="11290" max="11290" width="9.1640625" style="2" customWidth="1"/>
    <col min="11291" max="11291" width="13" style="2" customWidth="1"/>
    <col min="11292" max="11292" width="12" style="2" customWidth="1"/>
    <col min="11293" max="11293" width="18.44140625" style="2" customWidth="1"/>
    <col min="11294" max="11525" width="11.44140625" style="2"/>
    <col min="11526" max="11526" width="58.44140625" style="2" customWidth="1"/>
    <col min="11527" max="11527" width="8.44140625" style="2" customWidth="1"/>
    <col min="11528" max="11528" width="11.44140625" style="2" customWidth="1"/>
    <col min="11529" max="11529" width="7.83203125" style="2" customWidth="1"/>
    <col min="11530" max="11530" width="9.44140625" style="2" customWidth="1"/>
    <col min="11531" max="11531" width="8.83203125" style="2" customWidth="1"/>
    <col min="11532" max="11532" width="14.44140625" style="2" customWidth="1"/>
    <col min="11533" max="11533" width="8.83203125" style="2" customWidth="1"/>
    <col min="11534" max="11534" width="12.1640625" style="2" customWidth="1"/>
    <col min="11535" max="11535" width="8.44140625" style="2" customWidth="1"/>
    <col min="11536" max="11537" width="11.44140625" style="2" customWidth="1"/>
    <col min="11538" max="11538" width="11.83203125" style="2" customWidth="1"/>
    <col min="11539" max="11539" width="11.44140625" style="2" customWidth="1"/>
    <col min="11540" max="11540" width="10.44140625" style="2" customWidth="1"/>
    <col min="11541" max="11541" width="11.83203125" style="2" customWidth="1"/>
    <col min="11542" max="11542" width="10.44140625" style="2" customWidth="1"/>
    <col min="11543" max="11543" width="12" style="2" customWidth="1"/>
    <col min="11544" max="11544" width="16.83203125" style="2" customWidth="1"/>
    <col min="11545" max="11545" width="12.44140625" style="2" customWidth="1"/>
    <col min="11546" max="11546" width="9.1640625" style="2" customWidth="1"/>
    <col min="11547" max="11547" width="13" style="2" customWidth="1"/>
    <col min="11548" max="11548" width="12" style="2" customWidth="1"/>
    <col min="11549" max="11549" width="18.44140625" style="2" customWidth="1"/>
    <col min="11550" max="11781" width="11.44140625" style="2"/>
    <col min="11782" max="11782" width="58.44140625" style="2" customWidth="1"/>
    <col min="11783" max="11783" width="8.44140625" style="2" customWidth="1"/>
    <col min="11784" max="11784" width="11.44140625" style="2" customWidth="1"/>
    <col min="11785" max="11785" width="7.83203125" style="2" customWidth="1"/>
    <col min="11786" max="11786" width="9.44140625" style="2" customWidth="1"/>
    <col min="11787" max="11787" width="8.83203125" style="2" customWidth="1"/>
    <col min="11788" max="11788" width="14.44140625" style="2" customWidth="1"/>
    <col min="11789" max="11789" width="8.83203125" style="2" customWidth="1"/>
    <col min="11790" max="11790" width="12.1640625" style="2" customWidth="1"/>
    <col min="11791" max="11791" width="8.44140625" style="2" customWidth="1"/>
    <col min="11792" max="11793" width="11.44140625" style="2" customWidth="1"/>
    <col min="11794" max="11794" width="11.83203125" style="2" customWidth="1"/>
    <col min="11795" max="11795" width="11.44140625" style="2" customWidth="1"/>
    <col min="11796" max="11796" width="10.44140625" style="2" customWidth="1"/>
    <col min="11797" max="11797" width="11.83203125" style="2" customWidth="1"/>
    <col min="11798" max="11798" width="10.44140625" style="2" customWidth="1"/>
    <col min="11799" max="11799" width="12" style="2" customWidth="1"/>
    <col min="11800" max="11800" width="16.83203125" style="2" customWidth="1"/>
    <col min="11801" max="11801" width="12.44140625" style="2" customWidth="1"/>
    <col min="11802" max="11802" width="9.1640625" style="2" customWidth="1"/>
    <col min="11803" max="11803" width="13" style="2" customWidth="1"/>
    <col min="11804" max="11804" width="12" style="2" customWidth="1"/>
    <col min="11805" max="11805" width="18.44140625" style="2" customWidth="1"/>
    <col min="11806" max="12037" width="11.44140625" style="2"/>
    <col min="12038" max="12038" width="58.44140625" style="2" customWidth="1"/>
    <col min="12039" max="12039" width="8.44140625" style="2" customWidth="1"/>
    <col min="12040" max="12040" width="11.44140625" style="2" customWidth="1"/>
    <col min="12041" max="12041" width="7.83203125" style="2" customWidth="1"/>
    <col min="12042" max="12042" width="9.44140625" style="2" customWidth="1"/>
    <col min="12043" max="12043" width="8.83203125" style="2" customWidth="1"/>
    <col min="12044" max="12044" width="14.44140625" style="2" customWidth="1"/>
    <col min="12045" max="12045" width="8.83203125" style="2" customWidth="1"/>
    <col min="12046" max="12046" width="12.1640625" style="2" customWidth="1"/>
    <col min="12047" max="12047" width="8.44140625" style="2" customWidth="1"/>
    <col min="12048" max="12049" width="11.44140625" style="2" customWidth="1"/>
    <col min="12050" max="12050" width="11.83203125" style="2" customWidth="1"/>
    <col min="12051" max="12051" width="11.44140625" style="2" customWidth="1"/>
    <col min="12052" max="12052" width="10.44140625" style="2" customWidth="1"/>
    <col min="12053" max="12053" width="11.83203125" style="2" customWidth="1"/>
    <col min="12054" max="12054" width="10.44140625" style="2" customWidth="1"/>
    <col min="12055" max="12055" width="12" style="2" customWidth="1"/>
    <col min="12056" max="12056" width="16.83203125" style="2" customWidth="1"/>
    <col min="12057" max="12057" width="12.44140625" style="2" customWidth="1"/>
    <col min="12058" max="12058" width="9.1640625" style="2" customWidth="1"/>
    <col min="12059" max="12059" width="13" style="2" customWidth="1"/>
    <col min="12060" max="12060" width="12" style="2" customWidth="1"/>
    <col min="12061" max="12061" width="18.44140625" style="2" customWidth="1"/>
    <col min="12062" max="12293" width="11.44140625" style="2"/>
    <col min="12294" max="12294" width="58.44140625" style="2" customWidth="1"/>
    <col min="12295" max="12295" width="8.44140625" style="2" customWidth="1"/>
    <col min="12296" max="12296" width="11.44140625" style="2" customWidth="1"/>
    <col min="12297" max="12297" width="7.83203125" style="2" customWidth="1"/>
    <col min="12298" max="12298" width="9.44140625" style="2" customWidth="1"/>
    <col min="12299" max="12299" width="8.83203125" style="2" customWidth="1"/>
    <col min="12300" max="12300" width="14.44140625" style="2" customWidth="1"/>
    <col min="12301" max="12301" width="8.83203125" style="2" customWidth="1"/>
    <col min="12302" max="12302" width="12.1640625" style="2" customWidth="1"/>
    <col min="12303" max="12303" width="8.44140625" style="2" customWidth="1"/>
    <col min="12304" max="12305" width="11.44140625" style="2" customWidth="1"/>
    <col min="12306" max="12306" width="11.83203125" style="2" customWidth="1"/>
    <col min="12307" max="12307" width="11.44140625" style="2" customWidth="1"/>
    <col min="12308" max="12308" width="10.44140625" style="2" customWidth="1"/>
    <col min="12309" max="12309" width="11.83203125" style="2" customWidth="1"/>
    <col min="12310" max="12310" width="10.44140625" style="2" customWidth="1"/>
    <col min="12311" max="12311" width="12" style="2" customWidth="1"/>
    <col min="12312" max="12312" width="16.83203125" style="2" customWidth="1"/>
    <col min="12313" max="12313" width="12.44140625" style="2" customWidth="1"/>
    <col min="12314" max="12314" width="9.1640625" style="2" customWidth="1"/>
    <col min="12315" max="12315" width="13" style="2" customWidth="1"/>
    <col min="12316" max="12316" width="12" style="2" customWidth="1"/>
    <col min="12317" max="12317" width="18.44140625" style="2" customWidth="1"/>
    <col min="12318" max="12549" width="11.44140625" style="2"/>
    <col min="12550" max="12550" width="58.44140625" style="2" customWidth="1"/>
    <col min="12551" max="12551" width="8.44140625" style="2" customWidth="1"/>
    <col min="12552" max="12552" width="11.44140625" style="2" customWidth="1"/>
    <col min="12553" max="12553" width="7.83203125" style="2" customWidth="1"/>
    <col min="12554" max="12554" width="9.44140625" style="2" customWidth="1"/>
    <col min="12555" max="12555" width="8.83203125" style="2" customWidth="1"/>
    <col min="12556" max="12556" width="14.44140625" style="2" customWidth="1"/>
    <col min="12557" max="12557" width="8.83203125" style="2" customWidth="1"/>
    <col min="12558" max="12558" width="12.1640625" style="2" customWidth="1"/>
    <col min="12559" max="12559" width="8.44140625" style="2" customWidth="1"/>
    <col min="12560" max="12561" width="11.44140625" style="2" customWidth="1"/>
    <col min="12562" max="12562" width="11.83203125" style="2" customWidth="1"/>
    <col min="12563" max="12563" width="11.44140625" style="2" customWidth="1"/>
    <col min="12564" max="12564" width="10.44140625" style="2" customWidth="1"/>
    <col min="12565" max="12565" width="11.83203125" style="2" customWidth="1"/>
    <col min="12566" max="12566" width="10.44140625" style="2" customWidth="1"/>
    <col min="12567" max="12567" width="12" style="2" customWidth="1"/>
    <col min="12568" max="12568" width="16.83203125" style="2" customWidth="1"/>
    <col min="12569" max="12569" width="12.44140625" style="2" customWidth="1"/>
    <col min="12570" max="12570" width="9.1640625" style="2" customWidth="1"/>
    <col min="12571" max="12571" width="13" style="2" customWidth="1"/>
    <col min="12572" max="12572" width="12" style="2" customWidth="1"/>
    <col min="12573" max="12573" width="18.44140625" style="2" customWidth="1"/>
    <col min="12574" max="12805" width="11.44140625" style="2"/>
    <col min="12806" max="12806" width="58.44140625" style="2" customWidth="1"/>
    <col min="12807" max="12807" width="8.44140625" style="2" customWidth="1"/>
    <col min="12808" max="12808" width="11.44140625" style="2" customWidth="1"/>
    <col min="12809" max="12809" width="7.83203125" style="2" customWidth="1"/>
    <col min="12810" max="12810" width="9.44140625" style="2" customWidth="1"/>
    <col min="12811" max="12811" width="8.83203125" style="2" customWidth="1"/>
    <col min="12812" max="12812" width="14.44140625" style="2" customWidth="1"/>
    <col min="12813" max="12813" width="8.83203125" style="2" customWidth="1"/>
    <col min="12814" max="12814" width="12.1640625" style="2" customWidth="1"/>
    <col min="12815" max="12815" width="8.44140625" style="2" customWidth="1"/>
    <col min="12816" max="12817" width="11.44140625" style="2" customWidth="1"/>
    <col min="12818" max="12818" width="11.83203125" style="2" customWidth="1"/>
    <col min="12819" max="12819" width="11.44140625" style="2" customWidth="1"/>
    <col min="12820" max="12820" width="10.44140625" style="2" customWidth="1"/>
    <col min="12821" max="12821" width="11.83203125" style="2" customWidth="1"/>
    <col min="12822" max="12822" width="10.44140625" style="2" customWidth="1"/>
    <col min="12823" max="12823" width="12" style="2" customWidth="1"/>
    <col min="12824" max="12824" width="16.83203125" style="2" customWidth="1"/>
    <col min="12825" max="12825" width="12.44140625" style="2" customWidth="1"/>
    <col min="12826" max="12826" width="9.1640625" style="2" customWidth="1"/>
    <col min="12827" max="12827" width="13" style="2" customWidth="1"/>
    <col min="12828" max="12828" width="12" style="2" customWidth="1"/>
    <col min="12829" max="12829" width="18.44140625" style="2" customWidth="1"/>
    <col min="12830" max="13061" width="11.44140625" style="2"/>
    <col min="13062" max="13062" width="58.44140625" style="2" customWidth="1"/>
    <col min="13063" max="13063" width="8.44140625" style="2" customWidth="1"/>
    <col min="13064" max="13064" width="11.44140625" style="2" customWidth="1"/>
    <col min="13065" max="13065" width="7.83203125" style="2" customWidth="1"/>
    <col min="13066" max="13066" width="9.44140625" style="2" customWidth="1"/>
    <col min="13067" max="13067" width="8.83203125" style="2" customWidth="1"/>
    <col min="13068" max="13068" width="14.44140625" style="2" customWidth="1"/>
    <col min="13069" max="13069" width="8.83203125" style="2" customWidth="1"/>
    <col min="13070" max="13070" width="12.1640625" style="2" customWidth="1"/>
    <col min="13071" max="13071" width="8.44140625" style="2" customWidth="1"/>
    <col min="13072" max="13073" width="11.44140625" style="2" customWidth="1"/>
    <col min="13074" max="13074" width="11.83203125" style="2" customWidth="1"/>
    <col min="13075" max="13075" width="11.44140625" style="2" customWidth="1"/>
    <col min="13076" max="13076" width="10.44140625" style="2" customWidth="1"/>
    <col min="13077" max="13077" width="11.83203125" style="2" customWidth="1"/>
    <col min="13078" max="13078" width="10.44140625" style="2" customWidth="1"/>
    <col min="13079" max="13079" width="12" style="2" customWidth="1"/>
    <col min="13080" max="13080" width="16.83203125" style="2" customWidth="1"/>
    <col min="13081" max="13081" width="12.44140625" style="2" customWidth="1"/>
    <col min="13082" max="13082" width="9.1640625" style="2" customWidth="1"/>
    <col min="13083" max="13083" width="13" style="2" customWidth="1"/>
    <col min="13084" max="13084" width="12" style="2" customWidth="1"/>
    <col min="13085" max="13085" width="18.44140625" style="2" customWidth="1"/>
    <col min="13086" max="13317" width="11.44140625" style="2"/>
    <col min="13318" max="13318" width="58.44140625" style="2" customWidth="1"/>
    <col min="13319" max="13319" width="8.44140625" style="2" customWidth="1"/>
    <col min="13320" max="13320" width="11.44140625" style="2" customWidth="1"/>
    <col min="13321" max="13321" width="7.83203125" style="2" customWidth="1"/>
    <col min="13322" max="13322" width="9.44140625" style="2" customWidth="1"/>
    <col min="13323" max="13323" width="8.83203125" style="2" customWidth="1"/>
    <col min="13324" max="13324" width="14.44140625" style="2" customWidth="1"/>
    <col min="13325" max="13325" width="8.83203125" style="2" customWidth="1"/>
    <col min="13326" max="13326" width="12.1640625" style="2" customWidth="1"/>
    <col min="13327" max="13327" width="8.44140625" style="2" customWidth="1"/>
    <col min="13328" max="13329" width="11.44140625" style="2" customWidth="1"/>
    <col min="13330" max="13330" width="11.83203125" style="2" customWidth="1"/>
    <col min="13331" max="13331" width="11.44140625" style="2" customWidth="1"/>
    <col min="13332" max="13332" width="10.44140625" style="2" customWidth="1"/>
    <col min="13333" max="13333" width="11.83203125" style="2" customWidth="1"/>
    <col min="13334" max="13334" width="10.44140625" style="2" customWidth="1"/>
    <col min="13335" max="13335" width="12" style="2" customWidth="1"/>
    <col min="13336" max="13336" width="16.83203125" style="2" customWidth="1"/>
    <col min="13337" max="13337" width="12.44140625" style="2" customWidth="1"/>
    <col min="13338" max="13338" width="9.1640625" style="2" customWidth="1"/>
    <col min="13339" max="13339" width="13" style="2" customWidth="1"/>
    <col min="13340" max="13340" width="12" style="2" customWidth="1"/>
    <col min="13341" max="13341" width="18.44140625" style="2" customWidth="1"/>
    <col min="13342" max="13573" width="11.44140625" style="2"/>
    <col min="13574" max="13574" width="58.44140625" style="2" customWidth="1"/>
    <col min="13575" max="13575" width="8.44140625" style="2" customWidth="1"/>
    <col min="13576" max="13576" width="11.44140625" style="2" customWidth="1"/>
    <col min="13577" max="13577" width="7.83203125" style="2" customWidth="1"/>
    <col min="13578" max="13578" width="9.44140625" style="2" customWidth="1"/>
    <col min="13579" max="13579" width="8.83203125" style="2" customWidth="1"/>
    <col min="13580" max="13580" width="14.44140625" style="2" customWidth="1"/>
    <col min="13581" max="13581" width="8.83203125" style="2" customWidth="1"/>
    <col min="13582" max="13582" width="12.1640625" style="2" customWidth="1"/>
    <col min="13583" max="13583" width="8.44140625" style="2" customWidth="1"/>
    <col min="13584" max="13585" width="11.44140625" style="2" customWidth="1"/>
    <col min="13586" max="13586" width="11.83203125" style="2" customWidth="1"/>
    <col min="13587" max="13587" width="11.44140625" style="2" customWidth="1"/>
    <col min="13588" max="13588" width="10.44140625" style="2" customWidth="1"/>
    <col min="13589" max="13589" width="11.83203125" style="2" customWidth="1"/>
    <col min="13590" max="13590" width="10.44140625" style="2" customWidth="1"/>
    <col min="13591" max="13591" width="12" style="2" customWidth="1"/>
    <col min="13592" max="13592" width="16.83203125" style="2" customWidth="1"/>
    <col min="13593" max="13593" width="12.44140625" style="2" customWidth="1"/>
    <col min="13594" max="13594" width="9.1640625" style="2" customWidth="1"/>
    <col min="13595" max="13595" width="13" style="2" customWidth="1"/>
    <col min="13596" max="13596" width="12" style="2" customWidth="1"/>
    <col min="13597" max="13597" width="18.44140625" style="2" customWidth="1"/>
    <col min="13598" max="13829" width="11.44140625" style="2"/>
    <col min="13830" max="13830" width="58.44140625" style="2" customWidth="1"/>
    <col min="13831" max="13831" width="8.44140625" style="2" customWidth="1"/>
    <col min="13832" max="13832" width="11.44140625" style="2" customWidth="1"/>
    <col min="13833" max="13833" width="7.83203125" style="2" customWidth="1"/>
    <col min="13834" max="13834" width="9.44140625" style="2" customWidth="1"/>
    <col min="13835" max="13835" width="8.83203125" style="2" customWidth="1"/>
    <col min="13836" max="13836" width="14.44140625" style="2" customWidth="1"/>
    <col min="13837" max="13837" width="8.83203125" style="2" customWidth="1"/>
    <col min="13838" max="13838" width="12.1640625" style="2" customWidth="1"/>
    <col min="13839" max="13839" width="8.44140625" style="2" customWidth="1"/>
    <col min="13840" max="13841" width="11.44140625" style="2" customWidth="1"/>
    <col min="13842" max="13842" width="11.83203125" style="2" customWidth="1"/>
    <col min="13843" max="13843" width="11.44140625" style="2" customWidth="1"/>
    <col min="13844" max="13844" width="10.44140625" style="2" customWidth="1"/>
    <col min="13845" max="13845" width="11.83203125" style="2" customWidth="1"/>
    <col min="13846" max="13846" width="10.44140625" style="2" customWidth="1"/>
    <col min="13847" max="13847" width="12" style="2" customWidth="1"/>
    <col min="13848" max="13848" width="16.83203125" style="2" customWidth="1"/>
    <col min="13849" max="13849" width="12.44140625" style="2" customWidth="1"/>
    <col min="13850" max="13850" width="9.1640625" style="2" customWidth="1"/>
    <col min="13851" max="13851" width="13" style="2" customWidth="1"/>
    <col min="13852" max="13852" width="12" style="2" customWidth="1"/>
    <col min="13853" max="13853" width="18.44140625" style="2" customWidth="1"/>
    <col min="13854" max="14085" width="11.44140625" style="2"/>
    <col min="14086" max="14086" width="58.44140625" style="2" customWidth="1"/>
    <col min="14087" max="14087" width="8.44140625" style="2" customWidth="1"/>
    <col min="14088" max="14088" width="11.44140625" style="2" customWidth="1"/>
    <col min="14089" max="14089" width="7.83203125" style="2" customWidth="1"/>
    <col min="14090" max="14090" width="9.44140625" style="2" customWidth="1"/>
    <col min="14091" max="14091" width="8.83203125" style="2" customWidth="1"/>
    <col min="14092" max="14092" width="14.44140625" style="2" customWidth="1"/>
    <col min="14093" max="14093" width="8.83203125" style="2" customWidth="1"/>
    <col min="14094" max="14094" width="12.1640625" style="2" customWidth="1"/>
    <col min="14095" max="14095" width="8.44140625" style="2" customWidth="1"/>
    <col min="14096" max="14097" width="11.44140625" style="2" customWidth="1"/>
    <col min="14098" max="14098" width="11.83203125" style="2" customWidth="1"/>
    <col min="14099" max="14099" width="11.44140625" style="2" customWidth="1"/>
    <col min="14100" max="14100" width="10.44140625" style="2" customWidth="1"/>
    <col min="14101" max="14101" width="11.83203125" style="2" customWidth="1"/>
    <col min="14102" max="14102" width="10.44140625" style="2" customWidth="1"/>
    <col min="14103" max="14103" width="12" style="2" customWidth="1"/>
    <col min="14104" max="14104" width="16.83203125" style="2" customWidth="1"/>
    <col min="14105" max="14105" width="12.44140625" style="2" customWidth="1"/>
    <col min="14106" max="14106" width="9.1640625" style="2" customWidth="1"/>
    <col min="14107" max="14107" width="13" style="2" customWidth="1"/>
    <col min="14108" max="14108" width="12" style="2" customWidth="1"/>
    <col min="14109" max="14109" width="18.44140625" style="2" customWidth="1"/>
    <col min="14110" max="14341" width="11.44140625" style="2"/>
    <col min="14342" max="14342" width="58.44140625" style="2" customWidth="1"/>
    <col min="14343" max="14343" width="8.44140625" style="2" customWidth="1"/>
    <col min="14344" max="14344" width="11.44140625" style="2" customWidth="1"/>
    <col min="14345" max="14345" width="7.83203125" style="2" customWidth="1"/>
    <col min="14346" max="14346" width="9.44140625" style="2" customWidth="1"/>
    <col min="14347" max="14347" width="8.83203125" style="2" customWidth="1"/>
    <col min="14348" max="14348" width="14.44140625" style="2" customWidth="1"/>
    <col min="14349" max="14349" width="8.83203125" style="2" customWidth="1"/>
    <col min="14350" max="14350" width="12.1640625" style="2" customWidth="1"/>
    <col min="14351" max="14351" width="8.44140625" style="2" customWidth="1"/>
    <col min="14352" max="14353" width="11.44140625" style="2" customWidth="1"/>
    <col min="14354" max="14354" width="11.83203125" style="2" customWidth="1"/>
    <col min="14355" max="14355" width="11.44140625" style="2" customWidth="1"/>
    <col min="14356" max="14356" width="10.44140625" style="2" customWidth="1"/>
    <col min="14357" max="14357" width="11.83203125" style="2" customWidth="1"/>
    <col min="14358" max="14358" width="10.44140625" style="2" customWidth="1"/>
    <col min="14359" max="14359" width="12" style="2" customWidth="1"/>
    <col min="14360" max="14360" width="16.83203125" style="2" customWidth="1"/>
    <col min="14361" max="14361" width="12.44140625" style="2" customWidth="1"/>
    <col min="14362" max="14362" width="9.1640625" style="2" customWidth="1"/>
    <col min="14363" max="14363" width="13" style="2" customWidth="1"/>
    <col min="14364" max="14364" width="12" style="2" customWidth="1"/>
    <col min="14365" max="14365" width="18.44140625" style="2" customWidth="1"/>
    <col min="14366" max="14597" width="11.44140625" style="2"/>
    <col min="14598" max="14598" width="58.44140625" style="2" customWidth="1"/>
    <col min="14599" max="14599" width="8.44140625" style="2" customWidth="1"/>
    <col min="14600" max="14600" width="11.44140625" style="2" customWidth="1"/>
    <col min="14601" max="14601" width="7.83203125" style="2" customWidth="1"/>
    <col min="14602" max="14602" width="9.44140625" style="2" customWidth="1"/>
    <col min="14603" max="14603" width="8.83203125" style="2" customWidth="1"/>
    <col min="14604" max="14604" width="14.44140625" style="2" customWidth="1"/>
    <col min="14605" max="14605" width="8.83203125" style="2" customWidth="1"/>
    <col min="14606" max="14606" width="12.1640625" style="2" customWidth="1"/>
    <col min="14607" max="14607" width="8.44140625" style="2" customWidth="1"/>
    <col min="14608" max="14609" width="11.44140625" style="2" customWidth="1"/>
    <col min="14610" max="14610" width="11.83203125" style="2" customWidth="1"/>
    <col min="14611" max="14611" width="11.44140625" style="2" customWidth="1"/>
    <col min="14612" max="14612" width="10.44140625" style="2" customWidth="1"/>
    <col min="14613" max="14613" width="11.83203125" style="2" customWidth="1"/>
    <col min="14614" max="14614" width="10.44140625" style="2" customWidth="1"/>
    <col min="14615" max="14615" width="12" style="2" customWidth="1"/>
    <col min="14616" max="14616" width="16.83203125" style="2" customWidth="1"/>
    <col min="14617" max="14617" width="12.44140625" style="2" customWidth="1"/>
    <col min="14618" max="14618" width="9.1640625" style="2" customWidth="1"/>
    <col min="14619" max="14619" width="13" style="2" customWidth="1"/>
    <col min="14620" max="14620" width="12" style="2" customWidth="1"/>
    <col min="14621" max="14621" width="18.44140625" style="2" customWidth="1"/>
    <col min="14622" max="14853" width="11.44140625" style="2"/>
    <col min="14854" max="14854" width="58.44140625" style="2" customWidth="1"/>
    <col min="14855" max="14855" width="8.44140625" style="2" customWidth="1"/>
    <col min="14856" max="14856" width="11.44140625" style="2" customWidth="1"/>
    <col min="14857" max="14857" width="7.83203125" style="2" customWidth="1"/>
    <col min="14858" max="14858" width="9.44140625" style="2" customWidth="1"/>
    <col min="14859" max="14859" width="8.83203125" style="2" customWidth="1"/>
    <col min="14860" max="14860" width="14.44140625" style="2" customWidth="1"/>
    <col min="14861" max="14861" width="8.83203125" style="2" customWidth="1"/>
    <col min="14862" max="14862" width="12.1640625" style="2" customWidth="1"/>
    <col min="14863" max="14863" width="8.44140625" style="2" customWidth="1"/>
    <col min="14864" max="14865" width="11.44140625" style="2" customWidth="1"/>
    <col min="14866" max="14866" width="11.83203125" style="2" customWidth="1"/>
    <col min="14867" max="14867" width="11.44140625" style="2" customWidth="1"/>
    <col min="14868" max="14868" width="10.44140625" style="2" customWidth="1"/>
    <col min="14869" max="14869" width="11.83203125" style="2" customWidth="1"/>
    <col min="14870" max="14870" width="10.44140625" style="2" customWidth="1"/>
    <col min="14871" max="14871" width="12" style="2" customWidth="1"/>
    <col min="14872" max="14872" width="16.83203125" style="2" customWidth="1"/>
    <col min="14873" max="14873" width="12.44140625" style="2" customWidth="1"/>
    <col min="14874" max="14874" width="9.1640625" style="2" customWidth="1"/>
    <col min="14875" max="14875" width="13" style="2" customWidth="1"/>
    <col min="14876" max="14876" width="12" style="2" customWidth="1"/>
    <col min="14877" max="14877" width="18.44140625" style="2" customWidth="1"/>
    <col min="14878" max="15109" width="11.44140625" style="2"/>
    <col min="15110" max="15110" width="58.44140625" style="2" customWidth="1"/>
    <col min="15111" max="15111" width="8.44140625" style="2" customWidth="1"/>
    <col min="15112" max="15112" width="11.44140625" style="2" customWidth="1"/>
    <col min="15113" max="15113" width="7.83203125" style="2" customWidth="1"/>
    <col min="15114" max="15114" width="9.44140625" style="2" customWidth="1"/>
    <col min="15115" max="15115" width="8.83203125" style="2" customWidth="1"/>
    <col min="15116" max="15116" width="14.44140625" style="2" customWidth="1"/>
    <col min="15117" max="15117" width="8.83203125" style="2" customWidth="1"/>
    <col min="15118" max="15118" width="12.1640625" style="2" customWidth="1"/>
    <col min="15119" max="15119" width="8.44140625" style="2" customWidth="1"/>
    <col min="15120" max="15121" width="11.44140625" style="2" customWidth="1"/>
    <col min="15122" max="15122" width="11.83203125" style="2" customWidth="1"/>
    <col min="15123" max="15123" width="11.44140625" style="2" customWidth="1"/>
    <col min="15124" max="15124" width="10.44140625" style="2" customWidth="1"/>
    <col min="15125" max="15125" width="11.83203125" style="2" customWidth="1"/>
    <col min="15126" max="15126" width="10.44140625" style="2" customWidth="1"/>
    <col min="15127" max="15127" width="12" style="2" customWidth="1"/>
    <col min="15128" max="15128" width="16.83203125" style="2" customWidth="1"/>
    <col min="15129" max="15129" width="12.44140625" style="2" customWidth="1"/>
    <col min="15130" max="15130" width="9.1640625" style="2" customWidth="1"/>
    <col min="15131" max="15131" width="13" style="2" customWidth="1"/>
    <col min="15132" max="15132" width="12" style="2" customWidth="1"/>
    <col min="15133" max="15133" width="18.44140625" style="2" customWidth="1"/>
    <col min="15134" max="15365" width="11.44140625" style="2"/>
    <col min="15366" max="15366" width="58.44140625" style="2" customWidth="1"/>
    <col min="15367" max="15367" width="8.44140625" style="2" customWidth="1"/>
    <col min="15368" max="15368" width="11.44140625" style="2" customWidth="1"/>
    <col min="15369" max="15369" width="7.83203125" style="2" customWidth="1"/>
    <col min="15370" max="15370" width="9.44140625" style="2" customWidth="1"/>
    <col min="15371" max="15371" width="8.83203125" style="2" customWidth="1"/>
    <col min="15372" max="15372" width="14.44140625" style="2" customWidth="1"/>
    <col min="15373" max="15373" width="8.83203125" style="2" customWidth="1"/>
    <col min="15374" max="15374" width="12.1640625" style="2" customWidth="1"/>
    <col min="15375" max="15375" width="8.44140625" style="2" customWidth="1"/>
    <col min="15376" max="15377" width="11.44140625" style="2" customWidth="1"/>
    <col min="15378" max="15378" width="11.83203125" style="2" customWidth="1"/>
    <col min="15379" max="15379" width="11.44140625" style="2" customWidth="1"/>
    <col min="15380" max="15380" width="10.44140625" style="2" customWidth="1"/>
    <col min="15381" max="15381" width="11.83203125" style="2" customWidth="1"/>
    <col min="15382" max="15382" width="10.44140625" style="2" customWidth="1"/>
    <col min="15383" max="15383" width="12" style="2" customWidth="1"/>
    <col min="15384" max="15384" width="16.83203125" style="2" customWidth="1"/>
    <col min="15385" max="15385" width="12.44140625" style="2" customWidth="1"/>
    <col min="15386" max="15386" width="9.1640625" style="2" customWidth="1"/>
    <col min="15387" max="15387" width="13" style="2" customWidth="1"/>
    <col min="15388" max="15388" width="12" style="2" customWidth="1"/>
    <col min="15389" max="15389" width="18.44140625" style="2" customWidth="1"/>
    <col min="15390" max="15621" width="11.44140625" style="2"/>
    <col min="15622" max="15622" width="58.44140625" style="2" customWidth="1"/>
    <col min="15623" max="15623" width="8.44140625" style="2" customWidth="1"/>
    <col min="15624" max="15624" width="11.44140625" style="2" customWidth="1"/>
    <col min="15625" max="15625" width="7.83203125" style="2" customWidth="1"/>
    <col min="15626" max="15626" width="9.44140625" style="2" customWidth="1"/>
    <col min="15627" max="15627" width="8.83203125" style="2" customWidth="1"/>
    <col min="15628" max="15628" width="14.44140625" style="2" customWidth="1"/>
    <col min="15629" max="15629" width="8.83203125" style="2" customWidth="1"/>
    <col min="15630" max="15630" width="12.1640625" style="2" customWidth="1"/>
    <col min="15631" max="15631" width="8.44140625" style="2" customWidth="1"/>
    <col min="15632" max="15633" width="11.44140625" style="2" customWidth="1"/>
    <col min="15634" max="15634" width="11.83203125" style="2" customWidth="1"/>
    <col min="15635" max="15635" width="11.44140625" style="2" customWidth="1"/>
    <col min="15636" max="15636" width="10.44140625" style="2" customWidth="1"/>
    <col min="15637" max="15637" width="11.83203125" style="2" customWidth="1"/>
    <col min="15638" max="15638" width="10.44140625" style="2" customWidth="1"/>
    <col min="15639" max="15639" width="12" style="2" customWidth="1"/>
    <col min="15640" max="15640" width="16.83203125" style="2" customWidth="1"/>
    <col min="15641" max="15641" width="12.44140625" style="2" customWidth="1"/>
    <col min="15642" max="15642" width="9.1640625" style="2" customWidth="1"/>
    <col min="15643" max="15643" width="13" style="2" customWidth="1"/>
    <col min="15644" max="15644" width="12" style="2" customWidth="1"/>
    <col min="15645" max="15645" width="18.44140625" style="2" customWidth="1"/>
    <col min="15646" max="15877" width="11.44140625" style="2"/>
    <col min="15878" max="15878" width="58.44140625" style="2" customWidth="1"/>
    <col min="15879" max="15879" width="8.44140625" style="2" customWidth="1"/>
    <col min="15880" max="15880" width="11.44140625" style="2" customWidth="1"/>
    <col min="15881" max="15881" width="7.83203125" style="2" customWidth="1"/>
    <col min="15882" max="15882" width="9.44140625" style="2" customWidth="1"/>
    <col min="15883" max="15883" width="8.83203125" style="2" customWidth="1"/>
    <col min="15884" max="15884" width="14.44140625" style="2" customWidth="1"/>
    <col min="15885" max="15885" width="8.83203125" style="2" customWidth="1"/>
    <col min="15886" max="15886" width="12.1640625" style="2" customWidth="1"/>
    <col min="15887" max="15887" width="8.44140625" style="2" customWidth="1"/>
    <col min="15888" max="15889" width="11.44140625" style="2" customWidth="1"/>
    <col min="15890" max="15890" width="11.83203125" style="2" customWidth="1"/>
    <col min="15891" max="15891" width="11.44140625" style="2" customWidth="1"/>
    <col min="15892" max="15892" width="10.44140625" style="2" customWidth="1"/>
    <col min="15893" max="15893" width="11.83203125" style="2" customWidth="1"/>
    <col min="15894" max="15894" width="10.44140625" style="2" customWidth="1"/>
    <col min="15895" max="15895" width="12" style="2" customWidth="1"/>
    <col min="15896" max="15896" width="16.83203125" style="2" customWidth="1"/>
    <col min="15897" max="15897" width="12.44140625" style="2" customWidth="1"/>
    <col min="15898" max="15898" width="9.1640625" style="2" customWidth="1"/>
    <col min="15899" max="15899" width="13" style="2" customWidth="1"/>
    <col min="15900" max="15900" width="12" style="2" customWidth="1"/>
    <col min="15901" max="15901" width="18.44140625" style="2" customWidth="1"/>
    <col min="15902" max="16133" width="11.44140625" style="2"/>
    <col min="16134" max="16134" width="58.44140625" style="2" customWidth="1"/>
    <col min="16135" max="16135" width="8.44140625" style="2" customWidth="1"/>
    <col min="16136" max="16136" width="11.44140625" style="2" customWidth="1"/>
    <col min="16137" max="16137" width="7.83203125" style="2" customWidth="1"/>
    <col min="16138" max="16138" width="9.44140625" style="2" customWidth="1"/>
    <col min="16139" max="16139" width="8.83203125" style="2" customWidth="1"/>
    <col min="16140" max="16140" width="14.44140625" style="2" customWidth="1"/>
    <col min="16141" max="16141" width="8.83203125" style="2" customWidth="1"/>
    <col min="16142" max="16142" width="12.1640625" style="2" customWidth="1"/>
    <col min="16143" max="16143" width="8.44140625" style="2" customWidth="1"/>
    <col min="16144" max="16145" width="11.44140625" style="2" customWidth="1"/>
    <col min="16146" max="16146" width="11.83203125" style="2" customWidth="1"/>
    <col min="16147" max="16147" width="11.44140625" style="2" customWidth="1"/>
    <col min="16148" max="16148" width="10.44140625" style="2" customWidth="1"/>
    <col min="16149" max="16149" width="11.83203125" style="2" customWidth="1"/>
    <col min="16150" max="16150" width="10.44140625" style="2" customWidth="1"/>
    <col min="16151" max="16151" width="12" style="2" customWidth="1"/>
    <col min="16152" max="16152" width="16.83203125" style="2" customWidth="1"/>
    <col min="16153" max="16153" width="12.44140625" style="2" customWidth="1"/>
    <col min="16154" max="16154" width="9.1640625" style="2" customWidth="1"/>
    <col min="16155" max="16155" width="13" style="2" customWidth="1"/>
    <col min="16156" max="16156" width="12" style="2" customWidth="1"/>
    <col min="16157" max="16157" width="18.44140625" style="2" customWidth="1"/>
    <col min="16158" max="16384" width="11.44140625" style="2"/>
  </cols>
  <sheetData>
    <row r="1" spans="1:29" ht="12" customHeight="1" x14ac:dyDescent="0.4">
      <c r="A1" s="253" t="s">
        <v>22</v>
      </c>
      <c r="B1" s="253" t="s">
        <v>23</v>
      </c>
      <c r="C1" s="2"/>
      <c r="D1" s="2"/>
      <c r="E1" s="2"/>
      <c r="F1" s="2"/>
      <c r="G1" s="315" t="s">
        <v>331</v>
      </c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275"/>
      <c r="Y1" s="276"/>
      <c r="Z1" s="24"/>
      <c r="AA1" s="24"/>
      <c r="AB1" s="24"/>
      <c r="AC1" s="24"/>
    </row>
    <row r="2" spans="1:29" ht="12" customHeight="1" x14ac:dyDescent="0.4">
      <c r="A2" s="253" t="s">
        <v>24</v>
      </c>
      <c r="B2" s="253" t="s">
        <v>332</v>
      </c>
      <c r="C2" s="2"/>
      <c r="D2" s="2"/>
      <c r="E2" s="2"/>
      <c r="F2" s="2"/>
      <c r="G2" s="316" t="s">
        <v>333</v>
      </c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277"/>
      <c r="Y2" s="276"/>
      <c r="Z2" s="24"/>
    </row>
    <row r="3" spans="1:29" ht="12" customHeight="1" x14ac:dyDescent="0.35">
      <c r="A3" s="253" t="s">
        <v>26</v>
      </c>
      <c r="B3" s="253" t="s">
        <v>27</v>
      </c>
      <c r="C3" s="2"/>
      <c r="D3" s="2"/>
      <c r="E3" s="2"/>
      <c r="F3" s="2"/>
      <c r="G3" s="317" t="s">
        <v>334</v>
      </c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</row>
    <row r="4" spans="1:29" s="147" customFormat="1" ht="12" customHeight="1" x14ac:dyDescent="0.45">
      <c r="A4" s="148"/>
      <c r="B4" s="148"/>
      <c r="C4" s="148"/>
      <c r="D4" s="148"/>
      <c r="E4" s="148"/>
      <c r="F4" s="148"/>
      <c r="G4" s="319" t="s">
        <v>29</v>
      </c>
      <c r="H4" s="319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279"/>
      <c r="Y4" s="279"/>
      <c r="Z4" s="148"/>
      <c r="AA4" s="148"/>
      <c r="AB4" s="148"/>
    </row>
    <row r="5" spans="1:29" s="147" customFormat="1" ht="12" customHeight="1" x14ac:dyDescent="0.45">
      <c r="A5" s="154"/>
      <c r="B5" s="154"/>
      <c r="C5" s="154"/>
      <c r="D5" s="154"/>
      <c r="E5" s="154"/>
      <c r="F5" s="154"/>
      <c r="G5" s="149" t="s">
        <v>31</v>
      </c>
      <c r="H5" s="158">
        <v>1.05</v>
      </c>
      <c r="I5" s="148"/>
      <c r="J5" s="152"/>
      <c r="K5" s="152"/>
      <c r="L5" s="153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280"/>
      <c r="Y5" s="280"/>
      <c r="Z5" s="154"/>
      <c r="AA5" s="154"/>
      <c r="AB5" s="154"/>
    </row>
    <row r="6" spans="1:29" s="147" customFormat="1" ht="12" customHeight="1" x14ac:dyDescent="0.45">
      <c r="A6" s="154"/>
      <c r="B6" s="154"/>
      <c r="C6" s="154"/>
      <c r="D6" s="154"/>
      <c r="E6" s="154"/>
      <c r="F6" s="154"/>
      <c r="G6" s="149" t="s">
        <v>335</v>
      </c>
      <c r="H6" s="160">
        <v>1.0349999999999999</v>
      </c>
      <c r="I6" s="148"/>
      <c r="J6" s="152"/>
      <c r="K6" s="152"/>
      <c r="L6" s="153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280"/>
      <c r="Y6" s="280"/>
      <c r="Z6" s="154"/>
      <c r="AA6" s="154"/>
      <c r="AB6" s="154"/>
    </row>
    <row r="7" spans="1:29" ht="45.9" thickBot="1" x14ac:dyDescent="0.45">
      <c r="A7" s="256" t="s">
        <v>33</v>
      </c>
      <c r="B7" s="256" t="s">
        <v>34</v>
      </c>
      <c r="C7" s="256" t="s">
        <v>35</v>
      </c>
      <c r="D7" s="256" t="s">
        <v>36</v>
      </c>
      <c r="E7" s="256" t="s">
        <v>37</v>
      </c>
      <c r="F7" s="256" t="s">
        <v>336</v>
      </c>
      <c r="G7" s="15" t="s">
        <v>3</v>
      </c>
      <c r="H7" s="15" t="s">
        <v>38</v>
      </c>
      <c r="I7" s="15" t="s">
        <v>39</v>
      </c>
      <c r="J7" s="15" t="s">
        <v>40</v>
      </c>
      <c r="K7" s="16" t="s">
        <v>337</v>
      </c>
      <c r="L7" s="57" t="s">
        <v>42</v>
      </c>
      <c r="M7" s="15" t="s">
        <v>40</v>
      </c>
      <c r="N7" s="57" t="s">
        <v>43</v>
      </c>
      <c r="O7" s="15" t="s">
        <v>40</v>
      </c>
      <c r="P7" s="57" t="s">
        <v>44</v>
      </c>
      <c r="Q7" s="15" t="s">
        <v>40</v>
      </c>
      <c r="R7" s="57" t="s">
        <v>338</v>
      </c>
      <c r="S7" s="15" t="s">
        <v>40</v>
      </c>
      <c r="T7" s="57" t="s">
        <v>46</v>
      </c>
      <c r="U7" s="16" t="s">
        <v>339</v>
      </c>
      <c r="V7" s="16" t="s">
        <v>5</v>
      </c>
      <c r="W7" s="16" t="s">
        <v>6</v>
      </c>
      <c r="X7" s="281" t="s">
        <v>340</v>
      </c>
      <c r="Y7" s="281" t="s">
        <v>341</v>
      </c>
    </row>
    <row r="8" spans="1:29" ht="13.5" customHeight="1" x14ac:dyDescent="0.4">
      <c r="A8" s="11"/>
      <c r="B8" s="11"/>
      <c r="C8" s="11"/>
      <c r="D8" s="11"/>
      <c r="E8" s="11"/>
      <c r="F8" s="11"/>
      <c r="G8" s="65" t="s">
        <v>7</v>
      </c>
      <c r="H8" s="65"/>
      <c r="I8" s="38"/>
      <c r="J8" s="38"/>
      <c r="K8" s="39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282"/>
      <c r="Y8" s="282"/>
      <c r="Z8" s="133"/>
    </row>
    <row r="9" spans="1:29" ht="12" customHeight="1" x14ac:dyDescent="0.4">
      <c r="A9" s="104"/>
      <c r="B9" s="104"/>
      <c r="C9" s="104"/>
      <c r="D9" s="104"/>
      <c r="E9" s="104"/>
      <c r="F9" s="104"/>
      <c r="G9" s="119" t="s">
        <v>342</v>
      </c>
      <c r="H9" s="119"/>
      <c r="I9" s="120"/>
      <c r="J9" s="61"/>
      <c r="K9" s="62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</row>
    <row r="10" spans="1:29" ht="12" customHeight="1" x14ac:dyDescent="0.35">
      <c r="A10" s="12" t="s">
        <v>343</v>
      </c>
      <c r="B10" s="32">
        <v>89050</v>
      </c>
      <c r="C10" s="32" t="s">
        <v>344</v>
      </c>
      <c r="D10" s="32" t="s">
        <v>344</v>
      </c>
      <c r="E10" s="12" t="s">
        <v>143</v>
      </c>
      <c r="F10" s="260" t="s">
        <v>345</v>
      </c>
      <c r="G10" s="12" t="s">
        <v>346</v>
      </c>
      <c r="H10" s="12" t="s">
        <v>52</v>
      </c>
      <c r="I10" s="45" t="s">
        <v>53</v>
      </c>
      <c r="J10" s="8">
        <v>3</v>
      </c>
      <c r="K10" s="8">
        <v>1200</v>
      </c>
      <c r="L10" s="8">
        <f>J10*K10</f>
        <v>3600</v>
      </c>
      <c r="M10" s="8">
        <v>12</v>
      </c>
      <c r="N10" s="8">
        <f t="shared" ref="N10:N15" si="0">M10*K10*$H$6</f>
        <v>14903.999999999998</v>
      </c>
      <c r="O10" s="8">
        <v>12</v>
      </c>
      <c r="P10" s="8">
        <f t="shared" ref="P10:P15" si="1">O10*K10*$H$6*$H$6</f>
        <v>15425.639999999998</v>
      </c>
      <c r="Q10" s="8">
        <v>12</v>
      </c>
      <c r="R10" s="8">
        <f t="shared" ref="R10:R15" si="2">Q10*K10*$H$6*$H$6*$H$6</f>
        <v>15965.537399999996</v>
      </c>
      <c r="S10" s="8">
        <v>0</v>
      </c>
      <c r="T10" s="8">
        <f t="shared" ref="T10:T15" si="3">S10*K10*$H$6*$H$6*$H$6*$H$6</f>
        <v>0</v>
      </c>
      <c r="U10" s="8">
        <f>SUM(L10+N10+P10+R10+T10)</f>
        <v>49895.177399999993</v>
      </c>
      <c r="V10" s="8">
        <v>0</v>
      </c>
      <c r="W10" s="8">
        <f>SUM(U10:V10)</f>
        <v>49895.177399999993</v>
      </c>
      <c r="X10" s="283">
        <f>W10*0.95</f>
        <v>47400.418529999988</v>
      </c>
      <c r="Y10" s="284">
        <f>W10-X10</f>
        <v>2494.7588700000051</v>
      </c>
      <c r="Z10" s="145"/>
      <c r="AA10" s="121"/>
      <c r="AB10" s="49"/>
    </row>
    <row r="11" spans="1:29" ht="12" customHeight="1" x14ac:dyDescent="0.35">
      <c r="A11" s="12" t="s">
        <v>343</v>
      </c>
      <c r="B11" s="32">
        <v>89050</v>
      </c>
      <c r="C11" s="32" t="s">
        <v>344</v>
      </c>
      <c r="D11" s="32" t="s">
        <v>344</v>
      </c>
      <c r="E11" s="12" t="s">
        <v>143</v>
      </c>
      <c r="F11" s="260" t="s">
        <v>347</v>
      </c>
      <c r="G11" s="12" t="s">
        <v>348</v>
      </c>
      <c r="H11" s="12" t="s">
        <v>52</v>
      </c>
      <c r="I11" s="45" t="s">
        <v>53</v>
      </c>
      <c r="J11" s="8">
        <v>3</v>
      </c>
      <c r="K11" s="8">
        <v>800</v>
      </c>
      <c r="L11" s="8">
        <f>J11*K11</f>
        <v>2400</v>
      </c>
      <c r="M11" s="8">
        <v>12</v>
      </c>
      <c r="N11" s="8">
        <f t="shared" si="0"/>
        <v>9936</v>
      </c>
      <c r="O11" s="8">
        <v>12</v>
      </c>
      <c r="P11" s="8">
        <f t="shared" si="1"/>
        <v>10283.759999999998</v>
      </c>
      <c r="Q11" s="8">
        <v>12</v>
      </c>
      <c r="R11" s="8">
        <f t="shared" si="2"/>
        <v>10643.691599999998</v>
      </c>
      <c r="S11" s="8">
        <v>0</v>
      </c>
      <c r="T11" s="8">
        <f t="shared" si="3"/>
        <v>0</v>
      </c>
      <c r="U11" s="8">
        <f>SUM(L11+N11+P11+R11+T11)</f>
        <v>33263.4516</v>
      </c>
      <c r="V11" s="8">
        <v>0</v>
      </c>
      <c r="W11" s="8">
        <f>SUM(U11:V11)</f>
        <v>33263.4516</v>
      </c>
      <c r="X11" s="283">
        <f t="shared" ref="X11:X15" si="4">W11*0.95</f>
        <v>31600.279019999998</v>
      </c>
      <c r="Y11" s="284">
        <f t="shared" ref="Y11:Y15" si="5">W11-X11</f>
        <v>1663.1725800000022</v>
      </c>
      <c r="Z11" s="134"/>
      <c r="AA11" s="13"/>
      <c r="AB11" s="13"/>
    </row>
    <row r="12" spans="1:29" ht="12" customHeight="1" x14ac:dyDescent="0.35">
      <c r="A12" s="12" t="s">
        <v>343</v>
      </c>
      <c r="B12" s="32">
        <v>89050</v>
      </c>
      <c r="C12" s="32" t="s">
        <v>344</v>
      </c>
      <c r="D12" s="32" t="s">
        <v>344</v>
      </c>
      <c r="E12" s="12" t="s">
        <v>143</v>
      </c>
      <c r="F12" s="260" t="s">
        <v>349</v>
      </c>
      <c r="G12" s="12" t="s">
        <v>350</v>
      </c>
      <c r="H12" s="12" t="s">
        <v>52</v>
      </c>
      <c r="I12" s="45" t="s">
        <v>53</v>
      </c>
      <c r="J12" s="8">
        <v>3</v>
      </c>
      <c r="K12" s="8">
        <v>400</v>
      </c>
      <c r="L12" s="8">
        <f>J12*K12</f>
        <v>1200</v>
      </c>
      <c r="M12" s="8">
        <v>12</v>
      </c>
      <c r="N12" s="8">
        <f t="shared" si="0"/>
        <v>4968</v>
      </c>
      <c r="O12" s="8">
        <v>12</v>
      </c>
      <c r="P12" s="8">
        <f t="shared" si="1"/>
        <v>5141.8799999999992</v>
      </c>
      <c r="Q12" s="8">
        <v>12</v>
      </c>
      <c r="R12" s="8">
        <f t="shared" si="2"/>
        <v>5321.8457999999991</v>
      </c>
      <c r="S12" s="8">
        <v>0</v>
      </c>
      <c r="T12" s="8">
        <f t="shared" si="3"/>
        <v>0</v>
      </c>
      <c r="U12" s="8">
        <f>SUM(L12+N12+P12+R12+T12)</f>
        <v>16631.7258</v>
      </c>
      <c r="V12" s="8">
        <v>0</v>
      </c>
      <c r="W12" s="8">
        <f>SUM(U12:V12)</f>
        <v>16631.7258</v>
      </c>
      <c r="X12" s="283">
        <f t="shared" si="4"/>
        <v>15800.139509999999</v>
      </c>
      <c r="Y12" s="284">
        <f t="shared" si="5"/>
        <v>831.5862900000011</v>
      </c>
    </row>
    <row r="13" spans="1:29" ht="12" customHeight="1" x14ac:dyDescent="0.35">
      <c r="A13" s="12" t="s">
        <v>343</v>
      </c>
      <c r="B13" s="32">
        <v>89050</v>
      </c>
      <c r="C13" s="32" t="s">
        <v>344</v>
      </c>
      <c r="D13" s="32" t="s">
        <v>344</v>
      </c>
      <c r="E13" s="12" t="s">
        <v>143</v>
      </c>
      <c r="F13" s="260" t="s">
        <v>351</v>
      </c>
      <c r="G13" s="12" t="s">
        <v>352</v>
      </c>
      <c r="H13" s="12" t="s">
        <v>52</v>
      </c>
      <c r="I13" s="45" t="s">
        <v>53</v>
      </c>
      <c r="J13" s="8">
        <v>3</v>
      </c>
      <c r="K13" s="8">
        <v>200</v>
      </c>
      <c r="L13" s="8">
        <f>J13*K13</f>
        <v>600</v>
      </c>
      <c r="M13" s="8">
        <v>12</v>
      </c>
      <c r="N13" s="8">
        <f t="shared" si="0"/>
        <v>2484</v>
      </c>
      <c r="O13" s="8">
        <v>12</v>
      </c>
      <c r="P13" s="8">
        <f t="shared" si="1"/>
        <v>2570.9399999999996</v>
      </c>
      <c r="Q13" s="8">
        <v>12</v>
      </c>
      <c r="R13" s="8">
        <f t="shared" si="2"/>
        <v>2660.9228999999996</v>
      </c>
      <c r="S13" s="8">
        <v>0</v>
      </c>
      <c r="T13" s="8">
        <f t="shared" si="3"/>
        <v>0</v>
      </c>
      <c r="U13" s="8">
        <f>SUM(L13+N13+P13+R13+T13)</f>
        <v>8315.8629000000001</v>
      </c>
      <c r="V13" s="8">
        <v>0</v>
      </c>
      <c r="W13" s="8">
        <f>SUM(U13:V13)</f>
        <v>8315.8629000000001</v>
      </c>
      <c r="X13" s="283">
        <f t="shared" si="4"/>
        <v>7900.0697549999995</v>
      </c>
      <c r="Y13" s="284">
        <f t="shared" si="5"/>
        <v>415.79314500000055</v>
      </c>
    </row>
    <row r="14" spans="1:29" ht="12" customHeight="1" x14ac:dyDescent="0.35">
      <c r="A14" s="12" t="s">
        <v>343</v>
      </c>
      <c r="B14" s="32">
        <v>89050</v>
      </c>
      <c r="C14" s="32" t="s">
        <v>344</v>
      </c>
      <c r="D14" s="32" t="s">
        <v>344</v>
      </c>
      <c r="E14" s="12" t="s">
        <v>143</v>
      </c>
      <c r="F14" s="260" t="s">
        <v>353</v>
      </c>
      <c r="G14" s="12" t="s">
        <v>354</v>
      </c>
      <c r="H14" s="12" t="s">
        <v>52</v>
      </c>
      <c r="I14" s="45" t="s">
        <v>53</v>
      </c>
      <c r="J14" s="8">
        <v>3</v>
      </c>
      <c r="K14" s="8">
        <v>200</v>
      </c>
      <c r="L14" s="8">
        <f t="shared" ref="L14:L15" si="6">J14*K14</f>
        <v>600</v>
      </c>
      <c r="M14" s="8">
        <v>12</v>
      </c>
      <c r="N14" s="8">
        <f>M14*K14*$H$6</f>
        <v>2484</v>
      </c>
      <c r="O14" s="8">
        <v>12</v>
      </c>
      <c r="P14" s="8">
        <f t="shared" si="1"/>
        <v>2570.9399999999996</v>
      </c>
      <c r="Q14" s="8">
        <v>12</v>
      </c>
      <c r="R14" s="8">
        <f t="shared" si="2"/>
        <v>2660.9228999999996</v>
      </c>
      <c r="S14" s="8">
        <v>0</v>
      </c>
      <c r="T14" s="8">
        <f t="shared" si="3"/>
        <v>0</v>
      </c>
      <c r="U14" s="8">
        <f t="shared" ref="U14:U15" si="7">SUM(L14+N14+P14+R14+T14)</f>
        <v>8315.8629000000001</v>
      </c>
      <c r="V14" s="8">
        <v>0</v>
      </c>
      <c r="W14" s="8">
        <f t="shared" ref="W14:W15" si="8">SUM(U14:V14)</f>
        <v>8315.8629000000001</v>
      </c>
      <c r="X14" s="283">
        <f t="shared" si="4"/>
        <v>7900.0697549999995</v>
      </c>
      <c r="Y14" s="284">
        <f t="shared" si="5"/>
        <v>415.79314500000055</v>
      </c>
    </row>
    <row r="15" spans="1:29" ht="12" customHeight="1" x14ac:dyDescent="0.35">
      <c r="A15" s="12" t="s">
        <v>343</v>
      </c>
      <c r="B15" s="32">
        <v>89050</v>
      </c>
      <c r="C15" s="32" t="s">
        <v>344</v>
      </c>
      <c r="D15" s="32" t="s">
        <v>344</v>
      </c>
      <c r="E15" s="12" t="s">
        <v>143</v>
      </c>
      <c r="F15" s="260" t="s">
        <v>355</v>
      </c>
      <c r="G15" s="12" t="s">
        <v>356</v>
      </c>
      <c r="H15" s="12" t="s">
        <v>52</v>
      </c>
      <c r="I15" s="45" t="s">
        <v>53</v>
      </c>
      <c r="J15" s="8">
        <v>3</v>
      </c>
      <c r="K15" s="8">
        <v>200</v>
      </c>
      <c r="L15" s="8">
        <f t="shared" si="6"/>
        <v>600</v>
      </c>
      <c r="M15" s="8">
        <v>12</v>
      </c>
      <c r="N15" s="8">
        <f t="shared" si="0"/>
        <v>2484</v>
      </c>
      <c r="O15" s="8">
        <v>12</v>
      </c>
      <c r="P15" s="8">
        <f t="shared" si="1"/>
        <v>2570.9399999999996</v>
      </c>
      <c r="Q15" s="8">
        <v>12</v>
      </c>
      <c r="R15" s="8">
        <f t="shared" si="2"/>
        <v>2660.9228999999996</v>
      </c>
      <c r="S15" s="8">
        <v>0</v>
      </c>
      <c r="T15" s="8">
        <f t="shared" si="3"/>
        <v>0</v>
      </c>
      <c r="U15" s="8">
        <f t="shared" si="7"/>
        <v>8315.8629000000001</v>
      </c>
      <c r="V15" s="8">
        <v>0</v>
      </c>
      <c r="W15" s="8">
        <f t="shared" si="8"/>
        <v>8315.8629000000001</v>
      </c>
      <c r="X15" s="283">
        <f t="shared" si="4"/>
        <v>7900.0697549999995</v>
      </c>
      <c r="Y15" s="284">
        <f t="shared" si="5"/>
        <v>415.79314500000055</v>
      </c>
    </row>
    <row r="16" spans="1:29" ht="12" customHeight="1" x14ac:dyDescent="0.35">
      <c r="A16" s="8"/>
      <c r="B16" s="8"/>
      <c r="C16" s="8"/>
      <c r="D16" s="8"/>
      <c r="E16" s="8"/>
      <c r="F16" s="260"/>
      <c r="G16" s="12"/>
      <c r="H16" s="12"/>
      <c r="I16" s="45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285"/>
      <c r="Y16" s="285"/>
      <c r="Z16" s="13"/>
    </row>
    <row r="17" spans="1:26" ht="12" customHeight="1" x14ac:dyDescent="0.4">
      <c r="A17" s="48"/>
      <c r="B17" s="48"/>
      <c r="C17" s="48"/>
      <c r="D17" s="48"/>
      <c r="E17" s="48"/>
      <c r="F17" s="261"/>
      <c r="G17" s="47" t="s">
        <v>69</v>
      </c>
      <c r="H17" s="47"/>
      <c r="I17" s="46"/>
      <c r="J17" s="48"/>
      <c r="K17" s="48"/>
      <c r="L17" s="48">
        <f>SUM(L10:L15)</f>
        <v>9000</v>
      </c>
      <c r="M17" s="48"/>
      <c r="N17" s="48">
        <f>SUM(N10:N15)</f>
        <v>37260</v>
      </c>
      <c r="O17" s="48"/>
      <c r="P17" s="48">
        <f>SUM(P10:P15)</f>
        <v>38564.1</v>
      </c>
      <c r="Q17" s="48"/>
      <c r="R17" s="48">
        <f>SUM(R10:R15)</f>
        <v>39913.843499999988</v>
      </c>
      <c r="S17" s="48"/>
      <c r="T17" s="48">
        <f>SUM(T10:T15)</f>
        <v>0</v>
      </c>
      <c r="U17" s="48">
        <f>SUM(L17+N17+P17+R17+T17)</f>
        <v>124737.94349999999</v>
      </c>
      <c r="V17" s="48">
        <f>SUM(V10:V15)</f>
        <v>0</v>
      </c>
      <c r="W17" s="48">
        <f>SUM(U17:V17)</f>
        <v>124737.94349999999</v>
      </c>
      <c r="X17" s="285"/>
      <c r="Y17" s="286"/>
      <c r="Z17" s="121"/>
    </row>
    <row r="18" spans="1:26" ht="12" customHeight="1" x14ac:dyDescent="0.4">
      <c r="A18" s="48"/>
      <c r="B18" s="48"/>
      <c r="C18" s="48"/>
      <c r="D18" s="48"/>
      <c r="E18" s="48"/>
      <c r="F18" s="261"/>
      <c r="G18" s="47"/>
      <c r="H18" s="47"/>
      <c r="I18" s="46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285"/>
      <c r="Y18" s="286"/>
      <c r="Z18" s="121"/>
    </row>
    <row r="19" spans="1:26" ht="12" customHeight="1" x14ac:dyDescent="0.4">
      <c r="A19" s="114"/>
      <c r="B19" s="114"/>
      <c r="C19" s="114"/>
      <c r="D19" s="114"/>
      <c r="E19" s="114"/>
      <c r="F19" s="262"/>
      <c r="G19" s="119" t="s">
        <v>70</v>
      </c>
      <c r="H19" s="119"/>
      <c r="I19" s="120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68"/>
      <c r="V19" s="114"/>
      <c r="W19" s="114"/>
      <c r="X19" s="285"/>
      <c r="Y19" s="287"/>
      <c r="Z19" s="13"/>
    </row>
    <row r="20" spans="1:26" ht="12" customHeight="1" x14ac:dyDescent="0.35">
      <c r="A20" s="12" t="s">
        <v>343</v>
      </c>
      <c r="B20" s="32">
        <v>89050</v>
      </c>
      <c r="C20" s="32" t="s">
        <v>344</v>
      </c>
      <c r="D20" s="32" t="s">
        <v>344</v>
      </c>
      <c r="E20" s="12" t="s">
        <v>143</v>
      </c>
      <c r="F20" s="260" t="s">
        <v>357</v>
      </c>
      <c r="G20" s="12" t="s">
        <v>358</v>
      </c>
      <c r="H20" s="12" t="s">
        <v>359</v>
      </c>
      <c r="I20" s="45"/>
      <c r="J20" s="8"/>
      <c r="K20" s="135">
        <v>0.5</v>
      </c>
      <c r="L20" s="8">
        <f>K20*L17</f>
        <v>4500</v>
      </c>
      <c r="M20" s="8"/>
      <c r="N20" s="8">
        <f>K20*N17</f>
        <v>18630</v>
      </c>
      <c r="O20" s="8"/>
      <c r="P20" s="8">
        <f>K20*P17</f>
        <v>19282.05</v>
      </c>
      <c r="Q20" s="8"/>
      <c r="R20" s="8">
        <f>R17*K20</f>
        <v>19956.921749999994</v>
      </c>
      <c r="S20" s="8"/>
      <c r="T20" s="8">
        <f>K20*T17</f>
        <v>0</v>
      </c>
      <c r="U20" s="8">
        <f>SUM(T20,R20,P20,N20,L20)</f>
        <v>62368.971749999997</v>
      </c>
      <c r="V20" s="8">
        <v>0</v>
      </c>
      <c r="W20" s="8">
        <f>SUM(U20:V20)</f>
        <v>62368.971749999997</v>
      </c>
      <c r="X20" s="283">
        <f t="shared" ref="X20" si="9">W20*0.95</f>
        <v>59250.523162499994</v>
      </c>
      <c r="Y20" s="284">
        <f t="shared" ref="Y20" si="10">W20-X20</f>
        <v>3118.4485875000028</v>
      </c>
      <c r="Z20" s="13"/>
    </row>
    <row r="21" spans="1:26" ht="12" customHeight="1" x14ac:dyDescent="0.35">
      <c r="A21" s="17"/>
      <c r="B21" s="17"/>
      <c r="C21" s="17"/>
      <c r="D21" s="17"/>
      <c r="E21" s="17"/>
      <c r="F21" s="263"/>
      <c r="I21" s="31"/>
      <c r="J21" s="2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8"/>
      <c r="W21" s="17"/>
      <c r="X21" s="285"/>
      <c r="Y21" s="285"/>
      <c r="Z21" s="13"/>
    </row>
    <row r="22" spans="1:26" ht="10.8" thickBot="1" x14ac:dyDescent="0.45">
      <c r="A22" s="19"/>
      <c r="B22" s="19"/>
      <c r="C22" s="19"/>
      <c r="D22" s="19"/>
      <c r="E22" s="19"/>
      <c r="F22" s="264"/>
      <c r="G22" s="18" t="s">
        <v>75</v>
      </c>
      <c r="H22" s="18"/>
      <c r="I22" s="28"/>
      <c r="J22" s="28"/>
      <c r="K22" s="29"/>
      <c r="L22" s="19">
        <f>SUM(L17:L20)</f>
        <v>13500</v>
      </c>
      <c r="M22" s="19"/>
      <c r="N22" s="19">
        <f>SUM(N17:N20)</f>
        <v>55890</v>
      </c>
      <c r="O22" s="19"/>
      <c r="P22" s="19">
        <f>SUM(P17:P20)</f>
        <v>57846.149999999994</v>
      </c>
      <c r="Q22" s="19"/>
      <c r="R22" s="19">
        <f>SUM(R17:R20)</f>
        <v>59870.765249999982</v>
      </c>
      <c r="S22" s="19"/>
      <c r="T22" s="19">
        <f>SUM(T17:T20)</f>
        <v>0</v>
      </c>
      <c r="U22" s="19">
        <f>L22+N22+P22+R22+T22</f>
        <v>187106.91524999996</v>
      </c>
      <c r="V22" s="19">
        <f>SUM(V9:V20)</f>
        <v>0</v>
      </c>
      <c r="W22" s="30">
        <f>SUM(U22:V22)</f>
        <v>187106.91524999996</v>
      </c>
      <c r="Z22" s="136"/>
    </row>
    <row r="23" spans="1:26" ht="12" customHeight="1" x14ac:dyDescent="0.35">
      <c r="A23" s="17"/>
      <c r="B23" s="17"/>
      <c r="C23" s="17"/>
      <c r="D23" s="17"/>
      <c r="E23" s="17"/>
      <c r="F23" s="263"/>
      <c r="I23" s="31"/>
      <c r="J23" s="2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8"/>
      <c r="W23" s="17"/>
      <c r="X23" s="285"/>
      <c r="Y23" s="285"/>
      <c r="Z23" s="13"/>
    </row>
    <row r="24" spans="1:26" ht="12" customHeight="1" x14ac:dyDescent="0.4">
      <c r="A24" s="55"/>
      <c r="B24" s="55"/>
      <c r="C24" s="55"/>
      <c r="D24" s="55"/>
      <c r="E24" s="55"/>
      <c r="F24" s="265"/>
      <c r="G24" s="52" t="s">
        <v>8</v>
      </c>
      <c r="H24" s="52"/>
      <c r="I24" s="53"/>
      <c r="J24" s="53"/>
      <c r="K24" s="54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6"/>
      <c r="Y24" s="288"/>
    </row>
    <row r="25" spans="1:26" ht="12" customHeight="1" x14ac:dyDescent="0.35">
      <c r="A25" s="68"/>
      <c r="B25" s="68"/>
      <c r="C25" s="68"/>
      <c r="D25" s="68"/>
      <c r="E25" s="68"/>
      <c r="F25" s="266"/>
      <c r="G25" s="58" t="s">
        <v>360</v>
      </c>
      <c r="H25" s="72"/>
      <c r="I25" s="67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Y25" s="289"/>
    </row>
    <row r="26" spans="1:26" ht="12" customHeight="1" x14ac:dyDescent="0.35">
      <c r="A26" s="12" t="s">
        <v>343</v>
      </c>
      <c r="B26" s="32">
        <v>89050</v>
      </c>
      <c r="C26" s="32" t="s">
        <v>344</v>
      </c>
      <c r="D26" s="32" t="s">
        <v>344</v>
      </c>
      <c r="E26" s="12" t="s">
        <v>143</v>
      </c>
      <c r="F26" s="260" t="s">
        <v>361</v>
      </c>
      <c r="G26" s="1" t="s">
        <v>362</v>
      </c>
      <c r="H26" s="1" t="s">
        <v>8</v>
      </c>
      <c r="I26" s="32" t="s">
        <v>79</v>
      </c>
      <c r="J26" s="8">
        <v>1</v>
      </c>
      <c r="K26" s="8">
        <v>375</v>
      </c>
      <c r="L26" s="8">
        <f>J26*K26</f>
        <v>375</v>
      </c>
      <c r="M26" s="8">
        <v>2</v>
      </c>
      <c r="N26" s="8">
        <f t="shared" ref="N26:N28" si="11">M26*K26*$H$5</f>
        <v>787.5</v>
      </c>
      <c r="O26" s="8">
        <v>2</v>
      </c>
      <c r="P26" s="8">
        <f t="shared" ref="P26:P28" si="12">O26*K26*$H$5*$H$5</f>
        <v>826.875</v>
      </c>
      <c r="Q26" s="8">
        <v>2</v>
      </c>
      <c r="R26" s="8">
        <f t="shared" ref="R26:R28" si="13">Q26*K26*$H$5*$H$5*$H$5</f>
        <v>868.21875</v>
      </c>
      <c r="S26" s="8">
        <v>0</v>
      </c>
      <c r="T26" s="8">
        <f t="shared" ref="T26:T28" si="14">S26*K26*$H$5*$H$5*$H$5*$H$5</f>
        <v>0</v>
      </c>
      <c r="U26" s="8">
        <f>L26+N26+P26+R26+T26</f>
        <v>2857.59375</v>
      </c>
      <c r="V26" s="8" t="s">
        <v>80</v>
      </c>
      <c r="W26" s="8">
        <f>SUM(U26:V26)</f>
        <v>2857.59375</v>
      </c>
      <c r="X26" s="283">
        <f t="shared" ref="X26:X28" si="15">W26*0.95</f>
        <v>2714.7140624999997</v>
      </c>
      <c r="Y26" s="284">
        <f t="shared" ref="Y26:Y28" si="16">W26-X26</f>
        <v>142.87968750000027</v>
      </c>
    </row>
    <row r="27" spans="1:26" ht="12" customHeight="1" x14ac:dyDescent="0.35">
      <c r="A27" s="12" t="s">
        <v>343</v>
      </c>
      <c r="B27" s="32">
        <v>89050</v>
      </c>
      <c r="C27" s="32" t="s">
        <v>344</v>
      </c>
      <c r="D27" s="32" t="s">
        <v>344</v>
      </c>
      <c r="E27" s="12" t="s">
        <v>143</v>
      </c>
      <c r="F27" s="260" t="s">
        <v>363</v>
      </c>
      <c r="G27" s="1" t="s">
        <v>364</v>
      </c>
      <c r="H27" s="1" t="s">
        <v>8</v>
      </c>
      <c r="I27" s="32" t="s">
        <v>84</v>
      </c>
      <c r="J27" s="8">
        <v>7</v>
      </c>
      <c r="K27" s="8">
        <v>110</v>
      </c>
      <c r="L27" s="8">
        <f>J27*K27</f>
        <v>770</v>
      </c>
      <c r="M27" s="8">
        <v>14</v>
      </c>
      <c r="N27" s="8">
        <f t="shared" si="11"/>
        <v>1617</v>
      </c>
      <c r="O27" s="8">
        <v>14</v>
      </c>
      <c r="P27" s="8">
        <f t="shared" si="12"/>
        <v>1697.8500000000001</v>
      </c>
      <c r="Q27" s="8">
        <v>14</v>
      </c>
      <c r="R27" s="8">
        <f t="shared" si="13"/>
        <v>1782.7425000000003</v>
      </c>
      <c r="S27" s="8">
        <v>0</v>
      </c>
      <c r="T27" s="8">
        <f t="shared" si="14"/>
        <v>0</v>
      </c>
      <c r="U27" s="8">
        <f>L27+N27+P27+R27+T27</f>
        <v>5867.5925000000007</v>
      </c>
      <c r="V27" s="8" t="s">
        <v>80</v>
      </c>
      <c r="W27" s="8">
        <f>SUM(U27:V27)</f>
        <v>5867.5925000000007</v>
      </c>
      <c r="X27" s="283">
        <f t="shared" si="15"/>
        <v>5574.2128750000002</v>
      </c>
      <c r="Y27" s="284">
        <f t="shared" si="16"/>
        <v>293.37962500000049</v>
      </c>
    </row>
    <row r="28" spans="1:26" ht="12" customHeight="1" x14ac:dyDescent="0.35">
      <c r="A28" s="12" t="s">
        <v>343</v>
      </c>
      <c r="B28" s="32">
        <v>89050</v>
      </c>
      <c r="C28" s="32" t="s">
        <v>344</v>
      </c>
      <c r="D28" s="32" t="s">
        <v>344</v>
      </c>
      <c r="E28" s="12" t="s">
        <v>143</v>
      </c>
      <c r="F28" s="260" t="s">
        <v>365</v>
      </c>
      <c r="G28" s="1" t="s">
        <v>366</v>
      </c>
      <c r="H28" s="1" t="s">
        <v>8</v>
      </c>
      <c r="I28" s="32" t="s">
        <v>84</v>
      </c>
      <c r="J28" s="8">
        <v>7</v>
      </c>
      <c r="K28" s="8">
        <v>25</v>
      </c>
      <c r="L28" s="8">
        <f>J28*K28</f>
        <v>175</v>
      </c>
      <c r="M28" s="8">
        <v>14</v>
      </c>
      <c r="N28" s="8">
        <f t="shared" si="11"/>
        <v>367.5</v>
      </c>
      <c r="O28" s="8">
        <v>14</v>
      </c>
      <c r="P28" s="8">
        <f t="shared" si="12"/>
        <v>385.875</v>
      </c>
      <c r="Q28" s="8">
        <v>14</v>
      </c>
      <c r="R28" s="8">
        <f t="shared" si="13"/>
        <v>405.16875000000005</v>
      </c>
      <c r="S28" s="8">
        <v>0</v>
      </c>
      <c r="T28" s="8">
        <f t="shared" si="14"/>
        <v>0</v>
      </c>
      <c r="U28" s="8">
        <f>L28+N28+P28+R28+T28</f>
        <v>1333.54375</v>
      </c>
      <c r="V28" s="8" t="s">
        <v>80</v>
      </c>
      <c r="W28" s="8">
        <f>SUM(U28:V28)</f>
        <v>1333.54375</v>
      </c>
      <c r="X28" s="283">
        <f t="shared" si="15"/>
        <v>1266.8665624999999</v>
      </c>
      <c r="Y28" s="284">
        <f t="shared" si="16"/>
        <v>66.677187500000173</v>
      </c>
    </row>
    <row r="29" spans="1:26" ht="12" customHeight="1" x14ac:dyDescent="0.35">
      <c r="A29" s="8"/>
      <c r="B29" s="8"/>
      <c r="C29" s="8"/>
      <c r="D29" s="8"/>
      <c r="E29" s="8"/>
      <c r="F29" s="260"/>
      <c r="G29" s="12"/>
      <c r="H29" s="12"/>
      <c r="I29" s="32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Y29" s="289"/>
    </row>
    <row r="30" spans="1:26" ht="12" customHeight="1" thickBot="1" x14ac:dyDescent="0.45">
      <c r="A30" s="19"/>
      <c r="B30" s="19"/>
      <c r="C30" s="19"/>
      <c r="D30" s="19"/>
      <c r="E30" s="19"/>
      <c r="F30" s="264"/>
      <c r="G30" s="18" t="s">
        <v>107</v>
      </c>
      <c r="H30" s="18"/>
      <c r="I30" s="28"/>
      <c r="J30" s="28"/>
      <c r="K30" s="29"/>
      <c r="L30" s="19">
        <f>SUM(L26:L28)</f>
        <v>1320</v>
      </c>
      <c r="M30" s="19"/>
      <c r="N30" s="19">
        <f>SUM(N26:N28)</f>
        <v>2772</v>
      </c>
      <c r="O30" s="19"/>
      <c r="P30" s="19">
        <f>SUM(P26:P28)</f>
        <v>2910.6000000000004</v>
      </c>
      <c r="Q30" s="19"/>
      <c r="R30" s="19">
        <f>SUM(R26:R28)</f>
        <v>3056.13</v>
      </c>
      <c r="S30" s="19"/>
      <c r="T30" s="19">
        <f>SUM(T26:T28)</f>
        <v>0</v>
      </c>
      <c r="U30" s="19">
        <f>L30+N30+P30+R30+T30</f>
        <v>10058.73</v>
      </c>
      <c r="V30" s="19">
        <f>SUM(V26:V28)</f>
        <v>0</v>
      </c>
      <c r="W30" s="30">
        <f>SUM(U30:V30)</f>
        <v>10058.73</v>
      </c>
      <c r="Y30" s="289"/>
    </row>
    <row r="31" spans="1:26" ht="12" customHeight="1" x14ac:dyDescent="0.4">
      <c r="A31" s="11"/>
      <c r="B31" s="11"/>
      <c r="C31" s="11"/>
      <c r="D31" s="11"/>
      <c r="E31" s="11"/>
      <c r="F31" s="267"/>
      <c r="G31" s="38" t="s">
        <v>115</v>
      </c>
      <c r="H31" s="38"/>
      <c r="I31" s="38"/>
      <c r="J31" s="38"/>
      <c r="K31" s="39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290"/>
    </row>
    <row r="32" spans="1:26" ht="12" customHeight="1" x14ac:dyDescent="0.35">
      <c r="A32" s="12" t="s">
        <v>343</v>
      </c>
      <c r="B32" s="32">
        <v>89050</v>
      </c>
      <c r="C32" s="32" t="s">
        <v>344</v>
      </c>
      <c r="D32" s="32" t="s">
        <v>344</v>
      </c>
      <c r="E32" s="12" t="s">
        <v>143</v>
      </c>
      <c r="F32" s="260" t="s">
        <v>367</v>
      </c>
      <c r="G32" s="1" t="s">
        <v>368</v>
      </c>
      <c r="H32" s="12" t="s">
        <v>115</v>
      </c>
      <c r="I32" s="31" t="s">
        <v>112</v>
      </c>
      <c r="J32" s="8">
        <v>4</v>
      </c>
      <c r="K32" s="8">
        <v>650</v>
      </c>
      <c r="L32" s="8">
        <f t="shared" ref="L32:L34" si="17">J32*K32</f>
        <v>2600</v>
      </c>
      <c r="M32" s="8">
        <v>0</v>
      </c>
      <c r="N32" s="8">
        <f>M32*K32*$H$5</f>
        <v>0</v>
      </c>
      <c r="O32" s="8">
        <v>0</v>
      </c>
      <c r="P32" s="8">
        <f>O32*K32*$H$5*$H$5</f>
        <v>0</v>
      </c>
      <c r="Q32" s="8">
        <v>0</v>
      </c>
      <c r="R32" s="8">
        <f>Q32*K32*$H$5*$H$5*$H$5</f>
        <v>0</v>
      </c>
      <c r="S32" s="8">
        <v>0</v>
      </c>
      <c r="T32" s="8">
        <f>S32*K32*$H$5*$H$5*$H$5*$H$5</f>
        <v>0</v>
      </c>
      <c r="U32" s="8">
        <f t="shared" ref="U32:U34" si="18">L32+N32+P32+R32+T32</f>
        <v>2600</v>
      </c>
      <c r="V32" s="8">
        <v>0</v>
      </c>
      <c r="W32" s="8">
        <f t="shared" ref="W32:W34" si="19">SUM(U32:V32)</f>
        <v>2600</v>
      </c>
      <c r="X32" s="283">
        <f t="shared" ref="X32:X34" si="20">W32*0.95</f>
        <v>2470</v>
      </c>
      <c r="Y32" s="284">
        <f t="shared" ref="Y32:Y34" si="21">W32-X32</f>
        <v>130</v>
      </c>
    </row>
    <row r="33" spans="1:41" ht="12" customHeight="1" x14ac:dyDescent="0.35">
      <c r="A33" s="12" t="s">
        <v>343</v>
      </c>
      <c r="B33" s="32">
        <v>89050</v>
      </c>
      <c r="C33" s="32" t="s">
        <v>344</v>
      </c>
      <c r="D33" s="32" t="s">
        <v>344</v>
      </c>
      <c r="E33" s="12" t="s">
        <v>143</v>
      </c>
      <c r="F33" s="260" t="s">
        <v>369</v>
      </c>
      <c r="G33" s="12" t="s">
        <v>370</v>
      </c>
      <c r="H33" s="12" t="s">
        <v>115</v>
      </c>
      <c r="I33" s="31" t="s">
        <v>112</v>
      </c>
      <c r="J33" s="8">
        <v>2</v>
      </c>
      <c r="K33" s="8">
        <v>600</v>
      </c>
      <c r="L33" s="8">
        <f t="shared" si="17"/>
        <v>1200</v>
      </c>
      <c r="M33" s="8">
        <v>0</v>
      </c>
      <c r="N33" s="8">
        <f>M33*K33*$H$5</f>
        <v>0</v>
      </c>
      <c r="O33" s="8">
        <v>0</v>
      </c>
      <c r="P33" s="8">
        <f>O33*K33*$H$5*$H$5</f>
        <v>0</v>
      </c>
      <c r="Q33" s="8">
        <v>0</v>
      </c>
      <c r="R33" s="8">
        <f>Q33*K33*$H$5*$H$5*$H$5</f>
        <v>0</v>
      </c>
      <c r="S33" s="8">
        <v>0</v>
      </c>
      <c r="T33" s="8">
        <f>S33*K33*$H$5*$H$5*$H$5*$H$5</f>
        <v>0</v>
      </c>
      <c r="U33" s="8">
        <f t="shared" si="18"/>
        <v>1200</v>
      </c>
      <c r="V33" s="8">
        <v>0</v>
      </c>
      <c r="W33" s="8">
        <f t="shared" si="19"/>
        <v>1200</v>
      </c>
      <c r="X33" s="283">
        <f t="shared" si="20"/>
        <v>1140</v>
      </c>
      <c r="Y33" s="284">
        <f t="shared" si="21"/>
        <v>60</v>
      </c>
      <c r="Z33" s="137"/>
      <c r="AC33" s="5"/>
      <c r="AD33" s="8"/>
      <c r="AE33" s="8"/>
      <c r="AF33" s="8"/>
      <c r="AG33" s="8"/>
      <c r="AH33" s="8"/>
      <c r="AI33" s="5"/>
      <c r="AJ33" s="8"/>
      <c r="AK33" s="5"/>
      <c r="AL33" s="5"/>
      <c r="AM33" s="5"/>
      <c r="AN33" s="13"/>
      <c r="AO33" s="13"/>
    </row>
    <row r="34" spans="1:41" ht="12" customHeight="1" x14ac:dyDescent="0.35">
      <c r="A34" s="12" t="s">
        <v>343</v>
      </c>
      <c r="B34" s="32">
        <v>89050</v>
      </c>
      <c r="C34" s="32" t="s">
        <v>344</v>
      </c>
      <c r="D34" s="32" t="s">
        <v>344</v>
      </c>
      <c r="E34" s="12" t="s">
        <v>143</v>
      </c>
      <c r="F34" s="260" t="s">
        <v>371</v>
      </c>
      <c r="G34" s="12" t="s">
        <v>372</v>
      </c>
      <c r="H34" s="12" t="s">
        <v>115</v>
      </c>
      <c r="I34" s="31" t="s">
        <v>112</v>
      </c>
      <c r="J34" s="8">
        <v>1</v>
      </c>
      <c r="K34" s="8">
        <v>300</v>
      </c>
      <c r="L34" s="8">
        <f t="shared" si="17"/>
        <v>300</v>
      </c>
      <c r="M34" s="8">
        <v>0</v>
      </c>
      <c r="N34" s="8">
        <f>M34*K34*$H$5</f>
        <v>0</v>
      </c>
      <c r="O34" s="8">
        <v>0</v>
      </c>
      <c r="P34" s="8">
        <f>O34*K34*$H$5*$H$5</f>
        <v>0</v>
      </c>
      <c r="Q34" s="8">
        <v>0</v>
      </c>
      <c r="R34" s="8">
        <f>Q34*K34*$H$5*$H$5*$H$5</f>
        <v>0</v>
      </c>
      <c r="S34" s="8">
        <v>0</v>
      </c>
      <c r="T34" s="8">
        <f>S34*K34*$H$5*$H$5*$H$5*$H$5</f>
        <v>0</v>
      </c>
      <c r="U34" s="8">
        <f t="shared" si="18"/>
        <v>300</v>
      </c>
      <c r="V34" s="8">
        <v>0</v>
      </c>
      <c r="W34" s="8">
        <f t="shared" si="19"/>
        <v>300</v>
      </c>
      <c r="X34" s="283">
        <f t="shared" si="20"/>
        <v>285</v>
      </c>
      <c r="Y34" s="284">
        <f t="shared" si="21"/>
        <v>15</v>
      </c>
    </row>
    <row r="35" spans="1:41" ht="12" customHeight="1" x14ac:dyDescent="0.35">
      <c r="F35" s="268"/>
      <c r="G35" s="12"/>
      <c r="H35" s="12"/>
      <c r="I35" s="32"/>
    </row>
    <row r="36" spans="1:41" ht="12" customHeight="1" thickBot="1" x14ac:dyDescent="0.45">
      <c r="A36" s="113"/>
      <c r="B36" s="113"/>
      <c r="C36" s="113"/>
      <c r="D36" s="113"/>
      <c r="E36" s="113"/>
      <c r="F36" s="269"/>
      <c r="G36" s="33" t="s">
        <v>373</v>
      </c>
      <c r="H36" s="33"/>
      <c r="I36" s="18"/>
      <c r="J36" s="18"/>
      <c r="K36" s="9"/>
      <c r="L36" s="113">
        <f>SUM(L32:L34)</f>
        <v>4100</v>
      </c>
      <c r="M36" s="113"/>
      <c r="N36" s="113">
        <f>SUM(N32:N34)</f>
        <v>0</v>
      </c>
      <c r="O36" s="113"/>
      <c r="P36" s="113">
        <f>SUM(P32:P34)</f>
        <v>0</v>
      </c>
      <c r="Q36" s="113"/>
      <c r="R36" s="113">
        <f>SUM(R32:R34)</f>
        <v>0</v>
      </c>
      <c r="S36" s="113"/>
      <c r="T36" s="113">
        <f>SUM(T32:T34)</f>
        <v>0</v>
      </c>
      <c r="U36" s="19">
        <f>L36+N36+P36+R36+T36</f>
        <v>4100</v>
      </c>
      <c r="V36" s="113">
        <f>SUM(V32:V34)</f>
        <v>0</v>
      </c>
      <c r="W36" s="30">
        <f>SUM(U36:V36)</f>
        <v>4100</v>
      </c>
      <c r="Z36" s="138"/>
    </row>
    <row r="37" spans="1:41" ht="12" customHeight="1" x14ac:dyDescent="0.4">
      <c r="A37" s="11"/>
      <c r="B37" s="11"/>
      <c r="C37" s="11"/>
      <c r="D37" s="11"/>
      <c r="E37" s="11"/>
      <c r="F37" s="267"/>
      <c r="G37" s="38" t="s">
        <v>374</v>
      </c>
      <c r="H37" s="38"/>
      <c r="I37" s="38"/>
      <c r="J37" s="38"/>
      <c r="K37" s="39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Y37" s="290"/>
    </row>
    <row r="38" spans="1:41" ht="12" customHeight="1" x14ac:dyDescent="0.35">
      <c r="A38" s="12" t="s">
        <v>343</v>
      </c>
      <c r="B38" s="32">
        <v>89050</v>
      </c>
      <c r="C38" s="32" t="s">
        <v>344</v>
      </c>
      <c r="D38" s="32" t="s">
        <v>344</v>
      </c>
      <c r="E38" s="12" t="s">
        <v>143</v>
      </c>
      <c r="F38" s="260" t="s">
        <v>375</v>
      </c>
      <c r="G38" s="12" t="s">
        <v>376</v>
      </c>
      <c r="H38" s="12" t="s">
        <v>374</v>
      </c>
      <c r="I38" s="32" t="s">
        <v>53</v>
      </c>
      <c r="J38" s="8">
        <v>1</v>
      </c>
      <c r="K38" s="8">
        <v>30</v>
      </c>
      <c r="L38" s="8">
        <f t="shared" ref="L38:L44" si="22">J38*K38</f>
        <v>30</v>
      </c>
      <c r="M38" s="8">
        <v>12</v>
      </c>
      <c r="N38" s="8">
        <f t="shared" ref="N38:N44" si="23">M38*K38*$H$5</f>
        <v>378</v>
      </c>
      <c r="O38" s="8">
        <v>12</v>
      </c>
      <c r="P38" s="8">
        <f t="shared" ref="P38:P44" si="24">O38*K38*$H$5*$H$5</f>
        <v>396.90000000000003</v>
      </c>
      <c r="Q38" s="8">
        <v>12</v>
      </c>
      <c r="R38" s="8">
        <f t="shared" ref="R38:R44" si="25">Q38*K38*$H$5*$H$5*$H$5</f>
        <v>416.74500000000006</v>
      </c>
      <c r="S38" s="8">
        <v>0</v>
      </c>
      <c r="T38" s="8">
        <f t="shared" ref="T38:T44" si="26">S38*K38*$H$5*$H$5*$H$5*$H$5</f>
        <v>0</v>
      </c>
      <c r="U38" s="8">
        <f t="shared" ref="U38:U44" si="27">L38+N38+P38+R38+T38</f>
        <v>1221.6450000000002</v>
      </c>
      <c r="V38" s="8">
        <v>0</v>
      </c>
      <c r="W38" s="8">
        <f t="shared" ref="W38:W44" si="28">SUM(U38:V38)</f>
        <v>1221.6450000000002</v>
      </c>
      <c r="X38" s="283">
        <f t="shared" ref="X38:X44" si="29">W38*0.95</f>
        <v>1160.5627500000001</v>
      </c>
      <c r="Y38" s="284">
        <f t="shared" ref="Y38:Y44" si="30">W38-X38</f>
        <v>61.082250000000158</v>
      </c>
    </row>
    <row r="39" spans="1:41" ht="12" customHeight="1" x14ac:dyDescent="0.35">
      <c r="A39" s="12" t="s">
        <v>343</v>
      </c>
      <c r="B39" s="32">
        <v>89050</v>
      </c>
      <c r="C39" s="32" t="s">
        <v>344</v>
      </c>
      <c r="D39" s="32" t="s">
        <v>344</v>
      </c>
      <c r="E39" s="12" t="s">
        <v>143</v>
      </c>
      <c r="F39" s="260" t="s">
        <v>377</v>
      </c>
      <c r="G39" s="12" t="s">
        <v>378</v>
      </c>
      <c r="H39" s="12" t="s">
        <v>374</v>
      </c>
      <c r="I39" s="32" t="s">
        <v>118</v>
      </c>
      <c r="J39" s="8">
        <v>0</v>
      </c>
      <c r="K39" s="8">
        <v>50</v>
      </c>
      <c r="L39" s="8">
        <f t="shared" si="22"/>
        <v>0</v>
      </c>
      <c r="M39" s="8">
        <v>1</v>
      </c>
      <c r="N39" s="8">
        <f t="shared" si="23"/>
        <v>52.5</v>
      </c>
      <c r="O39" s="8">
        <v>1</v>
      </c>
      <c r="P39" s="8">
        <f t="shared" si="24"/>
        <v>55.125</v>
      </c>
      <c r="Q39" s="8">
        <v>1</v>
      </c>
      <c r="R39" s="8">
        <f t="shared" si="25"/>
        <v>57.881250000000001</v>
      </c>
      <c r="S39" s="8">
        <v>0</v>
      </c>
      <c r="T39" s="8">
        <f t="shared" si="26"/>
        <v>0</v>
      </c>
      <c r="U39" s="8">
        <f t="shared" si="27"/>
        <v>165.50624999999999</v>
      </c>
      <c r="V39" s="8">
        <v>0</v>
      </c>
      <c r="W39" s="8">
        <f t="shared" si="28"/>
        <v>165.50624999999999</v>
      </c>
      <c r="X39" s="283">
        <f t="shared" si="29"/>
        <v>157.23093749999998</v>
      </c>
      <c r="Y39" s="284">
        <f t="shared" si="30"/>
        <v>8.2753125000000125</v>
      </c>
    </row>
    <row r="40" spans="1:41" ht="12" customHeight="1" x14ac:dyDescent="0.35">
      <c r="A40" s="12" t="s">
        <v>343</v>
      </c>
      <c r="B40" s="32">
        <v>89050</v>
      </c>
      <c r="C40" s="32" t="s">
        <v>344</v>
      </c>
      <c r="D40" s="32" t="s">
        <v>344</v>
      </c>
      <c r="E40" s="12" t="s">
        <v>143</v>
      </c>
      <c r="F40" s="260" t="s">
        <v>379</v>
      </c>
      <c r="G40" s="12" t="s">
        <v>380</v>
      </c>
      <c r="H40" s="12" t="s">
        <v>374</v>
      </c>
      <c r="I40" s="32" t="s">
        <v>53</v>
      </c>
      <c r="J40" s="8">
        <v>3</v>
      </c>
      <c r="K40" s="8">
        <v>40</v>
      </c>
      <c r="L40" s="8">
        <f t="shared" si="22"/>
        <v>120</v>
      </c>
      <c r="M40" s="8">
        <v>12</v>
      </c>
      <c r="N40" s="8">
        <f t="shared" si="23"/>
        <v>504</v>
      </c>
      <c r="O40" s="8">
        <v>12</v>
      </c>
      <c r="P40" s="8">
        <f t="shared" si="24"/>
        <v>529.20000000000005</v>
      </c>
      <c r="Q40" s="8">
        <v>12</v>
      </c>
      <c r="R40" s="8">
        <f t="shared" si="25"/>
        <v>555.66000000000008</v>
      </c>
      <c r="S40" s="8">
        <v>0</v>
      </c>
      <c r="T40" s="8">
        <f t="shared" si="26"/>
        <v>0</v>
      </c>
      <c r="U40" s="8">
        <f t="shared" si="27"/>
        <v>1708.8600000000001</v>
      </c>
      <c r="V40" s="8">
        <v>0</v>
      </c>
      <c r="W40" s="8">
        <f t="shared" si="28"/>
        <v>1708.8600000000001</v>
      </c>
      <c r="X40" s="283">
        <f t="shared" si="29"/>
        <v>1623.4170000000001</v>
      </c>
      <c r="Y40" s="284">
        <f t="shared" si="30"/>
        <v>85.442999999999984</v>
      </c>
    </row>
    <row r="41" spans="1:41" ht="12" customHeight="1" x14ac:dyDescent="0.35">
      <c r="A41" s="12" t="s">
        <v>343</v>
      </c>
      <c r="B41" s="32">
        <v>89050</v>
      </c>
      <c r="C41" s="32" t="s">
        <v>344</v>
      </c>
      <c r="D41" s="32" t="s">
        <v>344</v>
      </c>
      <c r="E41" s="12" t="s">
        <v>143</v>
      </c>
      <c r="F41" s="260" t="s">
        <v>381</v>
      </c>
      <c r="G41" s="12" t="s">
        <v>382</v>
      </c>
      <c r="H41" s="12" t="s">
        <v>374</v>
      </c>
      <c r="I41" s="32" t="s">
        <v>53</v>
      </c>
      <c r="J41" s="8">
        <v>3</v>
      </c>
      <c r="K41" s="8">
        <v>435</v>
      </c>
      <c r="L41" s="8">
        <f t="shared" si="22"/>
        <v>1305</v>
      </c>
      <c r="M41" s="8">
        <v>12</v>
      </c>
      <c r="N41" s="8">
        <f t="shared" si="23"/>
        <v>5481</v>
      </c>
      <c r="O41" s="8">
        <v>12</v>
      </c>
      <c r="P41" s="8">
        <f t="shared" si="24"/>
        <v>5755.05</v>
      </c>
      <c r="Q41" s="8">
        <v>12</v>
      </c>
      <c r="R41" s="8">
        <f t="shared" si="25"/>
        <v>6042.8025000000007</v>
      </c>
      <c r="S41" s="8">
        <v>0</v>
      </c>
      <c r="T41" s="8">
        <f t="shared" si="26"/>
        <v>0</v>
      </c>
      <c r="U41" s="8">
        <f t="shared" si="27"/>
        <v>18583.852500000001</v>
      </c>
      <c r="V41" s="8">
        <v>0</v>
      </c>
      <c r="W41" s="8">
        <f t="shared" si="28"/>
        <v>18583.852500000001</v>
      </c>
      <c r="X41" s="283">
        <f t="shared" si="29"/>
        <v>17654.659875000001</v>
      </c>
      <c r="Y41" s="284">
        <f t="shared" si="30"/>
        <v>929.19262499999968</v>
      </c>
    </row>
    <row r="42" spans="1:41" ht="12" customHeight="1" x14ac:dyDescent="0.35">
      <c r="A42" s="12" t="s">
        <v>343</v>
      </c>
      <c r="B42" s="32">
        <v>89050</v>
      </c>
      <c r="C42" s="32" t="s">
        <v>344</v>
      </c>
      <c r="D42" s="32" t="s">
        <v>344</v>
      </c>
      <c r="E42" s="12" t="s">
        <v>143</v>
      </c>
      <c r="F42" s="260" t="s">
        <v>383</v>
      </c>
      <c r="G42" s="12" t="s">
        <v>384</v>
      </c>
      <c r="H42" s="12" t="s">
        <v>374</v>
      </c>
      <c r="I42" s="32" t="s">
        <v>53</v>
      </c>
      <c r="J42" s="8">
        <v>3</v>
      </c>
      <c r="K42" s="8">
        <v>60</v>
      </c>
      <c r="L42" s="8">
        <f>J42*K42</f>
        <v>180</v>
      </c>
      <c r="M42" s="8">
        <v>12</v>
      </c>
      <c r="N42" s="8">
        <f t="shared" si="23"/>
        <v>756</v>
      </c>
      <c r="O42" s="8">
        <v>12</v>
      </c>
      <c r="P42" s="8">
        <f t="shared" si="24"/>
        <v>793.80000000000007</v>
      </c>
      <c r="Q42" s="8">
        <v>12</v>
      </c>
      <c r="R42" s="8">
        <f t="shared" si="25"/>
        <v>833.49000000000012</v>
      </c>
      <c r="S42" s="8">
        <v>0</v>
      </c>
      <c r="T42" s="8">
        <f t="shared" si="26"/>
        <v>0</v>
      </c>
      <c r="U42" s="8">
        <f>L42+N42+P42+R42+T42</f>
        <v>2563.2900000000004</v>
      </c>
      <c r="V42" s="8">
        <v>0</v>
      </c>
      <c r="W42" s="8">
        <f>SUM(U42:V42)</f>
        <v>2563.2900000000004</v>
      </c>
      <c r="X42" s="283">
        <f t="shared" si="29"/>
        <v>2435.1255000000001</v>
      </c>
      <c r="Y42" s="284">
        <f t="shared" si="30"/>
        <v>128.16450000000032</v>
      </c>
    </row>
    <row r="43" spans="1:41" ht="12" customHeight="1" x14ac:dyDescent="0.35">
      <c r="A43" s="12" t="s">
        <v>343</v>
      </c>
      <c r="B43" s="32">
        <v>89050</v>
      </c>
      <c r="C43" s="32" t="s">
        <v>344</v>
      </c>
      <c r="D43" s="32" t="s">
        <v>344</v>
      </c>
      <c r="E43" s="12" t="s">
        <v>143</v>
      </c>
      <c r="F43" s="260" t="s">
        <v>385</v>
      </c>
      <c r="G43" s="12" t="s">
        <v>386</v>
      </c>
      <c r="H43" s="12" t="s">
        <v>374</v>
      </c>
      <c r="I43" s="32" t="s">
        <v>118</v>
      </c>
      <c r="J43" s="8">
        <v>0</v>
      </c>
      <c r="K43" s="8">
        <v>250</v>
      </c>
      <c r="L43" s="8">
        <f t="shared" si="22"/>
        <v>0</v>
      </c>
      <c r="M43" s="8">
        <v>1</v>
      </c>
      <c r="N43" s="8">
        <f t="shared" si="23"/>
        <v>262.5</v>
      </c>
      <c r="O43" s="8">
        <v>1</v>
      </c>
      <c r="P43" s="8">
        <f t="shared" si="24"/>
        <v>275.625</v>
      </c>
      <c r="Q43" s="8">
        <v>1</v>
      </c>
      <c r="R43" s="8">
        <f t="shared" si="25"/>
        <v>289.40625</v>
      </c>
      <c r="S43" s="8">
        <v>0</v>
      </c>
      <c r="T43" s="8">
        <f t="shared" si="26"/>
        <v>0</v>
      </c>
      <c r="U43" s="8">
        <f t="shared" si="27"/>
        <v>827.53125</v>
      </c>
      <c r="V43" s="8">
        <v>0</v>
      </c>
      <c r="W43" s="8">
        <f t="shared" si="28"/>
        <v>827.53125</v>
      </c>
      <c r="X43" s="283">
        <f t="shared" si="29"/>
        <v>786.15468749999991</v>
      </c>
      <c r="Y43" s="284">
        <f t="shared" si="30"/>
        <v>41.376562500000091</v>
      </c>
    </row>
    <row r="44" spans="1:41" ht="12" customHeight="1" x14ac:dyDescent="0.35">
      <c r="A44" s="12" t="s">
        <v>343</v>
      </c>
      <c r="B44" s="32">
        <v>89050</v>
      </c>
      <c r="C44" s="32" t="s">
        <v>344</v>
      </c>
      <c r="D44" s="32" t="s">
        <v>344</v>
      </c>
      <c r="E44" s="12" t="s">
        <v>143</v>
      </c>
      <c r="F44" s="260" t="s">
        <v>387</v>
      </c>
      <c r="G44" s="12" t="s">
        <v>388</v>
      </c>
      <c r="H44" s="12" t="s">
        <v>374</v>
      </c>
      <c r="I44" s="32" t="s">
        <v>53</v>
      </c>
      <c r="J44" s="8">
        <v>0</v>
      </c>
      <c r="K44" s="8">
        <v>100</v>
      </c>
      <c r="L44" s="8">
        <f t="shared" si="22"/>
        <v>0</v>
      </c>
      <c r="M44" s="8">
        <v>12</v>
      </c>
      <c r="N44" s="8">
        <f t="shared" si="23"/>
        <v>1260</v>
      </c>
      <c r="O44" s="8">
        <v>12</v>
      </c>
      <c r="P44" s="8">
        <f t="shared" si="24"/>
        <v>1323</v>
      </c>
      <c r="Q44" s="8">
        <v>12</v>
      </c>
      <c r="R44" s="8">
        <f t="shared" si="25"/>
        <v>1389.15</v>
      </c>
      <c r="S44" s="8">
        <v>0</v>
      </c>
      <c r="T44" s="8">
        <f t="shared" si="26"/>
        <v>0</v>
      </c>
      <c r="U44" s="8">
        <f t="shared" si="27"/>
        <v>3972.15</v>
      </c>
      <c r="V44" s="8">
        <v>0</v>
      </c>
      <c r="W44" s="8">
        <f t="shared" si="28"/>
        <v>3972.15</v>
      </c>
      <c r="X44" s="283">
        <f t="shared" si="29"/>
        <v>3773.5425</v>
      </c>
      <c r="Y44" s="284">
        <f t="shared" si="30"/>
        <v>198.60750000000007</v>
      </c>
    </row>
    <row r="45" spans="1:41" ht="12" customHeight="1" x14ac:dyDescent="0.35">
      <c r="F45" s="268"/>
      <c r="G45" s="12"/>
      <c r="H45" s="12"/>
      <c r="I45" s="32"/>
    </row>
    <row r="46" spans="1:41" ht="12" customHeight="1" thickBot="1" x14ac:dyDescent="0.45">
      <c r="A46" s="113"/>
      <c r="B46" s="113"/>
      <c r="C46" s="113"/>
      <c r="D46" s="113"/>
      <c r="E46" s="113"/>
      <c r="F46" s="269"/>
      <c r="G46" s="33" t="s">
        <v>389</v>
      </c>
      <c r="H46" s="33"/>
      <c r="I46" s="18"/>
      <c r="J46" s="18"/>
      <c r="K46" s="9"/>
      <c r="L46" s="113">
        <f>SUM(L38:L44)</f>
        <v>1635</v>
      </c>
      <c r="M46" s="113"/>
      <c r="N46" s="113">
        <f>SUM(N38:N44)</f>
        <v>8694</v>
      </c>
      <c r="O46" s="113"/>
      <c r="P46" s="113">
        <f>SUM(P38:P44)</f>
        <v>9128.7000000000007</v>
      </c>
      <c r="Q46" s="113"/>
      <c r="R46" s="113">
        <f>SUM(R38:R44)</f>
        <v>9585.1350000000002</v>
      </c>
      <c r="S46" s="113"/>
      <c r="T46" s="113">
        <f>SUM(T38:T44)</f>
        <v>0</v>
      </c>
      <c r="U46" s="19">
        <f>L46+N46+P46+R46+T46</f>
        <v>29042.834999999999</v>
      </c>
      <c r="V46" s="113">
        <f>SUM(V38:V44)</f>
        <v>0</v>
      </c>
      <c r="W46" s="30">
        <f>SUM(U46:V46)</f>
        <v>29042.834999999999</v>
      </c>
      <c r="Z46" s="138"/>
    </row>
    <row r="47" spans="1:41" ht="30" customHeight="1" thickBot="1" x14ac:dyDescent="0.4">
      <c r="A47" s="2"/>
      <c r="B47" s="2"/>
      <c r="C47" s="2"/>
      <c r="D47" s="2"/>
      <c r="E47" s="2"/>
      <c r="F47" s="31"/>
      <c r="G47" s="318" t="s">
        <v>390</v>
      </c>
      <c r="H47" s="318"/>
      <c r="I47" s="318"/>
      <c r="J47" s="318"/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Z47" s="138"/>
    </row>
    <row r="48" spans="1:41" ht="12" customHeight="1" x14ac:dyDescent="0.4">
      <c r="A48" s="92"/>
      <c r="B48" s="92"/>
      <c r="C48" s="92"/>
      <c r="D48" s="92"/>
      <c r="E48" s="92"/>
      <c r="F48" s="259"/>
      <c r="G48" s="123" t="s">
        <v>139</v>
      </c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Y48" s="290"/>
      <c r="AB48" s="24"/>
    </row>
    <row r="49" spans="1:25" ht="12" customHeight="1" x14ac:dyDescent="0.4">
      <c r="A49" s="142"/>
      <c r="B49" s="142"/>
      <c r="C49" s="142"/>
      <c r="D49" s="142"/>
      <c r="E49" s="142"/>
      <c r="F49" s="270"/>
      <c r="G49" s="139" t="s">
        <v>140</v>
      </c>
      <c r="H49" s="140"/>
      <c r="I49" s="141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Y49" s="289"/>
    </row>
    <row r="50" spans="1:25" ht="12" customHeight="1" x14ac:dyDescent="0.35">
      <c r="A50" s="8" t="s">
        <v>391</v>
      </c>
      <c r="B50" s="8"/>
      <c r="C50" s="8"/>
      <c r="D50" s="8"/>
      <c r="E50" s="8"/>
      <c r="F50" s="260"/>
      <c r="G50" s="12" t="s">
        <v>392</v>
      </c>
      <c r="H50" s="12" t="s">
        <v>393</v>
      </c>
      <c r="I50" s="31" t="s">
        <v>112</v>
      </c>
      <c r="J50" s="8">
        <f>$L$22</f>
        <v>13500</v>
      </c>
      <c r="K50" s="135">
        <v>0.95</v>
      </c>
      <c r="L50" s="8">
        <f>J50*K50</f>
        <v>12825</v>
      </c>
      <c r="M50" s="8">
        <f>$N$22</f>
        <v>55890</v>
      </c>
      <c r="N50" s="8">
        <f>M50*K50</f>
        <v>53095.5</v>
      </c>
      <c r="O50" s="8">
        <f>$P$22</f>
        <v>57846.149999999994</v>
      </c>
      <c r="P50" s="8">
        <f>O50*K50</f>
        <v>54953.842499999992</v>
      </c>
      <c r="Q50" s="8">
        <f>$R$22</f>
        <v>59870.765249999982</v>
      </c>
      <c r="R50" s="8">
        <f>Q50*K50</f>
        <v>56877.226987499984</v>
      </c>
      <c r="S50" s="8">
        <f>$T$22</f>
        <v>0</v>
      </c>
      <c r="T50" s="8">
        <f>S50*K50</f>
        <v>0</v>
      </c>
      <c r="U50" s="8">
        <f>L50+N50+P50+R50+T50</f>
        <v>177751.56948749998</v>
      </c>
      <c r="V50" s="8">
        <v>0</v>
      </c>
      <c r="W50" s="8">
        <f>SUM(U50:V50)</f>
        <v>177751.56948749998</v>
      </c>
    </row>
    <row r="51" spans="1:25" ht="12" customHeight="1" x14ac:dyDescent="0.35">
      <c r="A51" s="8" t="s">
        <v>391</v>
      </c>
      <c r="B51" s="8"/>
      <c r="C51" s="8"/>
      <c r="D51" s="8"/>
      <c r="E51" s="8"/>
      <c r="F51" s="260"/>
      <c r="G51" s="12" t="s">
        <v>394</v>
      </c>
      <c r="H51" s="12" t="s">
        <v>393</v>
      </c>
      <c r="I51" s="31" t="s">
        <v>112</v>
      </c>
      <c r="J51" s="8">
        <f>$L$30</f>
        <v>1320</v>
      </c>
      <c r="K51" s="135">
        <v>0.95</v>
      </c>
      <c r="L51" s="8">
        <f t="shared" ref="L51:L61" si="31">J51*K51</f>
        <v>1254</v>
      </c>
      <c r="M51" s="8">
        <f>$N$30</f>
        <v>2772</v>
      </c>
      <c r="N51" s="8">
        <f t="shared" ref="N51:N61" si="32">M51*K51</f>
        <v>2633.4</v>
      </c>
      <c r="O51" s="8">
        <f>$P$30</f>
        <v>2910.6000000000004</v>
      </c>
      <c r="P51" s="8">
        <f t="shared" ref="P51:P53" si="33">O51*K51</f>
        <v>2765.07</v>
      </c>
      <c r="Q51" s="8">
        <f>$R$30</f>
        <v>3056.13</v>
      </c>
      <c r="R51" s="8">
        <f t="shared" ref="R51:R61" si="34">Q51*K51</f>
        <v>2903.3235</v>
      </c>
      <c r="S51" s="8">
        <f>$T$30</f>
        <v>0</v>
      </c>
      <c r="T51" s="8">
        <f t="shared" ref="T51:T61" si="35">S51*K51</f>
        <v>0</v>
      </c>
      <c r="U51" s="8">
        <f t="shared" ref="U51:U61" si="36">L51+N51+P51+R51+T51</f>
        <v>9555.7934999999998</v>
      </c>
      <c r="V51" s="8">
        <v>0</v>
      </c>
      <c r="W51" s="8">
        <f t="shared" ref="W51:W61" si="37">SUM(U51:V51)</f>
        <v>9555.7934999999998</v>
      </c>
    </row>
    <row r="52" spans="1:25" ht="12" customHeight="1" x14ac:dyDescent="0.35">
      <c r="A52" s="8" t="s">
        <v>391</v>
      </c>
      <c r="B52" s="8"/>
      <c r="C52" s="8"/>
      <c r="D52" s="8"/>
      <c r="E52" s="8"/>
      <c r="F52" s="260"/>
      <c r="G52" s="12" t="s">
        <v>395</v>
      </c>
      <c r="H52" s="12" t="s">
        <v>393</v>
      </c>
      <c r="I52" s="31" t="s">
        <v>112</v>
      </c>
      <c r="J52" s="8">
        <f>$L$36</f>
        <v>4100</v>
      </c>
      <c r="K52" s="135">
        <v>0.95</v>
      </c>
      <c r="L52" s="8">
        <f t="shared" si="31"/>
        <v>3895</v>
      </c>
      <c r="M52" s="8">
        <f>$N$36</f>
        <v>0</v>
      </c>
      <c r="N52" s="8">
        <f t="shared" si="32"/>
        <v>0</v>
      </c>
      <c r="O52" s="8">
        <f>$P$36</f>
        <v>0</v>
      </c>
      <c r="P52" s="8">
        <f t="shared" si="33"/>
        <v>0</v>
      </c>
      <c r="Q52" s="8">
        <f>$R$36</f>
        <v>0</v>
      </c>
      <c r="R52" s="8">
        <f t="shared" si="34"/>
        <v>0</v>
      </c>
      <c r="S52" s="8">
        <f>$T$36</f>
        <v>0</v>
      </c>
      <c r="T52" s="8">
        <f t="shared" si="35"/>
        <v>0</v>
      </c>
      <c r="U52" s="8">
        <f t="shared" si="36"/>
        <v>3895</v>
      </c>
      <c r="V52" s="8">
        <v>0</v>
      </c>
      <c r="W52" s="8">
        <f t="shared" si="37"/>
        <v>3895</v>
      </c>
    </row>
    <row r="53" spans="1:25" ht="12" customHeight="1" x14ac:dyDescent="0.35">
      <c r="A53" s="8" t="s">
        <v>391</v>
      </c>
      <c r="B53" s="8"/>
      <c r="C53" s="8"/>
      <c r="D53" s="8"/>
      <c r="E53" s="8"/>
      <c r="F53" s="260"/>
      <c r="G53" s="12" t="s">
        <v>396</v>
      </c>
      <c r="H53" s="12" t="s">
        <v>393</v>
      </c>
      <c r="I53" s="31" t="s">
        <v>112</v>
      </c>
      <c r="J53" s="8">
        <f>$L$46</f>
        <v>1635</v>
      </c>
      <c r="K53" s="26">
        <v>0.95</v>
      </c>
      <c r="L53" s="8">
        <f t="shared" si="31"/>
        <v>1553.25</v>
      </c>
      <c r="M53" s="8">
        <f>$N$46</f>
        <v>8694</v>
      </c>
      <c r="N53" s="8">
        <f t="shared" si="32"/>
        <v>8259.2999999999993</v>
      </c>
      <c r="O53" s="8">
        <f>$P$46</f>
        <v>9128.7000000000007</v>
      </c>
      <c r="P53" s="8">
        <f t="shared" si="33"/>
        <v>8672.2649999999994</v>
      </c>
      <c r="Q53" s="8">
        <f>$R$46</f>
        <v>9585.1350000000002</v>
      </c>
      <c r="R53" s="8">
        <f t="shared" si="34"/>
        <v>9105.8782499999998</v>
      </c>
      <c r="S53" s="8">
        <f>$T$46</f>
        <v>0</v>
      </c>
      <c r="T53" s="8">
        <f t="shared" si="35"/>
        <v>0</v>
      </c>
      <c r="U53" s="8">
        <f t="shared" si="36"/>
        <v>27590.693249999997</v>
      </c>
      <c r="V53" s="8">
        <v>0</v>
      </c>
      <c r="W53" s="8">
        <f t="shared" si="37"/>
        <v>27590.693249999997</v>
      </c>
    </row>
    <row r="54" spans="1:25" ht="12" customHeight="1" x14ac:dyDescent="0.35">
      <c r="A54" s="68"/>
      <c r="B54" s="68"/>
      <c r="C54" s="68"/>
      <c r="D54" s="68"/>
      <c r="E54" s="68"/>
      <c r="F54" s="266"/>
      <c r="G54" s="58" t="s">
        <v>397</v>
      </c>
      <c r="H54" s="72"/>
      <c r="I54" s="146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</row>
    <row r="55" spans="1:25" s="258" customFormat="1" ht="21.75" customHeight="1" x14ac:dyDescent="0.35">
      <c r="A55" s="32" t="s">
        <v>142</v>
      </c>
      <c r="B55" s="32">
        <v>89050</v>
      </c>
      <c r="C55" s="32" t="s">
        <v>344</v>
      </c>
      <c r="D55" s="32" t="s">
        <v>344</v>
      </c>
      <c r="E55" s="32" t="s">
        <v>143</v>
      </c>
      <c r="F55" s="260" t="s">
        <v>398</v>
      </c>
      <c r="G55" s="32" t="s">
        <v>399</v>
      </c>
      <c r="H55" s="32" t="s">
        <v>393</v>
      </c>
      <c r="I55" s="31" t="s">
        <v>112</v>
      </c>
      <c r="J55" s="257">
        <v>1</v>
      </c>
      <c r="K55" s="257">
        <v>2000</v>
      </c>
      <c r="L55" s="257">
        <f>K55*J55</f>
        <v>2000</v>
      </c>
      <c r="M55" s="257">
        <v>1</v>
      </c>
      <c r="N55" s="257">
        <f>M55*K55</f>
        <v>2000</v>
      </c>
      <c r="O55" s="257">
        <v>1</v>
      </c>
      <c r="P55" s="257">
        <f>O55*K55</f>
        <v>2000</v>
      </c>
      <c r="Q55" s="257">
        <v>0</v>
      </c>
      <c r="R55" s="257">
        <f>Q55*K55</f>
        <v>0</v>
      </c>
      <c r="S55" s="257">
        <v>0</v>
      </c>
      <c r="T55" s="257">
        <f>S55*K55</f>
        <v>0</v>
      </c>
      <c r="U55" s="257">
        <f>SUM(L55,N55,P55,R55,T55)</f>
        <v>6000</v>
      </c>
      <c r="V55" s="257">
        <v>0</v>
      </c>
      <c r="W55" s="257">
        <f>SUM(U55:V55)</f>
        <v>6000</v>
      </c>
      <c r="X55" s="278"/>
      <c r="Y55" s="278"/>
    </row>
    <row r="56" spans="1:25" ht="12" customHeight="1" x14ac:dyDescent="0.35">
      <c r="A56" s="32" t="s">
        <v>142</v>
      </c>
      <c r="B56" s="32">
        <v>89050</v>
      </c>
      <c r="C56" s="32" t="s">
        <v>344</v>
      </c>
      <c r="D56" s="32" t="s">
        <v>344</v>
      </c>
      <c r="E56" s="32" t="s">
        <v>143</v>
      </c>
      <c r="F56" s="260" t="s">
        <v>400</v>
      </c>
      <c r="G56" s="12" t="s">
        <v>401</v>
      </c>
      <c r="H56" s="12" t="s">
        <v>393</v>
      </c>
      <c r="I56" s="12" t="s">
        <v>402</v>
      </c>
      <c r="J56" s="8">
        <v>0</v>
      </c>
      <c r="K56" s="8">
        <v>10000</v>
      </c>
      <c r="L56" s="8">
        <f t="shared" ref="L56:L58" si="38">K56*J56</f>
        <v>0</v>
      </c>
      <c r="M56" s="8">
        <v>1</v>
      </c>
      <c r="N56" s="8">
        <f t="shared" ref="N56:N58" si="39">M56*K56</f>
        <v>10000</v>
      </c>
      <c r="O56" s="8">
        <v>1</v>
      </c>
      <c r="P56" s="8">
        <f t="shared" ref="P56:P58" si="40">O56*K56</f>
        <v>10000</v>
      </c>
      <c r="Q56" s="8">
        <v>0</v>
      </c>
      <c r="R56" s="8">
        <f t="shared" ref="R56:R58" si="41">Q56*K56</f>
        <v>0</v>
      </c>
      <c r="S56" s="8">
        <v>0</v>
      </c>
      <c r="T56" s="8">
        <f t="shared" ref="T56:T58" si="42">S56*K56</f>
        <v>0</v>
      </c>
      <c r="U56" s="8">
        <f t="shared" ref="U56:U58" si="43">SUM(L56,N56,P56,R56,T56)</f>
        <v>20000</v>
      </c>
      <c r="V56" s="8">
        <v>0</v>
      </c>
      <c r="W56" s="8">
        <f>SUM(U56:V56)</f>
        <v>20000</v>
      </c>
    </row>
    <row r="57" spans="1:25" ht="12" customHeight="1" x14ac:dyDescent="0.35">
      <c r="A57" s="32" t="s">
        <v>142</v>
      </c>
      <c r="B57" s="32">
        <v>89050</v>
      </c>
      <c r="C57" s="32" t="s">
        <v>344</v>
      </c>
      <c r="D57" s="32" t="s">
        <v>344</v>
      </c>
      <c r="E57" s="32" t="s">
        <v>143</v>
      </c>
      <c r="F57" s="260" t="s">
        <v>403</v>
      </c>
      <c r="G57" s="12" t="s">
        <v>404</v>
      </c>
      <c r="H57" s="12" t="s">
        <v>393</v>
      </c>
      <c r="I57" s="31" t="s">
        <v>84</v>
      </c>
      <c r="J57" s="8">
        <v>0</v>
      </c>
      <c r="K57" s="8">
        <v>110</v>
      </c>
      <c r="L57" s="8">
        <f t="shared" si="38"/>
        <v>0</v>
      </c>
      <c r="M57" s="8">
        <v>50</v>
      </c>
      <c r="N57" s="8">
        <f t="shared" si="39"/>
        <v>5500</v>
      </c>
      <c r="O57" s="8">
        <v>50</v>
      </c>
      <c r="P57" s="8">
        <f t="shared" si="40"/>
        <v>5500</v>
      </c>
      <c r="Q57" s="8">
        <v>50</v>
      </c>
      <c r="R57" s="8">
        <f t="shared" si="41"/>
        <v>5500</v>
      </c>
      <c r="S57" s="8">
        <v>0</v>
      </c>
      <c r="T57" s="8">
        <f t="shared" si="42"/>
        <v>0</v>
      </c>
      <c r="U57" s="8">
        <f t="shared" si="43"/>
        <v>16500</v>
      </c>
      <c r="V57" s="8">
        <v>0</v>
      </c>
      <c r="W57" s="8">
        <f>SUM(U57:V57)</f>
        <v>16500</v>
      </c>
    </row>
    <row r="58" spans="1:25" ht="12" customHeight="1" x14ac:dyDescent="0.35">
      <c r="A58" s="32" t="s">
        <v>142</v>
      </c>
      <c r="B58" s="32">
        <v>89050</v>
      </c>
      <c r="C58" s="32" t="s">
        <v>344</v>
      </c>
      <c r="D58" s="32" t="s">
        <v>344</v>
      </c>
      <c r="E58" s="32" t="s">
        <v>143</v>
      </c>
      <c r="F58" s="260" t="s">
        <v>405</v>
      </c>
      <c r="G58" s="12" t="s">
        <v>406</v>
      </c>
      <c r="H58" s="12" t="s">
        <v>393</v>
      </c>
      <c r="I58" s="31" t="s">
        <v>84</v>
      </c>
      <c r="J58" s="8">
        <v>0</v>
      </c>
      <c r="K58" s="8">
        <v>50</v>
      </c>
      <c r="L58" s="8">
        <f t="shared" si="38"/>
        <v>0</v>
      </c>
      <c r="M58" s="8">
        <v>50</v>
      </c>
      <c r="N58" s="8">
        <f t="shared" si="39"/>
        <v>2500</v>
      </c>
      <c r="O58" s="8">
        <v>50</v>
      </c>
      <c r="P58" s="8">
        <f t="shared" si="40"/>
        <v>2500</v>
      </c>
      <c r="Q58" s="8">
        <v>50</v>
      </c>
      <c r="R58" s="8">
        <f t="shared" si="41"/>
        <v>2500</v>
      </c>
      <c r="S58" s="8">
        <v>0</v>
      </c>
      <c r="T58" s="8">
        <f t="shared" si="42"/>
        <v>0</v>
      </c>
      <c r="U58" s="8">
        <f t="shared" si="43"/>
        <v>7500</v>
      </c>
      <c r="V58" s="8">
        <v>0</v>
      </c>
      <c r="W58" s="8">
        <f>SUM(U58:V58)</f>
        <v>7500</v>
      </c>
    </row>
    <row r="59" spans="1:25" ht="12" customHeight="1" x14ac:dyDescent="0.35">
      <c r="A59" s="68"/>
      <c r="B59" s="68"/>
      <c r="C59" s="68"/>
      <c r="D59" s="68"/>
      <c r="E59" s="68"/>
      <c r="F59" s="266"/>
      <c r="G59" s="58" t="s">
        <v>407</v>
      </c>
      <c r="H59" s="72"/>
      <c r="I59" s="146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</row>
    <row r="60" spans="1:25" ht="12" customHeight="1" x14ac:dyDescent="0.35">
      <c r="A60" s="32" t="s">
        <v>142</v>
      </c>
      <c r="B60" s="32">
        <v>89050</v>
      </c>
      <c r="C60" s="32" t="s">
        <v>344</v>
      </c>
      <c r="D60" s="32" t="s">
        <v>344</v>
      </c>
      <c r="E60" s="32" t="s">
        <v>143</v>
      </c>
      <c r="F60" s="260" t="s">
        <v>408</v>
      </c>
      <c r="G60" s="12" t="s">
        <v>409</v>
      </c>
      <c r="H60" s="12" t="s">
        <v>393</v>
      </c>
      <c r="I60" s="31" t="s">
        <v>84</v>
      </c>
      <c r="J60" s="8">
        <v>0</v>
      </c>
      <c r="K60" s="8">
        <v>50</v>
      </c>
      <c r="L60" s="8">
        <f t="shared" si="31"/>
        <v>0</v>
      </c>
      <c r="M60" s="8">
        <v>0</v>
      </c>
      <c r="N60" s="8">
        <f t="shared" si="32"/>
        <v>0</v>
      </c>
      <c r="O60" s="8">
        <v>30</v>
      </c>
      <c r="P60" s="8">
        <f>O60*K60</f>
        <v>1500</v>
      </c>
      <c r="Q60" s="8">
        <v>30</v>
      </c>
      <c r="R60" s="8">
        <f t="shared" si="34"/>
        <v>1500</v>
      </c>
      <c r="S60" s="8">
        <v>0</v>
      </c>
      <c r="T60" s="8">
        <f t="shared" si="35"/>
        <v>0</v>
      </c>
      <c r="U60" s="8">
        <f t="shared" si="36"/>
        <v>3000</v>
      </c>
      <c r="V60" s="8">
        <v>0</v>
      </c>
      <c r="W60" s="8">
        <f t="shared" si="37"/>
        <v>3000</v>
      </c>
    </row>
    <row r="61" spans="1:25" ht="12" customHeight="1" x14ac:dyDescent="0.35">
      <c r="A61" s="32" t="s">
        <v>142</v>
      </c>
      <c r="B61" s="32">
        <v>89050</v>
      </c>
      <c r="C61" s="32" t="s">
        <v>344</v>
      </c>
      <c r="D61" s="32" t="s">
        <v>344</v>
      </c>
      <c r="E61" s="32" t="s">
        <v>143</v>
      </c>
      <c r="F61" s="260" t="s">
        <v>410</v>
      </c>
      <c r="G61" s="12" t="s">
        <v>411</v>
      </c>
      <c r="H61" s="12" t="s">
        <v>393</v>
      </c>
      <c r="I61" s="31" t="s">
        <v>112</v>
      </c>
      <c r="J61" s="8">
        <v>0</v>
      </c>
      <c r="K61" s="8">
        <v>300</v>
      </c>
      <c r="L61" s="8">
        <f t="shared" si="31"/>
        <v>0</v>
      </c>
      <c r="M61" s="8">
        <v>0</v>
      </c>
      <c r="N61" s="8">
        <f t="shared" si="32"/>
        <v>0</v>
      </c>
      <c r="O61" s="8">
        <v>15</v>
      </c>
      <c r="P61" s="8">
        <f>O61*K61</f>
        <v>4500</v>
      </c>
      <c r="Q61" s="8">
        <v>15</v>
      </c>
      <c r="R61" s="8">
        <f t="shared" si="34"/>
        <v>4500</v>
      </c>
      <c r="S61" s="8">
        <v>0</v>
      </c>
      <c r="T61" s="8">
        <f t="shared" si="35"/>
        <v>0</v>
      </c>
      <c r="U61" s="8">
        <f t="shared" si="36"/>
        <v>9000</v>
      </c>
      <c r="V61" s="8">
        <v>0</v>
      </c>
      <c r="W61" s="8">
        <f t="shared" si="37"/>
        <v>9000</v>
      </c>
    </row>
    <row r="62" spans="1:25" ht="12" customHeight="1" x14ac:dyDescent="0.35">
      <c r="F62" s="268"/>
      <c r="G62" s="12"/>
      <c r="H62" s="12"/>
      <c r="I62" s="32"/>
    </row>
    <row r="63" spans="1:25" ht="12" customHeight="1" thickBot="1" x14ac:dyDescent="0.45">
      <c r="A63" s="30"/>
      <c r="B63" s="30"/>
      <c r="C63" s="30"/>
      <c r="D63" s="30"/>
      <c r="E63" s="30"/>
      <c r="F63" s="271"/>
      <c r="G63" s="18" t="s">
        <v>412</v>
      </c>
      <c r="H63" s="18"/>
      <c r="I63" s="18"/>
      <c r="J63" s="25"/>
      <c r="K63" s="25"/>
      <c r="L63" s="30">
        <f>SUM(L50:L61)</f>
        <v>21527.25</v>
      </c>
      <c r="M63" s="30"/>
      <c r="N63" s="30">
        <f>SUM(N50:N61)</f>
        <v>83988.2</v>
      </c>
      <c r="O63" s="30"/>
      <c r="P63" s="30">
        <f>SUM(P50:P61)</f>
        <v>92391.177499999991</v>
      </c>
      <c r="Q63" s="30"/>
      <c r="R63" s="30">
        <f>SUM(R50:R61)</f>
        <v>82886.428737499984</v>
      </c>
      <c r="S63" s="30"/>
      <c r="T63" s="30">
        <f>SUM(T50:T61)</f>
        <v>0</v>
      </c>
      <c r="U63" s="30">
        <f>L63+N63+P63+R63+T63</f>
        <v>280793.05623749999</v>
      </c>
      <c r="V63" s="30">
        <f>SUM(V50:V61)</f>
        <v>0</v>
      </c>
      <c r="W63" s="30">
        <f>SUM(U63:V63)</f>
        <v>280793.05623749999</v>
      </c>
      <c r="Y63" s="291"/>
    </row>
    <row r="64" spans="1:25" ht="12" customHeight="1" x14ac:dyDescent="0.35">
      <c r="F64" s="268"/>
      <c r="G64" s="12"/>
      <c r="H64" s="12"/>
      <c r="I64" s="32"/>
    </row>
    <row r="65" spans="1:28" ht="12" customHeight="1" x14ac:dyDescent="0.4">
      <c r="A65" s="32" t="s">
        <v>142</v>
      </c>
      <c r="B65" s="32">
        <v>89050</v>
      </c>
      <c r="C65" s="32" t="s">
        <v>344</v>
      </c>
      <c r="D65" s="32" t="s">
        <v>344</v>
      </c>
      <c r="E65" s="32" t="s">
        <v>143</v>
      </c>
      <c r="F65" s="260" t="s">
        <v>413</v>
      </c>
      <c r="G65" s="4" t="s">
        <v>414</v>
      </c>
      <c r="H65" s="1" t="s">
        <v>330</v>
      </c>
      <c r="I65" s="3"/>
      <c r="J65" s="3"/>
      <c r="K65" s="26">
        <v>0.1</v>
      </c>
      <c r="L65" s="44">
        <f>(L63)*K65</f>
        <v>2152.7249999999999</v>
      </c>
      <c r="M65" s="44"/>
      <c r="N65" s="44">
        <f>(N63)*K65</f>
        <v>8398.82</v>
      </c>
      <c r="O65" s="44"/>
      <c r="P65" s="44">
        <f>(P63)*K65</f>
        <v>9239.1177499999994</v>
      </c>
      <c r="R65" s="44">
        <f>(R63)*K65</f>
        <v>8288.6428737499991</v>
      </c>
      <c r="T65" s="44">
        <f>(T63)*K65</f>
        <v>0</v>
      </c>
      <c r="U65" s="44">
        <f>SUM(L65+N65+P65+R65+T65)</f>
        <v>28079.305623749999</v>
      </c>
      <c r="V65" s="44">
        <v>0</v>
      </c>
      <c r="W65" s="44">
        <f>SUM(U65:V65)</f>
        <v>28079.305623749999</v>
      </c>
      <c r="Y65" s="289"/>
    </row>
    <row r="66" spans="1:28" ht="12" customHeight="1" x14ac:dyDescent="0.35">
      <c r="F66" s="268"/>
      <c r="G66" s="12"/>
      <c r="H66" s="12"/>
      <c r="I66" s="32"/>
    </row>
    <row r="67" spans="1:28" ht="12" customHeight="1" thickBot="1" x14ac:dyDescent="0.45">
      <c r="A67" s="30"/>
      <c r="B67" s="30"/>
      <c r="C67" s="30"/>
      <c r="D67" s="30"/>
      <c r="E67" s="30"/>
      <c r="F67" s="271"/>
      <c r="G67" s="18" t="s">
        <v>251</v>
      </c>
      <c r="H67" s="18"/>
      <c r="I67" s="18"/>
      <c r="J67" s="25"/>
      <c r="K67" s="25"/>
      <c r="L67" s="30">
        <f>SUM(L63:L65)</f>
        <v>23679.974999999999</v>
      </c>
      <c r="M67" s="30"/>
      <c r="N67" s="30">
        <f>SUM(N63:N65)</f>
        <v>92387.01999999999</v>
      </c>
      <c r="O67" s="30"/>
      <c r="P67" s="30">
        <f>SUM(P63:P65)</f>
        <v>101630.29525</v>
      </c>
      <c r="Q67" s="30"/>
      <c r="R67" s="30">
        <f>SUM(R63:R65)</f>
        <v>91175.071611249979</v>
      </c>
      <c r="S67" s="30"/>
      <c r="T67" s="30">
        <f>SUM(T63:T65)</f>
        <v>0</v>
      </c>
      <c r="U67" s="30">
        <f>L67+N67+P67+R67+T67</f>
        <v>308872.36186124996</v>
      </c>
      <c r="V67" s="30">
        <f>V65</f>
        <v>0</v>
      </c>
      <c r="W67" s="30">
        <f>SUM(U67:V67)</f>
        <v>308872.36186124996</v>
      </c>
      <c r="Y67" s="291"/>
    </row>
    <row r="68" spans="1:28" ht="12" customHeight="1" x14ac:dyDescent="0.4">
      <c r="A68" s="92"/>
      <c r="B68" s="92"/>
      <c r="C68" s="92"/>
      <c r="D68" s="92"/>
      <c r="E68" s="92"/>
      <c r="F68" s="259"/>
      <c r="G68" s="123" t="s">
        <v>287</v>
      </c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Y68" s="290"/>
      <c r="AB68" s="24"/>
    </row>
    <row r="69" spans="1:28" ht="12" customHeight="1" x14ac:dyDescent="0.4">
      <c r="A69" s="142"/>
      <c r="B69" s="142"/>
      <c r="C69" s="142"/>
      <c r="D69" s="142"/>
      <c r="E69" s="142"/>
      <c r="F69" s="270"/>
      <c r="G69" s="139" t="s">
        <v>140</v>
      </c>
      <c r="H69" s="140"/>
      <c r="I69" s="141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Y69" s="289"/>
    </row>
    <row r="70" spans="1:28" ht="12" customHeight="1" x14ac:dyDescent="0.35">
      <c r="A70" s="8" t="s">
        <v>391</v>
      </c>
      <c r="B70" s="8"/>
      <c r="C70" s="8"/>
      <c r="D70" s="8"/>
      <c r="E70" s="8"/>
      <c r="F70" s="260"/>
      <c r="G70" s="12" t="s">
        <v>415</v>
      </c>
      <c r="H70" s="12" t="s">
        <v>314</v>
      </c>
      <c r="I70" s="31" t="s">
        <v>112</v>
      </c>
      <c r="J70" s="8">
        <f>$L$22</f>
        <v>13500</v>
      </c>
      <c r="K70" s="135">
        <v>0.05</v>
      </c>
      <c r="L70" s="8">
        <f t="shared" ref="L70:L77" si="44">J70*K70</f>
        <v>675</v>
      </c>
      <c r="M70" s="8">
        <f>$N$22</f>
        <v>55890</v>
      </c>
      <c r="N70" s="8">
        <f t="shared" ref="N70:N77" si="45">M70*K70</f>
        <v>2794.5</v>
      </c>
      <c r="O70" s="8">
        <f>$P$22</f>
        <v>57846.149999999994</v>
      </c>
      <c r="P70" s="8">
        <f t="shared" ref="P70:P77" si="46">O70*K70</f>
        <v>2892.3074999999999</v>
      </c>
      <c r="Q70" s="8">
        <f>$R$22</f>
        <v>59870.765249999982</v>
      </c>
      <c r="R70" s="8">
        <f t="shared" ref="R70:R77" si="47">Q70*K70</f>
        <v>2993.5382624999993</v>
      </c>
      <c r="S70" s="8">
        <f>$T$22</f>
        <v>0</v>
      </c>
      <c r="T70" s="8">
        <f t="shared" ref="T70:T77" si="48">S70*K70</f>
        <v>0</v>
      </c>
      <c r="U70" s="8">
        <f t="shared" ref="U70:U77" si="49">L70+N70+P70+R70+T70</f>
        <v>9355.3457624999992</v>
      </c>
      <c r="V70" s="8">
        <v>0</v>
      </c>
      <c r="W70" s="8">
        <f t="shared" ref="W70:W77" si="50">SUM(U70:V70)</f>
        <v>9355.3457624999992</v>
      </c>
    </row>
    <row r="71" spans="1:28" ht="12" customHeight="1" x14ac:dyDescent="0.35">
      <c r="A71" s="8" t="s">
        <v>391</v>
      </c>
      <c r="B71" s="8"/>
      <c r="C71" s="8"/>
      <c r="D71" s="8"/>
      <c r="E71" s="8"/>
      <c r="F71" s="260"/>
      <c r="G71" s="12" t="s">
        <v>416</v>
      </c>
      <c r="H71" s="12" t="s">
        <v>314</v>
      </c>
      <c r="I71" s="31" t="s">
        <v>112</v>
      </c>
      <c r="J71" s="8">
        <f>$L$30</f>
        <v>1320</v>
      </c>
      <c r="K71" s="135">
        <v>0.05</v>
      </c>
      <c r="L71" s="8">
        <f t="shared" si="44"/>
        <v>66</v>
      </c>
      <c r="M71" s="8">
        <f>$N$30</f>
        <v>2772</v>
      </c>
      <c r="N71" s="8">
        <f t="shared" si="45"/>
        <v>138.6</v>
      </c>
      <c r="O71" s="8">
        <f>$P$30</f>
        <v>2910.6000000000004</v>
      </c>
      <c r="P71" s="8">
        <f t="shared" si="46"/>
        <v>145.53000000000003</v>
      </c>
      <c r="Q71" s="8">
        <f>$R$30</f>
        <v>3056.13</v>
      </c>
      <c r="R71" s="8">
        <f t="shared" si="47"/>
        <v>152.8065</v>
      </c>
      <c r="S71" s="8">
        <f>$T$30</f>
        <v>0</v>
      </c>
      <c r="T71" s="8">
        <f t="shared" si="48"/>
        <v>0</v>
      </c>
      <c r="U71" s="8">
        <f t="shared" si="49"/>
        <v>502.93650000000002</v>
      </c>
      <c r="V71" s="8">
        <v>0</v>
      </c>
      <c r="W71" s="8">
        <f t="shared" si="50"/>
        <v>502.93650000000002</v>
      </c>
    </row>
    <row r="72" spans="1:28" ht="12" customHeight="1" x14ac:dyDescent="0.35">
      <c r="A72" s="8" t="s">
        <v>391</v>
      </c>
      <c r="B72" s="8"/>
      <c r="C72" s="8"/>
      <c r="D72" s="8"/>
      <c r="E72" s="8"/>
      <c r="F72" s="260"/>
      <c r="G72" s="12" t="s">
        <v>417</v>
      </c>
      <c r="H72" s="12" t="s">
        <v>314</v>
      </c>
      <c r="I72" s="31" t="s">
        <v>112</v>
      </c>
      <c r="J72" s="8">
        <f>$L$36</f>
        <v>4100</v>
      </c>
      <c r="K72" s="135">
        <v>0.05</v>
      </c>
      <c r="L72" s="8">
        <f t="shared" si="44"/>
        <v>205</v>
      </c>
      <c r="M72" s="8">
        <f>$N$36</f>
        <v>0</v>
      </c>
      <c r="N72" s="8">
        <f t="shared" si="45"/>
        <v>0</v>
      </c>
      <c r="O72" s="8">
        <f>$P$36</f>
        <v>0</v>
      </c>
      <c r="P72" s="8">
        <f t="shared" si="46"/>
        <v>0</v>
      </c>
      <c r="Q72" s="8">
        <f>$R$36</f>
        <v>0</v>
      </c>
      <c r="R72" s="8">
        <f t="shared" si="47"/>
        <v>0</v>
      </c>
      <c r="S72" s="8">
        <f>$T$36</f>
        <v>0</v>
      </c>
      <c r="T72" s="8">
        <f t="shared" si="48"/>
        <v>0</v>
      </c>
      <c r="U72" s="8">
        <f t="shared" si="49"/>
        <v>205</v>
      </c>
      <c r="V72" s="8">
        <v>0</v>
      </c>
      <c r="W72" s="8">
        <f t="shared" si="50"/>
        <v>205</v>
      </c>
    </row>
    <row r="73" spans="1:28" ht="12" customHeight="1" x14ac:dyDescent="0.35">
      <c r="A73" s="8" t="s">
        <v>391</v>
      </c>
      <c r="B73" s="8"/>
      <c r="C73" s="8"/>
      <c r="D73" s="8"/>
      <c r="E73" s="8"/>
      <c r="F73" s="260"/>
      <c r="G73" s="12" t="s">
        <v>418</v>
      </c>
      <c r="H73" s="12" t="s">
        <v>314</v>
      </c>
      <c r="I73" s="31" t="s">
        <v>112</v>
      </c>
      <c r="J73" s="8">
        <f>$L$46</f>
        <v>1635</v>
      </c>
      <c r="K73" s="26">
        <v>0.05</v>
      </c>
      <c r="L73" s="8">
        <f t="shared" si="44"/>
        <v>81.75</v>
      </c>
      <c r="M73" s="8">
        <f>$N$46</f>
        <v>8694</v>
      </c>
      <c r="N73" s="8">
        <f t="shared" si="45"/>
        <v>434.70000000000005</v>
      </c>
      <c r="O73" s="8">
        <f>$P$46</f>
        <v>9128.7000000000007</v>
      </c>
      <c r="P73" s="8">
        <f t="shared" si="46"/>
        <v>456.43500000000006</v>
      </c>
      <c r="Q73" s="8">
        <f>$R$46</f>
        <v>9585.1350000000002</v>
      </c>
      <c r="R73" s="8">
        <f t="shared" si="47"/>
        <v>479.25675000000001</v>
      </c>
      <c r="S73" s="8">
        <f>$T$46</f>
        <v>0</v>
      </c>
      <c r="T73" s="8">
        <f t="shared" si="48"/>
        <v>0</v>
      </c>
      <c r="U73" s="8">
        <f t="shared" si="49"/>
        <v>1452.1417500000002</v>
      </c>
      <c r="V73" s="8">
        <v>0</v>
      </c>
      <c r="W73" s="8">
        <f t="shared" si="50"/>
        <v>1452.1417500000002</v>
      </c>
    </row>
    <row r="74" spans="1:28" ht="12" customHeight="1" x14ac:dyDescent="0.35">
      <c r="A74" s="68"/>
      <c r="B74" s="68"/>
      <c r="C74" s="68"/>
      <c r="D74" s="68"/>
      <c r="E74" s="68"/>
      <c r="F74" s="266"/>
      <c r="G74" s="58" t="s">
        <v>419</v>
      </c>
      <c r="H74" s="72"/>
      <c r="I74" s="146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</row>
    <row r="75" spans="1:28" ht="12" customHeight="1" x14ac:dyDescent="0.35">
      <c r="A75" s="32" t="s">
        <v>321</v>
      </c>
      <c r="B75" s="32">
        <v>89050</v>
      </c>
      <c r="C75" s="32" t="s">
        <v>344</v>
      </c>
      <c r="D75" s="32" t="s">
        <v>344</v>
      </c>
      <c r="E75" s="32" t="s">
        <v>143</v>
      </c>
      <c r="F75" s="260" t="s">
        <v>420</v>
      </c>
      <c r="G75" s="12" t="s">
        <v>313</v>
      </c>
      <c r="H75" s="12" t="s">
        <v>314</v>
      </c>
      <c r="I75" s="31" t="s">
        <v>112</v>
      </c>
      <c r="J75" s="8">
        <v>6</v>
      </c>
      <c r="K75" s="8">
        <v>110</v>
      </c>
      <c r="L75" s="8">
        <f t="shared" si="44"/>
        <v>660</v>
      </c>
      <c r="M75" s="8">
        <v>15</v>
      </c>
      <c r="N75" s="8">
        <f t="shared" si="45"/>
        <v>1650</v>
      </c>
      <c r="O75" s="8">
        <v>10</v>
      </c>
      <c r="P75" s="8">
        <f t="shared" si="46"/>
        <v>1100</v>
      </c>
      <c r="Q75" s="8">
        <v>10</v>
      </c>
      <c r="R75" s="8">
        <f t="shared" si="47"/>
        <v>1100</v>
      </c>
      <c r="S75" s="8">
        <v>0</v>
      </c>
      <c r="T75" s="8">
        <f t="shared" si="48"/>
        <v>0</v>
      </c>
      <c r="U75" s="8">
        <f t="shared" si="49"/>
        <v>4510</v>
      </c>
      <c r="V75" s="8">
        <v>0</v>
      </c>
      <c r="W75" s="8">
        <f t="shared" si="50"/>
        <v>4510</v>
      </c>
    </row>
    <row r="76" spans="1:28" ht="12" customHeight="1" x14ac:dyDescent="0.35">
      <c r="A76" s="32" t="s">
        <v>321</v>
      </c>
      <c r="B76" s="32">
        <v>89050</v>
      </c>
      <c r="C76" s="32" t="s">
        <v>344</v>
      </c>
      <c r="D76" s="32" t="s">
        <v>344</v>
      </c>
      <c r="E76" s="32" t="s">
        <v>143</v>
      </c>
      <c r="F76" s="260" t="s">
        <v>421</v>
      </c>
      <c r="G76" s="12" t="s">
        <v>316</v>
      </c>
      <c r="H76" s="12" t="s">
        <v>314</v>
      </c>
      <c r="I76" s="31" t="s">
        <v>112</v>
      </c>
      <c r="J76" s="8">
        <v>6</v>
      </c>
      <c r="K76" s="8">
        <v>25</v>
      </c>
      <c r="L76" s="8">
        <f t="shared" si="44"/>
        <v>150</v>
      </c>
      <c r="M76" s="8">
        <v>15</v>
      </c>
      <c r="N76" s="8">
        <f t="shared" si="45"/>
        <v>375</v>
      </c>
      <c r="O76" s="8">
        <v>10</v>
      </c>
      <c r="P76" s="8">
        <f t="shared" si="46"/>
        <v>250</v>
      </c>
      <c r="Q76" s="8">
        <v>10</v>
      </c>
      <c r="R76" s="8">
        <f t="shared" si="47"/>
        <v>250</v>
      </c>
      <c r="S76" s="8">
        <v>0</v>
      </c>
      <c r="T76" s="8">
        <f t="shared" si="48"/>
        <v>0</v>
      </c>
      <c r="U76" s="8">
        <f t="shared" si="49"/>
        <v>1025</v>
      </c>
      <c r="V76" s="8">
        <v>0</v>
      </c>
      <c r="W76" s="8">
        <f t="shared" si="50"/>
        <v>1025</v>
      </c>
    </row>
    <row r="77" spans="1:28" ht="12" customHeight="1" x14ac:dyDescent="0.35">
      <c r="A77" s="32" t="s">
        <v>321</v>
      </c>
      <c r="B77" s="32">
        <v>89050</v>
      </c>
      <c r="C77" s="32" t="s">
        <v>344</v>
      </c>
      <c r="D77" s="32" t="s">
        <v>344</v>
      </c>
      <c r="E77" s="32" t="s">
        <v>143</v>
      </c>
      <c r="F77" s="260" t="s">
        <v>422</v>
      </c>
      <c r="G77" s="12" t="s">
        <v>319</v>
      </c>
      <c r="H77" s="12" t="s">
        <v>314</v>
      </c>
      <c r="I77" s="31" t="s">
        <v>112</v>
      </c>
      <c r="J77" s="8">
        <v>2</v>
      </c>
      <c r="K77" s="8">
        <v>100</v>
      </c>
      <c r="L77" s="8">
        <f t="shared" si="44"/>
        <v>200</v>
      </c>
      <c r="M77" s="8">
        <v>5</v>
      </c>
      <c r="N77" s="8">
        <f t="shared" si="45"/>
        <v>500</v>
      </c>
      <c r="O77" s="8">
        <v>5</v>
      </c>
      <c r="P77" s="8">
        <f t="shared" si="46"/>
        <v>500</v>
      </c>
      <c r="Q77" s="8">
        <v>5</v>
      </c>
      <c r="R77" s="8">
        <f t="shared" si="47"/>
        <v>500</v>
      </c>
      <c r="S77" s="8">
        <v>0</v>
      </c>
      <c r="T77" s="8">
        <f t="shared" si="48"/>
        <v>0</v>
      </c>
      <c r="U77" s="8">
        <f t="shared" si="49"/>
        <v>1700</v>
      </c>
      <c r="V77" s="8">
        <v>0</v>
      </c>
      <c r="W77" s="8">
        <f t="shared" si="50"/>
        <v>1700</v>
      </c>
    </row>
    <row r="78" spans="1:28" ht="12" customHeight="1" x14ac:dyDescent="0.35">
      <c r="F78" s="268"/>
      <c r="G78" s="12"/>
      <c r="H78" s="12"/>
      <c r="I78" s="32"/>
    </row>
    <row r="79" spans="1:28" ht="12" customHeight="1" thickBot="1" x14ac:dyDescent="0.45">
      <c r="A79" s="30"/>
      <c r="B79" s="30"/>
      <c r="C79" s="30"/>
      <c r="D79" s="30"/>
      <c r="E79" s="30"/>
      <c r="F79" s="271"/>
      <c r="G79" s="18" t="s">
        <v>423</v>
      </c>
      <c r="H79" s="18"/>
      <c r="I79" s="18"/>
      <c r="J79" s="25"/>
      <c r="K79" s="25"/>
      <c r="L79" s="30">
        <f>SUM(L70:L77)</f>
        <v>2037.75</v>
      </c>
      <c r="M79" s="30"/>
      <c r="N79" s="30">
        <f>SUM(N70:N77)</f>
        <v>5892.8</v>
      </c>
      <c r="O79" s="30"/>
      <c r="P79" s="30">
        <f>SUM(P70:P77)</f>
        <v>5344.2725</v>
      </c>
      <c r="Q79" s="30"/>
      <c r="R79" s="30">
        <f>SUM(R70:R77)</f>
        <v>5475.6015124999994</v>
      </c>
      <c r="S79" s="30"/>
      <c r="T79" s="30">
        <f>SUM(T70:T77)</f>
        <v>0</v>
      </c>
      <c r="U79" s="30">
        <f>L79+N79+P79+R79+T79</f>
        <v>18750.4240125</v>
      </c>
      <c r="V79" s="30">
        <f>SUM(V70:V77)</f>
        <v>0</v>
      </c>
      <c r="W79" s="30">
        <f>SUM(U79:V79)</f>
        <v>18750.4240125</v>
      </c>
      <c r="Y79" s="291"/>
    </row>
    <row r="80" spans="1:28" ht="12" customHeight="1" x14ac:dyDescent="0.35">
      <c r="F80" s="268"/>
      <c r="G80" s="12"/>
      <c r="H80" s="12"/>
      <c r="I80" s="32"/>
    </row>
    <row r="81" spans="1:26" ht="12" customHeight="1" x14ac:dyDescent="0.4">
      <c r="A81" s="32" t="s">
        <v>321</v>
      </c>
      <c r="B81" s="32">
        <v>89050</v>
      </c>
      <c r="C81" s="32" t="s">
        <v>344</v>
      </c>
      <c r="D81" s="32" t="s">
        <v>344</v>
      </c>
      <c r="E81" s="32" t="s">
        <v>143</v>
      </c>
      <c r="F81" s="260" t="s">
        <v>413</v>
      </c>
      <c r="G81" s="4" t="s">
        <v>424</v>
      </c>
      <c r="H81" s="1" t="s">
        <v>330</v>
      </c>
      <c r="I81" s="3"/>
      <c r="J81" s="3"/>
      <c r="K81" s="26">
        <v>0.1</v>
      </c>
      <c r="L81" s="44">
        <f>(L79)*K81</f>
        <v>203.77500000000001</v>
      </c>
      <c r="M81" s="44"/>
      <c r="N81" s="44">
        <f>(N79)*K81</f>
        <v>589.28000000000009</v>
      </c>
      <c r="O81" s="44"/>
      <c r="P81" s="44">
        <f>(P79)*K81</f>
        <v>534.42725000000007</v>
      </c>
      <c r="R81" s="44">
        <f>(R79)*K81</f>
        <v>547.56015124999999</v>
      </c>
      <c r="T81" s="44">
        <f>(T79)*K81</f>
        <v>0</v>
      </c>
      <c r="U81" s="44">
        <f>SUM(L81+N81+P81+R81+T81)</f>
        <v>1875.04240125</v>
      </c>
      <c r="V81" s="44">
        <v>0</v>
      </c>
      <c r="W81" s="44">
        <f>SUM(U81:V81)</f>
        <v>1875.04240125</v>
      </c>
      <c r="Y81" s="289"/>
    </row>
    <row r="82" spans="1:26" ht="12" customHeight="1" x14ac:dyDescent="0.35">
      <c r="F82" s="268"/>
      <c r="G82" s="12"/>
      <c r="H82" s="12"/>
      <c r="I82" s="32"/>
    </row>
    <row r="83" spans="1:26" ht="12" customHeight="1" thickBot="1" x14ac:dyDescent="0.45">
      <c r="A83" s="30"/>
      <c r="B83" s="30"/>
      <c r="C83" s="30"/>
      <c r="D83" s="30"/>
      <c r="E83" s="30"/>
      <c r="F83" s="271"/>
      <c r="G83" s="18" t="s">
        <v>327</v>
      </c>
      <c r="H83" s="18"/>
      <c r="I83" s="18"/>
      <c r="J83" s="25"/>
      <c r="K83" s="25"/>
      <c r="L83" s="30">
        <f>SUM(L79:L81)</f>
        <v>2241.5250000000001</v>
      </c>
      <c r="M83" s="30"/>
      <c r="N83" s="30">
        <f>SUM(N79:N81)</f>
        <v>6482.08</v>
      </c>
      <c r="O83" s="30"/>
      <c r="P83" s="30">
        <f>SUM(P79:P81)</f>
        <v>5878.6997499999998</v>
      </c>
      <c r="Q83" s="30"/>
      <c r="R83" s="30">
        <f>SUM(R79:R81)</f>
        <v>6023.1616637499992</v>
      </c>
      <c r="S83" s="30"/>
      <c r="T83" s="30">
        <f>SUM(T79:T81)</f>
        <v>0</v>
      </c>
      <c r="U83" s="30">
        <f>L83+N83+P83+R83+T83</f>
        <v>20625.46641375</v>
      </c>
      <c r="V83" s="30">
        <f>V81</f>
        <v>0</v>
      </c>
      <c r="W83" s="30">
        <f>SUM(U83:V83)</f>
        <v>20625.46641375</v>
      </c>
      <c r="Y83" s="291"/>
    </row>
    <row r="84" spans="1:26" ht="12" customHeight="1" x14ac:dyDescent="0.4">
      <c r="A84" s="34"/>
      <c r="B84" s="34"/>
      <c r="C84" s="34"/>
      <c r="D84" s="34"/>
      <c r="E84" s="34"/>
      <c r="F84" s="272"/>
      <c r="G84" s="22"/>
      <c r="H84" s="22"/>
      <c r="I84" s="23"/>
      <c r="J84" s="24"/>
      <c r="K84" s="35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292"/>
      <c r="Y84" s="289"/>
      <c r="Z84" s="143"/>
    </row>
    <row r="85" spans="1:26" ht="12" customHeight="1" thickBot="1" x14ac:dyDescent="0.45">
      <c r="A85" s="117"/>
      <c r="B85" s="117"/>
      <c r="C85" s="117"/>
      <c r="D85" s="117"/>
      <c r="E85" s="117"/>
      <c r="F85" s="273"/>
      <c r="G85" s="10" t="s">
        <v>16</v>
      </c>
      <c r="H85" s="10"/>
      <c r="I85" s="10"/>
      <c r="J85" s="10"/>
      <c r="K85" s="36"/>
      <c r="L85" s="117">
        <f>L83+L67</f>
        <v>25921.5</v>
      </c>
      <c r="M85" s="117"/>
      <c r="N85" s="117">
        <f>N83+N67</f>
        <v>98869.099999999991</v>
      </c>
      <c r="O85" s="117"/>
      <c r="P85" s="117">
        <f>P83+P67</f>
        <v>107508.995</v>
      </c>
      <c r="Q85" s="117"/>
      <c r="R85" s="117">
        <f>R83+R67</f>
        <v>97198.233274999977</v>
      </c>
      <c r="S85" s="117"/>
      <c r="T85" s="117">
        <f>T83+T67</f>
        <v>0</v>
      </c>
      <c r="U85" s="117">
        <f>T85+R85+P85+N85+L85</f>
        <v>329497.82827499998</v>
      </c>
      <c r="V85" s="117">
        <f>V83+V67</f>
        <v>0</v>
      </c>
      <c r="W85" s="117">
        <f>SUM(U85:V85)</f>
        <v>329497.82827499998</v>
      </c>
      <c r="Y85" s="289"/>
    </row>
    <row r="86" spans="1:26" ht="12" customHeight="1" thickTop="1" x14ac:dyDescent="0.35"/>
    <row r="88" spans="1:26" ht="12" customHeight="1" x14ac:dyDescent="0.35">
      <c r="U88" s="144"/>
    </row>
    <row r="89" spans="1:26" ht="12" customHeight="1" x14ac:dyDescent="0.35">
      <c r="K89" s="2"/>
      <c r="V89" s="69"/>
    </row>
    <row r="90" spans="1:26" ht="12" customHeight="1" x14ac:dyDescent="0.35">
      <c r="G90" s="7"/>
      <c r="H90" s="7"/>
      <c r="I90" s="50"/>
    </row>
    <row r="91" spans="1:26" ht="12" customHeight="1" x14ac:dyDescent="0.35">
      <c r="G91" s="7"/>
      <c r="H91" s="7"/>
      <c r="I91" s="51"/>
    </row>
    <row r="93" spans="1:26" ht="12" customHeight="1" x14ac:dyDescent="0.35">
      <c r="G93" s="7"/>
      <c r="H93" s="7"/>
      <c r="I93" s="50"/>
    </row>
    <row r="94" spans="1:26" ht="12" customHeight="1" x14ac:dyDescent="0.35">
      <c r="G94" s="7"/>
      <c r="H94" s="7"/>
      <c r="I94" s="51"/>
    </row>
    <row r="96" spans="1:26" ht="12" customHeight="1" x14ac:dyDescent="0.35">
      <c r="G96" s="7"/>
      <c r="H96" s="7"/>
      <c r="I96" s="50"/>
    </row>
    <row r="97" spans="1:30" ht="12" customHeight="1" x14ac:dyDescent="0.35">
      <c r="G97" s="7"/>
      <c r="H97" s="7"/>
      <c r="I97" s="51"/>
    </row>
    <row r="99" spans="1:30" ht="12" customHeight="1" x14ac:dyDescent="0.35">
      <c r="G99" s="7"/>
      <c r="H99" s="7"/>
      <c r="I99" s="50"/>
    </row>
    <row r="100" spans="1:30" ht="12" customHeight="1" x14ac:dyDescent="0.35">
      <c r="G100" s="7"/>
      <c r="H100" s="7"/>
      <c r="I100" s="51"/>
    </row>
    <row r="101" spans="1:30" ht="12" customHeight="1" x14ac:dyDescent="0.35">
      <c r="AD101" s="1"/>
    </row>
    <row r="102" spans="1:30" ht="12" customHeight="1" x14ac:dyDescent="0.35">
      <c r="G102" s="7"/>
      <c r="H102" s="7"/>
      <c r="I102" s="50"/>
    </row>
    <row r="103" spans="1:30" ht="12" customHeight="1" x14ac:dyDescent="0.35">
      <c r="G103" s="7"/>
      <c r="H103" s="7"/>
      <c r="I103" s="51"/>
    </row>
    <row r="107" spans="1:30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9" spans="1:30" ht="12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</sheetData>
  <mergeCells count="5">
    <mergeCell ref="G1:W1"/>
    <mergeCell ref="G2:W2"/>
    <mergeCell ref="G3:W3"/>
    <mergeCell ref="G47:W47"/>
    <mergeCell ref="G4:H4"/>
  </mergeCells>
  <phoneticPr fontId="34" type="noConversion"/>
  <pageMargins left="0.7" right="0.7" top="0.75" bottom="0.75" header="0.3" footer="0.3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CEA6-F5E9-492C-A2DC-2AA7DED73C0F}">
  <sheetPr>
    <pageSetUpPr fitToPage="1"/>
  </sheetPr>
  <dimension ref="A1:AO107"/>
  <sheetViews>
    <sheetView topLeftCell="K1" zoomScale="80" zoomScaleNormal="130" zoomScaleSheetLayoutView="90" workbookViewId="0">
      <pane ySplit="7" topLeftCell="A70" activePane="bottomLeft" state="frozen"/>
      <selection pane="bottomLeft" activeCell="N70" sqref="N70"/>
    </sheetView>
  </sheetViews>
  <sheetFormatPr defaultColWidth="11.44140625" defaultRowHeight="12" customHeight="1" x14ac:dyDescent="0.35"/>
  <cols>
    <col min="1" max="1" width="30.83203125" style="1" customWidth="1"/>
    <col min="2" max="5" width="10.1640625" style="1" customWidth="1"/>
    <col min="6" max="6" width="19.83203125" style="1" bestFit="1" customWidth="1"/>
    <col min="7" max="7" width="68.44140625" style="1" customWidth="1"/>
    <col min="8" max="8" width="11.44140625" style="1" customWidth="1"/>
    <col min="9" max="9" width="7.83203125" style="1" customWidth="1"/>
    <col min="10" max="10" width="9.44140625" style="1" customWidth="1"/>
    <col min="11" max="11" width="8.83203125" style="6" customWidth="1"/>
    <col min="12" max="12" width="14.44140625" style="5" customWidth="1"/>
    <col min="13" max="13" width="8.83203125" style="5" customWidth="1"/>
    <col min="14" max="14" width="12.1640625" style="5" customWidth="1"/>
    <col min="15" max="15" width="8.44140625" style="5" customWidth="1"/>
    <col min="16" max="17" width="11.44140625" style="5" customWidth="1"/>
    <col min="18" max="18" width="11.83203125" style="5" customWidth="1"/>
    <col min="19" max="19" width="11.44140625" style="5" customWidth="1"/>
    <col min="20" max="20" width="10.44140625" style="5" customWidth="1"/>
    <col min="21" max="21" width="11.83203125" style="5" customWidth="1"/>
    <col min="22" max="22" width="10.44140625" style="5" customWidth="1"/>
    <col min="23" max="23" width="12" style="5" customWidth="1"/>
    <col min="24" max="24" width="9.5546875" style="278" customWidth="1"/>
    <col min="25" max="25" width="12.44140625" style="278" customWidth="1"/>
    <col min="26" max="26" width="9.1640625" style="2" customWidth="1"/>
    <col min="27" max="27" width="13" style="2" customWidth="1"/>
    <col min="28" max="28" width="12" style="2" customWidth="1"/>
    <col min="29" max="29" width="18.44140625" style="2" customWidth="1"/>
    <col min="30" max="261" width="11.44140625" style="2"/>
    <col min="262" max="262" width="58.44140625" style="2" customWidth="1"/>
    <col min="263" max="263" width="8.44140625" style="2" customWidth="1"/>
    <col min="264" max="264" width="11.44140625" style="2" customWidth="1"/>
    <col min="265" max="265" width="7.83203125" style="2" customWidth="1"/>
    <col min="266" max="266" width="9.44140625" style="2" customWidth="1"/>
    <col min="267" max="267" width="8.83203125" style="2" customWidth="1"/>
    <col min="268" max="268" width="14.44140625" style="2" customWidth="1"/>
    <col min="269" max="269" width="8.83203125" style="2" customWidth="1"/>
    <col min="270" max="270" width="12.1640625" style="2" customWidth="1"/>
    <col min="271" max="271" width="8.44140625" style="2" customWidth="1"/>
    <col min="272" max="273" width="11.44140625" style="2" customWidth="1"/>
    <col min="274" max="274" width="11.83203125" style="2" customWidth="1"/>
    <col min="275" max="275" width="11.44140625" style="2" customWidth="1"/>
    <col min="276" max="276" width="10.44140625" style="2" customWidth="1"/>
    <col min="277" max="277" width="11.83203125" style="2" customWidth="1"/>
    <col min="278" max="278" width="10.44140625" style="2" customWidth="1"/>
    <col min="279" max="279" width="12" style="2" customWidth="1"/>
    <col min="280" max="280" width="16.83203125" style="2" customWidth="1"/>
    <col min="281" max="281" width="12.44140625" style="2" customWidth="1"/>
    <col min="282" max="282" width="9.1640625" style="2" customWidth="1"/>
    <col min="283" max="283" width="13" style="2" customWidth="1"/>
    <col min="284" max="284" width="12" style="2" customWidth="1"/>
    <col min="285" max="285" width="18.44140625" style="2" customWidth="1"/>
    <col min="286" max="517" width="11.44140625" style="2"/>
    <col min="518" max="518" width="58.44140625" style="2" customWidth="1"/>
    <col min="519" max="519" width="8.44140625" style="2" customWidth="1"/>
    <col min="520" max="520" width="11.44140625" style="2" customWidth="1"/>
    <col min="521" max="521" width="7.83203125" style="2" customWidth="1"/>
    <col min="522" max="522" width="9.44140625" style="2" customWidth="1"/>
    <col min="523" max="523" width="8.83203125" style="2" customWidth="1"/>
    <col min="524" max="524" width="14.44140625" style="2" customWidth="1"/>
    <col min="525" max="525" width="8.83203125" style="2" customWidth="1"/>
    <col min="526" max="526" width="12.1640625" style="2" customWidth="1"/>
    <col min="527" max="527" width="8.44140625" style="2" customWidth="1"/>
    <col min="528" max="529" width="11.44140625" style="2" customWidth="1"/>
    <col min="530" max="530" width="11.83203125" style="2" customWidth="1"/>
    <col min="531" max="531" width="11.44140625" style="2" customWidth="1"/>
    <col min="532" max="532" width="10.44140625" style="2" customWidth="1"/>
    <col min="533" max="533" width="11.83203125" style="2" customWidth="1"/>
    <col min="534" max="534" width="10.44140625" style="2" customWidth="1"/>
    <col min="535" max="535" width="12" style="2" customWidth="1"/>
    <col min="536" max="536" width="16.83203125" style="2" customWidth="1"/>
    <col min="537" max="537" width="12.44140625" style="2" customWidth="1"/>
    <col min="538" max="538" width="9.1640625" style="2" customWidth="1"/>
    <col min="539" max="539" width="13" style="2" customWidth="1"/>
    <col min="540" max="540" width="12" style="2" customWidth="1"/>
    <col min="541" max="541" width="18.44140625" style="2" customWidth="1"/>
    <col min="542" max="773" width="11.44140625" style="2"/>
    <col min="774" max="774" width="58.44140625" style="2" customWidth="1"/>
    <col min="775" max="775" width="8.44140625" style="2" customWidth="1"/>
    <col min="776" max="776" width="11.44140625" style="2" customWidth="1"/>
    <col min="777" max="777" width="7.83203125" style="2" customWidth="1"/>
    <col min="778" max="778" width="9.44140625" style="2" customWidth="1"/>
    <col min="779" max="779" width="8.83203125" style="2" customWidth="1"/>
    <col min="780" max="780" width="14.44140625" style="2" customWidth="1"/>
    <col min="781" max="781" width="8.83203125" style="2" customWidth="1"/>
    <col min="782" max="782" width="12.1640625" style="2" customWidth="1"/>
    <col min="783" max="783" width="8.44140625" style="2" customWidth="1"/>
    <col min="784" max="785" width="11.44140625" style="2" customWidth="1"/>
    <col min="786" max="786" width="11.83203125" style="2" customWidth="1"/>
    <col min="787" max="787" width="11.44140625" style="2" customWidth="1"/>
    <col min="788" max="788" width="10.44140625" style="2" customWidth="1"/>
    <col min="789" max="789" width="11.83203125" style="2" customWidth="1"/>
    <col min="790" max="790" width="10.44140625" style="2" customWidth="1"/>
    <col min="791" max="791" width="12" style="2" customWidth="1"/>
    <col min="792" max="792" width="16.83203125" style="2" customWidth="1"/>
    <col min="793" max="793" width="12.44140625" style="2" customWidth="1"/>
    <col min="794" max="794" width="9.1640625" style="2" customWidth="1"/>
    <col min="795" max="795" width="13" style="2" customWidth="1"/>
    <col min="796" max="796" width="12" style="2" customWidth="1"/>
    <col min="797" max="797" width="18.44140625" style="2" customWidth="1"/>
    <col min="798" max="1029" width="11.44140625" style="2"/>
    <col min="1030" max="1030" width="58.44140625" style="2" customWidth="1"/>
    <col min="1031" max="1031" width="8.44140625" style="2" customWidth="1"/>
    <col min="1032" max="1032" width="11.44140625" style="2" customWidth="1"/>
    <col min="1033" max="1033" width="7.83203125" style="2" customWidth="1"/>
    <col min="1034" max="1034" width="9.44140625" style="2" customWidth="1"/>
    <col min="1035" max="1035" width="8.83203125" style="2" customWidth="1"/>
    <col min="1036" max="1036" width="14.44140625" style="2" customWidth="1"/>
    <col min="1037" max="1037" width="8.83203125" style="2" customWidth="1"/>
    <col min="1038" max="1038" width="12.1640625" style="2" customWidth="1"/>
    <col min="1039" max="1039" width="8.44140625" style="2" customWidth="1"/>
    <col min="1040" max="1041" width="11.44140625" style="2" customWidth="1"/>
    <col min="1042" max="1042" width="11.83203125" style="2" customWidth="1"/>
    <col min="1043" max="1043" width="11.44140625" style="2" customWidth="1"/>
    <col min="1044" max="1044" width="10.44140625" style="2" customWidth="1"/>
    <col min="1045" max="1045" width="11.83203125" style="2" customWidth="1"/>
    <col min="1046" max="1046" width="10.44140625" style="2" customWidth="1"/>
    <col min="1047" max="1047" width="12" style="2" customWidth="1"/>
    <col min="1048" max="1048" width="16.83203125" style="2" customWidth="1"/>
    <col min="1049" max="1049" width="12.44140625" style="2" customWidth="1"/>
    <col min="1050" max="1050" width="9.1640625" style="2" customWidth="1"/>
    <col min="1051" max="1051" width="13" style="2" customWidth="1"/>
    <col min="1052" max="1052" width="12" style="2" customWidth="1"/>
    <col min="1053" max="1053" width="18.44140625" style="2" customWidth="1"/>
    <col min="1054" max="1285" width="11.44140625" style="2"/>
    <col min="1286" max="1286" width="58.44140625" style="2" customWidth="1"/>
    <col min="1287" max="1287" width="8.44140625" style="2" customWidth="1"/>
    <col min="1288" max="1288" width="11.44140625" style="2" customWidth="1"/>
    <col min="1289" max="1289" width="7.83203125" style="2" customWidth="1"/>
    <col min="1290" max="1290" width="9.44140625" style="2" customWidth="1"/>
    <col min="1291" max="1291" width="8.83203125" style="2" customWidth="1"/>
    <col min="1292" max="1292" width="14.44140625" style="2" customWidth="1"/>
    <col min="1293" max="1293" width="8.83203125" style="2" customWidth="1"/>
    <col min="1294" max="1294" width="12.1640625" style="2" customWidth="1"/>
    <col min="1295" max="1295" width="8.44140625" style="2" customWidth="1"/>
    <col min="1296" max="1297" width="11.44140625" style="2" customWidth="1"/>
    <col min="1298" max="1298" width="11.83203125" style="2" customWidth="1"/>
    <col min="1299" max="1299" width="11.44140625" style="2" customWidth="1"/>
    <col min="1300" max="1300" width="10.44140625" style="2" customWidth="1"/>
    <col min="1301" max="1301" width="11.83203125" style="2" customWidth="1"/>
    <col min="1302" max="1302" width="10.44140625" style="2" customWidth="1"/>
    <col min="1303" max="1303" width="12" style="2" customWidth="1"/>
    <col min="1304" max="1304" width="16.83203125" style="2" customWidth="1"/>
    <col min="1305" max="1305" width="12.44140625" style="2" customWidth="1"/>
    <col min="1306" max="1306" width="9.1640625" style="2" customWidth="1"/>
    <col min="1307" max="1307" width="13" style="2" customWidth="1"/>
    <col min="1308" max="1308" width="12" style="2" customWidth="1"/>
    <col min="1309" max="1309" width="18.44140625" style="2" customWidth="1"/>
    <col min="1310" max="1541" width="11.44140625" style="2"/>
    <col min="1542" max="1542" width="58.44140625" style="2" customWidth="1"/>
    <col min="1543" max="1543" width="8.44140625" style="2" customWidth="1"/>
    <col min="1544" max="1544" width="11.44140625" style="2" customWidth="1"/>
    <col min="1545" max="1545" width="7.83203125" style="2" customWidth="1"/>
    <col min="1546" max="1546" width="9.44140625" style="2" customWidth="1"/>
    <col min="1547" max="1547" width="8.83203125" style="2" customWidth="1"/>
    <col min="1548" max="1548" width="14.44140625" style="2" customWidth="1"/>
    <col min="1549" max="1549" width="8.83203125" style="2" customWidth="1"/>
    <col min="1550" max="1550" width="12.1640625" style="2" customWidth="1"/>
    <col min="1551" max="1551" width="8.44140625" style="2" customWidth="1"/>
    <col min="1552" max="1553" width="11.44140625" style="2" customWidth="1"/>
    <col min="1554" max="1554" width="11.83203125" style="2" customWidth="1"/>
    <col min="1555" max="1555" width="11.44140625" style="2" customWidth="1"/>
    <col min="1556" max="1556" width="10.44140625" style="2" customWidth="1"/>
    <col min="1557" max="1557" width="11.83203125" style="2" customWidth="1"/>
    <col min="1558" max="1558" width="10.44140625" style="2" customWidth="1"/>
    <col min="1559" max="1559" width="12" style="2" customWidth="1"/>
    <col min="1560" max="1560" width="16.83203125" style="2" customWidth="1"/>
    <col min="1561" max="1561" width="12.44140625" style="2" customWidth="1"/>
    <col min="1562" max="1562" width="9.1640625" style="2" customWidth="1"/>
    <col min="1563" max="1563" width="13" style="2" customWidth="1"/>
    <col min="1564" max="1564" width="12" style="2" customWidth="1"/>
    <col min="1565" max="1565" width="18.44140625" style="2" customWidth="1"/>
    <col min="1566" max="1797" width="11.44140625" style="2"/>
    <col min="1798" max="1798" width="58.44140625" style="2" customWidth="1"/>
    <col min="1799" max="1799" width="8.44140625" style="2" customWidth="1"/>
    <col min="1800" max="1800" width="11.44140625" style="2" customWidth="1"/>
    <col min="1801" max="1801" width="7.83203125" style="2" customWidth="1"/>
    <col min="1802" max="1802" width="9.44140625" style="2" customWidth="1"/>
    <col min="1803" max="1803" width="8.83203125" style="2" customWidth="1"/>
    <col min="1804" max="1804" width="14.44140625" style="2" customWidth="1"/>
    <col min="1805" max="1805" width="8.83203125" style="2" customWidth="1"/>
    <col min="1806" max="1806" width="12.1640625" style="2" customWidth="1"/>
    <col min="1807" max="1807" width="8.44140625" style="2" customWidth="1"/>
    <col min="1808" max="1809" width="11.44140625" style="2" customWidth="1"/>
    <col min="1810" max="1810" width="11.83203125" style="2" customWidth="1"/>
    <col min="1811" max="1811" width="11.44140625" style="2" customWidth="1"/>
    <col min="1812" max="1812" width="10.44140625" style="2" customWidth="1"/>
    <col min="1813" max="1813" width="11.83203125" style="2" customWidth="1"/>
    <col min="1814" max="1814" width="10.44140625" style="2" customWidth="1"/>
    <col min="1815" max="1815" width="12" style="2" customWidth="1"/>
    <col min="1816" max="1816" width="16.83203125" style="2" customWidth="1"/>
    <col min="1817" max="1817" width="12.44140625" style="2" customWidth="1"/>
    <col min="1818" max="1818" width="9.1640625" style="2" customWidth="1"/>
    <col min="1819" max="1819" width="13" style="2" customWidth="1"/>
    <col min="1820" max="1820" width="12" style="2" customWidth="1"/>
    <col min="1821" max="1821" width="18.44140625" style="2" customWidth="1"/>
    <col min="1822" max="2053" width="11.44140625" style="2"/>
    <col min="2054" max="2054" width="58.44140625" style="2" customWidth="1"/>
    <col min="2055" max="2055" width="8.44140625" style="2" customWidth="1"/>
    <col min="2056" max="2056" width="11.44140625" style="2" customWidth="1"/>
    <col min="2057" max="2057" width="7.83203125" style="2" customWidth="1"/>
    <col min="2058" max="2058" width="9.44140625" style="2" customWidth="1"/>
    <col min="2059" max="2059" width="8.83203125" style="2" customWidth="1"/>
    <col min="2060" max="2060" width="14.44140625" style="2" customWidth="1"/>
    <col min="2061" max="2061" width="8.83203125" style="2" customWidth="1"/>
    <col min="2062" max="2062" width="12.1640625" style="2" customWidth="1"/>
    <col min="2063" max="2063" width="8.44140625" style="2" customWidth="1"/>
    <col min="2064" max="2065" width="11.44140625" style="2" customWidth="1"/>
    <col min="2066" max="2066" width="11.83203125" style="2" customWidth="1"/>
    <col min="2067" max="2067" width="11.44140625" style="2" customWidth="1"/>
    <col min="2068" max="2068" width="10.44140625" style="2" customWidth="1"/>
    <col min="2069" max="2069" width="11.83203125" style="2" customWidth="1"/>
    <col min="2070" max="2070" width="10.44140625" style="2" customWidth="1"/>
    <col min="2071" max="2071" width="12" style="2" customWidth="1"/>
    <col min="2072" max="2072" width="16.83203125" style="2" customWidth="1"/>
    <col min="2073" max="2073" width="12.44140625" style="2" customWidth="1"/>
    <col min="2074" max="2074" width="9.1640625" style="2" customWidth="1"/>
    <col min="2075" max="2075" width="13" style="2" customWidth="1"/>
    <col min="2076" max="2076" width="12" style="2" customWidth="1"/>
    <col min="2077" max="2077" width="18.44140625" style="2" customWidth="1"/>
    <col min="2078" max="2309" width="11.44140625" style="2"/>
    <col min="2310" max="2310" width="58.44140625" style="2" customWidth="1"/>
    <col min="2311" max="2311" width="8.44140625" style="2" customWidth="1"/>
    <col min="2312" max="2312" width="11.44140625" style="2" customWidth="1"/>
    <col min="2313" max="2313" width="7.83203125" style="2" customWidth="1"/>
    <col min="2314" max="2314" width="9.44140625" style="2" customWidth="1"/>
    <col min="2315" max="2315" width="8.83203125" style="2" customWidth="1"/>
    <col min="2316" max="2316" width="14.44140625" style="2" customWidth="1"/>
    <col min="2317" max="2317" width="8.83203125" style="2" customWidth="1"/>
    <col min="2318" max="2318" width="12.1640625" style="2" customWidth="1"/>
    <col min="2319" max="2319" width="8.44140625" style="2" customWidth="1"/>
    <col min="2320" max="2321" width="11.44140625" style="2" customWidth="1"/>
    <col min="2322" max="2322" width="11.83203125" style="2" customWidth="1"/>
    <col min="2323" max="2323" width="11.44140625" style="2" customWidth="1"/>
    <col min="2324" max="2324" width="10.44140625" style="2" customWidth="1"/>
    <col min="2325" max="2325" width="11.83203125" style="2" customWidth="1"/>
    <col min="2326" max="2326" width="10.44140625" style="2" customWidth="1"/>
    <col min="2327" max="2327" width="12" style="2" customWidth="1"/>
    <col min="2328" max="2328" width="16.83203125" style="2" customWidth="1"/>
    <col min="2329" max="2329" width="12.44140625" style="2" customWidth="1"/>
    <col min="2330" max="2330" width="9.1640625" style="2" customWidth="1"/>
    <col min="2331" max="2331" width="13" style="2" customWidth="1"/>
    <col min="2332" max="2332" width="12" style="2" customWidth="1"/>
    <col min="2333" max="2333" width="18.44140625" style="2" customWidth="1"/>
    <col min="2334" max="2565" width="11.44140625" style="2"/>
    <col min="2566" max="2566" width="58.44140625" style="2" customWidth="1"/>
    <col min="2567" max="2567" width="8.44140625" style="2" customWidth="1"/>
    <col min="2568" max="2568" width="11.44140625" style="2" customWidth="1"/>
    <col min="2569" max="2569" width="7.83203125" style="2" customWidth="1"/>
    <col min="2570" max="2570" width="9.44140625" style="2" customWidth="1"/>
    <col min="2571" max="2571" width="8.83203125" style="2" customWidth="1"/>
    <col min="2572" max="2572" width="14.44140625" style="2" customWidth="1"/>
    <col min="2573" max="2573" width="8.83203125" style="2" customWidth="1"/>
    <col min="2574" max="2574" width="12.1640625" style="2" customWidth="1"/>
    <col min="2575" max="2575" width="8.44140625" style="2" customWidth="1"/>
    <col min="2576" max="2577" width="11.44140625" style="2" customWidth="1"/>
    <col min="2578" max="2578" width="11.83203125" style="2" customWidth="1"/>
    <col min="2579" max="2579" width="11.44140625" style="2" customWidth="1"/>
    <col min="2580" max="2580" width="10.44140625" style="2" customWidth="1"/>
    <col min="2581" max="2581" width="11.83203125" style="2" customWidth="1"/>
    <col min="2582" max="2582" width="10.44140625" style="2" customWidth="1"/>
    <col min="2583" max="2583" width="12" style="2" customWidth="1"/>
    <col min="2584" max="2584" width="16.83203125" style="2" customWidth="1"/>
    <col min="2585" max="2585" width="12.44140625" style="2" customWidth="1"/>
    <col min="2586" max="2586" width="9.1640625" style="2" customWidth="1"/>
    <col min="2587" max="2587" width="13" style="2" customWidth="1"/>
    <col min="2588" max="2588" width="12" style="2" customWidth="1"/>
    <col min="2589" max="2589" width="18.44140625" style="2" customWidth="1"/>
    <col min="2590" max="2821" width="11.44140625" style="2"/>
    <col min="2822" max="2822" width="58.44140625" style="2" customWidth="1"/>
    <col min="2823" max="2823" width="8.44140625" style="2" customWidth="1"/>
    <col min="2824" max="2824" width="11.44140625" style="2" customWidth="1"/>
    <col min="2825" max="2825" width="7.83203125" style="2" customWidth="1"/>
    <col min="2826" max="2826" width="9.44140625" style="2" customWidth="1"/>
    <col min="2827" max="2827" width="8.83203125" style="2" customWidth="1"/>
    <col min="2828" max="2828" width="14.44140625" style="2" customWidth="1"/>
    <col min="2829" max="2829" width="8.83203125" style="2" customWidth="1"/>
    <col min="2830" max="2830" width="12.1640625" style="2" customWidth="1"/>
    <col min="2831" max="2831" width="8.44140625" style="2" customWidth="1"/>
    <col min="2832" max="2833" width="11.44140625" style="2" customWidth="1"/>
    <col min="2834" max="2834" width="11.83203125" style="2" customWidth="1"/>
    <col min="2835" max="2835" width="11.44140625" style="2" customWidth="1"/>
    <col min="2836" max="2836" width="10.44140625" style="2" customWidth="1"/>
    <col min="2837" max="2837" width="11.83203125" style="2" customWidth="1"/>
    <col min="2838" max="2838" width="10.44140625" style="2" customWidth="1"/>
    <col min="2839" max="2839" width="12" style="2" customWidth="1"/>
    <col min="2840" max="2840" width="16.83203125" style="2" customWidth="1"/>
    <col min="2841" max="2841" width="12.44140625" style="2" customWidth="1"/>
    <col min="2842" max="2842" width="9.1640625" style="2" customWidth="1"/>
    <col min="2843" max="2843" width="13" style="2" customWidth="1"/>
    <col min="2844" max="2844" width="12" style="2" customWidth="1"/>
    <col min="2845" max="2845" width="18.44140625" style="2" customWidth="1"/>
    <col min="2846" max="3077" width="11.44140625" style="2"/>
    <col min="3078" max="3078" width="58.44140625" style="2" customWidth="1"/>
    <col min="3079" max="3079" width="8.44140625" style="2" customWidth="1"/>
    <col min="3080" max="3080" width="11.44140625" style="2" customWidth="1"/>
    <col min="3081" max="3081" width="7.83203125" style="2" customWidth="1"/>
    <col min="3082" max="3082" width="9.44140625" style="2" customWidth="1"/>
    <col min="3083" max="3083" width="8.83203125" style="2" customWidth="1"/>
    <col min="3084" max="3084" width="14.44140625" style="2" customWidth="1"/>
    <col min="3085" max="3085" width="8.83203125" style="2" customWidth="1"/>
    <col min="3086" max="3086" width="12.1640625" style="2" customWidth="1"/>
    <col min="3087" max="3087" width="8.44140625" style="2" customWidth="1"/>
    <col min="3088" max="3089" width="11.44140625" style="2" customWidth="1"/>
    <col min="3090" max="3090" width="11.83203125" style="2" customWidth="1"/>
    <col min="3091" max="3091" width="11.44140625" style="2" customWidth="1"/>
    <col min="3092" max="3092" width="10.44140625" style="2" customWidth="1"/>
    <col min="3093" max="3093" width="11.83203125" style="2" customWidth="1"/>
    <col min="3094" max="3094" width="10.44140625" style="2" customWidth="1"/>
    <col min="3095" max="3095" width="12" style="2" customWidth="1"/>
    <col min="3096" max="3096" width="16.83203125" style="2" customWidth="1"/>
    <col min="3097" max="3097" width="12.44140625" style="2" customWidth="1"/>
    <col min="3098" max="3098" width="9.1640625" style="2" customWidth="1"/>
    <col min="3099" max="3099" width="13" style="2" customWidth="1"/>
    <col min="3100" max="3100" width="12" style="2" customWidth="1"/>
    <col min="3101" max="3101" width="18.44140625" style="2" customWidth="1"/>
    <col min="3102" max="3333" width="11.44140625" style="2"/>
    <col min="3334" max="3334" width="58.44140625" style="2" customWidth="1"/>
    <col min="3335" max="3335" width="8.44140625" style="2" customWidth="1"/>
    <col min="3336" max="3336" width="11.44140625" style="2" customWidth="1"/>
    <col min="3337" max="3337" width="7.83203125" style="2" customWidth="1"/>
    <col min="3338" max="3338" width="9.44140625" style="2" customWidth="1"/>
    <col min="3339" max="3339" width="8.83203125" style="2" customWidth="1"/>
    <col min="3340" max="3340" width="14.44140625" style="2" customWidth="1"/>
    <col min="3341" max="3341" width="8.83203125" style="2" customWidth="1"/>
    <col min="3342" max="3342" width="12.1640625" style="2" customWidth="1"/>
    <col min="3343" max="3343" width="8.44140625" style="2" customWidth="1"/>
    <col min="3344" max="3345" width="11.44140625" style="2" customWidth="1"/>
    <col min="3346" max="3346" width="11.83203125" style="2" customWidth="1"/>
    <col min="3347" max="3347" width="11.44140625" style="2" customWidth="1"/>
    <col min="3348" max="3348" width="10.44140625" style="2" customWidth="1"/>
    <col min="3349" max="3349" width="11.83203125" style="2" customWidth="1"/>
    <col min="3350" max="3350" width="10.44140625" style="2" customWidth="1"/>
    <col min="3351" max="3351" width="12" style="2" customWidth="1"/>
    <col min="3352" max="3352" width="16.83203125" style="2" customWidth="1"/>
    <col min="3353" max="3353" width="12.44140625" style="2" customWidth="1"/>
    <col min="3354" max="3354" width="9.1640625" style="2" customWidth="1"/>
    <col min="3355" max="3355" width="13" style="2" customWidth="1"/>
    <col min="3356" max="3356" width="12" style="2" customWidth="1"/>
    <col min="3357" max="3357" width="18.44140625" style="2" customWidth="1"/>
    <col min="3358" max="3589" width="11.44140625" style="2"/>
    <col min="3590" max="3590" width="58.44140625" style="2" customWidth="1"/>
    <col min="3591" max="3591" width="8.44140625" style="2" customWidth="1"/>
    <col min="3592" max="3592" width="11.44140625" style="2" customWidth="1"/>
    <col min="3593" max="3593" width="7.83203125" style="2" customWidth="1"/>
    <col min="3594" max="3594" width="9.44140625" style="2" customWidth="1"/>
    <col min="3595" max="3595" width="8.83203125" style="2" customWidth="1"/>
    <col min="3596" max="3596" width="14.44140625" style="2" customWidth="1"/>
    <col min="3597" max="3597" width="8.83203125" style="2" customWidth="1"/>
    <col min="3598" max="3598" width="12.1640625" style="2" customWidth="1"/>
    <col min="3599" max="3599" width="8.44140625" style="2" customWidth="1"/>
    <col min="3600" max="3601" width="11.44140625" style="2" customWidth="1"/>
    <col min="3602" max="3602" width="11.83203125" style="2" customWidth="1"/>
    <col min="3603" max="3603" width="11.44140625" style="2" customWidth="1"/>
    <col min="3604" max="3604" width="10.44140625" style="2" customWidth="1"/>
    <col min="3605" max="3605" width="11.83203125" style="2" customWidth="1"/>
    <col min="3606" max="3606" width="10.44140625" style="2" customWidth="1"/>
    <col min="3607" max="3607" width="12" style="2" customWidth="1"/>
    <col min="3608" max="3608" width="16.83203125" style="2" customWidth="1"/>
    <col min="3609" max="3609" width="12.44140625" style="2" customWidth="1"/>
    <col min="3610" max="3610" width="9.1640625" style="2" customWidth="1"/>
    <col min="3611" max="3611" width="13" style="2" customWidth="1"/>
    <col min="3612" max="3612" width="12" style="2" customWidth="1"/>
    <col min="3613" max="3613" width="18.44140625" style="2" customWidth="1"/>
    <col min="3614" max="3845" width="11.44140625" style="2"/>
    <col min="3846" max="3846" width="58.44140625" style="2" customWidth="1"/>
    <col min="3847" max="3847" width="8.44140625" style="2" customWidth="1"/>
    <col min="3848" max="3848" width="11.44140625" style="2" customWidth="1"/>
    <col min="3849" max="3849" width="7.83203125" style="2" customWidth="1"/>
    <col min="3850" max="3850" width="9.44140625" style="2" customWidth="1"/>
    <col min="3851" max="3851" width="8.83203125" style="2" customWidth="1"/>
    <col min="3852" max="3852" width="14.44140625" style="2" customWidth="1"/>
    <col min="3853" max="3853" width="8.83203125" style="2" customWidth="1"/>
    <col min="3854" max="3854" width="12.1640625" style="2" customWidth="1"/>
    <col min="3855" max="3855" width="8.44140625" style="2" customWidth="1"/>
    <col min="3856" max="3857" width="11.44140625" style="2" customWidth="1"/>
    <col min="3858" max="3858" width="11.83203125" style="2" customWidth="1"/>
    <col min="3859" max="3859" width="11.44140625" style="2" customWidth="1"/>
    <col min="3860" max="3860" width="10.44140625" style="2" customWidth="1"/>
    <col min="3861" max="3861" width="11.83203125" style="2" customWidth="1"/>
    <col min="3862" max="3862" width="10.44140625" style="2" customWidth="1"/>
    <col min="3863" max="3863" width="12" style="2" customWidth="1"/>
    <col min="3864" max="3864" width="16.83203125" style="2" customWidth="1"/>
    <col min="3865" max="3865" width="12.44140625" style="2" customWidth="1"/>
    <col min="3866" max="3866" width="9.1640625" style="2" customWidth="1"/>
    <col min="3867" max="3867" width="13" style="2" customWidth="1"/>
    <col min="3868" max="3868" width="12" style="2" customWidth="1"/>
    <col min="3869" max="3869" width="18.44140625" style="2" customWidth="1"/>
    <col min="3870" max="4101" width="11.44140625" style="2"/>
    <col min="4102" max="4102" width="58.44140625" style="2" customWidth="1"/>
    <col min="4103" max="4103" width="8.44140625" style="2" customWidth="1"/>
    <col min="4104" max="4104" width="11.44140625" style="2" customWidth="1"/>
    <col min="4105" max="4105" width="7.83203125" style="2" customWidth="1"/>
    <col min="4106" max="4106" width="9.44140625" style="2" customWidth="1"/>
    <col min="4107" max="4107" width="8.83203125" style="2" customWidth="1"/>
    <col min="4108" max="4108" width="14.44140625" style="2" customWidth="1"/>
    <col min="4109" max="4109" width="8.83203125" style="2" customWidth="1"/>
    <col min="4110" max="4110" width="12.1640625" style="2" customWidth="1"/>
    <col min="4111" max="4111" width="8.44140625" style="2" customWidth="1"/>
    <col min="4112" max="4113" width="11.44140625" style="2" customWidth="1"/>
    <col min="4114" max="4114" width="11.83203125" style="2" customWidth="1"/>
    <col min="4115" max="4115" width="11.44140625" style="2" customWidth="1"/>
    <col min="4116" max="4116" width="10.44140625" style="2" customWidth="1"/>
    <col min="4117" max="4117" width="11.83203125" style="2" customWidth="1"/>
    <col min="4118" max="4118" width="10.44140625" style="2" customWidth="1"/>
    <col min="4119" max="4119" width="12" style="2" customWidth="1"/>
    <col min="4120" max="4120" width="16.83203125" style="2" customWidth="1"/>
    <col min="4121" max="4121" width="12.44140625" style="2" customWidth="1"/>
    <col min="4122" max="4122" width="9.1640625" style="2" customWidth="1"/>
    <col min="4123" max="4123" width="13" style="2" customWidth="1"/>
    <col min="4124" max="4124" width="12" style="2" customWidth="1"/>
    <col min="4125" max="4125" width="18.44140625" style="2" customWidth="1"/>
    <col min="4126" max="4357" width="11.44140625" style="2"/>
    <col min="4358" max="4358" width="58.44140625" style="2" customWidth="1"/>
    <col min="4359" max="4359" width="8.44140625" style="2" customWidth="1"/>
    <col min="4360" max="4360" width="11.44140625" style="2" customWidth="1"/>
    <col min="4361" max="4361" width="7.83203125" style="2" customWidth="1"/>
    <col min="4362" max="4362" width="9.44140625" style="2" customWidth="1"/>
    <col min="4363" max="4363" width="8.83203125" style="2" customWidth="1"/>
    <col min="4364" max="4364" width="14.44140625" style="2" customWidth="1"/>
    <col min="4365" max="4365" width="8.83203125" style="2" customWidth="1"/>
    <col min="4366" max="4366" width="12.1640625" style="2" customWidth="1"/>
    <col min="4367" max="4367" width="8.44140625" style="2" customWidth="1"/>
    <col min="4368" max="4369" width="11.44140625" style="2" customWidth="1"/>
    <col min="4370" max="4370" width="11.83203125" style="2" customWidth="1"/>
    <col min="4371" max="4371" width="11.44140625" style="2" customWidth="1"/>
    <col min="4372" max="4372" width="10.44140625" style="2" customWidth="1"/>
    <col min="4373" max="4373" width="11.83203125" style="2" customWidth="1"/>
    <col min="4374" max="4374" width="10.44140625" style="2" customWidth="1"/>
    <col min="4375" max="4375" width="12" style="2" customWidth="1"/>
    <col min="4376" max="4376" width="16.83203125" style="2" customWidth="1"/>
    <col min="4377" max="4377" width="12.44140625" style="2" customWidth="1"/>
    <col min="4378" max="4378" width="9.1640625" style="2" customWidth="1"/>
    <col min="4379" max="4379" width="13" style="2" customWidth="1"/>
    <col min="4380" max="4380" width="12" style="2" customWidth="1"/>
    <col min="4381" max="4381" width="18.44140625" style="2" customWidth="1"/>
    <col min="4382" max="4613" width="11.44140625" style="2"/>
    <col min="4614" max="4614" width="58.44140625" style="2" customWidth="1"/>
    <col min="4615" max="4615" width="8.44140625" style="2" customWidth="1"/>
    <col min="4616" max="4616" width="11.44140625" style="2" customWidth="1"/>
    <col min="4617" max="4617" width="7.83203125" style="2" customWidth="1"/>
    <col min="4618" max="4618" width="9.44140625" style="2" customWidth="1"/>
    <col min="4619" max="4619" width="8.83203125" style="2" customWidth="1"/>
    <col min="4620" max="4620" width="14.44140625" style="2" customWidth="1"/>
    <col min="4621" max="4621" width="8.83203125" style="2" customWidth="1"/>
    <col min="4622" max="4622" width="12.1640625" style="2" customWidth="1"/>
    <col min="4623" max="4623" width="8.44140625" style="2" customWidth="1"/>
    <col min="4624" max="4625" width="11.44140625" style="2" customWidth="1"/>
    <col min="4626" max="4626" width="11.83203125" style="2" customWidth="1"/>
    <col min="4627" max="4627" width="11.44140625" style="2" customWidth="1"/>
    <col min="4628" max="4628" width="10.44140625" style="2" customWidth="1"/>
    <col min="4629" max="4629" width="11.83203125" style="2" customWidth="1"/>
    <col min="4630" max="4630" width="10.44140625" style="2" customWidth="1"/>
    <col min="4631" max="4631" width="12" style="2" customWidth="1"/>
    <col min="4632" max="4632" width="16.83203125" style="2" customWidth="1"/>
    <col min="4633" max="4633" width="12.44140625" style="2" customWidth="1"/>
    <col min="4634" max="4634" width="9.1640625" style="2" customWidth="1"/>
    <col min="4635" max="4635" width="13" style="2" customWidth="1"/>
    <col min="4636" max="4636" width="12" style="2" customWidth="1"/>
    <col min="4637" max="4637" width="18.44140625" style="2" customWidth="1"/>
    <col min="4638" max="4869" width="11.44140625" style="2"/>
    <col min="4870" max="4870" width="58.44140625" style="2" customWidth="1"/>
    <col min="4871" max="4871" width="8.44140625" style="2" customWidth="1"/>
    <col min="4872" max="4872" width="11.44140625" style="2" customWidth="1"/>
    <col min="4873" max="4873" width="7.83203125" style="2" customWidth="1"/>
    <col min="4874" max="4874" width="9.44140625" style="2" customWidth="1"/>
    <col min="4875" max="4875" width="8.83203125" style="2" customWidth="1"/>
    <col min="4876" max="4876" width="14.44140625" style="2" customWidth="1"/>
    <col min="4877" max="4877" width="8.83203125" style="2" customWidth="1"/>
    <col min="4878" max="4878" width="12.1640625" style="2" customWidth="1"/>
    <col min="4879" max="4879" width="8.44140625" style="2" customWidth="1"/>
    <col min="4880" max="4881" width="11.44140625" style="2" customWidth="1"/>
    <col min="4882" max="4882" width="11.83203125" style="2" customWidth="1"/>
    <col min="4883" max="4883" width="11.44140625" style="2" customWidth="1"/>
    <col min="4884" max="4884" width="10.44140625" style="2" customWidth="1"/>
    <col min="4885" max="4885" width="11.83203125" style="2" customWidth="1"/>
    <col min="4886" max="4886" width="10.44140625" style="2" customWidth="1"/>
    <col min="4887" max="4887" width="12" style="2" customWidth="1"/>
    <col min="4888" max="4888" width="16.83203125" style="2" customWidth="1"/>
    <col min="4889" max="4889" width="12.44140625" style="2" customWidth="1"/>
    <col min="4890" max="4890" width="9.1640625" style="2" customWidth="1"/>
    <col min="4891" max="4891" width="13" style="2" customWidth="1"/>
    <col min="4892" max="4892" width="12" style="2" customWidth="1"/>
    <col min="4893" max="4893" width="18.44140625" style="2" customWidth="1"/>
    <col min="4894" max="5125" width="11.44140625" style="2"/>
    <col min="5126" max="5126" width="58.44140625" style="2" customWidth="1"/>
    <col min="5127" max="5127" width="8.44140625" style="2" customWidth="1"/>
    <col min="5128" max="5128" width="11.44140625" style="2" customWidth="1"/>
    <col min="5129" max="5129" width="7.83203125" style="2" customWidth="1"/>
    <col min="5130" max="5130" width="9.44140625" style="2" customWidth="1"/>
    <col min="5131" max="5131" width="8.83203125" style="2" customWidth="1"/>
    <col min="5132" max="5132" width="14.44140625" style="2" customWidth="1"/>
    <col min="5133" max="5133" width="8.83203125" style="2" customWidth="1"/>
    <col min="5134" max="5134" width="12.1640625" style="2" customWidth="1"/>
    <col min="5135" max="5135" width="8.44140625" style="2" customWidth="1"/>
    <col min="5136" max="5137" width="11.44140625" style="2" customWidth="1"/>
    <col min="5138" max="5138" width="11.83203125" style="2" customWidth="1"/>
    <col min="5139" max="5139" width="11.44140625" style="2" customWidth="1"/>
    <col min="5140" max="5140" width="10.44140625" style="2" customWidth="1"/>
    <col min="5141" max="5141" width="11.83203125" style="2" customWidth="1"/>
    <col min="5142" max="5142" width="10.44140625" style="2" customWidth="1"/>
    <col min="5143" max="5143" width="12" style="2" customWidth="1"/>
    <col min="5144" max="5144" width="16.83203125" style="2" customWidth="1"/>
    <col min="5145" max="5145" width="12.44140625" style="2" customWidth="1"/>
    <col min="5146" max="5146" width="9.1640625" style="2" customWidth="1"/>
    <col min="5147" max="5147" width="13" style="2" customWidth="1"/>
    <col min="5148" max="5148" width="12" style="2" customWidth="1"/>
    <col min="5149" max="5149" width="18.44140625" style="2" customWidth="1"/>
    <col min="5150" max="5381" width="11.44140625" style="2"/>
    <col min="5382" max="5382" width="58.44140625" style="2" customWidth="1"/>
    <col min="5383" max="5383" width="8.44140625" style="2" customWidth="1"/>
    <col min="5384" max="5384" width="11.44140625" style="2" customWidth="1"/>
    <col min="5385" max="5385" width="7.83203125" style="2" customWidth="1"/>
    <col min="5386" max="5386" width="9.44140625" style="2" customWidth="1"/>
    <col min="5387" max="5387" width="8.83203125" style="2" customWidth="1"/>
    <col min="5388" max="5388" width="14.44140625" style="2" customWidth="1"/>
    <col min="5389" max="5389" width="8.83203125" style="2" customWidth="1"/>
    <col min="5390" max="5390" width="12.1640625" style="2" customWidth="1"/>
    <col min="5391" max="5391" width="8.44140625" style="2" customWidth="1"/>
    <col min="5392" max="5393" width="11.44140625" style="2" customWidth="1"/>
    <col min="5394" max="5394" width="11.83203125" style="2" customWidth="1"/>
    <col min="5395" max="5395" width="11.44140625" style="2" customWidth="1"/>
    <col min="5396" max="5396" width="10.44140625" style="2" customWidth="1"/>
    <col min="5397" max="5397" width="11.83203125" style="2" customWidth="1"/>
    <col min="5398" max="5398" width="10.44140625" style="2" customWidth="1"/>
    <col min="5399" max="5399" width="12" style="2" customWidth="1"/>
    <col min="5400" max="5400" width="16.83203125" style="2" customWidth="1"/>
    <col min="5401" max="5401" width="12.44140625" style="2" customWidth="1"/>
    <col min="5402" max="5402" width="9.1640625" style="2" customWidth="1"/>
    <col min="5403" max="5403" width="13" style="2" customWidth="1"/>
    <col min="5404" max="5404" width="12" style="2" customWidth="1"/>
    <col min="5405" max="5405" width="18.44140625" style="2" customWidth="1"/>
    <col min="5406" max="5637" width="11.44140625" style="2"/>
    <col min="5638" max="5638" width="58.44140625" style="2" customWidth="1"/>
    <col min="5639" max="5639" width="8.44140625" style="2" customWidth="1"/>
    <col min="5640" max="5640" width="11.44140625" style="2" customWidth="1"/>
    <col min="5641" max="5641" width="7.83203125" style="2" customWidth="1"/>
    <col min="5642" max="5642" width="9.44140625" style="2" customWidth="1"/>
    <col min="5643" max="5643" width="8.83203125" style="2" customWidth="1"/>
    <col min="5644" max="5644" width="14.44140625" style="2" customWidth="1"/>
    <col min="5645" max="5645" width="8.83203125" style="2" customWidth="1"/>
    <col min="5646" max="5646" width="12.1640625" style="2" customWidth="1"/>
    <col min="5647" max="5647" width="8.44140625" style="2" customWidth="1"/>
    <col min="5648" max="5649" width="11.44140625" style="2" customWidth="1"/>
    <col min="5650" max="5650" width="11.83203125" style="2" customWidth="1"/>
    <col min="5651" max="5651" width="11.44140625" style="2" customWidth="1"/>
    <col min="5652" max="5652" width="10.44140625" style="2" customWidth="1"/>
    <col min="5653" max="5653" width="11.83203125" style="2" customWidth="1"/>
    <col min="5654" max="5654" width="10.44140625" style="2" customWidth="1"/>
    <col min="5655" max="5655" width="12" style="2" customWidth="1"/>
    <col min="5656" max="5656" width="16.83203125" style="2" customWidth="1"/>
    <col min="5657" max="5657" width="12.44140625" style="2" customWidth="1"/>
    <col min="5658" max="5658" width="9.1640625" style="2" customWidth="1"/>
    <col min="5659" max="5659" width="13" style="2" customWidth="1"/>
    <col min="5660" max="5660" width="12" style="2" customWidth="1"/>
    <col min="5661" max="5661" width="18.44140625" style="2" customWidth="1"/>
    <col min="5662" max="5893" width="11.44140625" style="2"/>
    <col min="5894" max="5894" width="58.44140625" style="2" customWidth="1"/>
    <col min="5895" max="5895" width="8.44140625" style="2" customWidth="1"/>
    <col min="5896" max="5896" width="11.44140625" style="2" customWidth="1"/>
    <col min="5897" max="5897" width="7.83203125" style="2" customWidth="1"/>
    <col min="5898" max="5898" width="9.44140625" style="2" customWidth="1"/>
    <col min="5899" max="5899" width="8.83203125" style="2" customWidth="1"/>
    <col min="5900" max="5900" width="14.44140625" style="2" customWidth="1"/>
    <col min="5901" max="5901" width="8.83203125" style="2" customWidth="1"/>
    <col min="5902" max="5902" width="12.1640625" style="2" customWidth="1"/>
    <col min="5903" max="5903" width="8.44140625" style="2" customWidth="1"/>
    <col min="5904" max="5905" width="11.44140625" style="2" customWidth="1"/>
    <col min="5906" max="5906" width="11.83203125" style="2" customWidth="1"/>
    <col min="5907" max="5907" width="11.44140625" style="2" customWidth="1"/>
    <col min="5908" max="5908" width="10.44140625" style="2" customWidth="1"/>
    <col min="5909" max="5909" width="11.83203125" style="2" customWidth="1"/>
    <col min="5910" max="5910" width="10.44140625" style="2" customWidth="1"/>
    <col min="5911" max="5911" width="12" style="2" customWidth="1"/>
    <col min="5912" max="5912" width="16.83203125" style="2" customWidth="1"/>
    <col min="5913" max="5913" width="12.44140625" style="2" customWidth="1"/>
    <col min="5914" max="5914" width="9.1640625" style="2" customWidth="1"/>
    <col min="5915" max="5915" width="13" style="2" customWidth="1"/>
    <col min="5916" max="5916" width="12" style="2" customWidth="1"/>
    <col min="5917" max="5917" width="18.44140625" style="2" customWidth="1"/>
    <col min="5918" max="6149" width="11.44140625" style="2"/>
    <col min="6150" max="6150" width="58.44140625" style="2" customWidth="1"/>
    <col min="6151" max="6151" width="8.44140625" style="2" customWidth="1"/>
    <col min="6152" max="6152" width="11.44140625" style="2" customWidth="1"/>
    <col min="6153" max="6153" width="7.83203125" style="2" customWidth="1"/>
    <col min="6154" max="6154" width="9.44140625" style="2" customWidth="1"/>
    <col min="6155" max="6155" width="8.83203125" style="2" customWidth="1"/>
    <col min="6156" max="6156" width="14.44140625" style="2" customWidth="1"/>
    <col min="6157" max="6157" width="8.83203125" style="2" customWidth="1"/>
    <col min="6158" max="6158" width="12.1640625" style="2" customWidth="1"/>
    <col min="6159" max="6159" width="8.44140625" style="2" customWidth="1"/>
    <col min="6160" max="6161" width="11.44140625" style="2" customWidth="1"/>
    <col min="6162" max="6162" width="11.83203125" style="2" customWidth="1"/>
    <col min="6163" max="6163" width="11.44140625" style="2" customWidth="1"/>
    <col min="6164" max="6164" width="10.44140625" style="2" customWidth="1"/>
    <col min="6165" max="6165" width="11.83203125" style="2" customWidth="1"/>
    <col min="6166" max="6166" width="10.44140625" style="2" customWidth="1"/>
    <col min="6167" max="6167" width="12" style="2" customWidth="1"/>
    <col min="6168" max="6168" width="16.83203125" style="2" customWidth="1"/>
    <col min="6169" max="6169" width="12.44140625" style="2" customWidth="1"/>
    <col min="6170" max="6170" width="9.1640625" style="2" customWidth="1"/>
    <col min="6171" max="6171" width="13" style="2" customWidth="1"/>
    <col min="6172" max="6172" width="12" style="2" customWidth="1"/>
    <col min="6173" max="6173" width="18.44140625" style="2" customWidth="1"/>
    <col min="6174" max="6405" width="11.44140625" style="2"/>
    <col min="6406" max="6406" width="58.44140625" style="2" customWidth="1"/>
    <col min="6407" max="6407" width="8.44140625" style="2" customWidth="1"/>
    <col min="6408" max="6408" width="11.44140625" style="2" customWidth="1"/>
    <col min="6409" max="6409" width="7.83203125" style="2" customWidth="1"/>
    <col min="6410" max="6410" width="9.44140625" style="2" customWidth="1"/>
    <col min="6411" max="6411" width="8.83203125" style="2" customWidth="1"/>
    <col min="6412" max="6412" width="14.44140625" style="2" customWidth="1"/>
    <col min="6413" max="6413" width="8.83203125" style="2" customWidth="1"/>
    <col min="6414" max="6414" width="12.1640625" style="2" customWidth="1"/>
    <col min="6415" max="6415" width="8.44140625" style="2" customWidth="1"/>
    <col min="6416" max="6417" width="11.44140625" style="2" customWidth="1"/>
    <col min="6418" max="6418" width="11.83203125" style="2" customWidth="1"/>
    <col min="6419" max="6419" width="11.44140625" style="2" customWidth="1"/>
    <col min="6420" max="6420" width="10.44140625" style="2" customWidth="1"/>
    <col min="6421" max="6421" width="11.83203125" style="2" customWidth="1"/>
    <col min="6422" max="6422" width="10.44140625" style="2" customWidth="1"/>
    <col min="6423" max="6423" width="12" style="2" customWidth="1"/>
    <col min="6424" max="6424" width="16.83203125" style="2" customWidth="1"/>
    <col min="6425" max="6425" width="12.44140625" style="2" customWidth="1"/>
    <col min="6426" max="6426" width="9.1640625" style="2" customWidth="1"/>
    <col min="6427" max="6427" width="13" style="2" customWidth="1"/>
    <col min="6428" max="6428" width="12" style="2" customWidth="1"/>
    <col min="6429" max="6429" width="18.44140625" style="2" customWidth="1"/>
    <col min="6430" max="6661" width="11.44140625" style="2"/>
    <col min="6662" max="6662" width="58.44140625" style="2" customWidth="1"/>
    <col min="6663" max="6663" width="8.44140625" style="2" customWidth="1"/>
    <col min="6664" max="6664" width="11.44140625" style="2" customWidth="1"/>
    <col min="6665" max="6665" width="7.83203125" style="2" customWidth="1"/>
    <col min="6666" max="6666" width="9.44140625" style="2" customWidth="1"/>
    <col min="6667" max="6667" width="8.83203125" style="2" customWidth="1"/>
    <col min="6668" max="6668" width="14.44140625" style="2" customWidth="1"/>
    <col min="6669" max="6669" width="8.83203125" style="2" customWidth="1"/>
    <col min="6670" max="6670" width="12.1640625" style="2" customWidth="1"/>
    <col min="6671" max="6671" width="8.44140625" style="2" customWidth="1"/>
    <col min="6672" max="6673" width="11.44140625" style="2" customWidth="1"/>
    <col min="6674" max="6674" width="11.83203125" style="2" customWidth="1"/>
    <col min="6675" max="6675" width="11.44140625" style="2" customWidth="1"/>
    <col min="6676" max="6676" width="10.44140625" style="2" customWidth="1"/>
    <col min="6677" max="6677" width="11.83203125" style="2" customWidth="1"/>
    <col min="6678" max="6678" width="10.44140625" style="2" customWidth="1"/>
    <col min="6679" max="6679" width="12" style="2" customWidth="1"/>
    <col min="6680" max="6680" width="16.83203125" style="2" customWidth="1"/>
    <col min="6681" max="6681" width="12.44140625" style="2" customWidth="1"/>
    <col min="6682" max="6682" width="9.1640625" style="2" customWidth="1"/>
    <col min="6683" max="6683" width="13" style="2" customWidth="1"/>
    <col min="6684" max="6684" width="12" style="2" customWidth="1"/>
    <col min="6685" max="6685" width="18.44140625" style="2" customWidth="1"/>
    <col min="6686" max="6917" width="11.44140625" style="2"/>
    <col min="6918" max="6918" width="58.44140625" style="2" customWidth="1"/>
    <col min="6919" max="6919" width="8.44140625" style="2" customWidth="1"/>
    <col min="6920" max="6920" width="11.44140625" style="2" customWidth="1"/>
    <col min="6921" max="6921" width="7.83203125" style="2" customWidth="1"/>
    <col min="6922" max="6922" width="9.44140625" style="2" customWidth="1"/>
    <col min="6923" max="6923" width="8.83203125" style="2" customWidth="1"/>
    <col min="6924" max="6924" width="14.44140625" style="2" customWidth="1"/>
    <col min="6925" max="6925" width="8.83203125" style="2" customWidth="1"/>
    <col min="6926" max="6926" width="12.1640625" style="2" customWidth="1"/>
    <col min="6927" max="6927" width="8.44140625" style="2" customWidth="1"/>
    <col min="6928" max="6929" width="11.44140625" style="2" customWidth="1"/>
    <col min="6930" max="6930" width="11.83203125" style="2" customWidth="1"/>
    <col min="6931" max="6931" width="11.44140625" style="2" customWidth="1"/>
    <col min="6932" max="6932" width="10.44140625" style="2" customWidth="1"/>
    <col min="6933" max="6933" width="11.83203125" style="2" customWidth="1"/>
    <col min="6934" max="6934" width="10.44140625" style="2" customWidth="1"/>
    <col min="6935" max="6935" width="12" style="2" customWidth="1"/>
    <col min="6936" max="6936" width="16.83203125" style="2" customWidth="1"/>
    <col min="6937" max="6937" width="12.44140625" style="2" customWidth="1"/>
    <col min="6938" max="6938" width="9.1640625" style="2" customWidth="1"/>
    <col min="6939" max="6939" width="13" style="2" customWidth="1"/>
    <col min="6940" max="6940" width="12" style="2" customWidth="1"/>
    <col min="6941" max="6941" width="18.44140625" style="2" customWidth="1"/>
    <col min="6942" max="7173" width="11.44140625" style="2"/>
    <col min="7174" max="7174" width="58.44140625" style="2" customWidth="1"/>
    <col min="7175" max="7175" width="8.44140625" style="2" customWidth="1"/>
    <col min="7176" max="7176" width="11.44140625" style="2" customWidth="1"/>
    <col min="7177" max="7177" width="7.83203125" style="2" customWidth="1"/>
    <col min="7178" max="7178" width="9.44140625" style="2" customWidth="1"/>
    <col min="7179" max="7179" width="8.83203125" style="2" customWidth="1"/>
    <col min="7180" max="7180" width="14.44140625" style="2" customWidth="1"/>
    <col min="7181" max="7181" width="8.83203125" style="2" customWidth="1"/>
    <col min="7182" max="7182" width="12.1640625" style="2" customWidth="1"/>
    <col min="7183" max="7183" width="8.44140625" style="2" customWidth="1"/>
    <col min="7184" max="7185" width="11.44140625" style="2" customWidth="1"/>
    <col min="7186" max="7186" width="11.83203125" style="2" customWidth="1"/>
    <col min="7187" max="7187" width="11.44140625" style="2" customWidth="1"/>
    <col min="7188" max="7188" width="10.44140625" style="2" customWidth="1"/>
    <col min="7189" max="7189" width="11.83203125" style="2" customWidth="1"/>
    <col min="7190" max="7190" width="10.44140625" style="2" customWidth="1"/>
    <col min="7191" max="7191" width="12" style="2" customWidth="1"/>
    <col min="7192" max="7192" width="16.83203125" style="2" customWidth="1"/>
    <col min="7193" max="7193" width="12.44140625" style="2" customWidth="1"/>
    <col min="7194" max="7194" width="9.1640625" style="2" customWidth="1"/>
    <col min="7195" max="7195" width="13" style="2" customWidth="1"/>
    <col min="7196" max="7196" width="12" style="2" customWidth="1"/>
    <col min="7197" max="7197" width="18.44140625" style="2" customWidth="1"/>
    <col min="7198" max="7429" width="11.44140625" style="2"/>
    <col min="7430" max="7430" width="58.44140625" style="2" customWidth="1"/>
    <col min="7431" max="7431" width="8.44140625" style="2" customWidth="1"/>
    <col min="7432" max="7432" width="11.44140625" style="2" customWidth="1"/>
    <col min="7433" max="7433" width="7.83203125" style="2" customWidth="1"/>
    <col min="7434" max="7434" width="9.44140625" style="2" customWidth="1"/>
    <col min="7435" max="7435" width="8.83203125" style="2" customWidth="1"/>
    <col min="7436" max="7436" width="14.44140625" style="2" customWidth="1"/>
    <col min="7437" max="7437" width="8.83203125" style="2" customWidth="1"/>
    <col min="7438" max="7438" width="12.1640625" style="2" customWidth="1"/>
    <col min="7439" max="7439" width="8.44140625" style="2" customWidth="1"/>
    <col min="7440" max="7441" width="11.44140625" style="2" customWidth="1"/>
    <col min="7442" max="7442" width="11.83203125" style="2" customWidth="1"/>
    <col min="7443" max="7443" width="11.44140625" style="2" customWidth="1"/>
    <col min="7444" max="7444" width="10.44140625" style="2" customWidth="1"/>
    <col min="7445" max="7445" width="11.83203125" style="2" customWidth="1"/>
    <col min="7446" max="7446" width="10.44140625" style="2" customWidth="1"/>
    <col min="7447" max="7447" width="12" style="2" customWidth="1"/>
    <col min="7448" max="7448" width="16.83203125" style="2" customWidth="1"/>
    <col min="7449" max="7449" width="12.44140625" style="2" customWidth="1"/>
    <col min="7450" max="7450" width="9.1640625" style="2" customWidth="1"/>
    <col min="7451" max="7451" width="13" style="2" customWidth="1"/>
    <col min="7452" max="7452" width="12" style="2" customWidth="1"/>
    <col min="7453" max="7453" width="18.44140625" style="2" customWidth="1"/>
    <col min="7454" max="7685" width="11.44140625" style="2"/>
    <col min="7686" max="7686" width="58.44140625" style="2" customWidth="1"/>
    <col min="7687" max="7687" width="8.44140625" style="2" customWidth="1"/>
    <col min="7688" max="7688" width="11.44140625" style="2" customWidth="1"/>
    <col min="7689" max="7689" width="7.83203125" style="2" customWidth="1"/>
    <col min="7690" max="7690" width="9.44140625" style="2" customWidth="1"/>
    <col min="7691" max="7691" width="8.83203125" style="2" customWidth="1"/>
    <col min="7692" max="7692" width="14.44140625" style="2" customWidth="1"/>
    <col min="7693" max="7693" width="8.83203125" style="2" customWidth="1"/>
    <col min="7694" max="7694" width="12.1640625" style="2" customWidth="1"/>
    <col min="7695" max="7695" width="8.44140625" style="2" customWidth="1"/>
    <col min="7696" max="7697" width="11.44140625" style="2" customWidth="1"/>
    <col min="7698" max="7698" width="11.83203125" style="2" customWidth="1"/>
    <col min="7699" max="7699" width="11.44140625" style="2" customWidth="1"/>
    <col min="7700" max="7700" width="10.44140625" style="2" customWidth="1"/>
    <col min="7701" max="7701" width="11.83203125" style="2" customWidth="1"/>
    <col min="7702" max="7702" width="10.44140625" style="2" customWidth="1"/>
    <col min="7703" max="7703" width="12" style="2" customWidth="1"/>
    <col min="7704" max="7704" width="16.83203125" style="2" customWidth="1"/>
    <col min="7705" max="7705" width="12.44140625" style="2" customWidth="1"/>
    <col min="7706" max="7706" width="9.1640625" style="2" customWidth="1"/>
    <col min="7707" max="7707" width="13" style="2" customWidth="1"/>
    <col min="7708" max="7708" width="12" style="2" customWidth="1"/>
    <col min="7709" max="7709" width="18.44140625" style="2" customWidth="1"/>
    <col min="7710" max="7941" width="11.44140625" style="2"/>
    <col min="7942" max="7942" width="58.44140625" style="2" customWidth="1"/>
    <col min="7943" max="7943" width="8.44140625" style="2" customWidth="1"/>
    <col min="7944" max="7944" width="11.44140625" style="2" customWidth="1"/>
    <col min="7945" max="7945" width="7.83203125" style="2" customWidth="1"/>
    <col min="7946" max="7946" width="9.44140625" style="2" customWidth="1"/>
    <col min="7947" max="7947" width="8.83203125" style="2" customWidth="1"/>
    <col min="7948" max="7948" width="14.44140625" style="2" customWidth="1"/>
    <col min="7949" max="7949" width="8.83203125" style="2" customWidth="1"/>
    <col min="7950" max="7950" width="12.1640625" style="2" customWidth="1"/>
    <col min="7951" max="7951" width="8.44140625" style="2" customWidth="1"/>
    <col min="7952" max="7953" width="11.44140625" style="2" customWidth="1"/>
    <col min="7954" max="7954" width="11.83203125" style="2" customWidth="1"/>
    <col min="7955" max="7955" width="11.44140625" style="2" customWidth="1"/>
    <col min="7956" max="7956" width="10.44140625" style="2" customWidth="1"/>
    <col min="7957" max="7957" width="11.83203125" style="2" customWidth="1"/>
    <col min="7958" max="7958" width="10.44140625" style="2" customWidth="1"/>
    <col min="7959" max="7959" width="12" style="2" customWidth="1"/>
    <col min="7960" max="7960" width="16.83203125" style="2" customWidth="1"/>
    <col min="7961" max="7961" width="12.44140625" style="2" customWidth="1"/>
    <col min="7962" max="7962" width="9.1640625" style="2" customWidth="1"/>
    <col min="7963" max="7963" width="13" style="2" customWidth="1"/>
    <col min="7964" max="7964" width="12" style="2" customWidth="1"/>
    <col min="7965" max="7965" width="18.44140625" style="2" customWidth="1"/>
    <col min="7966" max="8197" width="11.44140625" style="2"/>
    <col min="8198" max="8198" width="58.44140625" style="2" customWidth="1"/>
    <col min="8199" max="8199" width="8.44140625" style="2" customWidth="1"/>
    <col min="8200" max="8200" width="11.44140625" style="2" customWidth="1"/>
    <col min="8201" max="8201" width="7.83203125" style="2" customWidth="1"/>
    <col min="8202" max="8202" width="9.44140625" style="2" customWidth="1"/>
    <col min="8203" max="8203" width="8.83203125" style="2" customWidth="1"/>
    <col min="8204" max="8204" width="14.44140625" style="2" customWidth="1"/>
    <col min="8205" max="8205" width="8.83203125" style="2" customWidth="1"/>
    <col min="8206" max="8206" width="12.1640625" style="2" customWidth="1"/>
    <col min="8207" max="8207" width="8.44140625" style="2" customWidth="1"/>
    <col min="8208" max="8209" width="11.44140625" style="2" customWidth="1"/>
    <col min="8210" max="8210" width="11.83203125" style="2" customWidth="1"/>
    <col min="8211" max="8211" width="11.44140625" style="2" customWidth="1"/>
    <col min="8212" max="8212" width="10.44140625" style="2" customWidth="1"/>
    <col min="8213" max="8213" width="11.83203125" style="2" customWidth="1"/>
    <col min="8214" max="8214" width="10.44140625" style="2" customWidth="1"/>
    <col min="8215" max="8215" width="12" style="2" customWidth="1"/>
    <col min="8216" max="8216" width="16.83203125" style="2" customWidth="1"/>
    <col min="8217" max="8217" width="12.44140625" style="2" customWidth="1"/>
    <col min="8218" max="8218" width="9.1640625" style="2" customWidth="1"/>
    <col min="8219" max="8219" width="13" style="2" customWidth="1"/>
    <col min="8220" max="8220" width="12" style="2" customWidth="1"/>
    <col min="8221" max="8221" width="18.44140625" style="2" customWidth="1"/>
    <col min="8222" max="8453" width="11.44140625" style="2"/>
    <col min="8454" max="8454" width="58.44140625" style="2" customWidth="1"/>
    <col min="8455" max="8455" width="8.44140625" style="2" customWidth="1"/>
    <col min="8456" max="8456" width="11.44140625" style="2" customWidth="1"/>
    <col min="8457" max="8457" width="7.83203125" style="2" customWidth="1"/>
    <col min="8458" max="8458" width="9.44140625" style="2" customWidth="1"/>
    <col min="8459" max="8459" width="8.83203125" style="2" customWidth="1"/>
    <col min="8460" max="8460" width="14.44140625" style="2" customWidth="1"/>
    <col min="8461" max="8461" width="8.83203125" style="2" customWidth="1"/>
    <col min="8462" max="8462" width="12.1640625" style="2" customWidth="1"/>
    <col min="8463" max="8463" width="8.44140625" style="2" customWidth="1"/>
    <col min="8464" max="8465" width="11.44140625" style="2" customWidth="1"/>
    <col min="8466" max="8466" width="11.83203125" style="2" customWidth="1"/>
    <col min="8467" max="8467" width="11.44140625" style="2" customWidth="1"/>
    <col min="8468" max="8468" width="10.44140625" style="2" customWidth="1"/>
    <col min="8469" max="8469" width="11.83203125" style="2" customWidth="1"/>
    <col min="8470" max="8470" width="10.44140625" style="2" customWidth="1"/>
    <col min="8471" max="8471" width="12" style="2" customWidth="1"/>
    <col min="8472" max="8472" width="16.83203125" style="2" customWidth="1"/>
    <col min="8473" max="8473" width="12.44140625" style="2" customWidth="1"/>
    <col min="8474" max="8474" width="9.1640625" style="2" customWidth="1"/>
    <col min="8475" max="8475" width="13" style="2" customWidth="1"/>
    <col min="8476" max="8476" width="12" style="2" customWidth="1"/>
    <col min="8477" max="8477" width="18.44140625" style="2" customWidth="1"/>
    <col min="8478" max="8709" width="11.44140625" style="2"/>
    <col min="8710" max="8710" width="58.44140625" style="2" customWidth="1"/>
    <col min="8711" max="8711" width="8.44140625" style="2" customWidth="1"/>
    <col min="8712" max="8712" width="11.44140625" style="2" customWidth="1"/>
    <col min="8713" max="8713" width="7.83203125" style="2" customWidth="1"/>
    <col min="8714" max="8714" width="9.44140625" style="2" customWidth="1"/>
    <col min="8715" max="8715" width="8.83203125" style="2" customWidth="1"/>
    <col min="8716" max="8716" width="14.44140625" style="2" customWidth="1"/>
    <col min="8717" max="8717" width="8.83203125" style="2" customWidth="1"/>
    <col min="8718" max="8718" width="12.1640625" style="2" customWidth="1"/>
    <col min="8719" max="8719" width="8.44140625" style="2" customWidth="1"/>
    <col min="8720" max="8721" width="11.44140625" style="2" customWidth="1"/>
    <col min="8722" max="8722" width="11.83203125" style="2" customWidth="1"/>
    <col min="8723" max="8723" width="11.44140625" style="2" customWidth="1"/>
    <col min="8724" max="8724" width="10.44140625" style="2" customWidth="1"/>
    <col min="8725" max="8725" width="11.83203125" style="2" customWidth="1"/>
    <col min="8726" max="8726" width="10.44140625" style="2" customWidth="1"/>
    <col min="8727" max="8727" width="12" style="2" customWidth="1"/>
    <col min="8728" max="8728" width="16.83203125" style="2" customWidth="1"/>
    <col min="8729" max="8729" width="12.44140625" style="2" customWidth="1"/>
    <col min="8730" max="8730" width="9.1640625" style="2" customWidth="1"/>
    <col min="8731" max="8731" width="13" style="2" customWidth="1"/>
    <col min="8732" max="8732" width="12" style="2" customWidth="1"/>
    <col min="8733" max="8733" width="18.44140625" style="2" customWidth="1"/>
    <col min="8734" max="8965" width="11.44140625" style="2"/>
    <col min="8966" max="8966" width="58.44140625" style="2" customWidth="1"/>
    <col min="8967" max="8967" width="8.44140625" style="2" customWidth="1"/>
    <col min="8968" max="8968" width="11.44140625" style="2" customWidth="1"/>
    <col min="8969" max="8969" width="7.83203125" style="2" customWidth="1"/>
    <col min="8970" max="8970" width="9.44140625" style="2" customWidth="1"/>
    <col min="8971" max="8971" width="8.83203125" style="2" customWidth="1"/>
    <col min="8972" max="8972" width="14.44140625" style="2" customWidth="1"/>
    <col min="8973" max="8973" width="8.83203125" style="2" customWidth="1"/>
    <col min="8974" max="8974" width="12.1640625" style="2" customWidth="1"/>
    <col min="8975" max="8975" width="8.44140625" style="2" customWidth="1"/>
    <col min="8976" max="8977" width="11.44140625" style="2" customWidth="1"/>
    <col min="8978" max="8978" width="11.83203125" style="2" customWidth="1"/>
    <col min="8979" max="8979" width="11.44140625" style="2" customWidth="1"/>
    <col min="8980" max="8980" width="10.44140625" style="2" customWidth="1"/>
    <col min="8981" max="8981" width="11.83203125" style="2" customWidth="1"/>
    <col min="8982" max="8982" width="10.44140625" style="2" customWidth="1"/>
    <col min="8983" max="8983" width="12" style="2" customWidth="1"/>
    <col min="8984" max="8984" width="16.83203125" style="2" customWidth="1"/>
    <col min="8985" max="8985" width="12.44140625" style="2" customWidth="1"/>
    <col min="8986" max="8986" width="9.1640625" style="2" customWidth="1"/>
    <col min="8987" max="8987" width="13" style="2" customWidth="1"/>
    <col min="8988" max="8988" width="12" style="2" customWidth="1"/>
    <col min="8989" max="8989" width="18.44140625" style="2" customWidth="1"/>
    <col min="8990" max="9221" width="11.44140625" style="2"/>
    <col min="9222" max="9222" width="58.44140625" style="2" customWidth="1"/>
    <col min="9223" max="9223" width="8.44140625" style="2" customWidth="1"/>
    <col min="9224" max="9224" width="11.44140625" style="2" customWidth="1"/>
    <col min="9225" max="9225" width="7.83203125" style="2" customWidth="1"/>
    <col min="9226" max="9226" width="9.44140625" style="2" customWidth="1"/>
    <col min="9227" max="9227" width="8.83203125" style="2" customWidth="1"/>
    <col min="9228" max="9228" width="14.44140625" style="2" customWidth="1"/>
    <col min="9229" max="9229" width="8.83203125" style="2" customWidth="1"/>
    <col min="9230" max="9230" width="12.1640625" style="2" customWidth="1"/>
    <col min="9231" max="9231" width="8.44140625" style="2" customWidth="1"/>
    <col min="9232" max="9233" width="11.44140625" style="2" customWidth="1"/>
    <col min="9234" max="9234" width="11.83203125" style="2" customWidth="1"/>
    <col min="9235" max="9235" width="11.44140625" style="2" customWidth="1"/>
    <col min="9236" max="9236" width="10.44140625" style="2" customWidth="1"/>
    <col min="9237" max="9237" width="11.83203125" style="2" customWidth="1"/>
    <col min="9238" max="9238" width="10.44140625" style="2" customWidth="1"/>
    <col min="9239" max="9239" width="12" style="2" customWidth="1"/>
    <col min="9240" max="9240" width="16.83203125" style="2" customWidth="1"/>
    <col min="9241" max="9241" width="12.44140625" style="2" customWidth="1"/>
    <col min="9242" max="9242" width="9.1640625" style="2" customWidth="1"/>
    <col min="9243" max="9243" width="13" style="2" customWidth="1"/>
    <col min="9244" max="9244" width="12" style="2" customWidth="1"/>
    <col min="9245" max="9245" width="18.44140625" style="2" customWidth="1"/>
    <col min="9246" max="9477" width="11.44140625" style="2"/>
    <col min="9478" max="9478" width="58.44140625" style="2" customWidth="1"/>
    <col min="9479" max="9479" width="8.44140625" style="2" customWidth="1"/>
    <col min="9480" max="9480" width="11.44140625" style="2" customWidth="1"/>
    <col min="9481" max="9481" width="7.83203125" style="2" customWidth="1"/>
    <col min="9482" max="9482" width="9.44140625" style="2" customWidth="1"/>
    <col min="9483" max="9483" width="8.83203125" style="2" customWidth="1"/>
    <col min="9484" max="9484" width="14.44140625" style="2" customWidth="1"/>
    <col min="9485" max="9485" width="8.83203125" style="2" customWidth="1"/>
    <col min="9486" max="9486" width="12.1640625" style="2" customWidth="1"/>
    <col min="9487" max="9487" width="8.44140625" style="2" customWidth="1"/>
    <col min="9488" max="9489" width="11.44140625" style="2" customWidth="1"/>
    <col min="9490" max="9490" width="11.83203125" style="2" customWidth="1"/>
    <col min="9491" max="9491" width="11.44140625" style="2" customWidth="1"/>
    <col min="9492" max="9492" width="10.44140625" style="2" customWidth="1"/>
    <col min="9493" max="9493" width="11.83203125" style="2" customWidth="1"/>
    <col min="9494" max="9494" width="10.44140625" style="2" customWidth="1"/>
    <col min="9495" max="9495" width="12" style="2" customWidth="1"/>
    <col min="9496" max="9496" width="16.83203125" style="2" customWidth="1"/>
    <col min="9497" max="9497" width="12.44140625" style="2" customWidth="1"/>
    <col min="9498" max="9498" width="9.1640625" style="2" customWidth="1"/>
    <col min="9499" max="9499" width="13" style="2" customWidth="1"/>
    <col min="9500" max="9500" width="12" style="2" customWidth="1"/>
    <col min="9501" max="9501" width="18.44140625" style="2" customWidth="1"/>
    <col min="9502" max="9733" width="11.44140625" style="2"/>
    <col min="9734" max="9734" width="58.44140625" style="2" customWidth="1"/>
    <col min="9735" max="9735" width="8.44140625" style="2" customWidth="1"/>
    <col min="9736" max="9736" width="11.44140625" style="2" customWidth="1"/>
    <col min="9737" max="9737" width="7.83203125" style="2" customWidth="1"/>
    <col min="9738" max="9738" width="9.44140625" style="2" customWidth="1"/>
    <col min="9739" max="9739" width="8.83203125" style="2" customWidth="1"/>
    <col min="9740" max="9740" width="14.44140625" style="2" customWidth="1"/>
    <col min="9741" max="9741" width="8.83203125" style="2" customWidth="1"/>
    <col min="9742" max="9742" width="12.1640625" style="2" customWidth="1"/>
    <col min="9743" max="9743" width="8.44140625" style="2" customWidth="1"/>
    <col min="9744" max="9745" width="11.44140625" style="2" customWidth="1"/>
    <col min="9746" max="9746" width="11.83203125" style="2" customWidth="1"/>
    <col min="9747" max="9747" width="11.44140625" style="2" customWidth="1"/>
    <col min="9748" max="9748" width="10.44140625" style="2" customWidth="1"/>
    <col min="9749" max="9749" width="11.83203125" style="2" customWidth="1"/>
    <col min="9750" max="9750" width="10.44140625" style="2" customWidth="1"/>
    <col min="9751" max="9751" width="12" style="2" customWidth="1"/>
    <col min="9752" max="9752" width="16.83203125" style="2" customWidth="1"/>
    <col min="9753" max="9753" width="12.44140625" style="2" customWidth="1"/>
    <col min="9754" max="9754" width="9.1640625" style="2" customWidth="1"/>
    <col min="9755" max="9755" width="13" style="2" customWidth="1"/>
    <col min="9756" max="9756" width="12" style="2" customWidth="1"/>
    <col min="9757" max="9757" width="18.44140625" style="2" customWidth="1"/>
    <col min="9758" max="9989" width="11.44140625" style="2"/>
    <col min="9990" max="9990" width="58.44140625" style="2" customWidth="1"/>
    <col min="9991" max="9991" width="8.44140625" style="2" customWidth="1"/>
    <col min="9992" max="9992" width="11.44140625" style="2" customWidth="1"/>
    <col min="9993" max="9993" width="7.83203125" style="2" customWidth="1"/>
    <col min="9994" max="9994" width="9.44140625" style="2" customWidth="1"/>
    <col min="9995" max="9995" width="8.83203125" style="2" customWidth="1"/>
    <col min="9996" max="9996" width="14.44140625" style="2" customWidth="1"/>
    <col min="9997" max="9997" width="8.83203125" style="2" customWidth="1"/>
    <col min="9998" max="9998" width="12.1640625" style="2" customWidth="1"/>
    <col min="9999" max="9999" width="8.44140625" style="2" customWidth="1"/>
    <col min="10000" max="10001" width="11.44140625" style="2" customWidth="1"/>
    <col min="10002" max="10002" width="11.83203125" style="2" customWidth="1"/>
    <col min="10003" max="10003" width="11.44140625" style="2" customWidth="1"/>
    <col min="10004" max="10004" width="10.44140625" style="2" customWidth="1"/>
    <col min="10005" max="10005" width="11.83203125" style="2" customWidth="1"/>
    <col min="10006" max="10006" width="10.44140625" style="2" customWidth="1"/>
    <col min="10007" max="10007" width="12" style="2" customWidth="1"/>
    <col min="10008" max="10008" width="16.83203125" style="2" customWidth="1"/>
    <col min="10009" max="10009" width="12.44140625" style="2" customWidth="1"/>
    <col min="10010" max="10010" width="9.1640625" style="2" customWidth="1"/>
    <col min="10011" max="10011" width="13" style="2" customWidth="1"/>
    <col min="10012" max="10012" width="12" style="2" customWidth="1"/>
    <col min="10013" max="10013" width="18.44140625" style="2" customWidth="1"/>
    <col min="10014" max="10245" width="11.44140625" style="2"/>
    <col min="10246" max="10246" width="58.44140625" style="2" customWidth="1"/>
    <col min="10247" max="10247" width="8.44140625" style="2" customWidth="1"/>
    <col min="10248" max="10248" width="11.44140625" style="2" customWidth="1"/>
    <col min="10249" max="10249" width="7.83203125" style="2" customWidth="1"/>
    <col min="10250" max="10250" width="9.44140625" style="2" customWidth="1"/>
    <col min="10251" max="10251" width="8.83203125" style="2" customWidth="1"/>
    <col min="10252" max="10252" width="14.44140625" style="2" customWidth="1"/>
    <col min="10253" max="10253" width="8.83203125" style="2" customWidth="1"/>
    <col min="10254" max="10254" width="12.1640625" style="2" customWidth="1"/>
    <col min="10255" max="10255" width="8.44140625" style="2" customWidth="1"/>
    <col min="10256" max="10257" width="11.44140625" style="2" customWidth="1"/>
    <col min="10258" max="10258" width="11.83203125" style="2" customWidth="1"/>
    <col min="10259" max="10259" width="11.44140625" style="2" customWidth="1"/>
    <col min="10260" max="10260" width="10.44140625" style="2" customWidth="1"/>
    <col min="10261" max="10261" width="11.83203125" style="2" customWidth="1"/>
    <col min="10262" max="10262" width="10.44140625" style="2" customWidth="1"/>
    <col min="10263" max="10263" width="12" style="2" customWidth="1"/>
    <col min="10264" max="10264" width="16.83203125" style="2" customWidth="1"/>
    <col min="10265" max="10265" width="12.44140625" style="2" customWidth="1"/>
    <col min="10266" max="10266" width="9.1640625" style="2" customWidth="1"/>
    <col min="10267" max="10267" width="13" style="2" customWidth="1"/>
    <col min="10268" max="10268" width="12" style="2" customWidth="1"/>
    <col min="10269" max="10269" width="18.44140625" style="2" customWidth="1"/>
    <col min="10270" max="10501" width="11.44140625" style="2"/>
    <col min="10502" max="10502" width="58.44140625" style="2" customWidth="1"/>
    <col min="10503" max="10503" width="8.44140625" style="2" customWidth="1"/>
    <col min="10504" max="10504" width="11.44140625" style="2" customWidth="1"/>
    <col min="10505" max="10505" width="7.83203125" style="2" customWidth="1"/>
    <col min="10506" max="10506" width="9.44140625" style="2" customWidth="1"/>
    <col min="10507" max="10507" width="8.83203125" style="2" customWidth="1"/>
    <col min="10508" max="10508" width="14.44140625" style="2" customWidth="1"/>
    <col min="10509" max="10509" width="8.83203125" style="2" customWidth="1"/>
    <col min="10510" max="10510" width="12.1640625" style="2" customWidth="1"/>
    <col min="10511" max="10511" width="8.44140625" style="2" customWidth="1"/>
    <col min="10512" max="10513" width="11.44140625" style="2" customWidth="1"/>
    <col min="10514" max="10514" width="11.83203125" style="2" customWidth="1"/>
    <col min="10515" max="10515" width="11.44140625" style="2" customWidth="1"/>
    <col min="10516" max="10516" width="10.44140625" style="2" customWidth="1"/>
    <col min="10517" max="10517" width="11.83203125" style="2" customWidth="1"/>
    <col min="10518" max="10518" width="10.44140625" style="2" customWidth="1"/>
    <col min="10519" max="10519" width="12" style="2" customWidth="1"/>
    <col min="10520" max="10520" width="16.83203125" style="2" customWidth="1"/>
    <col min="10521" max="10521" width="12.44140625" style="2" customWidth="1"/>
    <col min="10522" max="10522" width="9.1640625" style="2" customWidth="1"/>
    <col min="10523" max="10523" width="13" style="2" customWidth="1"/>
    <col min="10524" max="10524" width="12" style="2" customWidth="1"/>
    <col min="10525" max="10525" width="18.44140625" style="2" customWidth="1"/>
    <col min="10526" max="10757" width="11.44140625" style="2"/>
    <col min="10758" max="10758" width="58.44140625" style="2" customWidth="1"/>
    <col min="10759" max="10759" width="8.44140625" style="2" customWidth="1"/>
    <col min="10760" max="10760" width="11.44140625" style="2" customWidth="1"/>
    <col min="10761" max="10761" width="7.83203125" style="2" customWidth="1"/>
    <col min="10762" max="10762" width="9.44140625" style="2" customWidth="1"/>
    <col min="10763" max="10763" width="8.83203125" style="2" customWidth="1"/>
    <col min="10764" max="10764" width="14.44140625" style="2" customWidth="1"/>
    <col min="10765" max="10765" width="8.83203125" style="2" customWidth="1"/>
    <col min="10766" max="10766" width="12.1640625" style="2" customWidth="1"/>
    <col min="10767" max="10767" width="8.44140625" style="2" customWidth="1"/>
    <col min="10768" max="10769" width="11.44140625" style="2" customWidth="1"/>
    <col min="10770" max="10770" width="11.83203125" style="2" customWidth="1"/>
    <col min="10771" max="10771" width="11.44140625" style="2" customWidth="1"/>
    <col min="10772" max="10772" width="10.44140625" style="2" customWidth="1"/>
    <col min="10773" max="10773" width="11.83203125" style="2" customWidth="1"/>
    <col min="10774" max="10774" width="10.44140625" style="2" customWidth="1"/>
    <col min="10775" max="10775" width="12" style="2" customWidth="1"/>
    <col min="10776" max="10776" width="16.83203125" style="2" customWidth="1"/>
    <col min="10777" max="10777" width="12.44140625" style="2" customWidth="1"/>
    <col min="10778" max="10778" width="9.1640625" style="2" customWidth="1"/>
    <col min="10779" max="10779" width="13" style="2" customWidth="1"/>
    <col min="10780" max="10780" width="12" style="2" customWidth="1"/>
    <col min="10781" max="10781" width="18.44140625" style="2" customWidth="1"/>
    <col min="10782" max="11013" width="11.44140625" style="2"/>
    <col min="11014" max="11014" width="58.44140625" style="2" customWidth="1"/>
    <col min="11015" max="11015" width="8.44140625" style="2" customWidth="1"/>
    <col min="11016" max="11016" width="11.44140625" style="2" customWidth="1"/>
    <col min="11017" max="11017" width="7.83203125" style="2" customWidth="1"/>
    <col min="11018" max="11018" width="9.44140625" style="2" customWidth="1"/>
    <col min="11019" max="11019" width="8.83203125" style="2" customWidth="1"/>
    <col min="11020" max="11020" width="14.44140625" style="2" customWidth="1"/>
    <col min="11021" max="11021" width="8.83203125" style="2" customWidth="1"/>
    <col min="11022" max="11022" width="12.1640625" style="2" customWidth="1"/>
    <col min="11023" max="11023" width="8.44140625" style="2" customWidth="1"/>
    <col min="11024" max="11025" width="11.44140625" style="2" customWidth="1"/>
    <col min="11026" max="11026" width="11.83203125" style="2" customWidth="1"/>
    <col min="11027" max="11027" width="11.44140625" style="2" customWidth="1"/>
    <col min="11028" max="11028" width="10.44140625" style="2" customWidth="1"/>
    <col min="11029" max="11029" width="11.83203125" style="2" customWidth="1"/>
    <col min="11030" max="11030" width="10.44140625" style="2" customWidth="1"/>
    <col min="11031" max="11031" width="12" style="2" customWidth="1"/>
    <col min="11032" max="11032" width="16.83203125" style="2" customWidth="1"/>
    <col min="11033" max="11033" width="12.44140625" style="2" customWidth="1"/>
    <col min="11034" max="11034" width="9.1640625" style="2" customWidth="1"/>
    <col min="11035" max="11035" width="13" style="2" customWidth="1"/>
    <col min="11036" max="11036" width="12" style="2" customWidth="1"/>
    <col min="11037" max="11037" width="18.44140625" style="2" customWidth="1"/>
    <col min="11038" max="11269" width="11.44140625" style="2"/>
    <col min="11270" max="11270" width="58.44140625" style="2" customWidth="1"/>
    <col min="11271" max="11271" width="8.44140625" style="2" customWidth="1"/>
    <col min="11272" max="11272" width="11.44140625" style="2" customWidth="1"/>
    <col min="11273" max="11273" width="7.83203125" style="2" customWidth="1"/>
    <col min="11274" max="11274" width="9.44140625" style="2" customWidth="1"/>
    <col min="11275" max="11275" width="8.83203125" style="2" customWidth="1"/>
    <col min="11276" max="11276" width="14.44140625" style="2" customWidth="1"/>
    <col min="11277" max="11277" width="8.83203125" style="2" customWidth="1"/>
    <col min="11278" max="11278" width="12.1640625" style="2" customWidth="1"/>
    <col min="11279" max="11279" width="8.44140625" style="2" customWidth="1"/>
    <col min="11280" max="11281" width="11.44140625" style="2" customWidth="1"/>
    <col min="11282" max="11282" width="11.83203125" style="2" customWidth="1"/>
    <col min="11283" max="11283" width="11.44140625" style="2" customWidth="1"/>
    <col min="11284" max="11284" width="10.44140625" style="2" customWidth="1"/>
    <col min="11285" max="11285" width="11.83203125" style="2" customWidth="1"/>
    <col min="11286" max="11286" width="10.44140625" style="2" customWidth="1"/>
    <col min="11287" max="11287" width="12" style="2" customWidth="1"/>
    <col min="11288" max="11288" width="16.83203125" style="2" customWidth="1"/>
    <col min="11289" max="11289" width="12.44140625" style="2" customWidth="1"/>
    <col min="11290" max="11290" width="9.1640625" style="2" customWidth="1"/>
    <col min="11291" max="11291" width="13" style="2" customWidth="1"/>
    <col min="11292" max="11292" width="12" style="2" customWidth="1"/>
    <col min="11293" max="11293" width="18.44140625" style="2" customWidth="1"/>
    <col min="11294" max="11525" width="11.44140625" style="2"/>
    <col min="11526" max="11526" width="58.44140625" style="2" customWidth="1"/>
    <col min="11527" max="11527" width="8.44140625" style="2" customWidth="1"/>
    <col min="11528" max="11528" width="11.44140625" style="2" customWidth="1"/>
    <col min="11529" max="11529" width="7.83203125" style="2" customWidth="1"/>
    <col min="11530" max="11530" width="9.44140625" style="2" customWidth="1"/>
    <col min="11531" max="11531" width="8.83203125" style="2" customWidth="1"/>
    <col min="11532" max="11532" width="14.44140625" style="2" customWidth="1"/>
    <col min="11533" max="11533" width="8.83203125" style="2" customWidth="1"/>
    <col min="11534" max="11534" width="12.1640625" style="2" customWidth="1"/>
    <col min="11535" max="11535" width="8.44140625" style="2" customWidth="1"/>
    <col min="11536" max="11537" width="11.44140625" style="2" customWidth="1"/>
    <col min="11538" max="11538" width="11.83203125" style="2" customWidth="1"/>
    <col min="11539" max="11539" width="11.44140625" style="2" customWidth="1"/>
    <col min="11540" max="11540" width="10.44140625" style="2" customWidth="1"/>
    <col min="11541" max="11541" width="11.83203125" style="2" customWidth="1"/>
    <col min="11542" max="11542" width="10.44140625" style="2" customWidth="1"/>
    <col min="11543" max="11543" width="12" style="2" customWidth="1"/>
    <col min="11544" max="11544" width="16.83203125" style="2" customWidth="1"/>
    <col min="11545" max="11545" width="12.44140625" style="2" customWidth="1"/>
    <col min="11546" max="11546" width="9.1640625" style="2" customWidth="1"/>
    <col min="11547" max="11547" width="13" style="2" customWidth="1"/>
    <col min="11548" max="11548" width="12" style="2" customWidth="1"/>
    <col min="11549" max="11549" width="18.44140625" style="2" customWidth="1"/>
    <col min="11550" max="11781" width="11.44140625" style="2"/>
    <col min="11782" max="11782" width="58.44140625" style="2" customWidth="1"/>
    <col min="11783" max="11783" width="8.44140625" style="2" customWidth="1"/>
    <col min="11784" max="11784" width="11.44140625" style="2" customWidth="1"/>
    <col min="11785" max="11785" width="7.83203125" style="2" customWidth="1"/>
    <col min="11786" max="11786" width="9.44140625" style="2" customWidth="1"/>
    <col min="11787" max="11787" width="8.83203125" style="2" customWidth="1"/>
    <col min="11788" max="11788" width="14.44140625" style="2" customWidth="1"/>
    <col min="11789" max="11789" width="8.83203125" style="2" customWidth="1"/>
    <col min="11790" max="11790" width="12.1640625" style="2" customWidth="1"/>
    <col min="11791" max="11791" width="8.44140625" style="2" customWidth="1"/>
    <col min="11792" max="11793" width="11.44140625" style="2" customWidth="1"/>
    <col min="11794" max="11794" width="11.83203125" style="2" customWidth="1"/>
    <col min="11795" max="11795" width="11.44140625" style="2" customWidth="1"/>
    <col min="11796" max="11796" width="10.44140625" style="2" customWidth="1"/>
    <col min="11797" max="11797" width="11.83203125" style="2" customWidth="1"/>
    <col min="11798" max="11798" width="10.44140625" style="2" customWidth="1"/>
    <col min="11799" max="11799" width="12" style="2" customWidth="1"/>
    <col min="11800" max="11800" width="16.83203125" style="2" customWidth="1"/>
    <col min="11801" max="11801" width="12.44140625" style="2" customWidth="1"/>
    <col min="11802" max="11802" width="9.1640625" style="2" customWidth="1"/>
    <col min="11803" max="11803" width="13" style="2" customWidth="1"/>
    <col min="11804" max="11804" width="12" style="2" customWidth="1"/>
    <col min="11805" max="11805" width="18.44140625" style="2" customWidth="1"/>
    <col min="11806" max="12037" width="11.44140625" style="2"/>
    <col min="12038" max="12038" width="58.44140625" style="2" customWidth="1"/>
    <col min="12039" max="12039" width="8.44140625" style="2" customWidth="1"/>
    <col min="12040" max="12040" width="11.44140625" style="2" customWidth="1"/>
    <col min="12041" max="12041" width="7.83203125" style="2" customWidth="1"/>
    <col min="12042" max="12042" width="9.44140625" style="2" customWidth="1"/>
    <col min="12043" max="12043" width="8.83203125" style="2" customWidth="1"/>
    <col min="12044" max="12044" width="14.44140625" style="2" customWidth="1"/>
    <col min="12045" max="12045" width="8.83203125" style="2" customWidth="1"/>
    <col min="12046" max="12046" width="12.1640625" style="2" customWidth="1"/>
    <col min="12047" max="12047" width="8.44140625" style="2" customWidth="1"/>
    <col min="12048" max="12049" width="11.44140625" style="2" customWidth="1"/>
    <col min="12050" max="12050" width="11.83203125" style="2" customWidth="1"/>
    <col min="12051" max="12051" width="11.44140625" style="2" customWidth="1"/>
    <col min="12052" max="12052" width="10.44140625" style="2" customWidth="1"/>
    <col min="12053" max="12053" width="11.83203125" style="2" customWidth="1"/>
    <col min="12054" max="12054" width="10.44140625" style="2" customWidth="1"/>
    <col min="12055" max="12055" width="12" style="2" customWidth="1"/>
    <col min="12056" max="12056" width="16.83203125" style="2" customWidth="1"/>
    <col min="12057" max="12057" width="12.44140625" style="2" customWidth="1"/>
    <col min="12058" max="12058" width="9.1640625" style="2" customWidth="1"/>
    <col min="12059" max="12059" width="13" style="2" customWidth="1"/>
    <col min="12060" max="12060" width="12" style="2" customWidth="1"/>
    <col min="12061" max="12061" width="18.44140625" style="2" customWidth="1"/>
    <col min="12062" max="12293" width="11.44140625" style="2"/>
    <col min="12294" max="12294" width="58.44140625" style="2" customWidth="1"/>
    <col min="12295" max="12295" width="8.44140625" style="2" customWidth="1"/>
    <col min="12296" max="12296" width="11.44140625" style="2" customWidth="1"/>
    <col min="12297" max="12297" width="7.83203125" style="2" customWidth="1"/>
    <col min="12298" max="12298" width="9.44140625" style="2" customWidth="1"/>
    <col min="12299" max="12299" width="8.83203125" style="2" customWidth="1"/>
    <col min="12300" max="12300" width="14.44140625" style="2" customWidth="1"/>
    <col min="12301" max="12301" width="8.83203125" style="2" customWidth="1"/>
    <col min="12302" max="12302" width="12.1640625" style="2" customWidth="1"/>
    <col min="12303" max="12303" width="8.44140625" style="2" customWidth="1"/>
    <col min="12304" max="12305" width="11.44140625" style="2" customWidth="1"/>
    <col min="12306" max="12306" width="11.83203125" style="2" customWidth="1"/>
    <col min="12307" max="12307" width="11.44140625" style="2" customWidth="1"/>
    <col min="12308" max="12308" width="10.44140625" style="2" customWidth="1"/>
    <col min="12309" max="12309" width="11.83203125" style="2" customWidth="1"/>
    <col min="12310" max="12310" width="10.44140625" style="2" customWidth="1"/>
    <col min="12311" max="12311" width="12" style="2" customWidth="1"/>
    <col min="12312" max="12312" width="16.83203125" style="2" customWidth="1"/>
    <col min="12313" max="12313" width="12.44140625" style="2" customWidth="1"/>
    <col min="12314" max="12314" width="9.1640625" style="2" customWidth="1"/>
    <col min="12315" max="12315" width="13" style="2" customWidth="1"/>
    <col min="12316" max="12316" width="12" style="2" customWidth="1"/>
    <col min="12317" max="12317" width="18.44140625" style="2" customWidth="1"/>
    <col min="12318" max="12549" width="11.44140625" style="2"/>
    <col min="12550" max="12550" width="58.44140625" style="2" customWidth="1"/>
    <col min="12551" max="12551" width="8.44140625" style="2" customWidth="1"/>
    <col min="12552" max="12552" width="11.44140625" style="2" customWidth="1"/>
    <col min="12553" max="12553" width="7.83203125" style="2" customWidth="1"/>
    <col min="12554" max="12554" width="9.44140625" style="2" customWidth="1"/>
    <col min="12555" max="12555" width="8.83203125" style="2" customWidth="1"/>
    <col min="12556" max="12556" width="14.44140625" style="2" customWidth="1"/>
    <col min="12557" max="12557" width="8.83203125" style="2" customWidth="1"/>
    <col min="12558" max="12558" width="12.1640625" style="2" customWidth="1"/>
    <col min="12559" max="12559" width="8.44140625" style="2" customWidth="1"/>
    <col min="12560" max="12561" width="11.44140625" style="2" customWidth="1"/>
    <col min="12562" max="12562" width="11.83203125" style="2" customWidth="1"/>
    <col min="12563" max="12563" width="11.44140625" style="2" customWidth="1"/>
    <col min="12564" max="12564" width="10.44140625" style="2" customWidth="1"/>
    <col min="12565" max="12565" width="11.83203125" style="2" customWidth="1"/>
    <col min="12566" max="12566" width="10.44140625" style="2" customWidth="1"/>
    <col min="12567" max="12567" width="12" style="2" customWidth="1"/>
    <col min="12568" max="12568" width="16.83203125" style="2" customWidth="1"/>
    <col min="12569" max="12569" width="12.44140625" style="2" customWidth="1"/>
    <col min="12570" max="12570" width="9.1640625" style="2" customWidth="1"/>
    <col min="12571" max="12571" width="13" style="2" customWidth="1"/>
    <col min="12572" max="12572" width="12" style="2" customWidth="1"/>
    <col min="12573" max="12573" width="18.44140625" style="2" customWidth="1"/>
    <col min="12574" max="12805" width="11.44140625" style="2"/>
    <col min="12806" max="12806" width="58.44140625" style="2" customWidth="1"/>
    <col min="12807" max="12807" width="8.44140625" style="2" customWidth="1"/>
    <col min="12808" max="12808" width="11.44140625" style="2" customWidth="1"/>
    <col min="12809" max="12809" width="7.83203125" style="2" customWidth="1"/>
    <col min="12810" max="12810" width="9.44140625" style="2" customWidth="1"/>
    <col min="12811" max="12811" width="8.83203125" style="2" customWidth="1"/>
    <col min="12812" max="12812" width="14.44140625" style="2" customWidth="1"/>
    <col min="12813" max="12813" width="8.83203125" style="2" customWidth="1"/>
    <col min="12814" max="12814" width="12.1640625" style="2" customWidth="1"/>
    <col min="12815" max="12815" width="8.44140625" style="2" customWidth="1"/>
    <col min="12816" max="12817" width="11.44140625" style="2" customWidth="1"/>
    <col min="12818" max="12818" width="11.83203125" style="2" customWidth="1"/>
    <col min="12819" max="12819" width="11.44140625" style="2" customWidth="1"/>
    <col min="12820" max="12820" width="10.44140625" style="2" customWidth="1"/>
    <col min="12821" max="12821" width="11.83203125" style="2" customWidth="1"/>
    <col min="12822" max="12822" width="10.44140625" style="2" customWidth="1"/>
    <col min="12823" max="12823" width="12" style="2" customWidth="1"/>
    <col min="12824" max="12824" width="16.83203125" style="2" customWidth="1"/>
    <col min="12825" max="12825" width="12.44140625" style="2" customWidth="1"/>
    <col min="12826" max="12826" width="9.1640625" style="2" customWidth="1"/>
    <col min="12827" max="12827" width="13" style="2" customWidth="1"/>
    <col min="12828" max="12828" width="12" style="2" customWidth="1"/>
    <col min="12829" max="12829" width="18.44140625" style="2" customWidth="1"/>
    <col min="12830" max="13061" width="11.44140625" style="2"/>
    <col min="13062" max="13062" width="58.44140625" style="2" customWidth="1"/>
    <col min="13063" max="13063" width="8.44140625" style="2" customWidth="1"/>
    <col min="13064" max="13064" width="11.44140625" style="2" customWidth="1"/>
    <col min="13065" max="13065" width="7.83203125" style="2" customWidth="1"/>
    <col min="13066" max="13066" width="9.44140625" style="2" customWidth="1"/>
    <col min="13067" max="13067" width="8.83203125" style="2" customWidth="1"/>
    <col min="13068" max="13068" width="14.44140625" style="2" customWidth="1"/>
    <col min="13069" max="13069" width="8.83203125" style="2" customWidth="1"/>
    <col min="13070" max="13070" width="12.1640625" style="2" customWidth="1"/>
    <col min="13071" max="13071" width="8.44140625" style="2" customWidth="1"/>
    <col min="13072" max="13073" width="11.44140625" style="2" customWidth="1"/>
    <col min="13074" max="13074" width="11.83203125" style="2" customWidth="1"/>
    <col min="13075" max="13075" width="11.44140625" style="2" customWidth="1"/>
    <col min="13076" max="13076" width="10.44140625" style="2" customWidth="1"/>
    <col min="13077" max="13077" width="11.83203125" style="2" customWidth="1"/>
    <col min="13078" max="13078" width="10.44140625" style="2" customWidth="1"/>
    <col min="13079" max="13079" width="12" style="2" customWidth="1"/>
    <col min="13080" max="13080" width="16.83203125" style="2" customWidth="1"/>
    <col min="13081" max="13081" width="12.44140625" style="2" customWidth="1"/>
    <col min="13082" max="13082" width="9.1640625" style="2" customWidth="1"/>
    <col min="13083" max="13083" width="13" style="2" customWidth="1"/>
    <col min="13084" max="13084" width="12" style="2" customWidth="1"/>
    <col min="13085" max="13085" width="18.44140625" style="2" customWidth="1"/>
    <col min="13086" max="13317" width="11.44140625" style="2"/>
    <col min="13318" max="13318" width="58.44140625" style="2" customWidth="1"/>
    <col min="13319" max="13319" width="8.44140625" style="2" customWidth="1"/>
    <col min="13320" max="13320" width="11.44140625" style="2" customWidth="1"/>
    <col min="13321" max="13321" width="7.83203125" style="2" customWidth="1"/>
    <col min="13322" max="13322" width="9.44140625" style="2" customWidth="1"/>
    <col min="13323" max="13323" width="8.83203125" style="2" customWidth="1"/>
    <col min="13324" max="13324" width="14.44140625" style="2" customWidth="1"/>
    <col min="13325" max="13325" width="8.83203125" style="2" customWidth="1"/>
    <col min="13326" max="13326" width="12.1640625" style="2" customWidth="1"/>
    <col min="13327" max="13327" width="8.44140625" style="2" customWidth="1"/>
    <col min="13328" max="13329" width="11.44140625" style="2" customWidth="1"/>
    <col min="13330" max="13330" width="11.83203125" style="2" customWidth="1"/>
    <col min="13331" max="13331" width="11.44140625" style="2" customWidth="1"/>
    <col min="13332" max="13332" width="10.44140625" style="2" customWidth="1"/>
    <col min="13333" max="13333" width="11.83203125" style="2" customWidth="1"/>
    <col min="13334" max="13334" width="10.44140625" style="2" customWidth="1"/>
    <col min="13335" max="13335" width="12" style="2" customWidth="1"/>
    <col min="13336" max="13336" width="16.83203125" style="2" customWidth="1"/>
    <col min="13337" max="13337" width="12.44140625" style="2" customWidth="1"/>
    <col min="13338" max="13338" width="9.1640625" style="2" customWidth="1"/>
    <col min="13339" max="13339" width="13" style="2" customWidth="1"/>
    <col min="13340" max="13340" width="12" style="2" customWidth="1"/>
    <col min="13341" max="13341" width="18.44140625" style="2" customWidth="1"/>
    <col min="13342" max="13573" width="11.44140625" style="2"/>
    <col min="13574" max="13574" width="58.44140625" style="2" customWidth="1"/>
    <col min="13575" max="13575" width="8.44140625" style="2" customWidth="1"/>
    <col min="13576" max="13576" width="11.44140625" style="2" customWidth="1"/>
    <col min="13577" max="13577" width="7.83203125" style="2" customWidth="1"/>
    <col min="13578" max="13578" width="9.44140625" style="2" customWidth="1"/>
    <col min="13579" max="13579" width="8.83203125" style="2" customWidth="1"/>
    <col min="13580" max="13580" width="14.44140625" style="2" customWidth="1"/>
    <col min="13581" max="13581" width="8.83203125" style="2" customWidth="1"/>
    <col min="13582" max="13582" width="12.1640625" style="2" customWidth="1"/>
    <col min="13583" max="13583" width="8.44140625" style="2" customWidth="1"/>
    <col min="13584" max="13585" width="11.44140625" style="2" customWidth="1"/>
    <col min="13586" max="13586" width="11.83203125" style="2" customWidth="1"/>
    <col min="13587" max="13587" width="11.44140625" style="2" customWidth="1"/>
    <col min="13588" max="13588" width="10.44140625" style="2" customWidth="1"/>
    <col min="13589" max="13589" width="11.83203125" style="2" customWidth="1"/>
    <col min="13590" max="13590" width="10.44140625" style="2" customWidth="1"/>
    <col min="13591" max="13591" width="12" style="2" customWidth="1"/>
    <col min="13592" max="13592" width="16.83203125" style="2" customWidth="1"/>
    <col min="13593" max="13593" width="12.44140625" style="2" customWidth="1"/>
    <col min="13594" max="13594" width="9.1640625" style="2" customWidth="1"/>
    <col min="13595" max="13595" width="13" style="2" customWidth="1"/>
    <col min="13596" max="13596" width="12" style="2" customWidth="1"/>
    <col min="13597" max="13597" width="18.44140625" style="2" customWidth="1"/>
    <col min="13598" max="13829" width="11.44140625" style="2"/>
    <col min="13830" max="13830" width="58.44140625" style="2" customWidth="1"/>
    <col min="13831" max="13831" width="8.44140625" style="2" customWidth="1"/>
    <col min="13832" max="13832" width="11.44140625" style="2" customWidth="1"/>
    <col min="13833" max="13833" width="7.83203125" style="2" customWidth="1"/>
    <col min="13834" max="13834" width="9.44140625" style="2" customWidth="1"/>
    <col min="13835" max="13835" width="8.83203125" style="2" customWidth="1"/>
    <col min="13836" max="13836" width="14.44140625" style="2" customWidth="1"/>
    <col min="13837" max="13837" width="8.83203125" style="2" customWidth="1"/>
    <col min="13838" max="13838" width="12.1640625" style="2" customWidth="1"/>
    <col min="13839" max="13839" width="8.44140625" style="2" customWidth="1"/>
    <col min="13840" max="13841" width="11.44140625" style="2" customWidth="1"/>
    <col min="13842" max="13842" width="11.83203125" style="2" customWidth="1"/>
    <col min="13843" max="13843" width="11.44140625" style="2" customWidth="1"/>
    <col min="13844" max="13844" width="10.44140625" style="2" customWidth="1"/>
    <col min="13845" max="13845" width="11.83203125" style="2" customWidth="1"/>
    <col min="13846" max="13846" width="10.44140625" style="2" customWidth="1"/>
    <col min="13847" max="13847" width="12" style="2" customWidth="1"/>
    <col min="13848" max="13848" width="16.83203125" style="2" customWidth="1"/>
    <col min="13849" max="13849" width="12.44140625" style="2" customWidth="1"/>
    <col min="13850" max="13850" width="9.1640625" style="2" customWidth="1"/>
    <col min="13851" max="13851" width="13" style="2" customWidth="1"/>
    <col min="13852" max="13852" width="12" style="2" customWidth="1"/>
    <col min="13853" max="13853" width="18.44140625" style="2" customWidth="1"/>
    <col min="13854" max="14085" width="11.44140625" style="2"/>
    <col min="14086" max="14086" width="58.44140625" style="2" customWidth="1"/>
    <col min="14087" max="14087" width="8.44140625" style="2" customWidth="1"/>
    <col min="14088" max="14088" width="11.44140625" style="2" customWidth="1"/>
    <col min="14089" max="14089" width="7.83203125" style="2" customWidth="1"/>
    <col min="14090" max="14090" width="9.44140625" style="2" customWidth="1"/>
    <col min="14091" max="14091" width="8.83203125" style="2" customWidth="1"/>
    <col min="14092" max="14092" width="14.44140625" style="2" customWidth="1"/>
    <col min="14093" max="14093" width="8.83203125" style="2" customWidth="1"/>
    <col min="14094" max="14094" width="12.1640625" style="2" customWidth="1"/>
    <col min="14095" max="14095" width="8.44140625" style="2" customWidth="1"/>
    <col min="14096" max="14097" width="11.44140625" style="2" customWidth="1"/>
    <col min="14098" max="14098" width="11.83203125" style="2" customWidth="1"/>
    <col min="14099" max="14099" width="11.44140625" style="2" customWidth="1"/>
    <col min="14100" max="14100" width="10.44140625" style="2" customWidth="1"/>
    <col min="14101" max="14101" width="11.83203125" style="2" customWidth="1"/>
    <col min="14102" max="14102" width="10.44140625" style="2" customWidth="1"/>
    <col min="14103" max="14103" width="12" style="2" customWidth="1"/>
    <col min="14104" max="14104" width="16.83203125" style="2" customWidth="1"/>
    <col min="14105" max="14105" width="12.44140625" style="2" customWidth="1"/>
    <col min="14106" max="14106" width="9.1640625" style="2" customWidth="1"/>
    <col min="14107" max="14107" width="13" style="2" customWidth="1"/>
    <col min="14108" max="14108" width="12" style="2" customWidth="1"/>
    <col min="14109" max="14109" width="18.44140625" style="2" customWidth="1"/>
    <col min="14110" max="14341" width="11.44140625" style="2"/>
    <col min="14342" max="14342" width="58.44140625" style="2" customWidth="1"/>
    <col min="14343" max="14343" width="8.44140625" style="2" customWidth="1"/>
    <col min="14344" max="14344" width="11.44140625" style="2" customWidth="1"/>
    <col min="14345" max="14345" width="7.83203125" style="2" customWidth="1"/>
    <col min="14346" max="14346" width="9.44140625" style="2" customWidth="1"/>
    <col min="14347" max="14347" width="8.83203125" style="2" customWidth="1"/>
    <col min="14348" max="14348" width="14.44140625" style="2" customWidth="1"/>
    <col min="14349" max="14349" width="8.83203125" style="2" customWidth="1"/>
    <col min="14350" max="14350" width="12.1640625" style="2" customWidth="1"/>
    <col min="14351" max="14351" width="8.44140625" style="2" customWidth="1"/>
    <col min="14352" max="14353" width="11.44140625" style="2" customWidth="1"/>
    <col min="14354" max="14354" width="11.83203125" style="2" customWidth="1"/>
    <col min="14355" max="14355" width="11.44140625" style="2" customWidth="1"/>
    <col min="14356" max="14356" width="10.44140625" style="2" customWidth="1"/>
    <col min="14357" max="14357" width="11.83203125" style="2" customWidth="1"/>
    <col min="14358" max="14358" width="10.44140625" style="2" customWidth="1"/>
    <col min="14359" max="14359" width="12" style="2" customWidth="1"/>
    <col min="14360" max="14360" width="16.83203125" style="2" customWidth="1"/>
    <col min="14361" max="14361" width="12.44140625" style="2" customWidth="1"/>
    <col min="14362" max="14362" width="9.1640625" style="2" customWidth="1"/>
    <col min="14363" max="14363" width="13" style="2" customWidth="1"/>
    <col min="14364" max="14364" width="12" style="2" customWidth="1"/>
    <col min="14365" max="14365" width="18.44140625" style="2" customWidth="1"/>
    <col min="14366" max="14597" width="11.44140625" style="2"/>
    <col min="14598" max="14598" width="58.44140625" style="2" customWidth="1"/>
    <col min="14599" max="14599" width="8.44140625" style="2" customWidth="1"/>
    <col min="14600" max="14600" width="11.44140625" style="2" customWidth="1"/>
    <col min="14601" max="14601" width="7.83203125" style="2" customWidth="1"/>
    <col min="14602" max="14602" width="9.44140625" style="2" customWidth="1"/>
    <col min="14603" max="14603" width="8.83203125" style="2" customWidth="1"/>
    <col min="14604" max="14604" width="14.44140625" style="2" customWidth="1"/>
    <col min="14605" max="14605" width="8.83203125" style="2" customWidth="1"/>
    <col min="14606" max="14606" width="12.1640625" style="2" customWidth="1"/>
    <col min="14607" max="14607" width="8.44140625" style="2" customWidth="1"/>
    <col min="14608" max="14609" width="11.44140625" style="2" customWidth="1"/>
    <col min="14610" max="14610" width="11.83203125" style="2" customWidth="1"/>
    <col min="14611" max="14611" width="11.44140625" style="2" customWidth="1"/>
    <col min="14612" max="14612" width="10.44140625" style="2" customWidth="1"/>
    <col min="14613" max="14613" width="11.83203125" style="2" customWidth="1"/>
    <col min="14614" max="14614" width="10.44140625" style="2" customWidth="1"/>
    <col min="14615" max="14615" width="12" style="2" customWidth="1"/>
    <col min="14616" max="14616" width="16.83203125" style="2" customWidth="1"/>
    <col min="14617" max="14617" width="12.44140625" style="2" customWidth="1"/>
    <col min="14618" max="14618" width="9.1640625" style="2" customWidth="1"/>
    <col min="14619" max="14619" width="13" style="2" customWidth="1"/>
    <col min="14620" max="14620" width="12" style="2" customWidth="1"/>
    <col min="14621" max="14621" width="18.44140625" style="2" customWidth="1"/>
    <col min="14622" max="14853" width="11.44140625" style="2"/>
    <col min="14854" max="14854" width="58.44140625" style="2" customWidth="1"/>
    <col min="14855" max="14855" width="8.44140625" style="2" customWidth="1"/>
    <col min="14856" max="14856" width="11.44140625" style="2" customWidth="1"/>
    <col min="14857" max="14857" width="7.83203125" style="2" customWidth="1"/>
    <col min="14858" max="14858" width="9.44140625" style="2" customWidth="1"/>
    <col min="14859" max="14859" width="8.83203125" style="2" customWidth="1"/>
    <col min="14860" max="14860" width="14.44140625" style="2" customWidth="1"/>
    <col min="14861" max="14861" width="8.83203125" style="2" customWidth="1"/>
    <col min="14862" max="14862" width="12.1640625" style="2" customWidth="1"/>
    <col min="14863" max="14863" width="8.44140625" style="2" customWidth="1"/>
    <col min="14864" max="14865" width="11.44140625" style="2" customWidth="1"/>
    <col min="14866" max="14866" width="11.83203125" style="2" customWidth="1"/>
    <col min="14867" max="14867" width="11.44140625" style="2" customWidth="1"/>
    <col min="14868" max="14868" width="10.44140625" style="2" customWidth="1"/>
    <col min="14869" max="14869" width="11.83203125" style="2" customWidth="1"/>
    <col min="14870" max="14870" width="10.44140625" style="2" customWidth="1"/>
    <col min="14871" max="14871" width="12" style="2" customWidth="1"/>
    <col min="14872" max="14872" width="16.83203125" style="2" customWidth="1"/>
    <col min="14873" max="14873" width="12.44140625" style="2" customWidth="1"/>
    <col min="14874" max="14874" width="9.1640625" style="2" customWidth="1"/>
    <col min="14875" max="14875" width="13" style="2" customWidth="1"/>
    <col min="14876" max="14876" width="12" style="2" customWidth="1"/>
    <col min="14877" max="14877" width="18.44140625" style="2" customWidth="1"/>
    <col min="14878" max="15109" width="11.44140625" style="2"/>
    <col min="15110" max="15110" width="58.44140625" style="2" customWidth="1"/>
    <col min="15111" max="15111" width="8.44140625" style="2" customWidth="1"/>
    <col min="15112" max="15112" width="11.44140625" style="2" customWidth="1"/>
    <col min="15113" max="15113" width="7.83203125" style="2" customWidth="1"/>
    <col min="15114" max="15114" width="9.44140625" style="2" customWidth="1"/>
    <col min="15115" max="15115" width="8.83203125" style="2" customWidth="1"/>
    <col min="15116" max="15116" width="14.44140625" style="2" customWidth="1"/>
    <col min="15117" max="15117" width="8.83203125" style="2" customWidth="1"/>
    <col min="15118" max="15118" width="12.1640625" style="2" customWidth="1"/>
    <col min="15119" max="15119" width="8.44140625" style="2" customWidth="1"/>
    <col min="15120" max="15121" width="11.44140625" style="2" customWidth="1"/>
    <col min="15122" max="15122" width="11.83203125" style="2" customWidth="1"/>
    <col min="15123" max="15123" width="11.44140625" style="2" customWidth="1"/>
    <col min="15124" max="15124" width="10.44140625" style="2" customWidth="1"/>
    <col min="15125" max="15125" width="11.83203125" style="2" customWidth="1"/>
    <col min="15126" max="15126" width="10.44140625" style="2" customWidth="1"/>
    <col min="15127" max="15127" width="12" style="2" customWidth="1"/>
    <col min="15128" max="15128" width="16.83203125" style="2" customWidth="1"/>
    <col min="15129" max="15129" width="12.44140625" style="2" customWidth="1"/>
    <col min="15130" max="15130" width="9.1640625" style="2" customWidth="1"/>
    <col min="15131" max="15131" width="13" style="2" customWidth="1"/>
    <col min="15132" max="15132" width="12" style="2" customWidth="1"/>
    <col min="15133" max="15133" width="18.44140625" style="2" customWidth="1"/>
    <col min="15134" max="15365" width="11.44140625" style="2"/>
    <col min="15366" max="15366" width="58.44140625" style="2" customWidth="1"/>
    <col min="15367" max="15367" width="8.44140625" style="2" customWidth="1"/>
    <col min="15368" max="15368" width="11.44140625" style="2" customWidth="1"/>
    <col min="15369" max="15369" width="7.83203125" style="2" customWidth="1"/>
    <col min="15370" max="15370" width="9.44140625" style="2" customWidth="1"/>
    <col min="15371" max="15371" width="8.83203125" style="2" customWidth="1"/>
    <col min="15372" max="15372" width="14.44140625" style="2" customWidth="1"/>
    <col min="15373" max="15373" width="8.83203125" style="2" customWidth="1"/>
    <col min="15374" max="15374" width="12.1640625" style="2" customWidth="1"/>
    <col min="15375" max="15375" width="8.44140625" style="2" customWidth="1"/>
    <col min="15376" max="15377" width="11.44140625" style="2" customWidth="1"/>
    <col min="15378" max="15378" width="11.83203125" style="2" customWidth="1"/>
    <col min="15379" max="15379" width="11.44140625" style="2" customWidth="1"/>
    <col min="15380" max="15380" width="10.44140625" style="2" customWidth="1"/>
    <col min="15381" max="15381" width="11.83203125" style="2" customWidth="1"/>
    <col min="15382" max="15382" width="10.44140625" style="2" customWidth="1"/>
    <col min="15383" max="15383" width="12" style="2" customWidth="1"/>
    <col min="15384" max="15384" width="16.83203125" style="2" customWidth="1"/>
    <col min="15385" max="15385" width="12.44140625" style="2" customWidth="1"/>
    <col min="15386" max="15386" width="9.1640625" style="2" customWidth="1"/>
    <col min="15387" max="15387" width="13" style="2" customWidth="1"/>
    <col min="15388" max="15388" width="12" style="2" customWidth="1"/>
    <col min="15389" max="15389" width="18.44140625" style="2" customWidth="1"/>
    <col min="15390" max="15621" width="11.44140625" style="2"/>
    <col min="15622" max="15622" width="58.44140625" style="2" customWidth="1"/>
    <col min="15623" max="15623" width="8.44140625" style="2" customWidth="1"/>
    <col min="15624" max="15624" width="11.44140625" style="2" customWidth="1"/>
    <col min="15625" max="15625" width="7.83203125" style="2" customWidth="1"/>
    <col min="15626" max="15626" width="9.44140625" style="2" customWidth="1"/>
    <col min="15627" max="15627" width="8.83203125" style="2" customWidth="1"/>
    <col min="15628" max="15628" width="14.44140625" style="2" customWidth="1"/>
    <col min="15629" max="15629" width="8.83203125" style="2" customWidth="1"/>
    <col min="15630" max="15630" width="12.1640625" style="2" customWidth="1"/>
    <col min="15631" max="15631" width="8.44140625" style="2" customWidth="1"/>
    <col min="15632" max="15633" width="11.44140625" style="2" customWidth="1"/>
    <col min="15634" max="15634" width="11.83203125" style="2" customWidth="1"/>
    <col min="15635" max="15635" width="11.44140625" style="2" customWidth="1"/>
    <col min="15636" max="15636" width="10.44140625" style="2" customWidth="1"/>
    <col min="15637" max="15637" width="11.83203125" style="2" customWidth="1"/>
    <col min="15638" max="15638" width="10.44140625" style="2" customWidth="1"/>
    <col min="15639" max="15639" width="12" style="2" customWidth="1"/>
    <col min="15640" max="15640" width="16.83203125" style="2" customWidth="1"/>
    <col min="15641" max="15641" width="12.44140625" style="2" customWidth="1"/>
    <col min="15642" max="15642" width="9.1640625" style="2" customWidth="1"/>
    <col min="15643" max="15643" width="13" style="2" customWidth="1"/>
    <col min="15644" max="15644" width="12" style="2" customWidth="1"/>
    <col min="15645" max="15645" width="18.44140625" style="2" customWidth="1"/>
    <col min="15646" max="15877" width="11.44140625" style="2"/>
    <col min="15878" max="15878" width="58.44140625" style="2" customWidth="1"/>
    <col min="15879" max="15879" width="8.44140625" style="2" customWidth="1"/>
    <col min="15880" max="15880" width="11.44140625" style="2" customWidth="1"/>
    <col min="15881" max="15881" width="7.83203125" style="2" customWidth="1"/>
    <col min="15882" max="15882" width="9.44140625" style="2" customWidth="1"/>
    <col min="15883" max="15883" width="8.83203125" style="2" customWidth="1"/>
    <col min="15884" max="15884" width="14.44140625" style="2" customWidth="1"/>
    <col min="15885" max="15885" width="8.83203125" style="2" customWidth="1"/>
    <col min="15886" max="15886" width="12.1640625" style="2" customWidth="1"/>
    <col min="15887" max="15887" width="8.44140625" style="2" customWidth="1"/>
    <col min="15888" max="15889" width="11.44140625" style="2" customWidth="1"/>
    <col min="15890" max="15890" width="11.83203125" style="2" customWidth="1"/>
    <col min="15891" max="15891" width="11.44140625" style="2" customWidth="1"/>
    <col min="15892" max="15892" width="10.44140625" style="2" customWidth="1"/>
    <col min="15893" max="15893" width="11.83203125" style="2" customWidth="1"/>
    <col min="15894" max="15894" width="10.44140625" style="2" customWidth="1"/>
    <col min="15895" max="15895" width="12" style="2" customWidth="1"/>
    <col min="15896" max="15896" width="16.83203125" style="2" customWidth="1"/>
    <col min="15897" max="15897" width="12.44140625" style="2" customWidth="1"/>
    <col min="15898" max="15898" width="9.1640625" style="2" customWidth="1"/>
    <col min="15899" max="15899" width="13" style="2" customWidth="1"/>
    <col min="15900" max="15900" width="12" style="2" customWidth="1"/>
    <col min="15901" max="15901" width="18.44140625" style="2" customWidth="1"/>
    <col min="15902" max="16133" width="11.44140625" style="2"/>
    <col min="16134" max="16134" width="58.44140625" style="2" customWidth="1"/>
    <col min="16135" max="16135" width="8.44140625" style="2" customWidth="1"/>
    <col min="16136" max="16136" width="11.44140625" style="2" customWidth="1"/>
    <col min="16137" max="16137" width="7.83203125" style="2" customWidth="1"/>
    <col min="16138" max="16138" width="9.44140625" style="2" customWidth="1"/>
    <col min="16139" max="16139" width="8.83203125" style="2" customWidth="1"/>
    <col min="16140" max="16140" width="14.44140625" style="2" customWidth="1"/>
    <col min="16141" max="16141" width="8.83203125" style="2" customWidth="1"/>
    <col min="16142" max="16142" width="12.1640625" style="2" customWidth="1"/>
    <col min="16143" max="16143" width="8.44140625" style="2" customWidth="1"/>
    <col min="16144" max="16145" width="11.44140625" style="2" customWidth="1"/>
    <col min="16146" max="16146" width="11.83203125" style="2" customWidth="1"/>
    <col min="16147" max="16147" width="11.44140625" style="2" customWidth="1"/>
    <col min="16148" max="16148" width="10.44140625" style="2" customWidth="1"/>
    <col min="16149" max="16149" width="11.83203125" style="2" customWidth="1"/>
    <col min="16150" max="16150" width="10.44140625" style="2" customWidth="1"/>
    <col min="16151" max="16151" width="12" style="2" customWidth="1"/>
    <col min="16152" max="16152" width="16.83203125" style="2" customWidth="1"/>
    <col min="16153" max="16153" width="12.44140625" style="2" customWidth="1"/>
    <col min="16154" max="16154" width="9.1640625" style="2" customWidth="1"/>
    <col min="16155" max="16155" width="13" style="2" customWidth="1"/>
    <col min="16156" max="16156" width="12" style="2" customWidth="1"/>
    <col min="16157" max="16157" width="18.44140625" style="2" customWidth="1"/>
    <col min="16158" max="16384" width="11.44140625" style="2"/>
  </cols>
  <sheetData>
    <row r="1" spans="1:29" ht="12" customHeight="1" x14ac:dyDescent="0.4">
      <c r="A1" s="253" t="s">
        <v>22</v>
      </c>
      <c r="B1" s="253" t="s">
        <v>23</v>
      </c>
      <c r="C1" s="2"/>
      <c r="D1" s="2"/>
      <c r="E1" s="2"/>
      <c r="F1" s="2"/>
      <c r="G1" s="315" t="s">
        <v>331</v>
      </c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275"/>
      <c r="Y1" s="276"/>
      <c r="Z1" s="24"/>
      <c r="AA1" s="24"/>
      <c r="AB1" s="24"/>
      <c r="AC1" s="24"/>
    </row>
    <row r="2" spans="1:29" ht="12" customHeight="1" x14ac:dyDescent="0.4">
      <c r="A2" s="253" t="s">
        <v>24</v>
      </c>
      <c r="B2" s="253">
        <v>20200</v>
      </c>
      <c r="C2" s="2"/>
      <c r="D2" s="2"/>
      <c r="E2" s="2"/>
      <c r="F2" s="2"/>
      <c r="G2" s="316" t="s">
        <v>425</v>
      </c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277"/>
      <c r="Y2" s="276"/>
      <c r="Z2" s="24"/>
    </row>
    <row r="3" spans="1:29" ht="12" customHeight="1" x14ac:dyDescent="0.35">
      <c r="A3" s="253" t="s">
        <v>26</v>
      </c>
      <c r="B3" s="253" t="s">
        <v>27</v>
      </c>
      <c r="C3" s="2"/>
      <c r="D3" s="2"/>
      <c r="E3" s="2"/>
      <c r="F3" s="2"/>
      <c r="G3" s="317" t="s">
        <v>334</v>
      </c>
      <c r="H3" s="317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</row>
    <row r="4" spans="1:29" s="147" customFormat="1" ht="12" customHeight="1" x14ac:dyDescent="0.45">
      <c r="G4" s="319" t="s">
        <v>29</v>
      </c>
      <c r="H4" s="319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279"/>
      <c r="Y4" s="279"/>
      <c r="Z4" s="148"/>
      <c r="AA4" s="148"/>
      <c r="AB4" s="148"/>
    </row>
    <row r="5" spans="1:29" s="147" customFormat="1" ht="12" customHeight="1" x14ac:dyDescent="0.45">
      <c r="A5" s="2"/>
      <c r="B5" s="2"/>
      <c r="C5" s="2"/>
      <c r="D5" s="2"/>
      <c r="E5" s="2"/>
      <c r="F5" s="2"/>
      <c r="G5" s="149" t="s">
        <v>31</v>
      </c>
      <c r="H5" s="158">
        <v>1.05</v>
      </c>
      <c r="I5" s="148"/>
      <c r="J5" s="152"/>
      <c r="K5" s="152"/>
      <c r="L5" s="153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280"/>
      <c r="Y5" s="280"/>
      <c r="Z5" s="154"/>
      <c r="AA5" s="154"/>
      <c r="AB5" s="154"/>
    </row>
    <row r="6" spans="1:29" s="147" customFormat="1" ht="12" customHeight="1" x14ac:dyDescent="0.45">
      <c r="A6" s="2"/>
      <c r="B6" s="2"/>
      <c r="C6" s="2"/>
      <c r="D6" s="2"/>
      <c r="E6" s="2"/>
      <c r="F6" s="2"/>
      <c r="G6" s="149" t="s">
        <v>426</v>
      </c>
      <c r="H6" s="160">
        <v>1.0349999999999999</v>
      </c>
      <c r="I6" s="148"/>
      <c r="J6" s="152"/>
      <c r="K6" s="152"/>
      <c r="L6" s="153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280"/>
      <c r="Y6" s="280"/>
      <c r="Z6" s="154"/>
      <c r="AA6" s="154"/>
      <c r="AB6" s="154"/>
    </row>
    <row r="7" spans="1:29" ht="31.8" thickBot="1" x14ac:dyDescent="0.45">
      <c r="A7" s="256" t="s">
        <v>33</v>
      </c>
      <c r="B7" s="256" t="s">
        <v>427</v>
      </c>
      <c r="C7" s="256" t="s">
        <v>428</v>
      </c>
      <c r="D7" s="256" t="s">
        <v>429</v>
      </c>
      <c r="E7" s="256" t="s">
        <v>37</v>
      </c>
      <c r="F7" s="256" t="s">
        <v>430</v>
      </c>
      <c r="G7" s="15" t="s">
        <v>3</v>
      </c>
      <c r="H7" s="15" t="s">
        <v>38</v>
      </c>
      <c r="I7" s="15" t="s">
        <v>39</v>
      </c>
      <c r="J7" s="15" t="s">
        <v>40</v>
      </c>
      <c r="K7" s="16" t="s">
        <v>337</v>
      </c>
      <c r="L7" s="57" t="s">
        <v>42</v>
      </c>
      <c r="M7" s="15" t="s">
        <v>40</v>
      </c>
      <c r="N7" s="57" t="s">
        <v>43</v>
      </c>
      <c r="O7" s="15" t="s">
        <v>40</v>
      </c>
      <c r="P7" s="57" t="s">
        <v>44</v>
      </c>
      <c r="Q7" s="15" t="s">
        <v>40</v>
      </c>
      <c r="R7" s="57" t="s">
        <v>338</v>
      </c>
      <c r="S7" s="15" t="s">
        <v>40</v>
      </c>
      <c r="T7" s="57" t="s">
        <v>46</v>
      </c>
      <c r="U7" s="16" t="s">
        <v>431</v>
      </c>
      <c r="V7" s="16" t="s">
        <v>5</v>
      </c>
      <c r="W7" s="16" t="s">
        <v>6</v>
      </c>
      <c r="X7" s="281" t="s">
        <v>340</v>
      </c>
      <c r="Y7" s="281" t="s">
        <v>341</v>
      </c>
    </row>
    <row r="8" spans="1:29" ht="13.5" customHeight="1" x14ac:dyDescent="0.4">
      <c r="A8" s="65"/>
      <c r="B8" s="65"/>
      <c r="C8" s="65"/>
      <c r="D8" s="65"/>
      <c r="E8" s="65"/>
      <c r="F8" s="65"/>
      <c r="G8" s="65" t="s">
        <v>7</v>
      </c>
      <c r="H8" s="65"/>
      <c r="I8" s="38"/>
      <c r="J8" s="38"/>
      <c r="K8" s="39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282"/>
      <c r="Y8" s="282"/>
      <c r="Z8" s="133"/>
    </row>
    <row r="9" spans="1:29" ht="12" customHeight="1" x14ac:dyDescent="0.4">
      <c r="A9" s="119"/>
      <c r="B9" s="119"/>
      <c r="C9" s="119"/>
      <c r="D9" s="119"/>
      <c r="E9" s="119"/>
      <c r="F9" s="119"/>
      <c r="G9" s="119" t="s">
        <v>342</v>
      </c>
      <c r="H9" s="119"/>
      <c r="I9" s="120"/>
      <c r="J9" s="61"/>
      <c r="K9" s="62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</row>
    <row r="10" spans="1:29" ht="12" customHeight="1" x14ac:dyDescent="0.35">
      <c r="A10" s="293" t="s">
        <v>432</v>
      </c>
      <c r="B10" s="12">
        <v>89050</v>
      </c>
      <c r="C10" s="12" t="s">
        <v>50</v>
      </c>
      <c r="D10" s="12" t="s">
        <v>50</v>
      </c>
      <c r="E10" s="32" t="s">
        <v>147</v>
      </c>
      <c r="F10" s="260" t="s">
        <v>433</v>
      </c>
      <c r="G10" s="163" t="s">
        <v>434</v>
      </c>
      <c r="H10" s="12" t="s">
        <v>52</v>
      </c>
      <c r="I10" s="45" t="s">
        <v>53</v>
      </c>
      <c r="J10" s="8">
        <v>6</v>
      </c>
      <c r="K10" s="8">
        <f>3500</f>
        <v>3500</v>
      </c>
      <c r="L10" s="8">
        <f t="shared" ref="L10:L13" si="0">J10*K10</f>
        <v>21000</v>
      </c>
      <c r="M10" s="8">
        <v>12</v>
      </c>
      <c r="N10" s="8">
        <f>M10*K10*$H$6</f>
        <v>43470</v>
      </c>
      <c r="O10" s="8">
        <v>12</v>
      </c>
      <c r="P10" s="8">
        <f>O10*K10*$H$6*$H$6</f>
        <v>44991.45</v>
      </c>
      <c r="Q10" s="8">
        <v>12</v>
      </c>
      <c r="R10" s="8">
        <f>Q10*K10*$H$6*$H$6*$H$6</f>
        <v>46566.150749999993</v>
      </c>
      <c r="S10" s="8">
        <v>0</v>
      </c>
      <c r="T10" s="8">
        <f>S10*K10*$H$6*$H$6*$H$6*$H$6</f>
        <v>0</v>
      </c>
      <c r="U10" s="8">
        <f t="shared" ref="U10:U13" si="1">SUM(L10+N10+P10+R10+T10)</f>
        <v>156027.60074999998</v>
      </c>
      <c r="V10" s="8">
        <v>0</v>
      </c>
      <c r="W10" s="8">
        <f t="shared" ref="W10:W13" si="2">SUM(U10:V10)</f>
        <v>156027.60074999998</v>
      </c>
      <c r="X10" s="294">
        <f>W10*0.95</f>
        <v>148226.22071249998</v>
      </c>
      <c r="Y10" s="284">
        <f>W10-X10</f>
        <v>7801.3800374999992</v>
      </c>
      <c r="Z10" s="145"/>
      <c r="AA10" s="121"/>
      <c r="AB10" s="49"/>
    </row>
    <row r="11" spans="1:29" ht="12" customHeight="1" x14ac:dyDescent="0.35">
      <c r="A11" s="293" t="s">
        <v>432</v>
      </c>
      <c r="B11" s="12">
        <v>89050</v>
      </c>
      <c r="C11" s="12" t="s">
        <v>50</v>
      </c>
      <c r="D11" s="12" t="s">
        <v>50</v>
      </c>
      <c r="E11" s="32" t="s">
        <v>147</v>
      </c>
      <c r="F11" s="260" t="s">
        <v>435</v>
      </c>
      <c r="G11" s="163" t="s">
        <v>436</v>
      </c>
      <c r="H11" s="12" t="s">
        <v>52</v>
      </c>
      <c r="I11" s="45" t="s">
        <v>53</v>
      </c>
      <c r="J11" s="8">
        <v>6</v>
      </c>
      <c r="K11" s="8">
        <f>2800</f>
        <v>2800</v>
      </c>
      <c r="L11" s="8">
        <f t="shared" si="0"/>
        <v>16800</v>
      </c>
      <c r="M11" s="8">
        <v>12</v>
      </c>
      <c r="N11" s="8">
        <f>M11*K11*$H$6</f>
        <v>34776</v>
      </c>
      <c r="O11" s="8">
        <v>12</v>
      </c>
      <c r="P11" s="8">
        <f>O11*K11*$H$6*$H$6</f>
        <v>35993.159999999996</v>
      </c>
      <c r="Q11" s="8">
        <v>12</v>
      </c>
      <c r="R11" s="8">
        <f>Q11*K11*$H$6*$H$6*$H$6</f>
        <v>37252.92059999999</v>
      </c>
      <c r="S11" s="8">
        <v>0</v>
      </c>
      <c r="T11" s="8">
        <f>S11*K11*$H$6*$H$6*$H$6*$H$6</f>
        <v>0</v>
      </c>
      <c r="U11" s="8">
        <f t="shared" si="1"/>
        <v>124822.08059999999</v>
      </c>
      <c r="V11" s="8">
        <v>0</v>
      </c>
      <c r="W11" s="8">
        <f t="shared" si="2"/>
        <v>124822.08059999999</v>
      </c>
      <c r="X11" s="294">
        <f t="shared" ref="X11:X13" si="3">W11*0.95</f>
        <v>118580.97656999998</v>
      </c>
      <c r="Y11" s="284">
        <f t="shared" ref="Y11:Y13" si="4">W11-X11</f>
        <v>6241.1040300000022</v>
      </c>
      <c r="Z11" s="134"/>
      <c r="AA11" s="13"/>
      <c r="AB11" s="13"/>
    </row>
    <row r="12" spans="1:29" ht="12" customHeight="1" x14ac:dyDescent="0.35">
      <c r="A12" s="293" t="s">
        <v>432</v>
      </c>
      <c r="B12" s="12">
        <v>89050</v>
      </c>
      <c r="C12" s="12" t="s">
        <v>50</v>
      </c>
      <c r="D12" s="12" t="s">
        <v>50</v>
      </c>
      <c r="E12" s="32" t="s">
        <v>147</v>
      </c>
      <c r="F12" s="260" t="s">
        <v>437</v>
      </c>
      <c r="G12" s="163" t="s">
        <v>438</v>
      </c>
      <c r="H12" s="12" t="s">
        <v>52</v>
      </c>
      <c r="I12" s="45" t="s">
        <v>53</v>
      </c>
      <c r="J12" s="8">
        <v>6</v>
      </c>
      <c r="K12" s="8">
        <f>2200</f>
        <v>2200</v>
      </c>
      <c r="L12" s="8">
        <f t="shared" si="0"/>
        <v>13200</v>
      </c>
      <c r="M12" s="8">
        <v>12</v>
      </c>
      <c r="N12" s="8">
        <f>M12*K12*$H$6</f>
        <v>27323.999999999996</v>
      </c>
      <c r="O12" s="8">
        <v>12</v>
      </c>
      <c r="P12" s="8">
        <f>O12*K12*$H$6*$H$6</f>
        <v>28280.339999999993</v>
      </c>
      <c r="Q12" s="8">
        <v>12</v>
      </c>
      <c r="R12" s="8">
        <f>Q12*K12*$H$6*$H$6*$H$6</f>
        <v>29270.15189999999</v>
      </c>
      <c r="S12" s="8">
        <v>0</v>
      </c>
      <c r="T12" s="8">
        <f>S12*K12*$H$6*$H$6*$H$6*$H$6</f>
        <v>0</v>
      </c>
      <c r="U12" s="8">
        <f t="shared" si="1"/>
        <v>98074.491899999994</v>
      </c>
      <c r="V12" s="8">
        <v>0</v>
      </c>
      <c r="W12" s="8">
        <f t="shared" si="2"/>
        <v>98074.491899999994</v>
      </c>
      <c r="X12" s="294">
        <f t="shared" si="3"/>
        <v>93170.767304999987</v>
      </c>
      <c r="Y12" s="284">
        <f t="shared" si="4"/>
        <v>4903.724595000007</v>
      </c>
    </row>
    <row r="13" spans="1:29" ht="12" customHeight="1" x14ac:dyDescent="0.35">
      <c r="A13" s="293" t="s">
        <v>432</v>
      </c>
      <c r="B13" s="12">
        <v>89050</v>
      </c>
      <c r="C13" s="12" t="s">
        <v>50</v>
      </c>
      <c r="D13" s="12" t="s">
        <v>50</v>
      </c>
      <c r="E13" s="32" t="s">
        <v>147</v>
      </c>
      <c r="F13" s="260" t="s">
        <v>439</v>
      </c>
      <c r="G13" s="163" t="s">
        <v>440</v>
      </c>
      <c r="H13" s="12" t="s">
        <v>52</v>
      </c>
      <c r="I13" s="45" t="s">
        <v>53</v>
      </c>
      <c r="J13" s="8">
        <v>6</v>
      </c>
      <c r="K13" s="8">
        <f>2300*50%</f>
        <v>1150</v>
      </c>
      <c r="L13" s="8">
        <f t="shared" si="0"/>
        <v>6900</v>
      </c>
      <c r="M13" s="8">
        <v>12</v>
      </c>
      <c r="N13" s="8">
        <f>M13*K13*$H$6</f>
        <v>14282.999999999998</v>
      </c>
      <c r="O13" s="8">
        <v>12</v>
      </c>
      <c r="P13" s="8">
        <f>O13*K13*$H$6*$H$6</f>
        <v>14782.904999999997</v>
      </c>
      <c r="Q13" s="8">
        <v>12</v>
      </c>
      <c r="R13" s="8">
        <f>Q13*K13*$H$6*$H$6*$H$6</f>
        <v>15300.306674999996</v>
      </c>
      <c r="S13" s="8">
        <v>0</v>
      </c>
      <c r="T13" s="8">
        <f>S13*K13*$H$6*$H$6*$H$6*$H$6</f>
        <v>0</v>
      </c>
      <c r="U13" s="8">
        <f t="shared" si="1"/>
        <v>51266.211674999999</v>
      </c>
      <c r="V13" s="8">
        <v>0</v>
      </c>
      <c r="W13" s="8">
        <f t="shared" si="2"/>
        <v>51266.211674999999</v>
      </c>
      <c r="X13" s="294">
        <f t="shared" si="3"/>
        <v>48702.901091249994</v>
      </c>
      <c r="Y13" s="284">
        <f t="shared" si="4"/>
        <v>2563.3105837500043</v>
      </c>
    </row>
    <row r="14" spans="1:29" ht="12" customHeight="1" x14ac:dyDescent="0.35">
      <c r="A14" s="12"/>
      <c r="B14" s="12"/>
      <c r="C14" s="12"/>
      <c r="D14" s="12"/>
      <c r="E14" s="12"/>
      <c r="F14" s="12"/>
      <c r="G14" s="12"/>
      <c r="H14" s="12"/>
      <c r="I14" s="4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285"/>
      <c r="Y14" s="285"/>
      <c r="Z14" s="13"/>
    </row>
    <row r="15" spans="1:29" ht="12" customHeight="1" x14ac:dyDescent="0.4">
      <c r="A15" s="47"/>
      <c r="B15" s="47"/>
      <c r="C15" s="47"/>
      <c r="D15" s="47"/>
      <c r="E15" s="47"/>
      <c r="F15" s="47"/>
      <c r="G15" s="47" t="s">
        <v>69</v>
      </c>
      <c r="H15" s="47"/>
      <c r="I15" s="46"/>
      <c r="J15" s="48"/>
      <c r="K15" s="48"/>
      <c r="L15" s="48">
        <f>SUM(L10:L13)</f>
        <v>57900</v>
      </c>
      <c r="M15" s="48"/>
      <c r="N15" s="48">
        <f>SUM(N10:N13)</f>
        <v>119853</v>
      </c>
      <c r="O15" s="48"/>
      <c r="P15" s="48">
        <f>SUM(P10:P13)</f>
        <v>124047.85499999998</v>
      </c>
      <c r="Q15" s="48"/>
      <c r="R15" s="48">
        <f>SUM(R10:R13)</f>
        <v>128389.52992499998</v>
      </c>
      <c r="S15" s="48"/>
      <c r="T15" s="48">
        <f>SUM(T10:T13)</f>
        <v>0</v>
      </c>
      <c r="U15" s="48">
        <f>SUM(L15+N15+P15+R15+T15)</f>
        <v>430190.38492499996</v>
      </c>
      <c r="V15" s="48">
        <f>SUM(V10:V13)</f>
        <v>0</v>
      </c>
      <c r="W15" s="48">
        <f>SUM(U15:V15)</f>
        <v>430190.38492499996</v>
      </c>
      <c r="X15" s="285"/>
      <c r="Y15" s="286"/>
      <c r="Z15" s="121"/>
    </row>
    <row r="16" spans="1:29" ht="12" customHeight="1" x14ac:dyDescent="0.4">
      <c r="A16" s="47"/>
      <c r="B16" s="47"/>
      <c r="C16" s="47"/>
      <c r="D16" s="47"/>
      <c r="E16" s="47"/>
      <c r="F16" s="47"/>
      <c r="G16" s="47"/>
      <c r="H16" s="47"/>
      <c r="I16" s="46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285"/>
      <c r="Y16" s="286"/>
      <c r="Z16" s="121"/>
    </row>
    <row r="17" spans="1:41" ht="12" customHeight="1" x14ac:dyDescent="0.4">
      <c r="A17" s="119"/>
      <c r="B17" s="119"/>
      <c r="C17" s="119"/>
      <c r="D17" s="119"/>
      <c r="E17" s="119"/>
      <c r="F17" s="119"/>
      <c r="G17" s="119" t="s">
        <v>70</v>
      </c>
      <c r="H17" s="119"/>
      <c r="I17" s="120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68"/>
      <c r="V17" s="114"/>
      <c r="W17" s="114"/>
      <c r="X17" s="285"/>
      <c r="Y17" s="287"/>
      <c r="Z17" s="13"/>
    </row>
    <row r="18" spans="1:41" ht="12" customHeight="1" x14ac:dyDescent="0.35">
      <c r="A18" s="293" t="s">
        <v>432</v>
      </c>
      <c r="B18" s="12">
        <v>89050</v>
      </c>
      <c r="C18" s="12" t="s">
        <v>50</v>
      </c>
      <c r="D18" s="12" t="s">
        <v>50</v>
      </c>
      <c r="E18" s="32" t="s">
        <v>147</v>
      </c>
      <c r="F18" s="12" t="s">
        <v>441</v>
      </c>
      <c r="G18" s="12" t="s">
        <v>358</v>
      </c>
      <c r="H18" s="12" t="s">
        <v>359</v>
      </c>
      <c r="I18" s="45"/>
      <c r="J18" s="8"/>
      <c r="K18" s="135">
        <v>0.30399999999999999</v>
      </c>
      <c r="L18" s="8">
        <f>K18*L15</f>
        <v>17601.599999999999</v>
      </c>
      <c r="M18" s="8"/>
      <c r="N18" s="8">
        <f>K18*N15</f>
        <v>36435.311999999998</v>
      </c>
      <c r="O18" s="8"/>
      <c r="P18" s="8">
        <f>K18*P15</f>
        <v>37710.54791999999</v>
      </c>
      <c r="Q18" s="8"/>
      <c r="R18" s="8">
        <f>R15*K18</f>
        <v>39030.417097199992</v>
      </c>
      <c r="S18" s="8"/>
      <c r="T18" s="8">
        <f>K18*T15</f>
        <v>0</v>
      </c>
      <c r="U18" s="8">
        <f>SUM(T18,R18,P18,N18,L18)</f>
        <v>130777.87701719999</v>
      </c>
      <c r="V18" s="8">
        <v>0</v>
      </c>
      <c r="W18" s="8">
        <f>SUM(U18:V18)</f>
        <v>130777.87701719999</v>
      </c>
      <c r="X18" s="294">
        <f t="shared" ref="X18" si="5">W18*0.95</f>
        <v>124238.98316633998</v>
      </c>
      <c r="Y18" s="284">
        <f t="shared" ref="Y18" si="6">W18-X18</f>
        <v>6538.8938508600113</v>
      </c>
      <c r="Z18" s="13"/>
    </row>
    <row r="19" spans="1:41" ht="12" customHeight="1" x14ac:dyDescent="0.35">
      <c r="I19" s="31"/>
      <c r="J19" s="2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8"/>
      <c r="W19" s="17"/>
      <c r="X19" s="285"/>
      <c r="Y19" s="285"/>
      <c r="Z19" s="13"/>
    </row>
    <row r="20" spans="1:41" ht="10.8" thickBot="1" x14ac:dyDescent="0.45">
      <c r="A20" s="18"/>
      <c r="B20" s="18"/>
      <c r="C20" s="18"/>
      <c r="D20" s="18"/>
      <c r="E20" s="18"/>
      <c r="F20" s="18"/>
      <c r="G20" s="18" t="s">
        <v>75</v>
      </c>
      <c r="H20" s="18"/>
      <c r="I20" s="28"/>
      <c r="J20" s="28"/>
      <c r="K20" s="29"/>
      <c r="L20" s="19">
        <f>SUM(L15:L18)</f>
        <v>75501.600000000006</v>
      </c>
      <c r="M20" s="19"/>
      <c r="N20" s="19">
        <f>SUM(N15:N18)</f>
        <v>156288.31200000001</v>
      </c>
      <c r="O20" s="19"/>
      <c r="P20" s="19">
        <f>SUM(P15:P18)</f>
        <v>161758.40291999996</v>
      </c>
      <c r="Q20" s="19"/>
      <c r="R20" s="19">
        <f>SUM(R15:R18)</f>
        <v>167419.94702219998</v>
      </c>
      <c r="S20" s="19"/>
      <c r="T20" s="19">
        <f>SUM(T15:T18)</f>
        <v>0</v>
      </c>
      <c r="U20" s="19">
        <f>L20+N20+P20+R20+T20</f>
        <v>560968.2619421999</v>
      </c>
      <c r="V20" s="19">
        <f>SUM(V9:V18)</f>
        <v>0</v>
      </c>
      <c r="W20" s="30">
        <f>SUM(U20:V20)</f>
        <v>560968.2619421999</v>
      </c>
      <c r="Z20" s="136"/>
    </row>
    <row r="21" spans="1:41" ht="10.5" x14ac:dyDescent="0.4">
      <c r="A21" s="52"/>
      <c r="B21" s="52"/>
      <c r="C21" s="52"/>
      <c r="D21" s="52"/>
      <c r="E21" s="52"/>
      <c r="F21" s="52"/>
      <c r="G21" s="52" t="s">
        <v>442</v>
      </c>
      <c r="H21" s="52"/>
      <c r="I21" s="53"/>
      <c r="J21" s="53"/>
      <c r="K21" s="54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6"/>
      <c r="Z21" s="136"/>
    </row>
    <row r="22" spans="1:41" ht="10.199999999999999" x14ac:dyDescent="0.35">
      <c r="A22" s="293" t="s">
        <v>432</v>
      </c>
      <c r="B22" s="12">
        <v>89050</v>
      </c>
      <c r="C22" s="12" t="s">
        <v>50</v>
      </c>
      <c r="D22" s="12" t="s">
        <v>50</v>
      </c>
      <c r="E22" s="32" t="s">
        <v>147</v>
      </c>
      <c r="F22" s="1" t="s">
        <v>443</v>
      </c>
      <c r="G22" s="1" t="s">
        <v>366</v>
      </c>
      <c r="H22" s="1" t="s">
        <v>8</v>
      </c>
      <c r="I22" s="27" t="s">
        <v>84</v>
      </c>
      <c r="J22" s="27">
        <v>6</v>
      </c>
      <c r="K22" s="17">
        <v>30</v>
      </c>
      <c r="L22" s="34">
        <f>J22*K22</f>
        <v>180</v>
      </c>
      <c r="M22" s="34">
        <v>6</v>
      </c>
      <c r="N22" s="34">
        <f t="shared" ref="N22" si="7">M22*K22*$H$5</f>
        <v>189</v>
      </c>
      <c r="O22" s="34">
        <v>6</v>
      </c>
      <c r="P22" s="34">
        <f t="shared" ref="P22" si="8">O22*K22*$H$5*$H$5</f>
        <v>198.45000000000002</v>
      </c>
      <c r="Q22" s="34">
        <v>6</v>
      </c>
      <c r="R22" s="34">
        <f t="shared" ref="R22" si="9">Q22*K22*$H$5*$H$5*$H$5</f>
        <v>208.37250000000003</v>
      </c>
      <c r="S22" s="34">
        <v>0</v>
      </c>
      <c r="T22" s="34">
        <f t="shared" ref="T22" si="10">S22*K22*$H$5*$H$5*$H$5*$H$5</f>
        <v>0</v>
      </c>
      <c r="U22" s="34">
        <f>L22+N22+P22+R22+T22</f>
        <v>775.8225000000001</v>
      </c>
      <c r="V22" s="34" t="s">
        <v>80</v>
      </c>
      <c r="W22" s="44">
        <f>SUM(U22:V22)</f>
        <v>775.8225000000001</v>
      </c>
      <c r="X22" s="294">
        <f t="shared" ref="X22" si="11">W22*0.95</f>
        <v>737.03137500000003</v>
      </c>
      <c r="Y22" s="284">
        <f t="shared" ref="Y22" si="12">W22-X22</f>
        <v>38.791125000000079</v>
      </c>
      <c r="Z22" s="136"/>
    </row>
    <row r="23" spans="1:41" ht="10.199999999999999" x14ac:dyDescent="0.35">
      <c r="I23" s="27"/>
      <c r="J23" s="27"/>
      <c r="K23" s="17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44"/>
      <c r="Z23" s="136"/>
    </row>
    <row r="24" spans="1:41" ht="10.5" x14ac:dyDescent="0.4">
      <c r="A24" s="76"/>
      <c r="B24" s="76"/>
      <c r="C24" s="76"/>
      <c r="D24" s="76"/>
      <c r="E24" s="76"/>
      <c r="F24" s="76"/>
      <c r="G24" s="76" t="s">
        <v>107</v>
      </c>
      <c r="H24" s="76"/>
      <c r="I24" s="61"/>
      <c r="J24" s="61"/>
      <c r="K24" s="62"/>
      <c r="L24" s="63">
        <f>SUM(L22:L22)</f>
        <v>180</v>
      </c>
      <c r="M24" s="63"/>
      <c r="N24" s="63">
        <f>SUM(N22:N22)</f>
        <v>189</v>
      </c>
      <c r="O24" s="63"/>
      <c r="P24" s="63">
        <f>SUM(P22:P22)</f>
        <v>198.45000000000002</v>
      </c>
      <c r="Q24" s="63"/>
      <c r="R24" s="63">
        <f>SUM(R22:R22)</f>
        <v>208.37250000000003</v>
      </c>
      <c r="S24" s="63"/>
      <c r="T24" s="63">
        <f>SUM(T22:T22)</f>
        <v>0</v>
      </c>
      <c r="U24" s="63">
        <f>L24+N24+P24+R24+T24</f>
        <v>775.8225000000001</v>
      </c>
      <c r="V24" s="63">
        <f>SUM(V22:V22)</f>
        <v>0</v>
      </c>
      <c r="W24" s="64">
        <f>SUM(U24:V24)</f>
        <v>775.8225000000001</v>
      </c>
      <c r="Z24" s="136"/>
    </row>
    <row r="25" spans="1:41" ht="12" customHeight="1" x14ac:dyDescent="0.4">
      <c r="A25" s="38"/>
      <c r="B25" s="38"/>
      <c r="C25" s="38"/>
      <c r="D25" s="38"/>
      <c r="E25" s="38"/>
      <c r="F25" s="38"/>
      <c r="G25" s="38" t="s">
        <v>444</v>
      </c>
      <c r="H25" s="38"/>
      <c r="I25" s="38"/>
      <c r="J25" s="38"/>
      <c r="K25" s="39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Y25" s="290"/>
    </row>
    <row r="26" spans="1:41" ht="12" customHeight="1" x14ac:dyDescent="0.35">
      <c r="A26" s="293" t="s">
        <v>432</v>
      </c>
      <c r="B26" s="12">
        <v>89050</v>
      </c>
      <c r="C26" s="12" t="s">
        <v>50</v>
      </c>
      <c r="D26" s="12" t="s">
        <v>50</v>
      </c>
      <c r="E26" s="32" t="s">
        <v>147</v>
      </c>
      <c r="F26" s="1" t="s">
        <v>445</v>
      </c>
      <c r="G26" s="1" t="s">
        <v>368</v>
      </c>
      <c r="H26" s="12" t="s">
        <v>115</v>
      </c>
      <c r="I26" s="31" t="s">
        <v>446</v>
      </c>
      <c r="J26" s="8">
        <v>4</v>
      </c>
      <c r="K26" s="8">
        <v>800</v>
      </c>
      <c r="L26" s="8">
        <f t="shared" ref="L26:L28" si="13">J26*K26</f>
        <v>3200</v>
      </c>
      <c r="M26" s="8">
        <v>0</v>
      </c>
      <c r="N26" s="8">
        <f>M26*K26*$H$5</f>
        <v>0</v>
      </c>
      <c r="O26" s="8">
        <v>0</v>
      </c>
      <c r="P26" s="8">
        <f>O26*K26*$H$5*$H$5</f>
        <v>0</v>
      </c>
      <c r="Q26" s="8">
        <v>0</v>
      </c>
      <c r="R26" s="8">
        <f>Q26*K26*$H$5*$H$5*$H$5</f>
        <v>0</v>
      </c>
      <c r="S26" s="8">
        <v>0</v>
      </c>
      <c r="T26" s="8">
        <f>S26*K26*$H$5*$H$5*$H$5*$H$5</f>
        <v>0</v>
      </c>
      <c r="U26" s="8">
        <f t="shared" ref="U26:U28" si="14">L26+N26+P26+R26+T26</f>
        <v>3200</v>
      </c>
      <c r="V26" s="8">
        <v>0</v>
      </c>
      <c r="W26" s="8">
        <f t="shared" ref="W26:W28" si="15">SUM(U26:V26)</f>
        <v>3200</v>
      </c>
      <c r="X26" s="294">
        <f t="shared" ref="X26:X28" si="16">W26*0.95</f>
        <v>3040</v>
      </c>
      <c r="Y26" s="284">
        <f t="shared" ref="Y26:Y28" si="17">W26-X26</f>
        <v>160</v>
      </c>
    </row>
    <row r="27" spans="1:41" ht="12" customHeight="1" x14ac:dyDescent="0.35">
      <c r="A27" s="293" t="s">
        <v>432</v>
      </c>
      <c r="B27" s="12">
        <v>89050</v>
      </c>
      <c r="C27" s="12" t="s">
        <v>50</v>
      </c>
      <c r="D27" s="12" t="s">
        <v>50</v>
      </c>
      <c r="E27" s="32" t="s">
        <v>147</v>
      </c>
      <c r="F27" s="12" t="s">
        <v>447</v>
      </c>
      <c r="G27" s="12" t="s">
        <v>370</v>
      </c>
      <c r="H27" s="12" t="s">
        <v>115</v>
      </c>
      <c r="I27" s="31" t="s">
        <v>446</v>
      </c>
      <c r="J27" s="8">
        <v>1</v>
      </c>
      <c r="K27" s="8">
        <v>550</v>
      </c>
      <c r="L27" s="8">
        <f t="shared" si="13"/>
        <v>550</v>
      </c>
      <c r="M27" s="8">
        <v>0</v>
      </c>
      <c r="N27" s="8">
        <f>M27*K27*$H$5</f>
        <v>0</v>
      </c>
      <c r="O27" s="8">
        <v>0</v>
      </c>
      <c r="P27" s="8">
        <f>O27*K27*$H$5*$H$5</f>
        <v>0</v>
      </c>
      <c r="Q27" s="8">
        <v>0</v>
      </c>
      <c r="R27" s="8">
        <f>Q27*K27*$H$5*$H$5*$H$5</f>
        <v>0</v>
      </c>
      <c r="S27" s="8">
        <v>0</v>
      </c>
      <c r="T27" s="8">
        <f>S27*K27*$H$5*$H$5*$H$5*$H$5</f>
        <v>0</v>
      </c>
      <c r="U27" s="8">
        <f t="shared" si="14"/>
        <v>550</v>
      </c>
      <c r="V27" s="8">
        <v>0</v>
      </c>
      <c r="W27" s="8">
        <f t="shared" si="15"/>
        <v>550</v>
      </c>
      <c r="X27" s="294">
        <f t="shared" si="16"/>
        <v>522.5</v>
      </c>
      <c r="Y27" s="284">
        <f t="shared" si="17"/>
        <v>27.5</v>
      </c>
      <c r="Z27" s="137"/>
      <c r="AC27" s="5"/>
      <c r="AD27" s="8"/>
      <c r="AE27" s="8"/>
      <c r="AF27" s="8"/>
      <c r="AG27" s="8"/>
      <c r="AH27" s="8"/>
      <c r="AI27" s="5"/>
      <c r="AJ27" s="8"/>
      <c r="AK27" s="5"/>
      <c r="AL27" s="5"/>
      <c r="AM27" s="5"/>
      <c r="AN27" s="13"/>
      <c r="AO27" s="13"/>
    </row>
    <row r="28" spans="1:41" ht="12" customHeight="1" x14ac:dyDescent="0.35">
      <c r="A28" s="293" t="s">
        <v>432</v>
      </c>
      <c r="B28" s="12">
        <v>89050</v>
      </c>
      <c r="C28" s="12" t="s">
        <v>50</v>
      </c>
      <c r="D28" s="12" t="s">
        <v>50</v>
      </c>
      <c r="E28" s="32" t="s">
        <v>147</v>
      </c>
      <c r="F28" s="12" t="s">
        <v>448</v>
      </c>
      <c r="G28" s="12" t="s">
        <v>449</v>
      </c>
      <c r="H28" s="12" t="s">
        <v>115</v>
      </c>
      <c r="I28" s="31" t="s">
        <v>53</v>
      </c>
      <c r="J28" s="8">
        <v>6</v>
      </c>
      <c r="K28" s="8">
        <v>125</v>
      </c>
      <c r="L28" s="8">
        <f t="shared" si="13"/>
        <v>750</v>
      </c>
      <c r="M28" s="8">
        <v>12</v>
      </c>
      <c r="N28" s="8">
        <f>M28*K28*$H$5</f>
        <v>1575</v>
      </c>
      <c r="O28" s="8">
        <v>12</v>
      </c>
      <c r="P28" s="8">
        <f>O28*K28*$H$5*$H$5</f>
        <v>1653.75</v>
      </c>
      <c r="Q28" s="8">
        <v>12</v>
      </c>
      <c r="R28" s="8">
        <f>Q28*K28*$H$5*$H$5*$H$5</f>
        <v>1736.4375</v>
      </c>
      <c r="S28" s="8">
        <v>0</v>
      </c>
      <c r="T28" s="8">
        <f>S28*K28*$H$5*$H$5*$H$5*$H$5</f>
        <v>0</v>
      </c>
      <c r="U28" s="8">
        <f t="shared" si="14"/>
        <v>5715.1875</v>
      </c>
      <c r="V28" s="8">
        <v>0</v>
      </c>
      <c r="W28" s="8">
        <f t="shared" si="15"/>
        <v>5715.1875</v>
      </c>
      <c r="X28" s="294">
        <f t="shared" si="16"/>
        <v>5429.4281249999995</v>
      </c>
      <c r="Y28" s="284">
        <f t="shared" si="17"/>
        <v>285.75937500000055</v>
      </c>
    </row>
    <row r="29" spans="1:41" ht="12" customHeight="1" x14ac:dyDescent="0.35">
      <c r="A29" s="12"/>
      <c r="B29" s="12"/>
      <c r="C29" s="12"/>
      <c r="D29" s="12"/>
      <c r="E29" s="12"/>
      <c r="F29" s="12"/>
      <c r="G29" s="12"/>
      <c r="H29" s="12"/>
      <c r="I29" s="32"/>
    </row>
    <row r="30" spans="1:41" ht="12" customHeight="1" thickBot="1" x14ac:dyDescent="0.45">
      <c r="A30" s="33"/>
      <c r="B30" s="33"/>
      <c r="C30" s="33"/>
      <c r="D30" s="33"/>
      <c r="E30" s="33"/>
      <c r="F30" s="33"/>
      <c r="G30" s="33" t="s">
        <v>373</v>
      </c>
      <c r="H30" s="33"/>
      <c r="I30" s="18"/>
      <c r="J30" s="18"/>
      <c r="K30" s="9"/>
      <c r="L30" s="113">
        <f>SUM(L26:L28)</f>
        <v>4500</v>
      </c>
      <c r="M30" s="113"/>
      <c r="N30" s="113">
        <f>SUM(N26:N28)</f>
        <v>1575</v>
      </c>
      <c r="O30" s="113"/>
      <c r="P30" s="113">
        <f>SUM(P26:P28)</f>
        <v>1653.75</v>
      </c>
      <c r="Q30" s="113"/>
      <c r="R30" s="113">
        <f>SUM(R26:R28)</f>
        <v>1736.4375</v>
      </c>
      <c r="S30" s="113"/>
      <c r="T30" s="113">
        <f>SUM(T26:T28)</f>
        <v>0</v>
      </c>
      <c r="U30" s="19">
        <f>L30+N30+P30+R30+T30</f>
        <v>9465.1875</v>
      </c>
      <c r="V30" s="113">
        <f>SUM(V26:V28)</f>
        <v>0</v>
      </c>
      <c r="W30" s="30">
        <f>SUM(U30:V30)</f>
        <v>9465.1875</v>
      </c>
      <c r="Z30" s="138"/>
    </row>
    <row r="31" spans="1:41" ht="12" customHeight="1" x14ac:dyDescent="0.4">
      <c r="A31" s="38"/>
      <c r="B31" s="38"/>
      <c r="C31" s="38"/>
      <c r="D31" s="38"/>
      <c r="E31" s="38"/>
      <c r="F31" s="38"/>
      <c r="G31" s="38" t="s">
        <v>374</v>
      </c>
      <c r="H31" s="38"/>
      <c r="I31" s="38"/>
      <c r="J31" s="38"/>
      <c r="K31" s="39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Y31" s="290"/>
    </row>
    <row r="32" spans="1:41" ht="12" customHeight="1" x14ac:dyDescent="0.35">
      <c r="A32" s="293" t="s">
        <v>432</v>
      </c>
      <c r="B32" s="12">
        <v>89050</v>
      </c>
      <c r="C32" s="12" t="s">
        <v>50</v>
      </c>
      <c r="D32" s="12" t="s">
        <v>50</v>
      </c>
      <c r="E32" s="32" t="s">
        <v>147</v>
      </c>
      <c r="F32" s="163" t="s">
        <v>450</v>
      </c>
      <c r="G32" s="163" t="s">
        <v>376</v>
      </c>
      <c r="H32" s="12" t="s">
        <v>374</v>
      </c>
      <c r="I32" s="32" t="s">
        <v>53</v>
      </c>
      <c r="J32" s="8">
        <v>5</v>
      </c>
      <c r="K32" s="8">
        <v>30</v>
      </c>
      <c r="L32" s="8">
        <f t="shared" ref="L32:L38" si="18">J32*K32</f>
        <v>150</v>
      </c>
      <c r="M32" s="8">
        <v>12</v>
      </c>
      <c r="N32" s="8">
        <f t="shared" ref="N32:N38" si="19">M32*K32*$H$5</f>
        <v>378</v>
      </c>
      <c r="O32" s="8">
        <v>12</v>
      </c>
      <c r="P32" s="8">
        <f t="shared" ref="P32:P38" si="20">O32*K32*$H$5*$H$5</f>
        <v>396.90000000000003</v>
      </c>
      <c r="Q32" s="8">
        <v>12</v>
      </c>
      <c r="R32" s="8">
        <f t="shared" ref="R32:R38" si="21">Q32*K32*$H$5*$H$5*$H$5</f>
        <v>416.74500000000006</v>
      </c>
      <c r="S32" s="8">
        <v>0</v>
      </c>
      <c r="T32" s="8">
        <f t="shared" ref="T32:T38" si="22">S32*K32*$H$5*$H$5*$H$5*$H$5</f>
        <v>0</v>
      </c>
      <c r="U32" s="8">
        <f t="shared" ref="U32:U38" si="23">L32+N32+P32+R32+T32</f>
        <v>1341.6450000000002</v>
      </c>
      <c r="V32" s="8">
        <v>0</v>
      </c>
      <c r="W32" s="8">
        <f t="shared" ref="W32:W38" si="24">SUM(U32:V32)</f>
        <v>1341.6450000000002</v>
      </c>
      <c r="X32" s="294">
        <f t="shared" ref="X32:X38" si="25">W32*0.95</f>
        <v>1274.5627500000001</v>
      </c>
      <c r="Y32" s="284">
        <f t="shared" ref="Y32:Y38" si="26">W32-X32</f>
        <v>67.082250000000158</v>
      </c>
    </row>
    <row r="33" spans="1:28" ht="12" customHeight="1" x14ac:dyDescent="0.35">
      <c r="A33" s="293" t="s">
        <v>432</v>
      </c>
      <c r="B33" s="12">
        <v>89050</v>
      </c>
      <c r="C33" s="12" t="s">
        <v>50</v>
      </c>
      <c r="D33" s="12" t="s">
        <v>50</v>
      </c>
      <c r="E33" s="32" t="s">
        <v>147</v>
      </c>
      <c r="F33" s="163" t="s">
        <v>451</v>
      </c>
      <c r="G33" s="163" t="s">
        <v>378</v>
      </c>
      <c r="H33" s="12" t="s">
        <v>374</v>
      </c>
      <c r="I33" s="32" t="s">
        <v>118</v>
      </c>
      <c r="J33" s="8">
        <v>0</v>
      </c>
      <c r="K33" s="8">
        <v>50</v>
      </c>
      <c r="L33" s="8">
        <f t="shared" si="18"/>
        <v>0</v>
      </c>
      <c r="M33" s="8">
        <v>1</v>
      </c>
      <c r="N33" s="8">
        <f t="shared" si="19"/>
        <v>52.5</v>
      </c>
      <c r="O33" s="8">
        <v>1</v>
      </c>
      <c r="P33" s="8">
        <f t="shared" si="20"/>
        <v>55.125</v>
      </c>
      <c r="Q33" s="8">
        <v>1</v>
      </c>
      <c r="R33" s="8">
        <f t="shared" si="21"/>
        <v>57.881250000000001</v>
      </c>
      <c r="S33" s="8">
        <v>0</v>
      </c>
      <c r="T33" s="8">
        <f t="shared" si="22"/>
        <v>0</v>
      </c>
      <c r="U33" s="8">
        <f t="shared" si="23"/>
        <v>165.50624999999999</v>
      </c>
      <c r="V33" s="8">
        <v>0</v>
      </c>
      <c r="W33" s="8">
        <f t="shared" si="24"/>
        <v>165.50624999999999</v>
      </c>
      <c r="X33" s="294">
        <f t="shared" si="25"/>
        <v>157.23093749999998</v>
      </c>
      <c r="Y33" s="284">
        <f t="shared" si="26"/>
        <v>8.2753125000000125</v>
      </c>
    </row>
    <row r="34" spans="1:28" ht="12" customHeight="1" x14ac:dyDescent="0.35">
      <c r="A34" s="293" t="s">
        <v>432</v>
      </c>
      <c r="B34" s="12">
        <v>89050</v>
      </c>
      <c r="C34" s="12" t="s">
        <v>50</v>
      </c>
      <c r="D34" s="12" t="s">
        <v>50</v>
      </c>
      <c r="E34" s="32" t="s">
        <v>147</v>
      </c>
      <c r="F34" s="163" t="s">
        <v>452</v>
      </c>
      <c r="G34" s="163" t="s">
        <v>453</v>
      </c>
      <c r="H34" s="12" t="s">
        <v>374</v>
      </c>
      <c r="I34" s="32" t="s">
        <v>118</v>
      </c>
      <c r="J34" s="8">
        <v>3</v>
      </c>
      <c r="K34" s="8">
        <v>300</v>
      </c>
      <c r="L34" s="8">
        <f t="shared" si="18"/>
        <v>900</v>
      </c>
      <c r="M34" s="8">
        <v>0</v>
      </c>
      <c r="N34" s="8">
        <f t="shared" si="19"/>
        <v>0</v>
      </c>
      <c r="O34" s="8">
        <v>0</v>
      </c>
      <c r="P34" s="8">
        <f t="shared" si="20"/>
        <v>0</v>
      </c>
      <c r="Q34" s="8">
        <v>0</v>
      </c>
      <c r="R34" s="8">
        <f t="shared" si="21"/>
        <v>0</v>
      </c>
      <c r="S34" s="8">
        <v>0</v>
      </c>
      <c r="T34" s="8">
        <f t="shared" si="22"/>
        <v>0</v>
      </c>
      <c r="U34" s="8">
        <f t="shared" si="23"/>
        <v>900</v>
      </c>
      <c r="V34" s="8">
        <v>0</v>
      </c>
      <c r="W34" s="8">
        <f t="shared" si="24"/>
        <v>900</v>
      </c>
      <c r="X34" s="294">
        <f t="shared" si="25"/>
        <v>855</v>
      </c>
      <c r="Y34" s="284">
        <f t="shared" si="26"/>
        <v>45</v>
      </c>
    </row>
    <row r="35" spans="1:28" ht="12" customHeight="1" x14ac:dyDescent="0.35">
      <c r="A35" s="293" t="s">
        <v>432</v>
      </c>
      <c r="B35" s="12">
        <v>89050</v>
      </c>
      <c r="C35" s="12" t="s">
        <v>50</v>
      </c>
      <c r="D35" s="12" t="s">
        <v>50</v>
      </c>
      <c r="E35" s="32" t="s">
        <v>147</v>
      </c>
      <c r="F35" s="163" t="s">
        <v>454</v>
      </c>
      <c r="G35" s="163" t="s">
        <v>380</v>
      </c>
      <c r="H35" s="12" t="s">
        <v>374</v>
      </c>
      <c r="I35" s="32" t="s">
        <v>53</v>
      </c>
      <c r="J35" s="8">
        <v>6</v>
      </c>
      <c r="K35" s="8">
        <v>200</v>
      </c>
      <c r="L35" s="8">
        <f t="shared" si="18"/>
        <v>1200</v>
      </c>
      <c r="M35" s="8">
        <v>12</v>
      </c>
      <c r="N35" s="8">
        <f t="shared" si="19"/>
        <v>2520</v>
      </c>
      <c r="O35" s="8">
        <v>12</v>
      </c>
      <c r="P35" s="8">
        <f t="shared" si="20"/>
        <v>2646</v>
      </c>
      <c r="Q35" s="8">
        <v>12</v>
      </c>
      <c r="R35" s="8">
        <f t="shared" si="21"/>
        <v>2778.3</v>
      </c>
      <c r="S35" s="8">
        <v>0</v>
      </c>
      <c r="T35" s="8">
        <f t="shared" si="22"/>
        <v>0</v>
      </c>
      <c r="U35" s="8">
        <f t="shared" si="23"/>
        <v>9144.2999999999993</v>
      </c>
      <c r="V35" s="8">
        <v>0</v>
      </c>
      <c r="W35" s="8">
        <f t="shared" si="24"/>
        <v>9144.2999999999993</v>
      </c>
      <c r="X35" s="294">
        <f t="shared" si="25"/>
        <v>8687.0849999999991</v>
      </c>
      <c r="Y35" s="284">
        <f t="shared" si="26"/>
        <v>457.21500000000015</v>
      </c>
    </row>
    <row r="36" spans="1:28" ht="12" customHeight="1" x14ac:dyDescent="0.35">
      <c r="A36" s="293" t="s">
        <v>432</v>
      </c>
      <c r="B36" s="12">
        <v>89050</v>
      </c>
      <c r="C36" s="12" t="s">
        <v>50</v>
      </c>
      <c r="D36" s="12" t="s">
        <v>50</v>
      </c>
      <c r="E36" s="32" t="s">
        <v>147</v>
      </c>
      <c r="F36" s="163" t="s">
        <v>455</v>
      </c>
      <c r="G36" s="163" t="s">
        <v>456</v>
      </c>
      <c r="H36" s="12" t="s">
        <v>374</v>
      </c>
      <c r="I36" s="32" t="s">
        <v>53</v>
      </c>
      <c r="J36" s="8">
        <v>6</v>
      </c>
      <c r="K36" s="8">
        <v>150</v>
      </c>
      <c r="L36" s="8">
        <f t="shared" si="18"/>
        <v>900</v>
      </c>
      <c r="M36" s="8">
        <v>12</v>
      </c>
      <c r="N36" s="8">
        <f t="shared" si="19"/>
        <v>1890</v>
      </c>
      <c r="O36" s="8">
        <v>12</v>
      </c>
      <c r="P36" s="8">
        <f t="shared" si="20"/>
        <v>1984.5</v>
      </c>
      <c r="Q36" s="8">
        <v>12</v>
      </c>
      <c r="R36" s="8">
        <f t="shared" si="21"/>
        <v>2083.7249999999999</v>
      </c>
      <c r="S36" s="8">
        <v>0</v>
      </c>
      <c r="T36" s="8">
        <f t="shared" si="22"/>
        <v>0</v>
      </c>
      <c r="U36" s="8">
        <f t="shared" si="23"/>
        <v>6858.2250000000004</v>
      </c>
      <c r="V36" s="8">
        <v>0</v>
      </c>
      <c r="W36" s="8">
        <f t="shared" si="24"/>
        <v>6858.2250000000004</v>
      </c>
      <c r="X36" s="294">
        <f t="shared" si="25"/>
        <v>6515.3137500000003</v>
      </c>
      <c r="Y36" s="284">
        <f t="shared" si="26"/>
        <v>342.91125000000011</v>
      </c>
    </row>
    <row r="37" spans="1:28" ht="12" customHeight="1" x14ac:dyDescent="0.35">
      <c r="A37" s="293" t="s">
        <v>432</v>
      </c>
      <c r="B37" s="12">
        <v>89050</v>
      </c>
      <c r="C37" s="12" t="s">
        <v>50</v>
      </c>
      <c r="D37" s="12" t="s">
        <v>50</v>
      </c>
      <c r="E37" s="32" t="s">
        <v>147</v>
      </c>
      <c r="F37" s="163" t="s">
        <v>457</v>
      </c>
      <c r="G37" s="163" t="s">
        <v>382</v>
      </c>
      <c r="H37" s="12" t="s">
        <v>374</v>
      </c>
      <c r="I37" s="32" t="s">
        <v>53</v>
      </c>
      <c r="J37" s="8">
        <v>6</v>
      </c>
      <c r="K37" s="8">
        <v>900</v>
      </c>
      <c r="L37" s="8">
        <f t="shared" si="18"/>
        <v>5400</v>
      </c>
      <c r="M37" s="8">
        <v>12</v>
      </c>
      <c r="N37" s="8">
        <f t="shared" si="19"/>
        <v>11340</v>
      </c>
      <c r="O37" s="8">
        <v>12</v>
      </c>
      <c r="P37" s="8">
        <f t="shared" si="20"/>
        <v>11907</v>
      </c>
      <c r="Q37" s="8">
        <v>12</v>
      </c>
      <c r="R37" s="8">
        <f t="shared" si="21"/>
        <v>12502.35</v>
      </c>
      <c r="S37" s="8">
        <v>0</v>
      </c>
      <c r="T37" s="8">
        <f t="shared" si="22"/>
        <v>0</v>
      </c>
      <c r="U37" s="8">
        <f t="shared" si="23"/>
        <v>41149.35</v>
      </c>
      <c r="V37" s="8">
        <v>0</v>
      </c>
      <c r="W37" s="8">
        <f t="shared" si="24"/>
        <v>41149.35</v>
      </c>
      <c r="X37" s="294">
        <f t="shared" si="25"/>
        <v>39091.8825</v>
      </c>
      <c r="Y37" s="284">
        <f t="shared" si="26"/>
        <v>2057.4674999999988</v>
      </c>
    </row>
    <row r="38" spans="1:28" ht="12" customHeight="1" x14ac:dyDescent="0.35">
      <c r="A38" s="293" t="s">
        <v>432</v>
      </c>
      <c r="B38" s="12">
        <v>89050</v>
      </c>
      <c r="C38" s="12" t="s">
        <v>50</v>
      </c>
      <c r="D38" s="12" t="s">
        <v>50</v>
      </c>
      <c r="E38" s="32" t="s">
        <v>147</v>
      </c>
      <c r="F38" s="163" t="s">
        <v>458</v>
      </c>
      <c r="G38" s="163" t="s">
        <v>386</v>
      </c>
      <c r="H38" s="12" t="s">
        <v>374</v>
      </c>
      <c r="I38" s="32" t="s">
        <v>118</v>
      </c>
      <c r="J38" s="8">
        <v>1</v>
      </c>
      <c r="K38" s="8">
        <v>250</v>
      </c>
      <c r="L38" s="8">
        <f t="shared" si="18"/>
        <v>250</v>
      </c>
      <c r="M38" s="8">
        <v>1</v>
      </c>
      <c r="N38" s="8">
        <f t="shared" si="19"/>
        <v>262.5</v>
      </c>
      <c r="O38" s="8">
        <v>1</v>
      </c>
      <c r="P38" s="8">
        <f t="shared" si="20"/>
        <v>275.625</v>
      </c>
      <c r="Q38" s="8">
        <v>1</v>
      </c>
      <c r="R38" s="8">
        <f t="shared" si="21"/>
        <v>289.40625</v>
      </c>
      <c r="S38" s="8">
        <v>0</v>
      </c>
      <c r="T38" s="8">
        <f t="shared" si="22"/>
        <v>0</v>
      </c>
      <c r="U38" s="8">
        <f t="shared" si="23"/>
        <v>1077.53125</v>
      </c>
      <c r="V38" s="8">
        <v>0</v>
      </c>
      <c r="W38" s="8">
        <f t="shared" si="24"/>
        <v>1077.53125</v>
      </c>
      <c r="X38" s="294">
        <f t="shared" si="25"/>
        <v>1023.6546874999999</v>
      </c>
      <c r="Y38" s="284">
        <f t="shared" si="26"/>
        <v>53.876562500000091</v>
      </c>
    </row>
    <row r="39" spans="1:28" ht="12" customHeight="1" x14ac:dyDescent="0.35">
      <c r="A39" s="12"/>
      <c r="B39" s="12"/>
      <c r="C39" s="12"/>
      <c r="D39" s="12"/>
      <c r="E39" s="12"/>
      <c r="F39" s="12"/>
      <c r="G39" s="12"/>
      <c r="H39" s="12"/>
      <c r="I39" s="32"/>
    </row>
    <row r="40" spans="1:28" ht="12" customHeight="1" thickBot="1" x14ac:dyDescent="0.45">
      <c r="A40" s="33"/>
      <c r="B40" s="33"/>
      <c r="C40" s="33"/>
      <c r="D40" s="33"/>
      <c r="E40" s="33"/>
      <c r="F40" s="33"/>
      <c r="G40" s="33" t="s">
        <v>389</v>
      </c>
      <c r="H40" s="33"/>
      <c r="I40" s="18"/>
      <c r="J40" s="18"/>
      <c r="K40" s="9"/>
      <c r="L40" s="113">
        <f>SUM(L32:L38)</f>
        <v>8800</v>
      </c>
      <c r="M40" s="113"/>
      <c r="N40" s="113">
        <f>SUM(N32:N38)</f>
        <v>16443</v>
      </c>
      <c r="O40" s="113"/>
      <c r="P40" s="113">
        <f>SUM(P32:P38)</f>
        <v>17265.150000000001</v>
      </c>
      <c r="Q40" s="113"/>
      <c r="R40" s="113">
        <f>SUM(R32:R38)</f>
        <v>18128.407500000001</v>
      </c>
      <c r="S40" s="113"/>
      <c r="T40" s="113">
        <f>SUM(T32:T38)</f>
        <v>0</v>
      </c>
      <c r="U40" s="19">
        <f>L40+N40+P40+R40+T40</f>
        <v>60636.557500000003</v>
      </c>
      <c r="V40" s="113">
        <f>SUM(V32:V38)</f>
        <v>0</v>
      </c>
      <c r="W40" s="30">
        <f>SUM(U40:V40)</f>
        <v>60636.557500000003</v>
      </c>
      <c r="Z40" s="138"/>
    </row>
    <row r="41" spans="1:28" ht="30" customHeight="1" thickBot="1" x14ac:dyDescent="0.4">
      <c r="A41" s="2"/>
      <c r="B41" s="2"/>
      <c r="C41" s="2"/>
      <c r="D41" s="2"/>
      <c r="E41" s="2"/>
      <c r="F41" s="2"/>
      <c r="G41" s="318" t="s">
        <v>390</v>
      </c>
      <c r="H41" s="318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Z41" s="138"/>
    </row>
    <row r="42" spans="1:28" ht="12" customHeight="1" x14ac:dyDescent="0.4">
      <c r="A42" s="123"/>
      <c r="B42" s="123"/>
      <c r="C42" s="123"/>
      <c r="D42" s="123"/>
      <c r="E42" s="123"/>
      <c r="F42" s="123"/>
      <c r="G42" s="123" t="s">
        <v>139</v>
      </c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Y42" s="290"/>
      <c r="AB42" s="24"/>
    </row>
    <row r="43" spans="1:28" ht="12" customHeight="1" x14ac:dyDescent="0.4">
      <c r="A43" s="139"/>
      <c r="B43" s="139"/>
      <c r="C43" s="139"/>
      <c r="D43" s="139"/>
      <c r="E43" s="139"/>
      <c r="F43" s="139"/>
      <c r="G43" s="139" t="s">
        <v>140</v>
      </c>
      <c r="H43" s="140"/>
      <c r="I43" s="141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Y43" s="289"/>
    </row>
    <row r="44" spans="1:28" ht="12" customHeight="1" x14ac:dyDescent="0.35">
      <c r="A44" s="293" t="s">
        <v>146</v>
      </c>
      <c r="B44" s="12">
        <v>89050</v>
      </c>
      <c r="C44" s="12" t="s">
        <v>50</v>
      </c>
      <c r="D44" s="12" t="s">
        <v>50</v>
      </c>
      <c r="E44" s="32" t="s">
        <v>147</v>
      </c>
      <c r="F44" s="12" t="s">
        <v>459</v>
      </c>
      <c r="G44" s="12" t="s">
        <v>392</v>
      </c>
      <c r="H44" s="12" t="s">
        <v>393</v>
      </c>
      <c r="I44" s="31" t="s">
        <v>112</v>
      </c>
      <c r="J44" s="8">
        <f>$L$20</f>
        <v>75501.600000000006</v>
      </c>
      <c r="K44" s="135">
        <v>0.95</v>
      </c>
      <c r="L44" s="8">
        <f>J44*K44</f>
        <v>71726.52</v>
      </c>
      <c r="M44" s="8">
        <f>$N$20</f>
        <v>156288.31200000001</v>
      </c>
      <c r="N44" s="8">
        <f>M44*K44</f>
        <v>148473.8964</v>
      </c>
      <c r="O44" s="8">
        <f>$P$20</f>
        <v>161758.40291999996</v>
      </c>
      <c r="P44" s="8">
        <f>O44*K44</f>
        <v>153670.48277399995</v>
      </c>
      <c r="Q44" s="8">
        <f>$R$20</f>
        <v>167419.94702219998</v>
      </c>
      <c r="R44" s="8">
        <f>Q44*K44</f>
        <v>159048.94967108997</v>
      </c>
      <c r="S44" s="8">
        <f>$T$20</f>
        <v>0</v>
      </c>
      <c r="T44" s="8">
        <f>S44*K44</f>
        <v>0</v>
      </c>
      <c r="U44" s="8">
        <f>L44+N44+P44+R44+T44</f>
        <v>532919.8488450899</v>
      </c>
      <c r="V44" s="8">
        <v>0</v>
      </c>
      <c r="W44" s="8">
        <f>SUM(U44:V44)</f>
        <v>532919.8488450899</v>
      </c>
    </row>
    <row r="45" spans="1:28" ht="12" customHeight="1" x14ac:dyDescent="0.35">
      <c r="A45" s="293" t="s">
        <v>146</v>
      </c>
      <c r="B45" s="12">
        <v>89050</v>
      </c>
      <c r="C45" s="12" t="s">
        <v>50</v>
      </c>
      <c r="D45" s="12" t="s">
        <v>50</v>
      </c>
      <c r="E45" s="32" t="s">
        <v>147</v>
      </c>
      <c r="F45" s="12" t="s">
        <v>459</v>
      </c>
      <c r="G45" s="12" t="s">
        <v>394</v>
      </c>
      <c r="H45" s="12" t="s">
        <v>393</v>
      </c>
      <c r="I45" s="31" t="s">
        <v>112</v>
      </c>
      <c r="J45" s="8">
        <f>L24</f>
        <v>180</v>
      </c>
      <c r="K45" s="135">
        <v>0.95</v>
      </c>
      <c r="L45" s="8">
        <f t="shared" ref="L45" si="27">J45*K45</f>
        <v>171</v>
      </c>
      <c r="M45" s="8">
        <f>N24</f>
        <v>189</v>
      </c>
      <c r="N45" s="8">
        <f t="shared" ref="N45" si="28">M45*K45</f>
        <v>179.54999999999998</v>
      </c>
      <c r="O45" s="8">
        <f>P24</f>
        <v>198.45000000000002</v>
      </c>
      <c r="P45" s="8">
        <f t="shared" ref="P45" si="29">O45*K45</f>
        <v>188.5275</v>
      </c>
      <c r="Q45" s="8">
        <f>R24</f>
        <v>208.37250000000003</v>
      </c>
      <c r="R45" s="8">
        <f t="shared" ref="R45" si="30">Q45*K45</f>
        <v>197.95387500000001</v>
      </c>
      <c r="S45" s="8">
        <f>$T$30</f>
        <v>0</v>
      </c>
      <c r="T45" s="8">
        <f t="shared" ref="T45" si="31">S45*K45</f>
        <v>0</v>
      </c>
      <c r="U45" s="8">
        <f t="shared" ref="U45" si="32">L45+N45+P45+R45+T45</f>
        <v>737.03137500000003</v>
      </c>
      <c r="V45" s="8">
        <v>0</v>
      </c>
      <c r="W45" s="8">
        <f t="shared" ref="W45" si="33">SUM(U45:V45)</f>
        <v>737.03137500000003</v>
      </c>
    </row>
    <row r="46" spans="1:28" ht="12" customHeight="1" x14ac:dyDescent="0.35">
      <c r="A46" s="293" t="s">
        <v>146</v>
      </c>
      <c r="B46" s="12">
        <v>89050</v>
      </c>
      <c r="C46" s="12" t="s">
        <v>50</v>
      </c>
      <c r="D46" s="12" t="s">
        <v>50</v>
      </c>
      <c r="E46" s="32" t="s">
        <v>147</v>
      </c>
      <c r="F46" s="12" t="s">
        <v>459</v>
      </c>
      <c r="G46" s="12" t="s">
        <v>395</v>
      </c>
      <c r="H46" s="12" t="s">
        <v>393</v>
      </c>
      <c r="I46" s="31" t="s">
        <v>112</v>
      </c>
      <c r="J46" s="8">
        <f>$L$30</f>
        <v>4500</v>
      </c>
      <c r="K46" s="135">
        <v>0.95</v>
      </c>
      <c r="L46" s="8">
        <f t="shared" ref="L46:L47" si="34">J46*K46</f>
        <v>4275</v>
      </c>
      <c r="M46" s="8">
        <f>$N$30</f>
        <v>1575</v>
      </c>
      <c r="N46" s="8">
        <f t="shared" ref="N46:N47" si="35">M46*K46</f>
        <v>1496.25</v>
      </c>
      <c r="O46" s="8">
        <f>$P$30</f>
        <v>1653.75</v>
      </c>
      <c r="P46" s="8">
        <f t="shared" ref="P46:P47" si="36">O46*K46</f>
        <v>1571.0625</v>
      </c>
      <c r="Q46" s="8">
        <f>$R$30</f>
        <v>1736.4375</v>
      </c>
      <c r="R46" s="8">
        <f t="shared" ref="R46:R47" si="37">Q46*K46</f>
        <v>1649.6156249999999</v>
      </c>
      <c r="S46" s="8">
        <v>0</v>
      </c>
      <c r="T46" s="8">
        <f t="shared" ref="T46:T47" si="38">S46*K46</f>
        <v>0</v>
      </c>
      <c r="U46" s="8">
        <f t="shared" ref="U46:U47" si="39">L46+N46+P46+R46+T46</f>
        <v>8991.9281250000004</v>
      </c>
      <c r="V46" s="8">
        <v>0</v>
      </c>
      <c r="W46" s="8">
        <f t="shared" ref="W46:W47" si="40">SUM(U46:V46)</f>
        <v>8991.9281250000004</v>
      </c>
    </row>
    <row r="47" spans="1:28" ht="12" customHeight="1" x14ac:dyDescent="0.35">
      <c r="A47" s="293" t="s">
        <v>146</v>
      </c>
      <c r="B47" s="12">
        <v>89050</v>
      </c>
      <c r="C47" s="12" t="s">
        <v>50</v>
      </c>
      <c r="D47" s="12" t="s">
        <v>50</v>
      </c>
      <c r="E47" s="32" t="s">
        <v>147</v>
      </c>
      <c r="F47" s="12" t="s">
        <v>459</v>
      </c>
      <c r="G47" s="12" t="s">
        <v>396</v>
      </c>
      <c r="H47" s="12" t="s">
        <v>393</v>
      </c>
      <c r="I47" s="31" t="s">
        <v>112</v>
      </c>
      <c r="J47" s="8">
        <f>$L$40</f>
        <v>8800</v>
      </c>
      <c r="K47" s="135">
        <v>0.95</v>
      </c>
      <c r="L47" s="8">
        <f t="shared" si="34"/>
        <v>8360</v>
      </c>
      <c r="M47" s="8">
        <f>$N$40</f>
        <v>16443</v>
      </c>
      <c r="N47" s="8">
        <f t="shared" si="35"/>
        <v>15620.849999999999</v>
      </c>
      <c r="O47" s="8">
        <f>$P$40</f>
        <v>17265.150000000001</v>
      </c>
      <c r="P47" s="8">
        <f t="shared" si="36"/>
        <v>16401.892500000002</v>
      </c>
      <c r="Q47" s="8">
        <f>$R$40</f>
        <v>18128.407500000001</v>
      </c>
      <c r="R47" s="8">
        <f t="shared" si="37"/>
        <v>17221.987125</v>
      </c>
      <c r="S47" s="8">
        <f>$T$40</f>
        <v>0</v>
      </c>
      <c r="T47" s="8">
        <f t="shared" si="38"/>
        <v>0</v>
      </c>
      <c r="U47" s="8">
        <f t="shared" si="39"/>
        <v>57604.729625</v>
      </c>
      <c r="V47" s="8">
        <v>0</v>
      </c>
      <c r="W47" s="8">
        <f t="shared" si="40"/>
        <v>57604.729625</v>
      </c>
    </row>
    <row r="48" spans="1:28" ht="12" customHeight="1" x14ac:dyDescent="0.35">
      <c r="A48" s="58"/>
      <c r="B48" s="58"/>
      <c r="C48" s="58"/>
      <c r="D48" s="58"/>
      <c r="E48" s="58"/>
      <c r="F48" s="58"/>
      <c r="G48" s="58" t="s">
        <v>460</v>
      </c>
      <c r="H48" s="72"/>
      <c r="I48" s="146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</row>
    <row r="49" spans="1:25" ht="10.199999999999999" x14ac:dyDescent="0.35">
      <c r="A49" s="293" t="s">
        <v>146</v>
      </c>
      <c r="B49" s="12">
        <v>89050</v>
      </c>
      <c r="C49" s="12" t="s">
        <v>50</v>
      </c>
      <c r="D49" s="12" t="s">
        <v>50</v>
      </c>
      <c r="E49" s="32" t="s">
        <v>147</v>
      </c>
      <c r="F49" s="12" t="s">
        <v>461</v>
      </c>
      <c r="G49" s="12" t="s">
        <v>462</v>
      </c>
      <c r="H49" s="12" t="s">
        <v>393</v>
      </c>
      <c r="I49" s="31" t="s">
        <v>84</v>
      </c>
      <c r="J49" s="8">
        <v>0</v>
      </c>
      <c r="K49" s="8">
        <v>30</v>
      </c>
      <c r="L49" s="8">
        <f>K49*J49</f>
        <v>0</v>
      </c>
      <c r="M49" s="8">
        <v>3</v>
      </c>
      <c r="N49" s="8">
        <f>M49*K49</f>
        <v>90</v>
      </c>
      <c r="O49" s="8">
        <v>3</v>
      </c>
      <c r="P49" s="8">
        <f>O49*K49</f>
        <v>90</v>
      </c>
      <c r="Q49" s="8">
        <v>2</v>
      </c>
      <c r="R49" s="8">
        <f>Q49*K49</f>
        <v>60</v>
      </c>
      <c r="S49" s="8">
        <v>0</v>
      </c>
      <c r="T49" s="8">
        <f>S49*K49</f>
        <v>0</v>
      </c>
      <c r="U49" s="8">
        <f>SUM(L49,N49,P49,R49,T49)</f>
        <v>240</v>
      </c>
      <c r="V49" s="8">
        <v>0</v>
      </c>
      <c r="W49" s="8">
        <f t="shared" ref="W49:W59" si="41">SUM(U49:V49)</f>
        <v>240</v>
      </c>
    </row>
    <row r="50" spans="1:25" ht="12" customHeight="1" x14ac:dyDescent="0.35">
      <c r="A50" s="293" t="s">
        <v>146</v>
      </c>
      <c r="B50" s="12">
        <v>89050</v>
      </c>
      <c r="C50" s="12" t="s">
        <v>50</v>
      </c>
      <c r="D50" s="12" t="s">
        <v>50</v>
      </c>
      <c r="E50" s="32" t="s">
        <v>147</v>
      </c>
      <c r="F50" s="12" t="s">
        <v>463</v>
      </c>
      <c r="G50" s="12" t="s">
        <v>464</v>
      </c>
      <c r="H50" s="12" t="s">
        <v>393</v>
      </c>
      <c r="I50" s="31" t="s">
        <v>112</v>
      </c>
      <c r="J50" s="8">
        <v>0</v>
      </c>
      <c r="K50" s="8">
        <v>500</v>
      </c>
      <c r="L50" s="8">
        <f>K50*J50</f>
        <v>0</v>
      </c>
      <c r="M50" s="8">
        <v>1</v>
      </c>
      <c r="N50" s="8">
        <f>M50*K50</f>
        <v>500</v>
      </c>
      <c r="O50" s="8">
        <v>1</v>
      </c>
      <c r="P50" s="8">
        <f t="shared" ref="P50:P59" si="42">O50*K50</f>
        <v>500</v>
      </c>
      <c r="Q50" s="8">
        <v>0</v>
      </c>
      <c r="R50" s="8">
        <f t="shared" ref="R50:R59" si="43">Q50*K50</f>
        <v>0</v>
      </c>
      <c r="S50" s="8">
        <v>0</v>
      </c>
      <c r="T50" s="8">
        <f t="shared" ref="T50:T59" si="44">S50*K50</f>
        <v>0</v>
      </c>
      <c r="U50" s="8">
        <f t="shared" ref="U50:U59" si="45">SUM(L50,N50,P50,R50,T50)</f>
        <v>1000</v>
      </c>
      <c r="V50" s="8">
        <v>0</v>
      </c>
      <c r="W50" s="8">
        <f t="shared" si="41"/>
        <v>1000</v>
      </c>
    </row>
    <row r="51" spans="1:25" ht="12" customHeight="1" x14ac:dyDescent="0.35">
      <c r="A51" s="293" t="s">
        <v>146</v>
      </c>
      <c r="B51" s="12">
        <v>89050</v>
      </c>
      <c r="C51" s="12" t="s">
        <v>50</v>
      </c>
      <c r="D51" s="12" t="s">
        <v>50</v>
      </c>
      <c r="E51" s="32" t="s">
        <v>147</v>
      </c>
      <c r="F51" s="163" t="s">
        <v>465</v>
      </c>
      <c r="G51" s="163" t="s">
        <v>466</v>
      </c>
      <c r="H51" s="12" t="s">
        <v>393</v>
      </c>
      <c r="I51" s="45" t="s">
        <v>53</v>
      </c>
      <c r="J51" s="8">
        <v>0</v>
      </c>
      <c r="K51" s="8">
        <v>3200</v>
      </c>
      <c r="L51" s="8">
        <f>J51*K51</f>
        <v>0</v>
      </c>
      <c r="M51" s="8">
        <v>3</v>
      </c>
      <c r="N51" s="8">
        <f>M51*K51</f>
        <v>9600</v>
      </c>
      <c r="O51" s="8">
        <v>3</v>
      </c>
      <c r="P51" s="8">
        <f>O51*K51</f>
        <v>9600</v>
      </c>
      <c r="Q51" s="8">
        <v>3</v>
      </c>
      <c r="R51" s="8">
        <f>Q51*K51</f>
        <v>9600</v>
      </c>
      <c r="S51" s="8">
        <v>0</v>
      </c>
      <c r="T51" s="8">
        <f>S51*K51</f>
        <v>0</v>
      </c>
      <c r="U51" s="8">
        <f>SUM(L51+N51+P51+R51+T51)</f>
        <v>28800</v>
      </c>
      <c r="V51" s="8">
        <v>0</v>
      </c>
      <c r="W51" s="8">
        <f>SUM(U51:V51)</f>
        <v>28800</v>
      </c>
    </row>
    <row r="52" spans="1:25" ht="10.199999999999999" x14ac:dyDescent="0.35">
      <c r="A52" s="293" t="s">
        <v>146</v>
      </c>
      <c r="B52" s="12">
        <v>89050</v>
      </c>
      <c r="C52" s="12" t="s">
        <v>50</v>
      </c>
      <c r="D52" s="12" t="s">
        <v>50</v>
      </c>
      <c r="E52" s="32" t="s">
        <v>147</v>
      </c>
      <c r="F52" s="12" t="s">
        <v>467</v>
      </c>
      <c r="G52" s="12" t="s">
        <v>468</v>
      </c>
      <c r="H52" s="12" t="s">
        <v>393</v>
      </c>
      <c r="I52" s="31" t="s">
        <v>180</v>
      </c>
      <c r="J52" s="8">
        <v>0</v>
      </c>
      <c r="K52" s="8">
        <v>500</v>
      </c>
      <c r="L52" s="8">
        <f t="shared" ref="L52:L59" si="46">K52*J52</f>
        <v>0</v>
      </c>
      <c r="M52" s="8">
        <v>3</v>
      </c>
      <c r="N52" s="8">
        <f t="shared" ref="N52:N59" si="47">M52*K52</f>
        <v>1500</v>
      </c>
      <c r="O52" s="8">
        <v>3</v>
      </c>
      <c r="P52" s="8">
        <f t="shared" si="42"/>
        <v>1500</v>
      </c>
      <c r="Q52" s="8">
        <v>3</v>
      </c>
      <c r="R52" s="8">
        <f t="shared" si="43"/>
        <v>1500</v>
      </c>
      <c r="S52" s="8">
        <v>0</v>
      </c>
      <c r="T52" s="8">
        <f t="shared" si="44"/>
        <v>0</v>
      </c>
      <c r="U52" s="8">
        <f t="shared" si="45"/>
        <v>4500</v>
      </c>
      <c r="V52" s="8">
        <v>0</v>
      </c>
      <c r="W52" s="8">
        <f t="shared" si="41"/>
        <v>4500</v>
      </c>
    </row>
    <row r="53" spans="1:25" ht="10.199999999999999" x14ac:dyDescent="0.35">
      <c r="A53" s="293" t="s">
        <v>146</v>
      </c>
      <c r="B53" s="12">
        <v>89050</v>
      </c>
      <c r="C53" s="12" t="s">
        <v>50</v>
      </c>
      <c r="D53" s="12" t="s">
        <v>50</v>
      </c>
      <c r="E53" s="32" t="s">
        <v>147</v>
      </c>
      <c r="F53" s="12" t="s">
        <v>469</v>
      </c>
      <c r="G53" s="12" t="s">
        <v>470</v>
      </c>
      <c r="H53" s="12" t="s">
        <v>393</v>
      </c>
      <c r="I53" s="31" t="s">
        <v>180</v>
      </c>
      <c r="J53" s="8">
        <v>0</v>
      </c>
      <c r="K53" s="8">
        <v>300</v>
      </c>
      <c r="L53" s="8">
        <f t="shared" si="46"/>
        <v>0</v>
      </c>
      <c r="M53" s="8">
        <v>3</v>
      </c>
      <c r="N53" s="8">
        <f t="shared" si="47"/>
        <v>900</v>
      </c>
      <c r="O53" s="8">
        <v>3</v>
      </c>
      <c r="P53" s="8">
        <f t="shared" si="42"/>
        <v>900</v>
      </c>
      <c r="Q53" s="8">
        <v>3</v>
      </c>
      <c r="R53" s="8">
        <f t="shared" si="43"/>
        <v>900</v>
      </c>
      <c r="S53" s="8">
        <v>0</v>
      </c>
      <c r="T53" s="8">
        <f t="shared" si="44"/>
        <v>0</v>
      </c>
      <c r="U53" s="8">
        <f t="shared" si="45"/>
        <v>2700</v>
      </c>
      <c r="V53" s="8">
        <v>0</v>
      </c>
      <c r="W53" s="8">
        <f t="shared" si="41"/>
        <v>2700</v>
      </c>
    </row>
    <row r="54" spans="1:25" ht="10.199999999999999" x14ac:dyDescent="0.35">
      <c r="A54" s="293" t="s">
        <v>146</v>
      </c>
      <c r="B54" s="12">
        <v>89050</v>
      </c>
      <c r="C54" s="12" t="s">
        <v>50</v>
      </c>
      <c r="D54" s="12" t="s">
        <v>50</v>
      </c>
      <c r="E54" s="32" t="s">
        <v>147</v>
      </c>
      <c r="F54" s="12" t="s">
        <v>471</v>
      </c>
      <c r="G54" s="12" t="s">
        <v>472</v>
      </c>
      <c r="H54" s="12" t="s">
        <v>393</v>
      </c>
      <c r="I54" s="31" t="s">
        <v>84</v>
      </c>
      <c r="J54" s="8">
        <v>0</v>
      </c>
      <c r="K54" s="8">
        <v>150</v>
      </c>
      <c r="L54" s="8">
        <f t="shared" si="46"/>
        <v>0</v>
      </c>
      <c r="M54" s="8">
        <v>9</v>
      </c>
      <c r="N54" s="8">
        <f t="shared" si="47"/>
        <v>1350</v>
      </c>
      <c r="O54" s="8">
        <v>9</v>
      </c>
      <c r="P54" s="8">
        <f t="shared" si="42"/>
        <v>1350</v>
      </c>
      <c r="Q54" s="8">
        <v>9</v>
      </c>
      <c r="R54" s="8">
        <f t="shared" si="43"/>
        <v>1350</v>
      </c>
      <c r="S54" s="8">
        <v>0</v>
      </c>
      <c r="T54" s="8">
        <f t="shared" si="44"/>
        <v>0</v>
      </c>
      <c r="U54" s="8">
        <f t="shared" si="45"/>
        <v>4050</v>
      </c>
      <c r="V54" s="8">
        <v>0</v>
      </c>
      <c r="W54" s="8">
        <f t="shared" si="41"/>
        <v>4050</v>
      </c>
    </row>
    <row r="55" spans="1:25" ht="10.199999999999999" x14ac:dyDescent="0.35">
      <c r="A55" s="293" t="s">
        <v>146</v>
      </c>
      <c r="B55" s="12">
        <v>89050</v>
      </c>
      <c r="C55" s="12" t="s">
        <v>50</v>
      </c>
      <c r="D55" s="12" t="s">
        <v>50</v>
      </c>
      <c r="E55" s="32" t="s">
        <v>147</v>
      </c>
      <c r="F55" s="12" t="s">
        <v>473</v>
      </c>
      <c r="G55" s="12" t="s">
        <v>474</v>
      </c>
      <c r="H55" s="12" t="s">
        <v>393</v>
      </c>
      <c r="I55" s="31" t="s">
        <v>84</v>
      </c>
      <c r="J55" s="8">
        <v>0</v>
      </c>
      <c r="K55" s="8">
        <v>110</v>
      </c>
      <c r="L55" s="8">
        <f t="shared" si="46"/>
        <v>0</v>
      </c>
      <c r="M55" s="8">
        <v>9</v>
      </c>
      <c r="N55" s="8">
        <f t="shared" si="47"/>
        <v>990</v>
      </c>
      <c r="O55" s="8">
        <v>9</v>
      </c>
      <c r="P55" s="8">
        <f t="shared" si="42"/>
        <v>990</v>
      </c>
      <c r="Q55" s="8">
        <v>9</v>
      </c>
      <c r="R55" s="8">
        <f t="shared" si="43"/>
        <v>990</v>
      </c>
      <c r="S55" s="8">
        <v>0</v>
      </c>
      <c r="T55" s="8">
        <f t="shared" si="44"/>
        <v>0</v>
      </c>
      <c r="U55" s="8">
        <f t="shared" si="45"/>
        <v>2970</v>
      </c>
      <c r="V55" s="8">
        <v>0</v>
      </c>
      <c r="W55" s="8">
        <f t="shared" si="41"/>
        <v>2970</v>
      </c>
    </row>
    <row r="56" spans="1:25" ht="10.199999999999999" x14ac:dyDescent="0.35">
      <c r="A56" s="293" t="s">
        <v>146</v>
      </c>
      <c r="B56" s="12">
        <v>89050</v>
      </c>
      <c r="C56" s="12" t="s">
        <v>50</v>
      </c>
      <c r="D56" s="12" t="s">
        <v>50</v>
      </c>
      <c r="E56" s="32" t="s">
        <v>147</v>
      </c>
      <c r="F56" s="12" t="s">
        <v>475</v>
      </c>
      <c r="G56" s="12" t="s">
        <v>476</v>
      </c>
      <c r="H56" s="12" t="s">
        <v>393</v>
      </c>
      <c r="I56" s="31" t="s">
        <v>112</v>
      </c>
      <c r="J56" s="8">
        <v>0</v>
      </c>
      <c r="K56" s="8">
        <v>8000</v>
      </c>
      <c r="L56" s="8">
        <f t="shared" si="46"/>
        <v>0</v>
      </c>
      <c r="M56" s="8">
        <v>1</v>
      </c>
      <c r="N56" s="8">
        <f t="shared" si="47"/>
        <v>8000</v>
      </c>
      <c r="O56" s="8">
        <v>1</v>
      </c>
      <c r="P56" s="8">
        <f t="shared" si="42"/>
        <v>8000</v>
      </c>
      <c r="Q56" s="8">
        <v>1</v>
      </c>
      <c r="R56" s="8">
        <f t="shared" si="43"/>
        <v>8000</v>
      </c>
      <c r="S56" s="8">
        <v>0</v>
      </c>
      <c r="T56" s="8">
        <f t="shared" si="44"/>
        <v>0</v>
      </c>
      <c r="U56" s="8">
        <f t="shared" si="45"/>
        <v>24000</v>
      </c>
      <c r="V56" s="8">
        <v>0</v>
      </c>
      <c r="W56" s="8">
        <f t="shared" si="41"/>
        <v>24000</v>
      </c>
    </row>
    <row r="57" spans="1:25" ht="10.199999999999999" x14ac:dyDescent="0.35">
      <c r="A57" s="293" t="s">
        <v>146</v>
      </c>
      <c r="B57" s="12">
        <v>89050</v>
      </c>
      <c r="C57" s="12" t="s">
        <v>50</v>
      </c>
      <c r="D57" s="12" t="s">
        <v>50</v>
      </c>
      <c r="E57" s="32" t="s">
        <v>147</v>
      </c>
      <c r="F57" s="12" t="s">
        <v>477</v>
      </c>
      <c r="G57" s="12" t="s">
        <v>478</v>
      </c>
      <c r="H57" s="12" t="s">
        <v>393</v>
      </c>
      <c r="I57" s="31" t="s">
        <v>187</v>
      </c>
      <c r="J57" s="8">
        <v>0</v>
      </c>
      <c r="K57" s="8">
        <v>2000</v>
      </c>
      <c r="L57" s="8">
        <f t="shared" si="46"/>
        <v>0</v>
      </c>
      <c r="M57" s="8">
        <v>1</v>
      </c>
      <c r="N57" s="8">
        <f t="shared" si="47"/>
        <v>2000</v>
      </c>
      <c r="O57" s="8">
        <v>1</v>
      </c>
      <c r="P57" s="8">
        <f t="shared" si="42"/>
        <v>2000</v>
      </c>
      <c r="Q57" s="8">
        <v>1</v>
      </c>
      <c r="R57" s="8">
        <f t="shared" si="43"/>
        <v>2000</v>
      </c>
      <c r="S57" s="8">
        <v>0</v>
      </c>
      <c r="T57" s="8">
        <f>S57*K57</f>
        <v>0</v>
      </c>
      <c r="U57" s="8">
        <f t="shared" si="45"/>
        <v>6000</v>
      </c>
      <c r="V57" s="8">
        <v>0</v>
      </c>
      <c r="W57" s="8">
        <f t="shared" si="41"/>
        <v>6000</v>
      </c>
    </row>
    <row r="58" spans="1:25" ht="10.199999999999999" x14ac:dyDescent="0.35">
      <c r="A58" s="293" t="s">
        <v>146</v>
      </c>
      <c r="B58" s="12">
        <v>89050</v>
      </c>
      <c r="C58" s="12" t="s">
        <v>50</v>
      </c>
      <c r="D58" s="12" t="s">
        <v>50</v>
      </c>
      <c r="E58" s="32" t="s">
        <v>147</v>
      </c>
      <c r="F58" s="12" t="s">
        <v>479</v>
      </c>
      <c r="G58" s="12" t="s">
        <v>480</v>
      </c>
      <c r="H58" s="12" t="s">
        <v>393</v>
      </c>
      <c r="I58" s="31" t="s">
        <v>112</v>
      </c>
      <c r="J58" s="8">
        <v>0</v>
      </c>
      <c r="K58" s="8">
        <v>800</v>
      </c>
      <c r="L58" s="8">
        <f t="shared" si="46"/>
        <v>0</v>
      </c>
      <c r="M58" s="8">
        <v>1</v>
      </c>
      <c r="N58" s="8">
        <f t="shared" si="47"/>
        <v>800</v>
      </c>
      <c r="O58" s="8">
        <v>1</v>
      </c>
      <c r="P58" s="8">
        <f t="shared" si="42"/>
        <v>800</v>
      </c>
      <c r="Q58" s="8">
        <v>1</v>
      </c>
      <c r="R58" s="8">
        <f t="shared" si="43"/>
        <v>800</v>
      </c>
      <c r="S58" s="8">
        <v>0</v>
      </c>
      <c r="T58" s="8">
        <f t="shared" si="44"/>
        <v>0</v>
      </c>
      <c r="U58" s="8">
        <f t="shared" si="45"/>
        <v>2400</v>
      </c>
      <c r="V58" s="8">
        <v>0</v>
      </c>
      <c r="W58" s="8">
        <f t="shared" si="41"/>
        <v>2400</v>
      </c>
    </row>
    <row r="59" spans="1:25" ht="10.199999999999999" x14ac:dyDescent="0.35">
      <c r="A59" s="293" t="s">
        <v>146</v>
      </c>
      <c r="B59" s="12">
        <v>89050</v>
      </c>
      <c r="C59" s="12" t="s">
        <v>50</v>
      </c>
      <c r="D59" s="12" t="s">
        <v>50</v>
      </c>
      <c r="E59" s="32" t="s">
        <v>147</v>
      </c>
      <c r="F59" s="12" t="s">
        <v>481</v>
      </c>
      <c r="G59" s="12" t="s">
        <v>482</v>
      </c>
      <c r="H59" s="12" t="s">
        <v>393</v>
      </c>
      <c r="I59" s="31" t="s">
        <v>112</v>
      </c>
      <c r="J59" s="8">
        <v>0</v>
      </c>
      <c r="K59" s="8">
        <v>1000</v>
      </c>
      <c r="L59" s="8">
        <f t="shared" si="46"/>
        <v>0</v>
      </c>
      <c r="M59" s="8">
        <v>5</v>
      </c>
      <c r="N59" s="8">
        <f t="shared" si="47"/>
        <v>5000</v>
      </c>
      <c r="O59" s="8">
        <v>2</v>
      </c>
      <c r="P59" s="8">
        <f t="shared" si="42"/>
        <v>2000</v>
      </c>
      <c r="Q59" s="8">
        <v>1</v>
      </c>
      <c r="R59" s="8">
        <f t="shared" si="43"/>
        <v>1000</v>
      </c>
      <c r="S59" s="8">
        <v>0</v>
      </c>
      <c r="T59" s="8">
        <f t="shared" si="44"/>
        <v>0</v>
      </c>
      <c r="U59" s="8">
        <f t="shared" si="45"/>
        <v>8000</v>
      </c>
      <c r="V59" s="8">
        <v>0</v>
      </c>
      <c r="W59" s="8">
        <f t="shared" si="41"/>
        <v>8000</v>
      </c>
    </row>
    <row r="60" spans="1:25" ht="12" customHeight="1" x14ac:dyDescent="0.35">
      <c r="A60" s="12"/>
      <c r="B60" s="12"/>
      <c r="C60" s="12"/>
      <c r="D60" s="12"/>
      <c r="E60" s="12"/>
      <c r="F60" s="12"/>
      <c r="G60" s="12"/>
      <c r="H60" s="12"/>
      <c r="I60" s="32"/>
    </row>
    <row r="61" spans="1:25" ht="12" customHeight="1" thickBot="1" x14ac:dyDescent="0.45">
      <c r="A61" s="18"/>
      <c r="B61" s="18"/>
      <c r="C61" s="18"/>
      <c r="D61" s="18"/>
      <c r="E61" s="18"/>
      <c r="F61" s="18"/>
      <c r="G61" s="18" t="s">
        <v>412</v>
      </c>
      <c r="H61" s="18"/>
      <c r="I61" s="18"/>
      <c r="J61" s="25"/>
      <c r="K61" s="25"/>
      <c r="L61" s="30">
        <f>SUM(L44:L59)</f>
        <v>84532.52</v>
      </c>
      <c r="M61" s="30"/>
      <c r="N61" s="30">
        <f>SUM(N44:N59)</f>
        <v>196500.54639999999</v>
      </c>
      <c r="O61" s="30"/>
      <c r="P61" s="30">
        <f>SUM(P44:P59)</f>
        <v>199561.96527399996</v>
      </c>
      <c r="Q61" s="30"/>
      <c r="R61" s="30">
        <f>SUM(R44:R59)</f>
        <v>204318.50629608997</v>
      </c>
      <c r="S61" s="30"/>
      <c r="T61" s="30">
        <f>SUM(T44:T59)</f>
        <v>0</v>
      </c>
      <c r="U61" s="30">
        <f>SUM(U44:U59)</f>
        <v>684913.53797008994</v>
      </c>
      <c r="V61" s="30">
        <f>SUM(V44:V59)</f>
        <v>0</v>
      </c>
      <c r="W61" s="30">
        <f>SUM(U61:V61)</f>
        <v>684913.53797008994</v>
      </c>
      <c r="Y61" s="291"/>
    </row>
    <row r="62" spans="1:25" ht="12" customHeight="1" x14ac:dyDescent="0.35">
      <c r="A62" s="12"/>
      <c r="B62" s="12"/>
      <c r="C62" s="12"/>
      <c r="D62" s="12"/>
      <c r="E62" s="12"/>
      <c r="F62" s="12"/>
      <c r="G62" s="12"/>
      <c r="H62" s="12"/>
      <c r="I62" s="32"/>
    </row>
    <row r="63" spans="1:25" ht="12" customHeight="1" x14ac:dyDescent="0.4">
      <c r="A63" s="293" t="s">
        <v>146</v>
      </c>
      <c r="B63" s="12">
        <v>89050</v>
      </c>
      <c r="C63" s="12" t="s">
        <v>50</v>
      </c>
      <c r="D63" s="12" t="s">
        <v>50</v>
      </c>
      <c r="E63" s="32" t="s">
        <v>147</v>
      </c>
      <c r="F63" s="260" t="s">
        <v>483</v>
      </c>
      <c r="G63" s="4" t="s">
        <v>414</v>
      </c>
      <c r="H63" s="1" t="s">
        <v>330</v>
      </c>
      <c r="I63" s="3"/>
      <c r="J63" s="3"/>
      <c r="K63" s="26">
        <v>0.1</v>
      </c>
      <c r="L63" s="44">
        <f>(L61)*K63</f>
        <v>8453.2520000000004</v>
      </c>
      <c r="M63" s="44"/>
      <c r="N63" s="44">
        <f>(N61)*K63</f>
        <v>19650.054640000002</v>
      </c>
      <c r="O63" s="44"/>
      <c r="P63" s="44">
        <f>(P61)*K63</f>
        <v>19956.196527399996</v>
      </c>
      <c r="R63" s="44">
        <f>(R61)*K63</f>
        <v>20431.850629608998</v>
      </c>
      <c r="T63" s="44">
        <f>(T61)*K63</f>
        <v>0</v>
      </c>
      <c r="U63" s="44">
        <f>SUM(L63+N63+P63+R63+T63)</f>
        <v>68491.353797008996</v>
      </c>
      <c r="V63" s="44">
        <v>0</v>
      </c>
      <c r="W63" s="44">
        <f>SUM(U63:V63)</f>
        <v>68491.353797008996</v>
      </c>
      <c r="Y63" s="289"/>
    </row>
    <row r="64" spans="1:25" ht="12" customHeight="1" x14ac:dyDescent="0.35">
      <c r="A64" s="12"/>
      <c r="B64" s="12"/>
      <c r="C64" s="12"/>
      <c r="D64" s="12"/>
      <c r="E64" s="12"/>
      <c r="F64" s="12"/>
      <c r="G64" s="12"/>
      <c r="H64" s="12"/>
      <c r="I64" s="32"/>
    </row>
    <row r="65" spans="1:28" ht="12" customHeight="1" thickBot="1" x14ac:dyDescent="0.45">
      <c r="A65" s="18"/>
      <c r="B65" s="18"/>
      <c r="C65" s="18"/>
      <c r="D65" s="18"/>
      <c r="E65" s="18"/>
      <c r="F65" s="18"/>
      <c r="G65" s="18" t="s">
        <v>251</v>
      </c>
      <c r="H65" s="18"/>
      <c r="I65" s="18"/>
      <c r="J65" s="25"/>
      <c r="K65" s="25"/>
      <c r="L65" s="30">
        <f>SUM(L61:L63)</f>
        <v>92985.771999999997</v>
      </c>
      <c r="M65" s="30"/>
      <c r="N65" s="30">
        <f>SUM(N61:N63)</f>
        <v>216150.60103999998</v>
      </c>
      <c r="O65" s="30"/>
      <c r="P65" s="30">
        <f>SUM(P61:P63)</f>
        <v>219518.16180139995</v>
      </c>
      <c r="Q65" s="30"/>
      <c r="R65" s="30">
        <f>SUM(R61:R63)</f>
        <v>224750.35692569896</v>
      </c>
      <c r="S65" s="30"/>
      <c r="T65" s="30">
        <f>SUM(T61:T63)</f>
        <v>0</v>
      </c>
      <c r="U65" s="30">
        <f>L65+N65+P65+R65+T65</f>
        <v>753404.8917670988</v>
      </c>
      <c r="V65" s="30">
        <f>V63</f>
        <v>0</v>
      </c>
      <c r="W65" s="30">
        <f>SUM(U65:V65)</f>
        <v>753404.8917670988</v>
      </c>
      <c r="Y65" s="291"/>
    </row>
    <row r="66" spans="1:28" ht="12" customHeight="1" x14ac:dyDescent="0.4">
      <c r="A66" s="123"/>
      <c r="B66" s="123"/>
      <c r="C66" s="123"/>
      <c r="D66" s="123"/>
      <c r="E66" s="123"/>
      <c r="F66" s="123"/>
      <c r="G66" s="123" t="s">
        <v>287</v>
      </c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Y66" s="290"/>
      <c r="AB66" s="24"/>
    </row>
    <row r="67" spans="1:28" ht="12" customHeight="1" x14ac:dyDescent="0.4">
      <c r="A67" s="139"/>
      <c r="B67" s="139"/>
      <c r="C67" s="139"/>
      <c r="D67" s="139"/>
      <c r="E67" s="139"/>
      <c r="F67" s="139"/>
      <c r="G67" s="139" t="s">
        <v>140</v>
      </c>
      <c r="H67" s="140"/>
      <c r="I67" s="141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Y67" s="289"/>
    </row>
    <row r="68" spans="1:28" ht="12" customHeight="1" x14ac:dyDescent="0.35">
      <c r="A68" s="12" t="s">
        <v>323</v>
      </c>
      <c r="B68" s="12">
        <v>89050</v>
      </c>
      <c r="C68" s="12" t="s">
        <v>50</v>
      </c>
      <c r="D68" s="12" t="s">
        <v>50</v>
      </c>
      <c r="E68" s="32" t="s">
        <v>147</v>
      </c>
      <c r="F68" s="12" t="s">
        <v>459</v>
      </c>
      <c r="G68" s="12" t="s">
        <v>415</v>
      </c>
      <c r="H68" s="12" t="s">
        <v>314</v>
      </c>
      <c r="I68" s="31" t="s">
        <v>112</v>
      </c>
      <c r="J68" s="8">
        <f>$L$20</f>
        <v>75501.600000000006</v>
      </c>
      <c r="K68" s="135">
        <v>0.05</v>
      </c>
      <c r="L68" s="8">
        <f t="shared" ref="L68:L72" si="48">J68*K68</f>
        <v>3775.0800000000004</v>
      </c>
      <c r="M68" s="8">
        <f>$N$20</f>
        <v>156288.31200000001</v>
      </c>
      <c r="N68" s="8">
        <f t="shared" ref="N68:N72" si="49">M68*K68</f>
        <v>7814.4156000000003</v>
      </c>
      <c r="O68" s="8">
        <f>$P$20</f>
        <v>161758.40291999996</v>
      </c>
      <c r="P68" s="8">
        <f t="shared" ref="P68:P72" si="50">O68*K68</f>
        <v>8087.9201459999986</v>
      </c>
      <c r="Q68" s="8">
        <f>$R$20</f>
        <v>167419.94702219998</v>
      </c>
      <c r="R68" s="8">
        <f t="shared" ref="R68:R72" si="51">Q68*K68</f>
        <v>8370.9973511099997</v>
      </c>
      <c r="S68" s="8">
        <f>$T$20</f>
        <v>0</v>
      </c>
      <c r="T68" s="8">
        <f t="shared" ref="T68:T72" si="52">S68*K68</f>
        <v>0</v>
      </c>
      <c r="U68" s="8">
        <f t="shared" ref="U68:U72" si="53">L68+N68+P68+R68+T68</f>
        <v>28048.413097109998</v>
      </c>
      <c r="V68" s="8">
        <v>0</v>
      </c>
      <c r="W68" s="8">
        <f t="shared" ref="W68:W72" si="54">SUM(U68:V68)</f>
        <v>28048.413097109998</v>
      </c>
    </row>
    <row r="69" spans="1:28" ht="12" customHeight="1" x14ac:dyDescent="0.35">
      <c r="A69" s="12" t="s">
        <v>323</v>
      </c>
      <c r="B69" s="12">
        <v>89050</v>
      </c>
      <c r="C69" s="12" t="s">
        <v>50</v>
      </c>
      <c r="D69" s="12" t="s">
        <v>50</v>
      </c>
      <c r="E69" s="32" t="s">
        <v>147</v>
      </c>
      <c r="F69" s="12" t="s">
        <v>459</v>
      </c>
      <c r="G69" s="12" t="s">
        <v>416</v>
      </c>
      <c r="H69" s="12" t="s">
        <v>393</v>
      </c>
      <c r="I69" s="31" t="s">
        <v>112</v>
      </c>
      <c r="J69" s="8">
        <f>L24</f>
        <v>180</v>
      </c>
      <c r="K69" s="135">
        <v>0.05</v>
      </c>
      <c r="L69" s="8">
        <f t="shared" si="48"/>
        <v>9</v>
      </c>
      <c r="M69" s="8">
        <f>N24</f>
        <v>189</v>
      </c>
      <c r="N69" s="8">
        <f t="shared" si="49"/>
        <v>9.4500000000000011</v>
      </c>
      <c r="O69" s="8">
        <f>P24</f>
        <v>198.45000000000002</v>
      </c>
      <c r="P69" s="8">
        <f t="shared" si="50"/>
        <v>9.9225000000000012</v>
      </c>
      <c r="Q69" s="8">
        <f>R24</f>
        <v>208.37250000000003</v>
      </c>
      <c r="R69" s="8">
        <f t="shared" si="51"/>
        <v>10.418625000000002</v>
      </c>
      <c r="S69" s="8">
        <f>$T$30</f>
        <v>0</v>
      </c>
      <c r="T69" s="8">
        <f t="shared" si="52"/>
        <v>0</v>
      </c>
      <c r="U69" s="8">
        <f t="shared" si="53"/>
        <v>38.791125000000008</v>
      </c>
      <c r="V69" s="8">
        <v>0</v>
      </c>
      <c r="W69" s="8">
        <f t="shared" si="54"/>
        <v>38.791125000000008</v>
      </c>
    </row>
    <row r="70" spans="1:28" ht="12" customHeight="1" x14ac:dyDescent="0.35">
      <c r="A70" s="12" t="s">
        <v>323</v>
      </c>
      <c r="B70" s="12">
        <v>89050</v>
      </c>
      <c r="C70" s="12" t="s">
        <v>50</v>
      </c>
      <c r="D70" s="12" t="s">
        <v>50</v>
      </c>
      <c r="E70" s="32" t="s">
        <v>147</v>
      </c>
      <c r="F70" s="12" t="s">
        <v>459</v>
      </c>
      <c r="G70" s="12" t="s">
        <v>417</v>
      </c>
      <c r="H70" s="12" t="s">
        <v>314</v>
      </c>
      <c r="I70" s="31" t="s">
        <v>112</v>
      </c>
      <c r="J70" s="8">
        <f>$L$30</f>
        <v>4500</v>
      </c>
      <c r="K70" s="135">
        <v>0.05</v>
      </c>
      <c r="L70" s="8">
        <f t="shared" si="48"/>
        <v>225</v>
      </c>
      <c r="M70" s="8">
        <f>$N$30</f>
        <v>1575</v>
      </c>
      <c r="N70" s="8">
        <f t="shared" si="49"/>
        <v>78.75</v>
      </c>
      <c r="O70" s="8">
        <f>$P$30</f>
        <v>1653.75</v>
      </c>
      <c r="P70" s="8">
        <f t="shared" si="50"/>
        <v>82.6875</v>
      </c>
      <c r="Q70" s="8">
        <f>$R$30</f>
        <v>1736.4375</v>
      </c>
      <c r="R70" s="8">
        <f t="shared" si="51"/>
        <v>86.821875000000006</v>
      </c>
      <c r="S70" s="8">
        <v>0</v>
      </c>
      <c r="T70" s="8">
        <f t="shared" si="52"/>
        <v>0</v>
      </c>
      <c r="U70" s="8">
        <f t="shared" si="53"/>
        <v>473.25937499999998</v>
      </c>
      <c r="V70" s="8">
        <v>0</v>
      </c>
      <c r="W70" s="8">
        <f t="shared" si="54"/>
        <v>473.25937499999998</v>
      </c>
    </row>
    <row r="71" spans="1:28" ht="12" customHeight="1" x14ac:dyDescent="0.35">
      <c r="A71" s="12" t="s">
        <v>323</v>
      </c>
      <c r="B71" s="12">
        <v>89050</v>
      </c>
      <c r="C71" s="12" t="s">
        <v>50</v>
      </c>
      <c r="D71" s="12" t="s">
        <v>50</v>
      </c>
      <c r="E71" s="32" t="s">
        <v>147</v>
      </c>
      <c r="F71" s="12" t="s">
        <v>459</v>
      </c>
      <c r="G71" s="12" t="s">
        <v>418</v>
      </c>
      <c r="H71" s="12" t="s">
        <v>314</v>
      </c>
      <c r="I71" s="31" t="s">
        <v>112</v>
      </c>
      <c r="J71" s="8">
        <f>$L$40</f>
        <v>8800</v>
      </c>
      <c r="K71" s="26">
        <v>0.05</v>
      </c>
      <c r="L71" s="8">
        <f t="shared" si="48"/>
        <v>440</v>
      </c>
      <c r="M71" s="8">
        <f>$N$40</f>
        <v>16443</v>
      </c>
      <c r="N71" s="8">
        <f t="shared" si="49"/>
        <v>822.15000000000009</v>
      </c>
      <c r="O71" s="8">
        <f>$P$40</f>
        <v>17265.150000000001</v>
      </c>
      <c r="P71" s="8">
        <f t="shared" si="50"/>
        <v>863.25750000000016</v>
      </c>
      <c r="Q71" s="8">
        <f>$R$40</f>
        <v>18128.407500000001</v>
      </c>
      <c r="R71" s="8">
        <f t="shared" si="51"/>
        <v>906.42037500000015</v>
      </c>
      <c r="S71" s="8">
        <v>0</v>
      </c>
      <c r="T71" s="8">
        <f t="shared" si="52"/>
        <v>0</v>
      </c>
      <c r="U71" s="8">
        <f t="shared" si="53"/>
        <v>3031.8278750000004</v>
      </c>
      <c r="V71" s="8">
        <v>0</v>
      </c>
      <c r="W71" s="8">
        <f t="shared" si="54"/>
        <v>3031.8278750000004</v>
      </c>
    </row>
    <row r="72" spans="1:28" ht="12" customHeight="1" x14ac:dyDescent="0.35">
      <c r="A72" s="58"/>
      <c r="B72" s="58"/>
      <c r="C72" s="58"/>
      <c r="D72" s="58"/>
      <c r="E72" s="58"/>
      <c r="F72" s="58"/>
      <c r="G72" s="58" t="s">
        <v>484</v>
      </c>
      <c r="H72" s="72" t="s">
        <v>314</v>
      </c>
      <c r="I72" s="146" t="s">
        <v>112</v>
      </c>
      <c r="J72" s="68">
        <v>0</v>
      </c>
      <c r="K72" s="68">
        <v>0</v>
      </c>
      <c r="L72" s="68">
        <f t="shared" si="48"/>
        <v>0</v>
      </c>
      <c r="M72" s="68">
        <v>0</v>
      </c>
      <c r="N72" s="68">
        <f t="shared" si="49"/>
        <v>0</v>
      </c>
      <c r="O72" s="68">
        <v>0</v>
      </c>
      <c r="P72" s="68">
        <f t="shared" si="50"/>
        <v>0</v>
      </c>
      <c r="Q72" s="68">
        <v>0</v>
      </c>
      <c r="R72" s="68">
        <f t="shared" si="51"/>
        <v>0</v>
      </c>
      <c r="S72" s="68"/>
      <c r="T72" s="68">
        <f t="shared" si="52"/>
        <v>0</v>
      </c>
      <c r="U72" s="68">
        <f t="shared" si="53"/>
        <v>0</v>
      </c>
      <c r="V72" s="68">
        <v>0</v>
      </c>
      <c r="W72" s="68">
        <f t="shared" si="54"/>
        <v>0</v>
      </c>
    </row>
    <row r="73" spans="1:28" ht="12" customHeight="1" x14ac:dyDescent="0.35">
      <c r="A73" s="12" t="s">
        <v>323</v>
      </c>
      <c r="B73" s="12">
        <v>89050</v>
      </c>
      <c r="C73" s="12" t="s">
        <v>50</v>
      </c>
      <c r="D73" s="12" t="s">
        <v>50</v>
      </c>
      <c r="E73" s="32" t="s">
        <v>147</v>
      </c>
      <c r="F73" s="260" t="s">
        <v>485</v>
      </c>
      <c r="G73" s="12" t="s">
        <v>313</v>
      </c>
      <c r="H73" s="12" t="s">
        <v>314</v>
      </c>
      <c r="I73" s="31" t="s">
        <v>112</v>
      </c>
      <c r="J73" s="8">
        <v>0</v>
      </c>
      <c r="K73" s="27">
        <v>110</v>
      </c>
      <c r="L73" s="8">
        <f>K73*J73</f>
        <v>0</v>
      </c>
      <c r="M73" s="27">
        <v>6</v>
      </c>
      <c r="N73" s="17">
        <f>M73*K73</f>
        <v>660</v>
      </c>
      <c r="O73" s="27">
        <v>10</v>
      </c>
      <c r="P73" s="17">
        <f>O73*K73</f>
        <v>1100</v>
      </c>
      <c r="Q73" s="27">
        <v>10</v>
      </c>
      <c r="R73" s="27">
        <f>Q73*K73</f>
        <v>1100</v>
      </c>
      <c r="S73" s="8">
        <v>0</v>
      </c>
      <c r="T73" s="8">
        <f>S73*K73</f>
        <v>0</v>
      </c>
      <c r="U73" s="17">
        <f>SUM(L73,N73,P73,R73,T73)</f>
        <v>2860</v>
      </c>
      <c r="V73" s="27" t="s">
        <v>299</v>
      </c>
      <c r="W73" s="17">
        <f>SUM(U73:V73)</f>
        <v>2860</v>
      </c>
    </row>
    <row r="74" spans="1:28" ht="12" customHeight="1" x14ac:dyDescent="0.35">
      <c r="A74" s="12" t="s">
        <v>323</v>
      </c>
      <c r="B74" s="12">
        <v>89050</v>
      </c>
      <c r="C74" s="12" t="s">
        <v>50</v>
      </c>
      <c r="D74" s="12" t="s">
        <v>50</v>
      </c>
      <c r="E74" s="32" t="s">
        <v>147</v>
      </c>
      <c r="F74" s="260" t="s">
        <v>486</v>
      </c>
      <c r="G74" s="12" t="s">
        <v>316</v>
      </c>
      <c r="H74" s="12" t="s">
        <v>314</v>
      </c>
      <c r="I74" s="31" t="s">
        <v>112</v>
      </c>
      <c r="J74" s="8">
        <v>0</v>
      </c>
      <c r="K74" s="27">
        <v>25</v>
      </c>
      <c r="L74" s="8">
        <f t="shared" ref="L74:L75" si="55">K74*J74</f>
        <v>0</v>
      </c>
      <c r="M74" s="27">
        <v>6</v>
      </c>
      <c r="N74" s="17">
        <f t="shared" ref="N74:N75" si="56">M74*K74</f>
        <v>150</v>
      </c>
      <c r="O74" s="27">
        <v>10</v>
      </c>
      <c r="P74" s="17">
        <f t="shared" ref="P74:P75" si="57">O74*K74</f>
        <v>250</v>
      </c>
      <c r="Q74" s="27">
        <v>10</v>
      </c>
      <c r="R74" s="27">
        <f t="shared" ref="R74:R75" si="58">Q74*K74</f>
        <v>250</v>
      </c>
      <c r="S74" s="8">
        <v>0</v>
      </c>
      <c r="T74" s="8">
        <f t="shared" ref="T74:T75" si="59">S74*K74</f>
        <v>0</v>
      </c>
      <c r="U74" s="17">
        <f t="shared" ref="U74:U75" si="60">SUM(L74,N74,P74,R74,T74)</f>
        <v>650</v>
      </c>
      <c r="V74" s="27" t="s">
        <v>299</v>
      </c>
      <c r="W74" s="17">
        <f t="shared" ref="W74:W75" si="61">SUM(U74:V74)</f>
        <v>650</v>
      </c>
    </row>
    <row r="75" spans="1:28" ht="12" customHeight="1" x14ac:dyDescent="0.35">
      <c r="A75" s="12" t="s">
        <v>323</v>
      </c>
      <c r="B75" s="12">
        <v>89050</v>
      </c>
      <c r="C75" s="12" t="s">
        <v>50</v>
      </c>
      <c r="D75" s="12" t="s">
        <v>50</v>
      </c>
      <c r="E75" s="32" t="s">
        <v>147</v>
      </c>
      <c r="F75" s="260" t="s">
        <v>487</v>
      </c>
      <c r="G75" s="12" t="s">
        <v>319</v>
      </c>
      <c r="H75" s="12" t="s">
        <v>314</v>
      </c>
      <c r="I75" s="31" t="s">
        <v>112</v>
      </c>
      <c r="J75" s="8">
        <v>0</v>
      </c>
      <c r="K75" s="27">
        <v>150</v>
      </c>
      <c r="L75" s="8">
        <f t="shared" si="55"/>
        <v>0</v>
      </c>
      <c r="M75" s="27">
        <v>3</v>
      </c>
      <c r="N75" s="17">
        <f t="shared" si="56"/>
        <v>450</v>
      </c>
      <c r="O75" s="27">
        <v>5</v>
      </c>
      <c r="P75" s="17">
        <f t="shared" si="57"/>
        <v>750</v>
      </c>
      <c r="Q75" s="27">
        <v>5</v>
      </c>
      <c r="R75" s="27">
        <f t="shared" si="58"/>
        <v>750</v>
      </c>
      <c r="S75" s="8">
        <v>0</v>
      </c>
      <c r="T75" s="8">
        <f t="shared" si="59"/>
        <v>0</v>
      </c>
      <c r="U75" s="17">
        <f t="shared" si="60"/>
        <v>1950</v>
      </c>
      <c r="V75" s="27" t="s">
        <v>299</v>
      </c>
      <c r="W75" s="17">
        <f t="shared" si="61"/>
        <v>1950</v>
      </c>
    </row>
    <row r="76" spans="1:28" ht="12" customHeight="1" x14ac:dyDescent="0.35">
      <c r="A76" s="12"/>
      <c r="B76" s="12"/>
      <c r="C76" s="12"/>
      <c r="D76" s="12"/>
      <c r="E76" s="12"/>
      <c r="F76" s="268"/>
      <c r="G76" s="12"/>
      <c r="H76" s="12"/>
      <c r="I76" s="32"/>
    </row>
    <row r="77" spans="1:28" ht="12" customHeight="1" thickBot="1" x14ac:dyDescent="0.45">
      <c r="A77" s="18"/>
      <c r="B77" s="18"/>
      <c r="C77" s="18"/>
      <c r="D77" s="18"/>
      <c r="E77" s="18"/>
      <c r="F77" s="271"/>
      <c r="G77" s="18" t="s">
        <v>423</v>
      </c>
      <c r="H77" s="18"/>
      <c r="I77" s="18"/>
      <c r="J77" s="25"/>
      <c r="K77" s="25"/>
      <c r="L77" s="30">
        <f>SUM(L68:L75)</f>
        <v>4449.08</v>
      </c>
      <c r="M77" s="30"/>
      <c r="N77" s="30">
        <f>SUM(N68:N75)</f>
        <v>9984.7656000000006</v>
      </c>
      <c r="O77" s="30"/>
      <c r="P77" s="30">
        <f>SUM(P68:P75)</f>
        <v>11143.787645999999</v>
      </c>
      <c r="Q77" s="30"/>
      <c r="R77" s="30">
        <f>SUM(R68:R75)</f>
        <v>11474.658226109999</v>
      </c>
      <c r="S77" s="30"/>
      <c r="T77" s="30">
        <f>SUM(T68:T75)</f>
        <v>0</v>
      </c>
      <c r="U77" s="30">
        <f>L77+N77+P77+R77+T77</f>
        <v>37052.291472109995</v>
      </c>
      <c r="V77" s="30">
        <f>SUM(V68:V75)</f>
        <v>0</v>
      </c>
      <c r="W77" s="30">
        <f>SUM(U77:V77)</f>
        <v>37052.291472109995</v>
      </c>
      <c r="Y77" s="291"/>
    </row>
    <row r="78" spans="1:28" ht="12" customHeight="1" x14ac:dyDescent="0.35">
      <c r="A78" s="12"/>
      <c r="B78" s="12"/>
      <c r="C78" s="12"/>
      <c r="D78" s="12"/>
      <c r="E78" s="12"/>
      <c r="F78" s="268"/>
      <c r="G78" s="12"/>
      <c r="H78" s="12"/>
      <c r="I78" s="32"/>
    </row>
    <row r="79" spans="1:28" ht="12" customHeight="1" x14ac:dyDescent="0.4">
      <c r="A79" s="12" t="s">
        <v>323</v>
      </c>
      <c r="B79" s="12">
        <v>89050</v>
      </c>
      <c r="C79" s="12" t="s">
        <v>50</v>
      </c>
      <c r="D79" s="12" t="s">
        <v>50</v>
      </c>
      <c r="E79" s="32" t="s">
        <v>147</v>
      </c>
      <c r="F79" s="260" t="s">
        <v>483</v>
      </c>
      <c r="G79" s="4" t="s">
        <v>424</v>
      </c>
      <c r="H79" s="1" t="s">
        <v>330</v>
      </c>
      <c r="I79" s="3"/>
      <c r="J79" s="3"/>
      <c r="K79" s="26">
        <v>0.1</v>
      </c>
      <c r="L79" s="44">
        <f>(L77)*K79</f>
        <v>444.90800000000002</v>
      </c>
      <c r="M79" s="44"/>
      <c r="N79" s="44">
        <f>(N77)*K79</f>
        <v>998.47656000000006</v>
      </c>
      <c r="O79" s="44"/>
      <c r="P79" s="44">
        <f>(P77)*K79</f>
        <v>1114.3787645999998</v>
      </c>
      <c r="R79" s="44">
        <f>(R77)*K79</f>
        <v>1147.465822611</v>
      </c>
      <c r="T79" s="44">
        <f>(T77)*K79</f>
        <v>0</v>
      </c>
      <c r="U79" s="44">
        <f>SUM(L79+N79+P79+R79+T79)</f>
        <v>3705.2291472109996</v>
      </c>
      <c r="V79" s="44">
        <v>0</v>
      </c>
      <c r="W79" s="44">
        <f>SUM(U79:V79)</f>
        <v>3705.2291472109996</v>
      </c>
      <c r="Y79" s="289"/>
    </row>
    <row r="80" spans="1:28" ht="12" customHeight="1" x14ac:dyDescent="0.35">
      <c r="A80" s="12"/>
      <c r="B80" s="12"/>
      <c r="C80" s="12"/>
      <c r="D80" s="12"/>
      <c r="E80" s="12"/>
      <c r="F80" s="12"/>
      <c r="G80" s="12"/>
      <c r="H80" s="12"/>
      <c r="I80" s="32"/>
    </row>
    <row r="81" spans="1:26" ht="12" customHeight="1" thickBot="1" x14ac:dyDescent="0.45">
      <c r="A81" s="18"/>
      <c r="B81" s="18"/>
      <c r="C81" s="18"/>
      <c r="D81" s="18"/>
      <c r="E81" s="18"/>
      <c r="F81" s="18"/>
      <c r="G81" s="18" t="s">
        <v>327</v>
      </c>
      <c r="H81" s="18"/>
      <c r="I81" s="18"/>
      <c r="J81" s="25"/>
      <c r="K81" s="25"/>
      <c r="L81" s="30">
        <f>SUM(L77:L79)</f>
        <v>4893.9880000000003</v>
      </c>
      <c r="M81" s="30"/>
      <c r="N81" s="30">
        <f>SUM(N77:N79)</f>
        <v>10983.242160000002</v>
      </c>
      <c r="O81" s="30"/>
      <c r="P81" s="30">
        <f>SUM(P77:P79)</f>
        <v>12258.166410599999</v>
      </c>
      <c r="Q81" s="30"/>
      <c r="R81" s="30">
        <f>SUM(R77:R79)</f>
        <v>12622.124048721</v>
      </c>
      <c r="S81" s="30"/>
      <c r="T81" s="30">
        <f>SUM(T77:T79)</f>
        <v>0</v>
      </c>
      <c r="U81" s="30">
        <f>L81+N81+P81+R81+T81</f>
        <v>40757.520619321003</v>
      </c>
      <c r="V81" s="30">
        <f>SUM(V72:V75)</f>
        <v>0</v>
      </c>
      <c r="W81" s="30">
        <f>SUM(U81:V81)</f>
        <v>40757.520619321003</v>
      </c>
      <c r="Y81" s="291"/>
    </row>
    <row r="82" spans="1:26" ht="12" customHeight="1" x14ac:dyDescent="0.4">
      <c r="A82" s="22"/>
      <c r="B82" s="22"/>
      <c r="C82" s="22"/>
      <c r="D82" s="22"/>
      <c r="E82" s="22"/>
      <c r="F82" s="22"/>
      <c r="G82" s="22"/>
      <c r="H82" s="22"/>
      <c r="I82" s="23"/>
      <c r="J82" s="24"/>
      <c r="K82" s="35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292"/>
      <c r="Y82" s="289"/>
      <c r="Z82" s="143"/>
    </row>
    <row r="83" spans="1:26" ht="12" customHeight="1" thickBot="1" x14ac:dyDescent="0.45">
      <c r="A83" s="10"/>
      <c r="B83" s="10"/>
      <c r="C83" s="10"/>
      <c r="D83" s="10"/>
      <c r="E83" s="10"/>
      <c r="F83" s="10"/>
      <c r="G83" s="10" t="s">
        <v>16</v>
      </c>
      <c r="H83" s="10"/>
      <c r="I83" s="10"/>
      <c r="J83" s="10"/>
      <c r="K83" s="36"/>
      <c r="L83" s="117">
        <f>L81+L65</f>
        <v>97879.76</v>
      </c>
      <c r="M83" s="117"/>
      <c r="N83" s="117">
        <f>N81+N65</f>
        <v>227133.84319999997</v>
      </c>
      <c r="O83" s="117"/>
      <c r="P83" s="117">
        <f>P81+P65</f>
        <v>231776.32821199996</v>
      </c>
      <c r="Q83" s="117"/>
      <c r="R83" s="117">
        <f>R81+R65</f>
        <v>237372.48097441994</v>
      </c>
      <c r="S83" s="117"/>
      <c r="T83" s="117">
        <f>T81+T65</f>
        <v>0</v>
      </c>
      <c r="U83" s="117">
        <f>T83+R83+P83+N83+L83</f>
        <v>794162.41238641995</v>
      </c>
      <c r="V83" s="117">
        <f>V81+V65</f>
        <v>0</v>
      </c>
      <c r="W83" s="117">
        <f>SUM(U83:V83)</f>
        <v>794162.41238641995</v>
      </c>
      <c r="Y83" s="289"/>
    </row>
    <row r="84" spans="1:26" ht="12" customHeight="1" thickTop="1" x14ac:dyDescent="0.35"/>
    <row r="86" spans="1:26" ht="12" customHeight="1" x14ac:dyDescent="0.35">
      <c r="U86" s="144"/>
    </row>
    <row r="87" spans="1:26" ht="12" customHeight="1" x14ac:dyDescent="0.35">
      <c r="K87" s="2"/>
      <c r="V87" s="69"/>
    </row>
    <row r="88" spans="1:26" ht="12" customHeight="1" x14ac:dyDescent="0.35">
      <c r="A88" s="7"/>
      <c r="B88" s="7"/>
      <c r="C88" s="7"/>
      <c r="D88" s="7"/>
      <c r="E88" s="7"/>
      <c r="F88" s="7"/>
      <c r="G88" s="7"/>
      <c r="H88" s="7"/>
      <c r="I88" s="50"/>
    </row>
    <row r="89" spans="1:26" ht="12" customHeight="1" x14ac:dyDescent="0.35">
      <c r="A89" s="7"/>
      <c r="B89" s="7"/>
      <c r="C89" s="7"/>
      <c r="D89" s="7"/>
      <c r="E89" s="7"/>
      <c r="F89" s="7"/>
      <c r="G89" s="7"/>
      <c r="H89" s="7"/>
      <c r="I89" s="51"/>
    </row>
    <row r="91" spans="1:26" ht="12" customHeight="1" x14ac:dyDescent="0.35">
      <c r="A91" s="7"/>
      <c r="B91" s="7"/>
      <c r="C91" s="7"/>
      <c r="D91" s="7"/>
      <c r="E91" s="7"/>
      <c r="F91" s="7"/>
      <c r="G91" s="7"/>
      <c r="H91" s="7"/>
      <c r="I91" s="50"/>
    </row>
    <row r="92" spans="1:26" ht="12" customHeight="1" x14ac:dyDescent="0.35">
      <c r="A92" s="7"/>
      <c r="B92" s="7"/>
      <c r="C92" s="7"/>
      <c r="D92" s="7"/>
      <c r="E92" s="7"/>
      <c r="F92" s="7"/>
      <c r="G92" s="7"/>
      <c r="H92" s="7"/>
      <c r="I92" s="51"/>
    </row>
    <row r="94" spans="1:26" ht="12" customHeight="1" x14ac:dyDescent="0.35">
      <c r="A94" s="7"/>
      <c r="B94" s="7"/>
      <c r="C94" s="7"/>
      <c r="D94" s="7"/>
      <c r="E94" s="7"/>
      <c r="F94" s="7"/>
      <c r="G94" s="7"/>
      <c r="H94" s="7"/>
      <c r="I94" s="50"/>
    </row>
    <row r="95" spans="1:26" ht="12" customHeight="1" x14ac:dyDescent="0.35">
      <c r="A95" s="7"/>
      <c r="B95" s="7"/>
      <c r="C95" s="7"/>
      <c r="D95" s="7"/>
      <c r="E95" s="7"/>
      <c r="F95" s="7"/>
      <c r="G95" s="7"/>
      <c r="H95" s="7"/>
      <c r="I95" s="51"/>
    </row>
    <row r="97" spans="1:30" ht="12" customHeight="1" x14ac:dyDescent="0.35">
      <c r="A97" s="7"/>
      <c r="B97" s="7"/>
      <c r="C97" s="7"/>
      <c r="D97" s="7"/>
      <c r="E97" s="7"/>
      <c r="F97" s="7"/>
      <c r="G97" s="7"/>
      <c r="H97" s="7"/>
      <c r="I97" s="50"/>
    </row>
    <row r="98" spans="1:30" ht="12" customHeight="1" x14ac:dyDescent="0.35">
      <c r="A98" s="7"/>
      <c r="B98" s="7"/>
      <c r="C98" s="7"/>
      <c r="D98" s="7"/>
      <c r="E98" s="7"/>
      <c r="F98" s="7"/>
      <c r="G98" s="7"/>
      <c r="H98" s="7"/>
      <c r="I98" s="51"/>
    </row>
    <row r="99" spans="1:30" ht="12" customHeight="1" x14ac:dyDescent="0.35">
      <c r="AD99" s="1"/>
    </row>
    <row r="100" spans="1:30" ht="12" customHeight="1" x14ac:dyDescent="0.35">
      <c r="A100" s="7"/>
      <c r="B100" s="7"/>
      <c r="C100" s="7"/>
      <c r="D100" s="7"/>
      <c r="E100" s="7"/>
      <c r="F100" s="7"/>
      <c r="G100" s="7"/>
      <c r="H100" s="7"/>
      <c r="I100" s="50"/>
    </row>
    <row r="101" spans="1:30" ht="12" customHeight="1" x14ac:dyDescent="0.35">
      <c r="A101" s="7"/>
      <c r="B101" s="7"/>
      <c r="C101" s="7"/>
      <c r="D101" s="7"/>
      <c r="E101" s="7"/>
      <c r="F101" s="7"/>
      <c r="G101" s="7"/>
      <c r="H101" s="7"/>
      <c r="I101" s="51"/>
    </row>
    <row r="105" spans="1:30" ht="12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7" spans="1:30" ht="12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</sheetData>
  <mergeCells count="5">
    <mergeCell ref="G1:W1"/>
    <mergeCell ref="G2:W2"/>
    <mergeCell ref="G3:W3"/>
    <mergeCell ref="G41:W41"/>
    <mergeCell ref="G4:H4"/>
  </mergeCells>
  <pageMargins left="0.7" right="0.7" top="0.75" bottom="0.75" header="0.3" footer="0.3"/>
  <pageSetup scale="1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AA3A-877A-40DD-8E6B-B7B955993347}">
  <sheetPr>
    <pageSetUpPr fitToPage="1"/>
  </sheetPr>
  <dimension ref="A1:X150"/>
  <sheetViews>
    <sheetView topLeftCell="A16" zoomScale="91" zoomScaleNormal="60" zoomScaleSheetLayoutView="90" workbookViewId="0">
      <selection activeCell="D4" sqref="D4"/>
    </sheetView>
  </sheetViews>
  <sheetFormatPr defaultColWidth="11.44140625" defaultRowHeight="12" customHeight="1" x14ac:dyDescent="0.35"/>
  <cols>
    <col min="1" max="1" width="48.83203125" style="173" customWidth="1"/>
    <col min="2" max="2" width="11.44140625" style="173" customWidth="1"/>
    <col min="3" max="3" width="12.83203125" style="173" bestFit="1" customWidth="1"/>
    <col min="4" max="4" width="9.44140625" style="175" customWidth="1"/>
    <col min="5" max="5" width="8.83203125" style="175" customWidth="1"/>
    <col min="6" max="6" width="10.83203125" style="180" customWidth="1"/>
    <col min="7" max="7" width="8.83203125" style="180" customWidth="1"/>
    <col min="8" max="8" width="12.1640625" style="180" customWidth="1"/>
    <col min="9" max="9" width="8.44140625" style="180" customWidth="1"/>
    <col min="10" max="11" width="11.44140625" style="180" customWidth="1"/>
    <col min="12" max="12" width="11.83203125" style="180" customWidth="1"/>
    <col min="13" max="13" width="11.44140625" style="180" customWidth="1"/>
    <col min="14" max="14" width="10.44140625" style="180" customWidth="1"/>
    <col min="15" max="15" width="11.83203125" style="180" customWidth="1"/>
    <col min="16" max="16" width="10.44140625" style="180" customWidth="1"/>
    <col min="17" max="17" width="12" style="180" customWidth="1"/>
    <col min="18" max="18" width="28.44140625" style="166" customWidth="1"/>
    <col min="19" max="19" width="12.44140625" style="166" customWidth="1"/>
    <col min="20" max="20" width="9.1640625" style="166" customWidth="1"/>
    <col min="21" max="21" width="13" style="166" customWidth="1"/>
    <col min="22" max="22" width="12" style="166" customWidth="1"/>
    <col min="23" max="23" width="18.44140625" style="166" customWidth="1"/>
    <col min="24" max="16384" width="11.44140625" style="166"/>
  </cols>
  <sheetData>
    <row r="1" spans="1:23" ht="12" customHeight="1" x14ac:dyDescent="0.4">
      <c r="A1" s="321" t="s">
        <v>331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164"/>
      <c r="S1" s="165"/>
      <c r="T1" s="165"/>
      <c r="U1" s="165"/>
      <c r="V1" s="165"/>
      <c r="W1" s="165"/>
    </row>
    <row r="2" spans="1:23" ht="12" customHeight="1" x14ac:dyDescent="0.4">
      <c r="A2" s="322" t="s">
        <v>488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167"/>
      <c r="S2" s="165"/>
      <c r="T2" s="165"/>
    </row>
    <row r="3" spans="1:23" ht="12" customHeight="1" x14ac:dyDescent="0.35">
      <c r="A3" s="323" t="s">
        <v>334</v>
      </c>
      <c r="B3" s="323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168"/>
    </row>
    <row r="4" spans="1:23" s="147" customFormat="1" ht="12" customHeight="1" x14ac:dyDescent="0.45">
      <c r="A4" s="319" t="s">
        <v>29</v>
      </c>
      <c r="B4" s="319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57"/>
      <c r="T4" s="148"/>
      <c r="U4" s="148"/>
      <c r="V4" s="148"/>
    </row>
    <row r="5" spans="1:23" s="147" customFormat="1" ht="12" customHeight="1" x14ac:dyDescent="0.45">
      <c r="A5" s="149" t="s">
        <v>30</v>
      </c>
      <c r="B5" s="158">
        <v>1.03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57"/>
      <c r="T5" s="148"/>
      <c r="U5" s="148"/>
      <c r="V5" s="148"/>
    </row>
    <row r="6" spans="1:23" s="147" customFormat="1" ht="12" customHeight="1" x14ac:dyDescent="0.45">
      <c r="A6" s="149" t="s">
        <v>31</v>
      </c>
      <c r="B6" s="158">
        <v>1.05</v>
      </c>
      <c r="C6" s="148"/>
      <c r="D6" s="152"/>
      <c r="E6" s="152"/>
      <c r="F6" s="153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9"/>
      <c r="T6" s="154"/>
      <c r="U6" s="154"/>
      <c r="V6" s="154"/>
    </row>
    <row r="7" spans="1:23" s="147" customFormat="1" ht="12" customHeight="1" x14ac:dyDescent="0.45">
      <c r="A7" s="149" t="s">
        <v>426</v>
      </c>
      <c r="B7" s="160">
        <v>1.0349999999999999</v>
      </c>
      <c r="C7" s="148"/>
      <c r="D7" s="152"/>
      <c r="E7" s="152"/>
      <c r="F7" s="153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9"/>
      <c r="T7" s="154"/>
      <c r="U7" s="154"/>
      <c r="V7" s="154"/>
    </row>
    <row r="8" spans="1:23" ht="12" customHeight="1" x14ac:dyDescent="0.35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P8" s="168"/>
      <c r="Q8" s="168"/>
      <c r="R8" s="169"/>
    </row>
    <row r="9" spans="1:23" ht="42.3" thickBot="1" x14ac:dyDescent="0.45">
      <c r="A9" s="228" t="s">
        <v>3</v>
      </c>
      <c r="B9" s="228" t="s">
        <v>38</v>
      </c>
      <c r="C9" s="228" t="s">
        <v>39</v>
      </c>
      <c r="D9" s="229" t="s">
        <v>40</v>
      </c>
      <c r="E9" s="229" t="s">
        <v>337</v>
      </c>
      <c r="F9" s="230" t="s">
        <v>42</v>
      </c>
      <c r="G9" s="228" t="s">
        <v>40</v>
      </c>
      <c r="H9" s="230" t="s">
        <v>43</v>
      </c>
      <c r="I9" s="228" t="s">
        <v>40</v>
      </c>
      <c r="J9" s="230" t="s">
        <v>44</v>
      </c>
      <c r="K9" s="228" t="s">
        <v>40</v>
      </c>
      <c r="L9" s="230" t="s">
        <v>338</v>
      </c>
      <c r="M9" s="228" t="s">
        <v>40</v>
      </c>
      <c r="N9" s="230" t="s">
        <v>46</v>
      </c>
      <c r="O9" s="229" t="s">
        <v>489</v>
      </c>
      <c r="P9" s="229" t="s">
        <v>5</v>
      </c>
      <c r="Q9" s="229" t="s">
        <v>6</v>
      </c>
      <c r="R9" s="297" t="s">
        <v>490</v>
      </c>
      <c r="S9" s="297" t="s">
        <v>491</v>
      </c>
      <c r="T9" s="297" t="s">
        <v>341</v>
      </c>
    </row>
    <row r="10" spans="1:23" ht="13.5" customHeight="1" x14ac:dyDescent="0.4">
      <c r="A10" s="181"/>
      <c r="B10" s="181"/>
      <c r="C10" s="182"/>
      <c r="D10" s="183"/>
      <c r="E10" s="183"/>
      <c r="F10" s="184"/>
      <c r="G10" s="184"/>
      <c r="H10" s="184"/>
      <c r="I10" s="184"/>
      <c r="J10" s="184"/>
      <c r="K10" s="184"/>
      <c r="L10" s="184"/>
      <c r="M10" s="184"/>
      <c r="N10" s="184"/>
      <c r="O10" s="184"/>
      <c r="P10" s="184"/>
      <c r="Q10" s="184"/>
      <c r="R10" s="298"/>
      <c r="S10" s="298"/>
      <c r="T10" s="299"/>
    </row>
    <row r="11" spans="1:23" ht="13.5" customHeight="1" x14ac:dyDescent="0.4">
      <c r="A11" s="181" t="s">
        <v>7</v>
      </c>
      <c r="B11" s="181"/>
      <c r="C11" s="182"/>
      <c r="D11" s="183"/>
      <c r="E11" s="183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296"/>
      <c r="S11" s="298"/>
      <c r="T11" s="299"/>
    </row>
    <row r="12" spans="1:23" ht="12" customHeight="1" x14ac:dyDescent="0.4">
      <c r="A12" s="185" t="s">
        <v>492</v>
      </c>
      <c r="B12" s="185"/>
      <c r="C12" s="186"/>
      <c r="D12" s="187"/>
      <c r="E12" s="187"/>
      <c r="F12" s="188"/>
      <c r="G12" s="188"/>
      <c r="H12" s="188"/>
      <c r="I12" s="188"/>
      <c r="J12" s="188"/>
      <c r="K12" s="188"/>
      <c r="L12" s="188"/>
      <c r="M12" s="188"/>
      <c r="N12" s="188"/>
      <c r="O12" s="188"/>
      <c r="P12" s="188"/>
      <c r="Q12" s="188"/>
      <c r="R12" s="296"/>
      <c r="S12" s="296"/>
      <c r="T12" s="296"/>
    </row>
    <row r="13" spans="1:23" ht="12" customHeight="1" x14ac:dyDescent="0.35">
      <c r="A13" s="106" t="s">
        <v>493</v>
      </c>
      <c r="B13" s="106" t="s">
        <v>52</v>
      </c>
      <c r="C13" s="189" t="s">
        <v>84</v>
      </c>
      <c r="D13" s="188">
        <f>(6*15)+(3*10)</f>
        <v>120</v>
      </c>
      <c r="E13" s="188">
        <v>325</v>
      </c>
      <c r="F13" s="188">
        <f>D13*E13</f>
        <v>39000</v>
      </c>
      <c r="G13" s="188">
        <f>10*12</f>
        <v>120</v>
      </c>
      <c r="H13" s="188">
        <f>G13*E13*$B$7</f>
        <v>40365</v>
      </c>
      <c r="I13" s="188">
        <f t="shared" ref="I13:I14" si="0">10*12</f>
        <v>120</v>
      </c>
      <c r="J13" s="188">
        <f>I13*E13*$B$7*$B$7</f>
        <v>41777.774999999994</v>
      </c>
      <c r="K13" s="188">
        <f t="shared" ref="K13:K14" si="1">10*12</f>
        <v>120</v>
      </c>
      <c r="L13" s="188">
        <f>K13*E13*$B$7*$B$7*$B$7</f>
        <v>43239.997124999987</v>
      </c>
      <c r="M13" s="188">
        <f>3*10</f>
        <v>30</v>
      </c>
      <c r="N13" s="188">
        <f>M13*E13*$B$7*$B$7*$B$7*$B$7</f>
        <v>11188.349256093747</v>
      </c>
      <c r="O13" s="188">
        <f>SUM(F13+H13+J13+L13+N13)</f>
        <v>175571.12138109375</v>
      </c>
      <c r="P13" s="192">
        <v>0</v>
      </c>
      <c r="Q13" s="188">
        <f>SUM(O13:P13)</f>
        <v>175571.12138109375</v>
      </c>
      <c r="R13" s="294">
        <f>Q13*0.6</f>
        <v>105342.67282865624</v>
      </c>
      <c r="S13" s="300">
        <f>Q13*0.35</f>
        <v>61449.892483382806</v>
      </c>
      <c r="T13" s="294">
        <f>Q13-R13-S13</f>
        <v>8778.556069054699</v>
      </c>
      <c r="U13" s="170"/>
      <c r="V13" s="171"/>
    </row>
    <row r="14" spans="1:23" ht="12" customHeight="1" x14ac:dyDescent="0.35">
      <c r="A14" s="106" t="s">
        <v>494</v>
      </c>
      <c r="B14" s="106" t="s">
        <v>52</v>
      </c>
      <c r="C14" s="189" t="s">
        <v>84</v>
      </c>
      <c r="D14" s="188">
        <f>(6*15)+(3*10)</f>
        <v>120</v>
      </c>
      <c r="E14" s="188">
        <v>325</v>
      </c>
      <c r="F14" s="188">
        <f>D14*E14</f>
        <v>39000</v>
      </c>
      <c r="G14" s="188">
        <f>10*12</f>
        <v>120</v>
      </c>
      <c r="H14" s="188">
        <f>G14*E14*$B$7</f>
        <v>40365</v>
      </c>
      <c r="I14" s="188">
        <f t="shared" si="0"/>
        <v>120</v>
      </c>
      <c r="J14" s="188">
        <f>I14*E14*$B$7*$B$7</f>
        <v>41777.774999999994</v>
      </c>
      <c r="K14" s="188">
        <f t="shared" si="1"/>
        <v>120</v>
      </c>
      <c r="L14" s="188">
        <f>K14*E14*$B$7*$B$7*$B$7</f>
        <v>43239.997124999987</v>
      </c>
      <c r="M14" s="188">
        <f>3*10</f>
        <v>30</v>
      </c>
      <c r="N14" s="188">
        <f>M14*E14*$B$7*$B$7*$B$7*$B$7</f>
        <v>11188.349256093747</v>
      </c>
      <c r="O14" s="188">
        <f t="shared" ref="O14:O21" si="2">SUM(F14+H14+J14+L14+N14)</f>
        <v>175571.12138109375</v>
      </c>
      <c r="P14" s="192">
        <v>0</v>
      </c>
      <c r="Q14" s="188">
        <f>SUM(O14:P14)</f>
        <v>175571.12138109375</v>
      </c>
      <c r="R14" s="294">
        <f t="shared" ref="R14:R15" si="3">Q14*0.6</f>
        <v>105342.67282865624</v>
      </c>
      <c r="S14" s="300">
        <f t="shared" ref="S14:S15" si="4">Q14*0.35</f>
        <v>61449.892483382806</v>
      </c>
      <c r="T14" s="294">
        <f t="shared" ref="T14:T33" si="5">Q14-R14-S14</f>
        <v>8778.556069054699</v>
      </c>
      <c r="U14" s="172"/>
      <c r="V14" s="172"/>
    </row>
    <row r="15" spans="1:23" ht="12" customHeight="1" x14ac:dyDescent="0.35">
      <c r="A15" s="106" t="s">
        <v>495</v>
      </c>
      <c r="B15" s="106" t="s">
        <v>52</v>
      </c>
      <c r="C15" s="189" t="s">
        <v>84</v>
      </c>
      <c r="D15" s="188">
        <v>10</v>
      </c>
      <c r="E15" s="188">
        <v>350</v>
      </c>
      <c r="F15" s="188">
        <f>D15*E15</f>
        <v>3500</v>
      </c>
      <c r="G15" s="188">
        <v>10</v>
      </c>
      <c r="H15" s="188">
        <f>G15*E15*$B$7</f>
        <v>3622.4999999999995</v>
      </c>
      <c r="I15" s="188">
        <v>10</v>
      </c>
      <c r="J15" s="188">
        <f>I15*E15*$B$7*$B$7</f>
        <v>3749.2874999999995</v>
      </c>
      <c r="K15" s="192">
        <v>0</v>
      </c>
      <c r="L15" s="188">
        <f>K15*E15*$B$7*$B$7*$B$7</f>
        <v>0</v>
      </c>
      <c r="M15" s="192">
        <v>0</v>
      </c>
      <c r="N15" s="188">
        <f>M15*E15*$B$7*$B$7*$B$7*$B$7</f>
        <v>0</v>
      </c>
      <c r="O15" s="188">
        <f t="shared" si="2"/>
        <v>10871.787499999999</v>
      </c>
      <c r="P15" s="192">
        <v>0</v>
      </c>
      <c r="Q15" s="188">
        <f>SUM(O15:P15)</f>
        <v>10871.787499999999</v>
      </c>
      <c r="R15" s="294">
        <f t="shared" si="3"/>
        <v>6523.0724999999993</v>
      </c>
      <c r="S15" s="300">
        <f t="shared" si="4"/>
        <v>3805.1256249999992</v>
      </c>
      <c r="T15" s="294">
        <f t="shared" si="5"/>
        <v>543.58937500000002</v>
      </c>
    </row>
    <row r="16" spans="1:23" ht="12" customHeight="1" x14ac:dyDescent="0.35">
      <c r="A16" s="106" t="s">
        <v>496</v>
      </c>
      <c r="B16" s="106" t="s">
        <v>52</v>
      </c>
      <c r="C16" s="189" t="s">
        <v>84</v>
      </c>
      <c r="D16" s="188">
        <v>10</v>
      </c>
      <c r="E16" s="188">
        <v>350</v>
      </c>
      <c r="F16" s="188">
        <f>D16*E16</f>
        <v>3500</v>
      </c>
      <c r="G16" s="188">
        <v>10</v>
      </c>
      <c r="H16" s="188">
        <f>G16*E16*$B$7</f>
        <v>3622.4999999999995</v>
      </c>
      <c r="I16" s="188">
        <v>10</v>
      </c>
      <c r="J16" s="188">
        <f>I16*E16*$B$7*$B$7</f>
        <v>3749.2874999999995</v>
      </c>
      <c r="K16" s="192">
        <v>0</v>
      </c>
      <c r="L16" s="188">
        <f>K16*E16*$B$7*$B$7*$B$7</f>
        <v>0</v>
      </c>
      <c r="M16" s="192">
        <v>0</v>
      </c>
      <c r="N16" s="188">
        <f>M16*E16*$B$7*$B$7*$B$7*$B$7</f>
        <v>0</v>
      </c>
      <c r="O16" s="188">
        <f t="shared" si="2"/>
        <v>10871.787499999999</v>
      </c>
      <c r="P16" s="192">
        <v>0</v>
      </c>
      <c r="Q16" s="188">
        <f>SUM(O16:P16)</f>
        <v>10871.787499999999</v>
      </c>
      <c r="R16" s="296"/>
      <c r="S16" s="301"/>
      <c r="T16" s="294"/>
    </row>
    <row r="17" spans="1:20" ht="12" customHeight="1" x14ac:dyDescent="0.4">
      <c r="A17" s="185" t="s">
        <v>497</v>
      </c>
      <c r="B17" s="106"/>
      <c r="C17" s="189"/>
      <c r="D17" s="188"/>
      <c r="E17" s="188"/>
      <c r="F17" s="188"/>
      <c r="G17" s="188"/>
      <c r="H17" s="188"/>
      <c r="I17" s="188"/>
      <c r="J17" s="188"/>
      <c r="K17" s="188"/>
      <c r="L17" s="188"/>
      <c r="M17" s="188"/>
      <c r="N17" s="188"/>
      <c r="O17" s="188"/>
      <c r="P17" s="192"/>
      <c r="Q17" s="188"/>
      <c r="R17" s="301"/>
      <c r="S17" s="301"/>
      <c r="T17" s="294"/>
    </row>
    <row r="18" spans="1:20" ht="12" customHeight="1" x14ac:dyDescent="0.35">
      <c r="A18" s="106" t="s">
        <v>498</v>
      </c>
      <c r="B18" s="106" t="s">
        <v>52</v>
      </c>
      <c r="C18" s="189" t="s">
        <v>84</v>
      </c>
      <c r="D18" s="188">
        <f>4*12</f>
        <v>48</v>
      </c>
      <c r="E18" s="188">
        <f>125000/222</f>
        <v>563.06306306306305</v>
      </c>
      <c r="F18" s="188">
        <f>D18*E18</f>
        <v>27027.027027027027</v>
      </c>
      <c r="G18" s="188">
        <f>4*12</f>
        <v>48</v>
      </c>
      <c r="H18" s="188">
        <f>G18*E18*$B$7</f>
        <v>27972.97297297297</v>
      </c>
      <c r="I18" s="188">
        <f>3*12</f>
        <v>36</v>
      </c>
      <c r="J18" s="188">
        <f>I18*E18*$B$7*$B$7</f>
        <v>21714.020270270266</v>
      </c>
      <c r="K18" s="188">
        <f>2*12</f>
        <v>24</v>
      </c>
      <c r="L18" s="188">
        <f>K18*E18*$B$7*$B$7*$B$7</f>
        <v>14982.673986486483</v>
      </c>
      <c r="M18" s="188">
        <f>2*6</f>
        <v>12</v>
      </c>
      <c r="N18" s="188">
        <f>M18*E18*$B$7*$B$7*$B$7*$B$7</f>
        <v>7753.5337880067545</v>
      </c>
      <c r="O18" s="188">
        <f t="shared" si="2"/>
        <v>99450.228044763498</v>
      </c>
      <c r="P18" s="192">
        <v>0</v>
      </c>
      <c r="Q18" s="188">
        <f>SUM(O18:P18)</f>
        <v>99450.228044763498</v>
      </c>
      <c r="R18" s="294">
        <f t="shared" ref="R18:R28" si="6">Q18*0.6</f>
        <v>59670.136826858099</v>
      </c>
      <c r="S18" s="300">
        <f t="shared" ref="S18:S28" si="7">Q18*0.35</f>
        <v>34807.579815667224</v>
      </c>
      <c r="T18" s="294">
        <f t="shared" si="5"/>
        <v>4972.5114022381749</v>
      </c>
    </row>
    <row r="19" spans="1:20" ht="12" customHeight="1" x14ac:dyDescent="0.35">
      <c r="A19" s="12" t="s">
        <v>499</v>
      </c>
      <c r="B19" s="106" t="s">
        <v>52</v>
      </c>
      <c r="C19" s="189" t="s">
        <v>84</v>
      </c>
      <c r="D19" s="188">
        <f>2*12</f>
        <v>24</v>
      </c>
      <c r="E19" s="188">
        <f>100000/218</f>
        <v>458.71559633027522</v>
      </c>
      <c r="F19" s="188">
        <f>D19*E19</f>
        <v>11009.174311926605</v>
      </c>
      <c r="G19" s="188">
        <f>3*12</f>
        <v>36</v>
      </c>
      <c r="H19" s="188">
        <f>G19*E19*$B$7</f>
        <v>17091.743119266055</v>
      </c>
      <c r="I19" s="188">
        <f>3*12</f>
        <v>36</v>
      </c>
      <c r="J19" s="188">
        <f>I19*E19*$B$7*$B$7</f>
        <v>17689.954128440364</v>
      </c>
      <c r="K19" s="188">
        <f>2*12</f>
        <v>24</v>
      </c>
      <c r="L19" s="188">
        <f>K19*E19*$B$7*$B$7*$B$7</f>
        <v>12206.06834862385</v>
      </c>
      <c r="M19" s="188">
        <f>2*6</f>
        <v>12</v>
      </c>
      <c r="N19" s="188">
        <f>M19*E19*$B$7*$B$7*$B$7*$B$7</f>
        <v>6316.6403704128425</v>
      </c>
      <c r="O19" s="188">
        <f t="shared" si="2"/>
        <v>64313.580278669717</v>
      </c>
      <c r="P19" s="192">
        <v>0</v>
      </c>
      <c r="Q19" s="188">
        <f>SUM(O19:P19)</f>
        <v>64313.580278669717</v>
      </c>
      <c r="R19" s="294">
        <f t="shared" si="6"/>
        <v>38588.148167201827</v>
      </c>
      <c r="S19" s="300">
        <f t="shared" si="7"/>
        <v>22509.753097534398</v>
      </c>
      <c r="T19" s="294">
        <f t="shared" si="5"/>
        <v>3215.6790139334917</v>
      </c>
    </row>
    <row r="20" spans="1:20" ht="12" customHeight="1" x14ac:dyDescent="0.35">
      <c r="A20" s="106" t="s">
        <v>500</v>
      </c>
      <c r="B20" s="106" t="s">
        <v>52</v>
      </c>
      <c r="C20" s="189" t="s">
        <v>84</v>
      </c>
      <c r="D20" s="188">
        <f>2*12</f>
        <v>24</v>
      </c>
      <c r="E20" s="188">
        <f>75000/218</f>
        <v>344.0366972477064</v>
      </c>
      <c r="F20" s="188">
        <f>D20*E20</f>
        <v>8256.880733944954</v>
      </c>
      <c r="G20" s="188">
        <f>2*12</f>
        <v>24</v>
      </c>
      <c r="H20" s="188">
        <f>G20*E20*$B$7</f>
        <v>8545.8715596330276</v>
      </c>
      <c r="I20" s="188">
        <f>2*12</f>
        <v>24</v>
      </c>
      <c r="J20" s="188">
        <f>I20*E20*$B$7*$B$7</f>
        <v>8844.977064220182</v>
      </c>
      <c r="K20" s="188">
        <f>1*12</f>
        <v>12</v>
      </c>
      <c r="L20" s="188">
        <f>K20*E20*$B$7*$B$7*$B$7</f>
        <v>4577.2756307339441</v>
      </c>
      <c r="M20" s="188">
        <f>1*6</f>
        <v>6</v>
      </c>
      <c r="N20" s="188">
        <f>M20*E20*$B$7*$B$7*$B$7*$B$7</f>
        <v>2368.7401389048159</v>
      </c>
      <c r="O20" s="188">
        <f>SUM(F20+H20+J20+L20+N20)</f>
        <v>32593.745127436923</v>
      </c>
      <c r="P20" s="192">
        <v>0</v>
      </c>
      <c r="Q20" s="188">
        <f>SUM(O20:P20)</f>
        <v>32593.745127436923</v>
      </c>
      <c r="R20" s="294">
        <f t="shared" si="6"/>
        <v>19556.247076462154</v>
      </c>
      <c r="S20" s="300">
        <f t="shared" si="7"/>
        <v>11407.810794602923</v>
      </c>
      <c r="T20" s="294">
        <f t="shared" si="5"/>
        <v>1629.6872563718462</v>
      </c>
    </row>
    <row r="21" spans="1:20" ht="12" customHeight="1" x14ac:dyDescent="0.35">
      <c r="A21" s="106" t="s">
        <v>501</v>
      </c>
      <c r="B21" s="106" t="s">
        <v>52</v>
      </c>
      <c r="C21" s="189" t="s">
        <v>84</v>
      </c>
      <c r="D21" s="188">
        <f>4*12</f>
        <v>48</v>
      </c>
      <c r="E21" s="188">
        <f>75000/222</f>
        <v>337.83783783783781</v>
      </c>
      <c r="F21" s="188">
        <f t="shared" ref="F21" si="8">D21*E21</f>
        <v>16216.216216216215</v>
      </c>
      <c r="G21" s="188">
        <f>5*12</f>
        <v>60</v>
      </c>
      <c r="H21" s="188">
        <f>G21*E21*$B$7</f>
        <v>20979.729729729726</v>
      </c>
      <c r="I21" s="188">
        <f>5*12</f>
        <v>60</v>
      </c>
      <c r="J21" s="188">
        <f>I21*E21*$B$7*$B$7</f>
        <v>21714.020270270266</v>
      </c>
      <c r="K21" s="188">
        <f>4*12</f>
        <v>48</v>
      </c>
      <c r="L21" s="188">
        <f>K21*E21*$B$7*$B$7*$B$7</f>
        <v>17979.208783783775</v>
      </c>
      <c r="M21" s="188">
        <v>8</v>
      </c>
      <c r="N21" s="188">
        <f>M21*E21*$B$7*$B$7*$B$7*$B$7</f>
        <v>3101.4135152027015</v>
      </c>
      <c r="O21" s="188">
        <f t="shared" si="2"/>
        <v>79990.588515202689</v>
      </c>
      <c r="P21" s="192">
        <v>0</v>
      </c>
      <c r="Q21" s="188">
        <f t="shared" ref="Q21" si="9">SUM(O21:P21)</f>
        <v>79990.588515202689</v>
      </c>
      <c r="R21" s="294">
        <f t="shared" si="6"/>
        <v>47994.353109121614</v>
      </c>
      <c r="S21" s="300">
        <f t="shared" si="7"/>
        <v>27996.705980320941</v>
      </c>
      <c r="T21" s="294">
        <f t="shared" si="5"/>
        <v>3999.5294257601345</v>
      </c>
    </row>
    <row r="22" spans="1:20" ht="12" customHeight="1" x14ac:dyDescent="0.4">
      <c r="A22" s="185" t="s">
        <v>69</v>
      </c>
      <c r="B22" s="185"/>
      <c r="C22" s="186"/>
      <c r="D22" s="187"/>
      <c r="E22" s="187"/>
      <c r="F22" s="187">
        <f>SUM(F13:F21)</f>
        <v>147509.29828911478</v>
      </c>
      <c r="G22" s="187"/>
      <c r="H22" s="187">
        <f>SUM(H13:H21)</f>
        <v>162565.31738160178</v>
      </c>
      <c r="I22" s="187"/>
      <c r="J22" s="187">
        <f>SUM(J13:J21)</f>
        <v>161017.09673320109</v>
      </c>
      <c r="K22" s="187"/>
      <c r="L22" s="187">
        <f>SUM(L13:L21)</f>
        <v>136225.22099962801</v>
      </c>
      <c r="M22" s="187"/>
      <c r="N22" s="187">
        <f>SUM(N13:N21)</f>
        <v>41917.026324714607</v>
      </c>
      <c r="O22" s="187">
        <f>SUM(F22+H22+J22+L22+N22)</f>
        <v>649233.95972826041</v>
      </c>
      <c r="P22" s="191">
        <f>SUM(P13:P21)</f>
        <v>0</v>
      </c>
      <c r="Q22" s="187">
        <f>SUM(O22:P22)</f>
        <v>649233.95972826041</v>
      </c>
      <c r="R22" s="294">
        <f t="shared" si="6"/>
        <v>389540.37583695626</v>
      </c>
      <c r="S22" s="300">
        <f t="shared" si="7"/>
        <v>227231.88590489113</v>
      </c>
      <c r="T22" s="294">
        <f t="shared" si="5"/>
        <v>32461.697986413026</v>
      </c>
    </row>
    <row r="23" spans="1:20" ht="12" customHeight="1" x14ac:dyDescent="0.4">
      <c r="A23" s="185"/>
      <c r="B23" s="185"/>
      <c r="C23" s="186"/>
      <c r="D23" s="187"/>
      <c r="E23" s="190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  <c r="Q23" s="191"/>
      <c r="R23" s="294">
        <f t="shared" si="6"/>
        <v>0</v>
      </c>
      <c r="S23" s="300">
        <f t="shared" si="7"/>
        <v>0</v>
      </c>
      <c r="T23" s="294">
        <f t="shared" si="5"/>
        <v>0</v>
      </c>
    </row>
    <row r="24" spans="1:20" ht="12" customHeight="1" x14ac:dyDescent="0.4">
      <c r="A24" s="185" t="s">
        <v>70</v>
      </c>
      <c r="B24" s="185"/>
      <c r="C24" s="186"/>
      <c r="D24" s="187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2"/>
      <c r="P24" s="191"/>
      <c r="Q24" s="191"/>
      <c r="R24" s="294">
        <f t="shared" si="6"/>
        <v>0</v>
      </c>
      <c r="S24" s="300">
        <f t="shared" si="7"/>
        <v>0</v>
      </c>
      <c r="T24" s="294">
        <f t="shared" si="5"/>
        <v>0</v>
      </c>
    </row>
    <row r="25" spans="1:20" ht="12" customHeight="1" x14ac:dyDescent="0.35">
      <c r="A25" s="106" t="s">
        <v>502</v>
      </c>
      <c r="B25" s="106" t="s">
        <v>70</v>
      </c>
      <c r="C25" s="189"/>
      <c r="D25" s="188"/>
      <c r="E25" s="193">
        <v>0.28999999999999998</v>
      </c>
      <c r="F25" s="188">
        <f>E25*SUM(F18:F21)</f>
        <v>18127.69650384329</v>
      </c>
      <c r="G25" s="188"/>
      <c r="H25" s="188">
        <f>E25*SUM(H18:H21)</f>
        <v>21631.192040664515</v>
      </c>
      <c r="I25" s="188"/>
      <c r="J25" s="188">
        <f>E25*SUM(J18:J21)</f>
        <v>20289.261802628316</v>
      </c>
      <c r="K25" s="188"/>
      <c r="L25" s="188">
        <f>E25*SUM(L18:L21)</f>
        <v>14426.115757392135</v>
      </c>
      <c r="M25" s="188"/>
      <c r="N25" s="188">
        <f>E25*SUM(N18:N21)</f>
        <v>5666.6950656328627</v>
      </c>
      <c r="O25" s="188">
        <f>SUM(F25+H25+J25+L25+N25)</f>
        <v>80140.961170161114</v>
      </c>
      <c r="P25" s="192">
        <v>0</v>
      </c>
      <c r="Q25" s="188">
        <f>SUM(O25:P25)</f>
        <v>80140.961170161114</v>
      </c>
      <c r="R25" s="294">
        <f t="shared" si="6"/>
        <v>48084.576702096667</v>
      </c>
      <c r="S25" s="300">
        <f t="shared" si="7"/>
        <v>28049.336409556388</v>
      </c>
      <c r="T25" s="294">
        <f t="shared" si="5"/>
        <v>4007.0480585080586</v>
      </c>
    </row>
    <row r="26" spans="1:20" ht="12" customHeight="1" x14ac:dyDescent="0.35">
      <c r="C26" s="194"/>
      <c r="D26" s="188"/>
      <c r="E26" s="188"/>
      <c r="F26" s="188"/>
      <c r="G26" s="188"/>
      <c r="H26" s="188"/>
      <c r="I26" s="188"/>
      <c r="J26" s="188"/>
      <c r="K26" s="188"/>
      <c r="L26" s="188"/>
      <c r="M26" s="188"/>
      <c r="N26" s="188"/>
      <c r="O26" s="188"/>
      <c r="P26" s="192"/>
      <c r="Q26" s="188"/>
      <c r="R26" s="294">
        <f t="shared" si="6"/>
        <v>0</v>
      </c>
      <c r="S26" s="300">
        <f t="shared" si="7"/>
        <v>0</v>
      </c>
      <c r="T26" s="294">
        <f t="shared" si="5"/>
        <v>0</v>
      </c>
    </row>
    <row r="27" spans="1:20" ht="10.5" x14ac:dyDescent="0.4">
      <c r="A27" s="205" t="s">
        <v>75</v>
      </c>
      <c r="B27" s="205"/>
      <c r="C27" s="231"/>
      <c r="D27" s="232"/>
      <c r="E27" s="232"/>
      <c r="F27" s="207">
        <f>SUM(F22:F25)</f>
        <v>165636.99479295808</v>
      </c>
      <c r="G27" s="207"/>
      <c r="H27" s="207">
        <f>SUM(H22:H25)</f>
        <v>184196.5094222663</v>
      </c>
      <c r="I27" s="207"/>
      <c r="J27" s="207">
        <f>SUM(J22:J25)</f>
        <v>181306.35853582941</v>
      </c>
      <c r="K27" s="207"/>
      <c r="L27" s="207">
        <f>SUM(L22:L25)</f>
        <v>150651.33675702015</v>
      </c>
      <c r="M27" s="207"/>
      <c r="N27" s="207">
        <f>SUM(N22:N25)</f>
        <v>47583.721390347469</v>
      </c>
      <c r="O27" s="207">
        <f>F27+H27+J27+L27+N27</f>
        <v>729374.92089842143</v>
      </c>
      <c r="P27" s="207">
        <f>SUM(P12:P25)</f>
        <v>0</v>
      </c>
      <c r="Q27" s="208">
        <f>SUM(O27:P27)</f>
        <v>729374.92089842143</v>
      </c>
      <c r="R27" s="294">
        <f t="shared" si="6"/>
        <v>437624.95253905287</v>
      </c>
      <c r="S27" s="300">
        <f t="shared" si="7"/>
        <v>255281.22231444748</v>
      </c>
      <c r="T27" s="294">
        <f t="shared" si="5"/>
        <v>36468.746044921078</v>
      </c>
    </row>
    <row r="28" spans="1:20" ht="12" customHeight="1" x14ac:dyDescent="0.35">
      <c r="C28" s="194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8"/>
      <c r="P28" s="192"/>
      <c r="Q28" s="188"/>
      <c r="R28" s="294">
        <f t="shared" si="6"/>
        <v>0</v>
      </c>
      <c r="S28" s="300">
        <f t="shared" si="7"/>
        <v>0</v>
      </c>
      <c r="T28" s="294">
        <f t="shared" si="5"/>
        <v>0</v>
      </c>
    </row>
    <row r="29" spans="1:20" ht="12" customHeight="1" x14ac:dyDescent="0.4">
      <c r="A29" s="195" t="s">
        <v>8</v>
      </c>
      <c r="B29" s="195"/>
      <c r="C29" s="196"/>
      <c r="D29" s="197"/>
      <c r="E29" s="197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9"/>
      <c r="R29" s="301"/>
      <c r="S29" s="301"/>
      <c r="T29" s="294"/>
    </row>
    <row r="30" spans="1:20" ht="12" customHeight="1" x14ac:dyDescent="0.35">
      <c r="A30" s="241" t="s">
        <v>503</v>
      </c>
      <c r="B30" s="131"/>
      <c r="C30" s="200"/>
      <c r="D30" s="201"/>
      <c r="E30" s="202"/>
      <c r="F30" s="202"/>
      <c r="G30" s="202"/>
      <c r="H30" s="202"/>
      <c r="I30" s="202"/>
      <c r="J30" s="202"/>
      <c r="K30" s="202"/>
      <c r="L30" s="202"/>
      <c r="M30" s="202"/>
      <c r="N30" s="202"/>
      <c r="O30" s="202"/>
      <c r="P30" s="202"/>
      <c r="Q30" s="202"/>
      <c r="R30" s="301"/>
      <c r="S30" s="302"/>
      <c r="T30" s="294"/>
    </row>
    <row r="31" spans="1:20" ht="12" customHeight="1" x14ac:dyDescent="0.35">
      <c r="A31" s="173" t="s">
        <v>504</v>
      </c>
      <c r="B31" s="173" t="s">
        <v>8</v>
      </c>
      <c r="C31" s="203" t="s">
        <v>79</v>
      </c>
      <c r="D31" s="188">
        <f>2*2</f>
        <v>4</v>
      </c>
      <c r="E31" s="188">
        <v>250</v>
      </c>
      <c r="F31" s="188">
        <f>D31*E31</f>
        <v>1000</v>
      </c>
      <c r="G31" s="192">
        <v>0</v>
      </c>
      <c r="H31" s="192">
        <f>G31*E31*$B$5</f>
        <v>0</v>
      </c>
      <c r="I31" s="192">
        <v>0</v>
      </c>
      <c r="J31" s="192">
        <f>I31*E31*$B$5*$B$5</f>
        <v>0</v>
      </c>
      <c r="K31" s="192">
        <v>0</v>
      </c>
      <c r="L31" s="192">
        <f>K31*E31*$B$5*$B$5*$B$5</f>
        <v>0</v>
      </c>
      <c r="M31" s="192">
        <v>0</v>
      </c>
      <c r="N31" s="192">
        <f>M31*E31*$B$5*$B$5*$B$5*$B$5</f>
        <v>0</v>
      </c>
      <c r="O31" s="188">
        <f>F31+H31+J31+L31+N31</f>
        <v>1000</v>
      </c>
      <c r="P31" s="188" t="s">
        <v>80</v>
      </c>
      <c r="Q31" s="188">
        <f>SUM(O31:P31)</f>
        <v>1000</v>
      </c>
      <c r="R31" s="301"/>
      <c r="S31" s="302"/>
      <c r="T31" s="294"/>
    </row>
    <row r="32" spans="1:20" ht="12" customHeight="1" x14ac:dyDescent="0.35">
      <c r="A32" s="173" t="s">
        <v>505</v>
      </c>
      <c r="B32" s="173" t="s">
        <v>8</v>
      </c>
      <c r="C32" s="203" t="s">
        <v>84</v>
      </c>
      <c r="D32" s="188">
        <f>2*2*1</f>
        <v>4</v>
      </c>
      <c r="E32" s="188">
        <v>200</v>
      </c>
      <c r="F32" s="188">
        <f>D32*E32</f>
        <v>800</v>
      </c>
      <c r="G32" s="192">
        <v>0</v>
      </c>
      <c r="H32" s="192">
        <f>G32*E32*$B$5</f>
        <v>0</v>
      </c>
      <c r="I32" s="192">
        <v>0</v>
      </c>
      <c r="J32" s="192">
        <f>I32*E32*$B$5*$B$5</f>
        <v>0</v>
      </c>
      <c r="K32" s="192">
        <v>0</v>
      </c>
      <c r="L32" s="192">
        <f>K32*E32*$B$5*$B$5*$B$5</f>
        <v>0</v>
      </c>
      <c r="M32" s="192">
        <v>0</v>
      </c>
      <c r="N32" s="192">
        <f>M32*E32*$B$5*$B$5*$B$5*$B$5</f>
        <v>0</v>
      </c>
      <c r="O32" s="188">
        <f t="shared" ref="O32:O40" si="10">F32+H32+J32+L32+N32</f>
        <v>800</v>
      </c>
      <c r="P32" s="188" t="s">
        <v>80</v>
      </c>
      <c r="Q32" s="188">
        <f>SUM(O32:P32)</f>
        <v>800</v>
      </c>
      <c r="R32" s="301"/>
      <c r="S32" s="302"/>
      <c r="T32" s="294"/>
    </row>
    <row r="33" spans="1:20" ht="12" customHeight="1" x14ac:dyDescent="0.35">
      <c r="A33" s="173" t="s">
        <v>506</v>
      </c>
      <c r="B33" s="173" t="s">
        <v>8</v>
      </c>
      <c r="C33" s="203" t="s">
        <v>84</v>
      </c>
      <c r="D33" s="188">
        <f>2*2</f>
        <v>4</v>
      </c>
      <c r="E33" s="188">
        <v>50</v>
      </c>
      <c r="F33" s="188">
        <f>D33*E33</f>
        <v>200</v>
      </c>
      <c r="G33" s="192">
        <v>0</v>
      </c>
      <c r="H33" s="192">
        <f>G33*E33*$B$5</f>
        <v>0</v>
      </c>
      <c r="I33" s="192">
        <v>0</v>
      </c>
      <c r="J33" s="192">
        <f>I33*E33*$B$5*$B$5</f>
        <v>0</v>
      </c>
      <c r="K33" s="192">
        <v>0</v>
      </c>
      <c r="L33" s="192">
        <f>K33*E33*$B$5*$B$5*$B$5</f>
        <v>0</v>
      </c>
      <c r="M33" s="192">
        <v>0</v>
      </c>
      <c r="N33" s="192">
        <f>M33*E33*$B$5*$B$5*$B$5*$B$5</f>
        <v>0</v>
      </c>
      <c r="O33" s="188">
        <f t="shared" si="10"/>
        <v>200</v>
      </c>
      <c r="P33" s="188" t="s">
        <v>80</v>
      </c>
      <c r="Q33" s="188">
        <f>SUM(O33:P33)</f>
        <v>200</v>
      </c>
      <c r="R33" s="294">
        <f t="shared" ref="R33" si="11">Q33*0.6</f>
        <v>120</v>
      </c>
      <c r="S33" s="300">
        <f t="shared" ref="S33" si="12">Q33*0.35</f>
        <v>70</v>
      </c>
      <c r="T33" s="294">
        <f t="shared" si="5"/>
        <v>10</v>
      </c>
    </row>
    <row r="34" spans="1:20" ht="12" customHeight="1" x14ac:dyDescent="0.35">
      <c r="A34" s="173" t="s">
        <v>507</v>
      </c>
      <c r="B34" s="173" t="s">
        <v>8</v>
      </c>
      <c r="C34" s="203" t="s">
        <v>84</v>
      </c>
      <c r="D34" s="188">
        <f>2*2</f>
        <v>4</v>
      </c>
      <c r="E34" s="188">
        <v>50</v>
      </c>
      <c r="F34" s="188">
        <f>D34*E34</f>
        <v>200</v>
      </c>
      <c r="G34" s="192">
        <v>0</v>
      </c>
      <c r="H34" s="192">
        <f>G34*E34*$B$5</f>
        <v>0</v>
      </c>
      <c r="I34" s="192">
        <v>0</v>
      </c>
      <c r="J34" s="192">
        <f>I34*E34*$B$5*$B$5</f>
        <v>0</v>
      </c>
      <c r="K34" s="192">
        <v>0</v>
      </c>
      <c r="L34" s="192">
        <f>K34*E34*$B$5*$B$5*$B$5</f>
        <v>0</v>
      </c>
      <c r="M34" s="192">
        <v>0</v>
      </c>
      <c r="N34" s="192">
        <f>M34*E34*$B$5*$B$5*$B$5*$B$5</f>
        <v>0</v>
      </c>
      <c r="O34" s="188">
        <f t="shared" si="10"/>
        <v>200</v>
      </c>
      <c r="P34" s="188" t="s">
        <v>80</v>
      </c>
      <c r="Q34" s="188">
        <f>SUM(O34:P34)</f>
        <v>200</v>
      </c>
      <c r="R34" s="301"/>
      <c r="S34" s="301"/>
      <c r="T34" s="301"/>
    </row>
    <row r="35" spans="1:20" ht="12" customHeight="1" x14ac:dyDescent="0.35">
      <c r="A35" s="241" t="s">
        <v>508</v>
      </c>
      <c r="B35" s="131"/>
      <c r="C35" s="200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96"/>
      <c r="S35" s="296"/>
      <c r="T35" s="296"/>
    </row>
    <row r="36" spans="1:20" ht="12" customHeight="1" x14ac:dyDescent="0.35">
      <c r="A36" s="173" t="s">
        <v>509</v>
      </c>
      <c r="B36" s="173" t="s">
        <v>8</v>
      </c>
      <c r="C36" s="203" t="s">
        <v>79</v>
      </c>
      <c r="D36" s="188">
        <v>1</v>
      </c>
      <c r="E36" s="188">
        <v>600</v>
      </c>
      <c r="F36" s="188">
        <f>D36*E36</f>
        <v>600</v>
      </c>
      <c r="G36" s="188">
        <v>1</v>
      </c>
      <c r="H36" s="188">
        <f>G36*E36*$B$5</f>
        <v>618</v>
      </c>
      <c r="I36" s="188">
        <v>1</v>
      </c>
      <c r="J36" s="188">
        <f>I36*E36*$B$5*$B$5</f>
        <v>636.54</v>
      </c>
      <c r="K36" s="188">
        <v>1</v>
      </c>
      <c r="L36" s="188">
        <f>K36*E36*$B$5*$B$5*$B$5</f>
        <v>655.63620000000003</v>
      </c>
      <c r="M36" s="188">
        <v>1</v>
      </c>
      <c r="N36" s="188">
        <f>M36*E36*$B$5*$B$5*$B$5*$B$5</f>
        <v>675.30528600000002</v>
      </c>
      <c r="O36" s="188">
        <f t="shared" si="10"/>
        <v>3185.4814859999997</v>
      </c>
      <c r="P36" s="188" t="s">
        <v>80</v>
      </c>
      <c r="Q36" s="188">
        <f>SUM(O36:P36)</f>
        <v>3185.4814859999997</v>
      </c>
      <c r="R36" s="301"/>
      <c r="S36" s="301"/>
      <c r="T36" s="301"/>
    </row>
    <row r="37" spans="1:20" ht="12" customHeight="1" x14ac:dyDescent="0.4">
      <c r="A37" s="173" t="s">
        <v>510</v>
      </c>
      <c r="B37" s="173" t="s">
        <v>8</v>
      </c>
      <c r="C37" s="203" t="s">
        <v>79</v>
      </c>
      <c r="D37" s="188">
        <v>1</v>
      </c>
      <c r="E37" s="188">
        <v>125</v>
      </c>
      <c r="F37" s="188">
        <f>D37*E37</f>
        <v>125</v>
      </c>
      <c r="G37" s="188">
        <v>1</v>
      </c>
      <c r="H37" s="188">
        <f>G37*E37*$B$6</f>
        <v>131.25</v>
      </c>
      <c r="I37" s="188">
        <v>1</v>
      </c>
      <c r="J37" s="188">
        <f>I37*E37*$B$6*$B$6</f>
        <v>137.8125</v>
      </c>
      <c r="K37" s="188">
        <v>1</v>
      </c>
      <c r="L37" s="188">
        <f>K37*E37*$B$6*$B$6*$B$6</f>
        <v>144.703125</v>
      </c>
      <c r="M37" s="188">
        <v>1</v>
      </c>
      <c r="N37" s="188">
        <f>M37*E37*$B$6*$B$6*$B$6*$B$6</f>
        <v>151.93828125000002</v>
      </c>
      <c r="O37" s="188">
        <f t="shared" si="10"/>
        <v>690.70390625000005</v>
      </c>
      <c r="P37" s="188" t="s">
        <v>80</v>
      </c>
      <c r="Q37" s="188">
        <f t="shared" ref="Q37" si="13">SUM(O37:P37)</f>
        <v>690.70390625000005</v>
      </c>
      <c r="R37" s="296"/>
      <c r="S37" s="303"/>
      <c r="T37" s="296"/>
    </row>
    <row r="38" spans="1:20" ht="12" customHeight="1" x14ac:dyDescent="0.35">
      <c r="A38" s="173" t="s">
        <v>102</v>
      </c>
      <c r="B38" s="173" t="s">
        <v>8</v>
      </c>
      <c r="C38" s="203" t="s">
        <v>84</v>
      </c>
      <c r="D38" s="188">
        <v>20</v>
      </c>
      <c r="E38" s="188">
        <v>110</v>
      </c>
      <c r="F38" s="188">
        <f t="shared" ref="F38:F40" si="14">D38*E38</f>
        <v>2200</v>
      </c>
      <c r="G38" s="188">
        <v>7</v>
      </c>
      <c r="H38" s="188">
        <f>G38*E38*$B$6</f>
        <v>808.5</v>
      </c>
      <c r="I38" s="188">
        <v>7</v>
      </c>
      <c r="J38" s="188">
        <f>I38*E38*$B$6*$B$6</f>
        <v>848.92500000000007</v>
      </c>
      <c r="K38" s="188">
        <v>7</v>
      </c>
      <c r="L38" s="188">
        <f>K38*E38*$B$6*$B$6*$B$6</f>
        <v>891.37125000000015</v>
      </c>
      <c r="M38" s="188">
        <v>7</v>
      </c>
      <c r="N38" s="188">
        <f>M38*E38*$B$6*$B$6*$B$6*$B$6</f>
        <v>935.93981250000024</v>
      </c>
      <c r="O38" s="188">
        <f t="shared" si="10"/>
        <v>5684.7360625000001</v>
      </c>
      <c r="P38" s="188" t="s">
        <v>80</v>
      </c>
      <c r="Q38" s="188">
        <f t="shared" ref="Q38:Q40" si="15">SUM(O38:P38)</f>
        <v>5684.7360625000001</v>
      </c>
      <c r="R38" s="296"/>
      <c r="S38" s="296"/>
      <c r="T38" s="296"/>
    </row>
    <row r="39" spans="1:20" ht="12" customHeight="1" x14ac:dyDescent="0.35">
      <c r="A39" s="173" t="s">
        <v>511</v>
      </c>
      <c r="B39" s="173" t="s">
        <v>8</v>
      </c>
      <c r="C39" s="203" t="s">
        <v>84</v>
      </c>
      <c r="D39" s="188">
        <v>20</v>
      </c>
      <c r="E39" s="188">
        <v>50</v>
      </c>
      <c r="F39" s="188">
        <f t="shared" si="14"/>
        <v>1000</v>
      </c>
      <c r="G39" s="188">
        <v>7</v>
      </c>
      <c r="H39" s="188">
        <f>G39*E39*$B$6</f>
        <v>367.5</v>
      </c>
      <c r="I39" s="188">
        <v>7</v>
      </c>
      <c r="J39" s="188">
        <f>I39*E39*$B$6*$B$6</f>
        <v>385.875</v>
      </c>
      <c r="K39" s="188">
        <v>7</v>
      </c>
      <c r="L39" s="188">
        <f>K39*E39*$B$6*$B$6*$B$6</f>
        <v>405.16875000000005</v>
      </c>
      <c r="M39" s="188">
        <v>7</v>
      </c>
      <c r="N39" s="188">
        <f>M39*E39*$B$6*$B$6*$B$6*$B$6</f>
        <v>425.42718750000006</v>
      </c>
      <c r="O39" s="188">
        <f t="shared" si="10"/>
        <v>2583.9709374999998</v>
      </c>
      <c r="P39" s="188" t="s">
        <v>80</v>
      </c>
      <c r="Q39" s="188">
        <f t="shared" si="15"/>
        <v>2583.9709374999998</v>
      </c>
      <c r="R39" s="294">
        <f t="shared" ref="R39:R47" si="16">Q39*0.6</f>
        <v>1550.3825624999997</v>
      </c>
      <c r="S39" s="300">
        <f t="shared" ref="S39:S58" si="17">Q39*0.35</f>
        <v>904.38982812499989</v>
      </c>
      <c r="T39" s="294">
        <f t="shared" ref="T39:T53" si="18">Q39-R39-S39</f>
        <v>129.19854687500015</v>
      </c>
    </row>
    <row r="40" spans="1:20" ht="12" customHeight="1" x14ac:dyDescent="0.35">
      <c r="A40" s="173" t="s">
        <v>512</v>
      </c>
      <c r="B40" s="173" t="s">
        <v>8</v>
      </c>
      <c r="C40" s="203" t="s">
        <v>84</v>
      </c>
      <c r="D40" s="188">
        <v>20</v>
      </c>
      <c r="E40" s="188">
        <v>30</v>
      </c>
      <c r="F40" s="188">
        <f t="shared" si="14"/>
        <v>600</v>
      </c>
      <c r="G40" s="188">
        <v>7</v>
      </c>
      <c r="H40" s="188">
        <f>G40*E40*$B$6</f>
        <v>220.5</v>
      </c>
      <c r="I40" s="188">
        <v>7</v>
      </c>
      <c r="J40" s="188">
        <f>I40*E40*$B$6*$B$6</f>
        <v>231.52500000000001</v>
      </c>
      <c r="K40" s="188">
        <v>7</v>
      </c>
      <c r="L40" s="188">
        <f>K40*E40*$B$6*$B$6*$B$6</f>
        <v>243.10125000000002</v>
      </c>
      <c r="M40" s="188">
        <v>7</v>
      </c>
      <c r="N40" s="188">
        <f>M40*E40*$B$6*$B$6*$B$6*$B$6</f>
        <v>255.25631250000004</v>
      </c>
      <c r="O40" s="188">
        <f t="shared" si="10"/>
        <v>1550.3825624999999</v>
      </c>
      <c r="P40" s="188" t="s">
        <v>80</v>
      </c>
      <c r="Q40" s="188">
        <f t="shared" si="15"/>
        <v>1550.3825624999999</v>
      </c>
      <c r="R40" s="294">
        <f t="shared" si="16"/>
        <v>930.22953749999988</v>
      </c>
      <c r="S40" s="300">
        <f t="shared" si="17"/>
        <v>542.63389687499989</v>
      </c>
      <c r="T40" s="294">
        <f t="shared" si="18"/>
        <v>77.519128125000179</v>
      </c>
    </row>
    <row r="41" spans="1:20" ht="10.199999999999999" x14ac:dyDescent="0.35">
      <c r="A41" s="241" t="s">
        <v>513</v>
      </c>
      <c r="B41" s="131"/>
      <c r="C41" s="200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94">
        <f t="shared" si="16"/>
        <v>0</v>
      </c>
      <c r="S41" s="300">
        <f t="shared" si="17"/>
        <v>0</v>
      </c>
      <c r="T41" s="294">
        <f t="shared" si="18"/>
        <v>0</v>
      </c>
    </row>
    <row r="42" spans="1:20" ht="12" customHeight="1" x14ac:dyDescent="0.35">
      <c r="A42" s="173" t="s">
        <v>510</v>
      </c>
      <c r="B42" s="173" t="s">
        <v>8</v>
      </c>
      <c r="C42" s="203" t="s">
        <v>79</v>
      </c>
      <c r="D42" s="188">
        <f>2*6</f>
        <v>12</v>
      </c>
      <c r="E42" s="188">
        <v>125</v>
      </c>
      <c r="F42" s="188">
        <f>D42*E42</f>
        <v>1500</v>
      </c>
      <c r="G42" s="188">
        <f>2*6</f>
        <v>12</v>
      </c>
      <c r="H42" s="188">
        <f>G42*E42*$B$6</f>
        <v>1575</v>
      </c>
      <c r="I42" s="188">
        <f>2*6</f>
        <v>12</v>
      </c>
      <c r="J42" s="188">
        <f>I42*E42*$B$6*$B$6</f>
        <v>1653.75</v>
      </c>
      <c r="K42" s="188">
        <f>2*6</f>
        <v>12</v>
      </c>
      <c r="L42" s="188">
        <f>K42*E42*$B$6*$B$6*$B$6</f>
        <v>1736.4375</v>
      </c>
      <c r="M42" s="188">
        <v>2</v>
      </c>
      <c r="N42" s="188">
        <f>M42*E42*$B$6*$B$6*$B$6*$B$6</f>
        <v>303.87656250000003</v>
      </c>
      <c r="O42" s="188">
        <f t="shared" ref="O42:O45" si="19">F42+H42+J42+L42+N42</f>
        <v>6769.0640624999996</v>
      </c>
      <c r="P42" s="188" t="s">
        <v>80</v>
      </c>
      <c r="Q42" s="188">
        <f t="shared" ref="Q42:Q45" si="20">SUM(O42:P42)</f>
        <v>6769.0640624999996</v>
      </c>
      <c r="R42" s="294">
        <f t="shared" si="16"/>
        <v>4061.4384374999995</v>
      </c>
      <c r="S42" s="300">
        <f t="shared" si="17"/>
        <v>2369.1724218749996</v>
      </c>
      <c r="T42" s="294">
        <f t="shared" si="18"/>
        <v>338.45320312500053</v>
      </c>
    </row>
    <row r="43" spans="1:20" ht="12" customHeight="1" x14ac:dyDescent="0.35">
      <c r="A43" s="173" t="s">
        <v>102</v>
      </c>
      <c r="B43" s="173" t="s">
        <v>8</v>
      </c>
      <c r="C43" s="203" t="s">
        <v>84</v>
      </c>
      <c r="D43" s="188">
        <f>2*6*5</f>
        <v>60</v>
      </c>
      <c r="E43" s="188">
        <v>110</v>
      </c>
      <c r="F43" s="188">
        <f t="shared" ref="F43:F45" si="21">D43*E43</f>
        <v>6600</v>
      </c>
      <c r="G43" s="188">
        <f>2*6*5</f>
        <v>60</v>
      </c>
      <c r="H43" s="188">
        <f>G43*E43*$B$6</f>
        <v>6930</v>
      </c>
      <c r="I43" s="188">
        <f>2*6*5</f>
        <v>60</v>
      </c>
      <c r="J43" s="188">
        <f>I43*E43*$B$6*$B$6</f>
        <v>7276.5</v>
      </c>
      <c r="K43" s="188">
        <f>2*6*5</f>
        <v>60</v>
      </c>
      <c r="L43" s="188">
        <f>K43*E43*$B$6*$B$6*$B$6</f>
        <v>7640.3250000000007</v>
      </c>
      <c r="M43" s="188">
        <f>2*5</f>
        <v>10</v>
      </c>
      <c r="N43" s="188">
        <f>M43*E43*$B$6*$B$6*$B$6*$B$6</f>
        <v>1337.056875</v>
      </c>
      <c r="O43" s="188">
        <f t="shared" si="19"/>
        <v>29783.881874999999</v>
      </c>
      <c r="P43" s="188" t="s">
        <v>80</v>
      </c>
      <c r="Q43" s="188">
        <f t="shared" si="20"/>
        <v>29783.881874999999</v>
      </c>
      <c r="R43" s="296"/>
      <c r="S43" s="300"/>
      <c r="T43" s="294"/>
    </row>
    <row r="44" spans="1:20" ht="12" customHeight="1" x14ac:dyDescent="0.35">
      <c r="A44" s="173" t="s">
        <v>511</v>
      </c>
      <c r="B44" s="173" t="s">
        <v>8</v>
      </c>
      <c r="C44" s="203" t="s">
        <v>84</v>
      </c>
      <c r="D44" s="188">
        <f t="shared" ref="D44:D45" si="22">2*6*5</f>
        <v>60</v>
      </c>
      <c r="E44" s="188">
        <v>30</v>
      </c>
      <c r="F44" s="188">
        <f t="shared" si="21"/>
        <v>1800</v>
      </c>
      <c r="G44" s="188">
        <f t="shared" ref="G44:K45" si="23">2*6*5</f>
        <v>60</v>
      </c>
      <c r="H44" s="188">
        <f>G44*E44*$B$6</f>
        <v>1890</v>
      </c>
      <c r="I44" s="188">
        <f t="shared" si="23"/>
        <v>60</v>
      </c>
      <c r="J44" s="188">
        <f>I44*E44*$B$6*$B$6</f>
        <v>1984.5</v>
      </c>
      <c r="K44" s="188">
        <f t="shared" si="23"/>
        <v>60</v>
      </c>
      <c r="L44" s="188">
        <f>K44*E44*$B$6*$B$6*$B$6</f>
        <v>2083.7249999999999</v>
      </c>
      <c r="M44" s="188">
        <f t="shared" ref="M44:M45" si="24">2*5</f>
        <v>10</v>
      </c>
      <c r="N44" s="188">
        <f>M44*E44*$B$6*$B$6*$B$6*$B$6</f>
        <v>364.65187500000002</v>
      </c>
      <c r="O44" s="188">
        <f t="shared" si="19"/>
        <v>8122.8768749999999</v>
      </c>
      <c r="P44" s="188" t="s">
        <v>80</v>
      </c>
      <c r="Q44" s="188">
        <f t="shared" si="20"/>
        <v>8122.8768749999999</v>
      </c>
      <c r="R44" s="294">
        <f t="shared" si="16"/>
        <v>4873.7261250000001</v>
      </c>
      <c r="S44" s="300">
        <f t="shared" si="17"/>
        <v>2843.0069062499997</v>
      </c>
      <c r="T44" s="294">
        <f t="shared" si="18"/>
        <v>406.14384375000009</v>
      </c>
    </row>
    <row r="45" spans="1:20" ht="12" customHeight="1" x14ac:dyDescent="0.35">
      <c r="A45" s="173" t="s">
        <v>512</v>
      </c>
      <c r="B45" s="173" t="s">
        <v>8</v>
      </c>
      <c r="C45" s="203" t="s">
        <v>84</v>
      </c>
      <c r="D45" s="188">
        <f t="shared" si="22"/>
        <v>60</v>
      </c>
      <c r="E45" s="188">
        <v>30</v>
      </c>
      <c r="F45" s="188">
        <f t="shared" si="21"/>
        <v>1800</v>
      </c>
      <c r="G45" s="188">
        <f t="shared" si="23"/>
        <v>60</v>
      </c>
      <c r="H45" s="188">
        <f>G45*E45*$B$6</f>
        <v>1890</v>
      </c>
      <c r="I45" s="188">
        <f t="shared" si="23"/>
        <v>60</v>
      </c>
      <c r="J45" s="188">
        <f>I45*E45*$B$6*$B$6</f>
        <v>1984.5</v>
      </c>
      <c r="K45" s="188">
        <f t="shared" si="23"/>
        <v>60</v>
      </c>
      <c r="L45" s="188">
        <f>K45*E45*$B$6*$B$6*$B$6</f>
        <v>2083.7249999999999</v>
      </c>
      <c r="M45" s="188">
        <f t="shared" si="24"/>
        <v>10</v>
      </c>
      <c r="N45" s="188">
        <f>M45*E45*$B$6*$B$6*$B$6*$B$6</f>
        <v>364.65187500000002</v>
      </c>
      <c r="O45" s="188">
        <f t="shared" si="19"/>
        <v>8122.8768749999999</v>
      </c>
      <c r="P45" s="188" t="s">
        <v>80</v>
      </c>
      <c r="Q45" s="188">
        <f t="shared" si="20"/>
        <v>8122.8768749999999</v>
      </c>
      <c r="R45" s="294">
        <f t="shared" si="16"/>
        <v>4873.7261250000001</v>
      </c>
      <c r="S45" s="300">
        <f t="shared" si="17"/>
        <v>2843.0069062499997</v>
      </c>
      <c r="T45" s="294">
        <f t="shared" si="18"/>
        <v>406.14384375000009</v>
      </c>
    </row>
    <row r="46" spans="1:20" ht="12" customHeight="1" x14ac:dyDescent="0.35">
      <c r="A46" s="106"/>
      <c r="B46" s="106"/>
      <c r="C46" s="203"/>
      <c r="D46" s="188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294">
        <f t="shared" si="16"/>
        <v>0</v>
      </c>
      <c r="S46" s="300">
        <f t="shared" si="17"/>
        <v>0</v>
      </c>
      <c r="T46" s="294">
        <f t="shared" si="18"/>
        <v>0</v>
      </c>
    </row>
    <row r="47" spans="1:20" ht="12" customHeight="1" x14ac:dyDescent="0.4">
      <c r="A47" s="205" t="s">
        <v>107</v>
      </c>
      <c r="B47" s="205"/>
      <c r="C47" s="231"/>
      <c r="D47" s="232"/>
      <c r="E47" s="232"/>
      <c r="F47" s="207">
        <f>SUM(F31:F46)</f>
        <v>18425</v>
      </c>
      <c r="G47" s="207"/>
      <c r="H47" s="207">
        <f>SUM(H31:H46)</f>
        <v>14430.75</v>
      </c>
      <c r="I47" s="207"/>
      <c r="J47" s="207">
        <f>SUM(J31:J46)</f>
        <v>15139.9275</v>
      </c>
      <c r="K47" s="207"/>
      <c r="L47" s="207">
        <f>SUM(L31:L46)</f>
        <v>15884.193075000001</v>
      </c>
      <c r="M47" s="207"/>
      <c r="N47" s="207">
        <f>SUM(N31:N46)</f>
        <v>4814.1040672500003</v>
      </c>
      <c r="O47" s="207">
        <f>F47+H47+J47+L47+N47</f>
        <v>68693.974642250003</v>
      </c>
      <c r="P47" s="207">
        <f>SUM(P31:P45)</f>
        <v>0</v>
      </c>
      <c r="Q47" s="208">
        <f>SUM(O47:P47)</f>
        <v>68693.974642250003</v>
      </c>
      <c r="R47" s="294">
        <f t="shared" si="16"/>
        <v>41216.384785349997</v>
      </c>
      <c r="S47" s="300">
        <f t="shared" si="17"/>
        <v>24042.8911247875</v>
      </c>
      <c r="T47" s="294">
        <f t="shared" si="18"/>
        <v>3434.6987321125052</v>
      </c>
    </row>
    <row r="48" spans="1:20" ht="12" customHeight="1" x14ac:dyDescent="0.4">
      <c r="A48" s="182" t="s">
        <v>444</v>
      </c>
      <c r="B48" s="182"/>
      <c r="C48" s="182"/>
      <c r="D48" s="183"/>
      <c r="E48" s="183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/>
      <c r="Q48" s="184"/>
      <c r="R48" s="296"/>
      <c r="S48" s="300"/>
      <c r="T48" s="294"/>
    </row>
    <row r="49" spans="1:22" ht="12" customHeight="1" x14ac:dyDescent="0.35">
      <c r="A49" s="173" t="s">
        <v>514</v>
      </c>
      <c r="B49" s="106" t="s">
        <v>115</v>
      </c>
      <c r="C49" s="194" t="s">
        <v>112</v>
      </c>
      <c r="D49" s="188">
        <v>2</v>
      </c>
      <c r="E49" s="192">
        <v>800</v>
      </c>
      <c r="F49" s="192">
        <f>E49*D49</f>
        <v>1600</v>
      </c>
      <c r="G49" s="192">
        <v>0</v>
      </c>
      <c r="H49" s="192">
        <f>G49*E49*$B$6</f>
        <v>0</v>
      </c>
      <c r="I49" s="192">
        <v>0</v>
      </c>
      <c r="J49" s="192">
        <f>I49*E49*$B$6*$B$6</f>
        <v>0</v>
      </c>
      <c r="K49" s="192">
        <v>0</v>
      </c>
      <c r="L49" s="192">
        <f>K49*E49*$B$6*$B$6*$B$6</f>
        <v>0</v>
      </c>
      <c r="M49" s="192">
        <v>0</v>
      </c>
      <c r="N49" s="192">
        <f>M49*E49*$B$6*$B$6*$B$6*$B$6</f>
        <v>0</v>
      </c>
      <c r="O49" s="192">
        <f>F49+H49+J49+L49+N49</f>
        <v>1600</v>
      </c>
      <c r="P49" s="192">
        <v>0</v>
      </c>
      <c r="Q49" s="192">
        <f t="shared" ref="Q49:Q50" si="25">SUM(O49:P49)</f>
        <v>1600</v>
      </c>
      <c r="R49" s="296"/>
      <c r="S49" s="300"/>
      <c r="T49" s="294"/>
    </row>
    <row r="50" spans="1:22" ht="12" customHeight="1" x14ac:dyDescent="0.35">
      <c r="A50" s="106" t="s">
        <v>515</v>
      </c>
      <c r="B50" s="106" t="s">
        <v>115</v>
      </c>
      <c r="C50" s="194" t="s">
        <v>112</v>
      </c>
      <c r="D50" s="188">
        <v>10</v>
      </c>
      <c r="E50" s="192">
        <v>30</v>
      </c>
      <c r="F50" s="192">
        <f t="shared" ref="F50" si="26">D50*E50</f>
        <v>300</v>
      </c>
      <c r="G50" s="192">
        <v>12</v>
      </c>
      <c r="H50" s="192">
        <f>G50*E50*$B$6</f>
        <v>378</v>
      </c>
      <c r="I50" s="192">
        <v>12</v>
      </c>
      <c r="J50" s="192">
        <f>I50*E50*$B$6*$B$6</f>
        <v>396.90000000000003</v>
      </c>
      <c r="K50" s="192">
        <v>12</v>
      </c>
      <c r="L50" s="192">
        <f>K50*E50*$B$6*$B$6*$B$6</f>
        <v>416.74500000000006</v>
      </c>
      <c r="M50" s="192">
        <v>3</v>
      </c>
      <c r="N50" s="192">
        <f>M50*E50*$B$6*$B$6*$B$6*$B$6</f>
        <v>109.39556250000003</v>
      </c>
      <c r="O50" s="192">
        <f>F50+H50+J50+L50+N50</f>
        <v>1601.0405625000003</v>
      </c>
      <c r="P50" s="192">
        <v>0</v>
      </c>
      <c r="Q50" s="192">
        <f t="shared" si="25"/>
        <v>1601.0405625000003</v>
      </c>
      <c r="R50" s="296"/>
      <c r="S50" s="300"/>
      <c r="T50" s="294"/>
    </row>
    <row r="51" spans="1:22" ht="12" customHeight="1" x14ac:dyDescent="0.35">
      <c r="A51" s="106"/>
      <c r="B51" s="106"/>
      <c r="C51" s="203"/>
      <c r="R51" s="294">
        <f t="shared" ref="R51:R53" si="27">Q51*0.6</f>
        <v>0</v>
      </c>
      <c r="S51" s="300">
        <f t="shared" si="17"/>
        <v>0</v>
      </c>
      <c r="T51" s="294">
        <f t="shared" si="18"/>
        <v>0</v>
      </c>
    </row>
    <row r="52" spans="1:22" ht="12" customHeight="1" x14ac:dyDescent="0.4">
      <c r="A52" s="204" t="s">
        <v>373</v>
      </c>
      <c r="B52" s="204"/>
      <c r="C52" s="205"/>
      <c r="D52" s="206"/>
      <c r="E52" s="206"/>
      <c r="F52" s="176">
        <f>SUM(F49:F50)</f>
        <v>1900</v>
      </c>
      <c r="G52" s="176"/>
      <c r="H52" s="176">
        <f>SUM(H49:H50)</f>
        <v>378</v>
      </c>
      <c r="I52" s="176"/>
      <c r="J52" s="176">
        <f>SUM(J49:J50)</f>
        <v>396.90000000000003</v>
      </c>
      <c r="K52" s="176"/>
      <c r="L52" s="176">
        <f>SUM(L49:L50)</f>
        <v>416.74500000000006</v>
      </c>
      <c r="M52" s="176"/>
      <c r="N52" s="176">
        <f>SUM(N49:N50)</f>
        <v>109.39556250000003</v>
      </c>
      <c r="O52" s="207">
        <f>F52+H52+J52+L52+N52</f>
        <v>3201.0405624999999</v>
      </c>
      <c r="P52" s="176">
        <f>SUM(P49:P50)</f>
        <v>0</v>
      </c>
      <c r="Q52" s="208">
        <f>SUM(O52:P52)</f>
        <v>3201.0405624999999</v>
      </c>
      <c r="R52" s="294">
        <f t="shared" si="27"/>
        <v>1920.6243374999999</v>
      </c>
      <c r="S52" s="300">
        <f t="shared" si="17"/>
        <v>1120.3641968749998</v>
      </c>
      <c r="T52" s="294">
        <f t="shared" si="18"/>
        <v>160.05202812500011</v>
      </c>
    </row>
    <row r="53" spans="1:22" ht="12" customHeight="1" x14ac:dyDescent="0.4">
      <c r="A53" s="182" t="s">
        <v>374</v>
      </c>
      <c r="B53" s="182"/>
      <c r="C53" s="182"/>
      <c r="D53" s="183"/>
      <c r="E53" s="183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294">
        <f t="shared" si="27"/>
        <v>0</v>
      </c>
      <c r="S53" s="300">
        <f t="shared" si="17"/>
        <v>0</v>
      </c>
      <c r="T53" s="294">
        <f t="shared" si="18"/>
        <v>0</v>
      </c>
    </row>
    <row r="54" spans="1:22" ht="12" customHeight="1" x14ac:dyDescent="0.35">
      <c r="A54" s="106" t="s">
        <v>376</v>
      </c>
      <c r="B54" s="106" t="s">
        <v>374</v>
      </c>
      <c r="C54" s="203" t="s">
        <v>53</v>
      </c>
      <c r="D54" s="188">
        <v>10</v>
      </c>
      <c r="E54" s="192">
        <v>30</v>
      </c>
      <c r="F54" s="192">
        <f t="shared" ref="F54:F57" si="28">D54*E54</f>
        <v>300</v>
      </c>
      <c r="G54" s="192">
        <v>12</v>
      </c>
      <c r="H54" s="192">
        <f>G54*E54*$B$6</f>
        <v>378</v>
      </c>
      <c r="I54" s="192">
        <v>12</v>
      </c>
      <c r="J54" s="192">
        <f>I54*E54*$B$6*$B$6</f>
        <v>396.90000000000003</v>
      </c>
      <c r="K54" s="192">
        <v>12</v>
      </c>
      <c r="L54" s="192">
        <f>K54*E54*$B$6*$B$6*$B$6</f>
        <v>416.74500000000006</v>
      </c>
      <c r="M54" s="192">
        <v>3</v>
      </c>
      <c r="N54" s="192">
        <f>M54*E54*$B$6*$B$6*$B$6*$B$6</f>
        <v>109.39556250000003</v>
      </c>
      <c r="O54" s="192">
        <f>F54+H54+J54+L54+N54</f>
        <v>1601.0405625000003</v>
      </c>
      <c r="P54" s="192">
        <v>0</v>
      </c>
      <c r="Q54" s="192">
        <f t="shared" ref="Q54:Q57" si="29">SUM(O54:P54)</f>
        <v>1601.0405625000003</v>
      </c>
      <c r="R54" s="296"/>
      <c r="S54" s="300"/>
      <c r="T54" s="296"/>
    </row>
    <row r="55" spans="1:22" ht="12" customHeight="1" x14ac:dyDescent="0.35">
      <c r="A55" s="106" t="s">
        <v>378</v>
      </c>
      <c r="B55" s="106" t="s">
        <v>374</v>
      </c>
      <c r="C55" s="203" t="s">
        <v>53</v>
      </c>
      <c r="D55" s="188">
        <v>10</v>
      </c>
      <c r="E55" s="192">
        <v>15</v>
      </c>
      <c r="F55" s="192">
        <f t="shared" si="28"/>
        <v>150</v>
      </c>
      <c r="G55" s="192">
        <v>12</v>
      </c>
      <c r="H55" s="192">
        <f>G55*E55*$B$6</f>
        <v>189</v>
      </c>
      <c r="I55" s="192">
        <v>12</v>
      </c>
      <c r="J55" s="192">
        <f>I55*E55*$B$6*$B$6</f>
        <v>198.45000000000002</v>
      </c>
      <c r="K55" s="192">
        <v>12</v>
      </c>
      <c r="L55" s="192">
        <f>K55*E55*$B$6*$B$6*$B$6</f>
        <v>208.37250000000003</v>
      </c>
      <c r="M55" s="192">
        <v>3</v>
      </c>
      <c r="N55" s="192">
        <f>M55*E55*$B$6*$B$6*$B$6*$B$6</f>
        <v>54.697781250000013</v>
      </c>
      <c r="O55" s="192">
        <f t="shared" ref="O55:O57" si="30">F55+H55+J55+L55+N55</f>
        <v>800.52028125000015</v>
      </c>
      <c r="P55" s="192">
        <v>0</v>
      </c>
      <c r="Q55" s="192">
        <f t="shared" si="29"/>
        <v>800.52028125000015</v>
      </c>
      <c r="R55" s="296"/>
      <c r="S55" s="300"/>
      <c r="T55" s="296"/>
    </row>
    <row r="56" spans="1:22" ht="12" customHeight="1" x14ac:dyDescent="0.35">
      <c r="A56" s="106" t="s">
        <v>516</v>
      </c>
      <c r="B56" s="106" t="s">
        <v>374</v>
      </c>
      <c r="C56" s="203" t="s">
        <v>53</v>
      </c>
      <c r="D56" s="188">
        <v>10</v>
      </c>
      <c r="E56" s="192">
        <v>150</v>
      </c>
      <c r="F56" s="192">
        <f t="shared" si="28"/>
        <v>1500</v>
      </c>
      <c r="G56" s="192">
        <v>12</v>
      </c>
      <c r="H56" s="192">
        <f>G56*E56*$B$6</f>
        <v>1890</v>
      </c>
      <c r="I56" s="192">
        <v>12</v>
      </c>
      <c r="J56" s="192">
        <f>I56*E56*$B$6*$B$6</f>
        <v>1984.5</v>
      </c>
      <c r="K56" s="192">
        <v>12</v>
      </c>
      <c r="L56" s="192">
        <f>K56*E56*$B$6*$B$6*$B$6</f>
        <v>2083.7249999999999</v>
      </c>
      <c r="M56" s="192">
        <v>3</v>
      </c>
      <c r="N56" s="192">
        <f>M56*E56*$B$6*$B$6*$B$6*$B$6</f>
        <v>546.97781250000003</v>
      </c>
      <c r="O56" s="192">
        <f t="shared" si="30"/>
        <v>8005.2028125000006</v>
      </c>
      <c r="P56" s="192">
        <v>0</v>
      </c>
      <c r="Q56" s="192">
        <f t="shared" ref="Q56" si="31">SUM(O56:P56)</f>
        <v>8005.2028125000006</v>
      </c>
      <c r="R56" s="296"/>
      <c r="S56" s="300"/>
      <c r="T56" s="296"/>
    </row>
    <row r="57" spans="1:22" ht="12" customHeight="1" x14ac:dyDescent="0.35">
      <c r="A57" s="106" t="s">
        <v>517</v>
      </c>
      <c r="B57" s="106" t="s">
        <v>374</v>
      </c>
      <c r="C57" s="203" t="s">
        <v>53</v>
      </c>
      <c r="D57" s="188">
        <v>10</v>
      </c>
      <c r="E57" s="192">
        <v>120</v>
      </c>
      <c r="F57" s="192">
        <f t="shared" si="28"/>
        <v>1200</v>
      </c>
      <c r="G57" s="192">
        <v>12</v>
      </c>
      <c r="H57" s="192">
        <f>G57*E57*$B$6</f>
        <v>1512</v>
      </c>
      <c r="I57" s="192">
        <v>12</v>
      </c>
      <c r="J57" s="192">
        <f>I57*E57*$B$6*$B$6</f>
        <v>1587.6000000000001</v>
      </c>
      <c r="K57" s="192">
        <v>12</v>
      </c>
      <c r="L57" s="192">
        <f>K57*E57*$B$6*$B$6*$B$6</f>
        <v>1666.9800000000002</v>
      </c>
      <c r="M57" s="192">
        <v>3</v>
      </c>
      <c r="N57" s="192">
        <f>M57*E57*$B$6*$B$6*$B$6*$B$6</f>
        <v>437.5822500000001</v>
      </c>
      <c r="O57" s="192">
        <f t="shared" si="30"/>
        <v>6404.1622500000012</v>
      </c>
      <c r="P57" s="192">
        <v>0</v>
      </c>
      <c r="Q57" s="192">
        <f t="shared" si="29"/>
        <v>6404.1622500000012</v>
      </c>
      <c r="R57" s="294">
        <f t="shared" ref="R57:R58" si="32">Q57*0.6</f>
        <v>3842.4973500000006</v>
      </c>
      <c r="S57" s="300">
        <f t="shared" si="17"/>
        <v>2241.4567875000002</v>
      </c>
      <c r="T57" s="294">
        <f t="shared" ref="T57:T58" si="33">Q57-R57-S57</f>
        <v>320.20811250000042</v>
      </c>
    </row>
    <row r="58" spans="1:22" ht="12" customHeight="1" x14ac:dyDescent="0.35">
      <c r="A58" s="106"/>
      <c r="B58" s="106"/>
      <c r="C58" s="203"/>
      <c r="R58" s="294">
        <f t="shared" si="32"/>
        <v>0</v>
      </c>
      <c r="S58" s="300">
        <f t="shared" si="17"/>
        <v>0</v>
      </c>
      <c r="T58" s="294">
        <f t="shared" si="33"/>
        <v>0</v>
      </c>
    </row>
    <row r="59" spans="1:22" ht="12" customHeight="1" x14ac:dyDescent="0.4">
      <c r="A59" s="204" t="s">
        <v>389</v>
      </c>
      <c r="B59" s="204"/>
      <c r="C59" s="205"/>
      <c r="D59" s="206"/>
      <c r="E59" s="206"/>
      <c r="F59" s="176">
        <f>SUM(F54:F57)</f>
        <v>3150</v>
      </c>
      <c r="G59" s="176"/>
      <c r="H59" s="176">
        <f>SUM(H54:H57)</f>
        <v>3969</v>
      </c>
      <c r="I59" s="176"/>
      <c r="J59" s="176">
        <f>SUM(J54:J57)</f>
        <v>4167.45</v>
      </c>
      <c r="K59" s="176"/>
      <c r="L59" s="176">
        <f>SUM(L54:L57)</f>
        <v>4375.8225000000002</v>
      </c>
      <c r="M59" s="176"/>
      <c r="N59" s="176">
        <f>SUM(N54:N57)</f>
        <v>1148.6534062500002</v>
      </c>
      <c r="O59" s="207">
        <f>F59+H59+J59+L59+N59</f>
        <v>16810.925906250002</v>
      </c>
      <c r="P59" s="176">
        <f>SUM(P54:P57)</f>
        <v>0</v>
      </c>
      <c r="Q59" s="208">
        <f>SUM(O59:P59)</f>
        <v>16810.925906250002</v>
      </c>
      <c r="R59" s="296"/>
      <c r="S59" s="296"/>
      <c r="T59" s="296"/>
    </row>
    <row r="60" spans="1:22" ht="30" customHeight="1" x14ac:dyDescent="0.35">
      <c r="A60" s="324" t="s">
        <v>390</v>
      </c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6"/>
      <c r="R60" s="296"/>
      <c r="S60" s="296"/>
      <c r="T60" s="296"/>
    </row>
    <row r="61" spans="1:22" ht="12" customHeight="1" x14ac:dyDescent="0.4">
      <c r="A61" s="233" t="s">
        <v>139</v>
      </c>
      <c r="B61" s="234"/>
      <c r="C61" s="234"/>
      <c r="D61" s="235"/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96"/>
      <c r="S61" s="296"/>
      <c r="T61" s="296"/>
      <c r="V61" s="165"/>
    </row>
    <row r="62" spans="1:22" ht="12" customHeight="1" x14ac:dyDescent="0.4">
      <c r="A62" s="209" t="s">
        <v>140</v>
      </c>
      <c r="B62" s="210"/>
      <c r="C62" s="211"/>
      <c r="D62" s="212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96"/>
      <c r="S62" s="296"/>
      <c r="T62" s="296"/>
    </row>
    <row r="63" spans="1:22" ht="12" customHeight="1" x14ac:dyDescent="0.4">
      <c r="A63" s="106" t="s">
        <v>518</v>
      </c>
      <c r="B63" s="106" t="s">
        <v>393</v>
      </c>
      <c r="C63" s="194" t="s">
        <v>112</v>
      </c>
      <c r="D63" s="188">
        <f>$F$27</f>
        <v>165636.99479295808</v>
      </c>
      <c r="E63" s="214">
        <v>0.6</v>
      </c>
      <c r="F63" s="192">
        <f>D63*E63</f>
        <v>99382.19687577484</v>
      </c>
      <c r="G63" s="192">
        <f>$H$27</f>
        <v>184196.5094222663</v>
      </c>
      <c r="H63" s="192">
        <f>G63*E63</f>
        <v>110517.90565335978</v>
      </c>
      <c r="I63" s="192">
        <f>$J$27</f>
        <v>181306.35853582941</v>
      </c>
      <c r="J63" s="192">
        <f t="shared" ref="J63" si="34">I63*E63</f>
        <v>108783.81512149764</v>
      </c>
      <c r="K63" s="192">
        <f>$L$27</f>
        <v>150651.33675702015</v>
      </c>
      <c r="L63" s="192">
        <f t="shared" ref="L63:L66" si="35">K63*E63</f>
        <v>90390.802054212094</v>
      </c>
      <c r="M63" s="192">
        <f>$N$27</f>
        <v>47583.721390347469</v>
      </c>
      <c r="N63" s="192">
        <f t="shared" ref="N63:N66" si="36">M63*E63</f>
        <v>28550.23283420848</v>
      </c>
      <c r="O63" s="192">
        <f t="shared" ref="O63:O66" si="37">F63+H63+J63+L63+N63</f>
        <v>437624.95253905276</v>
      </c>
      <c r="P63" s="192">
        <v>0</v>
      </c>
      <c r="Q63" s="192">
        <f t="shared" ref="Q63:Q66" si="38">SUM(O63:P63)</f>
        <v>437624.95253905276</v>
      </c>
      <c r="R63" s="296"/>
      <c r="S63" s="295"/>
      <c r="T63" s="296"/>
    </row>
    <row r="64" spans="1:22" ht="12" customHeight="1" x14ac:dyDescent="0.35">
      <c r="A64" s="106" t="s">
        <v>519</v>
      </c>
      <c r="B64" s="106" t="s">
        <v>393</v>
      </c>
      <c r="C64" s="194" t="s">
        <v>112</v>
      </c>
      <c r="D64" s="188">
        <f>$F$47</f>
        <v>18425</v>
      </c>
      <c r="E64" s="214">
        <v>0.6</v>
      </c>
      <c r="F64" s="192">
        <f t="shared" ref="F64:F66" si="39">D64*E64</f>
        <v>11055</v>
      </c>
      <c r="G64" s="192">
        <f>$H$47</f>
        <v>14430.75</v>
      </c>
      <c r="H64" s="192">
        <f t="shared" ref="H64:H66" si="40">G64*E64</f>
        <v>8658.4499999999989</v>
      </c>
      <c r="I64" s="192">
        <f>$J$47</f>
        <v>15139.9275</v>
      </c>
      <c r="J64" s="192">
        <f>I64*E64</f>
        <v>9083.9565000000002</v>
      </c>
      <c r="K64" s="192">
        <f>$L$47</f>
        <v>15884.193075000001</v>
      </c>
      <c r="L64" s="192">
        <f t="shared" si="35"/>
        <v>9530.5158449999999</v>
      </c>
      <c r="M64" s="192">
        <f>$N$47</f>
        <v>4814.1040672500003</v>
      </c>
      <c r="N64" s="192">
        <f t="shared" si="36"/>
        <v>2888.4624403500002</v>
      </c>
      <c r="O64" s="192">
        <f t="shared" si="37"/>
        <v>41216.384785349997</v>
      </c>
      <c r="P64" s="192">
        <v>0</v>
      </c>
      <c r="Q64" s="192">
        <f t="shared" si="38"/>
        <v>41216.384785349997</v>
      </c>
      <c r="R64" s="296"/>
      <c r="S64" s="296"/>
      <c r="T64" s="296"/>
    </row>
    <row r="65" spans="1:20" ht="12" customHeight="1" x14ac:dyDescent="0.35">
      <c r="A65" s="106" t="s">
        <v>520</v>
      </c>
      <c r="B65" s="106" t="s">
        <v>393</v>
      </c>
      <c r="C65" s="194" t="s">
        <v>112</v>
      </c>
      <c r="D65" s="188">
        <f>$F$52</f>
        <v>1900</v>
      </c>
      <c r="E65" s="214">
        <v>0.6</v>
      </c>
      <c r="F65" s="192">
        <f t="shared" si="39"/>
        <v>1140</v>
      </c>
      <c r="G65" s="192">
        <f>$H$52</f>
        <v>378</v>
      </c>
      <c r="H65" s="192">
        <f>G65*E65</f>
        <v>226.79999999999998</v>
      </c>
      <c r="I65" s="192">
        <f>$J$52</f>
        <v>396.90000000000003</v>
      </c>
      <c r="J65" s="192">
        <f>I65*E65</f>
        <v>238.14000000000001</v>
      </c>
      <c r="K65" s="192">
        <f>$L$52</f>
        <v>416.74500000000006</v>
      </c>
      <c r="L65" s="192">
        <f>K65*E65</f>
        <v>250.04700000000003</v>
      </c>
      <c r="M65" s="192">
        <f>$N$52</f>
        <v>109.39556250000003</v>
      </c>
      <c r="N65" s="192">
        <f t="shared" si="36"/>
        <v>65.637337500000015</v>
      </c>
      <c r="O65" s="192">
        <f t="shared" si="37"/>
        <v>1920.6243375000001</v>
      </c>
      <c r="P65" s="192">
        <v>0</v>
      </c>
      <c r="Q65" s="192">
        <f t="shared" si="38"/>
        <v>1920.6243375000001</v>
      </c>
      <c r="R65" s="296"/>
      <c r="S65" s="296"/>
      <c r="T65" s="296"/>
    </row>
    <row r="66" spans="1:20" ht="12" customHeight="1" x14ac:dyDescent="0.35">
      <c r="A66" s="106" t="s">
        <v>521</v>
      </c>
      <c r="B66" s="106" t="s">
        <v>393</v>
      </c>
      <c r="C66" s="194" t="s">
        <v>112</v>
      </c>
      <c r="D66" s="188">
        <f>$F$59</f>
        <v>3150</v>
      </c>
      <c r="E66" s="214">
        <v>0.6</v>
      </c>
      <c r="F66" s="192">
        <f t="shared" si="39"/>
        <v>1890</v>
      </c>
      <c r="G66" s="192">
        <f>$H$59</f>
        <v>3969</v>
      </c>
      <c r="H66" s="192">
        <f t="shared" si="40"/>
        <v>2381.4</v>
      </c>
      <c r="I66" s="192">
        <f>$J$59</f>
        <v>4167.45</v>
      </c>
      <c r="J66" s="192">
        <f>I66*E66</f>
        <v>2500.4699999999998</v>
      </c>
      <c r="K66" s="192">
        <f>$L$59</f>
        <v>4375.8225000000002</v>
      </c>
      <c r="L66" s="192">
        <f t="shared" si="35"/>
        <v>2625.4935</v>
      </c>
      <c r="M66" s="192">
        <f>$N$59</f>
        <v>1148.6534062500002</v>
      </c>
      <c r="N66" s="192">
        <f t="shared" si="36"/>
        <v>689.19204375000015</v>
      </c>
      <c r="O66" s="192">
        <f t="shared" si="37"/>
        <v>10086.555543749999</v>
      </c>
      <c r="P66" s="192">
        <v>0</v>
      </c>
      <c r="Q66" s="192">
        <f t="shared" si="38"/>
        <v>10086.555543749999</v>
      </c>
      <c r="R66" s="296"/>
      <c r="S66" s="296"/>
      <c r="T66" s="296"/>
    </row>
    <row r="67" spans="1:20" ht="12" customHeight="1" x14ac:dyDescent="0.35">
      <c r="A67" s="241" t="s">
        <v>522</v>
      </c>
      <c r="B67" s="131"/>
      <c r="C67" s="242"/>
      <c r="D67" s="201"/>
      <c r="E67" s="243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96"/>
      <c r="S67" s="296"/>
      <c r="T67" s="296"/>
    </row>
    <row r="68" spans="1:20" ht="10.199999999999999" x14ac:dyDescent="0.35">
      <c r="A68" s="12" t="s">
        <v>523</v>
      </c>
      <c r="B68" s="106" t="s">
        <v>393</v>
      </c>
      <c r="C68" s="194" t="s">
        <v>524</v>
      </c>
      <c r="D68" s="188">
        <v>48</v>
      </c>
      <c r="E68" s="192">
        <v>350</v>
      </c>
      <c r="F68" s="192">
        <f t="shared" ref="F68:F71" si="41">D68*E68</f>
        <v>16800</v>
      </c>
      <c r="G68" s="192">
        <v>0</v>
      </c>
      <c r="H68" s="192">
        <f>G68*E68</f>
        <v>0</v>
      </c>
      <c r="I68" s="192">
        <v>0</v>
      </c>
      <c r="J68" s="192">
        <f>I68*E68</f>
        <v>0</v>
      </c>
      <c r="K68" s="192">
        <v>0</v>
      </c>
      <c r="L68" s="192">
        <f>K68*E68</f>
        <v>0</v>
      </c>
      <c r="M68" s="192">
        <v>0</v>
      </c>
      <c r="N68" s="192">
        <f>M68*E68</f>
        <v>0</v>
      </c>
      <c r="O68" s="192">
        <f>F68+H68+J68+L68+N68</f>
        <v>16800</v>
      </c>
      <c r="P68" s="192">
        <v>0</v>
      </c>
      <c r="Q68" s="192">
        <f t="shared" ref="Q68:Q71" si="42">SUM(O68:P68)</f>
        <v>16800</v>
      </c>
      <c r="R68" s="296"/>
      <c r="S68" s="296"/>
      <c r="T68" s="296"/>
    </row>
    <row r="69" spans="1:20" ht="12" customHeight="1" x14ac:dyDescent="0.35">
      <c r="A69" s="12" t="s">
        <v>525</v>
      </c>
      <c r="B69" s="106" t="s">
        <v>393</v>
      </c>
      <c r="C69" s="194" t="s">
        <v>161</v>
      </c>
      <c r="D69" s="188">
        <v>125</v>
      </c>
      <c r="E69" s="192">
        <v>125</v>
      </c>
      <c r="F69" s="192">
        <f>D69*E69</f>
        <v>15625</v>
      </c>
      <c r="G69" s="192">
        <v>0</v>
      </c>
      <c r="H69" s="192">
        <f>G69*E69</f>
        <v>0</v>
      </c>
      <c r="I69" s="192">
        <v>0</v>
      </c>
      <c r="J69" s="192">
        <f>I69*E69</f>
        <v>0</v>
      </c>
      <c r="K69" s="192">
        <v>0</v>
      </c>
      <c r="L69" s="192">
        <f>K69*E69</f>
        <v>0</v>
      </c>
      <c r="M69" s="192">
        <v>0</v>
      </c>
      <c r="N69" s="192">
        <f>M69*E69</f>
        <v>0</v>
      </c>
      <c r="O69" s="192">
        <f t="shared" ref="O69:O72" si="43">F69+H69+J69+L69+N69</f>
        <v>15625</v>
      </c>
      <c r="P69" s="192">
        <v>0</v>
      </c>
      <c r="Q69" s="192">
        <f t="shared" si="42"/>
        <v>15625</v>
      </c>
      <c r="R69" s="296"/>
      <c r="S69" s="296"/>
      <c r="T69" s="296"/>
    </row>
    <row r="70" spans="1:20" ht="12" customHeight="1" x14ac:dyDescent="0.35">
      <c r="A70" s="12" t="s">
        <v>526</v>
      </c>
      <c r="B70" s="106" t="s">
        <v>393</v>
      </c>
      <c r="C70" s="194" t="s">
        <v>527</v>
      </c>
      <c r="D70" s="188">
        <v>10</v>
      </c>
      <c r="E70" s="192">
        <v>1000</v>
      </c>
      <c r="F70" s="192">
        <f t="shared" si="41"/>
        <v>10000</v>
      </c>
      <c r="G70" s="192">
        <v>0</v>
      </c>
      <c r="H70" s="192">
        <f>G70*E70</f>
        <v>0</v>
      </c>
      <c r="I70" s="192">
        <v>0</v>
      </c>
      <c r="J70" s="192">
        <f>I70*E70</f>
        <v>0</v>
      </c>
      <c r="K70" s="192">
        <v>0</v>
      </c>
      <c r="L70" s="192">
        <f>K70*E70</f>
        <v>0</v>
      </c>
      <c r="M70" s="192">
        <v>0</v>
      </c>
      <c r="N70" s="192">
        <f>M70*E70</f>
        <v>0</v>
      </c>
      <c r="O70" s="192">
        <f t="shared" si="43"/>
        <v>10000</v>
      </c>
      <c r="P70" s="192">
        <v>0</v>
      </c>
      <c r="Q70" s="192">
        <f t="shared" si="42"/>
        <v>10000</v>
      </c>
      <c r="R70" s="296"/>
      <c r="S70" s="296"/>
      <c r="T70" s="296"/>
    </row>
    <row r="71" spans="1:20" ht="12" customHeight="1" x14ac:dyDescent="0.35">
      <c r="A71" s="12" t="s">
        <v>528</v>
      </c>
      <c r="B71" s="106" t="s">
        <v>393</v>
      </c>
      <c r="C71" s="194" t="s">
        <v>529</v>
      </c>
      <c r="D71" s="188">
        <v>10</v>
      </c>
      <c r="E71" s="192">
        <v>500</v>
      </c>
      <c r="F71" s="192">
        <f t="shared" si="41"/>
        <v>5000</v>
      </c>
      <c r="G71" s="192">
        <v>0</v>
      </c>
      <c r="H71" s="192">
        <f>G71*E71</f>
        <v>0</v>
      </c>
      <c r="I71" s="192">
        <v>0</v>
      </c>
      <c r="J71" s="192">
        <f>I71*E71</f>
        <v>0</v>
      </c>
      <c r="K71" s="192">
        <v>0</v>
      </c>
      <c r="L71" s="192">
        <f>K71*E71</f>
        <v>0</v>
      </c>
      <c r="M71" s="192">
        <v>0</v>
      </c>
      <c r="N71" s="192">
        <f>M71*E71</f>
        <v>0</v>
      </c>
      <c r="O71" s="192">
        <f t="shared" si="43"/>
        <v>5000</v>
      </c>
      <c r="P71" s="192">
        <v>0</v>
      </c>
      <c r="Q71" s="192">
        <f t="shared" si="42"/>
        <v>5000</v>
      </c>
      <c r="R71" s="296"/>
      <c r="S71" s="296"/>
      <c r="T71" s="296"/>
    </row>
    <row r="72" spans="1:20" ht="12" customHeight="1" x14ac:dyDescent="0.35">
      <c r="A72" s="12" t="s">
        <v>530</v>
      </c>
      <c r="B72" s="106" t="s">
        <v>393</v>
      </c>
      <c r="C72" s="194" t="s">
        <v>531</v>
      </c>
      <c r="D72" s="188">
        <v>500</v>
      </c>
      <c r="E72" s="192">
        <v>25</v>
      </c>
      <c r="F72" s="192">
        <f>D72*E72</f>
        <v>12500</v>
      </c>
      <c r="G72" s="192">
        <v>0</v>
      </c>
      <c r="H72" s="192">
        <f>G72*E72</f>
        <v>0</v>
      </c>
      <c r="I72" s="192">
        <v>0</v>
      </c>
      <c r="J72" s="192">
        <f>I72*E72</f>
        <v>0</v>
      </c>
      <c r="K72" s="192">
        <v>0</v>
      </c>
      <c r="L72" s="192">
        <f>K72*E72</f>
        <v>0</v>
      </c>
      <c r="M72" s="192">
        <v>0</v>
      </c>
      <c r="N72" s="192">
        <f>M72*E72</f>
        <v>0</v>
      </c>
      <c r="O72" s="192">
        <f t="shared" si="43"/>
        <v>12500</v>
      </c>
      <c r="P72" s="192">
        <v>0</v>
      </c>
      <c r="Q72" s="192">
        <f>SUM(O72:P72)</f>
        <v>12500</v>
      </c>
      <c r="R72" s="296"/>
      <c r="S72" s="296"/>
      <c r="T72" s="296"/>
    </row>
    <row r="73" spans="1:20" ht="20.399999999999999" x14ac:dyDescent="0.35">
      <c r="A73" s="58" t="s">
        <v>532</v>
      </c>
      <c r="B73" s="131"/>
      <c r="C73" s="242"/>
      <c r="D73" s="201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96"/>
      <c r="S73" s="296"/>
      <c r="T73" s="296"/>
    </row>
    <row r="74" spans="1:20" ht="10.199999999999999" x14ac:dyDescent="0.35">
      <c r="A74" s="12" t="s">
        <v>533</v>
      </c>
      <c r="B74" s="106" t="s">
        <v>393</v>
      </c>
      <c r="C74" s="194" t="s">
        <v>524</v>
      </c>
      <c r="D74" s="192">
        <v>0</v>
      </c>
      <c r="E74" s="192">
        <v>300</v>
      </c>
      <c r="F74" s="192">
        <f t="shared" ref="F74:F77" si="44">D74*E74</f>
        <v>0</v>
      </c>
      <c r="G74" s="192">
        <v>30</v>
      </c>
      <c r="H74" s="192">
        <f>G74*E74</f>
        <v>9000</v>
      </c>
      <c r="I74" s="192">
        <v>30</v>
      </c>
      <c r="J74" s="192">
        <f>I74*E74</f>
        <v>9000</v>
      </c>
      <c r="K74" s="192">
        <v>20</v>
      </c>
      <c r="L74" s="192">
        <f>K74*E74</f>
        <v>6000</v>
      </c>
      <c r="M74" s="192">
        <v>0</v>
      </c>
      <c r="N74" s="192">
        <f>M74*E74</f>
        <v>0</v>
      </c>
      <c r="O74" s="192">
        <f>F74+H74+J74+L74+N74</f>
        <v>24000</v>
      </c>
      <c r="P74" s="192">
        <v>0</v>
      </c>
      <c r="Q74" s="192">
        <f t="shared" ref="Q74:Q77" si="45">SUM(O74:P74)</f>
        <v>24000</v>
      </c>
      <c r="R74" s="296"/>
      <c r="S74" s="296"/>
      <c r="T74" s="296"/>
    </row>
    <row r="75" spans="1:20" ht="10.199999999999999" x14ac:dyDescent="0.35">
      <c r="A75" s="12" t="s">
        <v>534</v>
      </c>
      <c r="B75" s="106" t="s">
        <v>393</v>
      </c>
      <c r="C75" s="194" t="s">
        <v>161</v>
      </c>
      <c r="D75" s="192">
        <v>0</v>
      </c>
      <c r="E75" s="192">
        <v>175</v>
      </c>
      <c r="F75" s="192">
        <f t="shared" si="44"/>
        <v>0</v>
      </c>
      <c r="G75" s="192">
        <v>15</v>
      </c>
      <c r="H75" s="192">
        <f t="shared" ref="H75:H77" si="46">G75*E75</f>
        <v>2625</v>
      </c>
      <c r="I75" s="192">
        <v>15</v>
      </c>
      <c r="J75" s="192">
        <f t="shared" ref="J75:J77" si="47">I75*E75</f>
        <v>2625</v>
      </c>
      <c r="K75" s="192">
        <v>10</v>
      </c>
      <c r="L75" s="192">
        <f t="shared" ref="L75:L77" si="48">K75*E75</f>
        <v>1750</v>
      </c>
      <c r="M75" s="192">
        <v>0</v>
      </c>
      <c r="N75" s="192">
        <f t="shared" ref="N75:N77" si="49">M75*E75</f>
        <v>0</v>
      </c>
      <c r="O75" s="192">
        <f t="shared" ref="O75:O77" si="50">F75+H75+J75+L75+N75</f>
        <v>7000</v>
      </c>
      <c r="P75" s="192">
        <v>0</v>
      </c>
      <c r="Q75" s="192">
        <f t="shared" si="45"/>
        <v>7000</v>
      </c>
      <c r="R75" s="296"/>
      <c r="S75" s="296"/>
      <c r="T75" s="296"/>
    </row>
    <row r="76" spans="1:20" ht="10.199999999999999" x14ac:dyDescent="0.35">
      <c r="A76" s="12" t="s">
        <v>535</v>
      </c>
      <c r="B76" s="106" t="s">
        <v>393</v>
      </c>
      <c r="C76" s="194" t="s">
        <v>536</v>
      </c>
      <c r="D76" s="192">
        <v>0</v>
      </c>
      <c r="E76" s="192">
        <v>500</v>
      </c>
      <c r="F76" s="192">
        <f t="shared" si="44"/>
        <v>0</v>
      </c>
      <c r="G76" s="192">
        <v>6</v>
      </c>
      <c r="H76" s="192">
        <f t="shared" si="46"/>
        <v>3000</v>
      </c>
      <c r="I76" s="192">
        <v>6</v>
      </c>
      <c r="J76" s="192">
        <f t="shared" si="47"/>
        <v>3000</v>
      </c>
      <c r="K76" s="192">
        <v>6</v>
      </c>
      <c r="L76" s="192">
        <f t="shared" si="48"/>
        <v>3000</v>
      </c>
      <c r="M76" s="192">
        <v>0</v>
      </c>
      <c r="N76" s="192">
        <f t="shared" si="49"/>
        <v>0</v>
      </c>
      <c r="O76" s="192">
        <f t="shared" si="50"/>
        <v>9000</v>
      </c>
      <c r="P76" s="192">
        <v>0</v>
      </c>
      <c r="Q76" s="192">
        <f t="shared" si="45"/>
        <v>9000</v>
      </c>
      <c r="R76" s="296"/>
      <c r="S76" s="296"/>
      <c r="T76" s="296"/>
    </row>
    <row r="77" spans="1:20" ht="12" customHeight="1" x14ac:dyDescent="0.35">
      <c r="A77" s="12" t="s">
        <v>537</v>
      </c>
      <c r="B77" s="106" t="s">
        <v>393</v>
      </c>
      <c r="C77" s="203" t="s">
        <v>538</v>
      </c>
      <c r="D77" s="192">
        <v>1</v>
      </c>
      <c r="E77" s="175">
        <v>2600</v>
      </c>
      <c r="F77" s="192">
        <f t="shared" si="44"/>
        <v>2600</v>
      </c>
      <c r="G77" s="180">
        <v>1</v>
      </c>
      <c r="H77" s="192">
        <f t="shared" si="46"/>
        <v>2600</v>
      </c>
      <c r="I77" s="180">
        <v>1</v>
      </c>
      <c r="J77" s="192">
        <f t="shared" si="47"/>
        <v>2600</v>
      </c>
      <c r="K77" s="192">
        <v>1</v>
      </c>
      <c r="L77" s="192">
        <f t="shared" si="48"/>
        <v>2600</v>
      </c>
      <c r="M77" s="192">
        <v>0</v>
      </c>
      <c r="N77" s="192">
        <f t="shared" si="49"/>
        <v>0</v>
      </c>
      <c r="O77" s="180">
        <f t="shared" si="50"/>
        <v>10400</v>
      </c>
      <c r="P77" s="192">
        <v>0</v>
      </c>
      <c r="Q77" s="180">
        <f t="shared" si="45"/>
        <v>10400</v>
      </c>
      <c r="R77" s="296"/>
      <c r="S77" s="296"/>
      <c r="T77" s="296"/>
    </row>
    <row r="78" spans="1:20" ht="10.199999999999999" x14ac:dyDescent="0.35">
      <c r="A78" s="58" t="s">
        <v>539</v>
      </c>
      <c r="B78" s="131"/>
      <c r="C78" s="200"/>
      <c r="D78" s="245"/>
      <c r="E78" s="245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96"/>
      <c r="S78" s="296"/>
      <c r="T78" s="296"/>
    </row>
    <row r="79" spans="1:20" ht="10.5" x14ac:dyDescent="0.4">
      <c r="A79" s="12" t="s">
        <v>540</v>
      </c>
      <c r="B79" s="106" t="s">
        <v>393</v>
      </c>
      <c r="C79" s="203" t="s">
        <v>536</v>
      </c>
      <c r="D79" s="192">
        <v>0</v>
      </c>
      <c r="E79" s="175">
        <v>1000</v>
      </c>
      <c r="F79" s="192">
        <f>D79*E79</f>
        <v>0</v>
      </c>
      <c r="G79" s="180">
        <v>5</v>
      </c>
      <c r="H79" s="180">
        <f t="shared" ref="H79:H82" si="51">G79*E79</f>
        <v>5000</v>
      </c>
      <c r="I79" s="180">
        <v>5</v>
      </c>
      <c r="J79" s="180">
        <f t="shared" ref="J79:J82" si="52">I79*E79</f>
        <v>5000</v>
      </c>
      <c r="K79" s="180">
        <v>5</v>
      </c>
      <c r="L79" s="180">
        <f t="shared" ref="L79:L82" si="53">K79*E79</f>
        <v>5000</v>
      </c>
      <c r="M79" s="192">
        <v>0</v>
      </c>
      <c r="N79" s="192">
        <f>M79*E79</f>
        <v>0</v>
      </c>
      <c r="O79" s="180">
        <f t="shared" ref="O79:O80" si="54">F79+H79+J79+L79+N79</f>
        <v>15000</v>
      </c>
      <c r="P79" s="192">
        <v>0</v>
      </c>
      <c r="Q79" s="180">
        <f t="shared" ref="Q79:Q80" si="55">SUM(O79:P79)</f>
        <v>15000</v>
      </c>
      <c r="R79" s="296"/>
      <c r="S79" s="295"/>
      <c r="T79" s="296"/>
    </row>
    <row r="80" spans="1:20" ht="10.199999999999999" x14ac:dyDescent="0.35">
      <c r="A80" s="12" t="s">
        <v>541</v>
      </c>
      <c r="B80" s="106" t="s">
        <v>393</v>
      </c>
      <c r="C80" s="203" t="s">
        <v>112</v>
      </c>
      <c r="D80" s="192">
        <v>0</v>
      </c>
      <c r="E80" s="175">
        <v>200</v>
      </c>
      <c r="F80" s="192">
        <f t="shared" ref="F80:F82" si="56">D80*E80</f>
        <v>0</v>
      </c>
      <c r="G80" s="192">
        <v>0</v>
      </c>
      <c r="H80" s="192">
        <f t="shared" si="51"/>
        <v>0</v>
      </c>
      <c r="I80" s="192">
        <v>0</v>
      </c>
      <c r="J80" s="192">
        <f>I80*E80</f>
        <v>0</v>
      </c>
      <c r="K80" s="180">
        <v>12</v>
      </c>
      <c r="L80" s="180">
        <f t="shared" si="53"/>
        <v>2400</v>
      </c>
      <c r="M80" s="180">
        <v>3</v>
      </c>
      <c r="N80" s="180">
        <f t="shared" ref="N80:N82" si="57">M80*E80</f>
        <v>600</v>
      </c>
      <c r="O80" s="180">
        <f t="shared" si="54"/>
        <v>3000</v>
      </c>
      <c r="P80" s="192">
        <v>0</v>
      </c>
      <c r="Q80" s="180">
        <f t="shared" si="55"/>
        <v>3000</v>
      </c>
      <c r="R80" s="296"/>
      <c r="S80" s="296"/>
      <c r="T80" s="296"/>
    </row>
    <row r="81" spans="1:22" ht="10.199999999999999" x14ac:dyDescent="0.35">
      <c r="A81" s="12" t="s">
        <v>542</v>
      </c>
      <c r="B81" s="106" t="s">
        <v>393</v>
      </c>
      <c r="C81" s="203" t="s">
        <v>187</v>
      </c>
      <c r="D81" s="192">
        <v>0</v>
      </c>
      <c r="E81" s="175">
        <v>500</v>
      </c>
      <c r="F81" s="192">
        <f t="shared" si="56"/>
        <v>0</v>
      </c>
      <c r="G81" s="180">
        <v>10</v>
      </c>
      <c r="H81" s="180">
        <f t="shared" si="51"/>
        <v>5000</v>
      </c>
      <c r="I81" s="180">
        <v>15</v>
      </c>
      <c r="J81" s="180">
        <f t="shared" si="52"/>
        <v>7500</v>
      </c>
      <c r="K81" s="180">
        <v>10</v>
      </c>
      <c r="L81" s="180">
        <f t="shared" si="53"/>
        <v>5000</v>
      </c>
      <c r="M81" s="180">
        <v>5</v>
      </c>
      <c r="N81" s="180">
        <f t="shared" si="57"/>
        <v>2500</v>
      </c>
      <c r="O81" s="180">
        <f>F81+H81+J81+L81+N81</f>
        <v>20000</v>
      </c>
      <c r="P81" s="192">
        <v>0</v>
      </c>
      <c r="Q81" s="180">
        <f>SUM(O81:P81)</f>
        <v>20000</v>
      </c>
      <c r="R81" s="296"/>
      <c r="S81" s="296"/>
      <c r="T81" s="296"/>
    </row>
    <row r="82" spans="1:22" ht="10.199999999999999" x14ac:dyDescent="0.35">
      <c r="A82" s="12" t="s">
        <v>543</v>
      </c>
      <c r="B82" s="106" t="s">
        <v>393</v>
      </c>
      <c r="C82" s="203" t="s">
        <v>112</v>
      </c>
      <c r="D82" s="192">
        <v>0</v>
      </c>
      <c r="E82" s="175">
        <v>40</v>
      </c>
      <c r="F82" s="192">
        <f t="shared" si="56"/>
        <v>0</v>
      </c>
      <c r="G82" s="180">
        <v>3000</v>
      </c>
      <c r="H82" s="180">
        <f t="shared" si="51"/>
        <v>120000</v>
      </c>
      <c r="I82" s="180">
        <v>3000</v>
      </c>
      <c r="J82" s="180">
        <f t="shared" si="52"/>
        <v>120000</v>
      </c>
      <c r="K82" s="180">
        <v>3000</v>
      </c>
      <c r="L82" s="180">
        <f t="shared" si="53"/>
        <v>120000</v>
      </c>
      <c r="M82" s="180">
        <v>300</v>
      </c>
      <c r="N82" s="180">
        <f t="shared" si="57"/>
        <v>12000</v>
      </c>
      <c r="O82" s="180">
        <f t="shared" ref="O82" si="58">F82+H82+J82+L82+N82</f>
        <v>372000</v>
      </c>
      <c r="P82" s="192">
        <v>0</v>
      </c>
      <c r="Q82" s="180">
        <f t="shared" ref="Q82" si="59">SUM(O82:P82)</f>
        <v>372000</v>
      </c>
      <c r="R82" s="296"/>
      <c r="S82" s="296"/>
      <c r="T82" s="296"/>
    </row>
    <row r="83" spans="1:22" ht="12" customHeight="1" x14ac:dyDescent="0.35">
      <c r="A83" s="106"/>
      <c r="B83" s="106"/>
      <c r="C83" s="203"/>
      <c r="R83" s="296"/>
      <c r="S83" s="296"/>
      <c r="T83" s="296"/>
    </row>
    <row r="84" spans="1:22" ht="12" customHeight="1" x14ac:dyDescent="0.4">
      <c r="A84" s="205" t="s">
        <v>412</v>
      </c>
      <c r="B84" s="205"/>
      <c r="C84" s="205"/>
      <c r="D84" s="232"/>
      <c r="E84" s="236"/>
      <c r="F84" s="208">
        <f>SUM(F63:F82)</f>
        <v>175992.19687577483</v>
      </c>
      <c r="G84" s="208"/>
      <c r="H84" s="208">
        <f>SUM(H63:H82)</f>
        <v>269009.55565335974</v>
      </c>
      <c r="I84" s="208"/>
      <c r="J84" s="208">
        <f>SUM(J63:J82)</f>
        <v>270331.38162149763</v>
      </c>
      <c r="K84" s="208"/>
      <c r="L84" s="208">
        <f>SUM(L63:L82)</f>
        <v>248546.8583992121</v>
      </c>
      <c r="M84" s="208"/>
      <c r="N84" s="208">
        <f>SUM(N63:N82)</f>
        <v>47293.524655808476</v>
      </c>
      <c r="O84" s="208">
        <f>F84+H84+J84+L84+N84</f>
        <v>1011173.5172056528</v>
      </c>
      <c r="P84" s="208">
        <f>SUM(P63:P82)</f>
        <v>0</v>
      </c>
      <c r="Q84" s="208">
        <f>SUM(O84:P84)</f>
        <v>1011173.5172056528</v>
      </c>
      <c r="R84" s="296"/>
      <c r="S84" s="296"/>
      <c r="T84" s="296"/>
    </row>
    <row r="85" spans="1:22" ht="12" customHeight="1" x14ac:dyDescent="0.35">
      <c r="A85" s="106"/>
      <c r="B85" s="106"/>
      <c r="C85" s="203"/>
      <c r="R85" s="296"/>
      <c r="S85" s="296"/>
      <c r="T85" s="296"/>
    </row>
    <row r="86" spans="1:22" ht="22.5" customHeight="1" x14ac:dyDescent="0.4">
      <c r="A86" s="215" t="s">
        <v>414</v>
      </c>
      <c r="B86" s="173" t="s">
        <v>330</v>
      </c>
      <c r="C86" s="216"/>
      <c r="D86" s="217"/>
      <c r="E86" s="193">
        <v>0.1</v>
      </c>
      <c r="F86" s="218">
        <f>(F84)*E86</f>
        <v>17599.219687577483</v>
      </c>
      <c r="G86" s="218"/>
      <c r="H86" s="218">
        <f>(H84)*E86</f>
        <v>26900.955565335975</v>
      </c>
      <c r="I86" s="218"/>
      <c r="J86" s="218">
        <f>(J84)*E86</f>
        <v>27033.138162149764</v>
      </c>
      <c r="L86" s="218">
        <f>(L84)*E86</f>
        <v>24854.685839921211</v>
      </c>
      <c r="N86" s="218">
        <f>(N84)*E86</f>
        <v>4729.3524655808478</v>
      </c>
      <c r="O86" s="218">
        <f>SUM(F86+H86+J86+L86+N86)</f>
        <v>101117.35172056528</v>
      </c>
      <c r="P86" s="218">
        <v>0</v>
      </c>
      <c r="Q86" s="218">
        <f>SUM(O86:P86)</f>
        <v>101117.35172056528</v>
      </c>
      <c r="R86" s="296"/>
      <c r="S86" s="296"/>
      <c r="T86" s="296"/>
    </row>
    <row r="87" spans="1:22" ht="12" customHeight="1" x14ac:dyDescent="0.35">
      <c r="A87" s="106"/>
      <c r="B87" s="106"/>
      <c r="C87" s="203"/>
      <c r="R87" s="296"/>
      <c r="S87" s="296"/>
      <c r="T87" s="296"/>
    </row>
    <row r="88" spans="1:22" ht="12" customHeight="1" x14ac:dyDescent="0.4">
      <c r="A88" s="205" t="s">
        <v>251</v>
      </c>
      <c r="B88" s="205"/>
      <c r="C88" s="205"/>
      <c r="D88" s="232"/>
      <c r="E88" s="236"/>
      <c r="F88" s="208">
        <f>SUM(F84:F86)</f>
        <v>193591.41656335231</v>
      </c>
      <c r="G88" s="208"/>
      <c r="H88" s="208">
        <f>SUM(H84:H86)</f>
        <v>295910.51121869573</v>
      </c>
      <c r="I88" s="208"/>
      <c r="J88" s="208">
        <f>SUM(J84:J86)</f>
        <v>297364.51978364738</v>
      </c>
      <c r="K88" s="208"/>
      <c r="L88" s="208">
        <f>SUM(L84:L86)</f>
        <v>273401.54423913331</v>
      </c>
      <c r="M88" s="208"/>
      <c r="N88" s="208">
        <f>SUM(N84:N86)</f>
        <v>52022.877121389327</v>
      </c>
      <c r="O88" s="208">
        <f>F88+H88+J88+L88+N88</f>
        <v>1112290.868926218</v>
      </c>
      <c r="P88" s="208">
        <f>SUM(P68:P68)</f>
        <v>0</v>
      </c>
      <c r="Q88" s="208">
        <f>SUM(O88:P88)</f>
        <v>1112290.868926218</v>
      </c>
      <c r="R88" s="296"/>
      <c r="S88" s="296"/>
      <c r="T88" s="296"/>
    </row>
    <row r="89" spans="1:22" ht="24.75" customHeight="1" x14ac:dyDescent="0.4">
      <c r="A89" s="320" t="s">
        <v>252</v>
      </c>
      <c r="B89" s="320"/>
      <c r="C89" s="320"/>
      <c r="D89" s="320"/>
      <c r="E89" s="320"/>
      <c r="F89" s="320"/>
      <c r="G89" s="320"/>
      <c r="H89" s="320"/>
      <c r="I89" s="320"/>
      <c r="J89" s="320"/>
      <c r="K89" s="320"/>
      <c r="L89" s="320"/>
      <c r="M89" s="320"/>
      <c r="N89" s="320"/>
      <c r="O89" s="320"/>
      <c r="P89" s="320"/>
      <c r="Q89" s="320"/>
      <c r="R89" s="296"/>
      <c r="S89" s="296"/>
      <c r="T89" s="296"/>
      <c r="V89" s="165"/>
    </row>
    <row r="90" spans="1:22" ht="12" customHeight="1" x14ac:dyDescent="0.4">
      <c r="A90" s="209" t="s">
        <v>140</v>
      </c>
      <c r="B90" s="210"/>
      <c r="C90" s="211"/>
      <c r="D90" s="212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96"/>
      <c r="S90" s="296"/>
      <c r="T90" s="296"/>
    </row>
    <row r="91" spans="1:22" ht="12" customHeight="1" x14ac:dyDescent="0.35">
      <c r="A91" s="106" t="s">
        <v>544</v>
      </c>
      <c r="B91" s="106" t="s">
        <v>545</v>
      </c>
      <c r="C91" s="194" t="s">
        <v>112</v>
      </c>
      <c r="D91" s="188">
        <f>$F$27</f>
        <v>165636.99479295808</v>
      </c>
      <c r="E91" s="214">
        <v>0.35</v>
      </c>
      <c r="F91" s="192">
        <f t="shared" ref="F91:F102" si="60">D91*E91</f>
        <v>57972.948177535327</v>
      </c>
      <c r="G91" s="192">
        <f>$H$27</f>
        <v>184196.5094222663</v>
      </c>
      <c r="H91" s="192">
        <f t="shared" ref="H91:H94" si="61">G91*E91</f>
        <v>64468.7782977932</v>
      </c>
      <c r="I91" s="192">
        <f>$J$27</f>
        <v>181306.35853582941</v>
      </c>
      <c r="J91" s="192">
        <f t="shared" ref="J91:J94" si="62">I91*E91</f>
        <v>63457.225487540287</v>
      </c>
      <c r="K91" s="192">
        <f>$L$27</f>
        <v>150651.33675702015</v>
      </c>
      <c r="L91" s="192">
        <f t="shared" ref="L91:L94" si="63">K91*E91</f>
        <v>52727.967864957049</v>
      </c>
      <c r="M91" s="192">
        <f>$N$27</f>
        <v>47583.721390347469</v>
      </c>
      <c r="N91" s="192">
        <f t="shared" ref="N91:N94" si="64">M91*E91</f>
        <v>16654.302486621615</v>
      </c>
      <c r="O91" s="192">
        <f t="shared" ref="O91:O102" si="65">F91+H91+J91+L91+N91</f>
        <v>255281.22231444746</v>
      </c>
      <c r="P91" s="192">
        <v>0</v>
      </c>
      <c r="Q91" s="192">
        <f t="shared" ref="Q91:Q102" si="66">SUM(O91:P91)</f>
        <v>255281.22231444746</v>
      </c>
      <c r="R91" s="296"/>
      <c r="S91" s="296"/>
      <c r="T91" s="296"/>
    </row>
    <row r="92" spans="1:22" ht="12" customHeight="1" x14ac:dyDescent="0.35">
      <c r="A92" s="106" t="s">
        <v>546</v>
      </c>
      <c r="B92" s="106" t="s">
        <v>545</v>
      </c>
      <c r="C92" s="194" t="s">
        <v>112</v>
      </c>
      <c r="D92" s="188">
        <f>$F$47</f>
        <v>18425</v>
      </c>
      <c r="E92" s="214">
        <v>0.35</v>
      </c>
      <c r="F92" s="192">
        <f t="shared" si="60"/>
        <v>6448.75</v>
      </c>
      <c r="G92" s="192">
        <f>$H$47</f>
        <v>14430.75</v>
      </c>
      <c r="H92" s="192">
        <f t="shared" si="61"/>
        <v>5050.7624999999998</v>
      </c>
      <c r="I92" s="192">
        <f>$J$47</f>
        <v>15139.9275</v>
      </c>
      <c r="J92" s="192">
        <f t="shared" si="62"/>
        <v>5298.9746249999998</v>
      </c>
      <c r="K92" s="192">
        <f>$L$47</f>
        <v>15884.193075000001</v>
      </c>
      <c r="L92" s="192">
        <f t="shared" si="63"/>
        <v>5559.4675762500001</v>
      </c>
      <c r="M92" s="192">
        <f>$N$47</f>
        <v>4814.1040672500003</v>
      </c>
      <c r="N92" s="192">
        <f t="shared" si="64"/>
        <v>1684.9364235375001</v>
      </c>
      <c r="O92" s="192">
        <f t="shared" si="65"/>
        <v>24042.8911247875</v>
      </c>
      <c r="P92" s="192">
        <v>0</v>
      </c>
      <c r="Q92" s="192">
        <f t="shared" si="66"/>
        <v>24042.8911247875</v>
      </c>
      <c r="R92" s="296"/>
      <c r="S92" s="296"/>
      <c r="T92" s="296"/>
    </row>
    <row r="93" spans="1:22" ht="12" customHeight="1" x14ac:dyDescent="0.35">
      <c r="A93" s="106" t="s">
        <v>547</v>
      </c>
      <c r="B93" s="106" t="s">
        <v>545</v>
      </c>
      <c r="C93" s="194" t="s">
        <v>112</v>
      </c>
      <c r="D93" s="188">
        <f>$F$52</f>
        <v>1900</v>
      </c>
      <c r="E93" s="214">
        <v>0.35</v>
      </c>
      <c r="F93" s="192">
        <f t="shared" si="60"/>
        <v>665</v>
      </c>
      <c r="G93" s="192">
        <f>$H$52</f>
        <v>378</v>
      </c>
      <c r="H93" s="192">
        <f t="shared" si="61"/>
        <v>132.29999999999998</v>
      </c>
      <c r="I93" s="192">
        <f>$J$52</f>
        <v>396.90000000000003</v>
      </c>
      <c r="J93" s="192">
        <f t="shared" si="62"/>
        <v>138.91499999999999</v>
      </c>
      <c r="K93" s="192">
        <f>$L$52</f>
        <v>416.74500000000006</v>
      </c>
      <c r="L93" s="192">
        <f t="shared" si="63"/>
        <v>145.86075000000002</v>
      </c>
      <c r="M93" s="192">
        <f>$N$52</f>
        <v>109.39556250000003</v>
      </c>
      <c r="N93" s="192">
        <f t="shared" si="64"/>
        <v>38.288446875000005</v>
      </c>
      <c r="O93" s="192">
        <f t="shared" si="65"/>
        <v>1120.3641968750001</v>
      </c>
      <c r="P93" s="192">
        <v>0</v>
      </c>
      <c r="Q93" s="192">
        <f t="shared" si="66"/>
        <v>1120.3641968750001</v>
      </c>
      <c r="R93" s="296"/>
      <c r="S93" s="296"/>
      <c r="T93" s="296"/>
    </row>
    <row r="94" spans="1:22" ht="12" customHeight="1" x14ac:dyDescent="0.35">
      <c r="A94" s="106" t="s">
        <v>548</v>
      </c>
      <c r="B94" s="106" t="s">
        <v>545</v>
      </c>
      <c r="C94" s="194" t="s">
        <v>112</v>
      </c>
      <c r="D94" s="188">
        <f>$F$59</f>
        <v>3150</v>
      </c>
      <c r="E94" s="193">
        <v>0.35</v>
      </c>
      <c r="F94" s="192">
        <f t="shared" si="60"/>
        <v>1102.5</v>
      </c>
      <c r="G94" s="192">
        <f>$H$59</f>
        <v>3969</v>
      </c>
      <c r="H94" s="192">
        <f t="shared" si="61"/>
        <v>1389.1499999999999</v>
      </c>
      <c r="I94" s="192">
        <f>$J$59</f>
        <v>4167.45</v>
      </c>
      <c r="J94" s="192">
        <f t="shared" si="62"/>
        <v>1458.6074999999998</v>
      </c>
      <c r="K94" s="192">
        <f>$L$59</f>
        <v>4375.8225000000002</v>
      </c>
      <c r="L94" s="192">
        <f t="shared" si="63"/>
        <v>1531.537875</v>
      </c>
      <c r="M94" s="192">
        <f>$N$59</f>
        <v>1148.6534062500002</v>
      </c>
      <c r="N94" s="192">
        <f t="shared" si="64"/>
        <v>402.02869218750004</v>
      </c>
      <c r="O94" s="192">
        <f t="shared" si="65"/>
        <v>5883.8240671875001</v>
      </c>
      <c r="P94" s="192">
        <v>0</v>
      </c>
      <c r="Q94" s="192">
        <f t="shared" si="66"/>
        <v>5883.8240671875001</v>
      </c>
      <c r="R94" s="296"/>
      <c r="S94" s="296"/>
      <c r="T94" s="296"/>
    </row>
    <row r="95" spans="1:22" ht="19.5" customHeight="1" x14ac:dyDescent="0.35">
      <c r="A95" s="241" t="s">
        <v>549</v>
      </c>
      <c r="B95" s="131"/>
      <c r="C95" s="242"/>
      <c r="D95" s="201"/>
      <c r="E95" s="247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96"/>
      <c r="S95" s="296"/>
      <c r="T95" s="296"/>
    </row>
    <row r="96" spans="1:22" ht="10.5" x14ac:dyDescent="0.4">
      <c r="A96" s="106" t="s">
        <v>550</v>
      </c>
      <c r="B96" s="106" t="s">
        <v>393</v>
      </c>
      <c r="C96" s="194" t="s">
        <v>112</v>
      </c>
      <c r="D96" s="188">
        <v>4</v>
      </c>
      <c r="E96" s="192">
        <v>300</v>
      </c>
      <c r="F96" s="192">
        <f t="shared" si="60"/>
        <v>1200</v>
      </c>
      <c r="G96" s="192">
        <v>12</v>
      </c>
      <c r="H96" s="192">
        <f>G96*E96</f>
        <v>3600</v>
      </c>
      <c r="I96" s="192">
        <v>12</v>
      </c>
      <c r="J96" s="192">
        <f>I96*E96</f>
        <v>3600</v>
      </c>
      <c r="K96" s="192">
        <v>12</v>
      </c>
      <c r="L96" s="192">
        <f>K96*E96</f>
        <v>3600</v>
      </c>
      <c r="M96" s="192">
        <v>2</v>
      </c>
      <c r="N96" s="192">
        <f>M96*E96</f>
        <v>600</v>
      </c>
      <c r="O96" s="192">
        <f t="shared" si="65"/>
        <v>12600</v>
      </c>
      <c r="P96" s="192">
        <v>0</v>
      </c>
      <c r="Q96" s="192">
        <f t="shared" si="66"/>
        <v>12600</v>
      </c>
      <c r="R96" s="296"/>
      <c r="S96" s="295"/>
      <c r="T96" s="296"/>
    </row>
    <row r="97" spans="1:22" ht="12" customHeight="1" x14ac:dyDescent="0.35">
      <c r="A97" s="106" t="s">
        <v>534</v>
      </c>
      <c r="B97" s="106" t="s">
        <v>393</v>
      </c>
      <c r="C97" s="194" t="s">
        <v>112</v>
      </c>
      <c r="D97" s="188">
        <v>4</v>
      </c>
      <c r="E97" s="192">
        <v>200</v>
      </c>
      <c r="F97" s="192">
        <f t="shared" si="60"/>
        <v>800</v>
      </c>
      <c r="G97" s="192">
        <v>12</v>
      </c>
      <c r="H97" s="192">
        <f>G97*E97</f>
        <v>2400</v>
      </c>
      <c r="I97" s="192">
        <v>12</v>
      </c>
      <c r="J97" s="192">
        <f>I97*E97</f>
        <v>2400</v>
      </c>
      <c r="K97" s="192">
        <v>12</v>
      </c>
      <c r="L97" s="192">
        <f>K97*E97</f>
        <v>2400</v>
      </c>
      <c r="M97" s="192">
        <v>2</v>
      </c>
      <c r="N97" s="192">
        <f>M97*E97</f>
        <v>400</v>
      </c>
      <c r="O97" s="192">
        <f t="shared" si="65"/>
        <v>8400</v>
      </c>
      <c r="P97" s="192">
        <v>0</v>
      </c>
      <c r="Q97" s="192">
        <f t="shared" si="66"/>
        <v>8400</v>
      </c>
      <c r="R97" s="296"/>
      <c r="S97" s="296"/>
      <c r="T97" s="296"/>
    </row>
    <row r="98" spans="1:22" x14ac:dyDescent="0.65">
      <c r="A98" s="241" t="s">
        <v>551</v>
      </c>
      <c r="B98" s="248"/>
      <c r="C98" s="249"/>
      <c r="D98" s="250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96"/>
      <c r="S98" s="296"/>
      <c r="T98" s="296"/>
    </row>
    <row r="99" spans="1:22" ht="12" customHeight="1" x14ac:dyDescent="0.35">
      <c r="A99" s="106" t="s">
        <v>552</v>
      </c>
      <c r="B99" s="106" t="s">
        <v>393</v>
      </c>
      <c r="C99" s="194" t="s">
        <v>112</v>
      </c>
      <c r="D99" s="192">
        <v>0</v>
      </c>
      <c r="E99" s="192">
        <v>900</v>
      </c>
      <c r="F99" s="192">
        <f t="shared" si="60"/>
        <v>0</v>
      </c>
      <c r="G99" s="192">
        <v>12</v>
      </c>
      <c r="H99" s="192">
        <f>G99*E99</f>
        <v>10800</v>
      </c>
      <c r="I99" s="192">
        <v>12</v>
      </c>
      <c r="J99" s="192">
        <f>I99*E99</f>
        <v>10800</v>
      </c>
      <c r="K99" s="192">
        <v>12</v>
      </c>
      <c r="L99" s="192">
        <f>K99*E99</f>
        <v>10800</v>
      </c>
      <c r="M99" s="192">
        <v>6</v>
      </c>
      <c r="N99" s="192">
        <f>M99*E99</f>
        <v>5400</v>
      </c>
      <c r="O99" s="192">
        <f t="shared" si="65"/>
        <v>37800</v>
      </c>
      <c r="P99" s="192">
        <v>0</v>
      </c>
      <c r="Q99" s="192">
        <f t="shared" si="66"/>
        <v>37800</v>
      </c>
      <c r="R99" s="296"/>
      <c r="S99" s="296"/>
      <c r="T99" s="296"/>
    </row>
    <row r="100" spans="1:22" ht="25" customHeight="1" x14ac:dyDescent="0.35">
      <c r="A100" s="106" t="s">
        <v>553</v>
      </c>
      <c r="B100" s="106" t="s">
        <v>393</v>
      </c>
      <c r="C100" s="194" t="s">
        <v>112</v>
      </c>
      <c r="D100" s="188">
        <v>3</v>
      </c>
      <c r="E100" s="192">
        <v>1000</v>
      </c>
      <c r="F100" s="192">
        <f t="shared" si="60"/>
        <v>3000</v>
      </c>
      <c r="G100" s="192">
        <v>12</v>
      </c>
      <c r="H100" s="192">
        <f>G100*E100</f>
        <v>12000</v>
      </c>
      <c r="I100" s="192">
        <v>12</v>
      </c>
      <c r="J100" s="192">
        <f>I100*E100</f>
        <v>12000</v>
      </c>
      <c r="K100" s="192">
        <v>12</v>
      </c>
      <c r="L100" s="192">
        <f>K100*E100</f>
        <v>12000</v>
      </c>
      <c r="M100" s="192">
        <v>6</v>
      </c>
      <c r="N100" s="192">
        <f>M100*E100</f>
        <v>6000</v>
      </c>
      <c r="O100" s="192">
        <f t="shared" si="65"/>
        <v>45000</v>
      </c>
      <c r="P100" s="192">
        <v>0</v>
      </c>
      <c r="Q100" s="192">
        <f t="shared" si="66"/>
        <v>45000</v>
      </c>
      <c r="R100" s="296"/>
      <c r="S100" s="296"/>
      <c r="T100" s="296"/>
    </row>
    <row r="101" spans="1:22" ht="10.199999999999999" x14ac:dyDescent="0.35">
      <c r="A101" s="106" t="s">
        <v>554</v>
      </c>
      <c r="B101" s="106" t="s">
        <v>393</v>
      </c>
      <c r="C101" s="194" t="s">
        <v>112</v>
      </c>
      <c r="D101" s="192">
        <v>0</v>
      </c>
      <c r="E101" s="192">
        <v>500</v>
      </c>
      <c r="F101" s="192">
        <f t="shared" si="60"/>
        <v>0</v>
      </c>
      <c r="G101" s="192">
        <v>12</v>
      </c>
      <c r="H101" s="192">
        <f>G101*E101</f>
        <v>6000</v>
      </c>
      <c r="I101" s="192">
        <v>12</v>
      </c>
      <c r="J101" s="192">
        <f>I101*E101</f>
        <v>6000</v>
      </c>
      <c r="K101" s="192">
        <v>12</v>
      </c>
      <c r="L101" s="192">
        <f>K101*E101</f>
        <v>6000</v>
      </c>
      <c r="M101" s="192">
        <v>6</v>
      </c>
      <c r="N101" s="192">
        <f>M101*E101</f>
        <v>3000</v>
      </c>
      <c r="O101" s="192">
        <f t="shared" si="65"/>
        <v>21000</v>
      </c>
      <c r="P101" s="192">
        <v>0</v>
      </c>
      <c r="Q101" s="192">
        <f t="shared" si="66"/>
        <v>21000</v>
      </c>
      <c r="R101" s="296"/>
      <c r="S101" s="296"/>
      <c r="T101" s="296"/>
    </row>
    <row r="102" spans="1:22" ht="12" customHeight="1" x14ac:dyDescent="0.35">
      <c r="A102" s="106" t="s">
        <v>543</v>
      </c>
      <c r="B102" s="106" t="s">
        <v>393</v>
      </c>
      <c r="C102" s="194" t="s">
        <v>112</v>
      </c>
      <c r="D102" s="188">
        <v>10</v>
      </c>
      <c r="E102" s="192">
        <v>25</v>
      </c>
      <c r="F102" s="192">
        <f t="shared" si="60"/>
        <v>250</v>
      </c>
      <c r="G102" s="192">
        <v>130</v>
      </c>
      <c r="H102" s="192">
        <f>G102*E102</f>
        <v>3250</v>
      </c>
      <c r="I102" s="192">
        <v>130</v>
      </c>
      <c r="J102" s="192">
        <f>I102*E102</f>
        <v>3250</v>
      </c>
      <c r="K102" s="192">
        <v>130</v>
      </c>
      <c r="L102" s="192">
        <f>K102*E102</f>
        <v>3250</v>
      </c>
      <c r="M102" s="192">
        <v>100</v>
      </c>
      <c r="N102" s="192">
        <f>M102*E102</f>
        <v>2500</v>
      </c>
      <c r="O102" s="192">
        <f t="shared" si="65"/>
        <v>12500</v>
      </c>
      <c r="P102" s="192">
        <v>0</v>
      </c>
      <c r="Q102" s="192">
        <f t="shared" si="66"/>
        <v>12500</v>
      </c>
      <c r="R102" s="296"/>
      <c r="S102" s="296"/>
      <c r="T102" s="296"/>
    </row>
    <row r="103" spans="1:22" ht="12" customHeight="1" x14ac:dyDescent="0.35">
      <c r="A103" s="106"/>
      <c r="B103" s="106"/>
      <c r="C103" s="194"/>
      <c r="D103" s="188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2"/>
      <c r="Q103" s="192"/>
      <c r="R103" s="296"/>
      <c r="S103" s="296"/>
      <c r="T103" s="296"/>
    </row>
    <row r="104" spans="1:22" ht="12" customHeight="1" x14ac:dyDescent="0.4">
      <c r="A104" s="205" t="s">
        <v>555</v>
      </c>
      <c r="B104" s="205"/>
      <c r="C104" s="205"/>
      <c r="D104" s="232"/>
      <c r="E104" s="236"/>
      <c r="F104" s="208">
        <f>SUM(F91:F102)</f>
        <v>71439.19817753532</v>
      </c>
      <c r="G104" s="208"/>
      <c r="H104" s="208">
        <f>SUM(H91:H102)</f>
        <v>109090.9907977932</v>
      </c>
      <c r="I104" s="208"/>
      <c r="J104" s="208">
        <f>SUM(J91:J102)</f>
        <v>108403.72261254028</v>
      </c>
      <c r="K104" s="208"/>
      <c r="L104" s="208">
        <f>SUM(L91:L102)</f>
        <v>98014.834066207055</v>
      </c>
      <c r="M104" s="208"/>
      <c r="N104" s="208">
        <f>SUM(N91:N102)</f>
        <v>36679.556049221617</v>
      </c>
      <c r="O104" s="208">
        <f>F104+H104+J104+L104+N104</f>
        <v>423628.30170329747</v>
      </c>
      <c r="P104" s="208">
        <f>SUM(P91:P102)</f>
        <v>0</v>
      </c>
      <c r="Q104" s="208">
        <f>SUM(O104:P104)</f>
        <v>423628.30170329747</v>
      </c>
      <c r="R104" s="296"/>
      <c r="S104" s="296"/>
      <c r="T104" s="296"/>
    </row>
    <row r="105" spans="1:22" ht="12" customHeight="1" x14ac:dyDescent="0.35">
      <c r="A105" s="106"/>
      <c r="B105" s="106"/>
      <c r="C105" s="203"/>
      <c r="R105" s="296"/>
      <c r="S105" s="296"/>
      <c r="T105" s="296"/>
    </row>
    <row r="106" spans="1:22" ht="12" customHeight="1" x14ac:dyDescent="0.4">
      <c r="A106" s="215" t="s">
        <v>556</v>
      </c>
      <c r="B106" s="173" t="s">
        <v>330</v>
      </c>
      <c r="C106" s="216"/>
      <c r="D106" s="217"/>
      <c r="E106" s="193">
        <v>0.1</v>
      </c>
      <c r="F106" s="218">
        <f>F104*E106</f>
        <v>7143.9198177535327</v>
      </c>
      <c r="G106" s="218"/>
      <c r="H106" s="218">
        <f>H104*E106</f>
        <v>10909.09907977932</v>
      </c>
      <c r="I106" s="218"/>
      <c r="J106" s="218">
        <f>J104*E106</f>
        <v>10840.37226125403</v>
      </c>
      <c r="L106" s="218">
        <f>L104*E106</f>
        <v>9801.4834066207059</v>
      </c>
      <c r="N106" s="218">
        <f>N104*E106</f>
        <v>3667.9556049221619</v>
      </c>
      <c r="O106" s="218">
        <f>SUM(F106+H106+J106+L106+N106)</f>
        <v>42362.830170329755</v>
      </c>
      <c r="P106" s="218">
        <v>0</v>
      </c>
      <c r="Q106" s="218">
        <f>SUM(O106:P106)</f>
        <v>42362.830170329755</v>
      </c>
      <c r="R106" s="296"/>
      <c r="S106" s="296"/>
      <c r="T106" s="296"/>
    </row>
    <row r="107" spans="1:22" ht="12" customHeight="1" x14ac:dyDescent="0.35">
      <c r="A107" s="106"/>
      <c r="B107" s="106"/>
      <c r="C107" s="203"/>
      <c r="R107" s="302"/>
      <c r="S107" s="296"/>
      <c r="T107" s="296"/>
    </row>
    <row r="108" spans="1:22" ht="12" customHeight="1" x14ac:dyDescent="0.4">
      <c r="A108" s="205" t="s">
        <v>286</v>
      </c>
      <c r="B108" s="205"/>
      <c r="C108" s="205"/>
      <c r="D108" s="232"/>
      <c r="E108" s="236"/>
      <c r="F108" s="208">
        <f>F104+F106</f>
        <v>78583.117995288849</v>
      </c>
      <c r="G108" s="208"/>
      <c r="H108" s="208">
        <f>H104+H106</f>
        <v>120000.08987757252</v>
      </c>
      <c r="I108" s="208"/>
      <c r="J108" s="208">
        <f>J104+J106</f>
        <v>119244.09487379431</v>
      </c>
      <c r="K108" s="208"/>
      <c r="L108" s="208">
        <f>L104+L106</f>
        <v>107816.31747282777</v>
      </c>
      <c r="M108" s="208"/>
      <c r="N108" s="208">
        <f>N104+N106</f>
        <v>40347.511654143782</v>
      </c>
      <c r="O108" s="208">
        <f>F108+H108+J108+L108+N108</f>
        <v>465991.13187362719</v>
      </c>
      <c r="P108" s="208">
        <f>P106</f>
        <v>0</v>
      </c>
      <c r="Q108" s="208">
        <f>SUM(O108:P108)</f>
        <v>465991.13187362719</v>
      </c>
      <c r="R108" s="296"/>
      <c r="S108" s="296"/>
      <c r="T108" s="296"/>
    </row>
    <row r="109" spans="1:22" ht="12" customHeight="1" x14ac:dyDescent="0.4">
      <c r="A109" s="233" t="s">
        <v>13</v>
      </c>
      <c r="B109" s="234"/>
      <c r="C109" s="234"/>
      <c r="D109" s="235"/>
      <c r="E109" s="234"/>
      <c r="F109" s="234"/>
      <c r="G109" s="234"/>
      <c r="H109" s="234"/>
      <c r="I109" s="234"/>
      <c r="J109" s="234"/>
      <c r="K109" s="234"/>
      <c r="L109" s="234"/>
      <c r="M109" s="234"/>
      <c r="N109" s="234"/>
      <c r="O109" s="234"/>
      <c r="P109" s="234"/>
      <c r="Q109" s="234"/>
      <c r="R109" s="296"/>
      <c r="S109" s="296"/>
      <c r="T109" s="296"/>
      <c r="V109" s="165"/>
    </row>
    <row r="110" spans="1:22" ht="12" customHeight="1" x14ac:dyDescent="0.4">
      <c r="A110" s="209" t="s">
        <v>140</v>
      </c>
      <c r="B110" s="210"/>
      <c r="C110" s="211"/>
      <c r="D110" s="212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96"/>
      <c r="S110" s="296"/>
      <c r="T110" s="296"/>
    </row>
    <row r="111" spans="1:22" ht="12" customHeight="1" x14ac:dyDescent="0.35">
      <c r="A111" s="106" t="s">
        <v>415</v>
      </c>
      <c r="B111" s="106" t="s">
        <v>314</v>
      </c>
      <c r="C111" s="194" t="s">
        <v>112</v>
      </c>
      <c r="D111" s="188">
        <f>$F$27</f>
        <v>165636.99479295808</v>
      </c>
      <c r="E111" s="214">
        <v>0.05</v>
      </c>
      <c r="F111" s="192">
        <f t="shared" ref="F111:F114" si="67">D111*E111</f>
        <v>8281.8497396479052</v>
      </c>
      <c r="G111" s="192">
        <f>$H$27</f>
        <v>184196.5094222663</v>
      </c>
      <c r="H111" s="192">
        <f t="shared" ref="H111:H114" si="68">G111*E111</f>
        <v>9209.8254711133159</v>
      </c>
      <c r="I111" s="192">
        <f>$J$27</f>
        <v>181306.35853582941</v>
      </c>
      <c r="J111" s="192">
        <f t="shared" ref="J111:J114" si="69">I111*E111</f>
        <v>9065.3179267914711</v>
      </c>
      <c r="K111" s="192">
        <f>$L$27</f>
        <v>150651.33675702015</v>
      </c>
      <c r="L111" s="192">
        <f t="shared" ref="L111:L114" si="70">K111*E111</f>
        <v>7532.5668378510081</v>
      </c>
      <c r="M111" s="192">
        <f>$N$27</f>
        <v>47583.721390347469</v>
      </c>
      <c r="N111" s="192">
        <f t="shared" ref="N111:N114" si="71">M111*E111</f>
        <v>2379.1860695173737</v>
      </c>
      <c r="O111" s="192">
        <f t="shared" ref="O111:O114" si="72">F111+H111+J111+L111+N111</f>
        <v>36468.74604492107</v>
      </c>
      <c r="P111" s="192">
        <v>0</v>
      </c>
      <c r="Q111" s="192">
        <f t="shared" ref="Q111:Q114" si="73">SUM(O111:P111)</f>
        <v>36468.74604492107</v>
      </c>
      <c r="R111" s="296"/>
      <c r="S111" s="296"/>
      <c r="T111" s="296"/>
    </row>
    <row r="112" spans="1:22" ht="12" customHeight="1" x14ac:dyDescent="0.35">
      <c r="A112" s="106" t="s">
        <v>416</v>
      </c>
      <c r="B112" s="106" t="s">
        <v>314</v>
      </c>
      <c r="C112" s="194" t="s">
        <v>112</v>
      </c>
      <c r="D112" s="188">
        <f>$F$47</f>
        <v>18425</v>
      </c>
      <c r="E112" s="214">
        <v>0.05</v>
      </c>
      <c r="F112" s="192">
        <f t="shared" si="67"/>
        <v>921.25</v>
      </c>
      <c r="G112" s="192">
        <f>$H$47</f>
        <v>14430.75</v>
      </c>
      <c r="H112" s="192">
        <f t="shared" si="68"/>
        <v>721.53750000000002</v>
      </c>
      <c r="I112" s="192">
        <f>$J$47</f>
        <v>15139.9275</v>
      </c>
      <c r="J112" s="192">
        <f t="shared" si="69"/>
        <v>756.99637500000006</v>
      </c>
      <c r="K112" s="192">
        <f>$L$47</f>
        <v>15884.193075000001</v>
      </c>
      <c r="L112" s="192">
        <f t="shared" si="70"/>
        <v>794.20965375000014</v>
      </c>
      <c r="M112" s="192">
        <f>$N$47</f>
        <v>4814.1040672500003</v>
      </c>
      <c r="N112" s="192">
        <f t="shared" si="71"/>
        <v>240.70520336250001</v>
      </c>
      <c r="O112" s="192">
        <f t="shared" si="72"/>
        <v>3434.6987321125002</v>
      </c>
      <c r="P112" s="192">
        <v>0</v>
      </c>
      <c r="Q112" s="192">
        <f t="shared" si="73"/>
        <v>3434.6987321125002</v>
      </c>
      <c r="R112" s="296"/>
      <c r="S112" s="296"/>
      <c r="T112" s="296"/>
    </row>
    <row r="113" spans="1:20" ht="12" customHeight="1" x14ac:dyDescent="0.35">
      <c r="A113" s="106" t="s">
        <v>417</v>
      </c>
      <c r="B113" s="106" t="s">
        <v>314</v>
      </c>
      <c r="C113" s="194" t="s">
        <v>112</v>
      </c>
      <c r="D113" s="188">
        <f>$F$52</f>
        <v>1900</v>
      </c>
      <c r="E113" s="214">
        <v>0.05</v>
      </c>
      <c r="F113" s="192">
        <f t="shared" si="67"/>
        <v>95</v>
      </c>
      <c r="G113" s="192">
        <f>$H$52</f>
        <v>378</v>
      </c>
      <c r="H113" s="192">
        <f t="shared" si="68"/>
        <v>18.900000000000002</v>
      </c>
      <c r="I113" s="192">
        <f>$J$52</f>
        <v>396.90000000000003</v>
      </c>
      <c r="J113" s="192">
        <f t="shared" si="69"/>
        <v>19.845000000000002</v>
      </c>
      <c r="K113" s="192">
        <f>$L$52</f>
        <v>416.74500000000006</v>
      </c>
      <c r="L113" s="192">
        <f t="shared" si="70"/>
        <v>20.837250000000004</v>
      </c>
      <c r="M113" s="192">
        <f>$N$52</f>
        <v>109.39556250000003</v>
      </c>
      <c r="N113" s="192">
        <f t="shared" si="71"/>
        <v>5.4697781250000013</v>
      </c>
      <c r="O113" s="192">
        <f t="shared" si="72"/>
        <v>160.05202812500002</v>
      </c>
      <c r="P113" s="192">
        <v>0</v>
      </c>
      <c r="Q113" s="192">
        <f t="shared" si="73"/>
        <v>160.05202812500002</v>
      </c>
      <c r="R113" s="296"/>
      <c r="S113" s="296"/>
      <c r="T113" s="296"/>
    </row>
    <row r="114" spans="1:20" ht="12" customHeight="1" x14ac:dyDescent="0.35">
      <c r="A114" s="106" t="s">
        <v>418</v>
      </c>
      <c r="B114" s="106" t="s">
        <v>314</v>
      </c>
      <c r="C114" s="194" t="s">
        <v>112</v>
      </c>
      <c r="D114" s="188">
        <f>$F$59</f>
        <v>3150</v>
      </c>
      <c r="E114" s="214">
        <v>0.05</v>
      </c>
      <c r="F114" s="192">
        <f t="shared" si="67"/>
        <v>157.5</v>
      </c>
      <c r="G114" s="192">
        <f>$H$59</f>
        <v>3969</v>
      </c>
      <c r="H114" s="192">
        <f t="shared" si="68"/>
        <v>198.45000000000002</v>
      </c>
      <c r="I114" s="192">
        <f>$J$59</f>
        <v>4167.45</v>
      </c>
      <c r="J114" s="192">
        <f t="shared" si="69"/>
        <v>208.3725</v>
      </c>
      <c r="K114" s="192">
        <f>$L$59</f>
        <v>4375.8225000000002</v>
      </c>
      <c r="L114" s="192">
        <f t="shared" si="70"/>
        <v>218.79112500000002</v>
      </c>
      <c r="M114" s="192">
        <f>$N$59</f>
        <v>1148.6534062500002</v>
      </c>
      <c r="N114" s="192">
        <f t="shared" si="71"/>
        <v>57.432670312500015</v>
      </c>
      <c r="O114" s="192">
        <f t="shared" si="72"/>
        <v>840.54629531249998</v>
      </c>
      <c r="P114" s="192">
        <v>0</v>
      </c>
      <c r="Q114" s="192">
        <f t="shared" si="73"/>
        <v>840.54629531249998</v>
      </c>
    </row>
    <row r="115" spans="1:20" ht="12" customHeight="1" x14ac:dyDescent="0.35">
      <c r="A115" s="241" t="s">
        <v>557</v>
      </c>
      <c r="B115" s="131"/>
      <c r="C115" s="242"/>
      <c r="D115" s="201"/>
      <c r="E115" s="243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</row>
    <row r="116" spans="1:20" ht="12" customHeight="1" x14ac:dyDescent="0.35">
      <c r="A116" s="106" t="s">
        <v>313</v>
      </c>
      <c r="B116" s="106" t="s">
        <v>314</v>
      </c>
      <c r="C116" s="194" t="s">
        <v>112</v>
      </c>
      <c r="D116" s="188">
        <v>20</v>
      </c>
      <c r="E116" s="192">
        <v>110</v>
      </c>
      <c r="F116" s="192">
        <f>E116*D116</f>
        <v>2200</v>
      </c>
      <c r="G116" s="192">
        <v>40</v>
      </c>
      <c r="H116" s="192">
        <f>G116*E116</f>
        <v>4400</v>
      </c>
      <c r="I116" s="192">
        <v>40</v>
      </c>
      <c r="J116" s="192">
        <f>I116*E116</f>
        <v>4400</v>
      </c>
      <c r="K116" s="192">
        <v>40</v>
      </c>
      <c r="L116" s="192">
        <f>K116*E116</f>
        <v>4400</v>
      </c>
      <c r="M116" s="192">
        <v>10</v>
      </c>
      <c r="N116" s="192">
        <f>M116*E116</f>
        <v>1100</v>
      </c>
      <c r="O116" s="192">
        <f>SUM(F116,H116,J116,L116,N116)</f>
        <v>16500</v>
      </c>
      <c r="P116" s="192" t="s">
        <v>299</v>
      </c>
      <c r="Q116" s="192">
        <f>SUM(O116:P116)</f>
        <v>16500</v>
      </c>
    </row>
    <row r="117" spans="1:20" ht="12" customHeight="1" x14ac:dyDescent="0.35">
      <c r="A117" s="106" t="s">
        <v>316</v>
      </c>
      <c r="B117" s="106" t="s">
        <v>314</v>
      </c>
      <c r="C117" s="194" t="s">
        <v>112</v>
      </c>
      <c r="D117" s="188">
        <v>20</v>
      </c>
      <c r="E117" s="192">
        <v>25</v>
      </c>
      <c r="F117" s="192">
        <f t="shared" ref="F117:F118" si="74">E117*D117</f>
        <v>500</v>
      </c>
      <c r="G117" s="192">
        <v>40</v>
      </c>
      <c r="H117" s="192">
        <f t="shared" ref="H117:H118" si="75">G117*E117</f>
        <v>1000</v>
      </c>
      <c r="I117" s="192">
        <v>40</v>
      </c>
      <c r="J117" s="192">
        <f t="shared" ref="J117:J118" si="76">I117*E117</f>
        <v>1000</v>
      </c>
      <c r="K117" s="192">
        <v>40</v>
      </c>
      <c r="L117" s="192">
        <f t="shared" ref="L117:L118" si="77">K117*E117</f>
        <v>1000</v>
      </c>
      <c r="M117" s="192">
        <v>10</v>
      </c>
      <c r="N117" s="192">
        <f t="shared" ref="N117:N118" si="78">M117*E117</f>
        <v>250</v>
      </c>
      <c r="O117" s="192">
        <f t="shared" ref="O117:O118" si="79">SUM(F117,H117,J117,L117,N117)</f>
        <v>3750</v>
      </c>
      <c r="P117" s="192" t="s">
        <v>299</v>
      </c>
      <c r="Q117" s="192">
        <f t="shared" ref="Q117:Q118" si="80">SUM(O117:P117)</f>
        <v>3750</v>
      </c>
    </row>
    <row r="118" spans="1:20" ht="12" customHeight="1" x14ac:dyDescent="0.35">
      <c r="A118" s="106" t="s">
        <v>319</v>
      </c>
      <c r="B118" s="106" t="s">
        <v>314</v>
      </c>
      <c r="C118" s="194" t="s">
        <v>112</v>
      </c>
      <c r="D118" s="188">
        <v>20</v>
      </c>
      <c r="E118" s="192">
        <v>150</v>
      </c>
      <c r="F118" s="192">
        <f t="shared" si="74"/>
        <v>3000</v>
      </c>
      <c r="G118" s="192">
        <v>40</v>
      </c>
      <c r="H118" s="192">
        <f t="shared" si="75"/>
        <v>6000</v>
      </c>
      <c r="I118" s="192">
        <v>40</v>
      </c>
      <c r="J118" s="192">
        <f t="shared" si="76"/>
        <v>6000</v>
      </c>
      <c r="K118" s="192">
        <v>40</v>
      </c>
      <c r="L118" s="192">
        <f t="shared" si="77"/>
        <v>6000</v>
      </c>
      <c r="M118" s="192">
        <v>10</v>
      </c>
      <c r="N118" s="192">
        <f t="shared" si="78"/>
        <v>1500</v>
      </c>
      <c r="O118" s="192">
        <f t="shared" si="79"/>
        <v>22500</v>
      </c>
      <c r="P118" s="192" t="s">
        <v>299</v>
      </c>
      <c r="Q118" s="192">
        <f t="shared" si="80"/>
        <v>22500</v>
      </c>
    </row>
    <row r="119" spans="1:20" ht="12" customHeight="1" x14ac:dyDescent="0.35">
      <c r="A119" s="106"/>
      <c r="B119" s="106"/>
      <c r="C119" s="203"/>
    </row>
    <row r="120" spans="1:20" ht="24.75" customHeight="1" x14ac:dyDescent="0.4">
      <c r="A120" s="205" t="s">
        <v>423</v>
      </c>
      <c r="B120" s="205"/>
      <c r="C120" s="205"/>
      <c r="D120" s="232"/>
      <c r="E120" s="236"/>
      <c r="F120" s="208">
        <f>SUM(F111:F118)</f>
        <v>15155.599739647905</v>
      </c>
      <c r="G120" s="208"/>
      <c r="H120" s="208">
        <f>SUM(H111:H118)</f>
        <v>21548.712971113317</v>
      </c>
      <c r="I120" s="208"/>
      <c r="J120" s="208">
        <f>SUM(J111:J118)</f>
        <v>21450.531801791469</v>
      </c>
      <c r="K120" s="208"/>
      <c r="L120" s="208">
        <f>SUM(L111:L118)</f>
        <v>19966.404866601009</v>
      </c>
      <c r="M120" s="208"/>
      <c r="N120" s="208">
        <f>SUM(N111:N118)</f>
        <v>5532.7937213173736</v>
      </c>
      <c r="O120" s="208">
        <f>F120+H120+J120+L120+N120</f>
        <v>83654.04310047107</v>
      </c>
      <c r="P120" s="208">
        <f>SUM(P111:P118)</f>
        <v>0</v>
      </c>
      <c r="Q120" s="208">
        <f>SUM(O120:P120)</f>
        <v>83654.04310047107</v>
      </c>
      <c r="S120" s="178"/>
    </row>
    <row r="121" spans="1:20" ht="12" customHeight="1" x14ac:dyDescent="0.35">
      <c r="A121" s="106"/>
      <c r="B121" s="106"/>
      <c r="C121" s="203"/>
    </row>
    <row r="122" spans="1:20" ht="23.25" customHeight="1" x14ac:dyDescent="0.4">
      <c r="A122" s="215" t="s">
        <v>558</v>
      </c>
      <c r="B122" s="173" t="s">
        <v>330</v>
      </c>
      <c r="C122" s="216"/>
      <c r="D122" s="217"/>
      <c r="E122" s="193">
        <v>0.1</v>
      </c>
      <c r="F122" s="218">
        <f>(F120)*E122</f>
        <v>1515.5599739647905</v>
      </c>
      <c r="G122" s="218"/>
      <c r="H122" s="218">
        <f>(H120)*E122</f>
        <v>2154.8712971113318</v>
      </c>
      <c r="I122" s="218"/>
      <c r="J122" s="218">
        <f>(J120)*E122</f>
        <v>2145.0531801791471</v>
      </c>
      <c r="L122" s="218">
        <f>(L120)*E122</f>
        <v>1996.640486660101</v>
      </c>
      <c r="N122" s="218">
        <f>(N120)*E122</f>
        <v>553.27937213173743</v>
      </c>
      <c r="O122" s="218">
        <f>SUM(F122+H122+J122+L122+N122)</f>
        <v>8365.4043100471081</v>
      </c>
      <c r="P122" s="218">
        <v>0</v>
      </c>
      <c r="Q122" s="218">
        <f>SUM(O122:P122)</f>
        <v>8365.4043100471081</v>
      </c>
      <c r="S122" s="174"/>
    </row>
    <row r="123" spans="1:20" ht="12" customHeight="1" x14ac:dyDescent="0.35">
      <c r="A123" s="106"/>
      <c r="B123" s="106"/>
      <c r="C123" s="203"/>
    </row>
    <row r="124" spans="1:20" ht="12" customHeight="1" x14ac:dyDescent="0.4">
      <c r="A124" s="205" t="s">
        <v>327</v>
      </c>
      <c r="B124" s="205"/>
      <c r="C124" s="205"/>
      <c r="D124" s="232"/>
      <c r="E124" s="236"/>
      <c r="F124" s="208">
        <f>SUM(F120:F122)</f>
        <v>16671.159713612695</v>
      </c>
      <c r="G124" s="208"/>
      <c r="H124" s="208">
        <f>SUM(H120:H122)</f>
        <v>23703.584268224648</v>
      </c>
      <c r="I124" s="208"/>
      <c r="J124" s="208">
        <f>SUM(J120:J122)</f>
        <v>23595.584981970616</v>
      </c>
      <c r="K124" s="208"/>
      <c r="L124" s="208">
        <f>SUM(L120:L122)</f>
        <v>21963.04535326111</v>
      </c>
      <c r="M124" s="208"/>
      <c r="N124" s="208">
        <f>SUM(N120:N122)</f>
        <v>6086.0730934491112</v>
      </c>
      <c r="O124" s="208">
        <f>F124+H124+J124+L124+N124</f>
        <v>92019.447410518187</v>
      </c>
      <c r="P124" s="208">
        <f>SUM(P116:P118)</f>
        <v>0</v>
      </c>
      <c r="Q124" s="208">
        <f>SUM(O124:P124)</f>
        <v>92019.447410518187</v>
      </c>
      <c r="S124" s="178"/>
    </row>
    <row r="125" spans="1:20" ht="12" customHeight="1" x14ac:dyDescent="0.4">
      <c r="A125" s="219"/>
      <c r="B125" s="219"/>
      <c r="C125" s="220"/>
      <c r="D125" s="221"/>
      <c r="E125" s="187"/>
      <c r="F125" s="222"/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2"/>
      <c r="R125" s="175"/>
      <c r="S125" s="174"/>
      <c r="T125" s="179"/>
    </row>
    <row r="126" spans="1:20" ht="12" customHeight="1" x14ac:dyDescent="0.4">
      <c r="A126" s="237" t="s">
        <v>16</v>
      </c>
      <c r="B126" s="237"/>
      <c r="C126" s="237"/>
      <c r="D126" s="238"/>
      <c r="E126" s="239"/>
      <c r="F126" s="240">
        <f>F124+F108+F88</f>
        <v>288845.69427225384</v>
      </c>
      <c r="G126" s="240"/>
      <c r="H126" s="240">
        <f>H124+H108+H88</f>
        <v>439614.18536449294</v>
      </c>
      <c r="I126" s="240"/>
      <c r="J126" s="240">
        <f>J124+J108+J88</f>
        <v>440204.19963941234</v>
      </c>
      <c r="K126" s="240"/>
      <c r="L126" s="240">
        <f>L124+L108+L88</f>
        <v>403180.90706522216</v>
      </c>
      <c r="M126" s="240"/>
      <c r="N126" s="240">
        <f>N124+N108+N88</f>
        <v>98456.461868982209</v>
      </c>
      <c r="O126" s="240">
        <f>N126+L126+J126+H126+F126</f>
        <v>1670301.4482103635</v>
      </c>
      <c r="P126" s="240">
        <f>P124+P108+P88</f>
        <v>0</v>
      </c>
      <c r="Q126" s="240">
        <f>SUM(O126:P126)</f>
        <v>1670301.4482103635</v>
      </c>
      <c r="R126" s="177"/>
      <c r="S126" s="177"/>
    </row>
    <row r="129" spans="1:24" ht="12" customHeight="1" x14ac:dyDescent="0.35">
      <c r="O129" s="223"/>
      <c r="Q129" s="224"/>
    </row>
    <row r="130" spans="1:24" ht="12" customHeight="1" x14ac:dyDescent="0.35">
      <c r="E130" s="166"/>
      <c r="P130" s="224"/>
    </row>
    <row r="131" spans="1:24" ht="12" customHeight="1" x14ac:dyDescent="0.35">
      <c r="A131" s="225"/>
      <c r="B131" s="225"/>
      <c r="C131" s="226"/>
    </row>
    <row r="132" spans="1:24" ht="12" customHeight="1" x14ac:dyDescent="0.35">
      <c r="B132" s="225"/>
      <c r="C132" s="227"/>
    </row>
    <row r="134" spans="1:24" ht="12" customHeight="1" x14ac:dyDescent="0.35">
      <c r="A134" s="225"/>
      <c r="B134" s="225"/>
      <c r="C134" s="226"/>
    </row>
    <row r="135" spans="1:24" ht="12" customHeight="1" x14ac:dyDescent="0.35">
      <c r="A135" s="225"/>
      <c r="B135" s="225"/>
      <c r="C135" s="227"/>
    </row>
    <row r="137" spans="1:24" ht="12" customHeight="1" x14ac:dyDescent="0.35">
      <c r="A137" s="225"/>
      <c r="B137" s="225"/>
      <c r="C137" s="226"/>
    </row>
    <row r="138" spans="1:24" ht="12" customHeight="1" x14ac:dyDescent="0.35">
      <c r="A138" s="225"/>
      <c r="B138" s="225"/>
      <c r="C138" s="227"/>
    </row>
    <row r="140" spans="1:24" ht="12" customHeight="1" x14ac:dyDescent="0.35">
      <c r="A140" s="225"/>
      <c r="B140" s="225"/>
      <c r="C140" s="226"/>
    </row>
    <row r="141" spans="1:24" ht="12" customHeight="1" x14ac:dyDescent="0.35">
      <c r="A141" s="225"/>
      <c r="B141" s="225"/>
      <c r="C141" s="227"/>
    </row>
    <row r="142" spans="1:24" ht="12" customHeight="1" x14ac:dyDescent="0.35">
      <c r="X142" s="173"/>
    </row>
    <row r="143" spans="1:24" ht="12" customHeight="1" x14ac:dyDescent="0.35">
      <c r="A143" s="225"/>
      <c r="B143" s="225"/>
      <c r="C143" s="226"/>
    </row>
    <row r="144" spans="1:24" ht="12" customHeight="1" x14ac:dyDescent="0.35">
      <c r="A144" s="225"/>
      <c r="B144" s="225"/>
      <c r="C144" s="227"/>
    </row>
    <row r="148" spans="4:4" s="166" customFormat="1" ht="12" customHeight="1" x14ac:dyDescent="0.35">
      <c r="D148" s="180"/>
    </row>
    <row r="150" spans="4:4" s="166" customFormat="1" ht="12" customHeight="1" x14ac:dyDescent="0.35">
      <c r="D150" s="180"/>
    </row>
  </sheetData>
  <mergeCells count="6">
    <mergeCell ref="A89:Q89"/>
    <mergeCell ref="A1:Q1"/>
    <mergeCell ref="A2:Q2"/>
    <mergeCell ref="A3:Q3"/>
    <mergeCell ref="A60:Q60"/>
    <mergeCell ref="A4:B4"/>
  </mergeCells>
  <phoneticPr fontId="2" type="noConversion"/>
  <pageMargins left="0.7" right="0.7" top="0.75" bottom="0.75" header="0.3" footer="0.3"/>
  <pageSetup scale="1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2"/>
  <sheetViews>
    <sheetView zoomScale="150" zoomScaleNormal="150" workbookViewId="0">
      <selection activeCell="F15" sqref="F15"/>
    </sheetView>
  </sheetViews>
  <sheetFormatPr defaultColWidth="10.83203125" defaultRowHeight="12.3" x14ac:dyDescent="0.4"/>
  <cols>
    <col min="1" max="1" width="10.83203125" style="86"/>
    <col min="2" max="2" width="18.1640625" style="86" customWidth="1"/>
    <col min="3" max="3" width="17" style="86" customWidth="1"/>
    <col min="4" max="16384" width="10.83203125" style="86"/>
  </cols>
  <sheetData>
    <row r="1" spans="2:3" ht="12.6" thickBot="1" x14ac:dyDescent="0.45"/>
    <row r="2" spans="2:3" ht="12.6" thickBot="1" x14ac:dyDescent="0.45">
      <c r="B2" s="90" t="s">
        <v>559</v>
      </c>
      <c r="C2" s="91" t="s">
        <v>560</v>
      </c>
    </row>
    <row r="3" spans="2:3" ht="24" customHeight="1" thickTop="1" x14ac:dyDescent="0.4">
      <c r="B3" s="89" t="s">
        <v>52</v>
      </c>
      <c r="C3" s="93">
        <f>SUMIF(Category,B3,TotalDOL)</f>
        <v>1640410.6429441031</v>
      </c>
    </row>
    <row r="4" spans="2:3" ht="23.25" customHeight="1" x14ac:dyDescent="0.4">
      <c r="B4" s="87" t="s">
        <v>70</v>
      </c>
      <c r="C4" s="93">
        <f>SUMIF(Category,"Fringe Benefits",TotalDOL)</f>
        <v>663469.71778579825</v>
      </c>
    </row>
    <row r="5" spans="2:3" ht="23.25" customHeight="1" x14ac:dyDescent="0.4">
      <c r="B5" s="87" t="s">
        <v>8</v>
      </c>
      <c r="C5" s="93">
        <f>SUMIF(Category,"Travel",TotalDOL)</f>
        <v>265175.30006579205</v>
      </c>
    </row>
    <row r="6" spans="2:3" ht="25" customHeight="1" x14ac:dyDescent="0.4">
      <c r="B6" s="87" t="s">
        <v>561</v>
      </c>
      <c r="C6" s="93">
        <f>SUMIF(Category,"Equipment",TotalDOL)</f>
        <v>4500</v>
      </c>
    </row>
    <row r="7" spans="2:3" ht="25" customHeight="1" x14ac:dyDescent="0.4">
      <c r="B7" s="87" t="s">
        <v>115</v>
      </c>
      <c r="C7" s="93">
        <f>SUMIF(Category,"Supplies",TotalDOL)</f>
        <v>255404.78047269999</v>
      </c>
    </row>
    <row r="8" spans="2:3" ht="24" customHeight="1" x14ac:dyDescent="0.4">
      <c r="B8" s="87" t="s">
        <v>145</v>
      </c>
      <c r="C8" s="93">
        <f>SUMIF(Category,"Contractual",TotalDOL)</f>
        <v>3441032.7384705329</v>
      </c>
    </row>
    <row r="9" spans="2:3" ht="24" customHeight="1" x14ac:dyDescent="0.4">
      <c r="B9" s="87" t="s">
        <v>562</v>
      </c>
      <c r="C9" s="93">
        <f>SUMIF(Category,"Other",TotalDOL)</f>
        <v>1429218.74648</v>
      </c>
    </row>
    <row r="10" spans="2:3" ht="24" customHeight="1" thickBot="1" x14ac:dyDescent="0.45">
      <c r="B10" s="88" t="s">
        <v>330</v>
      </c>
      <c r="C10" s="94">
        <f>SUMIF(Category,"Indirect Charges",TotalDOL)</f>
        <v>2229388.5616322099</v>
      </c>
    </row>
    <row r="11" spans="2:3" ht="12.6" thickBot="1" x14ac:dyDescent="0.45"/>
    <row r="12" spans="2:3" ht="12.6" thickBot="1" x14ac:dyDescent="0.45">
      <c r="B12" s="96" t="s">
        <v>563</v>
      </c>
      <c r="C12" s="95">
        <f>SUM(C3:C10)</f>
        <v>9928600.4878511354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  <SharedWithUsers xmlns="dc808d36-874f-4b27-aec2-2fd649817929">
      <UserInfo>
        <DisplayName>Juan Carlos Mendoza</DisplayName>
        <AccountId>2472</AccountId>
        <AccountType/>
      </UserInfo>
      <UserInfo>
        <DisplayName>Carlos Alejandro Hernández</DisplayName>
        <AccountId>2834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7D5FEB7-53D2-48FD-AA6F-8ADDC4F339C2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000A6E6-5886-4F26-B6D1-DE3051D4E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05C1AE-1E8B-4941-BBD7-8E7DBD9C31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D7816-1A2F-48DC-AE79-E934211CDC02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Budget Summary</vt:lpstr>
      <vt:lpstr>Project Budget</vt:lpstr>
      <vt:lpstr>CFO</vt:lpstr>
      <vt:lpstr>CDM</vt:lpstr>
      <vt:lpstr>SAI</vt:lpstr>
      <vt:lpstr>SF-424 Cost Categories</vt:lpstr>
      <vt:lpstr>Category</vt:lpstr>
      <vt:lpstr>DL_TotalDOL</vt:lpstr>
      <vt:lpstr>ME_TotalDOL</vt:lpstr>
      <vt:lpstr>O1_TotalDOL</vt:lpstr>
      <vt:lpstr>'Project Budget'!Print_Area</vt:lpstr>
      <vt:lpstr>SU_TotalDOL</vt:lpstr>
      <vt:lpstr>TotalDOL</vt:lpstr>
      <vt:lpstr>TR_TotalDOL</vt:lpstr>
    </vt:vector>
  </TitlesOfParts>
  <Manager/>
  <Company>Compañeros de las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Lourdes Coloma</dc:creator>
  <cp:keywords/>
  <dc:description/>
  <cp:lastModifiedBy>Danielle Martin</cp:lastModifiedBy>
  <cp:revision/>
  <dcterms:created xsi:type="dcterms:W3CDTF">2007-06-26T13:33:20Z</dcterms:created>
  <dcterms:modified xsi:type="dcterms:W3CDTF">2024-09-19T20:51:15Z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6322600.00000000</vt:lpwstr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