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carmensofiapena/Downloads/"/>
    </mc:Choice>
  </mc:AlternateContent>
  <xr:revisionPtr revIDLastSave="0" documentId="8_{AC6D348D-B29D-6E46-A7DD-490FD8270985}" xr6:coauthVersionLast="47" xr6:coauthVersionMax="47" xr10:uidLastSave="{00000000-0000-0000-0000-000000000000}"/>
  <bookViews>
    <workbookView xWindow="960" yWindow="1180" windowWidth="24140" windowHeight="15240" activeTab="2" xr2:uid="{F56CB045-F017-4CA1-88CA-0052E5049C88}"/>
  </bookViews>
  <sheets>
    <sheet name="Instructions" sheetId="1" r:id="rId1"/>
    <sheet name="Award Summary Page" sheetId="3" r:id="rId2"/>
    <sheet name="Compliance Matrix Details" sheetId="2" r:id="rId3"/>
    <sheet name="Subaward Summary Page"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3" l="1"/>
  <c r="F25" i="3"/>
  <c r="E22" i="3"/>
  <c r="D22" i="3"/>
  <c r="C22" i="3"/>
  <c r="E19" i="3"/>
  <c r="D19" i="3"/>
  <c r="C19" i="3"/>
</calcChain>
</file>

<file path=xl/sharedStrings.xml><?xml version="1.0" encoding="utf-8"?>
<sst xmlns="http://schemas.openxmlformats.org/spreadsheetml/2006/main" count="348" uniqueCount="145">
  <si>
    <t xml:space="preserve"> Instructions for completing award compliance Matrix:</t>
  </si>
  <si>
    <r>
      <t>·</t>
    </r>
    <r>
      <rPr>
        <sz val="7"/>
        <color theme="1"/>
        <rFont val="Times New Roman"/>
        <family val="1"/>
      </rPr>
      <t xml:space="preserve">        </t>
    </r>
    <r>
      <rPr>
        <b/>
        <sz val="11"/>
        <color theme="1"/>
        <rFont val="Calibri"/>
        <family val="2"/>
        <scheme val="minor"/>
      </rPr>
      <t>Purpose</t>
    </r>
    <r>
      <rPr>
        <sz val="11"/>
        <color theme="1"/>
        <rFont val="Calibri"/>
        <family val="2"/>
        <scheme val="minor"/>
      </rPr>
      <t>: ensure that POA is compliant with our awards</t>
    </r>
  </si>
  <si>
    <r>
      <t>·</t>
    </r>
    <r>
      <rPr>
        <sz val="7"/>
        <color theme="1"/>
        <rFont val="Times New Roman"/>
        <family val="1"/>
      </rPr>
      <t xml:space="preserve">        </t>
    </r>
    <r>
      <rPr>
        <sz val="11"/>
        <color theme="1"/>
        <rFont val="Calibri"/>
        <family val="2"/>
        <scheme val="minor"/>
      </rPr>
      <t>Review award documents (award, annual work plan, PMP, M&amp;E, indicators, etc.)</t>
    </r>
  </si>
  <si>
    <r>
      <t>·</t>
    </r>
    <r>
      <rPr>
        <sz val="7"/>
        <color theme="1"/>
        <rFont val="Times New Roman"/>
        <family val="1"/>
      </rPr>
      <t xml:space="preserve">        </t>
    </r>
    <r>
      <rPr>
        <sz val="11"/>
        <color theme="1"/>
        <rFont val="Calibri"/>
        <family val="2"/>
        <scheme val="minor"/>
      </rPr>
      <t>Write down everything POA committed to completing</t>
    </r>
  </si>
  <si>
    <r>
      <t>·</t>
    </r>
    <r>
      <rPr>
        <sz val="7"/>
        <color theme="1"/>
        <rFont val="Times New Roman"/>
        <family val="1"/>
      </rPr>
      <t xml:space="preserve">        </t>
    </r>
    <r>
      <rPr>
        <sz val="11"/>
        <color theme="1"/>
        <rFont val="Calibri"/>
        <family val="2"/>
        <scheme val="minor"/>
      </rPr>
      <t>Note whether POA has completed it, or not. </t>
    </r>
  </si>
  <si>
    <r>
      <t>·</t>
    </r>
    <r>
      <rPr>
        <sz val="7"/>
        <color theme="1"/>
        <rFont val="Times New Roman"/>
        <family val="1"/>
      </rPr>
      <t xml:space="preserve">        </t>
    </r>
    <r>
      <rPr>
        <sz val="11"/>
        <color theme="1"/>
        <rFont val="Calibri"/>
        <family val="2"/>
        <scheme val="minor"/>
      </rPr>
      <t>If not, make a note as to why or indicate the current status.</t>
    </r>
  </si>
  <si>
    <t>Responsible</t>
  </si>
  <si>
    <t>Home office backstops will be responsible for updating and maintain the matrix</t>
  </si>
  <si>
    <t>Approvals</t>
  </si>
  <si>
    <t>Compliance matrix will be review twice annually, once at the end April and October.</t>
  </si>
  <si>
    <t>Senior Directors for each unit, the Senior Vice President of Programs, and the Compliance team will review and approve twice annually</t>
  </si>
  <si>
    <t>Compliance Matrix</t>
  </si>
  <si>
    <t>Award Name/Title:</t>
  </si>
  <si>
    <t>Total Award Amount:</t>
  </si>
  <si>
    <t>Program Manager(s) (including dates):</t>
  </si>
  <si>
    <t>Internal Grant Number:</t>
  </si>
  <si>
    <t>Total Obligation Amount:</t>
  </si>
  <si>
    <t>Award Number:</t>
  </si>
  <si>
    <t>Cost Share Amount:</t>
  </si>
  <si>
    <t>Donor:</t>
  </si>
  <si>
    <t>Leverage Amount:</t>
  </si>
  <si>
    <t>CFDA:</t>
  </si>
  <si>
    <r>
      <rPr>
        <b/>
        <i/>
        <sz val="14"/>
        <rFont val="Times New Roman"/>
        <family val="1"/>
      </rPr>
      <t>USAID Only:</t>
    </r>
    <r>
      <rPr>
        <b/>
        <sz val="14"/>
        <rFont val="Times New Roman"/>
        <family val="1"/>
      </rPr>
      <t xml:space="preserve"> Geographic Code:</t>
    </r>
  </si>
  <si>
    <t>Award Start Date:</t>
  </si>
  <si>
    <t>Key Personnel:</t>
  </si>
  <si>
    <t>Award End Date:</t>
  </si>
  <si>
    <t>Approved Indirect Rate(s) %:</t>
  </si>
  <si>
    <t>Program Director:</t>
  </si>
  <si>
    <t>Prior Approvals Required:</t>
  </si>
  <si>
    <t>Agreement Officer Rep. (AOR)/Grants Officer Rep. (GOR):</t>
  </si>
  <si>
    <t>Treatment of Program Income:</t>
  </si>
  <si>
    <t>Agreement Officer (AO)/Grants Officer (GO):</t>
  </si>
  <si>
    <t>Category</t>
  </si>
  <si>
    <t>FY</t>
  </si>
  <si>
    <t>Period of Performance</t>
  </si>
  <si>
    <t>Date Submitted</t>
  </si>
  <si>
    <t>Date Approved</t>
  </si>
  <si>
    <t>Report Title</t>
  </si>
  <si>
    <t>Link to Final Approved Document</t>
  </si>
  <si>
    <t>Description of Document/Modification and Source</t>
  </si>
  <si>
    <t>Award</t>
  </si>
  <si>
    <t>Agreement</t>
  </si>
  <si>
    <t>n/a</t>
  </si>
  <si>
    <t>YYYY-YYYY</t>
  </si>
  <si>
    <t>MM/DD/YYYY</t>
  </si>
  <si>
    <t>Cost Extension</t>
  </si>
  <si>
    <t>Modification 01</t>
  </si>
  <si>
    <t>Modification 02</t>
  </si>
  <si>
    <t>Modification 03</t>
  </si>
  <si>
    <t>Modification 04</t>
  </si>
  <si>
    <t>Modification 05</t>
  </si>
  <si>
    <t>Modification 06</t>
  </si>
  <si>
    <t>Modification 07</t>
  </si>
  <si>
    <t>Modification 08</t>
  </si>
  <si>
    <t>Modification 09</t>
  </si>
  <si>
    <t>Modification 10</t>
  </si>
  <si>
    <t>Monitoring, Evaluation &amp; Learning Plan</t>
  </si>
  <si>
    <t>M&amp;E Plan</t>
  </si>
  <si>
    <t>FYXX</t>
  </si>
  <si>
    <t>M&amp;E Plan - Revision</t>
  </si>
  <si>
    <t>Special Provisions/Restrictions</t>
  </si>
  <si>
    <t>List restrictions</t>
  </si>
  <si>
    <t>List special provisions or requirements</t>
  </si>
  <si>
    <t>Meeting Notes with Donor (AOR/GOR Key Decisions)</t>
  </si>
  <si>
    <t>Date of Meeting</t>
  </si>
  <si>
    <t>Date Approved by Email</t>
  </si>
  <si>
    <t>Topic: Add description of notes</t>
  </si>
  <si>
    <t>Compliance Issues or Other Finding/Concerns</t>
  </si>
  <si>
    <t>Date Found</t>
  </si>
  <si>
    <t>Issue/Concern</t>
  </si>
  <si>
    <t>Link to Document</t>
  </si>
  <si>
    <t>Indicate compliance issue/concern/finding</t>
  </si>
  <si>
    <t>Breakdown of Award Requirements</t>
  </si>
  <si>
    <t>Award Terms &amp; Conditions</t>
  </si>
  <si>
    <t>Compliant Y/N</t>
  </si>
  <si>
    <t>Comments</t>
  </si>
  <si>
    <t xml:space="preserve">Program Description </t>
  </si>
  <si>
    <t>Indicators</t>
  </si>
  <si>
    <t>Activities in Budget Narrative</t>
  </si>
  <si>
    <t>Subaward Name/Title:</t>
  </si>
  <si>
    <t>POA Subaward Manager(s) (including dates):</t>
  </si>
  <si>
    <t>Internal Grant Name:</t>
  </si>
  <si>
    <t>Subaward Number:</t>
  </si>
  <si>
    <t>Subaward Start Date:</t>
  </si>
  <si>
    <t>Subaward End Date:</t>
  </si>
  <si>
    <t>Subaward Point of Contact:</t>
  </si>
  <si>
    <t>POA Point of Contact:</t>
  </si>
  <si>
    <t>Subaward Agreement</t>
  </si>
  <si>
    <t>Meeting Notes with POA (Key Decisions)</t>
  </si>
  <si>
    <t>Educational Outreach to Provide
Research and Exchange Studies in Cuba</t>
  </si>
  <si>
    <t>SCU04022GR0004</t>
  </si>
  <si>
    <t>DOS264</t>
  </si>
  <si>
    <t>U.S. Embassy Havana</t>
  </si>
  <si>
    <t>19.040</t>
  </si>
  <si>
    <t>Penelope Kim</t>
  </si>
  <si>
    <t>Xavier J Billingsley</t>
  </si>
  <si>
    <t>Norma Tania Rivero Villasol</t>
  </si>
  <si>
    <t>Penelope Kim, Victor Moscoso, Mariana Cabrera Figueroa</t>
  </si>
  <si>
    <t>No</t>
  </si>
  <si>
    <t>Deduction</t>
  </si>
  <si>
    <t>2022-2024</t>
  </si>
  <si>
    <t>SIGNED AGREEMENT - 100K Embassy in Cuba - SCU04022GR0004 (2022-09-29 to 2024-09-29)</t>
  </si>
  <si>
    <t>https://partnersnet107.sharepoint.com/:b:/s/Programs/EfODqvJSf6dCud_Fdif3GnYB60m1ju7rAYViQNDKJM0ZhQ?e=wIdesH</t>
  </si>
  <si>
    <t>Signed Prime Award Agreement</t>
  </si>
  <si>
    <t>FY22</t>
  </si>
  <si>
    <t>Annex A - Cuba Exchange Monitoring &amp; Evaluation Plan</t>
  </si>
  <si>
    <t>https://partnersnet107.sharepoint.com/:w:/s/Programs/EVFdkYJcB_BCgYcAs-6bSfYB7w9qv80cZ3ol1m5hRBWb_w?e=zeTyPZ</t>
  </si>
  <si>
    <t>Annex B - Cuba Exchange Timeline of Activities</t>
  </si>
  <si>
    <t>https://partnersnet107.sharepoint.com/:x:/s/Programs/EVEBgOR19kBHtuSaa-w-MuoBDdE3eO0ttm-eQkklNLHvHA?e=80ynf6</t>
  </si>
  <si>
    <t>Timeline of Activities</t>
  </si>
  <si>
    <t>Work Plan/Implementation Plan</t>
  </si>
  <si>
    <t>Work Plan/Implementation Plan Revision</t>
  </si>
  <si>
    <t>Prohibition on Certain Telecommunications and Video Surveillance Services or Equipment</t>
  </si>
  <si>
    <t>See Clause #20 on the Signed Prime Award Agreement</t>
  </si>
  <si>
    <r>
      <rPr>
        <b/>
        <sz val="12"/>
        <color theme="1"/>
        <rFont val="Times New Roman"/>
        <family val="1"/>
      </rPr>
      <t xml:space="preserve">Final Financial Reporting: </t>
    </r>
    <r>
      <rPr>
        <sz val="12"/>
        <color theme="1"/>
        <rFont val="Times New Roman"/>
        <family val="1"/>
      </rPr>
      <t>January 27, 2025</t>
    </r>
  </si>
  <si>
    <r>
      <rPr>
        <b/>
        <sz val="12"/>
        <color theme="1"/>
        <rFont val="Times New Roman"/>
        <family val="1"/>
      </rPr>
      <t>Annual Performance Report #1:</t>
    </r>
    <r>
      <rPr>
        <sz val="12"/>
        <color theme="1"/>
        <rFont val="Times New Roman"/>
        <family val="1"/>
      </rPr>
      <t xml:space="preserve"> October 30, 2023</t>
    </r>
  </si>
  <si>
    <r>
      <rPr>
        <b/>
        <sz val="12"/>
        <color theme="1"/>
        <rFont val="Times New Roman"/>
        <family val="1"/>
      </rPr>
      <t>Annual Performance Report #2:</t>
    </r>
    <r>
      <rPr>
        <sz val="12"/>
        <color theme="1"/>
        <rFont val="Times New Roman"/>
        <family val="1"/>
      </rPr>
      <t xml:space="preserve"> October 28, 2024</t>
    </r>
  </si>
  <si>
    <r>
      <rPr>
        <b/>
        <sz val="12"/>
        <color theme="1"/>
        <rFont val="Times New Roman"/>
        <family val="1"/>
      </rPr>
      <t>Annual Performance Report #3:</t>
    </r>
    <r>
      <rPr>
        <sz val="12"/>
        <color theme="1"/>
        <rFont val="Times New Roman"/>
        <family val="1"/>
      </rPr>
      <t xml:space="preserve"> October 29, 2024</t>
    </r>
  </si>
  <si>
    <r>
      <rPr>
        <b/>
        <sz val="12"/>
        <color rgb="FF000000"/>
        <rFont val="Times New Roman"/>
        <family val="1"/>
      </rPr>
      <t xml:space="preserve">Final Program Report: </t>
    </r>
    <r>
      <rPr>
        <sz val="12"/>
        <color rgb="FF000000"/>
        <rFont val="Times New Roman"/>
        <family val="1"/>
      </rPr>
      <t>January 27, 2025</t>
    </r>
  </si>
  <si>
    <r>
      <rPr>
        <b/>
        <sz val="12"/>
        <rFont val="Times New Roman"/>
        <family val="1"/>
      </rPr>
      <t xml:space="preserve">Program Income: </t>
    </r>
    <r>
      <rPr>
        <sz val="12"/>
        <rFont val="Times New Roman"/>
        <family val="1"/>
      </rPr>
      <t>Deduction: Any program income earned by the Recipient as a result of this award and during the period of performance must be deducted from the total allowable costs in order to determine the net allowable costs for the award.</t>
    </r>
  </si>
  <si>
    <r>
      <rPr>
        <b/>
        <sz val="12"/>
        <rFont val="Times New Roman"/>
        <family val="1"/>
      </rPr>
      <t xml:space="preserve">Substantial Involvement: </t>
    </r>
    <r>
      <rPr>
        <sz val="12"/>
        <rFont val="Times New Roman"/>
        <family val="1"/>
      </rPr>
      <t>N/A</t>
    </r>
  </si>
  <si>
    <r>
      <t xml:space="preserve">Branding &amp; Marking: </t>
    </r>
    <r>
      <rPr>
        <sz val="12"/>
        <rFont val="Times New Roman"/>
        <family val="1"/>
      </rPr>
      <t>N/A</t>
    </r>
  </si>
  <si>
    <t>Y</t>
  </si>
  <si>
    <r>
      <rPr>
        <b/>
        <sz val="12"/>
        <color rgb="FF000000"/>
        <rFont val="Times New Roman"/>
        <family val="1"/>
      </rPr>
      <t xml:space="preserve">Description: </t>
    </r>
    <r>
      <rPr>
        <sz val="12"/>
        <color rgb="FF000000"/>
        <rFont val="Times New Roman"/>
        <family val="1"/>
      </rPr>
      <t>Implement educational programming in Cuba.</t>
    </r>
  </si>
  <si>
    <r>
      <rPr>
        <b/>
        <sz val="12"/>
        <color theme="1"/>
        <rFont val="Times New Roman"/>
        <family val="1"/>
      </rPr>
      <t>Geographic Scope</t>
    </r>
    <r>
      <rPr>
        <sz val="12"/>
        <color theme="1"/>
        <rFont val="Times New Roman"/>
        <family val="1"/>
      </rPr>
      <t>:</t>
    </r>
    <r>
      <rPr>
        <b/>
        <sz val="12"/>
        <color theme="1"/>
        <rFont val="Times New Roman"/>
        <family val="1"/>
      </rPr>
      <t xml:space="preserve"> </t>
    </r>
    <r>
      <rPr>
        <sz val="12"/>
        <color theme="1"/>
        <rFont val="Times New Roman"/>
        <family val="1"/>
      </rPr>
      <t>U.S.-Cuba</t>
    </r>
  </si>
  <si>
    <t>Embassy educational outreach generally provides research and exchange studies to a Cuban audience. Specifically, the U.S. Embassy requests special consideration in educational programming related to entrepreneurship, business development, and business readiness. Universities and intuitions that serve underrepresented groups should be given special consideration.</t>
  </si>
  <si>
    <t>Expand international exchange grant opportunities available to HEIs in Cuba and the U.S. by securing private sector resources for that purpose.</t>
  </si>
  <si>
    <t>Stimulate institutional partnerships and increase the capacity of Cuban and U.S. HEIs to support research and exchange programs between both countries.</t>
  </si>
  <si>
    <t>Workplan 2022-2024</t>
  </si>
  <si>
    <t>MEL Plan 2022-2024</t>
  </si>
  <si>
    <t># of stakeholders from private sector entities engaged in conversations around U.S.-Cuba research &amp; exchanges</t>
  </si>
  <si>
    <t>Amount of funds secured from private sector entities to support a U.S.-Cuba grant competition</t>
  </si>
  <si>
    <t># audience engagement in outreach &amp; promotion efforts about the grant competition</t>
  </si>
  <si>
    <t># of grant applications received</t>
  </si>
  <si>
    <t># of grants awarded</t>
  </si>
  <si>
    <t># of HEIs that received grants</t>
  </si>
  <si>
    <t># of students that benefit from grant funded projects</t>
  </si>
  <si>
    <t># of faculty/staff that benefit from grant funded projects</t>
  </si>
  <si>
    <t>To assess progress on donor cultivation efforts, POA will create and maintain relevant records, including a list of prospective donors and other stakeholders engaged through the various touchpoints.</t>
  </si>
  <si>
    <t xml:space="preserve">POA will monitor activities of grant-winning projects by administering survey tools designed to assess overall grant impact. </t>
  </si>
  <si>
    <t>Project reports will include quantitative data, including the number of students and faculty going abroad and cost-sharing, as well as qualitative data such as student/faculty anecdotes, photos, and videos. Furthermore, HEIs will be asked to reflect on their experience in implementing their grant project and share any continued success or growth of the project, increased capacities as a result of the grant, and whether they plan to expand, maintain, or discontinue program elements.</t>
  </si>
  <si>
    <t>POA will also provide regular updates to PAS-Havana through progress reports on the outcomes of fundraising efforts, including contributions from the private</t>
  </si>
  <si>
    <r>
      <rPr>
        <b/>
        <sz val="12"/>
        <rFont val="Times New Roman"/>
        <family val="1"/>
      </rPr>
      <t xml:space="preserve">Personnel &amp; Fringe: </t>
    </r>
    <r>
      <rPr>
        <sz val="12"/>
        <rFont val="Times New Roman"/>
        <family val="1"/>
      </rPr>
      <t>Partners has budgeted for one (1) Director of Partnerships, one (1) Program Director, and one (1) Program Officer at Partners’ headquarters.</t>
    </r>
  </si>
  <si>
    <r>
      <rPr>
        <b/>
        <sz val="12"/>
        <rFont val="Times New Roman"/>
        <family val="1"/>
      </rPr>
      <t>Staff Travel:</t>
    </r>
    <r>
      <rPr>
        <sz val="12"/>
        <rFont val="Times New Roman"/>
        <family val="1"/>
      </rPr>
      <t xml:space="preserve"> One (1) international trip and one (1) domestic travel will take place to Miami, Florida and Havana, Cuba to conduct stakeholder engagement.</t>
    </r>
  </si>
  <si>
    <r>
      <t xml:space="preserve">Consultant/Country Engagement Strategist: </t>
    </r>
    <r>
      <rPr>
        <sz val="12"/>
        <color theme="1"/>
        <rFont val="Times New Roman"/>
        <family val="1"/>
      </rPr>
      <t>Partners is budgeting for two (2) months of support for a fundraising consultant at $3,500/month who will provide strategically important support to Partners in raising funds for the program. The Country Engagement Strategist with be hired with prior discussion and approval from the Embassy Grants Officer and the Bureau of Western Hemisphere Affairs at the U.S. Department of State.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</si>
</sst>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quot;$&quot;#,##0.00"/>
  </numFmts>
  <fonts count="23" x14ac:knownFonts="1">
    <font>
      <sz val="11"/>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b/>
      <sz val="12"/>
      <name val="Times New Roman"/>
      <family val="1"/>
    </font>
    <font>
      <sz val="8"/>
      <name val="Calibri"/>
      <family val="2"/>
      <scheme val="minor"/>
    </font>
    <font>
      <sz val="11"/>
      <color theme="1"/>
      <name val="Calibri"/>
      <family val="2"/>
      <scheme val="minor"/>
    </font>
  </fonts>
  <fills count="6">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33">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medium">
        <color indexed="64"/>
      </left>
      <right style="thin">
        <color theme="2" tint="-0.24994659260841701"/>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medium">
        <color indexed="64"/>
      </bottom>
      <diagonal/>
    </border>
    <border>
      <left style="thin">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s>
  <cellStyleXfs count="3">
    <xf numFmtId="0" fontId="0" fillId="0" borderId="0"/>
    <xf numFmtId="0" fontId="11" fillId="0" borderId="0" applyNumberFormat="0" applyFill="0" applyBorder="0" applyAlignment="0" applyProtection="0"/>
    <xf numFmtId="9" fontId="22" fillId="0" borderId="0" applyFont="0" applyFill="0" applyBorder="0" applyAlignment="0" applyProtection="0"/>
  </cellStyleXfs>
  <cellXfs count="99">
    <xf numFmtId="0" fontId="0" fillId="0" borderId="0" xfId="0"/>
    <xf numFmtId="0" fontId="0" fillId="0" borderId="0" xfId="0" applyAlignment="1">
      <alignment vertical="center"/>
    </xf>
    <xf numFmtId="0" fontId="2" fillId="0" borderId="0" xfId="0" applyFont="1" applyAlignment="1">
      <alignment horizontal="left" vertical="center" indent="5"/>
    </xf>
    <xf numFmtId="0" fontId="5" fillId="3" borderId="1" xfId="0" applyFont="1" applyFill="1" applyBorder="1" applyAlignment="1">
      <alignment horizontal="right"/>
    </xf>
    <xf numFmtId="0" fontId="5" fillId="3" borderId="2" xfId="0" applyFont="1" applyFill="1" applyBorder="1" applyAlignment="1">
      <alignment horizontal="right"/>
    </xf>
    <xf numFmtId="0" fontId="0" fillId="0" borderId="4" xfId="0" applyBorder="1"/>
    <xf numFmtId="0" fontId="6" fillId="0" borderId="0" xfId="0" applyFont="1"/>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4" borderId="1" xfId="0" applyFont="1" applyFill="1" applyBorder="1" applyAlignment="1">
      <alignment horizontal="left"/>
    </xf>
    <xf numFmtId="0" fontId="8" fillId="4" borderId="7" xfId="0" applyFont="1" applyFill="1" applyBorder="1"/>
    <xf numFmtId="0" fontId="8" fillId="4" borderId="8" xfId="0" applyFont="1" applyFill="1" applyBorder="1" applyAlignment="1">
      <alignment horizontal="fill"/>
    </xf>
    <xf numFmtId="0" fontId="9" fillId="0" borderId="0" xfId="0" applyFont="1"/>
    <xf numFmtId="0" fontId="10" fillId="5" borderId="9" xfId="0" applyFont="1" applyFill="1" applyBorder="1"/>
    <xf numFmtId="0" fontId="10" fillId="5" borderId="10" xfId="0" applyFont="1" applyFill="1" applyBorder="1"/>
    <xf numFmtId="0" fontId="10" fillId="5" borderId="11" xfId="0" applyFont="1" applyFill="1" applyBorder="1"/>
    <xf numFmtId="14" fontId="10" fillId="5" borderId="11" xfId="0" applyNumberFormat="1" applyFont="1" applyFill="1" applyBorder="1"/>
    <xf numFmtId="0" fontId="12" fillId="0" borderId="12" xfId="1" applyFont="1" applyBorder="1" applyAlignment="1">
      <alignment horizontal="fill"/>
    </xf>
    <xf numFmtId="0" fontId="8" fillId="4" borderId="13" xfId="0" applyFont="1" applyFill="1" applyBorder="1"/>
    <xf numFmtId="0" fontId="8" fillId="4" borderId="14" xfId="0" applyFont="1" applyFill="1" applyBorder="1"/>
    <xf numFmtId="0" fontId="8" fillId="4" borderId="12" xfId="0" applyFont="1" applyFill="1" applyBorder="1" applyAlignment="1">
      <alignment horizontal="fill"/>
    </xf>
    <xf numFmtId="0" fontId="10" fillId="0" borderId="15" xfId="0" applyFont="1" applyBorder="1"/>
    <xf numFmtId="0" fontId="10" fillId="0" borderId="16" xfId="0" applyFont="1" applyBorder="1"/>
    <xf numFmtId="0" fontId="10" fillId="0" borderId="11" xfId="0" applyFont="1" applyBorder="1"/>
    <xf numFmtId="0" fontId="12" fillId="0" borderId="12" xfId="1" applyFont="1" applyFill="1" applyBorder="1" applyAlignment="1">
      <alignment horizontal="fill"/>
    </xf>
    <xf numFmtId="0" fontId="10" fillId="0" borderId="9" xfId="0" applyFont="1" applyBorder="1"/>
    <xf numFmtId="0" fontId="10" fillId="0" borderId="12" xfId="0" applyFont="1" applyBorder="1" applyAlignment="1">
      <alignment horizontal="fill"/>
    </xf>
    <xf numFmtId="0" fontId="13" fillId="4" borderId="14" xfId="0" applyFont="1" applyFill="1" applyBorder="1"/>
    <xf numFmtId="0" fontId="13" fillId="4" borderId="12" xfId="0" applyFont="1" applyFill="1" applyBorder="1" applyAlignment="1">
      <alignment horizontal="fill"/>
    </xf>
    <xf numFmtId="0" fontId="10" fillId="0" borderId="17" xfId="0" applyFont="1" applyBorder="1"/>
    <xf numFmtId="0" fontId="10" fillId="5" borderId="18" xfId="0" applyFont="1" applyFill="1" applyBorder="1"/>
    <xf numFmtId="14" fontId="10" fillId="5" borderId="18" xfId="0" applyNumberFormat="1" applyFont="1" applyFill="1" applyBorder="1"/>
    <xf numFmtId="0" fontId="12" fillId="0" borderId="19" xfId="1" applyFont="1" applyBorder="1" applyAlignment="1">
      <alignment horizontal="fill"/>
    </xf>
    <xf numFmtId="0" fontId="0" fillId="0" borderId="0" xfId="0" applyAlignment="1">
      <alignment horizontal="fill"/>
    </xf>
    <xf numFmtId="0" fontId="0" fillId="5" borderId="0" xfId="0" applyFill="1" applyAlignment="1">
      <alignment wrapText="1"/>
    </xf>
    <xf numFmtId="0" fontId="10" fillId="0" borderId="2" xfId="0" applyFont="1" applyBorder="1" applyAlignment="1">
      <alignment horizontal="center" vertical="center" wrapText="1"/>
    </xf>
    <xf numFmtId="0" fontId="15" fillId="3" borderId="2"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3" borderId="2" xfId="0" applyFont="1" applyFill="1" applyBorder="1" applyAlignment="1">
      <alignment horizontal="left" vertical="center" wrapText="1"/>
    </xf>
    <xf numFmtId="0" fontId="16" fillId="5" borderId="2" xfId="0" applyFont="1" applyFill="1" applyBorder="1" applyAlignment="1">
      <alignment horizontal="left" vertical="center" wrapText="1"/>
    </xf>
    <xf numFmtId="0" fontId="18" fillId="0" borderId="2" xfId="0" applyFont="1" applyBorder="1" applyAlignment="1">
      <alignment horizontal="center" vertical="center" wrapText="1"/>
    </xf>
    <xf numFmtId="0" fontId="16" fillId="3" borderId="2" xfId="0" applyFont="1" applyFill="1" applyBorder="1" applyAlignment="1">
      <alignment horizontal="left" vertical="center" wrapText="1"/>
    </xf>
    <xf numFmtId="0" fontId="19" fillId="3" borderId="2" xfId="0" applyFont="1" applyFill="1" applyBorder="1" applyAlignment="1">
      <alignment horizontal="center" vertical="center" wrapText="1"/>
    </xf>
    <xf numFmtId="0" fontId="16" fillId="0" borderId="2" xfId="0" applyFont="1" applyBorder="1" applyAlignment="1">
      <alignment horizontal="left" vertical="center" wrapText="1"/>
    </xf>
    <xf numFmtId="0" fontId="10" fillId="5" borderId="2" xfId="0" applyFont="1" applyFill="1" applyBorder="1" applyAlignment="1">
      <alignment vertical="center" wrapText="1"/>
    </xf>
    <xf numFmtId="0" fontId="18" fillId="5" borderId="2" xfId="0" applyFont="1" applyFill="1" applyBorder="1" applyAlignment="1">
      <alignment vertical="center" wrapText="1"/>
    </xf>
    <xf numFmtId="0" fontId="10" fillId="5" borderId="2" xfId="0" applyFont="1" applyFill="1" applyBorder="1" applyAlignment="1">
      <alignment horizontal="left" vertical="center" wrapText="1"/>
    </xf>
    <xf numFmtId="0" fontId="18" fillId="5" borderId="2"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10" fillId="0" borderId="2" xfId="0" applyFont="1" applyBorder="1" applyAlignment="1">
      <alignment vertical="top" wrapText="1"/>
    </xf>
    <xf numFmtId="0" fontId="19" fillId="3" borderId="2" xfId="0" applyFont="1" applyFill="1" applyBorder="1" applyAlignment="1">
      <alignment horizontal="left" vertical="center" wrapText="1"/>
    </xf>
    <xf numFmtId="0" fontId="10" fillId="3" borderId="2" xfId="0" applyFont="1" applyFill="1" applyBorder="1" applyAlignment="1">
      <alignment horizontal="left" vertical="top" wrapText="1"/>
    </xf>
    <xf numFmtId="0" fontId="10" fillId="3" borderId="2" xfId="0" applyFont="1" applyFill="1" applyBorder="1" applyAlignment="1">
      <alignment vertical="top" wrapText="1"/>
    </xf>
    <xf numFmtId="0" fontId="10" fillId="0" borderId="2" xfId="0" applyFont="1" applyBorder="1" applyAlignment="1">
      <alignment wrapText="1"/>
    </xf>
    <xf numFmtId="0" fontId="10" fillId="3" borderId="2" xfId="0" applyFont="1" applyFill="1" applyBorder="1" applyAlignment="1">
      <alignment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1" fillId="0" borderId="0" xfId="0" applyFont="1" applyAlignment="1">
      <alignment vertical="center"/>
    </xf>
    <xf numFmtId="0" fontId="8" fillId="4" borderId="22" xfId="0" applyFont="1" applyFill="1" applyBorder="1"/>
    <xf numFmtId="0" fontId="13" fillId="4" borderId="23" xfId="0" applyFont="1" applyFill="1" applyBorder="1"/>
    <xf numFmtId="0" fontId="13" fillId="4" borderId="24" xfId="0" applyFont="1" applyFill="1" applyBorder="1" applyAlignment="1">
      <alignment horizontal="fill"/>
    </xf>
    <xf numFmtId="0" fontId="10" fillId="0" borderId="2" xfId="0" applyFont="1" applyBorder="1"/>
    <xf numFmtId="0" fontId="10" fillId="5" borderId="2" xfId="0" applyFont="1" applyFill="1" applyBorder="1"/>
    <xf numFmtId="14" fontId="10" fillId="5" borderId="2" xfId="0" applyNumberFormat="1" applyFont="1" applyFill="1" applyBorder="1"/>
    <xf numFmtId="0" fontId="12" fillId="0" borderId="2" xfId="1" applyFont="1" applyFill="1" applyBorder="1" applyAlignment="1">
      <alignment horizontal="fill"/>
    </xf>
    <xf numFmtId="0" fontId="5" fillId="3" borderId="28" xfId="0" applyFont="1" applyFill="1" applyBorder="1" applyAlignment="1">
      <alignment horizontal="center"/>
    </xf>
    <xf numFmtId="0" fontId="0" fillId="0" borderId="29" xfId="0" applyBorder="1"/>
    <xf numFmtId="0" fontId="10" fillId="0" borderId="30" xfId="0" applyFont="1" applyBorder="1"/>
    <xf numFmtId="0" fontId="12" fillId="0" borderId="28" xfId="1" applyFont="1" applyFill="1" applyBorder="1" applyAlignment="1">
      <alignment horizontal="fill"/>
    </xf>
    <xf numFmtId="0" fontId="10" fillId="0" borderId="31" xfId="0" applyFont="1" applyBorder="1"/>
    <xf numFmtId="0" fontId="15" fillId="3" borderId="2" xfId="0" applyFont="1" applyFill="1" applyBorder="1" applyAlignment="1">
      <alignment horizontal="left" vertical="center" wrapText="1"/>
    </xf>
    <xf numFmtId="165" fontId="0" fillId="0" borderId="4" xfId="0" applyNumberFormat="1" applyBorder="1" applyAlignment="1">
      <alignment horizontal="center"/>
    </xf>
    <xf numFmtId="10" fontId="0" fillId="0" borderId="4" xfId="2" applyNumberFormat="1" applyFont="1" applyBorder="1" applyAlignment="1">
      <alignment horizontal="center"/>
    </xf>
    <xf numFmtId="0" fontId="0" fillId="0" borderId="4" xfId="0" applyBorder="1" applyAlignment="1">
      <alignment horizontal="center"/>
    </xf>
    <xf numFmtId="14" fontId="10" fillId="5" borderId="11" xfId="0" applyNumberFormat="1" applyFont="1" applyFill="1" applyBorder="1" applyAlignment="1">
      <alignment horizontal="left"/>
    </xf>
    <xf numFmtId="0" fontId="11" fillId="0" borderId="12" xfId="1" applyBorder="1" applyAlignment="1">
      <alignment horizontal="fill"/>
    </xf>
    <xf numFmtId="0" fontId="19" fillId="0" borderId="12" xfId="1" applyFont="1" applyBorder="1" applyAlignment="1">
      <alignment horizontal="left"/>
    </xf>
    <xf numFmtId="0" fontId="8" fillId="4" borderId="14" xfId="0" applyFont="1" applyFill="1" applyBorder="1" applyAlignment="1">
      <alignment horizontal="left"/>
    </xf>
    <xf numFmtId="0" fontId="10" fillId="0" borderId="11" xfId="0" applyFont="1" applyBorder="1" applyAlignment="1">
      <alignment vertical="top"/>
    </xf>
    <xf numFmtId="0" fontId="11" fillId="0" borderId="12" xfId="1" applyFill="1" applyBorder="1" applyAlignment="1">
      <alignment horizontal="fill"/>
    </xf>
    <xf numFmtId="0" fontId="20" fillId="3" borderId="2" xfId="0" applyFont="1" applyFill="1" applyBorder="1" applyAlignment="1">
      <alignment horizontal="left" vertical="center" wrapText="1"/>
    </xf>
    <xf numFmtId="0" fontId="0" fillId="0" borderId="2" xfId="0" applyBorder="1" applyAlignment="1">
      <alignment horizontal="center"/>
    </xf>
    <xf numFmtId="0" fontId="0" fillId="0" borderId="3" xfId="0" applyBorder="1" applyAlignment="1">
      <alignment horizontal="center"/>
    </xf>
    <xf numFmtId="0" fontId="4" fillId="2" borderId="25"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164" fontId="0" fillId="0" borderId="3" xfId="0" applyNumberFormat="1" applyBorder="1" applyAlignment="1">
      <alignment horizontal="center"/>
    </xf>
    <xf numFmtId="164" fontId="0" fillId="0" borderId="32" xfId="0" applyNumberFormat="1" applyBorder="1" applyAlignment="1">
      <alignment horizontal="center"/>
    </xf>
    <xf numFmtId="164" fontId="0" fillId="0" borderId="4" xfId="0" applyNumberFormat="1" applyBorder="1" applyAlignment="1">
      <alignment horizontal="center"/>
    </xf>
    <xf numFmtId="49" fontId="0" fillId="0" borderId="2" xfId="0" applyNumberFormat="1" applyBorder="1" applyAlignment="1">
      <alignment horizontal="center"/>
    </xf>
    <xf numFmtId="49" fontId="0" fillId="0" borderId="3" xfId="0" applyNumberFormat="1" applyBorder="1" applyAlignment="1">
      <alignment horizontal="center"/>
    </xf>
    <xf numFmtId="0" fontId="0" fillId="0" borderId="2" xfId="0" applyBorder="1" applyAlignment="1">
      <alignment horizontal="center" wrapText="1"/>
    </xf>
    <xf numFmtId="0" fontId="0" fillId="0" borderId="29" xfId="0" applyBorder="1" applyAlignment="1">
      <alignment horizontal="center"/>
    </xf>
    <xf numFmtId="0" fontId="14" fillId="2" borderId="20" xfId="0" applyFont="1" applyFill="1" applyBorder="1" applyAlignment="1">
      <alignment horizontal="center" vertical="center"/>
    </xf>
    <xf numFmtId="0" fontId="14" fillId="2" borderId="21" xfId="0" applyFont="1" applyFill="1" applyBorder="1" applyAlignment="1">
      <alignment horizontal="center" vertical="center"/>
    </xf>
    <xf numFmtId="0" fontId="19" fillId="5" borderId="2" xfId="0" applyFont="1" applyFill="1" applyBorder="1" applyAlignment="1">
      <alignment vertical="center" wrapText="1"/>
    </xf>
    <xf numFmtId="0" fontId="15" fillId="5" borderId="2" xfId="0" applyFont="1" applyFill="1" applyBorder="1" applyAlignment="1">
      <alignment vertical="center" wrapText="1"/>
    </xf>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partnersnet107.sharepoint.com/:x:/s/Programs/EVEBgOR19kBHtuSaa-w-MuoBDdE3eO0ttm-eQkklNLHvHA?e=80ynf6" TargetMode="External"/><Relationship Id="rId2" Type="http://schemas.openxmlformats.org/officeDocument/2006/relationships/hyperlink" Target="https://partnersnet107.sharepoint.com/:w:/s/Programs/EVFdkYJcB_BCgYcAs-6bSfYB7w9qv80cZ3ol1m5hRBWb_w?e=zeTyPZ" TargetMode="External"/><Relationship Id="rId1" Type="http://schemas.openxmlformats.org/officeDocument/2006/relationships/hyperlink" Target="https://partnersnet107.sharepoint.com/:b:/s/Programs/EfODqvJSf6dCud_Fdif3GnYB60m1ju7rAYViQNDKJM0ZhQ?e=wIdesH"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CF7-1E39-4721-80D6-FA01C6E78F24}">
  <dimension ref="A1:D21"/>
  <sheetViews>
    <sheetView workbookViewId="0">
      <selection activeCell="F29" sqref="F29"/>
    </sheetView>
  </sheetViews>
  <sheetFormatPr baseColWidth="10" defaultColWidth="8.83203125" defaultRowHeight="15" x14ac:dyDescent="0.2"/>
  <sheetData>
    <row r="1" spans="1:4" x14ac:dyDescent="0.2">
      <c r="A1" s="59" t="s">
        <v>0</v>
      </c>
    </row>
    <row r="2" spans="1:4" x14ac:dyDescent="0.2">
      <c r="A2" s="2" t="s">
        <v>1</v>
      </c>
    </row>
    <row r="3" spans="1:4" x14ac:dyDescent="0.2">
      <c r="A3" s="2" t="s">
        <v>2</v>
      </c>
    </row>
    <row r="4" spans="1:4" x14ac:dyDescent="0.2">
      <c r="A4" s="2" t="s">
        <v>3</v>
      </c>
    </row>
    <row r="5" spans="1:4" x14ac:dyDescent="0.2">
      <c r="A5" s="2" t="s">
        <v>4</v>
      </c>
    </row>
    <row r="6" spans="1:4" x14ac:dyDescent="0.2">
      <c r="A6" s="2" t="s">
        <v>5</v>
      </c>
    </row>
    <row r="7" spans="1:4" x14ac:dyDescent="0.2">
      <c r="A7" s="2"/>
    </row>
    <row r="8" spans="1:4" x14ac:dyDescent="0.2">
      <c r="A8" s="59" t="s">
        <v>6</v>
      </c>
    </row>
    <row r="9" spans="1:4" x14ac:dyDescent="0.2">
      <c r="A9" s="1" t="s">
        <v>7</v>
      </c>
    </row>
    <row r="10" spans="1:4" x14ac:dyDescent="0.2">
      <c r="A10" s="1"/>
      <c r="B10" s="1"/>
      <c r="C10" s="1"/>
      <c r="D10" s="1"/>
    </row>
    <row r="11" spans="1:4" x14ac:dyDescent="0.2">
      <c r="A11" s="59" t="s">
        <v>8</v>
      </c>
      <c r="B11" s="1"/>
      <c r="C11" s="1"/>
      <c r="D11" s="1"/>
    </row>
    <row r="12" spans="1:4" x14ac:dyDescent="0.2">
      <c r="A12" s="1" t="s">
        <v>9</v>
      </c>
      <c r="B12" s="1"/>
      <c r="C12" s="1"/>
      <c r="D12" s="1"/>
    </row>
    <row r="13" spans="1:4" x14ac:dyDescent="0.2">
      <c r="A13" s="1" t="s">
        <v>10</v>
      </c>
      <c r="B13" s="1"/>
      <c r="C13" s="1"/>
      <c r="D13" s="1"/>
    </row>
    <row r="14" spans="1:4" x14ac:dyDescent="0.2">
      <c r="A14" s="1"/>
      <c r="B14" s="1"/>
      <c r="C14" s="1"/>
      <c r="D14" s="1"/>
    </row>
    <row r="15" spans="1:4" x14ac:dyDescent="0.2">
      <c r="A15" s="1"/>
      <c r="B15" s="1"/>
      <c r="C15" s="1"/>
      <c r="D15" s="1"/>
    </row>
    <row r="16" spans="1:4" x14ac:dyDescent="0.2">
      <c r="A16" s="1"/>
      <c r="B16" s="1"/>
      <c r="C16" s="1"/>
      <c r="D16" s="1"/>
    </row>
    <row r="17" spans="1:4" x14ac:dyDescent="0.2">
      <c r="A17" s="1"/>
      <c r="B17" s="1"/>
      <c r="C17" s="1"/>
      <c r="D17" s="1"/>
    </row>
    <row r="18" spans="1:4" x14ac:dyDescent="0.2">
      <c r="A18" s="1"/>
      <c r="B18" s="1"/>
      <c r="C18" s="1"/>
      <c r="D18" s="1"/>
    </row>
    <row r="19" spans="1:4" x14ac:dyDescent="0.2">
      <c r="A19" s="1"/>
      <c r="B19" s="1"/>
      <c r="C19" s="1"/>
      <c r="D19" s="1"/>
    </row>
    <row r="20" spans="1:4" x14ac:dyDescent="0.2">
      <c r="A20" s="1"/>
      <c r="B20" s="1"/>
      <c r="C20" s="1"/>
      <c r="D20" s="1"/>
    </row>
    <row r="21" spans="1:4" x14ac:dyDescent="0.2">
      <c r="A21" s="1"/>
      <c r="B21" s="1"/>
      <c r="C21" s="1"/>
      <c r="D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H40"/>
  <sheetViews>
    <sheetView showGridLines="0" zoomScaleNormal="100" workbookViewId="0">
      <pane ySplit="12" topLeftCell="A13" activePane="bottomLeft" state="frozen"/>
      <selection pane="bottomLeft" activeCell="B8" sqref="B8:E8"/>
    </sheetView>
  </sheetViews>
  <sheetFormatPr baseColWidth="10" defaultColWidth="8.83203125" defaultRowHeight="15" x14ac:dyDescent="0.2"/>
  <cols>
    <col min="1" max="1" width="64.5" customWidth="1"/>
    <col min="2" max="2" width="10.33203125" customWidth="1"/>
    <col min="3" max="3" width="25.1640625" bestFit="1" customWidth="1"/>
    <col min="4" max="4" width="17.5" bestFit="1" customWidth="1"/>
    <col min="5" max="5" width="25.83203125" bestFit="1" customWidth="1"/>
    <col min="6" max="6" width="43.5" customWidth="1"/>
    <col min="7" max="7" width="65.83203125" style="33" customWidth="1"/>
    <col min="8" max="8" width="93" style="33" bestFit="1" customWidth="1"/>
  </cols>
  <sheetData>
    <row r="1" spans="1:8" ht="30" customHeight="1" x14ac:dyDescent="0.2">
      <c r="A1" s="85" t="s">
        <v>11</v>
      </c>
      <c r="B1" s="86"/>
      <c r="C1" s="86"/>
      <c r="D1" s="86"/>
      <c r="E1" s="86"/>
      <c r="F1" s="86"/>
      <c r="G1" s="86"/>
      <c r="H1" s="87"/>
    </row>
    <row r="2" spans="1:8" s="6" customFormat="1" ht="34" customHeight="1" x14ac:dyDescent="0.25">
      <c r="A2" s="3" t="s">
        <v>12</v>
      </c>
      <c r="B2" s="93" t="s">
        <v>89</v>
      </c>
      <c r="C2" s="83"/>
      <c r="D2" s="83"/>
      <c r="E2" s="84"/>
      <c r="F2" s="4" t="s">
        <v>13</v>
      </c>
      <c r="G2" s="73">
        <v>85000</v>
      </c>
      <c r="H2" s="67" t="s">
        <v>14</v>
      </c>
    </row>
    <row r="3" spans="1:8" ht="18" x14ac:dyDescent="0.2">
      <c r="A3" s="3" t="s">
        <v>15</v>
      </c>
      <c r="B3" s="83" t="s">
        <v>90</v>
      </c>
      <c r="C3" s="83"/>
      <c r="D3" s="83"/>
      <c r="E3" s="84"/>
      <c r="F3" s="4" t="s">
        <v>16</v>
      </c>
      <c r="G3" s="73">
        <v>85000</v>
      </c>
      <c r="H3" s="68"/>
    </row>
    <row r="4" spans="1:8" ht="18" x14ac:dyDescent="0.2">
      <c r="A4" s="3" t="s">
        <v>17</v>
      </c>
      <c r="B4" s="83" t="s">
        <v>91</v>
      </c>
      <c r="C4" s="83"/>
      <c r="D4" s="83"/>
      <c r="E4" s="84"/>
      <c r="F4" s="4" t="s">
        <v>18</v>
      </c>
      <c r="G4" s="73">
        <v>0</v>
      </c>
      <c r="H4" s="68"/>
    </row>
    <row r="5" spans="1:8" ht="18" x14ac:dyDescent="0.2">
      <c r="A5" s="3" t="s">
        <v>19</v>
      </c>
      <c r="B5" s="83" t="s">
        <v>92</v>
      </c>
      <c r="C5" s="83"/>
      <c r="D5" s="83"/>
      <c r="E5" s="84"/>
      <c r="F5" s="4" t="s">
        <v>20</v>
      </c>
      <c r="G5" s="73">
        <v>0</v>
      </c>
      <c r="H5" s="68"/>
    </row>
    <row r="6" spans="1:8" ht="18" x14ac:dyDescent="0.2">
      <c r="A6" s="3" t="s">
        <v>21</v>
      </c>
      <c r="B6" s="91" t="s">
        <v>93</v>
      </c>
      <c r="C6" s="91"/>
      <c r="D6" s="91"/>
      <c r="E6" s="92"/>
      <c r="F6" s="4" t="s">
        <v>22</v>
      </c>
      <c r="G6" s="5"/>
      <c r="H6" s="68"/>
    </row>
    <row r="7" spans="1:8" ht="18" x14ac:dyDescent="0.2">
      <c r="A7" s="3" t="s">
        <v>23</v>
      </c>
      <c r="B7" s="88">
        <v>44833</v>
      </c>
      <c r="C7" s="89"/>
      <c r="D7" s="89"/>
      <c r="E7" s="90"/>
      <c r="F7" s="4" t="s">
        <v>24</v>
      </c>
      <c r="G7" s="75" t="s">
        <v>97</v>
      </c>
      <c r="H7" s="68"/>
    </row>
    <row r="8" spans="1:8" ht="18" x14ac:dyDescent="0.2">
      <c r="A8" s="3" t="s">
        <v>25</v>
      </c>
      <c r="B8" s="88">
        <v>45564</v>
      </c>
      <c r="C8" s="89"/>
      <c r="D8" s="89"/>
      <c r="E8" s="90"/>
      <c r="F8" s="4" t="s">
        <v>26</v>
      </c>
      <c r="G8" s="74">
        <v>0.28689999999999999</v>
      </c>
      <c r="H8" s="68"/>
    </row>
    <row r="9" spans="1:8" ht="18" x14ac:dyDescent="0.2">
      <c r="A9" s="3" t="s">
        <v>27</v>
      </c>
      <c r="B9" s="83" t="s">
        <v>94</v>
      </c>
      <c r="C9" s="83"/>
      <c r="D9" s="83"/>
      <c r="E9" s="84"/>
      <c r="F9" s="4" t="s">
        <v>28</v>
      </c>
      <c r="G9" s="75" t="s">
        <v>98</v>
      </c>
      <c r="H9" s="68"/>
    </row>
    <row r="10" spans="1:8" ht="18" x14ac:dyDescent="0.2">
      <c r="A10" s="3" t="s">
        <v>29</v>
      </c>
      <c r="B10" s="83" t="s">
        <v>96</v>
      </c>
      <c r="C10" s="83"/>
      <c r="D10" s="83"/>
      <c r="E10" s="84"/>
      <c r="F10" s="4" t="s">
        <v>30</v>
      </c>
      <c r="G10" s="75" t="s">
        <v>99</v>
      </c>
      <c r="H10" s="68"/>
    </row>
    <row r="11" spans="1:8" ht="18" x14ac:dyDescent="0.2">
      <c r="A11" s="3" t="s">
        <v>31</v>
      </c>
      <c r="B11" s="83" t="s">
        <v>95</v>
      </c>
      <c r="C11" s="83"/>
      <c r="D11" s="83"/>
      <c r="E11" s="84"/>
      <c r="F11" s="4"/>
      <c r="G11" s="84"/>
      <c r="H11" s="94"/>
    </row>
    <row r="12" spans="1:8" s="6" customFormat="1" ht="30" customHeight="1" x14ac:dyDescent="0.25">
      <c r="A12" s="7" t="s">
        <v>32</v>
      </c>
      <c r="B12" s="7" t="s">
        <v>33</v>
      </c>
      <c r="C12" s="7" t="s">
        <v>34</v>
      </c>
      <c r="D12" s="7" t="s">
        <v>35</v>
      </c>
      <c r="E12" s="7" t="s">
        <v>36</v>
      </c>
      <c r="F12" s="7" t="s">
        <v>37</v>
      </c>
      <c r="G12" s="8" t="s">
        <v>38</v>
      </c>
      <c r="H12" s="8" t="s">
        <v>39</v>
      </c>
    </row>
    <row r="13" spans="1:8" s="12" customFormat="1" ht="20" customHeight="1" x14ac:dyDescent="0.25">
      <c r="A13" s="9" t="s">
        <v>40</v>
      </c>
      <c r="B13" s="10"/>
      <c r="C13" s="10"/>
      <c r="D13" s="10"/>
      <c r="E13" s="10"/>
      <c r="F13" s="10"/>
      <c r="G13" s="11"/>
      <c r="H13" s="11"/>
    </row>
    <row r="14" spans="1:8" ht="20" customHeight="1" x14ac:dyDescent="0.2">
      <c r="A14" s="13" t="s">
        <v>41</v>
      </c>
      <c r="B14" s="14" t="s">
        <v>42</v>
      </c>
      <c r="C14" s="15" t="s">
        <v>100</v>
      </c>
      <c r="D14" s="76">
        <v>45189</v>
      </c>
      <c r="E14" s="76">
        <v>44827</v>
      </c>
      <c r="F14" s="15" t="s">
        <v>101</v>
      </c>
      <c r="G14" s="77" t="s">
        <v>102</v>
      </c>
      <c r="H14" s="78" t="s">
        <v>103</v>
      </c>
    </row>
    <row r="15" spans="1:8" ht="20" customHeight="1" x14ac:dyDescent="0.2">
      <c r="A15" s="13" t="s">
        <v>45</v>
      </c>
      <c r="B15" s="14" t="s">
        <v>42</v>
      </c>
      <c r="C15" s="15" t="s">
        <v>43</v>
      </c>
      <c r="D15" s="76" t="s">
        <v>44</v>
      </c>
      <c r="E15" s="76" t="s">
        <v>44</v>
      </c>
      <c r="F15" s="15"/>
      <c r="G15" s="17"/>
      <c r="H15" s="17"/>
    </row>
    <row r="16" spans="1:8" ht="20" customHeight="1" x14ac:dyDescent="0.2">
      <c r="A16" s="13" t="s">
        <v>46</v>
      </c>
      <c r="B16" s="14" t="s">
        <v>42</v>
      </c>
      <c r="C16" s="15" t="s">
        <v>43</v>
      </c>
      <c r="D16" s="76" t="s">
        <v>44</v>
      </c>
      <c r="E16" s="76" t="s">
        <v>44</v>
      </c>
      <c r="F16" s="15"/>
      <c r="G16" s="17"/>
      <c r="H16" s="17"/>
    </row>
    <row r="17" spans="1:8" ht="20" customHeight="1" x14ac:dyDescent="0.2">
      <c r="A17" s="13" t="s">
        <v>47</v>
      </c>
      <c r="B17" s="14" t="s">
        <v>42</v>
      </c>
      <c r="C17" s="15" t="s">
        <v>43</v>
      </c>
      <c r="D17" s="76" t="s">
        <v>44</v>
      </c>
      <c r="E17" s="76" t="s">
        <v>44</v>
      </c>
      <c r="F17" s="15"/>
      <c r="G17" s="17"/>
      <c r="H17" s="17"/>
    </row>
    <row r="18" spans="1:8" s="6" customFormat="1" ht="20" customHeight="1" x14ac:dyDescent="0.25">
      <c r="A18" s="18" t="s">
        <v>56</v>
      </c>
      <c r="B18" s="19"/>
      <c r="C18" s="19"/>
      <c r="D18" s="19"/>
      <c r="E18" s="19"/>
      <c r="F18" s="19"/>
      <c r="G18" s="20"/>
      <c r="H18" s="20"/>
    </row>
    <row r="19" spans="1:8" ht="20" customHeight="1" x14ac:dyDescent="0.2">
      <c r="A19" s="21" t="s">
        <v>57</v>
      </c>
      <c r="B19" s="22" t="s">
        <v>104</v>
      </c>
      <c r="C19" s="15" t="str">
        <f>C14</f>
        <v>2022-2024</v>
      </c>
      <c r="D19" s="76">
        <f>D14</f>
        <v>45189</v>
      </c>
      <c r="E19" s="76">
        <f>E14</f>
        <v>44827</v>
      </c>
      <c r="F19" s="80" t="s">
        <v>105</v>
      </c>
      <c r="G19" s="81" t="s">
        <v>106</v>
      </c>
      <c r="H19" s="78" t="s">
        <v>57</v>
      </c>
    </row>
    <row r="20" spans="1:8" ht="20" customHeight="1" x14ac:dyDescent="0.2">
      <c r="A20" s="21" t="s">
        <v>59</v>
      </c>
      <c r="B20" s="22" t="s">
        <v>58</v>
      </c>
      <c r="C20" s="15" t="s">
        <v>43</v>
      </c>
      <c r="D20" s="76" t="s">
        <v>44</v>
      </c>
      <c r="E20" s="76" t="s">
        <v>44</v>
      </c>
      <c r="F20" s="23"/>
      <c r="G20" s="24"/>
      <c r="H20" s="24"/>
    </row>
    <row r="21" spans="1:8" s="6" customFormat="1" ht="20" customHeight="1" x14ac:dyDescent="0.25">
      <c r="A21" s="18" t="s">
        <v>110</v>
      </c>
      <c r="B21" s="19"/>
      <c r="C21" s="19"/>
      <c r="D21" s="79"/>
      <c r="E21" s="79"/>
      <c r="F21" s="19"/>
      <c r="G21" s="20"/>
      <c r="H21" s="20"/>
    </row>
    <row r="22" spans="1:8" ht="20" customHeight="1" x14ac:dyDescent="0.2">
      <c r="A22" s="25" t="s">
        <v>110</v>
      </c>
      <c r="B22" s="22" t="s">
        <v>104</v>
      </c>
      <c r="C22" s="15" t="str">
        <f>C14</f>
        <v>2022-2024</v>
      </c>
      <c r="D22" s="76">
        <f>D14</f>
        <v>45189</v>
      </c>
      <c r="E22" s="76">
        <f>E14</f>
        <v>44827</v>
      </c>
      <c r="F22" s="23" t="s">
        <v>107</v>
      </c>
      <c r="G22" s="81" t="s">
        <v>108</v>
      </c>
      <c r="H22" s="78" t="s">
        <v>109</v>
      </c>
    </row>
    <row r="23" spans="1:8" ht="20" customHeight="1" x14ac:dyDescent="0.2">
      <c r="A23" s="25" t="s">
        <v>111</v>
      </c>
      <c r="B23" s="22" t="s">
        <v>58</v>
      </c>
      <c r="C23" s="15" t="s">
        <v>43</v>
      </c>
      <c r="D23" s="76" t="s">
        <v>44</v>
      </c>
      <c r="E23" s="76" t="s">
        <v>44</v>
      </c>
      <c r="F23" s="23"/>
      <c r="G23" s="26"/>
      <c r="H23" s="26"/>
    </row>
    <row r="24" spans="1:8" s="6" customFormat="1" ht="20" customHeight="1" x14ac:dyDescent="0.25">
      <c r="A24" s="60" t="s">
        <v>60</v>
      </c>
      <c r="B24" s="61"/>
      <c r="C24" s="61"/>
      <c r="D24" s="61"/>
      <c r="E24" s="61"/>
      <c r="F24" s="61"/>
      <c r="G24" s="62"/>
      <c r="H24" s="62"/>
    </row>
    <row r="25" spans="1:8" ht="20" customHeight="1" x14ac:dyDescent="0.2">
      <c r="A25" s="69" t="s">
        <v>112</v>
      </c>
      <c r="B25" s="63"/>
      <c r="C25" s="64"/>
      <c r="D25" s="65"/>
      <c r="E25" s="65"/>
      <c r="F25" s="63" t="str">
        <f>F14</f>
        <v>SIGNED AGREEMENT - 100K Embassy in Cuba - SCU04022GR0004 (2022-09-29 to 2024-09-29)</v>
      </c>
      <c r="G25" s="66" t="str">
        <f>G14</f>
        <v>https://partnersnet107.sharepoint.com/:b:/s/Programs/EfODqvJSf6dCud_Fdif3GnYB60m1ju7rAYViQNDKJM0ZhQ?e=wIdesH</v>
      </c>
      <c r="H25" s="78" t="s">
        <v>113</v>
      </c>
    </row>
    <row r="26" spans="1:8" s="6" customFormat="1" ht="20" customHeight="1" x14ac:dyDescent="0.25">
      <c r="A26" s="60" t="s">
        <v>63</v>
      </c>
      <c r="B26" s="61"/>
      <c r="C26" s="61"/>
      <c r="D26" s="61" t="s">
        <v>64</v>
      </c>
      <c r="E26" s="61" t="s">
        <v>65</v>
      </c>
      <c r="F26" s="61"/>
      <c r="G26" s="62"/>
      <c r="H26" s="62"/>
    </row>
    <row r="27" spans="1:8" ht="20" customHeight="1" x14ac:dyDescent="0.2">
      <c r="A27" s="69" t="s">
        <v>66</v>
      </c>
      <c r="B27" s="63" t="s">
        <v>58</v>
      </c>
      <c r="C27" s="64"/>
      <c r="D27" s="65" t="s">
        <v>44</v>
      </c>
      <c r="E27" s="65" t="s">
        <v>44</v>
      </c>
      <c r="F27" s="63"/>
      <c r="G27" s="66"/>
      <c r="H27" s="70"/>
    </row>
    <row r="28" spans="1:8" ht="20" customHeight="1" x14ac:dyDescent="0.2">
      <c r="A28" s="69" t="s">
        <v>66</v>
      </c>
      <c r="B28" s="63" t="s">
        <v>58</v>
      </c>
      <c r="C28" s="64"/>
      <c r="D28" s="65" t="s">
        <v>44</v>
      </c>
      <c r="E28" s="65" t="s">
        <v>44</v>
      </c>
      <c r="F28" s="63"/>
      <c r="G28" s="66"/>
      <c r="H28" s="70"/>
    </row>
    <row r="29" spans="1:8" ht="20" customHeight="1" x14ac:dyDescent="0.2">
      <c r="A29" s="69" t="s">
        <v>66</v>
      </c>
      <c r="B29" s="63" t="s">
        <v>58</v>
      </c>
      <c r="C29" s="64"/>
      <c r="D29" s="65" t="s">
        <v>44</v>
      </c>
      <c r="E29" s="65" t="s">
        <v>44</v>
      </c>
      <c r="F29" s="63"/>
      <c r="G29" s="66"/>
      <c r="H29" s="70"/>
    </row>
    <row r="30" spans="1:8" ht="20" customHeight="1" x14ac:dyDescent="0.2">
      <c r="A30" s="69" t="s">
        <v>66</v>
      </c>
      <c r="B30" s="63" t="s">
        <v>58</v>
      </c>
      <c r="C30" s="64"/>
      <c r="D30" s="65" t="s">
        <v>44</v>
      </c>
      <c r="E30" s="65" t="s">
        <v>44</v>
      </c>
      <c r="F30" s="63"/>
      <c r="G30" s="66"/>
      <c r="H30" s="70"/>
    </row>
    <row r="31" spans="1:8" ht="20" customHeight="1" x14ac:dyDescent="0.2">
      <c r="A31" s="69" t="s">
        <v>66</v>
      </c>
      <c r="B31" s="63" t="s">
        <v>58</v>
      </c>
      <c r="C31" s="64"/>
      <c r="D31" s="65" t="s">
        <v>44</v>
      </c>
      <c r="E31" s="65" t="s">
        <v>44</v>
      </c>
      <c r="F31" s="63"/>
      <c r="G31" s="66"/>
      <c r="H31" s="70"/>
    </row>
    <row r="32" spans="1:8" ht="20" customHeight="1" x14ac:dyDescent="0.2">
      <c r="A32" s="69" t="s">
        <v>66</v>
      </c>
      <c r="B32" s="63" t="s">
        <v>58</v>
      </c>
      <c r="C32" s="64"/>
      <c r="D32" s="65" t="s">
        <v>44</v>
      </c>
      <c r="E32" s="65" t="s">
        <v>44</v>
      </c>
      <c r="F32" s="63"/>
      <c r="G32" s="66"/>
      <c r="H32" s="70"/>
    </row>
    <row r="33" spans="1:8" ht="20" customHeight="1" x14ac:dyDescent="0.2">
      <c r="A33" s="69" t="s">
        <v>66</v>
      </c>
      <c r="B33" s="63" t="s">
        <v>58</v>
      </c>
      <c r="C33" s="64"/>
      <c r="D33" s="65" t="s">
        <v>44</v>
      </c>
      <c r="E33" s="65" t="s">
        <v>44</v>
      </c>
      <c r="F33" s="63"/>
      <c r="G33" s="66"/>
      <c r="H33" s="70"/>
    </row>
    <row r="34" spans="1:8" ht="20" customHeight="1" x14ac:dyDescent="0.2">
      <c r="A34" s="69" t="s">
        <v>66</v>
      </c>
      <c r="B34" s="63" t="s">
        <v>58</v>
      </c>
      <c r="C34" s="64"/>
      <c r="D34" s="65" t="s">
        <v>44</v>
      </c>
      <c r="E34" s="65" t="s">
        <v>44</v>
      </c>
      <c r="F34" s="63"/>
      <c r="G34" s="66"/>
      <c r="H34" s="70"/>
    </row>
    <row r="35" spans="1:8" s="6" customFormat="1" ht="20" customHeight="1" x14ac:dyDescent="0.25">
      <c r="A35" s="18" t="s">
        <v>67</v>
      </c>
      <c r="B35" s="27"/>
      <c r="C35" s="27"/>
      <c r="D35" s="27" t="s">
        <v>68</v>
      </c>
      <c r="E35" s="27"/>
      <c r="F35" s="27" t="s">
        <v>69</v>
      </c>
      <c r="G35" s="27" t="s">
        <v>70</v>
      </c>
      <c r="H35" s="28"/>
    </row>
    <row r="36" spans="1:8" ht="20" customHeight="1" x14ac:dyDescent="0.2">
      <c r="A36" s="69" t="s">
        <v>71</v>
      </c>
      <c r="B36" s="63" t="s">
        <v>58</v>
      </c>
      <c r="C36" s="64"/>
      <c r="D36" s="65" t="s">
        <v>44</v>
      </c>
      <c r="E36" s="65"/>
      <c r="F36" s="63"/>
      <c r="G36" s="66"/>
      <c r="H36" s="70"/>
    </row>
    <row r="37" spans="1:8" ht="20" customHeight="1" x14ac:dyDescent="0.2">
      <c r="A37" s="69" t="s">
        <v>71</v>
      </c>
      <c r="B37" s="63" t="s">
        <v>58</v>
      </c>
      <c r="C37" s="64"/>
      <c r="D37" s="65" t="s">
        <v>44</v>
      </c>
      <c r="E37" s="65"/>
      <c r="F37" s="63"/>
      <c r="G37" s="66"/>
      <c r="H37" s="70"/>
    </row>
    <row r="38" spans="1:8" ht="20" customHeight="1" x14ac:dyDescent="0.2">
      <c r="A38" s="69" t="s">
        <v>71</v>
      </c>
      <c r="B38" s="63" t="s">
        <v>58</v>
      </c>
      <c r="C38" s="64"/>
      <c r="D38" s="65" t="s">
        <v>44</v>
      </c>
      <c r="E38" s="65"/>
      <c r="F38" s="63"/>
      <c r="G38" s="66"/>
      <c r="H38" s="70"/>
    </row>
    <row r="39" spans="1:8" ht="20" customHeight="1" x14ac:dyDescent="0.2">
      <c r="A39" s="69" t="s">
        <v>71</v>
      </c>
      <c r="B39" s="63" t="s">
        <v>58</v>
      </c>
      <c r="C39" s="64"/>
      <c r="D39" s="65" t="s">
        <v>44</v>
      </c>
      <c r="E39" s="65"/>
      <c r="F39" s="63"/>
      <c r="G39" s="66"/>
      <c r="H39" s="70"/>
    </row>
    <row r="40" spans="1:8" ht="20" customHeight="1" thickBot="1" x14ac:dyDescent="0.25">
      <c r="A40" s="71" t="s">
        <v>71</v>
      </c>
      <c r="B40" s="29" t="s">
        <v>58</v>
      </c>
      <c r="C40" s="30"/>
      <c r="D40" s="31" t="s">
        <v>44</v>
      </c>
      <c r="E40" s="31"/>
      <c r="F40" s="30"/>
      <c r="G40" s="32"/>
      <c r="H40" s="32"/>
    </row>
  </sheetData>
  <mergeCells count="12">
    <mergeCell ref="B11:E11"/>
    <mergeCell ref="A1:H1"/>
    <mergeCell ref="B7:E7"/>
    <mergeCell ref="B8:E8"/>
    <mergeCell ref="B9:E9"/>
    <mergeCell ref="B10:E10"/>
    <mergeCell ref="B6:E6"/>
    <mergeCell ref="B2:E2"/>
    <mergeCell ref="B3:E3"/>
    <mergeCell ref="B4:E4"/>
    <mergeCell ref="B5:E5"/>
    <mergeCell ref="G11:H11"/>
  </mergeCells>
  <phoneticPr fontId="21" type="noConversion"/>
  <hyperlinks>
    <hyperlink ref="G14" r:id="rId1" xr:uid="{251350E9-91B9-2344-ADFE-F4633ED762DD}"/>
    <hyperlink ref="G19" r:id="rId2" xr:uid="{ADFCB533-689A-9E4B-8FE4-0F1FCBEB8063}"/>
    <hyperlink ref="G22" r:id="rId3" xr:uid="{76B357E7-B27C-FF49-8787-353A009857AA}"/>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EBA-385F-45AE-8A28-1A7B43D5A22C}">
  <sheetPr>
    <tabColor theme="8" tint="-0.249977111117893"/>
  </sheetPr>
  <dimension ref="A1:S18"/>
  <sheetViews>
    <sheetView tabSelected="1" topLeftCell="N1" zoomScale="109" zoomScaleNormal="110" workbookViewId="0">
      <selection activeCell="N5" sqref="N5"/>
    </sheetView>
  </sheetViews>
  <sheetFormatPr baseColWidth="10" defaultColWidth="8.83203125" defaultRowHeight="15" x14ac:dyDescent="0.2"/>
  <cols>
    <col min="1" max="1" width="3.83203125" style="34" bestFit="1" customWidth="1"/>
    <col min="2" max="2" width="72.33203125" style="57" customWidth="1"/>
    <col min="3" max="4" width="15.6640625" style="58" customWidth="1"/>
    <col min="5" max="5" width="65.5" style="57" customWidth="1"/>
    <col min="6" max="7" width="15.6640625" style="34" customWidth="1"/>
    <col min="8" max="8" width="65.6640625" style="57" customWidth="1"/>
    <col min="9" max="10" width="15.6640625" style="58" customWidth="1"/>
    <col min="11" max="11" width="65.6640625" style="57" customWidth="1"/>
    <col min="12" max="13" width="13.6640625" style="58" customWidth="1"/>
    <col min="14" max="14" width="65.6640625" style="34" customWidth="1"/>
    <col min="15" max="16" width="15.6640625" style="34" customWidth="1"/>
    <col min="17" max="17" width="65.6640625" style="34" customWidth="1"/>
    <col min="18" max="19" width="15.6640625" style="34" customWidth="1"/>
  </cols>
  <sheetData>
    <row r="1" spans="1:19" ht="33" x14ac:dyDescent="0.2">
      <c r="A1" s="95" t="s">
        <v>72</v>
      </c>
      <c r="B1" s="96"/>
      <c r="C1" s="96"/>
      <c r="D1" s="96"/>
      <c r="E1" s="96"/>
      <c r="F1" s="96"/>
      <c r="G1" s="96"/>
      <c r="H1" s="96"/>
      <c r="I1" s="96"/>
      <c r="J1" s="96"/>
      <c r="K1" s="96"/>
      <c r="L1" s="96"/>
      <c r="M1" s="96"/>
      <c r="N1" s="96"/>
      <c r="O1" s="96"/>
      <c r="P1" s="96"/>
      <c r="Q1" s="96"/>
      <c r="R1" s="96"/>
      <c r="S1" s="96"/>
    </row>
    <row r="2" spans="1:19" ht="34" x14ac:dyDescent="0.2">
      <c r="A2" s="35"/>
      <c r="B2" s="36" t="s">
        <v>73</v>
      </c>
      <c r="C2" s="36" t="s">
        <v>74</v>
      </c>
      <c r="D2" s="36" t="s">
        <v>75</v>
      </c>
      <c r="E2" s="37" t="s">
        <v>76</v>
      </c>
      <c r="F2" s="37" t="s">
        <v>74</v>
      </c>
      <c r="G2" s="37" t="s">
        <v>75</v>
      </c>
      <c r="H2" s="36" t="s">
        <v>128</v>
      </c>
      <c r="I2" s="36" t="s">
        <v>74</v>
      </c>
      <c r="J2" s="36" t="s">
        <v>75</v>
      </c>
      <c r="K2" s="36" t="s">
        <v>129</v>
      </c>
      <c r="L2" s="36" t="s">
        <v>74</v>
      </c>
      <c r="M2" s="36" t="s">
        <v>75</v>
      </c>
      <c r="N2" s="38" t="s">
        <v>77</v>
      </c>
      <c r="O2" s="37" t="s">
        <v>74</v>
      </c>
      <c r="P2" s="37" t="s">
        <v>75</v>
      </c>
      <c r="Q2" s="38" t="s">
        <v>78</v>
      </c>
      <c r="R2" s="37" t="s">
        <v>74</v>
      </c>
      <c r="S2" s="37" t="s">
        <v>75</v>
      </c>
    </row>
    <row r="3" spans="1:19" ht="85" x14ac:dyDescent="0.2">
      <c r="A3" s="39">
        <v>1</v>
      </c>
      <c r="B3" s="40" t="s">
        <v>114</v>
      </c>
      <c r="C3" s="36" t="s">
        <v>122</v>
      </c>
      <c r="D3" s="36"/>
      <c r="E3" s="41" t="s">
        <v>123</v>
      </c>
      <c r="F3" s="42"/>
      <c r="G3" s="42"/>
      <c r="H3" s="52" t="s">
        <v>125</v>
      </c>
      <c r="I3" s="44"/>
      <c r="J3" s="44"/>
      <c r="K3" s="40" t="s">
        <v>138</v>
      </c>
      <c r="L3" s="36"/>
      <c r="M3" s="36"/>
      <c r="N3" s="46" t="s">
        <v>130</v>
      </c>
      <c r="O3" s="47"/>
      <c r="P3" s="47"/>
      <c r="Q3" s="97" t="s">
        <v>142</v>
      </c>
      <c r="R3" s="47"/>
      <c r="S3" s="47"/>
    </row>
    <row r="4" spans="1:19" ht="51" x14ac:dyDescent="0.2">
      <c r="A4" s="39">
        <v>2</v>
      </c>
      <c r="B4" s="40" t="s">
        <v>115</v>
      </c>
      <c r="C4" s="36"/>
      <c r="D4" s="36"/>
      <c r="E4" s="48" t="s">
        <v>124</v>
      </c>
      <c r="F4" s="42"/>
      <c r="G4" s="42"/>
      <c r="H4" s="52" t="s">
        <v>126</v>
      </c>
      <c r="I4" s="44"/>
      <c r="J4" s="44"/>
      <c r="K4" s="40" t="s">
        <v>141</v>
      </c>
      <c r="L4" s="36"/>
      <c r="M4" s="36"/>
      <c r="N4" s="46" t="s">
        <v>131</v>
      </c>
      <c r="O4" s="47"/>
      <c r="P4" s="47"/>
      <c r="Q4" s="97" t="s">
        <v>143</v>
      </c>
      <c r="R4" s="47"/>
      <c r="S4" s="47"/>
    </row>
    <row r="5" spans="1:19" ht="102" x14ac:dyDescent="0.2">
      <c r="A5" s="39">
        <v>3</v>
      </c>
      <c r="B5" s="40" t="s">
        <v>116</v>
      </c>
      <c r="C5" s="36"/>
      <c r="D5" s="36"/>
      <c r="F5" s="49"/>
      <c r="G5" s="49"/>
      <c r="H5" s="52" t="s">
        <v>127</v>
      </c>
      <c r="I5" s="44"/>
      <c r="J5" s="44"/>
      <c r="K5" s="40" t="s">
        <v>139</v>
      </c>
      <c r="L5" s="36"/>
      <c r="M5" s="36"/>
      <c r="N5" s="46" t="s">
        <v>132</v>
      </c>
      <c r="O5" s="47"/>
      <c r="P5" s="47"/>
      <c r="Q5" s="98" t="s">
        <v>144</v>
      </c>
      <c r="R5" s="47"/>
      <c r="S5" s="47"/>
    </row>
    <row r="6" spans="1:19" ht="119" x14ac:dyDescent="0.2">
      <c r="A6" s="39">
        <v>4</v>
      </c>
      <c r="B6" s="40" t="s">
        <v>117</v>
      </c>
      <c r="C6" s="50"/>
      <c r="D6" s="50"/>
      <c r="E6" s="45"/>
      <c r="F6" s="37"/>
      <c r="G6" s="37"/>
      <c r="H6" s="72"/>
      <c r="I6" s="44"/>
      <c r="J6" s="44"/>
      <c r="K6" s="40" t="s">
        <v>140</v>
      </c>
      <c r="L6" s="36"/>
      <c r="M6" s="36"/>
      <c r="N6" s="46" t="s">
        <v>133</v>
      </c>
      <c r="O6" s="47"/>
      <c r="P6" s="47"/>
      <c r="Q6" s="46"/>
      <c r="R6" s="47"/>
      <c r="S6" s="47"/>
    </row>
    <row r="7" spans="1:19" ht="17" x14ac:dyDescent="0.2">
      <c r="A7" s="39">
        <v>5</v>
      </c>
      <c r="B7" s="43" t="s">
        <v>118</v>
      </c>
      <c r="C7" s="36"/>
      <c r="D7" s="36"/>
      <c r="E7" s="48"/>
      <c r="F7" s="37"/>
      <c r="G7" s="37"/>
      <c r="H7" s="53"/>
      <c r="I7" s="44"/>
      <c r="J7" s="44"/>
      <c r="K7" s="53"/>
      <c r="L7" s="53"/>
      <c r="M7" s="53"/>
      <c r="N7" s="51" t="s">
        <v>134</v>
      </c>
      <c r="O7" s="51"/>
      <c r="P7" s="51"/>
      <c r="Q7" s="51"/>
      <c r="R7" s="51"/>
      <c r="S7" s="51"/>
    </row>
    <row r="8" spans="1:19" ht="51" x14ac:dyDescent="0.2">
      <c r="A8" s="39">
        <v>6</v>
      </c>
      <c r="B8" s="52" t="s">
        <v>119</v>
      </c>
      <c r="C8" s="36"/>
      <c r="D8" s="36"/>
      <c r="E8" s="48"/>
      <c r="F8" s="37"/>
      <c r="G8" s="37"/>
      <c r="H8" s="53"/>
      <c r="I8" s="54"/>
      <c r="J8" s="54"/>
      <c r="K8" s="53"/>
      <c r="L8" s="53"/>
      <c r="M8" s="53"/>
      <c r="N8" s="51" t="s">
        <v>135</v>
      </c>
      <c r="O8" s="51"/>
      <c r="P8" s="51"/>
      <c r="Q8" s="51"/>
      <c r="R8" s="51"/>
      <c r="S8" s="51"/>
    </row>
    <row r="9" spans="1:19" ht="17" x14ac:dyDescent="0.2">
      <c r="A9" s="39">
        <v>7</v>
      </c>
      <c r="B9" s="52" t="s">
        <v>120</v>
      </c>
      <c r="C9" s="36"/>
      <c r="D9" s="36"/>
      <c r="E9" s="41"/>
      <c r="F9" s="37"/>
      <c r="G9" s="37"/>
      <c r="H9" s="53"/>
      <c r="I9" s="54"/>
      <c r="J9" s="54"/>
      <c r="K9" s="53"/>
      <c r="L9" s="53"/>
      <c r="M9" s="53"/>
      <c r="N9" s="51" t="s">
        <v>136</v>
      </c>
      <c r="O9" s="51"/>
      <c r="P9" s="51"/>
      <c r="Q9" s="51"/>
      <c r="R9" s="51"/>
      <c r="S9" s="51"/>
    </row>
    <row r="10" spans="1:19" ht="17" x14ac:dyDescent="0.2">
      <c r="A10" s="39">
        <v>8</v>
      </c>
      <c r="B10" s="82" t="s">
        <v>121</v>
      </c>
      <c r="C10" s="36"/>
      <c r="D10" s="36"/>
      <c r="E10" s="48"/>
      <c r="F10" s="37"/>
      <c r="G10" s="37"/>
      <c r="H10" s="53"/>
      <c r="I10" s="54"/>
      <c r="J10" s="54"/>
      <c r="K10" s="53"/>
      <c r="L10" s="53"/>
      <c r="M10" s="53"/>
      <c r="N10" s="55" t="s">
        <v>137</v>
      </c>
      <c r="O10" s="55"/>
      <c r="P10" s="55"/>
      <c r="Q10" s="55"/>
      <c r="R10" s="55"/>
      <c r="S10" s="55"/>
    </row>
    <row r="11" spans="1:19" ht="16" x14ac:dyDescent="0.2">
      <c r="A11" s="39">
        <v>9</v>
      </c>
      <c r="B11" s="40"/>
      <c r="C11" s="36"/>
      <c r="D11" s="36"/>
      <c r="E11" s="48"/>
      <c r="F11" s="37"/>
      <c r="G11" s="37"/>
      <c r="H11" s="53"/>
      <c r="I11" s="36"/>
      <c r="J11" s="36"/>
      <c r="K11" s="53"/>
      <c r="L11" s="53"/>
      <c r="M11" s="53"/>
      <c r="N11" s="55"/>
      <c r="O11" s="55"/>
      <c r="P11" s="55"/>
      <c r="Q11" s="55"/>
      <c r="R11" s="55"/>
      <c r="S11" s="55"/>
    </row>
    <row r="12" spans="1:19" ht="16" x14ac:dyDescent="0.2">
      <c r="A12" s="39">
        <v>10</v>
      </c>
      <c r="B12" s="40"/>
      <c r="C12" s="36"/>
      <c r="D12" s="36"/>
      <c r="E12" s="48"/>
      <c r="F12" s="37"/>
      <c r="G12" s="37"/>
      <c r="H12" s="53"/>
      <c r="I12" s="54"/>
      <c r="J12" s="54"/>
      <c r="K12" s="53"/>
      <c r="L12" s="53"/>
      <c r="M12" s="53"/>
      <c r="N12" s="55"/>
      <c r="O12" s="55"/>
      <c r="P12" s="55"/>
      <c r="Q12" s="55"/>
      <c r="R12" s="55"/>
      <c r="S12" s="55"/>
    </row>
    <row r="13" spans="1:19" ht="16" x14ac:dyDescent="0.2">
      <c r="A13" s="39">
        <v>11</v>
      </c>
      <c r="B13" s="53"/>
      <c r="C13" s="36"/>
      <c r="D13" s="36"/>
      <c r="E13" s="48"/>
      <c r="F13" s="37"/>
      <c r="G13" s="37"/>
      <c r="H13" s="53"/>
      <c r="I13" s="54"/>
      <c r="J13" s="54"/>
      <c r="K13" s="53"/>
      <c r="L13" s="53"/>
      <c r="M13" s="53"/>
      <c r="N13" s="55"/>
      <c r="O13" s="55"/>
      <c r="P13" s="55"/>
      <c r="Q13" s="55"/>
      <c r="R13" s="55"/>
      <c r="S13" s="55"/>
    </row>
    <row r="14" spans="1:19" ht="16" x14ac:dyDescent="0.2">
      <c r="A14" s="39">
        <v>12</v>
      </c>
      <c r="B14" s="53"/>
      <c r="C14" s="36"/>
      <c r="D14" s="36"/>
      <c r="E14" s="48"/>
      <c r="F14" s="37"/>
      <c r="G14" s="37"/>
      <c r="H14" s="53"/>
      <c r="I14" s="54"/>
      <c r="J14" s="54"/>
      <c r="K14" s="53"/>
      <c r="L14" s="53"/>
      <c r="M14" s="53"/>
      <c r="N14" s="55"/>
      <c r="O14" s="55"/>
      <c r="P14" s="55"/>
      <c r="Q14" s="55"/>
      <c r="R14" s="55"/>
      <c r="S14" s="55"/>
    </row>
    <row r="15" spans="1:19" ht="16" x14ac:dyDescent="0.2">
      <c r="A15" s="39">
        <v>13</v>
      </c>
      <c r="B15" s="53"/>
      <c r="C15" s="36"/>
      <c r="D15" s="36"/>
      <c r="E15" s="48"/>
      <c r="F15" s="49"/>
      <c r="G15" s="49"/>
      <c r="H15" s="53"/>
      <c r="I15" s="54"/>
      <c r="J15" s="54"/>
      <c r="K15" s="53"/>
      <c r="L15" s="53"/>
      <c r="M15" s="53"/>
      <c r="N15" s="55"/>
      <c r="O15" s="55"/>
      <c r="P15" s="55"/>
      <c r="Q15" s="55"/>
      <c r="R15" s="55"/>
      <c r="S15" s="55"/>
    </row>
    <row r="16" spans="1:19" ht="16" x14ac:dyDescent="0.2">
      <c r="A16" s="39">
        <v>14</v>
      </c>
      <c r="B16" s="53"/>
      <c r="C16" s="36"/>
      <c r="D16" s="36"/>
      <c r="E16" s="48"/>
      <c r="F16" s="37"/>
      <c r="G16" s="37"/>
      <c r="H16" s="53"/>
      <c r="I16" s="56"/>
      <c r="J16" s="56"/>
      <c r="K16" s="53"/>
      <c r="L16" s="53"/>
      <c r="M16" s="53"/>
      <c r="N16" s="55"/>
      <c r="O16" s="55"/>
      <c r="P16" s="55"/>
      <c r="Q16" s="55"/>
      <c r="R16" s="55"/>
      <c r="S16" s="55"/>
    </row>
    <row r="17" spans="1:19" ht="16" x14ac:dyDescent="0.2">
      <c r="A17" s="39">
        <v>15</v>
      </c>
      <c r="B17" s="53"/>
      <c r="C17" s="36"/>
      <c r="D17" s="36"/>
      <c r="E17" s="48"/>
      <c r="F17" s="49"/>
      <c r="G17" s="49"/>
      <c r="H17" s="53"/>
      <c r="I17" s="56"/>
      <c r="J17" s="56"/>
      <c r="K17" s="53"/>
      <c r="L17" s="53"/>
      <c r="M17" s="53"/>
      <c r="N17" s="55"/>
      <c r="O17" s="55"/>
      <c r="P17" s="55"/>
      <c r="Q17" s="55"/>
      <c r="R17" s="55"/>
      <c r="S17" s="55"/>
    </row>
    <row r="18" spans="1:19" ht="16" x14ac:dyDescent="0.2">
      <c r="A18" s="39">
        <v>16</v>
      </c>
      <c r="B18" s="53"/>
      <c r="C18" s="36"/>
      <c r="D18" s="36"/>
      <c r="E18" s="41"/>
      <c r="F18" s="49"/>
      <c r="G18" s="49"/>
      <c r="H18" s="53"/>
      <c r="I18" s="56"/>
      <c r="J18" s="56"/>
      <c r="K18" s="53"/>
      <c r="L18" s="53"/>
      <c r="M18" s="53"/>
      <c r="N18" s="55"/>
      <c r="O18" s="55"/>
      <c r="P18" s="55"/>
      <c r="Q18" s="55"/>
      <c r="R18" s="55"/>
      <c r="S18" s="55"/>
    </row>
  </sheetData>
  <mergeCells count="1">
    <mergeCell ref="A1:S1"/>
  </mergeCells>
  <phoneticPr fontId="2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73BF-96CA-44A6-BE2E-865087FB15EF}">
  <sheetPr>
    <tabColor theme="4" tint="0.79998168889431442"/>
  </sheetPr>
  <dimension ref="A1:H44"/>
  <sheetViews>
    <sheetView showGridLines="0" zoomScale="90" zoomScaleNormal="90" workbookViewId="0">
      <pane ySplit="11" topLeftCell="A12" activePane="bottomLeft" state="frozen"/>
      <selection pane="bottomLeft" activeCell="A26" sqref="A26"/>
    </sheetView>
  </sheetViews>
  <sheetFormatPr baseColWidth="10" defaultColWidth="8.83203125" defaultRowHeight="15" x14ac:dyDescent="0.2"/>
  <cols>
    <col min="1" max="1" width="64.5" customWidth="1"/>
    <col min="2" max="2" width="10.33203125" customWidth="1"/>
    <col min="3" max="3" width="25.1640625" bestFit="1" customWidth="1"/>
    <col min="4" max="4" width="17.5" bestFit="1" customWidth="1"/>
    <col min="5" max="5" width="25.83203125" bestFit="1" customWidth="1"/>
    <col min="6" max="6" width="43.5" customWidth="1"/>
    <col min="7" max="8" width="93" style="33" bestFit="1" customWidth="1"/>
  </cols>
  <sheetData>
    <row r="1" spans="1:8" ht="30" customHeight="1" x14ac:dyDescent="0.2">
      <c r="A1" s="85" t="s">
        <v>11</v>
      </c>
      <c r="B1" s="86"/>
      <c r="C1" s="86"/>
      <c r="D1" s="86"/>
      <c r="E1" s="86"/>
      <c r="F1" s="86"/>
      <c r="G1" s="86"/>
      <c r="H1" s="87"/>
    </row>
    <row r="2" spans="1:8" s="6" customFormat="1" ht="19" x14ac:dyDescent="0.25">
      <c r="A2" s="3" t="s">
        <v>79</v>
      </c>
      <c r="B2" s="83"/>
      <c r="C2" s="83"/>
      <c r="D2" s="83"/>
      <c r="E2" s="84"/>
      <c r="F2" s="4" t="s">
        <v>13</v>
      </c>
      <c r="G2" s="5"/>
      <c r="H2" s="67" t="s">
        <v>80</v>
      </c>
    </row>
    <row r="3" spans="1:8" ht="18" x14ac:dyDescent="0.2">
      <c r="A3" s="3" t="s">
        <v>81</v>
      </c>
      <c r="B3" s="83"/>
      <c r="C3" s="83"/>
      <c r="D3" s="83"/>
      <c r="E3" s="84"/>
      <c r="F3" s="4" t="s">
        <v>16</v>
      </c>
      <c r="G3" s="5"/>
      <c r="H3" s="68"/>
    </row>
    <row r="4" spans="1:8" ht="18" x14ac:dyDescent="0.2">
      <c r="A4" s="3" t="s">
        <v>82</v>
      </c>
      <c r="B4" s="83"/>
      <c r="C4" s="83"/>
      <c r="D4" s="83"/>
      <c r="E4" s="84"/>
      <c r="F4" s="4" t="s">
        <v>18</v>
      </c>
      <c r="G4" s="5"/>
      <c r="H4" s="68"/>
    </row>
    <row r="5" spans="1:8" ht="18" x14ac:dyDescent="0.2">
      <c r="A5" s="3" t="s">
        <v>19</v>
      </c>
      <c r="B5" s="83"/>
      <c r="C5" s="83"/>
      <c r="D5" s="83"/>
      <c r="E5" s="84"/>
      <c r="F5" s="4" t="s">
        <v>20</v>
      </c>
      <c r="G5" s="5"/>
      <c r="H5" s="68"/>
    </row>
    <row r="6" spans="1:8" ht="18" x14ac:dyDescent="0.2">
      <c r="A6" s="3" t="s">
        <v>21</v>
      </c>
      <c r="B6" s="83"/>
      <c r="C6" s="83"/>
      <c r="D6" s="83"/>
      <c r="E6" s="84"/>
      <c r="F6" s="4" t="s">
        <v>22</v>
      </c>
      <c r="G6" s="5"/>
      <c r="H6" s="68"/>
    </row>
    <row r="7" spans="1:8" ht="18" x14ac:dyDescent="0.2">
      <c r="A7" s="3" t="s">
        <v>83</v>
      </c>
      <c r="B7" s="83"/>
      <c r="C7" s="83"/>
      <c r="D7" s="83"/>
      <c r="E7" s="84"/>
      <c r="F7" s="4" t="s">
        <v>24</v>
      </c>
      <c r="G7" s="5"/>
      <c r="H7" s="68"/>
    </row>
    <row r="8" spans="1:8" ht="18" x14ac:dyDescent="0.2">
      <c r="A8" s="3" t="s">
        <v>84</v>
      </c>
      <c r="B8" s="83"/>
      <c r="C8" s="83"/>
      <c r="D8" s="83"/>
      <c r="E8" s="84"/>
      <c r="F8" s="4" t="s">
        <v>26</v>
      </c>
      <c r="G8" s="5"/>
      <c r="H8" s="68"/>
    </row>
    <row r="9" spans="1:8" ht="18" x14ac:dyDescent="0.2">
      <c r="A9" s="3" t="s">
        <v>85</v>
      </c>
      <c r="B9" s="83"/>
      <c r="C9" s="83"/>
      <c r="D9" s="83"/>
      <c r="E9" s="84"/>
      <c r="F9" s="4" t="s">
        <v>28</v>
      </c>
      <c r="G9" s="5"/>
      <c r="H9" s="68"/>
    </row>
    <row r="10" spans="1:8" ht="18" x14ac:dyDescent="0.2">
      <c r="A10" s="3" t="s">
        <v>86</v>
      </c>
      <c r="B10" s="83"/>
      <c r="C10" s="83"/>
      <c r="D10" s="83"/>
      <c r="E10" s="84"/>
      <c r="F10" s="4" t="s">
        <v>30</v>
      </c>
      <c r="G10" s="5"/>
      <c r="H10" s="68"/>
    </row>
    <row r="11" spans="1:8" s="6" customFormat="1" ht="30" customHeight="1" x14ac:dyDescent="0.25">
      <c r="A11" s="7" t="s">
        <v>32</v>
      </c>
      <c r="B11" s="7" t="s">
        <v>33</v>
      </c>
      <c r="C11" s="7" t="s">
        <v>34</v>
      </c>
      <c r="D11" s="7" t="s">
        <v>35</v>
      </c>
      <c r="E11" s="7" t="s">
        <v>36</v>
      </c>
      <c r="F11" s="7" t="s">
        <v>37</v>
      </c>
      <c r="G11" s="8" t="s">
        <v>38</v>
      </c>
      <c r="H11" s="8" t="s">
        <v>39</v>
      </c>
    </row>
    <row r="12" spans="1:8" s="12" customFormat="1" ht="20" customHeight="1" x14ac:dyDescent="0.25">
      <c r="A12" s="9" t="s">
        <v>40</v>
      </c>
      <c r="B12" s="10"/>
      <c r="C12" s="10"/>
      <c r="D12" s="10"/>
      <c r="E12" s="10"/>
      <c r="F12" s="10"/>
      <c r="G12" s="11"/>
      <c r="H12" s="11"/>
    </row>
    <row r="13" spans="1:8" ht="20" customHeight="1" x14ac:dyDescent="0.2">
      <c r="A13" s="13" t="s">
        <v>87</v>
      </c>
      <c r="B13" s="14" t="s">
        <v>42</v>
      </c>
      <c r="C13" s="15" t="s">
        <v>43</v>
      </c>
      <c r="D13" s="16" t="s">
        <v>44</v>
      </c>
      <c r="E13" s="16" t="s">
        <v>44</v>
      </c>
      <c r="F13" s="15"/>
      <c r="G13" s="17"/>
      <c r="H13" s="17"/>
    </row>
    <row r="14" spans="1:8" ht="20" customHeight="1" x14ac:dyDescent="0.2">
      <c r="A14" s="13" t="s">
        <v>45</v>
      </c>
      <c r="B14" s="14" t="s">
        <v>42</v>
      </c>
      <c r="C14" s="15" t="s">
        <v>43</v>
      </c>
      <c r="D14" s="16" t="s">
        <v>44</v>
      </c>
      <c r="E14" s="16" t="s">
        <v>44</v>
      </c>
      <c r="F14" s="15"/>
      <c r="G14" s="17"/>
      <c r="H14" s="17"/>
    </row>
    <row r="15" spans="1:8" ht="20" customHeight="1" x14ac:dyDescent="0.2">
      <c r="A15" s="13" t="s">
        <v>46</v>
      </c>
      <c r="B15" s="14" t="s">
        <v>42</v>
      </c>
      <c r="C15" s="15" t="s">
        <v>43</v>
      </c>
      <c r="D15" s="16" t="s">
        <v>44</v>
      </c>
      <c r="E15" s="16" t="s">
        <v>44</v>
      </c>
      <c r="F15" s="15"/>
      <c r="G15" s="17"/>
      <c r="H15" s="17"/>
    </row>
    <row r="16" spans="1:8" ht="20" customHeight="1" x14ac:dyDescent="0.2">
      <c r="A16" s="13" t="s">
        <v>47</v>
      </c>
      <c r="B16" s="14" t="s">
        <v>42</v>
      </c>
      <c r="C16" s="15" t="s">
        <v>43</v>
      </c>
      <c r="D16" s="16" t="s">
        <v>44</v>
      </c>
      <c r="E16" s="16" t="s">
        <v>44</v>
      </c>
      <c r="F16" s="15"/>
      <c r="G16" s="17"/>
      <c r="H16" s="17"/>
    </row>
    <row r="17" spans="1:8" ht="20" customHeight="1" x14ac:dyDescent="0.2">
      <c r="A17" s="13" t="s">
        <v>48</v>
      </c>
      <c r="B17" s="14" t="s">
        <v>42</v>
      </c>
      <c r="C17" s="15" t="s">
        <v>43</v>
      </c>
      <c r="D17" s="16" t="s">
        <v>44</v>
      </c>
      <c r="E17" s="16" t="s">
        <v>44</v>
      </c>
      <c r="F17" s="15"/>
      <c r="G17" s="17"/>
      <c r="H17" s="17"/>
    </row>
    <row r="18" spans="1:8" ht="20" customHeight="1" x14ac:dyDescent="0.2">
      <c r="A18" s="13" t="s">
        <v>49</v>
      </c>
      <c r="B18" s="14" t="s">
        <v>42</v>
      </c>
      <c r="C18" s="15" t="s">
        <v>43</v>
      </c>
      <c r="D18" s="16" t="s">
        <v>44</v>
      </c>
      <c r="E18" s="16" t="s">
        <v>44</v>
      </c>
      <c r="F18" s="15"/>
      <c r="G18" s="17"/>
      <c r="H18" s="17"/>
    </row>
    <row r="19" spans="1:8" ht="20" customHeight="1" x14ac:dyDescent="0.2">
      <c r="A19" s="13" t="s">
        <v>50</v>
      </c>
      <c r="B19" s="14" t="s">
        <v>42</v>
      </c>
      <c r="C19" s="15" t="s">
        <v>43</v>
      </c>
      <c r="D19" s="16" t="s">
        <v>44</v>
      </c>
      <c r="E19" s="16" t="s">
        <v>44</v>
      </c>
      <c r="F19" s="15"/>
      <c r="G19" s="17"/>
      <c r="H19" s="17"/>
    </row>
    <row r="20" spans="1:8" ht="20" customHeight="1" x14ac:dyDescent="0.2">
      <c r="A20" s="13" t="s">
        <v>51</v>
      </c>
      <c r="B20" s="14" t="s">
        <v>42</v>
      </c>
      <c r="C20" s="15" t="s">
        <v>43</v>
      </c>
      <c r="D20" s="16" t="s">
        <v>44</v>
      </c>
      <c r="E20" s="16" t="s">
        <v>44</v>
      </c>
      <c r="F20" s="15"/>
      <c r="G20" s="17"/>
      <c r="H20" s="17"/>
    </row>
    <row r="21" spans="1:8" ht="20" customHeight="1" x14ac:dyDescent="0.2">
      <c r="A21" s="13" t="s">
        <v>52</v>
      </c>
      <c r="B21" s="14" t="s">
        <v>42</v>
      </c>
      <c r="C21" s="15" t="s">
        <v>43</v>
      </c>
      <c r="D21" s="16" t="s">
        <v>44</v>
      </c>
      <c r="E21" s="16" t="s">
        <v>44</v>
      </c>
      <c r="F21" s="15"/>
      <c r="G21" s="17"/>
      <c r="H21" s="17"/>
    </row>
    <row r="22" spans="1:8" ht="20" customHeight="1" x14ac:dyDescent="0.2">
      <c r="A22" s="13" t="s">
        <v>53</v>
      </c>
      <c r="B22" s="14" t="s">
        <v>42</v>
      </c>
      <c r="C22" s="15" t="s">
        <v>43</v>
      </c>
      <c r="D22" s="16" t="s">
        <v>44</v>
      </c>
      <c r="E22" s="16" t="s">
        <v>44</v>
      </c>
      <c r="F22" s="15"/>
      <c r="G22" s="17"/>
      <c r="H22" s="17"/>
    </row>
    <row r="23" spans="1:8" ht="20" customHeight="1" x14ac:dyDescent="0.2">
      <c r="A23" s="13" t="s">
        <v>54</v>
      </c>
      <c r="B23" s="14" t="s">
        <v>42</v>
      </c>
      <c r="C23" s="15" t="s">
        <v>43</v>
      </c>
      <c r="D23" s="16" t="s">
        <v>44</v>
      </c>
      <c r="E23" s="16" t="s">
        <v>44</v>
      </c>
      <c r="F23" s="15"/>
      <c r="G23" s="17"/>
      <c r="H23" s="17"/>
    </row>
    <row r="24" spans="1:8" ht="20" customHeight="1" x14ac:dyDescent="0.2">
      <c r="A24" s="13" t="s">
        <v>55</v>
      </c>
      <c r="B24" s="14" t="s">
        <v>42</v>
      </c>
      <c r="C24" s="15" t="s">
        <v>43</v>
      </c>
      <c r="D24" s="16" t="s">
        <v>44</v>
      </c>
      <c r="E24" s="16" t="s">
        <v>44</v>
      </c>
      <c r="F24" s="15"/>
      <c r="G24" s="17"/>
      <c r="H24" s="17"/>
    </row>
    <row r="25" spans="1:8" s="6" customFormat="1" ht="20" customHeight="1" x14ac:dyDescent="0.25">
      <c r="A25" s="60" t="s">
        <v>60</v>
      </c>
      <c r="B25" s="61"/>
      <c r="C25" s="61"/>
      <c r="D25" s="61"/>
      <c r="E25" s="61"/>
      <c r="F25" s="61"/>
      <c r="G25" s="62"/>
      <c r="H25" s="62"/>
    </row>
    <row r="26" spans="1:8" ht="20" customHeight="1" x14ac:dyDescent="0.2">
      <c r="A26" s="69" t="s">
        <v>61</v>
      </c>
      <c r="B26" s="63"/>
      <c r="C26" s="64"/>
      <c r="D26" s="65"/>
      <c r="E26" s="65"/>
      <c r="F26" s="63"/>
      <c r="G26" s="66"/>
      <c r="H26" s="70"/>
    </row>
    <row r="27" spans="1:8" ht="20" customHeight="1" x14ac:dyDescent="0.2">
      <c r="A27" s="69" t="s">
        <v>61</v>
      </c>
      <c r="B27" s="63"/>
      <c r="C27" s="64"/>
      <c r="D27" s="65"/>
      <c r="E27" s="65"/>
      <c r="F27" s="63"/>
      <c r="G27" s="66"/>
      <c r="H27" s="70"/>
    </row>
    <row r="28" spans="1:8" ht="20" customHeight="1" x14ac:dyDescent="0.2">
      <c r="A28" s="69" t="s">
        <v>62</v>
      </c>
      <c r="B28" s="63"/>
      <c r="C28" s="64"/>
      <c r="D28" s="65"/>
      <c r="E28" s="65"/>
      <c r="F28" s="63"/>
      <c r="G28" s="66"/>
      <c r="H28" s="70"/>
    </row>
    <row r="29" spans="1:8" ht="20" customHeight="1" x14ac:dyDescent="0.2">
      <c r="A29" s="69" t="s">
        <v>62</v>
      </c>
      <c r="B29" s="63"/>
      <c r="C29" s="64"/>
      <c r="D29" s="65"/>
      <c r="E29" s="65"/>
      <c r="F29" s="63"/>
      <c r="G29" s="66"/>
      <c r="H29" s="70"/>
    </row>
    <row r="30" spans="1:8" s="6" customFormat="1" ht="20" customHeight="1" x14ac:dyDescent="0.25">
      <c r="A30" s="60" t="s">
        <v>88</v>
      </c>
      <c r="B30" s="61"/>
      <c r="C30" s="61"/>
      <c r="D30" s="61" t="s">
        <v>64</v>
      </c>
      <c r="E30" s="61" t="s">
        <v>65</v>
      </c>
      <c r="F30" s="61"/>
      <c r="G30" s="62"/>
      <c r="H30" s="62"/>
    </row>
    <row r="31" spans="1:8" ht="20" customHeight="1" x14ac:dyDescent="0.2">
      <c r="A31" s="69" t="s">
        <v>66</v>
      </c>
      <c r="B31" s="63" t="s">
        <v>58</v>
      </c>
      <c r="C31" s="64"/>
      <c r="D31" s="65" t="s">
        <v>44</v>
      </c>
      <c r="E31" s="65" t="s">
        <v>44</v>
      </c>
      <c r="F31" s="63"/>
      <c r="G31" s="66"/>
      <c r="H31" s="70"/>
    </row>
    <row r="32" spans="1:8" ht="20" customHeight="1" x14ac:dyDescent="0.2">
      <c r="A32" s="69" t="s">
        <v>66</v>
      </c>
      <c r="B32" s="63" t="s">
        <v>58</v>
      </c>
      <c r="C32" s="64"/>
      <c r="D32" s="65" t="s">
        <v>44</v>
      </c>
      <c r="E32" s="65" t="s">
        <v>44</v>
      </c>
      <c r="F32" s="63"/>
      <c r="G32" s="66"/>
      <c r="H32" s="70"/>
    </row>
    <row r="33" spans="1:8" ht="20" customHeight="1" x14ac:dyDescent="0.2">
      <c r="A33" s="69" t="s">
        <v>66</v>
      </c>
      <c r="B33" s="63" t="s">
        <v>58</v>
      </c>
      <c r="C33" s="64"/>
      <c r="D33" s="65" t="s">
        <v>44</v>
      </c>
      <c r="E33" s="65" t="s">
        <v>44</v>
      </c>
      <c r="F33" s="63"/>
      <c r="G33" s="66"/>
      <c r="H33" s="70"/>
    </row>
    <row r="34" spans="1:8" ht="20" customHeight="1" x14ac:dyDescent="0.2">
      <c r="A34" s="69" t="s">
        <v>66</v>
      </c>
      <c r="B34" s="63" t="s">
        <v>58</v>
      </c>
      <c r="C34" s="64"/>
      <c r="D34" s="65" t="s">
        <v>44</v>
      </c>
      <c r="E34" s="65" t="s">
        <v>44</v>
      </c>
      <c r="F34" s="63"/>
      <c r="G34" s="66"/>
      <c r="H34" s="70"/>
    </row>
    <row r="35" spans="1:8" ht="20" customHeight="1" x14ac:dyDescent="0.2">
      <c r="A35" s="69" t="s">
        <v>66</v>
      </c>
      <c r="B35" s="63" t="s">
        <v>58</v>
      </c>
      <c r="C35" s="64"/>
      <c r="D35" s="65" t="s">
        <v>44</v>
      </c>
      <c r="E35" s="65" t="s">
        <v>44</v>
      </c>
      <c r="F35" s="63"/>
      <c r="G35" s="66"/>
      <c r="H35" s="70"/>
    </row>
    <row r="36" spans="1:8" ht="20" customHeight="1" x14ac:dyDescent="0.2">
      <c r="A36" s="69" t="s">
        <v>66</v>
      </c>
      <c r="B36" s="63" t="s">
        <v>58</v>
      </c>
      <c r="C36" s="64"/>
      <c r="D36" s="65" t="s">
        <v>44</v>
      </c>
      <c r="E36" s="65" t="s">
        <v>44</v>
      </c>
      <c r="F36" s="63"/>
      <c r="G36" s="66"/>
      <c r="H36" s="70"/>
    </row>
    <row r="37" spans="1:8" ht="20" customHeight="1" x14ac:dyDescent="0.2">
      <c r="A37" s="69" t="s">
        <v>66</v>
      </c>
      <c r="B37" s="63" t="s">
        <v>58</v>
      </c>
      <c r="C37" s="64"/>
      <c r="D37" s="65" t="s">
        <v>44</v>
      </c>
      <c r="E37" s="65" t="s">
        <v>44</v>
      </c>
      <c r="F37" s="63"/>
      <c r="G37" s="66"/>
      <c r="H37" s="70"/>
    </row>
    <row r="38" spans="1:8" ht="20" customHeight="1" x14ac:dyDescent="0.2">
      <c r="A38" s="69" t="s">
        <v>66</v>
      </c>
      <c r="B38" s="63" t="s">
        <v>58</v>
      </c>
      <c r="C38" s="64"/>
      <c r="D38" s="65" t="s">
        <v>44</v>
      </c>
      <c r="E38" s="65" t="s">
        <v>44</v>
      </c>
      <c r="F38" s="63"/>
      <c r="G38" s="66"/>
      <c r="H38" s="70"/>
    </row>
    <row r="39" spans="1:8" s="6" customFormat="1" ht="20" customHeight="1" x14ac:dyDescent="0.25">
      <c r="A39" s="18" t="s">
        <v>67</v>
      </c>
      <c r="B39" s="27"/>
      <c r="C39" s="27"/>
      <c r="D39" s="27" t="s">
        <v>68</v>
      </c>
      <c r="E39" s="27"/>
      <c r="F39" s="27" t="s">
        <v>69</v>
      </c>
      <c r="G39" s="27" t="s">
        <v>70</v>
      </c>
      <c r="H39" s="28"/>
    </row>
    <row r="40" spans="1:8" ht="20" customHeight="1" x14ac:dyDescent="0.2">
      <c r="A40" s="69" t="s">
        <v>71</v>
      </c>
      <c r="B40" s="63" t="s">
        <v>58</v>
      </c>
      <c r="C40" s="64"/>
      <c r="D40" s="65" t="s">
        <v>44</v>
      </c>
      <c r="E40" s="65"/>
      <c r="F40" s="63"/>
      <c r="G40" s="66"/>
      <c r="H40" s="70"/>
    </row>
    <row r="41" spans="1:8" ht="20" customHeight="1" x14ac:dyDescent="0.2">
      <c r="A41" s="69" t="s">
        <v>71</v>
      </c>
      <c r="B41" s="63" t="s">
        <v>58</v>
      </c>
      <c r="C41" s="64"/>
      <c r="D41" s="65" t="s">
        <v>44</v>
      </c>
      <c r="E41" s="65"/>
      <c r="F41" s="63"/>
      <c r="G41" s="66"/>
      <c r="H41" s="70"/>
    </row>
    <row r="42" spans="1:8" ht="20" customHeight="1" x14ac:dyDescent="0.2">
      <c r="A42" s="69" t="s">
        <v>71</v>
      </c>
      <c r="B42" s="63" t="s">
        <v>58</v>
      </c>
      <c r="C42" s="64"/>
      <c r="D42" s="65" t="s">
        <v>44</v>
      </c>
      <c r="E42" s="65"/>
      <c r="F42" s="63"/>
      <c r="G42" s="66"/>
      <c r="H42" s="70"/>
    </row>
    <row r="43" spans="1:8" ht="20" customHeight="1" x14ac:dyDescent="0.2">
      <c r="A43" s="69" t="s">
        <v>71</v>
      </c>
      <c r="B43" s="63" t="s">
        <v>58</v>
      </c>
      <c r="C43" s="64"/>
      <c r="D43" s="65" t="s">
        <v>44</v>
      </c>
      <c r="E43" s="65"/>
      <c r="F43" s="63"/>
      <c r="G43" s="66"/>
      <c r="H43" s="70"/>
    </row>
    <row r="44" spans="1:8" ht="20" customHeight="1" thickBot="1" x14ac:dyDescent="0.25">
      <c r="A44" s="71" t="s">
        <v>71</v>
      </c>
      <c r="B44" s="29" t="s">
        <v>58</v>
      </c>
      <c r="C44" s="30"/>
      <c r="D44" s="31" t="s">
        <v>44</v>
      </c>
      <c r="E44" s="31"/>
      <c r="F44" s="30"/>
      <c r="G44" s="32"/>
      <c r="H44" s="32"/>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9969D1-8590-481E-AEEC-AAF030CFD2DF}">
  <ds:schemaRefs>
    <ds:schemaRef ds:uri="http://schemas.microsoft.com/sharepoint/v3/contenttype/forms"/>
  </ds:schemaRefs>
</ds:datastoreItem>
</file>

<file path=customXml/itemProps2.xml><?xml version="1.0" encoding="utf-8"?>
<ds:datastoreItem xmlns:ds="http://schemas.openxmlformats.org/officeDocument/2006/customXml" ds:itemID="{471DD9DE-623A-4A8A-AACB-E8E4E85DED16}">
  <ds:schemaRefs>
    <ds:schemaRef ds:uri="1a9bbbe1-7cae-48c1-93ed-4785e360835f"/>
    <ds:schemaRef ds:uri="http://schemas.microsoft.com/office/2006/metadata/properties"/>
    <ds:schemaRef ds:uri="dc808d36-874f-4b27-aec2-2fd649817929"/>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http://purl.org/dc/dcmitype/"/>
    <ds:schemaRef ds:uri="http://purl.org/dc/elements/1.1/"/>
  </ds:schemaRefs>
</ds:datastoreItem>
</file>

<file path=customXml/itemProps3.xml><?xml version="1.0" encoding="utf-8"?>
<ds:datastoreItem xmlns:ds="http://schemas.openxmlformats.org/officeDocument/2006/customXml" ds:itemID="{E5605D2F-03B2-41F4-99ED-854F95E8E8F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Award Summary Page</vt:lpstr>
      <vt:lpstr>Compliance Matrix Details</vt:lpstr>
      <vt:lpstr>Subaward Summary Page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Carmen Peña</cp:lastModifiedBy>
  <cp:revision/>
  <dcterms:created xsi:type="dcterms:W3CDTF">2023-06-04T02:52:32Z</dcterms:created>
  <dcterms:modified xsi:type="dcterms:W3CDTF">2023-12-15T21:21:36Z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