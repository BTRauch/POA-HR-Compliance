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https://partnersnet107.sharepoint.com/sites/Programs/EGC/100K Strong/Agreements &amp; Contracts/DOS 2004 WHA (2023-2025)/"/>
    </mc:Choice>
  </mc:AlternateContent>
  <xr:revisionPtr revIDLastSave="409" documentId="8_{DFB88DE5-EAD5-DC4C-8E60-105B2B0B7E48}" xr6:coauthVersionLast="47" xr6:coauthVersionMax="47" xr10:uidLastSave="{9BAD58CB-5FA0-7F49-ACD6-7F44D9BA1CF4}"/>
  <bookViews>
    <workbookView xWindow="460" yWindow="500" windowWidth="27040" windowHeight="15800" activeTab="1" xr2:uid="{F56CB045-F017-4CA1-88CA-0052E5049C88}"/>
  </bookViews>
  <sheets>
    <sheet name="Instructions" sheetId="1" r:id="rId1"/>
    <sheet name="Award Summary Page" sheetId="3" r:id="rId2"/>
    <sheet name="Compliance Matrix Details" sheetId="2" r:id="rId3"/>
    <sheet name="Subaward Summary Page"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 i="3" l="1"/>
  <c r="D31" i="3" l="1"/>
  <c r="E31" i="3"/>
  <c r="C31" i="3"/>
  <c r="B31" i="3"/>
  <c r="E26" i="3"/>
  <c r="D26" i="3"/>
  <c r="C26" i="3"/>
  <c r="B26" i="3"/>
  <c r="C20" i="3"/>
  <c r="D20" i="3"/>
  <c r="E20" i="3"/>
</calcChain>
</file>

<file path=xl/sharedStrings.xml><?xml version="1.0" encoding="utf-8"?>
<sst xmlns="http://schemas.openxmlformats.org/spreadsheetml/2006/main" count="497" uniqueCount="283">
  <si>
    <t xml:space="preserve"> Instructions for completing award compliance Matrix:</t>
  </si>
  <si>
    <r>
      <t>·</t>
    </r>
    <r>
      <rPr>
        <sz val="7"/>
        <color theme="1"/>
        <rFont val="Times New Roman"/>
        <family val="1"/>
      </rPr>
      <t xml:space="preserve">        </t>
    </r>
    <r>
      <rPr>
        <b/>
        <sz val="11"/>
        <color theme="1"/>
        <rFont val="Calibri"/>
        <family val="2"/>
        <scheme val="minor"/>
      </rPr>
      <t>Purpose</t>
    </r>
    <r>
      <rPr>
        <sz val="11"/>
        <color theme="1"/>
        <rFont val="Calibri"/>
        <family val="2"/>
        <scheme val="minor"/>
      </rPr>
      <t>: ensure that POA is compliant with our awards</t>
    </r>
  </si>
  <si>
    <r>
      <t>·</t>
    </r>
    <r>
      <rPr>
        <sz val="7"/>
        <color theme="1"/>
        <rFont val="Times New Roman"/>
        <family val="1"/>
      </rPr>
      <t xml:space="preserve">        </t>
    </r>
    <r>
      <rPr>
        <sz val="11"/>
        <color theme="1"/>
        <rFont val="Calibri"/>
        <family val="2"/>
        <scheme val="minor"/>
      </rPr>
      <t>Review award documents (award, annual work plan, PMP, M&amp;E, indicators, etc.)</t>
    </r>
  </si>
  <si>
    <r>
      <t>·</t>
    </r>
    <r>
      <rPr>
        <sz val="7"/>
        <color theme="1"/>
        <rFont val="Times New Roman"/>
        <family val="1"/>
      </rPr>
      <t xml:space="preserve">        </t>
    </r>
    <r>
      <rPr>
        <sz val="11"/>
        <color theme="1"/>
        <rFont val="Calibri"/>
        <family val="2"/>
        <scheme val="minor"/>
      </rPr>
      <t>Write down everything POA committed to completing</t>
    </r>
  </si>
  <si>
    <r>
      <t>·</t>
    </r>
    <r>
      <rPr>
        <sz val="7"/>
        <color theme="1"/>
        <rFont val="Times New Roman"/>
        <family val="1"/>
      </rPr>
      <t xml:space="preserve">        </t>
    </r>
    <r>
      <rPr>
        <sz val="11"/>
        <color theme="1"/>
        <rFont val="Calibri"/>
        <family val="2"/>
        <scheme val="minor"/>
      </rPr>
      <t>Note whether POA has completed it, or not. </t>
    </r>
  </si>
  <si>
    <r>
      <t>·</t>
    </r>
    <r>
      <rPr>
        <sz val="7"/>
        <color theme="1"/>
        <rFont val="Times New Roman"/>
        <family val="1"/>
      </rPr>
      <t xml:space="preserve">        </t>
    </r>
    <r>
      <rPr>
        <sz val="11"/>
        <color theme="1"/>
        <rFont val="Calibri"/>
        <family val="2"/>
        <scheme val="minor"/>
      </rPr>
      <t>If not, make a note as to why or indicate the current status.</t>
    </r>
  </si>
  <si>
    <t>Responsible</t>
  </si>
  <si>
    <t>Home office backstops will be responsible for updating and maintain the matrix</t>
  </si>
  <si>
    <t>Approvals</t>
  </si>
  <si>
    <t>Compliance matrix will be review twice annually, once at the end April and October.</t>
  </si>
  <si>
    <t>Senior Directors for each unit, the Senior Vice President of Programs, and the Compliance team will review and approve twice annually</t>
  </si>
  <si>
    <t>Compliance Matrix</t>
  </si>
  <si>
    <t>Award Name/Title:</t>
  </si>
  <si>
    <t>Total Award Amount:</t>
  </si>
  <si>
    <t>Program Manager(s) (including dates):</t>
  </si>
  <si>
    <t>Internal Grant Number:</t>
  </si>
  <si>
    <t>Total Obligation Amount:</t>
  </si>
  <si>
    <t>Award Number:</t>
  </si>
  <si>
    <t>Cost Share Amount:</t>
  </si>
  <si>
    <t>Donor:</t>
  </si>
  <si>
    <t>Leverage Amount:</t>
  </si>
  <si>
    <t>CFDA:</t>
  </si>
  <si>
    <r>
      <rPr>
        <b/>
        <i/>
        <sz val="14"/>
        <rFont val="Times New Roman"/>
        <family val="1"/>
      </rPr>
      <t>USAID Only:</t>
    </r>
    <r>
      <rPr>
        <b/>
        <sz val="14"/>
        <rFont val="Times New Roman"/>
        <family val="1"/>
      </rPr>
      <t xml:space="preserve"> Geographic Code:</t>
    </r>
  </si>
  <si>
    <t>Award Start Date:</t>
  </si>
  <si>
    <t>Key Personnel:</t>
  </si>
  <si>
    <t>Award End Date:</t>
  </si>
  <si>
    <t>Approved Indirect Rate(s) %:</t>
  </si>
  <si>
    <t>Program Director:</t>
  </si>
  <si>
    <t>Prior Approvals Required:</t>
  </si>
  <si>
    <t>Agreement Officer Rep. (AOR)/Grants Officer Rep. (GOR):</t>
  </si>
  <si>
    <t>Treatment of Program Income:</t>
  </si>
  <si>
    <t>Agreement Officer (AO)/Grants Officer (GO):</t>
  </si>
  <si>
    <t>Category</t>
  </si>
  <si>
    <t>FY</t>
  </si>
  <si>
    <t>Period of Performance</t>
  </si>
  <si>
    <t>Date Submitted</t>
  </si>
  <si>
    <t>Date Approved</t>
  </si>
  <si>
    <t>Report Title</t>
  </si>
  <si>
    <t>Link to Final Approved Document</t>
  </si>
  <si>
    <t>Description of Document/Modification and Source</t>
  </si>
  <si>
    <t>Award</t>
  </si>
  <si>
    <t>Agreement</t>
  </si>
  <si>
    <t>n/a</t>
  </si>
  <si>
    <t>YYYY-YYYY</t>
  </si>
  <si>
    <t>MM/DD/YYYY</t>
  </si>
  <si>
    <t>Cost Extension</t>
  </si>
  <si>
    <t>Modification 01</t>
  </si>
  <si>
    <t>Modification 02</t>
  </si>
  <si>
    <t>Modification 03</t>
  </si>
  <si>
    <t>Modification 04</t>
  </si>
  <si>
    <t>Modification 05</t>
  </si>
  <si>
    <t>Modification 06</t>
  </si>
  <si>
    <t>Modification 07</t>
  </si>
  <si>
    <t>Modification 08</t>
  </si>
  <si>
    <t>Modification 09</t>
  </si>
  <si>
    <t>Modification 10</t>
  </si>
  <si>
    <t>FYXX</t>
  </si>
  <si>
    <t>Special Provisions/Restrictions</t>
  </si>
  <si>
    <t>List restrictions</t>
  </si>
  <si>
    <t>List special provisions or requirements</t>
  </si>
  <si>
    <t>Meeting Notes with Donor (AOR/GOR Key Decisions)</t>
  </si>
  <si>
    <t>Date of Meeting</t>
  </si>
  <si>
    <t>Date Approved by Email</t>
  </si>
  <si>
    <t>Topic: Add description of notes</t>
  </si>
  <si>
    <t>Compliance Issues or Other Finding/Concerns</t>
  </si>
  <si>
    <t>Date Found</t>
  </si>
  <si>
    <t>Issue/Concern</t>
  </si>
  <si>
    <t>Link to Document</t>
  </si>
  <si>
    <t>Indicate compliance issue/concern/finding</t>
  </si>
  <si>
    <t>Breakdown of Award Requirements</t>
  </si>
  <si>
    <t>Award Terms &amp; Conditions</t>
  </si>
  <si>
    <t>Compliant Y/N</t>
  </si>
  <si>
    <t>Comments</t>
  </si>
  <si>
    <t xml:space="preserve">Program Description </t>
  </si>
  <si>
    <t>Indicators</t>
  </si>
  <si>
    <t>Activities in Budget Narrative</t>
  </si>
  <si>
    <r>
      <rPr>
        <b/>
        <sz val="12"/>
        <color rgb="FF000000"/>
        <rFont val="Times New Roman"/>
        <family val="1"/>
      </rPr>
      <t xml:space="preserve">Final Program Report: </t>
    </r>
    <r>
      <rPr>
        <sz val="12"/>
        <color rgb="FF000000"/>
        <rFont val="Times New Roman"/>
        <family val="1"/>
      </rPr>
      <t>XXX</t>
    </r>
  </si>
  <si>
    <r>
      <rPr>
        <b/>
        <sz val="12"/>
        <color rgb="FF000000"/>
        <rFont val="Times New Roman"/>
        <family val="1"/>
      </rPr>
      <t>Short-Term Consultant Reports, Technical Briefs/Reports, Special and External Reports:</t>
    </r>
    <r>
      <rPr>
        <sz val="12"/>
        <color rgb="FF000000"/>
        <rFont val="Times New Roman"/>
        <family val="1"/>
      </rPr>
      <t xml:space="preserve"> XXX</t>
    </r>
  </si>
  <si>
    <t>Subaward Name/Title:</t>
  </si>
  <si>
    <t>POA Subaward Manager(s) (including dates):</t>
  </si>
  <si>
    <t>Internal Grant Name:</t>
  </si>
  <si>
    <t>Subaward Number:</t>
  </si>
  <si>
    <t>Subaward Start Date:</t>
  </si>
  <si>
    <t>Subaward End Date:</t>
  </si>
  <si>
    <t>Subaward Point of Contact:</t>
  </si>
  <si>
    <t>POA Point of Contact:</t>
  </si>
  <si>
    <t>Subaward Agreement</t>
  </si>
  <si>
    <t>Meeting Notes with POA (Key Decisions)</t>
  </si>
  <si>
    <t>Work Plan FY23-2025</t>
  </si>
  <si>
    <t>100,000 Strong in the Americas</t>
  </si>
  <si>
    <t>DOS2004</t>
  </si>
  <si>
    <t>SAQMIP23CA0023</t>
  </si>
  <si>
    <t>U.S. Department of State (WHA)</t>
  </si>
  <si>
    <t>Penelope Kim</t>
  </si>
  <si>
    <t>Soo Kang</t>
  </si>
  <si>
    <t>Maggie Hug</t>
  </si>
  <si>
    <t>Penelope Kim; Victor Moscoso</t>
  </si>
  <si>
    <t>Yes</t>
  </si>
  <si>
    <t>2023-2025</t>
  </si>
  <si>
    <t>FY23</t>
  </si>
  <si>
    <t>Monitoring, Evaluation &amp; Learning Plan/Performance Monitoring Plan (PMP)</t>
  </si>
  <si>
    <t>M&amp;E Plan/PMP</t>
  </si>
  <si>
    <t>M&amp;E Plan/PMP - Revision</t>
  </si>
  <si>
    <t>M&amp;E Plan/Start-up/PMP Plan</t>
  </si>
  <si>
    <t>M&amp;E Plan/PMP - Cost Extension</t>
  </si>
  <si>
    <t>M&amp;E Plan/PMP - Cost Extension- Updated</t>
  </si>
  <si>
    <t>Work Plan/Scope of Work</t>
  </si>
  <si>
    <t>Work Plan Revision</t>
  </si>
  <si>
    <t>Work Plan/ Start-up Plan</t>
  </si>
  <si>
    <t>Work Plan - Cost Extension</t>
  </si>
  <si>
    <t>Implementation Plan/Work Plan</t>
  </si>
  <si>
    <t>Obtain prior approval for domestic/overseas travel from WHA/PDA and GO</t>
  </si>
  <si>
    <t>DOS-POA 100K SAQMIP23CA0023 (2023-04-13 to 2025-10-31)</t>
  </si>
  <si>
    <t>https://partnersnet107.sharepoint.com/:b:/s/Programs/EciKYOj2XrhLvT_h96oC6xYBNcph-EDrsXukAzdUwG4Dig?e=Z9v6iF</t>
  </si>
  <si>
    <t>Prime Award Agreement for 100K</t>
  </si>
  <si>
    <t>100K Strong Scope of Work 2023-25 - FINAL - 3.17.23</t>
  </si>
  <si>
    <t>https://partnersnet107.sharepoint.com/:w:/s/Programs/EbtmE6dMOjdOmhk1msEmF4cBm7jmtfWGukW-TyHlzy9kzA?e=XtIhn0</t>
  </si>
  <si>
    <t>Scope of Work</t>
  </si>
  <si>
    <t>N/A</t>
  </si>
  <si>
    <t>Comprehensive Performance Monitoring Plan (PMP) - REVISED 2023-03-17 - POA Version</t>
  </si>
  <si>
    <t>https://partnersnet107.sharepoint.com/:w:/s/Programs/ERE_2bqLMvhClyi4W6It7lABX3qZWqdrFA8WNPAoSoZqVQ?e=fNWmmG</t>
  </si>
  <si>
    <t>Approved PMP</t>
  </si>
  <si>
    <t>FY2023</t>
  </si>
  <si>
    <t>Topic: Request for blanket approval for 2023 travel to conferences</t>
  </si>
  <si>
    <t>2023 Conference Travel</t>
  </si>
  <si>
    <t>https://partnersnet107.sharepoint.com/:f:/s/Programs/EsdZyZ7S8H5Aqg1XXJy7LYABbVsbzTMx_q3imDBav-W3Eg?e=YYgb9t</t>
  </si>
  <si>
    <t>Email approval from WHA on travel to 2023 conferences</t>
  </si>
  <si>
    <r>
      <rPr>
        <b/>
        <sz val="12"/>
        <color theme="1"/>
        <rFont val="Times New Roman"/>
        <family val="1"/>
      </rPr>
      <t xml:space="preserve">Financial Reporting 1: </t>
    </r>
    <r>
      <rPr>
        <sz val="12"/>
        <color theme="1"/>
        <rFont val="Times New Roman"/>
        <family val="1"/>
      </rPr>
      <t>July 30, 2023</t>
    </r>
  </si>
  <si>
    <r>
      <rPr>
        <b/>
        <sz val="12"/>
        <color theme="1"/>
        <rFont val="Times New Roman"/>
        <family val="1"/>
      </rPr>
      <t xml:space="preserve">Financial Reporting 2: </t>
    </r>
    <r>
      <rPr>
        <sz val="12"/>
        <color theme="1"/>
        <rFont val="Times New Roman"/>
        <family val="1"/>
      </rPr>
      <t>October 30, 2023</t>
    </r>
  </si>
  <si>
    <r>
      <rPr>
        <b/>
        <sz val="12"/>
        <color theme="1"/>
        <rFont val="Times New Roman"/>
        <family val="1"/>
      </rPr>
      <t xml:space="preserve">Financial Reporting 3: </t>
    </r>
    <r>
      <rPr>
        <sz val="12"/>
        <color theme="1"/>
        <rFont val="Times New Roman"/>
        <family val="1"/>
      </rPr>
      <t>January 30, 2024</t>
    </r>
  </si>
  <si>
    <r>
      <rPr>
        <b/>
        <sz val="12"/>
        <color theme="1"/>
        <rFont val="Times New Roman"/>
        <family val="1"/>
      </rPr>
      <t xml:space="preserve">Financial Reporting 4: </t>
    </r>
    <r>
      <rPr>
        <sz val="12"/>
        <color theme="1"/>
        <rFont val="Times New Roman"/>
        <family val="1"/>
      </rPr>
      <t>April 30, 2024</t>
    </r>
  </si>
  <si>
    <r>
      <rPr>
        <b/>
        <sz val="12"/>
        <color theme="1"/>
        <rFont val="Times New Roman"/>
        <family val="1"/>
      </rPr>
      <t xml:space="preserve">Financial Reporting 5: </t>
    </r>
    <r>
      <rPr>
        <sz val="12"/>
        <color theme="1"/>
        <rFont val="Times New Roman"/>
        <family val="1"/>
      </rPr>
      <t>July 30, 2024</t>
    </r>
  </si>
  <si>
    <r>
      <rPr>
        <b/>
        <sz val="12"/>
        <color theme="1"/>
        <rFont val="Times New Roman"/>
        <family val="1"/>
      </rPr>
      <t xml:space="preserve">Financial Reporting 6: </t>
    </r>
    <r>
      <rPr>
        <sz val="12"/>
        <color theme="1"/>
        <rFont val="Times New Roman"/>
        <family val="1"/>
      </rPr>
      <t>October 30, 2024</t>
    </r>
  </si>
  <si>
    <r>
      <rPr>
        <b/>
        <sz val="12"/>
        <color theme="1"/>
        <rFont val="Times New Roman"/>
        <family val="1"/>
      </rPr>
      <t xml:space="preserve">Financial Reporting 7: </t>
    </r>
    <r>
      <rPr>
        <sz val="12"/>
        <color theme="1"/>
        <rFont val="Times New Roman"/>
        <family val="1"/>
      </rPr>
      <t>January 30, 2025</t>
    </r>
  </si>
  <si>
    <r>
      <rPr>
        <b/>
        <sz val="12"/>
        <color theme="1"/>
        <rFont val="Times New Roman"/>
        <family val="1"/>
      </rPr>
      <t xml:space="preserve">Financial Reporting 8: </t>
    </r>
    <r>
      <rPr>
        <sz val="12"/>
        <color theme="1"/>
        <rFont val="Times New Roman"/>
        <family val="1"/>
      </rPr>
      <t>April 30, 2025</t>
    </r>
  </si>
  <si>
    <r>
      <rPr>
        <b/>
        <sz val="12"/>
        <color theme="1"/>
        <rFont val="Times New Roman"/>
        <family val="1"/>
      </rPr>
      <t xml:space="preserve">Financial Reporting 9: </t>
    </r>
    <r>
      <rPr>
        <sz val="12"/>
        <color theme="1"/>
        <rFont val="Times New Roman"/>
        <family val="1"/>
      </rPr>
      <t>July 30, 2025</t>
    </r>
  </si>
  <si>
    <r>
      <rPr>
        <b/>
        <sz val="12"/>
        <color theme="1"/>
        <rFont val="Times New Roman"/>
        <family val="1"/>
      </rPr>
      <t xml:space="preserve">Financial Reporting 10: </t>
    </r>
    <r>
      <rPr>
        <sz val="12"/>
        <color theme="1"/>
        <rFont val="Times New Roman"/>
        <family val="1"/>
      </rPr>
      <t>October 30, 2025</t>
    </r>
  </si>
  <si>
    <r>
      <rPr>
        <b/>
        <sz val="12"/>
        <color theme="1"/>
        <rFont val="Times New Roman"/>
        <family val="1"/>
      </rPr>
      <t xml:space="preserve">Quarterly Performance Reports 1: </t>
    </r>
    <r>
      <rPr>
        <sz val="12"/>
        <color theme="1"/>
        <rFont val="Times New Roman"/>
        <family val="1"/>
      </rPr>
      <t>July 30, 2023</t>
    </r>
  </si>
  <si>
    <r>
      <rPr>
        <b/>
        <sz val="12"/>
        <color theme="1"/>
        <rFont val="Times New Roman"/>
        <family val="1"/>
      </rPr>
      <t xml:space="preserve">Quarterly Performance Reports 2: </t>
    </r>
    <r>
      <rPr>
        <sz val="12"/>
        <color theme="1"/>
        <rFont val="Times New Roman"/>
        <family val="1"/>
      </rPr>
      <t>October 30, 2023</t>
    </r>
  </si>
  <si>
    <r>
      <rPr>
        <b/>
        <sz val="12"/>
        <color theme="1"/>
        <rFont val="Times New Roman"/>
        <family val="1"/>
      </rPr>
      <t xml:space="preserve">Quarterly Performance Reports 3: </t>
    </r>
    <r>
      <rPr>
        <sz val="12"/>
        <color theme="1"/>
        <rFont val="Times New Roman"/>
        <family val="1"/>
      </rPr>
      <t>January 30, 2024</t>
    </r>
  </si>
  <si>
    <r>
      <rPr>
        <b/>
        <sz val="12"/>
        <color theme="1"/>
        <rFont val="Times New Roman"/>
        <family val="1"/>
      </rPr>
      <t xml:space="preserve">Quarterly Performance Reports 4: </t>
    </r>
    <r>
      <rPr>
        <sz val="12"/>
        <color theme="1"/>
        <rFont val="Times New Roman"/>
        <family val="1"/>
      </rPr>
      <t>April 30, 2024</t>
    </r>
  </si>
  <si>
    <r>
      <rPr>
        <b/>
        <sz val="12"/>
        <color theme="1"/>
        <rFont val="Times New Roman"/>
        <family val="1"/>
      </rPr>
      <t xml:space="preserve">Quarterly Performance Reports 5: </t>
    </r>
    <r>
      <rPr>
        <sz val="12"/>
        <color theme="1"/>
        <rFont val="Times New Roman"/>
        <family val="1"/>
      </rPr>
      <t>July 30, 2024</t>
    </r>
  </si>
  <si>
    <r>
      <rPr>
        <b/>
        <sz val="12"/>
        <color theme="1"/>
        <rFont val="Times New Roman"/>
        <family val="1"/>
      </rPr>
      <t xml:space="preserve">Quarterly Performance Reports 6: </t>
    </r>
    <r>
      <rPr>
        <sz val="12"/>
        <color theme="1"/>
        <rFont val="Times New Roman"/>
        <family val="1"/>
      </rPr>
      <t>October 30, 2024</t>
    </r>
  </si>
  <si>
    <r>
      <rPr>
        <b/>
        <sz val="12"/>
        <color theme="1"/>
        <rFont val="Times New Roman"/>
        <family val="1"/>
      </rPr>
      <t xml:space="preserve">Quarterly Performance Reports 7: </t>
    </r>
    <r>
      <rPr>
        <sz val="12"/>
        <color theme="1"/>
        <rFont val="Times New Roman"/>
        <family val="1"/>
      </rPr>
      <t>January 30, 2025</t>
    </r>
  </si>
  <si>
    <r>
      <rPr>
        <b/>
        <sz val="12"/>
        <color theme="1"/>
        <rFont val="Times New Roman"/>
        <family val="1"/>
      </rPr>
      <t xml:space="preserve">Quarterly Performance Reports 8: </t>
    </r>
    <r>
      <rPr>
        <sz val="12"/>
        <color theme="1"/>
        <rFont val="Times New Roman"/>
        <family val="1"/>
      </rPr>
      <t>April 30, 2025</t>
    </r>
  </si>
  <si>
    <r>
      <rPr>
        <b/>
        <sz val="12"/>
        <color theme="1"/>
        <rFont val="Times New Roman"/>
        <family val="1"/>
      </rPr>
      <t xml:space="preserve">Quarterly Performance Reports 9: </t>
    </r>
    <r>
      <rPr>
        <sz val="12"/>
        <color theme="1"/>
        <rFont val="Times New Roman"/>
        <family val="1"/>
      </rPr>
      <t>July 30, 2025</t>
    </r>
  </si>
  <si>
    <r>
      <rPr>
        <b/>
        <sz val="12"/>
        <color theme="1"/>
        <rFont val="Times New Roman"/>
        <family val="1"/>
      </rPr>
      <t xml:space="preserve">Quarterly Performance Reports 10: </t>
    </r>
    <r>
      <rPr>
        <sz val="12"/>
        <color theme="1"/>
        <rFont val="Times New Roman"/>
        <family val="1"/>
      </rPr>
      <t>October 30, 2025</t>
    </r>
  </si>
  <si>
    <r>
      <rPr>
        <b/>
        <sz val="12"/>
        <color theme="1"/>
        <rFont val="Times New Roman"/>
        <family val="1"/>
      </rPr>
      <t>Substantial Involvement:</t>
    </r>
    <r>
      <rPr>
        <sz val="12"/>
        <rFont val="Times New Roman"/>
        <family val="1"/>
      </rPr>
      <t xml:space="preserve"> The program office (WHA/PDA) will have substantial, frequent, and on-going involvement and collaboration with the Recipient throughout the life of this award. Partners of the Americas (“PoA”), the Recipient, will work in close coordination with WHA/PDA to design, plan, implement, and evaluate 100K Strong programming,</t>
    </r>
  </si>
  <si>
    <r>
      <t xml:space="preserve">Branding &amp; Marking: </t>
    </r>
    <r>
      <rPr>
        <sz val="12"/>
        <rFont val="Times New Roman"/>
        <family val="1"/>
      </rPr>
      <t>U.S. DEPARTMENT OF STATE STANDARD TERMS AND CONDITIONS FOR FEDERAL AWARD: https://www.state.gov/wp-content/uploads/2020/10/U.S.-Department-of-State-Standard-Terms-and-Conditions-10-21-2020-508.pdf</t>
    </r>
  </si>
  <si>
    <r>
      <rPr>
        <b/>
        <sz val="12"/>
        <color rgb="FF000000"/>
        <rFont val="Times New Roman"/>
        <family val="1"/>
      </rPr>
      <t xml:space="preserve">Description: </t>
    </r>
    <r>
      <rPr>
        <sz val="12"/>
        <color rgb="FF000000"/>
        <rFont val="Times New Roman"/>
        <family val="1"/>
      </rPr>
      <t>Develop public-private sector collaboration to build HEI capacity for inclusive student exchange between the United States and the Western Hemisphere.</t>
    </r>
  </si>
  <si>
    <r>
      <rPr>
        <b/>
        <sz val="12"/>
        <color theme="1"/>
        <rFont val="Times New Roman"/>
        <family val="1"/>
      </rPr>
      <t>Geographic Scope</t>
    </r>
    <r>
      <rPr>
        <sz val="12"/>
        <color theme="1"/>
        <rFont val="Times New Roman"/>
        <family val="1"/>
      </rPr>
      <t>:</t>
    </r>
    <r>
      <rPr>
        <b/>
        <sz val="12"/>
        <color theme="1"/>
        <rFont val="Times New Roman"/>
        <family val="1"/>
      </rPr>
      <t xml:space="preserve"> </t>
    </r>
    <r>
      <rPr>
        <sz val="12"/>
        <color theme="1"/>
        <rFont val="Times New Roman"/>
        <family val="1"/>
      </rPr>
      <t>Western Hemisphere</t>
    </r>
  </si>
  <si>
    <t>At least five times a year, in coordination with WHA, participate in targeted conferences/events that convene donor prospects, such as the Central America Donors Forum, the Concordia Annual Summit, and the Association of American Chambers of Commerce in Latin America and the Caribbean (LAC), higher education conferences (NAFSA, FAUBAI, AIEA). Where possible, include representatives of WHA and Posts, including principals.</t>
  </si>
  <si>
    <t>During Program exchange projects, at least four times a year, work with Program cohorts, donor-partners, WHA, and Posts to arrange site visits and other meetings for exchange project participants, to strengthen learning, increase donor-partner engagement with beneficiaries, and expand opportunities for alumni to enter donor-partners’ workforce pipelines.</t>
  </si>
  <si>
    <t>At least four times a year, design grants competitions through a collaborative process with WHA, Posts, and donor-partners, ensuring competitions advance U.S. foreign policy goals while centering on academic disciplines and geographies that align with donor interests and encouraging participation by a diversity of HEIs.</t>
  </si>
  <si>
    <t>At least four times a year, use best practices learned from designing and managing prior Program grants competitions to craft requests for proposals (RFPs) and launch grants competitions, providing prospective applicants with clear guidance in English and Spanish/Portuguese, as well as templates and examples for critical proposal elements.</t>
  </si>
  <si>
    <t>For each Program grants competition, at least four times annually, implement an efficient, rigorous, transparent, and objective grants proposal review and evaluation process that has proven to be effective in selecting the most impactful, innovative, wellaligned, and sustainable projects for funding, by recruiting diverse and qualified volunteer proposal reviewers who are independent, academic, and professional experts in education abroad, academic exchanges, and regional higher education internationalization.</t>
  </si>
  <si>
    <t>At least four times annually, for each round of grants, onboard new project cohorts with orientation to administrative processes, disbursal of funds, visa requirements, clarification of responsibilities, and enable HEIs to connect with each other to promote peer mentorship and support, including through registration with the Alumni Network.</t>
  </si>
  <si>
    <t>On at least a quarterly basis, facilitate connections and knowledge transfer between past winners and new HEI applicants through conference sessions, webinars, and the mentorship functions of the Program Alumni Network.</t>
  </si>
  <si>
    <t>For each grants competition, conduct up to three informational webinars in English and Spanish/Portuguese to prepare HEI applicants with tips and strategies for identifying institutional and inter-departmental partners and writing a competitive Program grant proposal.</t>
  </si>
  <si>
    <t>Following each capacity-building activity, on at least a quarterly basis, share session presentations, recordings, a Q&amp;A report, and a list of HEI associations, networks, and venues through which HEIs can find prospective partners widely available, including on the Program website and promoted to the Program Network.</t>
  </si>
  <si>
    <t>On a target-of-opportunity basis, at least once a year, provide in-depth training through participant-led technical assistance workshops, in which the subject matter areas and topics are driven by HEIs and the sessions are led by past/current Program sub-grantees. Schedule training and networking workshops with WHA and Posts to take advantage of HEI convenings such as FAUBAI, CAIE, CCID, and NAFSA.</t>
  </si>
  <si>
    <t>Starting no later than June 2023, and on an ongoing basis, implement targeted outreach campaigns to identify and cultivate new prospective donor-partners, raising their awareness of the strategic need for regional education cooperation to contribute to workforce development in the Americas and tailoring campaigns to focus on sectors and countries that align with U.S. foreign policy goals.</t>
  </si>
  <si>
    <t>Starting no later than June 2023, and on an ongoing basis, work with WHA and regional embassies to conduct an outreach campaign targeting government agencies, using Colombia/Brazil case studies as examples.</t>
  </si>
  <si>
    <t>By June 2023, launch a campaign with WHA and Posts for targeted opportunities to raise non-USG funds for new grants competitions under the 100K CLIMA and 100K Inclusive Education initiatives.</t>
  </si>
  <si>
    <t>By July 2023, mobilize existing networks as force multipliers to identify prospective donors: additional Partners fundraising staff, Partners field staff, PD Section teams, and HEI administrators and faculty.</t>
  </si>
  <si>
    <t>By November 2023, establish a 100,000 Strong in the Americas Advisory Council, which will engage a select group of current/past donor-partners in Program expansion efforts through communicating WHA country/theme priorities for the year, sharing opportunities for new Program investments, and soliciting input.</t>
  </si>
  <si>
    <t>By the beginning of 2024, establish partnerships with at least eight new domestic and regional HEI associations, to amplify Program messaging and outreach, while maintaining existing HEI association partnerships. On at least a quarterly basis, share information with these partners about activities and opportunities.</t>
  </si>
  <si>
    <t>On a monthly basis, coordinate with WHA and Posts to curate, develop, and transmit the Program e-newsletter, to the Program Network and by any other relevant platforms, that highlights exchanges and participants and features information about grants competitions, relevant events, and “save-the-date” notices about upcoming opportunities, as well as impact data, case studies, effective practices, and Program participant impact stories.</t>
  </si>
  <si>
    <t>For each grants competition, at least four times a year, create and publish press releases and social media communication kits to announce the launch of new Program grants competitions and winners. For the announcement of winners, create social media toolkits for HEIs, WHA, and Posts to amplify grant-winning teams and projects. Create promotional/social media graphics that relay competition eligibility at the start and during the round, and that display and congratulate the winners at the end of the round. Coordinate winners announcement events with WHA, Embassies, and donors.</t>
  </si>
  <si>
    <t>At least quarterly, at Program-related events, take photos and videos for use in targeted outreach and promotion.</t>
  </si>
  <si>
    <t>Create new promotional tools, such as print and digital materials and graphics, for reaching different audiences, including potential HEI applicants and donors from the private sector, foundations, and non-U.S. governments, with a focus on highlighting the benefits of Program awards, showcasing sustainable exchange programs in the region, and sharing effective practices and models for international mobility programming.</t>
  </si>
  <si>
    <t>On at least a monthly basis, promote the Program and share impact and highlights through social media, using Partners.net, Twitter, Facebook, Instagram, and LinkedIn and including the #100KStrongAmericas hashtag. When appropriate, Partners will also tag WHA, donors, HEI beneficiaries, Embassies, and other Partners to maximize visibility and reach.</t>
  </si>
  <si>
    <t>On at least a quarterly basis, manage and update the Program website (www.100KStrongAmericas.org) with impact statistics, testimonials, news, resources, and opportunities for engagement with prospective donors and grant applicants.</t>
  </si>
  <si>
    <t>On at least a quarterly basis, launch and promote grants competitions through targeted outreach campaigns to diverse HEIs, such as community colleges, small- to mediumsized, rural, and minority-serving institutions.</t>
  </si>
  <si>
    <t>By the beginning of 2024, as noted under Goal 2 above, build partnerships with at least eight new HEI associations to reach a greater diversity of institutions.</t>
  </si>
  <si>
    <t>Starting in Spring 2023, once a year, hold virtual or in-person capacity-building engagements (in coordination with Posts) with HEIs in countries that are not currently able to host international students in exchange programs, to expand the geographic diversity of destination countries.</t>
  </si>
  <si>
    <t>Compliant Y/N2</t>
  </si>
  <si>
    <t>Comments3</t>
  </si>
  <si>
    <t>Compliant Y/N4</t>
  </si>
  <si>
    <t>Comments5</t>
  </si>
  <si>
    <t>Compliant Y/N6</t>
  </si>
  <si>
    <t>Comments7</t>
  </si>
  <si>
    <t>Compliant Y/N8</t>
  </si>
  <si>
    <t>Comments9</t>
  </si>
  <si>
    <t>Compliant Y/N10</t>
  </si>
  <si>
    <t>Comments11</t>
  </si>
  <si>
    <t>In stimulating institutional partnerships, on at least a quarterly basis, lead sessions to share strategies, tools, and resources for partnership building and management with
MSIs, targeted student recruitment, support services for first-time student travelers, etc., and invite presenters from HEIs that traditionally serve marginalized/underserved communities to ensure that diverse backgrounds, viewpoints, and occupational fields are represented.</t>
  </si>
  <si>
    <t>On a quarterly basis, implement virtual training sessions to expand HEI capacity to recruit and support diverse student populations.</t>
  </si>
  <si>
    <t>For each grants competition, require HEI applicants to describe how they plan to expand access for students less commonly served by exchange programs, and give special consideration to projects that benefit marginalized, underserved, and non-traditional student populations (i.e., African-Descendants, Indigenous, LGBTQI+, persons with disabilities, women, etc.), using virtual or in-person modalities as appropriate.</t>
  </si>
  <si>
    <t>At least four times a year, tracked to regional/domestic funding sources and donor preferences, work with WHA, Posts, and donors to ensure that eligible academic themes include underrepresented academic disciplines, such as health, technology, climatefocused and clean-energy focused engineering, sustainable agriculture, and the sciences.</t>
  </si>
  <si>
    <t>By August 2023, update the current M&amp;E template for HEI-managed projects to be more comprehensive and aligned with the PMP and new M&amp;E objectives, particularly to indicators that measure HEI and student diversity.</t>
  </si>
  <si>
    <t>By September 2023, implement template requiring HEI applicants to develop a detailed plan for engaging with and including diverse student groups.</t>
  </si>
  <si>
    <t>For proposal reviews, which will occur on at least a quarterly basis, recruit reviewers from a diverse range of HEIs in the United States and the region, including from MSIs and HEIs that traditionally serve marginalized/underserved student populations to participate and provide insight and feedback on proposals. Inform all reviewers of the diversity of HEI grant applicants, with varying financial and human capacity to carry out projects, and emphasize the importance of weighing the relative capacity of the applicants and the contexts in which they operate.</t>
  </si>
  <si>
    <t>By July 2023, work with WHA to evaluate the possibility of restricting some grants competition pools or establishing quotas for MSIs and HEIs with limited capacity, which would ensure diversity in funded projects. Consider grouping repeat 100K winners as well, to ensure the Program is building capacity at a range of HEIs.</t>
  </si>
  <si>
    <t>By October 2023 and on an ongoing basis as needed, seek donor-partner sponsorship to provide resources to strengthen students’ English, Spanish, or Portuguese abilities (e.g., an open-access language course or in-kind support from Rosetta Stone and/or Duolingo), so that students of diverse socioeconomic standing and language skills can participate.</t>
  </si>
  <si>
    <t>By August 2023, establish a mechanism to provide low-income and/or students from marginalized groups with stipends to cover passport fees.</t>
  </si>
  <si>
    <t>By October 2023, launch the 100K Alumni Network on the Graduway platform, facilitating mentorship connections, connections with peers, access to job/internship postings and career fairs, and updates about 100K and other relevant USG programs and opportunities.</t>
  </si>
  <si>
    <t>No later than November 2023, enlist the support of volunteer Community Ambassadors/Influencers recruited from among each 100K student cohort as a keystone of the new alumni engagement strategy. Partners will recruit and prepare Community Influencers, host bi-monthly webinars on topics of interest, monitor network activity, seed discussions, and manage backend maintenance.</t>
  </si>
  <si>
    <t>By the beginning of 2024, while continuing to enroll new students and faculty in the 100K Strong Alumni Network, implement an exhaustive outreach strategy to enroll pre-2020 alumni, verifying, updating, and organizing contact information for optimal utility.</t>
  </si>
  <si>
    <t>By September 2023, validate and submit participant data using the designated data collection template provided by the DOS Bureau of Educational and Cultural Affairs (ECA)’s Office of Alumni Affairs to create alumni records in the Alumni Engagement Contact System (ACES).</t>
  </si>
  <si>
    <t>On a quarterly basis after August 2023, validate and submit updated participant and alumni data to the Office of Alumni Affairs using the designated ACES template.</t>
  </si>
  <si>
    <t>Baseline study, collecting qualitative and quantitative baseline information within the first six months of the startup of the HEI projects, adapting existing pre- and post-project surveys as needed, and an endline study roughly 60 days before the end of the project, applying quantitative surveys and qualitative techniques (e.g., focus groups discussion, key informant interviews) and integrating findings from data collected during implementation (i.e., HEI proposals, project reports, etc.) to compare to baseline results.</t>
  </si>
  <si>
    <t>On at least a quarterly basis, and continuously as needed, maintain participants’ contact information through the 100K Alumni Network to facilitate long-term outcome evaluation.</t>
  </si>
  <si>
    <t>In the final phase of this cooperative award, in the first quarter of CY25, commission a final evaluation to be conducted by a third party, using similar quantitative/qualitative methodology from the baseline study.</t>
  </si>
  <si>
    <t>At least twice a year, conduct pause and reflect sessions both at the activity level, to internally review Program data, identify trends, analyze achievements, and collect feedback that contribute to better planning and evidence-based decision-making, and at the implementing level, where Partners will discuss information from activity-level sessions with WHA to identify key issues/practices affecting implementation.</t>
  </si>
  <si>
    <t>At least twice a year, disseminate lessons learned through various methods: Program briefs that share performance M&amp;E data and summarize Program accomplishments, challenges, and recommendations; online learning events - one in early 2024 and another in late 2025, with key stakeholders; and learning webinars that provide a platform for HEIs grantees and 100K students to present and share their learning experiences with WHA, donor-partners, and Partners.</t>
  </si>
  <si>
    <t>MEL Plan FY2023-2025</t>
  </si>
  <si>
    <r>
      <rPr>
        <b/>
        <sz val="12"/>
        <color theme="1"/>
        <rFont val="Times New Roman"/>
        <family val="1"/>
      </rPr>
      <t>30-60 days after Exchange Programs:</t>
    </r>
    <r>
      <rPr>
        <sz val="12"/>
        <color theme="1"/>
        <rFont val="Times New Roman"/>
        <family val="1"/>
      </rPr>
      <t xml:space="preserve"> Capture change in student participant, knowledge, skills, global perspectives &amp; cross-cultural competencies, and HEI capacities.</t>
    </r>
  </si>
  <si>
    <r>
      <t xml:space="preserve">Immediately after Key Activities &amp; Exchange Programs: </t>
    </r>
    <r>
      <rPr>
        <sz val="12"/>
        <color theme="1"/>
        <rFont val="Times New Roman"/>
        <family val="1"/>
      </rPr>
      <t>Capture student and HEI participants' immediate reactions to the program, their level of engagement, and relevance of the program to their needs.</t>
    </r>
  </si>
  <si>
    <r>
      <rPr>
        <b/>
        <sz val="12"/>
        <color theme="1"/>
        <rFont val="Times New Roman"/>
        <family val="1"/>
      </rPr>
      <t xml:space="preserve">Within 6 months + End of Award: </t>
    </r>
    <r>
      <rPr>
        <sz val="12"/>
        <color theme="1"/>
        <rFont val="Times New Roman"/>
        <family val="1"/>
      </rPr>
      <t>Application of learning will be measured twice during the lifetime of the 100K program.</t>
    </r>
  </si>
  <si>
    <r>
      <rPr>
        <b/>
        <sz val="12"/>
        <color theme="1"/>
        <rFont val="Times New Roman"/>
        <family val="1"/>
      </rPr>
      <t xml:space="preserve">End of Award: </t>
    </r>
    <r>
      <rPr>
        <sz val="12"/>
        <color theme="1"/>
        <rFont val="Times New Roman"/>
        <family val="1"/>
      </rPr>
      <t>Measure contribution of the 100K program to long-term change at the institutional (HEIs) and individual (students, faculty, administrators) levels.</t>
    </r>
  </si>
  <si>
    <r>
      <rPr>
        <b/>
        <sz val="12"/>
        <color theme="1"/>
        <rFont val="Times New Roman"/>
        <family val="1"/>
      </rPr>
      <t xml:space="preserve">Baseline Study: </t>
    </r>
    <r>
      <rPr>
        <sz val="12"/>
        <color theme="1"/>
        <rFont val="Times New Roman"/>
        <family val="1"/>
      </rPr>
      <t xml:space="preserve">Conduct a baseline study that will be used as a point of comparison throughout implementation to gauge progress toward the program’s desired results. The baseline will be established by analyzing past performance data in conjunction with previous studies commissioned for the 100K program  to develop and update current online surveying tools to HEIs and students. The baseline study will capture information about the factors that have an impact on HEIs’ capacity to support student mobility access and participation. Qualitative and quantitative information will both be collected within the first six months of the startup of the HEI projects. Furthermore, demographic information will be captured in the baseline surveys.  </t>
    </r>
  </si>
  <si>
    <r>
      <rPr>
        <b/>
        <sz val="12"/>
        <color theme="1"/>
        <rFont val="Times New Roman"/>
        <family val="1"/>
      </rPr>
      <t>Outcome Harvesting</t>
    </r>
    <r>
      <rPr>
        <sz val="12"/>
        <color theme="1"/>
        <rFont val="Times New Roman"/>
        <family val="1"/>
      </rPr>
      <t xml:space="preserve"> explores the change in behavior of student and faculty beneficiaries while also documenting timing of the changed behavior, the importance of the change, and immediate impact of the change. Unlike other evaluation approaches, outcome harvesting does not necessarily measure progress towards predetermined outcomes/objectives; rather, it examines what has been achieved and determines whether and how the program contributed to the change.</t>
    </r>
  </si>
  <si>
    <r>
      <rPr>
        <b/>
        <sz val="12"/>
        <color theme="1"/>
        <rFont val="Times New Roman"/>
        <family val="1"/>
      </rPr>
      <t>Social-network analysis (SNA)</t>
    </r>
    <r>
      <rPr>
        <sz val="12"/>
        <color theme="1"/>
        <rFont val="Times New Roman"/>
        <family val="1"/>
      </rPr>
      <t xml:space="preserve"> will be conducted to complement the findings of the outcome harvesting. SNA will explore connectedness and the nature of relationships among students, HEIs, donor-partners, Partners, and WHA. Partners will also include other local entities that are not necessarily part of the program, such as HEI associations or proposal reviewers. This will help provide a broader perspective at the system level as well as provide hints on what future programs can do to enhance and strengthen positive impact.  </t>
    </r>
  </si>
  <si>
    <r>
      <rPr>
        <b/>
        <sz val="12"/>
        <color theme="1"/>
        <rFont val="Times New Roman"/>
        <family val="1"/>
      </rPr>
      <t xml:space="preserve">Endline Study: </t>
    </r>
    <r>
      <rPr>
        <sz val="12"/>
        <color theme="1"/>
        <rFont val="Times New Roman"/>
        <family val="1"/>
      </rPr>
      <t xml:space="preserve">Partners will conduct an endline study, applying a combination of quantitative surveys and qualitative techniques (e.g., focus groups discussion and key informant interviews), as well as commission a final external evaluation in the last year of the project, conducted by a third-party consulting firm that specializes in the evaluation of education programs. The endline study will integrate findings from outcome harvesting studies and be compared to baseline results. The final evaluation will assess the 100K program’s contribution to the expected results and overall impact on international education access by diverse student groups and HEIs. </t>
    </r>
  </si>
  <si>
    <r>
      <rPr>
        <b/>
        <sz val="12"/>
        <color theme="1"/>
        <rFont val="Times New Roman"/>
        <family val="1"/>
      </rPr>
      <t>Pause and Reflect Sessions</t>
    </r>
    <r>
      <rPr>
        <i/>
        <sz val="12"/>
        <color theme="1"/>
        <rFont val="Times New Roman"/>
        <family val="1"/>
      </rPr>
      <t xml:space="preserve"> (Internal Activity level sessions; External Implementing level sessions)</t>
    </r>
    <r>
      <rPr>
        <b/>
        <sz val="12"/>
        <color theme="1"/>
        <rFont val="Times New Roman"/>
        <family val="1"/>
      </rPr>
      <t xml:space="preserve">: </t>
    </r>
    <r>
      <rPr>
        <sz val="12"/>
        <color theme="1"/>
        <rFont val="Times New Roman"/>
        <family val="1"/>
      </rPr>
      <t>Partners will facilitate regular pause and reflect sessions with WHA and HEI grantees that will be carried out at two levels. Based on what is learned, Partners will determine its future strategies and amend the scope of work.</t>
    </r>
  </si>
  <si>
    <r>
      <rPr>
        <b/>
        <sz val="12"/>
        <color theme="1"/>
        <rFont val="Times New Roman"/>
        <family val="1"/>
      </rPr>
      <t xml:space="preserve">Secondary Data/Activity Analysis </t>
    </r>
    <r>
      <rPr>
        <i/>
        <sz val="12"/>
        <color theme="1"/>
        <rFont val="Times New Roman"/>
        <family val="1"/>
      </rPr>
      <t>(Participatory Group Dialogue/Alumni Discussions, Ongoing &amp; Direct Support to HEIs &amp; Students).</t>
    </r>
    <r>
      <rPr>
        <b/>
        <sz val="12"/>
        <color theme="1"/>
        <rFont val="Times New Roman"/>
        <family val="1"/>
      </rPr>
      <t xml:space="preserve"> </t>
    </r>
    <r>
      <rPr>
        <sz val="12"/>
        <color theme="1"/>
        <rFont val="Times New Roman"/>
        <family val="1"/>
      </rPr>
      <t xml:space="preserve">Partners will monitor student and HEI conduct throughout the program, using virtual engagement activities as opportunities for more personal observation and interaction with participants. </t>
    </r>
  </si>
  <si>
    <r>
      <rPr>
        <b/>
        <sz val="12"/>
        <color theme="1"/>
        <rFont val="Times New Roman"/>
        <family val="1"/>
      </rPr>
      <t xml:space="preserve">Document Reviews </t>
    </r>
    <r>
      <rPr>
        <i/>
        <sz val="12"/>
        <color theme="1"/>
        <rFont val="Times New Roman"/>
        <family val="1"/>
      </rPr>
      <t>(Grant Applications, HEI Project Reports, Prospective Donor Records).</t>
    </r>
    <r>
      <rPr>
        <b/>
        <sz val="12"/>
        <color theme="1"/>
        <rFont val="Times New Roman"/>
        <family val="1"/>
      </rPr>
      <t xml:space="preserve"> </t>
    </r>
    <r>
      <rPr>
        <sz val="12"/>
        <color theme="1"/>
        <rFont val="Times New Roman"/>
        <family val="1"/>
      </rPr>
      <t>Partners will track program progress through review and analysis of program beneficiaries’ documents. This includes the HEI grant applications and project reports submitted through Zengine, and donor records created and updated by Partners, which are maintained in Salesforce.</t>
    </r>
  </si>
  <si>
    <r>
      <rPr>
        <b/>
        <sz val="12"/>
        <color theme="1"/>
        <rFont val="Times New Roman"/>
        <family val="1"/>
      </rPr>
      <t xml:space="preserve">Participant Surveys </t>
    </r>
    <r>
      <rPr>
        <i/>
        <sz val="12"/>
        <color theme="1"/>
        <rFont val="Times New Roman"/>
        <family val="1"/>
      </rPr>
      <t>(HEIs, Students, Alumni Network, PAS).</t>
    </r>
    <r>
      <rPr>
        <b/>
        <sz val="12"/>
        <color theme="1"/>
        <rFont val="Times New Roman"/>
        <family val="1"/>
      </rPr>
      <t xml:space="preserve"> </t>
    </r>
    <r>
      <rPr>
        <sz val="12"/>
        <color theme="1"/>
        <rFont val="Times New Roman"/>
        <family val="1"/>
      </rPr>
      <t>Partners will administer surveys to HEIs and students through our grants management platform, Zengine, while surveys to program alumni will be sent using the network platform, Graduaway. This ensures that the records are maintained in the same system as the survey participants.</t>
    </r>
  </si>
  <si>
    <r>
      <rPr>
        <b/>
        <sz val="12"/>
        <color theme="1"/>
        <rFont val="Times New Roman"/>
        <family val="1"/>
      </rPr>
      <t xml:space="preserve">Learning Dissemination: </t>
    </r>
    <r>
      <rPr>
        <sz val="12"/>
        <color theme="1"/>
        <rFont val="Times New Roman"/>
        <family val="1"/>
      </rPr>
      <t>Program briefs; 2 online learning events (one at the beginning of the second year and another at the end of the award), and learning webinars</t>
    </r>
  </si>
  <si>
    <t>Number of new donors from private sector entities, foundations, and/or non-U.S. governments to contribute to 100K</t>
  </si>
  <si>
    <t>Number of competitions committed to by donor-partners</t>
  </si>
  <si>
    <t>Amount of funds raised from donor-partners</t>
  </si>
  <si>
    <t>Percent of donor-partners who report increased opportunities for workforce development as a result of engaging with 100K</t>
  </si>
  <si>
    <t>Percent of donor-partners who report strengthening ties with HEIs as a result of engaging with 100K</t>
  </si>
  <si>
    <t>Percent of U.S. participants who traveled abroad for the first time because of the 100K program</t>
  </si>
  <si>
    <t>Percent of LAC participants who traveled abroad for the first time because of the 100K program</t>
  </si>
  <si>
    <t>Percent of participants with more favorable opinions of the U.S. Government</t>
  </si>
  <si>
    <t>Percent of U.S. participants indicating an increase in understanding of their host country's government, culture, and values</t>
  </si>
  <si>
    <t>Percent of LAC participants indicating an increase in understanding of U.S. government, culture, and values</t>
  </si>
  <si>
    <t>Percent of U.S. alumni reporting that they have used their exchange experience to make an effort to change other people’s understanding of their host country</t>
  </si>
  <si>
    <t>Percent of LAC alumni reporting that they have used their exchange experience to make an effort to change other people’s understanding of the U.S.</t>
  </si>
  <si>
    <t>Percent of participants/alumni who identify as a DOS program participant/alumni</t>
  </si>
  <si>
    <t>Percent of participants who learned about new resources &amp; opportunities for engaging with DOS/100K and other participants/alumni</t>
  </si>
  <si>
    <t>Percent of participants who are connected to International Exchange Alumni networks through a U.S. Department of State-managed platform</t>
  </si>
  <si>
    <t>Percent of U.S. alumni who are using their program network to collaborate</t>
  </si>
  <si>
    <t>Percent of LAC alumni who are using their program network to collaborate</t>
  </si>
  <si>
    <t>Percent of U.S. alumni who are still in contact with counterpart 100K program alumni and/or host institutions</t>
  </si>
  <si>
    <t>Percent of LAC alumni who are still in contact with counterpart 100K program alumni and/or host institutions</t>
  </si>
  <si>
    <t>Percent of alumni who report using information or resources provided by the U.S. Government</t>
  </si>
  <si>
    <t>Number of HEIs that participate in 100K Strong competitions</t>
  </si>
  <si>
    <t>Total number of student participants in 100K Strong projects</t>
  </si>
  <si>
    <t>Number of students studying abroad as a result of grants</t>
  </si>
  <si>
    <t>Percent of participants reporting an increase in their job as a result of 100K program participation</t>
  </si>
  <si>
    <t>Percent of participants reporting an increase in their soft skills as a result of 100K program participation</t>
  </si>
  <si>
    <t>Percent of participants reporting an increase in their technical skills as a result of 100K program participation</t>
  </si>
  <si>
    <t>Percent of participants reporting an increase in their language skills as a result of 100K program participation</t>
  </si>
  <si>
    <t>Percent of alumni reporting that they have used skills obtained from exchange program participation to provide leadership in a professional or volunteer capacity</t>
  </si>
  <si>
    <t xml:space="preserve">Percent of alumni reporting that they have used skills obtained from exchange program participation to benefit their career, education, or volunteer work </t>
  </si>
  <si>
    <t>Number of HEIs competing for innovation grants</t>
  </si>
  <si>
    <t>Number of HEIs that receive 100K Strong innovation grants</t>
  </si>
  <si>
    <t>Number of capacity-building and training workshops and meetings conducted to promote 100K grants and to build the 100K Network with domestic and regional HEIs</t>
  </si>
  <si>
    <t>Number of U.S. and LAC higher education institutions attending 100K capacity building trainings</t>
  </si>
  <si>
    <t>Number of exchange participants in the program</t>
  </si>
  <si>
    <t>Percent of HEI faculty/administrators reporting strengthened partnerships within the Hemisphere</t>
  </si>
  <si>
    <t>Percent of HEI faculty/administrators reporting they are successfully implementing new models of exchanges within their institution</t>
  </si>
  <si>
    <t>Percent of HEIs that have sustained new study abroad/exchange partnerships after 100K Strong-funded project ended</t>
  </si>
  <si>
    <t>Percent of HEI grantees that present on their 100K Strong project and results in conferences, webinars or other venues</t>
  </si>
  <si>
    <t>Percent of HEIs receiving 100K Strong grant funding that are MSIs, CCs, or HEIs that traditionally serve marginalized/underserved students</t>
  </si>
  <si>
    <t>Percent of student participants from marginalized/underserved communities</t>
  </si>
  <si>
    <t>Percent of HEI grantees reporting that the 100K grant funding enabled their institution to provide critical access to exchanges for underrepresented students</t>
  </si>
  <si>
    <t>Number of new members of the 100K Innovation Network</t>
  </si>
  <si>
    <t>Number of visitors to 100K Strong website</t>
  </si>
  <si>
    <t>Number of social media impressions</t>
  </si>
  <si>
    <t>Number of applications from new HEIs</t>
  </si>
  <si>
    <r>
      <rPr>
        <b/>
        <sz val="12"/>
        <color theme="1"/>
        <rFont val="Times New Roman"/>
        <family val="1"/>
      </rPr>
      <t xml:space="preserve">Staff Travel: </t>
    </r>
    <r>
      <rPr>
        <sz val="12"/>
        <color theme="1"/>
        <rFont val="Times New Roman"/>
        <family val="1"/>
      </rPr>
      <t>All travel will be made by staff for the purpose of donor cultivation, launch of grant competitions, announcement of grant winners, program promotion, and stakeholder engagement for the program. Specific cities for travel cannot be specified in advance because it will not be known where events will occur until the locations have been confirmed by WHA, U.S. Embassies, and 100K donor-partners and where conferences will be hosted until confirmed by the organizers.</t>
    </r>
  </si>
  <si>
    <r>
      <rPr>
        <b/>
        <sz val="12"/>
        <rFont val="Times New Roman"/>
        <family val="1"/>
      </rPr>
      <t xml:space="preserve">Personnel: </t>
    </r>
    <r>
      <rPr>
        <sz val="12"/>
        <rFont val="Times New Roman"/>
        <family val="1"/>
      </rPr>
      <t xml:space="preserve">POA has budgeted for one (1) Director of Public-Private Partnerships, one (1) Program Director, one (1) Associate Director, one (1) Program Officer, one (1) Communications Officer, one (1) MEL Officer, and one (1) Vice President of Organizational Advancement at POA’ headquarters. </t>
    </r>
  </si>
  <si>
    <r>
      <rPr>
        <b/>
        <sz val="12"/>
        <color theme="1"/>
        <rFont val="Times New Roman"/>
        <family val="1"/>
      </rPr>
      <t xml:space="preserve">Tablet for In-Person Innovation Network Sign-ups: </t>
    </r>
    <r>
      <rPr>
        <sz val="12"/>
        <color theme="1"/>
        <rFont val="Times New Roman"/>
        <family val="1"/>
      </rPr>
      <t>POA will allocate funds to purchase two (2) new tablets to facilitate sign up and encourage individuals and universities to register in-person at 100K events.</t>
    </r>
  </si>
  <si>
    <t>POA is budgeting for bulk order of 1,000 items for outreach materials, including a set of 100K Strong branded pins and pennants for grant-winning faculty and 100K students at approximately $12.42 per set and 10 banners at $200 each, to be used and distributed during the grant competitions, along with other branded folders, notepads, and pens.</t>
  </si>
  <si>
    <r>
      <rPr>
        <b/>
        <sz val="12"/>
        <color theme="1"/>
        <rFont val="Times New Roman"/>
        <family val="1"/>
      </rPr>
      <t xml:space="preserve">Website &amp; Digital Communications Contract: </t>
    </r>
    <r>
      <rPr>
        <sz val="12"/>
        <color theme="1"/>
        <rFont val="Times New Roman"/>
        <family val="1"/>
      </rPr>
      <t>POA is proposing to hire a Website and Digital Communications Consultant who will assist in the planning, development, and execution of digital communications strategy for the 100K program, through collaboration with WHA to ensure consistency across channels and align messaging with overall communication objectives. The consultant will assist dissemination of messaging on social media, email/text marketing, website management, content development, digital online media, digital advertising, and development of mobile app. The consultant will develop communications processes, guidelines, and standards that ensure digital marketing campaigns are executed accurately and efficiently, to engage audience of potential and past program donors, HEIs, program participants and alumni. Additionally, the consultant will lead the technical re-design and development of the 100K Strong website.</t>
    </r>
  </si>
  <si>
    <r>
      <rPr>
        <b/>
        <sz val="12"/>
        <color theme="1"/>
        <rFont val="Times New Roman"/>
        <family val="1"/>
      </rPr>
      <t>Grants Management System:</t>
    </r>
    <r>
      <rPr>
        <sz val="12"/>
        <color theme="1"/>
        <rFont val="Times New Roman"/>
        <family val="1"/>
      </rPr>
      <t xml:space="preserve"> POA currently uses an application and grants management system called Zengine by WizeHive to manage 100K Strong activities. This platform allows for the efficient management of the full grants lifecycle from application to review to the post-award process. POA proposes to continue using Zengine to implement the grant competitions, collect applications, track review and scores, manage the post-award process with innovation grant recipients, monitor project progress, and collect program data by administering survey tools. The system facilitates the entire grants process from start to finish, for the HEIs, WHA, and other stakeholders’ experience and that of POA staff.</t>
    </r>
  </si>
  <si>
    <r>
      <rPr>
        <b/>
        <sz val="12"/>
        <color theme="1"/>
        <rFont val="Times New Roman"/>
        <family val="1"/>
      </rPr>
      <t xml:space="preserve">Data Tracking &amp; Collection (M&amp;E): </t>
    </r>
    <r>
      <rPr>
        <sz val="12"/>
        <color theme="1"/>
        <rFont val="Times New Roman"/>
        <family val="1"/>
      </rPr>
      <t>POA is budgeting to upgrade our data collection and tracking platform to allow the team to perform more in-depth monitoring and collection of program data and results. The upgrade also includes technical support costs for 60 hours. Based on provider quotes, the hourly rate is $110 and hour to customize and build out a robust M&amp;E database like Salesforce or another similar platform.</t>
    </r>
  </si>
  <si>
    <r>
      <rPr>
        <b/>
        <sz val="12"/>
        <color theme="1"/>
        <rFont val="Times New Roman"/>
        <family val="1"/>
      </rPr>
      <t xml:space="preserve">Platform Subscriptions: </t>
    </r>
    <r>
      <rPr>
        <sz val="12"/>
        <color theme="1"/>
        <rFont val="Times New Roman"/>
        <family val="1"/>
      </rPr>
      <t>POA is budgeting to maintain platforms used to manage 100K Strong grant competitions and program activities. These platforms include Zoom at $750/year, Adobe Creative Cloud licenses for three program staff at $150/year/license, plus others project management tools.</t>
    </r>
  </si>
  <si>
    <r>
      <rPr>
        <b/>
        <sz val="12"/>
        <color theme="1"/>
        <rFont val="Times New Roman"/>
        <family val="1"/>
      </rPr>
      <t>International Conference Registration Fees:</t>
    </r>
    <r>
      <rPr>
        <sz val="12"/>
        <color theme="1"/>
        <rFont val="Times New Roman"/>
        <family val="1"/>
      </rPr>
      <t xml:space="preserve"> POA is budgeting for staff to register for 16 international conferences at an average rate of $450/conference. POA attends various conferences and lead panel sessions with invited 100K Strong innovation grant recipients to share information about 100K Strong grant opportunities with potential applicant universities and colleges. This level of outreach and in-person engagement is critical to ensure strong participation in all future grant competitions.</t>
    </r>
  </si>
  <si>
    <t>Y</t>
  </si>
  <si>
    <t xml:space="preserve">RE_ Award No. (SAQMIP23CA0023) - Request for key personnel approval (100K Strong grant) </t>
  </si>
  <si>
    <t>https://partnersnet107.sharepoint.com/:u:/s/Programs/ERCVCBYvoHpCgU6WXP-UnXQBEc9EsKxfy3cazldG9BFIFA?e=P3Vzkw</t>
  </si>
  <si>
    <t>Email approval from WHA on Key Personnel change of Victor Moscoso as new Director of Public-Private Partnerships for 100K.</t>
  </si>
  <si>
    <t>Topic: Approval of final canddiate for Director of Public-Private Partnerships</t>
  </si>
  <si>
    <t>Director of Public Private Partnerships recruitment process</t>
  </si>
  <si>
    <t>Email request WHA to approve candidacy of Victor Moscoso as new Director of Public-Private Partnerships for 100K.</t>
  </si>
  <si>
    <t>https://partnersnet107.sharepoint.com/:u:/s/Programs/Ed7kVniz9stFokpTHlU6ilMB2ep0nJRKRo9uXgplzX5WrA?e=sulLTh</t>
  </si>
  <si>
    <t>Topic: Official Request for Change in Key Personnel: Director of Public-Private Partnerships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</si>
</sst>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00"/>
  </numFmts>
  <fonts count="27" x14ac:knownFonts="1">
    <font>
      <sz val="11"/>
      <color theme="1"/>
      <name val="Calibri"/>
      <family val="2"/>
      <scheme val="minor"/>
    </font>
    <font>
      <b/>
      <sz val="11"/>
      <color theme="1"/>
      <name val="Calibri"/>
      <family val="2"/>
      <scheme val="minor"/>
    </font>
    <font>
      <sz val="11"/>
      <color theme="1"/>
      <name val="Symbol"/>
      <family val="1"/>
      <charset val="2"/>
    </font>
    <font>
      <sz val="7"/>
      <color theme="1"/>
      <name val="Times New Roman"/>
      <family val="1"/>
    </font>
    <font>
      <b/>
      <sz val="20"/>
      <color theme="0"/>
      <name val="Times New Roman"/>
      <family val="1"/>
    </font>
    <font>
      <b/>
      <sz val="14"/>
      <name val="Times New Roman"/>
      <family val="1"/>
    </font>
    <font>
      <sz val="14"/>
      <color theme="1"/>
      <name val="Calibri"/>
      <family val="2"/>
      <scheme val="minor"/>
    </font>
    <font>
      <b/>
      <i/>
      <sz val="14"/>
      <name val="Times New Roman"/>
      <family val="1"/>
    </font>
    <font>
      <b/>
      <sz val="14"/>
      <color theme="0"/>
      <name val="Times New Roman"/>
      <family val="1"/>
    </font>
    <font>
      <b/>
      <sz val="14"/>
      <color theme="1"/>
      <name val="Calibri"/>
      <family val="2"/>
      <scheme val="minor"/>
    </font>
    <font>
      <sz val="12"/>
      <color theme="1"/>
      <name val="Times New Roman"/>
      <family val="1"/>
    </font>
    <font>
      <u/>
      <sz val="11"/>
      <color theme="10"/>
      <name val="Calibri"/>
      <family val="2"/>
      <scheme val="minor"/>
    </font>
    <font>
      <u/>
      <sz val="12"/>
      <color theme="10"/>
      <name val="Times New Roman"/>
      <family val="1"/>
    </font>
    <font>
      <u/>
      <sz val="12"/>
      <color theme="1"/>
      <name val="Times New Roman"/>
      <family val="1"/>
    </font>
    <font>
      <sz val="14"/>
      <color theme="0"/>
      <name val="Times New Roman"/>
      <family val="1"/>
    </font>
    <font>
      <b/>
      <sz val="26"/>
      <color theme="0"/>
      <name val="Times New Roman"/>
      <family val="1"/>
    </font>
    <font>
      <b/>
      <sz val="12"/>
      <color theme="1"/>
      <name val="Times New Roman"/>
      <family val="1"/>
    </font>
    <font>
      <sz val="12"/>
      <color rgb="FF000000"/>
      <name val="Times New Roman"/>
      <family val="1"/>
    </font>
    <font>
      <b/>
      <sz val="12"/>
      <color rgb="FF000000"/>
      <name val="Times New Roman"/>
      <family val="1"/>
    </font>
    <font>
      <b/>
      <sz val="12"/>
      <color rgb="FFFF0000"/>
      <name val="Times New Roman"/>
      <family val="1"/>
    </font>
    <font>
      <sz val="12"/>
      <name val="Times New Roman"/>
      <family val="1"/>
    </font>
    <font>
      <b/>
      <sz val="12"/>
      <name val="Times New Roman"/>
      <family val="1"/>
    </font>
    <font>
      <sz val="8"/>
      <name val="Calibri"/>
      <family val="2"/>
      <scheme val="minor"/>
    </font>
    <font>
      <sz val="11"/>
      <color theme="1"/>
      <name val="Calibri"/>
      <family val="2"/>
      <scheme val="minor"/>
    </font>
    <font>
      <sz val="12"/>
      <color theme="10"/>
      <name val="Times New Roman"/>
      <family val="1"/>
    </font>
    <font>
      <sz val="11"/>
      <name val="Calibri"/>
      <family val="2"/>
      <scheme val="minor"/>
    </font>
    <font>
      <i/>
      <sz val="12"/>
      <color theme="1"/>
      <name val="Times New Roman"/>
      <family val="1"/>
    </font>
  </fonts>
  <fills count="6">
    <fill>
      <patternFill patternType="none"/>
    </fill>
    <fill>
      <patternFill patternType="gray125"/>
    </fill>
    <fill>
      <patternFill patternType="solid">
        <fgColor rgb="FF1F497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s>
  <borders count="39">
    <border>
      <left/>
      <right/>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bottom/>
      <diagonal/>
    </border>
    <border>
      <left style="medium">
        <color auto="1"/>
      </left>
      <right style="medium">
        <color indexed="64"/>
      </right>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theme="2" tint="-0.24994659260841701"/>
      </top>
      <bottom style="thin">
        <color theme="2" tint="-0.24994659260841701"/>
      </bottom>
      <diagonal/>
    </border>
    <border>
      <left/>
      <right style="thin">
        <color indexed="64"/>
      </right>
      <top style="thin">
        <color theme="2" tint="-0.24994659260841701"/>
      </top>
      <bottom style="thin">
        <color theme="2" tint="-0.24994659260841701"/>
      </bottom>
      <diagonal/>
    </border>
    <border>
      <left style="thin">
        <color indexed="64"/>
      </left>
      <right style="thin">
        <color indexed="64"/>
      </right>
      <top style="thin">
        <color theme="2" tint="-0.24994659260841701"/>
      </top>
      <bottom style="thin">
        <color theme="2" tint="-0.24994659260841701"/>
      </bottom>
      <diagonal/>
    </border>
    <border>
      <left/>
      <right style="medium">
        <color indexed="64"/>
      </right>
      <top style="thin">
        <color theme="2" tint="-0.24994659260841701"/>
      </top>
      <bottom style="thin">
        <color theme="2" tint="-0.24994659260841701"/>
      </bottom>
      <diagonal/>
    </border>
    <border>
      <left style="medium">
        <color indexed="64"/>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style="medium">
        <color indexed="64"/>
      </left>
      <right style="thin">
        <color theme="2" tint="-0.24994659260841701"/>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right style="medium">
        <color indexed="64"/>
      </right>
      <top/>
      <bottom/>
      <diagonal/>
    </border>
    <border>
      <left style="thin">
        <color theme="2" tint="-0.24994659260841701"/>
      </left>
      <right style="thin">
        <color indexed="64"/>
      </right>
      <top style="thin">
        <color theme="2" tint="-0.24994659260841701"/>
      </top>
      <bottom style="medium">
        <color indexed="64"/>
      </bottom>
      <diagonal/>
    </border>
    <border>
      <left style="thin">
        <color indexed="64"/>
      </left>
      <right style="thin">
        <color indexed="64"/>
      </right>
      <top style="thin">
        <color theme="2" tint="-0.24994659260841701"/>
      </top>
      <bottom style="medium">
        <color indexed="64"/>
      </bottom>
      <diagonal/>
    </border>
    <border>
      <left/>
      <right style="medium">
        <color indexed="64"/>
      </right>
      <top style="thin">
        <color theme="2" tint="-0.24994659260841701"/>
      </top>
      <bottom style="medium">
        <color indexed="64"/>
      </bottom>
      <diagonal/>
    </border>
    <border>
      <left style="medium">
        <color auto="1"/>
      </left>
      <right/>
      <top/>
      <bottom style="thin">
        <color indexed="64"/>
      </bottom>
      <diagonal/>
    </border>
    <border>
      <left/>
      <right/>
      <top/>
      <bottom style="thin">
        <color indexed="64"/>
      </bottom>
      <diagonal/>
    </border>
    <border>
      <left style="medium">
        <color indexed="64"/>
      </left>
      <right/>
      <top style="thin">
        <color theme="2" tint="-0.24994659260841701"/>
      </top>
      <bottom/>
      <diagonal/>
    </border>
    <border>
      <left/>
      <right/>
      <top style="thin">
        <color theme="2" tint="-0.24994659260841701"/>
      </top>
      <bottom/>
      <diagonal/>
    </border>
    <border>
      <left/>
      <right style="medium">
        <color indexed="64"/>
      </right>
      <top style="thin">
        <color theme="2" tint="-0.2499465926084170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11" fillId="0" borderId="0" applyNumberFormat="0" applyFill="0" applyBorder="0" applyAlignment="0" applyProtection="0"/>
    <xf numFmtId="9" fontId="23" fillId="0" borderId="0" applyFont="0" applyFill="0" applyBorder="0" applyAlignment="0" applyProtection="0"/>
  </cellStyleXfs>
  <cellXfs count="128">
    <xf numFmtId="0" fontId="0" fillId="0" borderId="0" xfId="0"/>
    <xf numFmtId="0" fontId="0" fillId="0" borderId="0" xfId="0" applyAlignment="1">
      <alignment vertical="center"/>
    </xf>
    <xf numFmtId="0" fontId="2" fillId="0" borderId="0" xfId="0" applyFont="1" applyAlignment="1">
      <alignment horizontal="left" vertical="center" indent="5"/>
    </xf>
    <xf numFmtId="0" fontId="5" fillId="3" borderId="1" xfId="0" applyFont="1" applyFill="1" applyBorder="1" applyAlignment="1">
      <alignment horizontal="right"/>
    </xf>
    <xf numFmtId="0" fontId="5" fillId="3" borderId="2" xfId="0" applyFont="1" applyFill="1" applyBorder="1" applyAlignment="1">
      <alignment horizontal="right"/>
    </xf>
    <xf numFmtId="0" fontId="0" fillId="0" borderId="4" xfId="0" applyBorder="1"/>
    <xf numFmtId="0" fontId="6" fillId="0" borderId="0" xfId="0" applyFont="1"/>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4" borderId="1" xfId="0" applyFont="1" applyFill="1" applyBorder="1" applyAlignment="1">
      <alignment horizontal="left"/>
    </xf>
    <xf numFmtId="0" fontId="8" fillId="4" borderId="7" xfId="0" applyFont="1" applyFill="1" applyBorder="1"/>
    <xf numFmtId="0" fontId="8" fillId="4" borderId="8" xfId="0" applyFont="1" applyFill="1" applyBorder="1" applyAlignment="1">
      <alignment horizontal="fill"/>
    </xf>
    <xf numFmtId="0" fontId="9" fillId="0" borderId="0" xfId="0" applyFont="1"/>
    <xf numFmtId="0" fontId="10" fillId="5" borderId="9" xfId="0" applyFont="1" applyFill="1" applyBorder="1"/>
    <xf numFmtId="0" fontId="10" fillId="5" borderId="10" xfId="0" applyFont="1" applyFill="1" applyBorder="1"/>
    <xf numFmtId="0" fontId="10" fillId="5" borderId="11" xfId="0" applyFont="1" applyFill="1" applyBorder="1"/>
    <xf numFmtId="14" fontId="10" fillId="5" borderId="11" xfId="0" applyNumberFormat="1" applyFont="1" applyFill="1" applyBorder="1"/>
    <xf numFmtId="0" fontId="12" fillId="0" borderId="12" xfId="1" applyFont="1" applyBorder="1" applyAlignment="1">
      <alignment horizontal="fill"/>
    </xf>
    <xf numFmtId="0" fontId="8" fillId="4" borderId="13" xfId="0" applyFont="1" applyFill="1" applyBorder="1"/>
    <xf numFmtId="0" fontId="8" fillId="4" borderId="14" xfId="0" applyFont="1" applyFill="1" applyBorder="1"/>
    <xf numFmtId="0" fontId="8" fillId="4" borderId="12" xfId="0" applyFont="1" applyFill="1" applyBorder="1" applyAlignment="1">
      <alignment horizontal="fill"/>
    </xf>
    <xf numFmtId="0" fontId="10" fillId="0" borderId="15" xfId="0" applyFont="1" applyBorder="1"/>
    <xf numFmtId="0" fontId="10" fillId="0" borderId="16" xfId="0" applyFont="1" applyBorder="1"/>
    <xf numFmtId="0" fontId="13" fillId="0" borderId="12" xfId="1" applyFont="1" applyFill="1" applyBorder="1" applyAlignment="1">
      <alignment horizontal="fill"/>
    </xf>
    <xf numFmtId="0" fontId="10" fillId="0" borderId="11" xfId="0" applyFont="1" applyBorder="1"/>
    <xf numFmtId="0" fontId="12" fillId="0" borderId="12" xfId="1" applyFont="1" applyFill="1" applyBorder="1" applyAlignment="1">
      <alignment horizontal="fill"/>
    </xf>
    <xf numFmtId="0" fontId="12" fillId="0" borderId="17" xfId="1" applyFont="1" applyFill="1" applyBorder="1"/>
    <xf numFmtId="0" fontId="10" fillId="5" borderId="15" xfId="0" applyFont="1" applyFill="1" applyBorder="1"/>
    <xf numFmtId="0" fontId="10" fillId="0" borderId="9" xfId="0" applyFont="1" applyBorder="1"/>
    <xf numFmtId="0" fontId="10" fillId="0" borderId="12" xfId="0" applyFont="1" applyBorder="1" applyAlignment="1">
      <alignment horizontal="fill"/>
    </xf>
    <xf numFmtId="0" fontId="14" fillId="4" borderId="14" xfId="0" applyFont="1" applyFill="1" applyBorder="1"/>
    <xf numFmtId="0" fontId="14" fillId="4" borderId="12" xfId="0" applyFont="1" applyFill="1" applyBorder="1" applyAlignment="1">
      <alignment horizontal="fill"/>
    </xf>
    <xf numFmtId="0" fontId="10" fillId="0" borderId="18" xfId="0" applyFont="1" applyBorder="1"/>
    <xf numFmtId="0" fontId="10" fillId="5" borderId="19" xfId="0" applyFont="1" applyFill="1" applyBorder="1"/>
    <xf numFmtId="14" fontId="10" fillId="5" borderId="19" xfId="0" applyNumberFormat="1" applyFont="1" applyFill="1" applyBorder="1"/>
    <xf numFmtId="0" fontId="12" fillId="0" borderId="20" xfId="1" applyFont="1" applyBorder="1" applyAlignment="1">
      <alignment horizontal="fill"/>
    </xf>
    <xf numFmtId="0" fontId="0" fillId="0" borderId="0" xfId="0" applyAlignment="1">
      <alignment horizontal="fill"/>
    </xf>
    <xf numFmtId="0" fontId="0" fillId="5" borderId="0" xfId="0" applyFill="1" applyAlignment="1">
      <alignment wrapText="1"/>
    </xf>
    <xf numFmtId="0" fontId="16" fillId="3" borderId="2"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0" fillId="0" borderId="2" xfId="0" applyFont="1" applyBorder="1" applyAlignment="1">
      <alignment horizontal="left" vertical="top" wrapText="1"/>
    </xf>
    <xf numFmtId="0" fontId="10" fillId="3" borderId="2" xfId="0" applyFont="1" applyFill="1" applyBorder="1" applyAlignment="1">
      <alignment horizontal="left" vertical="center" wrapText="1"/>
    </xf>
    <xf numFmtId="0" fontId="17" fillId="5" borderId="2" xfId="0" applyFont="1" applyFill="1" applyBorder="1" applyAlignment="1">
      <alignment horizontal="left" vertical="center" wrapText="1"/>
    </xf>
    <xf numFmtId="0" fontId="19" fillId="0" borderId="2" xfId="0" applyFont="1" applyBorder="1" applyAlignment="1">
      <alignment horizontal="center" vertical="center" wrapText="1"/>
    </xf>
    <xf numFmtId="0" fontId="20" fillId="3" borderId="2" xfId="0" applyFont="1" applyFill="1" applyBorder="1" applyAlignment="1">
      <alignment horizontal="center" vertical="center" wrapText="1"/>
    </xf>
    <xf numFmtId="0" fontId="17" fillId="0" borderId="2" xfId="0" applyFont="1" applyBorder="1" applyAlignment="1">
      <alignment horizontal="left" vertical="center" wrapText="1"/>
    </xf>
    <xf numFmtId="0" fontId="20" fillId="0" borderId="2" xfId="0" applyFont="1" applyBorder="1" applyAlignment="1">
      <alignment horizontal="center" vertical="center" wrapText="1"/>
    </xf>
    <xf numFmtId="0" fontId="19" fillId="5" borderId="2" xfId="0" applyFont="1" applyFill="1" applyBorder="1" applyAlignment="1">
      <alignment vertical="center" wrapText="1"/>
    </xf>
    <xf numFmtId="0" fontId="10" fillId="5" borderId="2" xfId="0" applyFont="1" applyFill="1" applyBorder="1" applyAlignment="1">
      <alignment horizontal="left" vertical="center" wrapText="1"/>
    </xf>
    <xf numFmtId="0" fontId="19" fillId="5" borderId="2" xfId="0" applyFont="1" applyFill="1" applyBorder="1" applyAlignment="1">
      <alignment horizontal="center" vertical="center" wrapText="1"/>
    </xf>
    <xf numFmtId="0" fontId="21" fillId="3" borderId="2" xfId="0" applyFont="1" applyFill="1" applyBorder="1" applyAlignment="1">
      <alignment horizontal="center" vertical="center" wrapText="1"/>
    </xf>
    <xf numFmtId="0" fontId="10" fillId="0" borderId="2" xfId="0" applyFont="1" applyBorder="1" applyAlignment="1">
      <alignment vertical="top" wrapText="1"/>
    </xf>
    <xf numFmtId="0" fontId="20" fillId="3" borderId="2" xfId="0" applyFont="1" applyFill="1" applyBorder="1" applyAlignment="1">
      <alignment horizontal="left" vertical="center" wrapText="1"/>
    </xf>
    <xf numFmtId="0" fontId="10" fillId="3" borderId="2" xfId="0" applyFont="1" applyFill="1" applyBorder="1" applyAlignment="1">
      <alignment horizontal="left" vertical="top" wrapText="1"/>
    </xf>
    <xf numFmtId="0" fontId="10" fillId="3" borderId="2" xfId="0" applyFont="1" applyFill="1" applyBorder="1" applyAlignment="1">
      <alignment vertical="top" wrapText="1"/>
    </xf>
    <xf numFmtId="0" fontId="0" fillId="5" borderId="0" xfId="0" applyFill="1" applyAlignment="1">
      <alignment horizontal="left" vertical="top" wrapText="1"/>
    </xf>
    <xf numFmtId="0" fontId="1" fillId="5" borderId="0" xfId="0" applyFont="1" applyFill="1" applyAlignment="1">
      <alignment horizontal="center" vertical="center" wrapText="1"/>
    </xf>
    <xf numFmtId="0" fontId="1" fillId="0" borderId="0" xfId="0" applyFont="1" applyAlignment="1">
      <alignment vertical="center"/>
    </xf>
    <xf numFmtId="0" fontId="8" fillId="4" borderId="23" xfId="0" applyFont="1" applyFill="1" applyBorder="1"/>
    <xf numFmtId="0" fontId="14" fillId="4" borderId="24" xfId="0" applyFont="1" applyFill="1" applyBorder="1"/>
    <xf numFmtId="0" fontId="14" fillId="4" borderId="25" xfId="0" applyFont="1" applyFill="1" applyBorder="1" applyAlignment="1">
      <alignment horizontal="fill"/>
    </xf>
    <xf numFmtId="0" fontId="10" fillId="0" borderId="2" xfId="0" applyFont="1" applyBorder="1"/>
    <xf numFmtId="0" fontId="10" fillId="5" borderId="2" xfId="0" applyFont="1" applyFill="1" applyBorder="1"/>
    <xf numFmtId="14" fontId="10" fillId="5" borderId="2" xfId="0" applyNumberFormat="1" applyFont="1" applyFill="1" applyBorder="1"/>
    <xf numFmtId="0" fontId="12" fillId="0" borderId="2" xfId="1" applyFont="1" applyFill="1" applyBorder="1" applyAlignment="1">
      <alignment horizontal="fill"/>
    </xf>
    <xf numFmtId="0" fontId="5" fillId="3" borderId="29" xfId="0" applyFont="1" applyFill="1" applyBorder="1" applyAlignment="1">
      <alignment horizontal="center"/>
    </xf>
    <xf numFmtId="0" fontId="0" fillId="0" borderId="30" xfId="0" applyBorder="1"/>
    <xf numFmtId="0" fontId="10" fillId="0" borderId="31" xfId="0" applyFont="1" applyBorder="1"/>
    <xf numFmtId="0" fontId="12" fillId="0" borderId="29" xfId="1" applyFont="1" applyFill="1" applyBorder="1" applyAlignment="1">
      <alignment horizontal="fill"/>
    </xf>
    <xf numFmtId="0" fontId="10" fillId="0" borderId="32" xfId="0" applyFont="1" applyBorder="1"/>
    <xf numFmtId="0" fontId="0" fillId="0" borderId="2" xfId="0" applyBorder="1" applyAlignment="1">
      <alignment horizontal="center"/>
    </xf>
    <xf numFmtId="0" fontId="0" fillId="0" borderId="3" xfId="0" applyBorder="1" applyAlignment="1">
      <alignment horizontal="center"/>
    </xf>
    <xf numFmtId="0" fontId="4" fillId="2" borderId="26"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28" xfId="0" applyFont="1" applyFill="1" applyBorder="1" applyAlignment="1">
      <alignment horizontal="center" vertical="center"/>
    </xf>
    <xf numFmtId="0" fontId="0" fillId="0" borderId="30" xfId="0" applyBorder="1" applyAlignment="1">
      <alignment horizontal="center"/>
    </xf>
    <xf numFmtId="0" fontId="15" fillId="2" borderId="21" xfId="0" applyFont="1" applyFill="1" applyBorder="1" applyAlignment="1">
      <alignment horizontal="center" vertical="center"/>
    </xf>
    <xf numFmtId="0" fontId="15" fillId="2" borderId="22" xfId="0" applyFont="1" applyFill="1" applyBorder="1" applyAlignment="1">
      <alignment horizontal="center" vertical="center"/>
    </xf>
    <xf numFmtId="15" fontId="0" fillId="0" borderId="2" xfId="0" applyNumberFormat="1" applyBorder="1" applyAlignment="1">
      <alignment horizontal="center"/>
    </xf>
    <xf numFmtId="166" fontId="0" fillId="0" borderId="4" xfId="0" applyNumberFormat="1" applyBorder="1" applyAlignment="1">
      <alignment horizontal="center"/>
    </xf>
    <xf numFmtId="0" fontId="0" fillId="0" borderId="4" xfId="0" applyBorder="1" applyAlignment="1">
      <alignment horizontal="center"/>
    </xf>
    <xf numFmtId="10" fontId="0" fillId="0" borderId="4" xfId="2" applyNumberFormat="1" applyFont="1" applyBorder="1" applyAlignment="1">
      <alignment horizontal="center"/>
    </xf>
    <xf numFmtId="14" fontId="10" fillId="5" borderId="11" xfId="0" applyNumberFormat="1" applyFont="1" applyFill="1" applyBorder="1" applyAlignment="1">
      <alignment horizontal="left"/>
    </xf>
    <xf numFmtId="14" fontId="10" fillId="5" borderId="2" xfId="0" applyNumberFormat="1" applyFont="1" applyFill="1" applyBorder="1" applyAlignment="1">
      <alignment horizontal="left"/>
    </xf>
    <xf numFmtId="0" fontId="11" fillId="0" borderId="12" xfId="1" applyBorder="1" applyAlignment="1">
      <alignment horizontal="fill"/>
    </xf>
    <xf numFmtId="0" fontId="20" fillId="0" borderId="12" xfId="1" applyFont="1" applyBorder="1" applyAlignment="1">
      <alignment horizontal="left"/>
    </xf>
    <xf numFmtId="0" fontId="11" fillId="0" borderId="12" xfId="1" applyFill="1" applyBorder="1" applyAlignment="1">
      <alignment horizontal="fill"/>
    </xf>
    <xf numFmtId="0" fontId="10" fillId="0" borderId="12" xfId="1" applyFont="1" applyFill="1" applyBorder="1" applyAlignment="1">
      <alignment horizontal="left"/>
    </xf>
    <xf numFmtId="0" fontId="10" fillId="0" borderId="11" xfId="0" applyFont="1" applyBorder="1" applyAlignment="1"/>
    <xf numFmtId="0" fontId="24" fillId="0" borderId="17" xfId="1" applyFont="1" applyFill="1" applyBorder="1" applyAlignment="1">
      <alignment horizontal="left"/>
    </xf>
    <xf numFmtId="0" fontId="24" fillId="0" borderId="12" xfId="1" applyFont="1" applyBorder="1" applyAlignment="1">
      <alignment horizontal="left"/>
    </xf>
    <xf numFmtId="0" fontId="11" fillId="0" borderId="2" xfId="1" applyFill="1" applyBorder="1" applyAlignment="1">
      <alignment horizontal="fill"/>
    </xf>
    <xf numFmtId="0" fontId="20" fillId="0" borderId="29" xfId="1" applyFont="1" applyFill="1" applyBorder="1" applyAlignment="1">
      <alignment horizontal="left"/>
    </xf>
    <xf numFmtId="0" fontId="17" fillId="0" borderId="2" xfId="0" applyFont="1" applyFill="1" applyBorder="1" applyAlignment="1">
      <alignment horizontal="left" vertical="center" wrapText="1"/>
    </xf>
    <xf numFmtId="0" fontId="16" fillId="0" borderId="2" xfId="0" applyFont="1" applyFill="1" applyBorder="1" applyAlignment="1">
      <alignment horizontal="center" vertical="center" wrapText="1"/>
    </xf>
    <xf numFmtId="0" fontId="10" fillId="0" borderId="2" xfId="0" applyFont="1" applyFill="1" applyBorder="1" applyAlignment="1">
      <alignment horizontal="left" vertical="top" wrapText="1"/>
    </xf>
    <xf numFmtId="0" fontId="1" fillId="0" borderId="0" xfId="0" applyFont="1" applyFill="1" applyAlignment="1">
      <alignment horizontal="center" vertical="center" wrapText="1"/>
    </xf>
    <xf numFmtId="0" fontId="0" fillId="0" borderId="0" xfId="0" applyFill="1" applyAlignment="1">
      <alignment horizontal="left" vertical="top" wrapText="1"/>
    </xf>
    <xf numFmtId="0" fontId="19" fillId="3" borderId="2" xfId="0" applyFont="1" applyFill="1" applyBorder="1" applyAlignment="1">
      <alignment vertical="center" wrapText="1"/>
    </xf>
    <xf numFmtId="0" fontId="0" fillId="3" borderId="0" xfId="0" applyFill="1" applyAlignment="1">
      <alignment wrapText="1"/>
    </xf>
    <xf numFmtId="0" fontId="19" fillId="5" borderId="3" xfId="0" applyFont="1" applyFill="1" applyBorder="1" applyAlignment="1">
      <alignment vertical="center" wrapText="1"/>
    </xf>
    <xf numFmtId="0" fontId="10" fillId="0" borderId="3" xfId="0" applyFont="1" applyBorder="1" applyAlignment="1">
      <alignment vertical="top" wrapText="1"/>
    </xf>
    <xf numFmtId="0" fontId="16" fillId="3" borderId="37" xfId="0" applyFont="1" applyFill="1" applyBorder="1" applyAlignment="1">
      <alignment horizontal="center" vertical="center" wrapText="1"/>
    </xf>
    <xf numFmtId="0" fontId="10" fillId="5" borderId="37" xfId="0" applyFont="1" applyFill="1" applyBorder="1" applyAlignment="1">
      <alignment horizontal="left" vertical="center" wrapText="1"/>
    </xf>
    <xf numFmtId="0" fontId="16" fillId="5" borderId="37" xfId="0" applyFont="1" applyFill="1" applyBorder="1" applyAlignment="1">
      <alignment horizontal="center" vertical="center" wrapText="1"/>
    </xf>
    <xf numFmtId="0" fontId="10" fillId="3" borderId="37" xfId="0" applyFont="1" applyFill="1" applyBorder="1" applyAlignment="1">
      <alignment horizontal="left" vertical="top" wrapText="1"/>
    </xf>
    <xf numFmtId="0" fontId="10" fillId="3" borderId="37" xfId="0" applyFont="1" applyFill="1" applyBorder="1" applyAlignment="1">
      <alignment vertical="top" wrapText="1"/>
    </xf>
    <xf numFmtId="0" fontId="10" fillId="0" borderId="37" xfId="0" applyFont="1" applyFill="1" applyBorder="1" applyAlignment="1">
      <alignment horizontal="left" vertical="top" wrapText="1"/>
    </xf>
    <xf numFmtId="0" fontId="10" fillId="3" borderId="37" xfId="0" applyFont="1" applyFill="1" applyBorder="1" applyAlignment="1">
      <alignment wrapText="1"/>
    </xf>
    <xf numFmtId="0" fontId="10" fillId="0" borderId="37" xfId="0" applyFont="1" applyBorder="1" applyAlignment="1">
      <alignment wrapText="1"/>
    </xf>
    <xf numFmtId="0" fontId="10" fillId="0" borderId="38" xfId="0" applyFont="1" applyBorder="1" applyAlignment="1">
      <alignment wrapText="1"/>
    </xf>
    <xf numFmtId="0" fontId="10" fillId="3" borderId="4" xfId="0" applyFont="1" applyFill="1" applyBorder="1" applyAlignment="1">
      <alignment horizontal="left" vertical="center" wrapText="1"/>
    </xf>
    <xf numFmtId="0" fontId="17" fillId="3" borderId="4" xfId="0" applyFont="1" applyFill="1" applyBorder="1" applyAlignment="1">
      <alignment horizontal="left" vertical="center" wrapText="1"/>
    </xf>
    <xf numFmtId="0" fontId="21" fillId="3" borderId="36" xfId="0" applyFont="1" applyFill="1" applyBorder="1" applyAlignment="1">
      <alignment horizontal="left" vertical="center" wrapText="1"/>
    </xf>
    <xf numFmtId="0" fontId="21" fillId="3" borderId="33" xfId="0" applyFont="1" applyFill="1" applyBorder="1" applyAlignment="1">
      <alignment horizontal="center" vertical="center" wrapText="1"/>
    </xf>
    <xf numFmtId="0" fontId="21" fillId="3" borderId="34" xfId="0" applyFont="1" applyFill="1" applyBorder="1" applyAlignment="1">
      <alignment horizontal="center" vertical="center" wrapText="1"/>
    </xf>
    <xf numFmtId="0" fontId="21" fillId="5" borderId="34" xfId="0" applyFont="1" applyFill="1" applyBorder="1" applyAlignment="1">
      <alignment horizontal="center" vertical="center" wrapText="1"/>
    </xf>
    <xf numFmtId="0" fontId="21" fillId="0" borderId="34" xfId="0" applyFont="1" applyFill="1" applyBorder="1" applyAlignment="1">
      <alignment horizontal="center" vertical="center" wrapText="1"/>
    </xf>
    <xf numFmtId="0" fontId="21" fillId="5" borderId="35" xfId="0" applyFont="1" applyFill="1" applyBorder="1" applyAlignment="1">
      <alignment horizontal="center" vertical="center" wrapText="1"/>
    </xf>
    <xf numFmtId="0" fontId="25" fillId="0" borderId="0" xfId="0" applyFont="1"/>
    <xf numFmtId="0" fontId="10" fillId="5" borderId="2" xfId="0" applyFont="1" applyFill="1" applyBorder="1" applyAlignment="1">
      <alignment vertical="top" wrapText="1"/>
    </xf>
    <xf numFmtId="0" fontId="10" fillId="5" borderId="3" xfId="0" applyFont="1" applyFill="1" applyBorder="1" applyAlignment="1">
      <alignment vertical="top" wrapText="1"/>
    </xf>
    <xf numFmtId="0" fontId="21" fillId="0" borderId="34" xfId="0" applyFont="1" applyFill="1" applyBorder="1" applyAlignment="1">
      <alignment horizontal="center" vertical="top" wrapText="1"/>
    </xf>
    <xf numFmtId="0" fontId="16" fillId="0" borderId="2" xfId="0" applyFont="1" applyFill="1" applyBorder="1" applyAlignment="1">
      <alignment horizontal="left" vertical="top" wrapText="1"/>
    </xf>
    <xf numFmtId="0" fontId="21" fillId="0" borderId="34" xfId="0" applyFont="1" applyBorder="1" applyAlignment="1">
      <alignment horizontal="center" vertical="top" wrapText="1"/>
    </xf>
    <xf numFmtId="0" fontId="10" fillId="0" borderId="37" xfId="0" applyFont="1" applyBorder="1" applyAlignment="1">
      <alignment vertical="top" wrapText="1"/>
    </xf>
    <xf numFmtId="0" fontId="0" fillId="5" borderId="0" xfId="0" applyFill="1" applyAlignment="1">
      <alignment vertical="top" wrapText="1"/>
    </xf>
    <xf numFmtId="0" fontId="20" fillId="5" borderId="2" xfId="0" applyFont="1" applyFill="1" applyBorder="1" applyAlignment="1">
      <alignment vertical="top" wrapText="1"/>
    </xf>
  </cellXfs>
  <cellStyles count="3">
    <cellStyle name="Hyperlink" xfId="1" builtinId="8"/>
    <cellStyle name="Normal" xfId="0" builtinId="0"/>
    <cellStyle name="Percent" xfId="2" builtinId="5"/>
  </cellStyles>
  <dxfs count="22">
    <dxf>
      <font>
        <b val="0"/>
        <i val="0"/>
        <strike val="0"/>
        <condense val="0"/>
        <extend val="0"/>
        <outline val="0"/>
        <shadow val="0"/>
        <u val="none"/>
        <vertAlign val="baseline"/>
        <sz val="12"/>
        <color theme="1"/>
        <name val="Times New Roman"/>
        <family val="1"/>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fill>
        <patternFill patternType="solid">
          <fgColor indexed="64"/>
          <bgColor theme="4"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fill>
        <patternFill patternType="solid">
          <fgColor indexed="64"/>
          <bgColor theme="4"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family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color auto="1"/>
      </font>
    </dxf>
    <dxf>
      <font>
        <b val="0"/>
        <i val="0"/>
        <strike val="0"/>
        <condense val="0"/>
        <extend val="0"/>
        <outline val="0"/>
        <shadow val="0"/>
        <u val="none"/>
        <vertAlign val="baseline"/>
        <sz val="12"/>
        <color theme="1"/>
        <name val="Times New Roman"/>
        <family val="1"/>
        <scheme val="none"/>
      </font>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4" tint="0.79998168889431442"/>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family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4"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Times New Roman"/>
        <family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Times New Roman"/>
        <family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ECEEAD-C35F-2340-86CF-D0AF57DE5023}" name="Table2" displayName="Table2" ref="B2:S47" totalsRowShown="0" headerRowDxfId="6" headerRowBorderDxfId="20" tableBorderDxfId="21" totalsRowBorderDxfId="19">
  <autoFilter ref="B2:S47" xr:uid="{40ECEEAD-C35F-2340-86CF-D0AF57DE5023}"/>
  <tableColumns count="18">
    <tableColumn id="1" xr3:uid="{49382F34-07A8-E747-9813-BCFF98F7AA57}" name="Award Terms &amp; Conditions" dataDxfId="18"/>
    <tableColumn id="2" xr3:uid="{76DE9F7A-F491-7447-AB16-A1B16F2A68AA}" name="Compliant Y/N" dataDxfId="17"/>
    <tableColumn id="3" xr3:uid="{423946F4-82DA-054E-B38C-65D553BE86BB}" name="Comments" dataDxfId="16"/>
    <tableColumn id="4" xr3:uid="{997E77D7-5829-5742-AA98-981269338528}" name="Program Description " dataDxfId="15"/>
    <tableColumn id="5" xr3:uid="{E471097C-10B7-3743-BE94-EE43BE6AAA90}" name="Compliant Y/N2" dataDxfId="14"/>
    <tableColumn id="6" xr3:uid="{BA01A6FF-D903-5B48-A212-BFDBC7EACA37}" name="Comments3" dataDxfId="13"/>
    <tableColumn id="7" xr3:uid="{1CCF25D3-F4CF-0A4B-BDEC-54F3CA766FA3}" name="Work Plan FY23-2025" dataDxfId="12"/>
    <tableColumn id="8" xr3:uid="{0A69BB1C-5FB1-2743-A495-4CD2DE431124}" name="Compliant Y/N4" dataDxfId="11"/>
    <tableColumn id="9" xr3:uid="{C2E524DE-AD57-AD42-84FA-BF58F5AF2FB9}" name="Comments5" dataDxfId="5"/>
    <tableColumn id="10" xr3:uid="{6A84DCD2-3367-DF4E-A564-315FECACD25E}" name="MEL Plan FY2023-2025" dataDxfId="4"/>
    <tableColumn id="11" xr3:uid="{F1BE25E3-A1F0-C643-AFB4-5B97F5756C8F}" name="Compliant Y/N6" dataDxfId="10"/>
    <tableColumn id="12" xr3:uid="{5257AABC-9FD1-3A47-BC44-F6EF724B5F6B}" name="Comments7" dataDxfId="3"/>
    <tableColumn id="13" xr3:uid="{7156F9BE-CDE6-2D4F-9FEE-782A1DCB35CF}" name="Indicators" dataDxfId="1"/>
    <tableColumn id="14" xr3:uid="{A6A91827-E718-E242-9825-B948ABC2E9E3}" name="Compliant Y/N8" dataDxfId="2"/>
    <tableColumn id="15" xr3:uid="{88A183E3-D584-C14F-845D-C4C4781B6FE2}" name="Comments9" dataDxfId="9"/>
    <tableColumn id="16" xr3:uid="{CBF6D601-1005-BD48-A802-13BD0F9B5ADD}" name="Activities in Budget Narrative" dataDxfId="0"/>
    <tableColumn id="17" xr3:uid="{D661355C-CC65-0A4B-AF64-E6A3030593B0}" name="Compliant Y/N10" dataDxfId="8"/>
    <tableColumn id="18" xr3:uid="{A8DF19C8-7442-2D46-BBCA-D02372D4BD24}" name="Comments11" dataDxfId="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w:/s/Programs/ERE_2bqLMvhClyi4W6It7lABX3qZWqdrFA8WNPAoSoZqVQ?e=fNWmmG" TargetMode="External"/><Relationship Id="rId7" Type="http://schemas.openxmlformats.org/officeDocument/2006/relationships/printerSettings" Target="../printerSettings/printerSettings2.bin"/><Relationship Id="rId2" Type="http://schemas.openxmlformats.org/officeDocument/2006/relationships/hyperlink" Target="../../../../../../:w:/s/Programs/EbtmE6dMOjdOmhk1msEmF4cBm7jmtfWGukW-TyHlzy9kzA?e=XtIhn0" TargetMode="External"/><Relationship Id="rId1" Type="http://schemas.openxmlformats.org/officeDocument/2006/relationships/hyperlink" Target="../../../../../../:b:/s/Programs/EciKYOj2XrhLvT_h96oC6xYBNcph-EDrsXukAzdUwG4Dig?e=Z9v6iF" TargetMode="External"/><Relationship Id="rId6" Type="http://schemas.openxmlformats.org/officeDocument/2006/relationships/hyperlink" Target="../../../../../../:u:/s/Programs/ERCVCBYvoHpCgU6WXP-UnXQBEc9EsKxfy3cazldG9BFIFA?e=P3Vzkw" TargetMode="External"/><Relationship Id="rId5" Type="http://schemas.openxmlformats.org/officeDocument/2006/relationships/hyperlink" Target="../../../../../../:u:/s/Programs/Ed7kVniz9stFokpTHlU6ilMB2ep0nJRKRo9uXgplzX5WrA?e=sulLTh" TargetMode="External"/><Relationship Id="rId4" Type="http://schemas.openxmlformats.org/officeDocument/2006/relationships/hyperlink" Target="../../../../../../:f:/s/Programs/EsdZyZ7S8H5Aqg1XXJy7LYABbVsbzTMx_q3imDBav-W3Eg?e=YYgb9t"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B9CF7-1E39-4721-80D6-FA01C6E78F24}">
  <dimension ref="A1:D21"/>
  <sheetViews>
    <sheetView workbookViewId="0">
      <selection activeCell="F29" sqref="F29"/>
    </sheetView>
  </sheetViews>
  <sheetFormatPr baseColWidth="10" defaultColWidth="8.83203125" defaultRowHeight="15" x14ac:dyDescent="0.2"/>
  <sheetData>
    <row r="1" spans="1:4" x14ac:dyDescent="0.2">
      <c r="A1" s="57" t="s">
        <v>0</v>
      </c>
    </row>
    <row r="2" spans="1:4" x14ac:dyDescent="0.2">
      <c r="A2" s="2" t="s">
        <v>1</v>
      </c>
    </row>
    <row r="3" spans="1:4" x14ac:dyDescent="0.2">
      <c r="A3" s="2" t="s">
        <v>2</v>
      </c>
    </row>
    <row r="4" spans="1:4" x14ac:dyDescent="0.2">
      <c r="A4" s="2" t="s">
        <v>3</v>
      </c>
    </row>
    <row r="5" spans="1:4" x14ac:dyDescent="0.2">
      <c r="A5" s="2" t="s">
        <v>4</v>
      </c>
    </row>
    <row r="6" spans="1:4" x14ac:dyDescent="0.2">
      <c r="A6" s="2" t="s">
        <v>5</v>
      </c>
    </row>
    <row r="7" spans="1:4" x14ac:dyDescent="0.2">
      <c r="A7" s="2"/>
    </row>
    <row r="8" spans="1:4" x14ac:dyDescent="0.2">
      <c r="A8" s="57" t="s">
        <v>6</v>
      </c>
    </row>
    <row r="9" spans="1:4" x14ac:dyDescent="0.2">
      <c r="A9" s="1" t="s">
        <v>7</v>
      </c>
    </row>
    <row r="10" spans="1:4" x14ac:dyDescent="0.2">
      <c r="A10" s="1"/>
      <c r="B10" s="1"/>
      <c r="C10" s="1"/>
      <c r="D10" s="1"/>
    </row>
    <row r="11" spans="1:4" x14ac:dyDescent="0.2">
      <c r="A11" s="57" t="s">
        <v>8</v>
      </c>
      <c r="B11" s="1"/>
      <c r="C11" s="1"/>
      <c r="D11" s="1"/>
    </row>
    <row r="12" spans="1:4" x14ac:dyDescent="0.2">
      <c r="A12" s="1" t="s">
        <v>9</v>
      </c>
      <c r="B12" s="1"/>
      <c r="C12" s="1"/>
      <c r="D12" s="1"/>
    </row>
    <row r="13" spans="1:4" x14ac:dyDescent="0.2">
      <c r="A13" s="1" t="s">
        <v>10</v>
      </c>
      <c r="B13" s="1"/>
      <c r="C13" s="1"/>
      <c r="D13" s="1"/>
    </row>
    <row r="14" spans="1:4" x14ac:dyDescent="0.2">
      <c r="A14" s="1"/>
      <c r="B14" s="1"/>
      <c r="C14" s="1"/>
      <c r="D14" s="1"/>
    </row>
    <row r="15" spans="1:4" x14ac:dyDescent="0.2">
      <c r="A15" s="1"/>
      <c r="B15" s="1"/>
      <c r="C15" s="1"/>
      <c r="D15" s="1"/>
    </row>
    <row r="16" spans="1:4" x14ac:dyDescent="0.2">
      <c r="A16" s="1"/>
      <c r="B16" s="1"/>
      <c r="C16" s="1"/>
      <c r="D16" s="1"/>
    </row>
    <row r="17" spans="1:4" x14ac:dyDescent="0.2">
      <c r="A17" s="1"/>
      <c r="B17" s="1"/>
      <c r="C17" s="1"/>
      <c r="D17" s="1"/>
    </row>
    <row r="18" spans="1:4" x14ac:dyDescent="0.2">
      <c r="A18" s="1"/>
      <c r="B18" s="1"/>
      <c r="C18" s="1"/>
      <c r="D18" s="1"/>
    </row>
    <row r="19" spans="1:4" x14ac:dyDescent="0.2">
      <c r="A19" s="1"/>
      <c r="B19" s="1"/>
      <c r="C19" s="1"/>
      <c r="D19" s="1"/>
    </row>
    <row r="20" spans="1:4" x14ac:dyDescent="0.2">
      <c r="A20" s="1"/>
      <c r="B20" s="1"/>
      <c r="C20" s="1"/>
      <c r="D20" s="1"/>
    </row>
    <row r="21" spans="1:4" x14ac:dyDescent="0.2">
      <c r="A21" s="1"/>
      <c r="B21" s="1"/>
      <c r="C21" s="1"/>
      <c r="D21"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796C-18E5-458B-9F9E-AA0721C2CED4}">
  <sheetPr>
    <tabColor theme="8" tint="0.59999389629810485"/>
  </sheetPr>
  <dimension ref="A1:H48"/>
  <sheetViews>
    <sheetView showGridLines="0" tabSelected="1" zoomScaleNormal="100" workbookViewId="0">
      <pane ySplit="12" topLeftCell="A13" activePane="bottomLeft" state="frozen"/>
      <selection pane="bottomLeft" activeCell="B37" sqref="B37"/>
    </sheetView>
  </sheetViews>
  <sheetFormatPr baseColWidth="10" defaultColWidth="8.83203125" defaultRowHeight="15" x14ac:dyDescent="0.2"/>
  <cols>
    <col min="1" max="1" width="62.1640625" customWidth="1"/>
    <col min="2" max="2" width="10.33203125" customWidth="1"/>
    <col min="3" max="3" width="25.1640625" bestFit="1" customWidth="1"/>
    <col min="4" max="4" width="17.5" bestFit="1" customWidth="1"/>
    <col min="5" max="5" width="21.5" customWidth="1"/>
    <col min="6" max="6" width="43.5" customWidth="1"/>
    <col min="7" max="7" width="93" style="36" bestFit="1" customWidth="1"/>
    <col min="8" max="8" width="58.5" style="36" customWidth="1"/>
  </cols>
  <sheetData>
    <row r="1" spans="1:8" ht="30" customHeight="1" x14ac:dyDescent="0.2">
      <c r="A1" s="72" t="s">
        <v>11</v>
      </c>
      <c r="B1" s="73"/>
      <c r="C1" s="73"/>
      <c r="D1" s="73"/>
      <c r="E1" s="73"/>
      <c r="F1" s="73"/>
      <c r="G1" s="73"/>
      <c r="H1" s="74"/>
    </row>
    <row r="2" spans="1:8" s="6" customFormat="1" ht="19" x14ac:dyDescent="0.25">
      <c r="A2" s="3" t="s">
        <v>12</v>
      </c>
      <c r="B2" s="70" t="s">
        <v>89</v>
      </c>
      <c r="C2" s="70"/>
      <c r="D2" s="70"/>
      <c r="E2" s="71"/>
      <c r="F2" s="4" t="s">
        <v>13</v>
      </c>
      <c r="G2" s="79">
        <v>1382500</v>
      </c>
      <c r="H2" s="65" t="s">
        <v>14</v>
      </c>
    </row>
    <row r="3" spans="1:8" ht="18" x14ac:dyDescent="0.2">
      <c r="A3" s="3" t="s">
        <v>15</v>
      </c>
      <c r="B3" s="70" t="s">
        <v>90</v>
      </c>
      <c r="C3" s="70"/>
      <c r="D3" s="70"/>
      <c r="E3" s="71"/>
      <c r="F3" s="4" t="s">
        <v>16</v>
      </c>
      <c r="G3" s="80"/>
      <c r="H3" s="66"/>
    </row>
    <row r="4" spans="1:8" ht="18" x14ac:dyDescent="0.2">
      <c r="A4" s="3" t="s">
        <v>17</v>
      </c>
      <c r="B4" s="70" t="s">
        <v>91</v>
      </c>
      <c r="C4" s="70"/>
      <c r="D4" s="70"/>
      <c r="E4" s="71"/>
      <c r="F4" s="4" t="s">
        <v>18</v>
      </c>
      <c r="G4" s="79">
        <v>901024</v>
      </c>
      <c r="H4" s="66"/>
    </row>
    <row r="5" spans="1:8" ht="18" x14ac:dyDescent="0.2">
      <c r="A5" s="3" t="s">
        <v>19</v>
      </c>
      <c r="B5" s="70" t="s">
        <v>92</v>
      </c>
      <c r="C5" s="70"/>
      <c r="D5" s="70"/>
      <c r="E5" s="71"/>
      <c r="F5" s="4" t="s">
        <v>20</v>
      </c>
      <c r="G5" s="79"/>
      <c r="H5" s="66"/>
    </row>
    <row r="6" spans="1:8" ht="18" x14ac:dyDescent="0.2">
      <c r="A6" s="3" t="s">
        <v>21</v>
      </c>
      <c r="B6" s="70">
        <v>19.777000000000001</v>
      </c>
      <c r="C6" s="70"/>
      <c r="D6" s="70"/>
      <c r="E6" s="71"/>
      <c r="F6" s="4" t="s">
        <v>22</v>
      </c>
      <c r="G6" s="80"/>
      <c r="H6" s="66"/>
    </row>
    <row r="7" spans="1:8" ht="18" x14ac:dyDescent="0.2">
      <c r="A7" s="3" t="s">
        <v>23</v>
      </c>
      <c r="B7" s="78">
        <v>45029</v>
      </c>
      <c r="C7" s="70"/>
      <c r="D7" s="70"/>
      <c r="E7" s="71"/>
      <c r="F7" s="4" t="s">
        <v>24</v>
      </c>
      <c r="G7" s="80" t="s">
        <v>96</v>
      </c>
      <c r="H7" s="66"/>
    </row>
    <row r="8" spans="1:8" ht="18" x14ac:dyDescent="0.2">
      <c r="A8" s="3" t="s">
        <v>25</v>
      </c>
      <c r="B8" s="78">
        <v>45961</v>
      </c>
      <c r="C8" s="70"/>
      <c r="D8" s="70"/>
      <c r="E8" s="71"/>
      <c r="F8" s="4" t="s">
        <v>26</v>
      </c>
      <c r="G8" s="81">
        <v>0.2828</v>
      </c>
      <c r="H8" s="66"/>
    </row>
    <row r="9" spans="1:8" ht="18" x14ac:dyDescent="0.2">
      <c r="A9" s="3" t="s">
        <v>27</v>
      </c>
      <c r="B9" s="70" t="s">
        <v>93</v>
      </c>
      <c r="C9" s="70"/>
      <c r="D9" s="70"/>
      <c r="E9" s="71"/>
      <c r="F9" s="4" t="s">
        <v>28</v>
      </c>
      <c r="G9" s="80" t="s">
        <v>97</v>
      </c>
      <c r="H9" s="66"/>
    </row>
    <row r="10" spans="1:8" ht="18" x14ac:dyDescent="0.2">
      <c r="A10" s="3" t="s">
        <v>29</v>
      </c>
      <c r="B10" s="70" t="s">
        <v>95</v>
      </c>
      <c r="C10" s="70"/>
      <c r="D10" s="70"/>
      <c r="E10" s="71"/>
      <c r="F10" s="4" t="s">
        <v>30</v>
      </c>
      <c r="G10" s="80" t="s">
        <v>118</v>
      </c>
      <c r="H10" s="66"/>
    </row>
    <row r="11" spans="1:8" ht="18" x14ac:dyDescent="0.2">
      <c r="A11" s="3" t="s">
        <v>31</v>
      </c>
      <c r="B11" s="70" t="s">
        <v>94</v>
      </c>
      <c r="C11" s="70"/>
      <c r="D11" s="70"/>
      <c r="E11" s="71"/>
      <c r="F11" s="4"/>
      <c r="G11" s="71"/>
      <c r="H11" s="75"/>
    </row>
    <row r="12" spans="1:8" s="6" customFormat="1" ht="30" customHeight="1" x14ac:dyDescent="0.25">
      <c r="A12" s="7" t="s">
        <v>32</v>
      </c>
      <c r="B12" s="7" t="s">
        <v>33</v>
      </c>
      <c r="C12" s="7" t="s">
        <v>34</v>
      </c>
      <c r="D12" s="7" t="s">
        <v>35</v>
      </c>
      <c r="E12" s="7" t="s">
        <v>36</v>
      </c>
      <c r="F12" s="7" t="s">
        <v>37</v>
      </c>
      <c r="G12" s="8" t="s">
        <v>38</v>
      </c>
      <c r="H12" s="8" t="s">
        <v>39</v>
      </c>
    </row>
    <row r="13" spans="1:8" s="12" customFormat="1" ht="20" customHeight="1" x14ac:dyDescent="0.25">
      <c r="A13" s="9" t="s">
        <v>40</v>
      </c>
      <c r="B13" s="10"/>
      <c r="C13" s="10"/>
      <c r="D13" s="10"/>
      <c r="E13" s="10"/>
      <c r="F13" s="10"/>
      <c r="G13" s="11"/>
      <c r="H13" s="11"/>
    </row>
    <row r="14" spans="1:8" ht="20" customHeight="1" x14ac:dyDescent="0.2">
      <c r="A14" s="13" t="s">
        <v>41</v>
      </c>
      <c r="B14" s="14" t="s">
        <v>42</v>
      </c>
      <c r="C14" s="15" t="s">
        <v>98</v>
      </c>
      <c r="D14" s="82">
        <v>45029</v>
      </c>
      <c r="E14" s="82">
        <v>45030</v>
      </c>
      <c r="F14" s="15" t="s">
        <v>112</v>
      </c>
      <c r="G14" s="84" t="s">
        <v>113</v>
      </c>
      <c r="H14" s="85" t="s">
        <v>114</v>
      </c>
    </row>
    <row r="15" spans="1:8" ht="20" customHeight="1" x14ac:dyDescent="0.2">
      <c r="A15" s="13" t="s">
        <v>45</v>
      </c>
      <c r="B15" s="14" t="s">
        <v>42</v>
      </c>
      <c r="C15" s="15" t="s">
        <v>43</v>
      </c>
      <c r="D15" s="82" t="s">
        <v>44</v>
      </c>
      <c r="E15" s="82" t="s">
        <v>44</v>
      </c>
      <c r="F15" s="15"/>
      <c r="G15" s="17"/>
      <c r="H15" s="17"/>
    </row>
    <row r="16" spans="1:8" ht="20" customHeight="1" x14ac:dyDescent="0.2">
      <c r="A16" s="13" t="s">
        <v>46</v>
      </c>
      <c r="B16" s="14" t="s">
        <v>42</v>
      </c>
      <c r="C16" s="15" t="s">
        <v>43</v>
      </c>
      <c r="D16" s="82" t="s">
        <v>44</v>
      </c>
      <c r="E16" s="82" t="s">
        <v>44</v>
      </c>
      <c r="F16" s="15"/>
      <c r="G16" s="17"/>
      <c r="H16" s="17"/>
    </row>
    <row r="17" spans="1:8" ht="20" customHeight="1" x14ac:dyDescent="0.2">
      <c r="A17" s="13" t="s">
        <v>47</v>
      </c>
      <c r="B17" s="14" t="s">
        <v>42</v>
      </c>
      <c r="C17" s="15" t="s">
        <v>43</v>
      </c>
      <c r="D17" s="82" t="s">
        <v>44</v>
      </c>
      <c r="E17" s="82" t="s">
        <v>44</v>
      </c>
      <c r="F17" s="15"/>
      <c r="G17" s="17"/>
      <c r="H17" s="17"/>
    </row>
    <row r="18" spans="1:8" ht="20" customHeight="1" x14ac:dyDescent="0.2">
      <c r="A18" s="13" t="s">
        <v>48</v>
      </c>
      <c r="B18" s="14" t="s">
        <v>42</v>
      </c>
      <c r="C18" s="15" t="s">
        <v>43</v>
      </c>
      <c r="D18" s="82" t="s">
        <v>44</v>
      </c>
      <c r="E18" s="82" t="s">
        <v>44</v>
      </c>
      <c r="F18" s="15"/>
      <c r="G18" s="17"/>
      <c r="H18" s="17"/>
    </row>
    <row r="19" spans="1:8" s="6" customFormat="1" ht="20" customHeight="1" x14ac:dyDescent="0.25">
      <c r="A19" s="18" t="s">
        <v>100</v>
      </c>
      <c r="B19" s="19"/>
      <c r="C19" s="19"/>
      <c r="D19" s="19"/>
      <c r="E19" s="19"/>
      <c r="F19" s="19"/>
      <c r="G19" s="20"/>
      <c r="H19" s="20"/>
    </row>
    <row r="20" spans="1:8" ht="20" customHeight="1" x14ac:dyDescent="0.2">
      <c r="A20" s="21" t="s">
        <v>101</v>
      </c>
      <c r="B20" s="22" t="s">
        <v>99</v>
      </c>
      <c r="C20" s="15" t="str">
        <f>C14</f>
        <v>2023-2025</v>
      </c>
      <c r="D20" s="82">
        <f>D14</f>
        <v>45029</v>
      </c>
      <c r="E20" s="82">
        <f>E14</f>
        <v>45030</v>
      </c>
      <c r="F20" s="88" t="s">
        <v>119</v>
      </c>
      <c r="G20" s="86" t="s">
        <v>120</v>
      </c>
      <c r="H20" s="87" t="s">
        <v>121</v>
      </c>
    </row>
    <row r="21" spans="1:8" ht="20" customHeight="1" x14ac:dyDescent="0.2">
      <c r="A21" s="21" t="s">
        <v>102</v>
      </c>
      <c r="B21" s="22" t="s">
        <v>56</v>
      </c>
      <c r="C21" s="15" t="s">
        <v>43</v>
      </c>
      <c r="D21" s="16" t="s">
        <v>44</v>
      </c>
      <c r="E21" s="16" t="s">
        <v>44</v>
      </c>
      <c r="F21" s="88"/>
      <c r="G21" s="86"/>
      <c r="H21" s="87"/>
    </row>
    <row r="22" spans="1:8" ht="20" customHeight="1" x14ac:dyDescent="0.2">
      <c r="A22" s="21" t="s">
        <v>103</v>
      </c>
      <c r="B22" s="22" t="s">
        <v>56</v>
      </c>
      <c r="C22" s="15" t="s">
        <v>43</v>
      </c>
      <c r="D22" s="16" t="s">
        <v>44</v>
      </c>
      <c r="E22" s="16" t="s">
        <v>44</v>
      </c>
      <c r="F22" s="24"/>
      <c r="G22" s="23"/>
      <c r="H22" s="87"/>
    </row>
    <row r="23" spans="1:8" ht="20" customHeight="1" x14ac:dyDescent="0.2">
      <c r="A23" s="21" t="s">
        <v>104</v>
      </c>
      <c r="B23" s="22" t="s">
        <v>56</v>
      </c>
      <c r="C23" s="15" t="s">
        <v>43</v>
      </c>
      <c r="D23" s="16" t="s">
        <v>44</v>
      </c>
      <c r="E23" s="16" t="s">
        <v>44</v>
      </c>
      <c r="F23" s="24"/>
      <c r="G23" s="26"/>
      <c r="H23" s="89"/>
    </row>
    <row r="24" spans="1:8" ht="20" customHeight="1" x14ac:dyDescent="0.2">
      <c r="A24" s="27" t="s">
        <v>105</v>
      </c>
      <c r="B24" s="22" t="s">
        <v>56</v>
      </c>
      <c r="C24" s="15" t="s">
        <v>43</v>
      </c>
      <c r="D24" s="16" t="s">
        <v>44</v>
      </c>
      <c r="E24" s="16" t="s">
        <v>44</v>
      </c>
      <c r="F24" s="15"/>
      <c r="G24" s="17"/>
      <c r="H24" s="90"/>
    </row>
    <row r="25" spans="1:8" s="6" customFormat="1" ht="20" customHeight="1" x14ac:dyDescent="0.25">
      <c r="A25" s="18" t="s">
        <v>106</v>
      </c>
      <c r="B25" s="19"/>
      <c r="C25" s="19"/>
      <c r="D25" s="19"/>
      <c r="E25" s="19"/>
      <c r="F25" s="19"/>
      <c r="G25" s="20"/>
      <c r="H25" s="20"/>
    </row>
    <row r="26" spans="1:8" ht="20" customHeight="1" x14ac:dyDescent="0.2">
      <c r="A26" s="28" t="s">
        <v>110</v>
      </c>
      <c r="B26" s="22" t="str">
        <f>B20</f>
        <v>FY23</v>
      </c>
      <c r="C26" s="15" t="str">
        <f>C14</f>
        <v>2023-2025</v>
      </c>
      <c r="D26" s="82">
        <f>D14</f>
        <v>45029</v>
      </c>
      <c r="E26" s="82">
        <f>E14</f>
        <v>45030</v>
      </c>
      <c r="F26" s="24" t="s">
        <v>115</v>
      </c>
      <c r="G26" s="86" t="s">
        <v>116</v>
      </c>
      <c r="H26" s="87" t="s">
        <v>117</v>
      </c>
    </row>
    <row r="27" spans="1:8" ht="20" customHeight="1" x14ac:dyDescent="0.2">
      <c r="A27" s="28" t="s">
        <v>107</v>
      </c>
      <c r="B27" s="22" t="s">
        <v>56</v>
      </c>
      <c r="C27" s="15" t="s">
        <v>43</v>
      </c>
      <c r="D27" s="82" t="s">
        <v>44</v>
      </c>
      <c r="E27" s="82" t="s">
        <v>44</v>
      </c>
      <c r="F27" s="24"/>
      <c r="G27" s="29"/>
      <c r="H27" s="29"/>
    </row>
    <row r="28" spans="1:8" ht="20" customHeight="1" x14ac:dyDescent="0.2">
      <c r="A28" s="28" t="s">
        <v>108</v>
      </c>
      <c r="B28" s="22" t="s">
        <v>56</v>
      </c>
      <c r="C28" s="15" t="s">
        <v>43</v>
      </c>
      <c r="D28" s="82" t="s">
        <v>44</v>
      </c>
      <c r="E28" s="82" t="s">
        <v>44</v>
      </c>
      <c r="F28" s="24"/>
      <c r="G28" s="23"/>
      <c r="H28" s="23"/>
    </row>
    <row r="29" spans="1:8" ht="20" customHeight="1" x14ac:dyDescent="0.2">
      <c r="A29" s="28" t="s">
        <v>109</v>
      </c>
      <c r="B29" s="22" t="s">
        <v>56</v>
      </c>
      <c r="C29" s="15" t="s">
        <v>43</v>
      </c>
      <c r="D29" s="82" t="s">
        <v>44</v>
      </c>
      <c r="E29" s="82" t="s">
        <v>44</v>
      </c>
      <c r="F29" s="24"/>
      <c r="G29" s="25"/>
      <c r="H29" s="25"/>
    </row>
    <row r="30" spans="1:8" s="6" customFormat="1" ht="20" customHeight="1" x14ac:dyDescent="0.25">
      <c r="A30" s="58" t="s">
        <v>57</v>
      </c>
      <c r="B30" s="59"/>
      <c r="C30" s="59"/>
      <c r="D30" s="59"/>
      <c r="E30" s="59"/>
      <c r="F30" s="59"/>
      <c r="G30" s="60"/>
      <c r="H30" s="60"/>
    </row>
    <row r="31" spans="1:8" ht="20" customHeight="1" x14ac:dyDescent="0.2">
      <c r="A31" s="67" t="s">
        <v>111</v>
      </c>
      <c r="B31" s="61" t="str">
        <f>B20</f>
        <v>FY23</v>
      </c>
      <c r="C31" s="62" t="str">
        <f>C14</f>
        <v>2023-2025</v>
      </c>
      <c r="D31" s="83">
        <f>D14</f>
        <v>45029</v>
      </c>
      <c r="E31" s="83">
        <f>E14</f>
        <v>45030</v>
      </c>
      <c r="F31" s="61"/>
      <c r="G31" s="64"/>
      <c r="H31" s="68"/>
    </row>
    <row r="32" spans="1:8" ht="20" customHeight="1" x14ac:dyDescent="0.2">
      <c r="A32" s="67" t="s">
        <v>58</v>
      </c>
      <c r="B32" s="61"/>
      <c r="C32" s="62"/>
      <c r="D32" s="83"/>
      <c r="E32" s="83"/>
      <c r="F32" s="61"/>
      <c r="G32" s="64"/>
      <c r="H32" s="68"/>
    </row>
    <row r="33" spans="1:8" ht="20" customHeight="1" x14ac:dyDescent="0.2">
      <c r="A33" s="67" t="s">
        <v>59</v>
      </c>
      <c r="B33" s="61"/>
      <c r="C33" s="62"/>
      <c r="D33" s="83"/>
      <c r="E33" s="83"/>
      <c r="F33" s="61"/>
      <c r="G33" s="64"/>
      <c r="H33" s="68"/>
    </row>
    <row r="34" spans="1:8" s="6" customFormat="1" ht="20" customHeight="1" x14ac:dyDescent="0.25">
      <c r="A34" s="58" t="s">
        <v>60</v>
      </c>
      <c r="B34" s="59"/>
      <c r="C34" s="59"/>
      <c r="D34" s="59" t="s">
        <v>61</v>
      </c>
      <c r="E34" s="59" t="s">
        <v>62</v>
      </c>
      <c r="F34" s="59"/>
      <c r="G34" s="60"/>
      <c r="H34" s="60"/>
    </row>
    <row r="35" spans="1:8" ht="20" customHeight="1" x14ac:dyDescent="0.2">
      <c r="A35" s="67" t="s">
        <v>123</v>
      </c>
      <c r="B35" s="61" t="s">
        <v>122</v>
      </c>
      <c r="C35" s="62" t="str">
        <f>C14</f>
        <v>2023-2025</v>
      </c>
      <c r="D35" s="83">
        <v>45113</v>
      </c>
      <c r="E35" s="83">
        <v>45153</v>
      </c>
      <c r="F35" s="61" t="s">
        <v>124</v>
      </c>
      <c r="G35" s="91" t="s">
        <v>125</v>
      </c>
      <c r="H35" s="92" t="s">
        <v>126</v>
      </c>
    </row>
    <row r="36" spans="1:8" ht="20" customHeight="1" x14ac:dyDescent="0.2">
      <c r="A36" s="67" t="s">
        <v>278</v>
      </c>
      <c r="B36" s="61" t="s">
        <v>122</v>
      </c>
      <c r="C36" s="62"/>
      <c r="D36" s="83">
        <v>45236</v>
      </c>
      <c r="E36" s="83">
        <v>45251</v>
      </c>
      <c r="F36" s="61" t="s">
        <v>279</v>
      </c>
      <c r="G36" s="91" t="s">
        <v>281</v>
      </c>
      <c r="H36" s="92" t="s">
        <v>280</v>
      </c>
    </row>
    <row r="37" spans="1:8" ht="20" customHeight="1" x14ac:dyDescent="0.2">
      <c r="A37" s="67" t="s">
        <v>282</v>
      </c>
      <c r="B37" s="61" t="s">
        <v>122</v>
      </c>
      <c r="C37" s="62" t="s">
        <v>98</v>
      </c>
      <c r="D37" s="83">
        <v>45155</v>
      </c>
      <c r="E37" s="83">
        <v>45260</v>
      </c>
      <c r="F37" s="61" t="s">
        <v>275</v>
      </c>
      <c r="G37" s="91" t="s">
        <v>276</v>
      </c>
      <c r="H37" s="92" t="s">
        <v>277</v>
      </c>
    </row>
    <row r="38" spans="1:8" ht="20" customHeight="1" x14ac:dyDescent="0.2">
      <c r="A38" s="67" t="s">
        <v>63</v>
      </c>
      <c r="B38" s="61" t="s">
        <v>56</v>
      </c>
      <c r="C38" s="62"/>
      <c r="D38" s="83" t="s">
        <v>44</v>
      </c>
      <c r="E38" s="83" t="s">
        <v>44</v>
      </c>
      <c r="F38" s="61"/>
      <c r="G38" s="64"/>
      <c r="H38" s="68"/>
    </row>
    <row r="39" spans="1:8" ht="20" customHeight="1" x14ac:dyDescent="0.2">
      <c r="A39" s="67" t="s">
        <v>63</v>
      </c>
      <c r="B39" s="61" t="s">
        <v>56</v>
      </c>
      <c r="C39" s="62"/>
      <c r="D39" s="83" t="s">
        <v>44</v>
      </c>
      <c r="E39" s="83" t="s">
        <v>44</v>
      </c>
      <c r="F39" s="61"/>
      <c r="G39" s="64"/>
      <c r="H39" s="68"/>
    </row>
    <row r="40" spans="1:8" ht="20" customHeight="1" x14ac:dyDescent="0.2">
      <c r="A40" s="67" t="s">
        <v>63</v>
      </c>
      <c r="B40" s="61" t="s">
        <v>56</v>
      </c>
      <c r="C40" s="62"/>
      <c r="D40" s="83" t="s">
        <v>44</v>
      </c>
      <c r="E40" s="83" t="s">
        <v>44</v>
      </c>
      <c r="F40" s="61"/>
      <c r="G40" s="64"/>
      <c r="H40" s="68"/>
    </row>
    <row r="41" spans="1:8" ht="20" customHeight="1" x14ac:dyDescent="0.2">
      <c r="A41" s="67" t="s">
        <v>63</v>
      </c>
      <c r="B41" s="61" t="s">
        <v>56</v>
      </c>
      <c r="C41" s="62"/>
      <c r="D41" s="83" t="s">
        <v>44</v>
      </c>
      <c r="E41" s="83" t="s">
        <v>44</v>
      </c>
      <c r="F41" s="61"/>
      <c r="G41" s="64"/>
      <c r="H41" s="68"/>
    </row>
    <row r="42" spans="1:8" ht="20" customHeight="1" x14ac:dyDescent="0.2">
      <c r="A42" s="67" t="s">
        <v>63</v>
      </c>
      <c r="B42" s="61" t="s">
        <v>56</v>
      </c>
      <c r="C42" s="62"/>
      <c r="D42" s="83" t="s">
        <v>44</v>
      </c>
      <c r="E42" s="83" t="s">
        <v>44</v>
      </c>
      <c r="F42" s="61"/>
      <c r="G42" s="64"/>
      <c r="H42" s="68"/>
    </row>
    <row r="43" spans="1:8" s="6" customFormat="1" ht="20" customHeight="1" x14ac:dyDescent="0.25">
      <c r="A43" s="18" t="s">
        <v>64</v>
      </c>
      <c r="B43" s="30"/>
      <c r="C43" s="30"/>
      <c r="D43" s="30" t="s">
        <v>65</v>
      </c>
      <c r="E43" s="30"/>
      <c r="F43" s="30" t="s">
        <v>66</v>
      </c>
      <c r="G43" s="30" t="s">
        <v>67</v>
      </c>
      <c r="H43" s="31"/>
    </row>
    <row r="44" spans="1:8" ht="20" customHeight="1" x14ac:dyDescent="0.2">
      <c r="A44" s="67" t="s">
        <v>68</v>
      </c>
      <c r="B44" s="61" t="s">
        <v>56</v>
      </c>
      <c r="C44" s="62"/>
      <c r="D44" s="63" t="s">
        <v>44</v>
      </c>
      <c r="E44" s="63"/>
      <c r="F44" s="61"/>
      <c r="G44" s="64"/>
      <c r="H44" s="68"/>
    </row>
    <row r="45" spans="1:8" ht="20" customHeight="1" x14ac:dyDescent="0.2">
      <c r="A45" s="67" t="s">
        <v>68</v>
      </c>
      <c r="B45" s="61" t="s">
        <v>56</v>
      </c>
      <c r="C45" s="62"/>
      <c r="D45" s="63" t="s">
        <v>44</v>
      </c>
      <c r="E45" s="63"/>
      <c r="F45" s="61"/>
      <c r="G45" s="64"/>
      <c r="H45" s="68"/>
    </row>
    <row r="46" spans="1:8" ht="20" customHeight="1" x14ac:dyDescent="0.2">
      <c r="A46" s="67" t="s">
        <v>68</v>
      </c>
      <c r="B46" s="61" t="s">
        <v>56</v>
      </c>
      <c r="C46" s="62"/>
      <c r="D46" s="63" t="s">
        <v>44</v>
      </c>
      <c r="E46" s="63"/>
      <c r="F46" s="61"/>
      <c r="G46" s="64"/>
      <c r="H46" s="68"/>
    </row>
    <row r="47" spans="1:8" ht="20" customHeight="1" x14ac:dyDescent="0.2">
      <c r="A47" s="67" t="s">
        <v>68</v>
      </c>
      <c r="B47" s="61" t="s">
        <v>56</v>
      </c>
      <c r="C47" s="62"/>
      <c r="D47" s="63" t="s">
        <v>44</v>
      </c>
      <c r="E47" s="63"/>
      <c r="F47" s="61"/>
      <c r="G47" s="64"/>
      <c r="H47" s="68"/>
    </row>
    <row r="48" spans="1:8" ht="20" customHeight="1" thickBot="1" x14ac:dyDescent="0.25">
      <c r="A48" s="69" t="s">
        <v>68</v>
      </c>
      <c r="B48" s="32" t="s">
        <v>56</v>
      </c>
      <c r="C48" s="33"/>
      <c r="D48" s="34" t="s">
        <v>44</v>
      </c>
      <c r="E48" s="34"/>
      <c r="F48" s="33"/>
      <c r="G48" s="35"/>
      <c r="H48" s="35"/>
    </row>
  </sheetData>
  <mergeCells count="12">
    <mergeCell ref="B11:E11"/>
    <mergeCell ref="A1:H1"/>
    <mergeCell ref="B7:E7"/>
    <mergeCell ref="B8:E8"/>
    <mergeCell ref="B9:E9"/>
    <mergeCell ref="B10:E10"/>
    <mergeCell ref="B6:E6"/>
    <mergeCell ref="B2:E2"/>
    <mergeCell ref="B3:E3"/>
    <mergeCell ref="B4:E4"/>
    <mergeCell ref="B5:E5"/>
    <mergeCell ref="G11:H11"/>
  </mergeCells>
  <phoneticPr fontId="22" type="noConversion"/>
  <hyperlinks>
    <hyperlink ref="G14" r:id="rId1" xr:uid="{DFCD8A36-7B5F-EE40-A41C-87CD0EB260F2}"/>
    <hyperlink ref="G26" r:id="rId2" xr:uid="{05CDF732-D714-1C43-99A9-86948DADC3F5}"/>
    <hyperlink ref="G20" r:id="rId3" xr:uid="{AED1745A-1932-B245-93AE-388A0C61E36D}"/>
    <hyperlink ref="G35" r:id="rId4" xr:uid="{A86100FC-DEE6-6041-AD0D-A03C76D291D4}"/>
    <hyperlink ref="G36" r:id="rId5" xr:uid="{7AE30CDB-4960-A04E-995C-6E1EAD30E723}"/>
    <hyperlink ref="G37" r:id="rId6" xr:uid="{2814A910-4337-514D-BF41-BAEE09832C74}"/>
  </hyperlinks>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0EBA-385F-45AE-8A28-1A7B43D5A22C}">
  <sheetPr>
    <tabColor theme="8" tint="-0.249977111117893"/>
  </sheetPr>
  <dimension ref="A1:S47"/>
  <sheetViews>
    <sheetView zoomScale="109" zoomScaleNormal="110" workbookViewId="0">
      <selection activeCell="C27" sqref="C27"/>
    </sheetView>
  </sheetViews>
  <sheetFormatPr baseColWidth="10" defaultColWidth="8.83203125" defaultRowHeight="15" x14ac:dyDescent="0.2"/>
  <cols>
    <col min="1" max="1" width="3.83203125" style="37" bestFit="1" customWidth="1"/>
    <col min="2" max="2" width="72.33203125" style="55" customWidth="1"/>
    <col min="3" max="3" width="16.1640625" style="56" customWidth="1"/>
    <col min="4" max="4" width="15.6640625" style="56" customWidth="1"/>
    <col min="5" max="5" width="65.5" style="55" customWidth="1"/>
    <col min="6" max="6" width="17.33203125" style="37" customWidth="1"/>
    <col min="7" max="7" width="15.6640625" style="37" customWidth="1"/>
    <col min="8" max="8" width="65.6640625" style="55" customWidth="1"/>
    <col min="9" max="9" width="17.33203125" style="56" customWidth="1"/>
    <col min="10" max="10" width="15.6640625" style="96" customWidth="1"/>
    <col min="11" max="11" width="65.6640625" style="97" customWidth="1"/>
    <col min="12" max="12" width="17.33203125" style="96" customWidth="1"/>
    <col min="13" max="13" width="13.6640625" style="96" customWidth="1"/>
    <col min="14" max="14" width="65.6640625" style="99" customWidth="1"/>
    <col min="15" max="15" width="17.33203125" style="99" customWidth="1"/>
    <col min="16" max="16" width="15.6640625" style="99" customWidth="1"/>
    <col min="17" max="17" width="65.6640625" style="126" customWidth="1"/>
    <col min="18" max="18" width="18.33203125" style="37" customWidth="1"/>
    <col min="19" max="19" width="15.6640625" style="37" customWidth="1"/>
  </cols>
  <sheetData>
    <row r="1" spans="1:19" ht="33" x14ac:dyDescent="0.2">
      <c r="A1" s="76" t="s">
        <v>69</v>
      </c>
      <c r="B1" s="77"/>
      <c r="C1" s="77"/>
      <c r="D1" s="77"/>
      <c r="E1" s="77"/>
      <c r="F1" s="77"/>
      <c r="G1" s="77"/>
      <c r="H1" s="77"/>
      <c r="I1" s="77"/>
      <c r="J1" s="77"/>
      <c r="K1" s="77"/>
      <c r="L1" s="77"/>
      <c r="M1" s="77"/>
      <c r="N1" s="77"/>
      <c r="O1" s="77"/>
      <c r="P1" s="77"/>
      <c r="Q1" s="77"/>
      <c r="R1" s="77"/>
      <c r="S1" s="77"/>
    </row>
    <row r="2" spans="1:19" s="119" customFormat="1" ht="17" x14ac:dyDescent="0.2">
      <c r="A2" s="46"/>
      <c r="B2" s="114" t="s">
        <v>70</v>
      </c>
      <c r="C2" s="115" t="s">
        <v>71</v>
      </c>
      <c r="D2" s="115" t="s">
        <v>72</v>
      </c>
      <c r="E2" s="116" t="s">
        <v>73</v>
      </c>
      <c r="F2" s="116" t="s">
        <v>176</v>
      </c>
      <c r="G2" s="116" t="s">
        <v>177</v>
      </c>
      <c r="H2" s="115" t="s">
        <v>88</v>
      </c>
      <c r="I2" s="115" t="s">
        <v>178</v>
      </c>
      <c r="J2" s="115" t="s">
        <v>179</v>
      </c>
      <c r="K2" s="122" t="s">
        <v>206</v>
      </c>
      <c r="L2" s="117" t="s">
        <v>180</v>
      </c>
      <c r="M2" s="117" t="s">
        <v>181</v>
      </c>
      <c r="N2" s="115" t="s">
        <v>74</v>
      </c>
      <c r="O2" s="115" t="s">
        <v>182</v>
      </c>
      <c r="P2" s="115" t="s">
        <v>183</v>
      </c>
      <c r="Q2" s="124" t="s">
        <v>75</v>
      </c>
      <c r="R2" s="116" t="s">
        <v>184</v>
      </c>
      <c r="S2" s="118" t="s">
        <v>185</v>
      </c>
    </row>
    <row r="3" spans="1:19" ht="102" x14ac:dyDescent="0.2">
      <c r="A3" s="40">
        <v>1</v>
      </c>
      <c r="B3" s="111" t="s">
        <v>127</v>
      </c>
      <c r="C3" s="38" t="s">
        <v>274</v>
      </c>
      <c r="D3" s="38"/>
      <c r="E3" s="42" t="s">
        <v>149</v>
      </c>
      <c r="F3" s="43"/>
      <c r="G3" s="43"/>
      <c r="H3" s="41" t="s">
        <v>161</v>
      </c>
      <c r="I3" s="44"/>
      <c r="J3" s="44"/>
      <c r="K3" s="95" t="s">
        <v>207</v>
      </c>
      <c r="L3" s="94"/>
      <c r="M3" s="94"/>
      <c r="N3" s="54" t="s">
        <v>220</v>
      </c>
      <c r="O3" s="98"/>
      <c r="P3" s="98"/>
      <c r="Q3" s="127" t="s">
        <v>266</v>
      </c>
      <c r="R3" s="47"/>
      <c r="S3" s="100"/>
    </row>
    <row r="4" spans="1:19" ht="119" x14ac:dyDescent="0.2">
      <c r="A4" s="40">
        <v>2</v>
      </c>
      <c r="B4" s="111" t="s">
        <v>128</v>
      </c>
      <c r="C4" s="38" t="s">
        <v>274</v>
      </c>
      <c r="D4" s="38"/>
      <c r="E4" s="48" t="s">
        <v>150</v>
      </c>
      <c r="F4" s="49"/>
      <c r="G4" s="49"/>
      <c r="H4" s="41" t="s">
        <v>162</v>
      </c>
      <c r="I4" s="44"/>
      <c r="J4" s="44"/>
      <c r="K4" s="123" t="s">
        <v>208</v>
      </c>
      <c r="L4" s="94"/>
      <c r="M4" s="94"/>
      <c r="N4" s="54" t="s">
        <v>221</v>
      </c>
      <c r="O4" s="98"/>
      <c r="P4" s="98"/>
      <c r="Q4" s="120" t="s">
        <v>265</v>
      </c>
      <c r="R4" s="47"/>
      <c r="S4" s="100"/>
    </row>
    <row r="5" spans="1:19" ht="102" x14ac:dyDescent="0.2">
      <c r="A5" s="40">
        <v>3</v>
      </c>
      <c r="B5" s="111" t="s">
        <v>129</v>
      </c>
      <c r="C5" s="41"/>
      <c r="D5" s="50"/>
      <c r="E5" s="93"/>
      <c r="F5" s="39"/>
      <c r="G5" s="39"/>
      <c r="H5" s="41" t="s">
        <v>151</v>
      </c>
      <c r="I5" s="44"/>
      <c r="J5" s="44"/>
      <c r="K5" s="95" t="s">
        <v>209</v>
      </c>
      <c r="L5" s="94"/>
      <c r="M5" s="94"/>
      <c r="N5" s="54" t="s">
        <v>222</v>
      </c>
      <c r="O5" s="98"/>
      <c r="P5" s="98"/>
      <c r="Q5" s="120" t="s">
        <v>267</v>
      </c>
      <c r="R5" s="47"/>
      <c r="S5" s="100"/>
    </row>
    <row r="6" spans="1:19" ht="221" x14ac:dyDescent="0.2">
      <c r="A6" s="40">
        <v>4</v>
      </c>
      <c r="B6" s="111" t="s">
        <v>130</v>
      </c>
      <c r="C6" s="50"/>
      <c r="D6" s="50"/>
      <c r="E6" s="48"/>
      <c r="F6" s="49"/>
      <c r="G6" s="49"/>
      <c r="H6" s="41" t="s">
        <v>163</v>
      </c>
      <c r="I6" s="44"/>
      <c r="J6" s="44"/>
      <c r="K6" s="95" t="s">
        <v>210</v>
      </c>
      <c r="L6" s="94"/>
      <c r="M6" s="94"/>
      <c r="N6" s="54" t="s">
        <v>223</v>
      </c>
      <c r="O6" s="98"/>
      <c r="P6" s="98"/>
      <c r="Q6" s="120" t="s">
        <v>269</v>
      </c>
      <c r="R6" s="47"/>
      <c r="S6" s="100"/>
    </row>
    <row r="7" spans="1:19" ht="170" x14ac:dyDescent="0.2">
      <c r="A7" s="40">
        <v>5</v>
      </c>
      <c r="B7" s="111" t="s">
        <v>131</v>
      </c>
      <c r="C7" s="50"/>
      <c r="D7" s="50"/>
      <c r="E7" s="48"/>
      <c r="F7" s="49"/>
      <c r="G7" s="49"/>
      <c r="H7" s="41" t="s">
        <v>164</v>
      </c>
      <c r="I7" s="44"/>
      <c r="J7" s="44"/>
      <c r="K7" s="95" t="s">
        <v>211</v>
      </c>
      <c r="L7" s="94"/>
      <c r="M7" s="94"/>
      <c r="N7" s="54" t="s">
        <v>224</v>
      </c>
      <c r="O7" s="98"/>
      <c r="P7" s="98"/>
      <c r="Q7" s="120" t="s">
        <v>268</v>
      </c>
      <c r="R7" s="47"/>
      <c r="S7" s="100"/>
    </row>
    <row r="8" spans="1:19" ht="170" x14ac:dyDescent="0.2">
      <c r="A8" s="40">
        <v>6</v>
      </c>
      <c r="B8" s="111" t="s">
        <v>132</v>
      </c>
      <c r="C8" s="50"/>
      <c r="D8" s="50"/>
      <c r="E8" s="48"/>
      <c r="F8" s="49"/>
      <c r="G8" s="49"/>
      <c r="H8" s="41" t="s">
        <v>152</v>
      </c>
      <c r="I8" s="44"/>
      <c r="J8" s="44"/>
      <c r="K8" s="95" t="s">
        <v>212</v>
      </c>
      <c r="L8" s="94"/>
      <c r="M8" s="94"/>
      <c r="N8" s="54" t="s">
        <v>225</v>
      </c>
      <c r="O8" s="98"/>
      <c r="P8" s="98"/>
      <c r="Q8" s="120" t="s">
        <v>270</v>
      </c>
      <c r="R8" s="47"/>
      <c r="S8" s="100"/>
    </row>
    <row r="9" spans="1:19" ht="119" x14ac:dyDescent="0.2">
      <c r="A9" s="40">
        <v>7</v>
      </c>
      <c r="B9" s="111" t="s">
        <v>133</v>
      </c>
      <c r="C9" s="50"/>
      <c r="D9" s="50"/>
      <c r="E9" s="48"/>
      <c r="F9" s="49"/>
      <c r="G9" s="49"/>
      <c r="H9" s="41" t="s">
        <v>165</v>
      </c>
      <c r="I9" s="44"/>
      <c r="J9" s="44"/>
      <c r="K9" s="95" t="s">
        <v>213</v>
      </c>
      <c r="L9" s="94"/>
      <c r="M9" s="94"/>
      <c r="N9" s="54" t="s">
        <v>226</v>
      </c>
      <c r="O9" s="98"/>
      <c r="P9" s="98"/>
      <c r="Q9" s="120" t="s">
        <v>271</v>
      </c>
      <c r="R9" s="47"/>
      <c r="S9" s="100"/>
    </row>
    <row r="10" spans="1:19" ht="153" x14ac:dyDescent="0.2">
      <c r="A10" s="40">
        <v>8</v>
      </c>
      <c r="B10" s="111" t="s">
        <v>134</v>
      </c>
      <c r="C10" s="50"/>
      <c r="D10" s="50"/>
      <c r="E10" s="48"/>
      <c r="F10" s="49"/>
      <c r="G10" s="49"/>
      <c r="H10" s="41" t="s">
        <v>153</v>
      </c>
      <c r="I10" s="44"/>
      <c r="J10" s="44"/>
      <c r="K10" s="95" t="s">
        <v>214</v>
      </c>
      <c r="L10" s="94"/>
      <c r="M10" s="94"/>
      <c r="N10" s="54" t="s">
        <v>227</v>
      </c>
      <c r="O10" s="98"/>
      <c r="P10" s="98"/>
      <c r="Q10" s="120" t="s">
        <v>272</v>
      </c>
      <c r="R10" s="47"/>
      <c r="S10" s="100"/>
    </row>
    <row r="11" spans="1:19" ht="119" x14ac:dyDescent="0.2">
      <c r="A11" s="40">
        <v>9</v>
      </c>
      <c r="B11" s="111" t="s">
        <v>135</v>
      </c>
      <c r="C11" s="50"/>
      <c r="D11" s="50"/>
      <c r="E11" s="48"/>
      <c r="F11" s="39"/>
      <c r="G11" s="39"/>
      <c r="H11" s="52" t="s">
        <v>154</v>
      </c>
      <c r="I11" s="44"/>
      <c r="J11" s="44"/>
      <c r="K11" s="95" t="s">
        <v>218</v>
      </c>
      <c r="L11" s="94"/>
      <c r="M11" s="94"/>
      <c r="N11" s="54" t="s">
        <v>228</v>
      </c>
      <c r="O11" s="98"/>
      <c r="P11" s="98"/>
      <c r="Q11" s="120" t="s">
        <v>273</v>
      </c>
      <c r="R11" s="47"/>
      <c r="S11" s="100"/>
    </row>
    <row r="12" spans="1:19" ht="119" x14ac:dyDescent="0.2">
      <c r="A12" s="40">
        <v>10</v>
      </c>
      <c r="B12" s="111" t="s">
        <v>136</v>
      </c>
      <c r="C12" s="50"/>
      <c r="D12" s="50"/>
      <c r="E12" s="45"/>
      <c r="F12" s="43"/>
      <c r="G12" s="43"/>
      <c r="H12" s="41" t="s">
        <v>155</v>
      </c>
      <c r="I12" s="44"/>
      <c r="J12" s="44"/>
      <c r="K12" s="95" t="s">
        <v>217</v>
      </c>
      <c r="L12" s="94"/>
      <c r="M12" s="94"/>
      <c r="N12" s="54" t="s">
        <v>229</v>
      </c>
      <c r="O12" s="54"/>
      <c r="P12" s="54"/>
      <c r="Q12" s="51"/>
      <c r="R12" s="51"/>
      <c r="S12" s="101"/>
    </row>
    <row r="13" spans="1:19" ht="85" x14ac:dyDescent="0.2">
      <c r="A13" s="40">
        <v>11</v>
      </c>
      <c r="B13" s="111" t="s">
        <v>137</v>
      </c>
      <c r="C13" s="50" t="s">
        <v>274</v>
      </c>
      <c r="D13" s="50"/>
      <c r="E13" s="45"/>
      <c r="F13" s="43"/>
      <c r="G13" s="43"/>
      <c r="H13" s="41" t="s">
        <v>156</v>
      </c>
      <c r="I13" s="44"/>
      <c r="J13" s="44"/>
      <c r="K13" s="95" t="s">
        <v>216</v>
      </c>
      <c r="L13" s="94"/>
      <c r="M13" s="94"/>
      <c r="N13" s="54" t="s">
        <v>230</v>
      </c>
      <c r="O13" s="54"/>
      <c r="P13" s="54"/>
      <c r="Q13" s="51"/>
      <c r="R13" s="51"/>
      <c r="S13" s="101"/>
    </row>
    <row r="14" spans="1:19" ht="85" x14ac:dyDescent="0.2">
      <c r="A14" s="40">
        <v>12</v>
      </c>
      <c r="B14" s="111" t="s">
        <v>138</v>
      </c>
      <c r="C14" s="50" t="s">
        <v>274</v>
      </c>
      <c r="D14" s="50"/>
      <c r="E14" s="45"/>
      <c r="F14" s="43"/>
      <c r="G14" s="43"/>
      <c r="H14" s="41" t="s">
        <v>157</v>
      </c>
      <c r="I14" s="44"/>
      <c r="J14" s="44"/>
      <c r="K14" s="95" t="s">
        <v>215</v>
      </c>
      <c r="L14" s="94"/>
      <c r="M14" s="94"/>
      <c r="N14" s="54" t="s">
        <v>231</v>
      </c>
      <c r="O14" s="54"/>
      <c r="P14" s="54"/>
      <c r="Q14" s="51"/>
      <c r="R14" s="51"/>
      <c r="S14" s="101"/>
    </row>
    <row r="15" spans="1:19" ht="68" x14ac:dyDescent="0.2">
      <c r="A15" s="40">
        <v>13</v>
      </c>
      <c r="B15" s="111" t="s">
        <v>139</v>
      </c>
      <c r="C15" s="50"/>
      <c r="D15" s="50"/>
      <c r="E15" s="45"/>
      <c r="F15" s="43"/>
      <c r="G15" s="43"/>
      <c r="H15" s="41" t="s">
        <v>158</v>
      </c>
      <c r="I15" s="44"/>
      <c r="J15" s="44"/>
      <c r="K15" s="95" t="s">
        <v>219</v>
      </c>
      <c r="L15" s="94"/>
      <c r="M15" s="94"/>
      <c r="N15" s="54" t="s">
        <v>232</v>
      </c>
      <c r="O15" s="54"/>
      <c r="P15" s="54"/>
      <c r="Q15" s="51"/>
      <c r="R15" s="51"/>
      <c r="S15" s="101"/>
    </row>
    <row r="16" spans="1:19" ht="85" x14ac:dyDescent="0.2">
      <c r="A16" s="40">
        <v>14</v>
      </c>
      <c r="B16" s="111" t="s">
        <v>140</v>
      </c>
      <c r="C16" s="50"/>
      <c r="D16" s="50"/>
      <c r="E16" s="45"/>
      <c r="F16" s="43"/>
      <c r="G16" s="43"/>
      <c r="H16" s="41" t="s">
        <v>159</v>
      </c>
      <c r="I16" s="44"/>
      <c r="J16" s="44"/>
      <c r="K16" s="95"/>
      <c r="L16" s="94"/>
      <c r="M16" s="94"/>
      <c r="N16" s="54" t="s">
        <v>233</v>
      </c>
      <c r="O16" s="54"/>
      <c r="P16" s="54"/>
      <c r="Q16" s="51"/>
      <c r="R16" s="51"/>
      <c r="S16" s="101"/>
    </row>
    <row r="17" spans="1:19" ht="102" x14ac:dyDescent="0.2">
      <c r="A17" s="40">
        <v>15</v>
      </c>
      <c r="B17" s="111" t="s">
        <v>141</v>
      </c>
      <c r="C17" s="50"/>
      <c r="D17" s="50"/>
      <c r="E17" s="45"/>
      <c r="F17" s="43"/>
      <c r="G17" s="43"/>
      <c r="H17" s="41" t="s">
        <v>160</v>
      </c>
      <c r="I17" s="44"/>
      <c r="J17" s="44"/>
      <c r="K17" s="95"/>
      <c r="L17" s="94"/>
      <c r="M17" s="94"/>
      <c r="N17" s="54" t="s">
        <v>234</v>
      </c>
      <c r="O17" s="54"/>
      <c r="P17" s="54"/>
      <c r="Q17" s="51"/>
      <c r="R17" s="51"/>
      <c r="S17" s="101"/>
    </row>
    <row r="18" spans="1:19" ht="80" customHeight="1" x14ac:dyDescent="0.2">
      <c r="A18" s="40">
        <v>16</v>
      </c>
      <c r="B18" s="111" t="s">
        <v>142</v>
      </c>
      <c r="C18" s="50"/>
      <c r="D18" s="50"/>
      <c r="E18" s="45"/>
      <c r="F18" s="43"/>
      <c r="G18" s="43"/>
      <c r="H18" s="41" t="s">
        <v>166</v>
      </c>
      <c r="I18" s="44"/>
      <c r="J18" s="44"/>
      <c r="K18" s="95"/>
      <c r="L18" s="94"/>
      <c r="M18" s="94"/>
      <c r="N18" s="54" t="s">
        <v>235</v>
      </c>
      <c r="O18" s="54"/>
      <c r="P18" s="54"/>
      <c r="Q18" s="51"/>
      <c r="R18" s="51"/>
      <c r="S18" s="101"/>
    </row>
    <row r="19" spans="1:19" ht="102" x14ac:dyDescent="0.2">
      <c r="A19" s="40">
        <v>17</v>
      </c>
      <c r="B19" s="111" t="s">
        <v>143</v>
      </c>
      <c r="C19" s="50"/>
      <c r="D19" s="50"/>
      <c r="E19" s="45"/>
      <c r="F19" s="43"/>
      <c r="G19" s="43"/>
      <c r="H19" s="41" t="s">
        <v>167</v>
      </c>
      <c r="I19" s="44"/>
      <c r="J19" s="44"/>
      <c r="K19" s="95"/>
      <c r="L19" s="94"/>
      <c r="M19" s="94"/>
      <c r="N19" s="54" t="s">
        <v>236</v>
      </c>
      <c r="O19" s="54"/>
      <c r="P19" s="54"/>
      <c r="Q19" s="51"/>
      <c r="R19" s="51"/>
      <c r="S19" s="101"/>
    </row>
    <row r="20" spans="1:19" ht="136" x14ac:dyDescent="0.2">
      <c r="A20" s="40">
        <v>18</v>
      </c>
      <c r="B20" s="111" t="s">
        <v>144</v>
      </c>
      <c r="C20" s="50"/>
      <c r="D20" s="50"/>
      <c r="E20" s="45"/>
      <c r="F20" s="43"/>
      <c r="G20" s="43"/>
      <c r="H20" s="41" t="s">
        <v>168</v>
      </c>
      <c r="I20" s="44"/>
      <c r="J20" s="44"/>
      <c r="K20" s="95"/>
      <c r="L20" s="94"/>
      <c r="M20" s="94"/>
      <c r="N20" s="54" t="s">
        <v>237</v>
      </c>
      <c r="O20" s="54"/>
      <c r="P20" s="54"/>
      <c r="Q20" s="51"/>
      <c r="R20" s="51"/>
      <c r="S20" s="101"/>
    </row>
    <row r="21" spans="1:19" ht="34" x14ac:dyDescent="0.2">
      <c r="A21" s="40">
        <v>19</v>
      </c>
      <c r="B21" s="111" t="s">
        <v>145</v>
      </c>
      <c r="C21" s="38"/>
      <c r="D21" s="38"/>
      <c r="E21" s="42"/>
      <c r="F21" s="39"/>
      <c r="G21" s="39"/>
      <c r="H21" s="53" t="s">
        <v>169</v>
      </c>
      <c r="I21" s="44"/>
      <c r="J21" s="44"/>
      <c r="K21" s="95"/>
      <c r="L21" s="95"/>
      <c r="M21" s="95"/>
      <c r="N21" s="54" t="s">
        <v>238</v>
      </c>
      <c r="O21" s="54"/>
      <c r="P21" s="54"/>
      <c r="Q21" s="51"/>
      <c r="R21" s="51"/>
      <c r="S21" s="101"/>
    </row>
    <row r="22" spans="1:19" ht="102" x14ac:dyDescent="0.2">
      <c r="A22" s="40">
        <v>20</v>
      </c>
      <c r="B22" s="111" t="s">
        <v>146</v>
      </c>
      <c r="C22" s="38"/>
      <c r="D22" s="38"/>
      <c r="E22" s="42"/>
      <c r="F22" s="39"/>
      <c r="G22" s="39"/>
      <c r="H22" s="53" t="s">
        <v>170</v>
      </c>
      <c r="I22" s="44"/>
      <c r="J22" s="44"/>
      <c r="K22" s="95"/>
      <c r="L22" s="95"/>
      <c r="M22" s="95"/>
      <c r="N22" s="54" t="s">
        <v>239</v>
      </c>
      <c r="O22" s="54"/>
      <c r="P22" s="54"/>
      <c r="Q22" s="51"/>
      <c r="R22" s="51"/>
      <c r="S22" s="101"/>
    </row>
    <row r="23" spans="1:19" ht="85" x14ac:dyDescent="0.2">
      <c r="A23" s="40">
        <v>21</v>
      </c>
      <c r="B23" s="112" t="s">
        <v>76</v>
      </c>
      <c r="C23" s="38"/>
      <c r="D23" s="38"/>
      <c r="E23" s="48"/>
      <c r="F23" s="39"/>
      <c r="G23" s="39"/>
      <c r="H23" s="53" t="s">
        <v>171</v>
      </c>
      <c r="I23" s="44"/>
      <c r="J23" s="44"/>
      <c r="K23" s="95"/>
      <c r="L23" s="95"/>
      <c r="M23" s="95"/>
      <c r="N23" s="54" t="s">
        <v>240</v>
      </c>
      <c r="O23" s="54"/>
      <c r="P23" s="54"/>
      <c r="Q23" s="51"/>
      <c r="R23" s="51"/>
      <c r="S23" s="101"/>
    </row>
    <row r="24" spans="1:19" ht="68" x14ac:dyDescent="0.2">
      <c r="A24" s="40">
        <v>22</v>
      </c>
      <c r="B24" s="112" t="s">
        <v>77</v>
      </c>
      <c r="C24" s="38"/>
      <c r="D24" s="38"/>
      <c r="E24" s="48"/>
      <c r="F24" s="49"/>
      <c r="G24" s="49"/>
      <c r="H24" s="53" t="s">
        <v>172</v>
      </c>
      <c r="I24" s="44"/>
      <c r="J24" s="44"/>
      <c r="K24" s="95"/>
      <c r="L24" s="95"/>
      <c r="M24" s="95"/>
      <c r="N24" s="54" t="s">
        <v>241</v>
      </c>
      <c r="O24" s="54"/>
      <c r="P24" s="54"/>
      <c r="Q24" s="51"/>
      <c r="R24" s="51"/>
      <c r="S24" s="101"/>
    </row>
    <row r="25" spans="1:19" ht="51" x14ac:dyDescent="0.2">
      <c r="A25" s="40">
        <v>23</v>
      </c>
      <c r="B25" s="112" t="s">
        <v>77</v>
      </c>
      <c r="C25" s="38"/>
      <c r="D25" s="38"/>
      <c r="E25" s="48"/>
      <c r="F25" s="39"/>
      <c r="G25" s="39"/>
      <c r="H25" s="53" t="s">
        <v>173</v>
      </c>
      <c r="I25" s="44"/>
      <c r="J25" s="44"/>
      <c r="K25" s="95"/>
      <c r="L25" s="95"/>
      <c r="M25" s="95"/>
      <c r="N25" s="54" t="s">
        <v>242</v>
      </c>
      <c r="O25" s="54"/>
      <c r="P25" s="54"/>
      <c r="Q25" s="51"/>
      <c r="R25" s="51"/>
      <c r="S25" s="101"/>
    </row>
    <row r="26" spans="1:19" ht="85" x14ac:dyDescent="0.2">
      <c r="A26" s="40">
        <v>24</v>
      </c>
      <c r="B26" s="111" t="s">
        <v>147</v>
      </c>
      <c r="C26" s="38" t="s">
        <v>274</v>
      </c>
      <c r="D26" s="38"/>
      <c r="E26" s="42"/>
      <c r="F26" s="39"/>
      <c r="G26" s="39"/>
      <c r="H26" s="53" t="s">
        <v>174</v>
      </c>
      <c r="I26" s="54"/>
      <c r="J26" s="54"/>
      <c r="K26" s="95"/>
      <c r="L26" s="95"/>
      <c r="M26" s="95"/>
      <c r="N26" s="54" t="s">
        <v>243</v>
      </c>
      <c r="O26" s="54"/>
      <c r="P26" s="54"/>
      <c r="Q26" s="51"/>
      <c r="R26" s="51"/>
      <c r="S26" s="101"/>
    </row>
    <row r="27" spans="1:19" ht="68" x14ac:dyDescent="0.2">
      <c r="A27" s="40">
        <v>25</v>
      </c>
      <c r="B27" s="113" t="s">
        <v>148</v>
      </c>
      <c r="C27" s="102" t="s">
        <v>274</v>
      </c>
      <c r="D27" s="102"/>
      <c r="E27" s="103"/>
      <c r="F27" s="104"/>
      <c r="G27" s="104"/>
      <c r="H27" s="105" t="s">
        <v>175</v>
      </c>
      <c r="I27" s="106"/>
      <c r="J27" s="106"/>
      <c r="K27" s="107"/>
      <c r="L27" s="107"/>
      <c r="M27" s="107"/>
      <c r="N27" s="106" t="s">
        <v>244</v>
      </c>
      <c r="O27" s="108"/>
      <c r="P27" s="108"/>
      <c r="Q27" s="125"/>
      <c r="R27" s="109"/>
      <c r="S27" s="110"/>
    </row>
    <row r="28" spans="1:19" ht="119" x14ac:dyDescent="0.2">
      <c r="B28" s="112"/>
      <c r="C28" s="38"/>
      <c r="D28" s="38"/>
      <c r="E28" s="48"/>
      <c r="F28" s="39"/>
      <c r="G28" s="39"/>
      <c r="H28" s="53" t="s">
        <v>186</v>
      </c>
      <c r="I28" s="44"/>
      <c r="J28" s="44"/>
      <c r="K28" s="95"/>
      <c r="L28" s="95"/>
      <c r="M28" s="95"/>
      <c r="N28" s="54" t="s">
        <v>245</v>
      </c>
      <c r="O28" s="54"/>
      <c r="P28" s="54"/>
      <c r="Q28" s="120"/>
      <c r="R28" s="120"/>
      <c r="S28" s="121"/>
    </row>
    <row r="29" spans="1:19" ht="34" x14ac:dyDescent="0.2">
      <c r="B29" s="112"/>
      <c r="C29" s="38"/>
      <c r="D29" s="38"/>
      <c r="E29" s="48"/>
      <c r="F29" s="39"/>
      <c r="G29" s="39"/>
      <c r="H29" s="53" t="s">
        <v>187</v>
      </c>
      <c r="I29" s="44"/>
      <c r="J29" s="44"/>
      <c r="K29" s="95"/>
      <c r="L29" s="95"/>
      <c r="M29" s="95"/>
      <c r="N29" s="54" t="s">
        <v>246</v>
      </c>
      <c r="O29" s="54"/>
      <c r="P29" s="54"/>
      <c r="Q29" s="120"/>
      <c r="R29" s="120"/>
      <c r="S29" s="121"/>
    </row>
    <row r="30" spans="1:19" ht="102" x14ac:dyDescent="0.2">
      <c r="B30" s="112"/>
      <c r="C30" s="38"/>
      <c r="D30" s="38"/>
      <c r="E30" s="48"/>
      <c r="F30" s="39"/>
      <c r="G30" s="39"/>
      <c r="H30" s="53" t="s">
        <v>188</v>
      </c>
      <c r="I30" s="44"/>
      <c r="J30" s="44"/>
      <c r="K30" s="95"/>
      <c r="L30" s="95"/>
      <c r="M30" s="95"/>
      <c r="N30" s="54" t="s">
        <v>247</v>
      </c>
      <c r="O30" s="54"/>
      <c r="P30" s="54"/>
      <c r="Q30" s="120"/>
      <c r="R30" s="120"/>
      <c r="S30" s="121"/>
    </row>
    <row r="31" spans="1:19" ht="85" x14ac:dyDescent="0.2">
      <c r="B31" s="112"/>
      <c r="C31" s="38"/>
      <c r="D31" s="38"/>
      <c r="E31" s="48"/>
      <c r="F31" s="39"/>
      <c r="G31" s="39"/>
      <c r="H31" s="53" t="s">
        <v>189</v>
      </c>
      <c r="I31" s="44"/>
      <c r="J31" s="44"/>
      <c r="K31" s="95"/>
      <c r="L31" s="95"/>
      <c r="M31" s="95"/>
      <c r="N31" s="54" t="s">
        <v>248</v>
      </c>
      <c r="O31" s="54"/>
      <c r="P31" s="54"/>
      <c r="Q31" s="120"/>
      <c r="R31" s="120"/>
      <c r="S31" s="121"/>
    </row>
    <row r="32" spans="1:19" ht="51" x14ac:dyDescent="0.2">
      <c r="B32" s="112"/>
      <c r="C32" s="38"/>
      <c r="D32" s="38"/>
      <c r="E32" s="48"/>
      <c r="F32" s="39"/>
      <c r="G32" s="39"/>
      <c r="H32" s="53" t="s">
        <v>190</v>
      </c>
      <c r="I32" s="44"/>
      <c r="J32" s="44"/>
      <c r="K32" s="95"/>
      <c r="L32" s="95"/>
      <c r="M32" s="95"/>
      <c r="N32" s="54" t="s">
        <v>249</v>
      </c>
      <c r="O32" s="54"/>
      <c r="P32" s="54"/>
      <c r="Q32" s="120"/>
      <c r="R32" s="120"/>
      <c r="S32" s="121"/>
    </row>
    <row r="33" spans="2:19" ht="34" x14ac:dyDescent="0.2">
      <c r="B33" s="112"/>
      <c r="C33" s="38"/>
      <c r="D33" s="38"/>
      <c r="E33" s="48"/>
      <c r="F33" s="39"/>
      <c r="G33" s="39"/>
      <c r="H33" s="53" t="s">
        <v>191</v>
      </c>
      <c r="I33" s="44"/>
      <c r="J33" s="44"/>
      <c r="K33" s="95"/>
      <c r="L33" s="95"/>
      <c r="M33" s="95"/>
      <c r="N33" s="54" t="s">
        <v>250</v>
      </c>
      <c r="O33" s="54"/>
      <c r="P33" s="54"/>
      <c r="Q33" s="120"/>
      <c r="R33" s="120"/>
      <c r="S33" s="121"/>
    </row>
    <row r="34" spans="2:19" ht="136" x14ac:dyDescent="0.2">
      <c r="B34" s="112"/>
      <c r="C34" s="38"/>
      <c r="D34" s="38"/>
      <c r="E34" s="48"/>
      <c r="F34" s="39"/>
      <c r="G34" s="39"/>
      <c r="H34" s="53" t="s">
        <v>192</v>
      </c>
      <c r="I34" s="44"/>
      <c r="J34" s="44"/>
      <c r="K34" s="95"/>
      <c r="L34" s="95"/>
      <c r="M34" s="95"/>
      <c r="N34" s="54" t="s">
        <v>251</v>
      </c>
      <c r="O34" s="54"/>
      <c r="P34" s="54"/>
      <c r="Q34" s="120"/>
      <c r="R34" s="120"/>
      <c r="S34" s="121"/>
    </row>
    <row r="35" spans="2:19" ht="85" x14ac:dyDescent="0.2">
      <c r="B35" s="112"/>
      <c r="C35" s="38"/>
      <c r="D35" s="38"/>
      <c r="E35" s="48"/>
      <c r="F35" s="39"/>
      <c r="G35" s="39"/>
      <c r="H35" s="53" t="s">
        <v>193</v>
      </c>
      <c r="I35" s="44"/>
      <c r="J35" s="44"/>
      <c r="K35" s="95"/>
      <c r="L35" s="95"/>
      <c r="M35" s="95"/>
      <c r="N35" s="54" t="s">
        <v>252</v>
      </c>
      <c r="O35" s="54"/>
      <c r="P35" s="54"/>
      <c r="Q35" s="120"/>
      <c r="R35" s="120"/>
      <c r="S35" s="121"/>
    </row>
    <row r="36" spans="2:19" ht="85" x14ac:dyDescent="0.2">
      <c r="B36" s="112"/>
      <c r="C36" s="38"/>
      <c r="D36" s="38"/>
      <c r="E36" s="48"/>
      <c r="F36" s="39"/>
      <c r="G36" s="39"/>
      <c r="H36" s="53" t="s">
        <v>194</v>
      </c>
      <c r="I36" s="44"/>
      <c r="J36" s="44"/>
      <c r="K36" s="95"/>
      <c r="L36" s="95"/>
      <c r="M36" s="95"/>
      <c r="N36" s="54" t="s">
        <v>253</v>
      </c>
      <c r="O36" s="54"/>
      <c r="P36" s="54"/>
      <c r="Q36" s="120"/>
      <c r="R36" s="120"/>
      <c r="S36" s="121"/>
    </row>
    <row r="37" spans="2:19" ht="34" x14ac:dyDescent="0.2">
      <c r="B37" s="112"/>
      <c r="C37" s="38"/>
      <c r="D37" s="38"/>
      <c r="E37" s="48"/>
      <c r="F37" s="39"/>
      <c r="G37" s="39"/>
      <c r="H37" s="53" t="s">
        <v>195</v>
      </c>
      <c r="I37" s="44"/>
      <c r="J37" s="44"/>
      <c r="K37" s="95"/>
      <c r="L37" s="95"/>
      <c r="M37" s="95"/>
      <c r="N37" s="54" t="s">
        <v>254</v>
      </c>
      <c r="O37" s="54"/>
      <c r="P37" s="54"/>
      <c r="Q37" s="120"/>
      <c r="R37" s="120"/>
      <c r="S37" s="121"/>
    </row>
    <row r="38" spans="2:19" ht="68" x14ac:dyDescent="0.2">
      <c r="B38" s="112"/>
      <c r="C38" s="38"/>
      <c r="D38" s="38"/>
      <c r="E38" s="48"/>
      <c r="F38" s="39"/>
      <c r="G38" s="39"/>
      <c r="H38" s="53" t="s">
        <v>196</v>
      </c>
      <c r="I38" s="44"/>
      <c r="J38" s="44"/>
      <c r="K38" s="95"/>
      <c r="L38" s="95"/>
      <c r="M38" s="95"/>
      <c r="N38" s="54" t="s">
        <v>255</v>
      </c>
      <c r="O38" s="54"/>
      <c r="P38" s="54"/>
      <c r="Q38" s="120"/>
      <c r="R38" s="120"/>
      <c r="S38" s="121"/>
    </row>
    <row r="39" spans="2:19" ht="85" x14ac:dyDescent="0.2">
      <c r="B39" s="112"/>
      <c r="C39" s="38"/>
      <c r="D39" s="38"/>
      <c r="E39" s="48"/>
      <c r="F39" s="39"/>
      <c r="G39" s="39"/>
      <c r="H39" s="53" t="s">
        <v>197</v>
      </c>
      <c r="I39" s="44"/>
      <c r="J39" s="44"/>
      <c r="K39" s="95"/>
      <c r="L39" s="95"/>
      <c r="M39" s="95"/>
      <c r="N39" s="54" t="s">
        <v>256</v>
      </c>
      <c r="O39" s="54"/>
      <c r="P39" s="54"/>
      <c r="Q39" s="120"/>
      <c r="R39" s="120"/>
      <c r="S39" s="121"/>
    </row>
    <row r="40" spans="2:19" ht="68" x14ac:dyDescent="0.2">
      <c r="B40" s="112"/>
      <c r="C40" s="38"/>
      <c r="D40" s="38"/>
      <c r="E40" s="48"/>
      <c r="F40" s="39"/>
      <c r="G40" s="39"/>
      <c r="H40" s="53" t="s">
        <v>198</v>
      </c>
      <c r="I40" s="44"/>
      <c r="J40" s="44"/>
      <c r="K40" s="95"/>
      <c r="L40" s="95"/>
      <c r="M40" s="95"/>
      <c r="N40" s="54" t="s">
        <v>257</v>
      </c>
      <c r="O40" s="54"/>
      <c r="P40" s="54"/>
      <c r="Q40" s="120"/>
      <c r="R40" s="120"/>
      <c r="S40" s="121"/>
    </row>
    <row r="41" spans="2:19" ht="68" x14ac:dyDescent="0.2">
      <c r="B41" s="112"/>
      <c r="C41" s="38"/>
      <c r="D41" s="38"/>
      <c r="E41" s="48"/>
      <c r="F41" s="39"/>
      <c r="G41" s="39"/>
      <c r="H41" s="53" t="s">
        <v>199</v>
      </c>
      <c r="I41" s="44"/>
      <c r="J41" s="44"/>
      <c r="K41" s="95"/>
      <c r="L41" s="95"/>
      <c r="M41" s="95"/>
      <c r="N41" s="54" t="s">
        <v>258</v>
      </c>
      <c r="O41" s="54"/>
      <c r="P41" s="54"/>
      <c r="Q41" s="120"/>
      <c r="R41" s="120"/>
      <c r="S41" s="121"/>
    </row>
    <row r="42" spans="2:19" ht="51" x14ac:dyDescent="0.2">
      <c r="B42" s="112"/>
      <c r="C42" s="38"/>
      <c r="D42" s="38"/>
      <c r="E42" s="48"/>
      <c r="F42" s="39"/>
      <c r="G42" s="39"/>
      <c r="H42" s="53" t="s">
        <v>200</v>
      </c>
      <c r="I42" s="44"/>
      <c r="J42" s="44"/>
      <c r="K42" s="95"/>
      <c r="L42" s="95"/>
      <c r="M42" s="95"/>
      <c r="N42" s="54" t="s">
        <v>259</v>
      </c>
      <c r="O42" s="54"/>
      <c r="P42" s="54"/>
      <c r="Q42" s="120"/>
      <c r="R42" s="120"/>
      <c r="S42" s="121"/>
    </row>
    <row r="43" spans="2:19" ht="119" x14ac:dyDescent="0.2">
      <c r="B43" s="112"/>
      <c r="C43" s="38"/>
      <c r="D43" s="38"/>
      <c r="E43" s="48"/>
      <c r="F43" s="39"/>
      <c r="G43" s="39"/>
      <c r="H43" s="53" t="s">
        <v>201</v>
      </c>
      <c r="I43" s="44"/>
      <c r="J43" s="44"/>
      <c r="K43" s="95"/>
      <c r="L43" s="95"/>
      <c r="M43" s="95"/>
      <c r="N43" s="54" t="s">
        <v>260</v>
      </c>
      <c r="O43" s="54"/>
      <c r="P43" s="54"/>
      <c r="Q43" s="120"/>
      <c r="R43" s="120"/>
      <c r="S43" s="121"/>
    </row>
    <row r="44" spans="2:19" ht="51" x14ac:dyDescent="0.2">
      <c r="B44" s="112"/>
      <c r="C44" s="38"/>
      <c r="D44" s="38"/>
      <c r="E44" s="48"/>
      <c r="F44" s="39"/>
      <c r="G44" s="39"/>
      <c r="H44" s="53" t="s">
        <v>202</v>
      </c>
      <c r="I44" s="44"/>
      <c r="J44" s="44"/>
      <c r="K44" s="95"/>
      <c r="L44" s="95"/>
      <c r="M44" s="95"/>
      <c r="N44" s="54" t="s">
        <v>261</v>
      </c>
      <c r="O44" s="54"/>
      <c r="P44" s="54"/>
      <c r="Q44" s="120"/>
      <c r="R44" s="120"/>
      <c r="S44" s="121"/>
    </row>
    <row r="45" spans="2:19" ht="51" x14ac:dyDescent="0.2">
      <c r="B45" s="112"/>
      <c r="C45" s="38"/>
      <c r="D45" s="38"/>
      <c r="E45" s="48"/>
      <c r="F45" s="39"/>
      <c r="G45" s="39"/>
      <c r="H45" s="53" t="s">
        <v>203</v>
      </c>
      <c r="I45" s="44"/>
      <c r="J45" s="44"/>
      <c r="K45" s="95"/>
      <c r="L45" s="95"/>
      <c r="M45" s="95"/>
      <c r="N45" s="54" t="s">
        <v>262</v>
      </c>
      <c r="O45" s="54"/>
      <c r="P45" s="54"/>
      <c r="Q45" s="120"/>
      <c r="R45" s="120"/>
      <c r="S45" s="121"/>
    </row>
    <row r="46" spans="2:19" ht="102" x14ac:dyDescent="0.2">
      <c r="B46" s="112"/>
      <c r="C46" s="38"/>
      <c r="D46" s="38"/>
      <c r="E46" s="48"/>
      <c r="F46" s="39"/>
      <c r="G46" s="39"/>
      <c r="H46" s="53" t="s">
        <v>204</v>
      </c>
      <c r="I46" s="44"/>
      <c r="J46" s="44"/>
      <c r="K46" s="95"/>
      <c r="L46" s="95"/>
      <c r="M46" s="95"/>
      <c r="N46" s="54" t="s">
        <v>263</v>
      </c>
      <c r="O46" s="54"/>
      <c r="P46" s="54"/>
      <c r="Q46" s="120"/>
      <c r="R46" s="120"/>
      <c r="S46" s="121"/>
    </row>
    <row r="47" spans="2:19" ht="119" x14ac:dyDescent="0.2">
      <c r="B47" s="112"/>
      <c r="C47" s="38"/>
      <c r="D47" s="38"/>
      <c r="E47" s="48"/>
      <c r="F47" s="39"/>
      <c r="G47" s="39"/>
      <c r="H47" s="53" t="s">
        <v>205</v>
      </c>
      <c r="I47" s="44"/>
      <c r="J47" s="44"/>
      <c r="K47" s="95"/>
      <c r="L47" s="95"/>
      <c r="M47" s="95"/>
      <c r="N47" s="54" t="s">
        <v>264</v>
      </c>
      <c r="O47" s="54"/>
      <c r="P47" s="54"/>
      <c r="Q47" s="120"/>
      <c r="R47" s="120"/>
      <c r="S47" s="121"/>
    </row>
  </sheetData>
  <mergeCells count="1">
    <mergeCell ref="A1:S1"/>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73BF-96CA-44A6-BE2E-865087FB15EF}">
  <sheetPr>
    <tabColor theme="4" tint="0.79998168889431442"/>
  </sheetPr>
  <dimension ref="A1:H44"/>
  <sheetViews>
    <sheetView showGridLines="0" zoomScale="90" zoomScaleNormal="90" workbookViewId="0">
      <pane ySplit="11" topLeftCell="A12" activePane="bottomLeft" state="frozen"/>
      <selection pane="bottomLeft" activeCell="A26" sqref="A26"/>
    </sheetView>
  </sheetViews>
  <sheetFormatPr baseColWidth="10" defaultColWidth="8.83203125" defaultRowHeight="15" x14ac:dyDescent="0.2"/>
  <cols>
    <col min="1" max="1" width="64.5" customWidth="1"/>
    <col min="2" max="2" width="10.33203125" customWidth="1"/>
    <col min="3" max="3" width="25.1640625" bestFit="1" customWidth="1"/>
    <col min="4" max="4" width="17.5" bestFit="1" customWidth="1"/>
    <col min="5" max="5" width="25.83203125" bestFit="1" customWidth="1"/>
    <col min="6" max="6" width="43.5" customWidth="1"/>
    <col min="7" max="8" width="93" style="36" bestFit="1" customWidth="1"/>
  </cols>
  <sheetData>
    <row r="1" spans="1:8" ht="30" customHeight="1" x14ac:dyDescent="0.2">
      <c r="A1" s="72" t="s">
        <v>11</v>
      </c>
      <c r="B1" s="73"/>
      <c r="C1" s="73"/>
      <c r="D1" s="73"/>
      <c r="E1" s="73"/>
      <c r="F1" s="73"/>
      <c r="G1" s="73"/>
      <c r="H1" s="74"/>
    </row>
    <row r="2" spans="1:8" s="6" customFormat="1" ht="19" x14ac:dyDescent="0.25">
      <c r="A2" s="3" t="s">
        <v>78</v>
      </c>
      <c r="B2" s="70"/>
      <c r="C2" s="70"/>
      <c r="D2" s="70"/>
      <c r="E2" s="71"/>
      <c r="F2" s="4" t="s">
        <v>13</v>
      </c>
      <c r="G2" s="5"/>
      <c r="H2" s="65" t="s">
        <v>79</v>
      </c>
    </row>
    <row r="3" spans="1:8" ht="18" x14ac:dyDescent="0.2">
      <c r="A3" s="3" t="s">
        <v>80</v>
      </c>
      <c r="B3" s="70"/>
      <c r="C3" s="70"/>
      <c r="D3" s="70"/>
      <c r="E3" s="71"/>
      <c r="F3" s="4" t="s">
        <v>16</v>
      </c>
      <c r="G3" s="5"/>
      <c r="H3" s="66"/>
    </row>
    <row r="4" spans="1:8" ht="18" x14ac:dyDescent="0.2">
      <c r="A4" s="3" t="s">
        <v>81</v>
      </c>
      <c r="B4" s="70"/>
      <c r="C4" s="70"/>
      <c r="D4" s="70"/>
      <c r="E4" s="71"/>
      <c r="F4" s="4" t="s">
        <v>18</v>
      </c>
      <c r="G4" s="5"/>
      <c r="H4" s="66"/>
    </row>
    <row r="5" spans="1:8" ht="18" x14ac:dyDescent="0.2">
      <c r="A5" s="3" t="s">
        <v>19</v>
      </c>
      <c r="B5" s="70"/>
      <c r="C5" s="70"/>
      <c r="D5" s="70"/>
      <c r="E5" s="71"/>
      <c r="F5" s="4" t="s">
        <v>20</v>
      </c>
      <c r="G5" s="5"/>
      <c r="H5" s="66"/>
    </row>
    <row r="6" spans="1:8" ht="18" x14ac:dyDescent="0.2">
      <c r="A6" s="3" t="s">
        <v>21</v>
      </c>
      <c r="B6" s="70"/>
      <c r="C6" s="70"/>
      <c r="D6" s="70"/>
      <c r="E6" s="71"/>
      <c r="F6" s="4" t="s">
        <v>22</v>
      </c>
      <c r="G6" s="5"/>
      <c r="H6" s="66"/>
    </row>
    <row r="7" spans="1:8" ht="18" x14ac:dyDescent="0.2">
      <c r="A7" s="3" t="s">
        <v>82</v>
      </c>
      <c r="B7" s="70"/>
      <c r="C7" s="70"/>
      <c r="D7" s="70"/>
      <c r="E7" s="71"/>
      <c r="F7" s="4" t="s">
        <v>24</v>
      </c>
      <c r="G7" s="5"/>
      <c r="H7" s="66"/>
    </row>
    <row r="8" spans="1:8" ht="18" x14ac:dyDescent="0.2">
      <c r="A8" s="3" t="s">
        <v>83</v>
      </c>
      <c r="B8" s="70"/>
      <c r="C8" s="70"/>
      <c r="D8" s="70"/>
      <c r="E8" s="71"/>
      <c r="F8" s="4" t="s">
        <v>26</v>
      </c>
      <c r="G8" s="5"/>
      <c r="H8" s="66"/>
    </row>
    <row r="9" spans="1:8" ht="18" x14ac:dyDescent="0.2">
      <c r="A9" s="3" t="s">
        <v>84</v>
      </c>
      <c r="B9" s="70"/>
      <c r="C9" s="70"/>
      <c r="D9" s="70"/>
      <c r="E9" s="71"/>
      <c r="F9" s="4" t="s">
        <v>28</v>
      </c>
      <c r="G9" s="5"/>
      <c r="H9" s="66"/>
    </row>
    <row r="10" spans="1:8" ht="18" x14ac:dyDescent="0.2">
      <c r="A10" s="3" t="s">
        <v>85</v>
      </c>
      <c r="B10" s="70"/>
      <c r="C10" s="70"/>
      <c r="D10" s="70"/>
      <c r="E10" s="71"/>
      <c r="F10" s="4" t="s">
        <v>30</v>
      </c>
      <c r="G10" s="5"/>
      <c r="H10" s="66"/>
    </row>
    <row r="11" spans="1:8" s="6" customFormat="1" ht="30" customHeight="1" x14ac:dyDescent="0.25">
      <c r="A11" s="7" t="s">
        <v>32</v>
      </c>
      <c r="B11" s="7" t="s">
        <v>33</v>
      </c>
      <c r="C11" s="7" t="s">
        <v>34</v>
      </c>
      <c r="D11" s="7" t="s">
        <v>35</v>
      </c>
      <c r="E11" s="7" t="s">
        <v>36</v>
      </c>
      <c r="F11" s="7" t="s">
        <v>37</v>
      </c>
      <c r="G11" s="8" t="s">
        <v>38</v>
      </c>
      <c r="H11" s="8" t="s">
        <v>39</v>
      </c>
    </row>
    <row r="12" spans="1:8" s="12" customFormat="1" ht="20" customHeight="1" x14ac:dyDescent="0.25">
      <c r="A12" s="9" t="s">
        <v>40</v>
      </c>
      <c r="B12" s="10"/>
      <c r="C12" s="10"/>
      <c r="D12" s="10"/>
      <c r="E12" s="10"/>
      <c r="F12" s="10"/>
      <c r="G12" s="11"/>
      <c r="H12" s="11"/>
    </row>
    <row r="13" spans="1:8" ht="20" customHeight="1" x14ac:dyDescent="0.2">
      <c r="A13" s="13" t="s">
        <v>86</v>
      </c>
      <c r="B13" s="14" t="s">
        <v>42</v>
      </c>
      <c r="C13" s="15" t="s">
        <v>43</v>
      </c>
      <c r="D13" s="16" t="s">
        <v>44</v>
      </c>
      <c r="E13" s="16" t="s">
        <v>44</v>
      </c>
      <c r="F13" s="15"/>
      <c r="G13" s="17"/>
      <c r="H13" s="17"/>
    </row>
    <row r="14" spans="1:8" ht="20" customHeight="1" x14ac:dyDescent="0.2">
      <c r="A14" s="13" t="s">
        <v>45</v>
      </c>
      <c r="B14" s="14" t="s">
        <v>42</v>
      </c>
      <c r="C14" s="15" t="s">
        <v>43</v>
      </c>
      <c r="D14" s="16" t="s">
        <v>44</v>
      </c>
      <c r="E14" s="16" t="s">
        <v>44</v>
      </c>
      <c r="F14" s="15"/>
      <c r="G14" s="17"/>
      <c r="H14" s="17"/>
    </row>
    <row r="15" spans="1:8" ht="20" customHeight="1" x14ac:dyDescent="0.2">
      <c r="A15" s="13" t="s">
        <v>46</v>
      </c>
      <c r="B15" s="14" t="s">
        <v>42</v>
      </c>
      <c r="C15" s="15" t="s">
        <v>43</v>
      </c>
      <c r="D15" s="16" t="s">
        <v>44</v>
      </c>
      <c r="E15" s="16" t="s">
        <v>44</v>
      </c>
      <c r="F15" s="15"/>
      <c r="G15" s="17"/>
      <c r="H15" s="17"/>
    </row>
    <row r="16" spans="1:8" ht="20" customHeight="1" x14ac:dyDescent="0.2">
      <c r="A16" s="13" t="s">
        <v>47</v>
      </c>
      <c r="B16" s="14" t="s">
        <v>42</v>
      </c>
      <c r="C16" s="15" t="s">
        <v>43</v>
      </c>
      <c r="D16" s="16" t="s">
        <v>44</v>
      </c>
      <c r="E16" s="16" t="s">
        <v>44</v>
      </c>
      <c r="F16" s="15"/>
      <c r="G16" s="17"/>
      <c r="H16" s="17"/>
    </row>
    <row r="17" spans="1:8" ht="20" customHeight="1" x14ac:dyDescent="0.2">
      <c r="A17" s="13" t="s">
        <v>48</v>
      </c>
      <c r="B17" s="14" t="s">
        <v>42</v>
      </c>
      <c r="C17" s="15" t="s">
        <v>43</v>
      </c>
      <c r="D17" s="16" t="s">
        <v>44</v>
      </c>
      <c r="E17" s="16" t="s">
        <v>44</v>
      </c>
      <c r="F17" s="15"/>
      <c r="G17" s="17"/>
      <c r="H17" s="17"/>
    </row>
    <row r="18" spans="1:8" ht="20" customHeight="1" x14ac:dyDescent="0.2">
      <c r="A18" s="13" t="s">
        <v>49</v>
      </c>
      <c r="B18" s="14" t="s">
        <v>42</v>
      </c>
      <c r="C18" s="15" t="s">
        <v>43</v>
      </c>
      <c r="D18" s="16" t="s">
        <v>44</v>
      </c>
      <c r="E18" s="16" t="s">
        <v>44</v>
      </c>
      <c r="F18" s="15"/>
      <c r="G18" s="17"/>
      <c r="H18" s="17"/>
    </row>
    <row r="19" spans="1:8" ht="20" customHeight="1" x14ac:dyDescent="0.2">
      <c r="A19" s="13" t="s">
        <v>50</v>
      </c>
      <c r="B19" s="14" t="s">
        <v>42</v>
      </c>
      <c r="C19" s="15" t="s">
        <v>43</v>
      </c>
      <c r="D19" s="16" t="s">
        <v>44</v>
      </c>
      <c r="E19" s="16" t="s">
        <v>44</v>
      </c>
      <c r="F19" s="15"/>
      <c r="G19" s="17"/>
      <c r="H19" s="17"/>
    </row>
    <row r="20" spans="1:8" ht="20" customHeight="1" x14ac:dyDescent="0.2">
      <c r="A20" s="13" t="s">
        <v>51</v>
      </c>
      <c r="B20" s="14" t="s">
        <v>42</v>
      </c>
      <c r="C20" s="15" t="s">
        <v>43</v>
      </c>
      <c r="D20" s="16" t="s">
        <v>44</v>
      </c>
      <c r="E20" s="16" t="s">
        <v>44</v>
      </c>
      <c r="F20" s="15"/>
      <c r="G20" s="17"/>
      <c r="H20" s="17"/>
    </row>
    <row r="21" spans="1:8" ht="20" customHeight="1" x14ac:dyDescent="0.2">
      <c r="A21" s="13" t="s">
        <v>52</v>
      </c>
      <c r="B21" s="14" t="s">
        <v>42</v>
      </c>
      <c r="C21" s="15" t="s">
        <v>43</v>
      </c>
      <c r="D21" s="16" t="s">
        <v>44</v>
      </c>
      <c r="E21" s="16" t="s">
        <v>44</v>
      </c>
      <c r="F21" s="15"/>
      <c r="G21" s="17"/>
      <c r="H21" s="17"/>
    </row>
    <row r="22" spans="1:8" ht="20" customHeight="1" x14ac:dyDescent="0.2">
      <c r="A22" s="13" t="s">
        <v>53</v>
      </c>
      <c r="B22" s="14" t="s">
        <v>42</v>
      </c>
      <c r="C22" s="15" t="s">
        <v>43</v>
      </c>
      <c r="D22" s="16" t="s">
        <v>44</v>
      </c>
      <c r="E22" s="16" t="s">
        <v>44</v>
      </c>
      <c r="F22" s="15"/>
      <c r="G22" s="17"/>
      <c r="H22" s="17"/>
    </row>
    <row r="23" spans="1:8" ht="20" customHeight="1" x14ac:dyDescent="0.2">
      <c r="A23" s="13" t="s">
        <v>54</v>
      </c>
      <c r="B23" s="14" t="s">
        <v>42</v>
      </c>
      <c r="C23" s="15" t="s">
        <v>43</v>
      </c>
      <c r="D23" s="16" t="s">
        <v>44</v>
      </c>
      <c r="E23" s="16" t="s">
        <v>44</v>
      </c>
      <c r="F23" s="15"/>
      <c r="G23" s="17"/>
      <c r="H23" s="17"/>
    </row>
    <row r="24" spans="1:8" ht="20" customHeight="1" x14ac:dyDescent="0.2">
      <c r="A24" s="13" t="s">
        <v>55</v>
      </c>
      <c r="B24" s="14" t="s">
        <v>42</v>
      </c>
      <c r="C24" s="15" t="s">
        <v>43</v>
      </c>
      <c r="D24" s="16" t="s">
        <v>44</v>
      </c>
      <c r="E24" s="16" t="s">
        <v>44</v>
      </c>
      <c r="F24" s="15"/>
      <c r="G24" s="17"/>
      <c r="H24" s="17"/>
    </row>
    <row r="25" spans="1:8" s="6" customFormat="1" ht="20" customHeight="1" x14ac:dyDescent="0.25">
      <c r="A25" s="58" t="s">
        <v>57</v>
      </c>
      <c r="B25" s="59"/>
      <c r="C25" s="59"/>
      <c r="D25" s="59"/>
      <c r="E25" s="59"/>
      <c r="F25" s="59"/>
      <c r="G25" s="60"/>
      <c r="H25" s="60"/>
    </row>
    <row r="26" spans="1:8" ht="20" customHeight="1" x14ac:dyDescent="0.2">
      <c r="A26" s="67" t="s">
        <v>58</v>
      </c>
      <c r="B26" s="61"/>
      <c r="C26" s="62"/>
      <c r="D26" s="63"/>
      <c r="E26" s="63"/>
      <c r="F26" s="61"/>
      <c r="G26" s="64"/>
      <c r="H26" s="68"/>
    </row>
    <row r="27" spans="1:8" ht="20" customHeight="1" x14ac:dyDescent="0.2">
      <c r="A27" s="67" t="s">
        <v>58</v>
      </c>
      <c r="B27" s="61"/>
      <c r="C27" s="62"/>
      <c r="D27" s="63"/>
      <c r="E27" s="63"/>
      <c r="F27" s="61"/>
      <c r="G27" s="64"/>
      <c r="H27" s="68"/>
    </row>
    <row r="28" spans="1:8" ht="20" customHeight="1" x14ac:dyDescent="0.2">
      <c r="A28" s="67" t="s">
        <v>59</v>
      </c>
      <c r="B28" s="61"/>
      <c r="C28" s="62"/>
      <c r="D28" s="63"/>
      <c r="E28" s="63"/>
      <c r="F28" s="61"/>
      <c r="G28" s="64"/>
      <c r="H28" s="68"/>
    </row>
    <row r="29" spans="1:8" ht="20" customHeight="1" x14ac:dyDescent="0.2">
      <c r="A29" s="67" t="s">
        <v>59</v>
      </c>
      <c r="B29" s="61"/>
      <c r="C29" s="62"/>
      <c r="D29" s="63"/>
      <c r="E29" s="63"/>
      <c r="F29" s="61"/>
      <c r="G29" s="64"/>
      <c r="H29" s="68"/>
    </row>
    <row r="30" spans="1:8" s="6" customFormat="1" ht="20" customHeight="1" x14ac:dyDescent="0.25">
      <c r="A30" s="58" t="s">
        <v>87</v>
      </c>
      <c r="B30" s="59"/>
      <c r="C30" s="59"/>
      <c r="D30" s="59" t="s">
        <v>61</v>
      </c>
      <c r="E30" s="59" t="s">
        <v>62</v>
      </c>
      <c r="F30" s="59"/>
      <c r="G30" s="60"/>
      <c r="H30" s="60"/>
    </row>
    <row r="31" spans="1:8" ht="20" customHeight="1" x14ac:dyDescent="0.2">
      <c r="A31" s="67" t="s">
        <v>63</v>
      </c>
      <c r="B31" s="61" t="s">
        <v>56</v>
      </c>
      <c r="C31" s="62"/>
      <c r="D31" s="63" t="s">
        <v>44</v>
      </c>
      <c r="E31" s="63" t="s">
        <v>44</v>
      </c>
      <c r="F31" s="61"/>
      <c r="G31" s="64"/>
      <c r="H31" s="68"/>
    </row>
    <row r="32" spans="1:8" ht="20" customHeight="1" x14ac:dyDescent="0.2">
      <c r="A32" s="67" t="s">
        <v>63</v>
      </c>
      <c r="B32" s="61" t="s">
        <v>56</v>
      </c>
      <c r="C32" s="62"/>
      <c r="D32" s="63" t="s">
        <v>44</v>
      </c>
      <c r="E32" s="63" t="s">
        <v>44</v>
      </c>
      <c r="F32" s="61"/>
      <c r="G32" s="64"/>
      <c r="H32" s="68"/>
    </row>
    <row r="33" spans="1:8" ht="20" customHeight="1" x14ac:dyDescent="0.2">
      <c r="A33" s="67" t="s">
        <v>63</v>
      </c>
      <c r="B33" s="61" t="s">
        <v>56</v>
      </c>
      <c r="C33" s="62"/>
      <c r="D33" s="63" t="s">
        <v>44</v>
      </c>
      <c r="E33" s="63" t="s">
        <v>44</v>
      </c>
      <c r="F33" s="61"/>
      <c r="G33" s="64"/>
      <c r="H33" s="68"/>
    </row>
    <row r="34" spans="1:8" ht="20" customHeight="1" x14ac:dyDescent="0.2">
      <c r="A34" s="67" t="s">
        <v>63</v>
      </c>
      <c r="B34" s="61" t="s">
        <v>56</v>
      </c>
      <c r="C34" s="62"/>
      <c r="D34" s="63" t="s">
        <v>44</v>
      </c>
      <c r="E34" s="63" t="s">
        <v>44</v>
      </c>
      <c r="F34" s="61"/>
      <c r="G34" s="64"/>
      <c r="H34" s="68"/>
    </row>
    <row r="35" spans="1:8" ht="20" customHeight="1" x14ac:dyDescent="0.2">
      <c r="A35" s="67" t="s">
        <v>63</v>
      </c>
      <c r="B35" s="61" t="s">
        <v>56</v>
      </c>
      <c r="C35" s="62"/>
      <c r="D35" s="63" t="s">
        <v>44</v>
      </c>
      <c r="E35" s="63" t="s">
        <v>44</v>
      </c>
      <c r="F35" s="61"/>
      <c r="G35" s="64"/>
      <c r="H35" s="68"/>
    </row>
    <row r="36" spans="1:8" ht="20" customHeight="1" x14ac:dyDescent="0.2">
      <c r="A36" s="67" t="s">
        <v>63</v>
      </c>
      <c r="B36" s="61" t="s">
        <v>56</v>
      </c>
      <c r="C36" s="62"/>
      <c r="D36" s="63" t="s">
        <v>44</v>
      </c>
      <c r="E36" s="63" t="s">
        <v>44</v>
      </c>
      <c r="F36" s="61"/>
      <c r="G36" s="64"/>
      <c r="H36" s="68"/>
    </row>
    <row r="37" spans="1:8" ht="20" customHeight="1" x14ac:dyDescent="0.2">
      <c r="A37" s="67" t="s">
        <v>63</v>
      </c>
      <c r="B37" s="61" t="s">
        <v>56</v>
      </c>
      <c r="C37" s="62"/>
      <c r="D37" s="63" t="s">
        <v>44</v>
      </c>
      <c r="E37" s="63" t="s">
        <v>44</v>
      </c>
      <c r="F37" s="61"/>
      <c r="G37" s="64"/>
      <c r="H37" s="68"/>
    </row>
    <row r="38" spans="1:8" ht="20" customHeight="1" x14ac:dyDescent="0.2">
      <c r="A38" s="67" t="s">
        <v>63</v>
      </c>
      <c r="B38" s="61" t="s">
        <v>56</v>
      </c>
      <c r="C38" s="62"/>
      <c r="D38" s="63" t="s">
        <v>44</v>
      </c>
      <c r="E38" s="63" t="s">
        <v>44</v>
      </c>
      <c r="F38" s="61"/>
      <c r="G38" s="64"/>
      <c r="H38" s="68"/>
    </row>
    <row r="39" spans="1:8" s="6" customFormat="1" ht="20" customHeight="1" x14ac:dyDescent="0.25">
      <c r="A39" s="18" t="s">
        <v>64</v>
      </c>
      <c r="B39" s="30"/>
      <c r="C39" s="30"/>
      <c r="D39" s="30" t="s">
        <v>65</v>
      </c>
      <c r="E39" s="30"/>
      <c r="F39" s="30" t="s">
        <v>66</v>
      </c>
      <c r="G39" s="30" t="s">
        <v>67</v>
      </c>
      <c r="H39" s="31"/>
    </row>
    <row r="40" spans="1:8" ht="20" customHeight="1" x14ac:dyDescent="0.2">
      <c r="A40" s="67" t="s">
        <v>68</v>
      </c>
      <c r="B40" s="61" t="s">
        <v>56</v>
      </c>
      <c r="C40" s="62"/>
      <c r="D40" s="63" t="s">
        <v>44</v>
      </c>
      <c r="E40" s="63"/>
      <c r="F40" s="61"/>
      <c r="G40" s="64"/>
      <c r="H40" s="68"/>
    </row>
    <row r="41" spans="1:8" ht="20" customHeight="1" x14ac:dyDescent="0.2">
      <c r="A41" s="67" t="s">
        <v>68</v>
      </c>
      <c r="B41" s="61" t="s">
        <v>56</v>
      </c>
      <c r="C41" s="62"/>
      <c r="D41" s="63" t="s">
        <v>44</v>
      </c>
      <c r="E41" s="63"/>
      <c r="F41" s="61"/>
      <c r="G41" s="64"/>
      <c r="H41" s="68"/>
    </row>
    <row r="42" spans="1:8" ht="20" customHeight="1" x14ac:dyDescent="0.2">
      <c r="A42" s="67" t="s">
        <v>68</v>
      </c>
      <c r="B42" s="61" t="s">
        <v>56</v>
      </c>
      <c r="C42" s="62"/>
      <c r="D42" s="63" t="s">
        <v>44</v>
      </c>
      <c r="E42" s="63"/>
      <c r="F42" s="61"/>
      <c r="G42" s="64"/>
      <c r="H42" s="68"/>
    </row>
    <row r="43" spans="1:8" ht="20" customHeight="1" x14ac:dyDescent="0.2">
      <c r="A43" s="67" t="s">
        <v>68</v>
      </c>
      <c r="B43" s="61" t="s">
        <v>56</v>
      </c>
      <c r="C43" s="62"/>
      <c r="D43" s="63" t="s">
        <v>44</v>
      </c>
      <c r="E43" s="63"/>
      <c r="F43" s="61"/>
      <c r="G43" s="64"/>
      <c r="H43" s="68"/>
    </row>
    <row r="44" spans="1:8" ht="20" customHeight="1" thickBot="1" x14ac:dyDescent="0.25">
      <c r="A44" s="69" t="s">
        <v>68</v>
      </c>
      <c r="B44" s="32" t="s">
        <v>56</v>
      </c>
      <c r="C44" s="33"/>
      <c r="D44" s="34" t="s">
        <v>44</v>
      </c>
      <c r="E44" s="34"/>
      <c r="F44" s="33"/>
      <c r="G44" s="35"/>
      <c r="H44" s="35"/>
    </row>
  </sheetData>
  <mergeCells count="10">
    <mergeCell ref="B7:E7"/>
    <mergeCell ref="B8:E8"/>
    <mergeCell ref="B9:E9"/>
    <mergeCell ref="B10:E10"/>
    <mergeCell ref="A1:H1"/>
    <mergeCell ref="B2:E2"/>
    <mergeCell ref="B3:E3"/>
    <mergeCell ref="B4:E4"/>
    <mergeCell ref="B5:E5"/>
    <mergeCell ref="B6:E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1DD9DE-623A-4A8A-AACB-E8E4E85DED16}">
  <ds:schemaRefs>
    <ds:schemaRef ds:uri="http://purl.org/dc/terms/"/>
    <ds:schemaRef ds:uri="http://schemas.microsoft.com/office/infopath/2007/PartnerControls"/>
    <ds:schemaRef ds:uri="dc808d36-874f-4b27-aec2-2fd649817929"/>
    <ds:schemaRef ds:uri="http://schemas.microsoft.com/office/2006/metadata/properties"/>
    <ds:schemaRef ds:uri="http://schemas.microsoft.com/office/2006/documentManagement/types"/>
    <ds:schemaRef ds:uri="http://www.w3.org/XML/1998/namespace"/>
    <ds:schemaRef ds:uri="1a9bbbe1-7cae-48c1-93ed-4785e360835f"/>
    <ds:schemaRef ds:uri="http://schemas.openxmlformats.org/package/2006/metadata/core-properties"/>
    <ds:schemaRef ds:uri="http://purl.org/dc/dcmitype/"/>
    <ds:schemaRef ds:uri="http://purl.org/dc/elements/1.1/"/>
  </ds:schemaRefs>
</ds:datastoreItem>
</file>

<file path=customXml/itemProps2.xml><?xml version="1.0" encoding="utf-8"?>
<ds:datastoreItem xmlns:ds="http://schemas.openxmlformats.org/officeDocument/2006/customXml" ds:itemID="{2961D697-E660-4FCA-BF9C-7C835B6B89E3}"/>
</file>

<file path=customXml/itemProps3.xml><?xml version="1.0" encoding="utf-8"?>
<ds:datastoreItem xmlns:ds="http://schemas.openxmlformats.org/officeDocument/2006/customXml" ds:itemID="{569969D1-8590-481E-AEEC-AAF030CFD2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Award Summary Page</vt:lpstr>
      <vt:lpstr>Compliance Matrix Details</vt:lpstr>
      <vt:lpstr>Subaward Summary Page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Martin</dc:creator>
  <cp:keywords/>
  <dc:description/>
  <cp:lastModifiedBy>Penelope Kim</cp:lastModifiedBy>
  <cp:revision/>
  <dcterms:created xsi:type="dcterms:W3CDTF">2023-06-04T02:52:32Z</dcterms:created>
  <dcterms:modified xsi:type="dcterms:W3CDTF">2023-12-07T22:52:15Z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