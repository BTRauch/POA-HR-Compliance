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carmensofiapena/Downloads/"/>
    </mc:Choice>
  </mc:AlternateContent>
  <xr:revisionPtr revIDLastSave="0" documentId="8_{B4D67C87-49F9-6C44-8829-EB075A55C682}" xr6:coauthVersionLast="47" xr6:coauthVersionMax="47" xr10:uidLastSave="{00000000-0000-0000-0000-000000000000}"/>
  <bookViews>
    <workbookView xWindow="1420" yWindow="2100" windowWidth="27380" windowHeight="14180" firstSheet="5" activeTab="5" xr2:uid="{F56CB045-F017-4CA1-88CA-0052E5049C88}"/>
  </bookViews>
  <sheets>
    <sheet name="Instructions" sheetId="1" r:id="rId1"/>
    <sheet name="Award Summary Page" sheetId="3" r:id="rId2"/>
    <sheet name="Compliance Matrix Details" sheetId="12" r:id="rId3"/>
    <sheet name="Uniminuto Subaward Summary" sheetId="13" r:id="rId4"/>
    <sheet name="IUAJC Subaward Summary" sheetId="5" r:id="rId5"/>
    <sheet name="UniSalle-UCD Subaward Summary" sheetId="14" r:id="rId6"/>
    <sheet name="UniSalle-NMSU Subaward Summary" sheetId="15" r:id="rId7"/>
    <sheet name="UniSimon Subaward Summary" sheetId="16" r:id="rId8"/>
    <sheet name="SENAArauca Subaward Summary IP" sheetId="17" r:id="rId9"/>
    <sheet name="SENAQuindio Subaward Summary IP" sheetId="1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tc={9960FD02-2B01-4F16-9157-B6CFAF63E411}</author>
  </authors>
  <commentList>
    <comment ref="G2" authorId="0" shapeId="0" xr:uid="{9960FD02-2B01-4F16-9157-B6CFAF63E411}">
      <text>
        <t>[Threaded comment]
Your version of Excel allows you to read this threaded comment; however, any edits to it will get removed if the file is opened in a newer version of Excel. Learn more: https://go.microsoft.com/fwlink/?linkid=870924
Comment:
    Including $2734.90 from Dos2002</t>
      </text>
    </comment>
  </commentList>
</comments>
</file>

<file path=xl/sharedStrings.xml><?xml version="1.0" encoding="utf-8"?>
<sst xmlns="http://schemas.openxmlformats.org/spreadsheetml/2006/main" count="1073" uniqueCount="193">
  <si>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</si>
  <si>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</si>
  <si>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</si>
  <si>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</si>
  <si>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</si>
  <si>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</si>
  <si>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</si>
  <si>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</si>
  <si>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</si>
  <si>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</si>
  <si>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</si>
  <si>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</si>
  <si>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</si>
  <si>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100K Strong: Colombia Cacao Research</t>
  </si>
  <si>
    <t>Total Award Amount:</t>
  </si>
  <si>
    <t>Program Manager(s) (including dates):</t>
  </si>
  <si>
    <t>Internal Grant Number:</t>
  </si>
  <si>
    <t>USDA200</t>
  </si>
  <si>
    <t>Total Obligation Amount:</t>
  </si>
  <si>
    <t>Award Number:</t>
  </si>
  <si>
    <t>FX22TA-10960C008</t>
  </si>
  <si>
    <t>Cost Share Amount:</t>
  </si>
  <si>
    <t>Donor:</t>
  </si>
  <si>
    <t>USDA - Foreign Agricultural Service (FAS)</t>
  </si>
  <si>
    <t>Leverage Amount:</t>
  </si>
  <si>
    <t>CFDA:</t>
  </si>
  <si>
    <t>10.960</t>
  </si>
  <si>
    <r>
      <rPr>
        <b/>
        <i/>
        <sz val="14"/>
        <rFont val="Times New Roman"/>
        <family val="1"/>
      </rPr>
      <t>USAID Only:</t>
    </r>
    <r>
      <rPr>
        <b/>
        <sz val="14"/>
        <rFont val="Times New Roman"/>
        <family val="1"/>
      </rPr>
      <t xml:space="preserve"> Geographic Code:</t>
    </r>
  </si>
  <si>
    <t>Award Start Date:</t>
  </si>
  <si>
    <t>Key Personnel:</t>
  </si>
  <si>
    <t>N/A</t>
  </si>
  <si>
    <t>Award End Date:</t>
  </si>
  <si>
    <t>Approved Indirect Rate(s) %:</t>
  </si>
  <si>
    <t>Program Director:</t>
  </si>
  <si>
    <t>Penelope Kim</t>
  </si>
  <si>
    <t>Prior Approvals Required:</t>
  </si>
  <si>
    <t>No</t>
  </si>
  <si>
    <t>Agreement Officer Rep. (AOR)/Grants Officer Rep. (GOR):</t>
  </si>
  <si>
    <t>Tracie Hill</t>
  </si>
  <si>
    <t>Treatment of Program Income:</t>
  </si>
  <si>
    <t>Agreement Officer (AO)/Grants Officer (GO):</t>
  </si>
  <si>
    <t>Category</t>
  </si>
  <si>
    <t>FY</t>
  </si>
  <si>
    <t>Period of Performance</t>
  </si>
  <si>
    <t>Date Submitted</t>
  </si>
  <si>
    <t>Date Approved</t>
  </si>
  <si>
    <t>Report Title</t>
  </si>
  <si>
    <t>Link to Final Approved Document</t>
  </si>
  <si>
    <t>Description of Document/Modification and Source</t>
  </si>
  <si>
    <t>Award</t>
  </si>
  <si>
    <t>Agreement</t>
  </si>
  <si>
    <t>n/a</t>
  </si>
  <si>
    <t>2022-2024</t>
  </si>
  <si>
    <t>MM/DD/YYYY</t>
  </si>
  <si>
    <t>POA-USDA Contract for 2022 CfP 100K Grant Competition (2022-07-27 to 2024-07-27)</t>
  </si>
  <si>
    <t>https://partnersnet107.sharepoint.com/:b:/s/Programs/EYK005NC2_FAh_eEId3DaBwBQ9I29CFRrpbwELWJbHEHxw?e=5xi3CJ</t>
  </si>
  <si>
    <t>Original Prime Award Agreement</t>
  </si>
  <si>
    <t>Cost Extension 01</t>
  </si>
  <si>
    <t>USDA 200 Colombia Cost MOD 1 2023-06-05</t>
  </si>
  <si>
    <t>https://partnersnet107.sharepoint.com/:b:/s/Programs/Ean0M_nToYpLk9PJBwPEpOABpAh7IriX27rBP0NFZlzXqg?e=hVqaPX</t>
  </si>
  <si>
    <t>Approved Cost Amendment</t>
  </si>
  <si>
    <t>Modification 01</t>
  </si>
  <si>
    <t>YYYY-YYYY</t>
  </si>
  <si>
    <t>Modification 02</t>
  </si>
  <si>
    <t>Monitoring, Evaluation &amp; Learning Plan</t>
  </si>
  <si>
    <t>M&amp;E Plan</t>
  </si>
  <si>
    <t>FY22</t>
  </si>
  <si>
    <t>POA 100K-CfP Indicator Tracker</t>
  </si>
  <si>
    <t>https://partnersnet107.sharepoint.com/:x:/s/Programs/EXEJUdR62gNHuXo-a7rvIPMBNnO66q1hqXggClTsrI2jFQ?e=GsBn6F</t>
  </si>
  <si>
    <t>Program Indicators</t>
  </si>
  <si>
    <t>Work Plan/Scope of Work (SOW)</t>
  </si>
  <si>
    <t>Implementation Plan/Scope of Work</t>
  </si>
  <si>
    <t>100K-C4P Statement of Work 2022-07-14</t>
  </si>
  <si>
    <t>https://partnersnet107.sharepoint.com/:w:/s/Programs/ESBzGjO9X7VOgVICJy2Jk1UBnkY1VZYHMxZ3E_unuTj5kA?e=v4fAQO</t>
  </si>
  <si>
    <t>Approved Scope of Work</t>
  </si>
  <si>
    <t>Special Provisions/Restrictions</t>
  </si>
  <si>
    <t>Approval of Subawards</t>
  </si>
  <si>
    <t>Meeting Notes with Donor (AOR/GOR Key Decisions)</t>
  </si>
  <si>
    <t>Date of Meeting</t>
  </si>
  <si>
    <t>Date Approved by Email</t>
  </si>
  <si>
    <t>Topic: Add description of notes</t>
  </si>
  <si>
    <t>FYXX</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</si>
  <si>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</si>
  <si>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</si>
  <si>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</si>
  <si>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</si>
  <si>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</si>
  <si>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</si>
  <si>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</si>
  <si>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</si>
  <si>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</si>
  <si>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</si>
  <si>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Work Plan FY23-2025</t>
  </si>
  <si>
    <t>Indicators</t>
  </si>
  <si>
    <t>Activities in Budget Narrative</t>
  </si>
  <si>
    <t>Financial Reporting 01: October 30, 2022</t>
  </si>
  <si>
    <t>Y</t>
  </si>
  <si>
    <t>Description: Harnessing the tried-and-true 100K platform, CfP will work with PoA to launch a new Innovation Fund Grant Competition to develop scientific exchange programs between Colombian agricultural researchers and U.S. research centers to improve Colombia’s cacao research capacity. Through this collaboration, Innovation Fund grants will be competitively awarded to teams of U.S. universities and colleges that propose new student and faculty scientific exchange and research programs focused on agriculture, creating valuable opportunities for students from disadvantaged backgrounds and underserved communities. As the key strategic partner for this Innovation Fund competition, CfP will have full access to the implementation team, made up of representatives of DOS-WHA, the Public Affairs Section at the U.S. Embassy in Bogota, and POA. The team will collaborate closely with CfP to ensure that the competition is designed to achieve CfP’s goals and objectives, while reaching maximum impact and visibility. CfP will be recognized in the launch ceremony and at the award announcement, both of which will be tailored to maximize the visibility of CfP’s generous support and impact. The USAID and USDA logos will join the 20+ logos of other donor-partners that have made a strategic investment and will be displayed prominently next to well-known global brands, such as Coca-Cola, Santander, and MetLife.
An investment in the 100,000 Strong in the Americas Innovation Fund from CfP is timely and strategic, allowing students and faculty to work in international research teams, gain technical, linguistic, and cultural skills, and develop workforce skills related to CfP’s objective to strengthen cacao research in Colombia.</t>
  </si>
  <si>
    <t>Through an Innovation Fund competition, create up to six (6) new partnerships between teams of higher education institutions (HEIs) to administer bi-directional exchange programs between the United States and Colombia during the 2023 2024 academic year.</t>
  </si>
  <si>
    <t xml:space="preserve">Number of individuals participating in USG food security programs </t>
  </si>
  <si>
    <r>
      <rPr>
        <b/>
        <sz val="12"/>
        <rFont val="Times New Roman"/>
        <family val="1"/>
      </rPr>
      <t xml:space="preserve">Innovation Fund Grants/Subawards: </t>
    </r>
    <r>
      <rPr>
        <sz val="12"/>
        <rFont val="Times New Roman"/>
        <family val="1"/>
      </rPr>
      <t xml:space="preserve">POA will allocate funds for up to 6.91 sub-awards of $25,000 each, which will be awarded to teams of U.S. and Colombian higher education institutions that are selected through a competitive process and will implement research-focused exchange programs between the two countries. </t>
    </r>
  </si>
  <si>
    <r>
      <rPr>
        <b/>
        <sz val="12"/>
        <color theme="1"/>
        <rFont val="Times New Roman"/>
        <family val="1"/>
      </rPr>
      <t xml:space="preserve">Financial Reporting 02: </t>
    </r>
    <r>
      <rPr>
        <sz val="12"/>
        <color theme="1"/>
        <rFont val="Times New Roman"/>
        <family val="1"/>
      </rPr>
      <t>January 30, 2023</t>
    </r>
  </si>
  <si>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U.S.-Colombia</t>
    </r>
  </si>
  <si>
    <t>POA will work with USDA, WHA/DOS, the U.S. Embassy in Bogota, EducationUSA, and other academic networks to promote the new U.S.-Colombia Innovation Fund grant competition and ensure a robust response to the call for proposals.</t>
  </si>
  <si>
    <t>Number of technologies or management practices under research, under field testing, or made available for transfer as a result of USG assistance</t>
  </si>
  <si>
    <r>
      <rPr>
        <b/>
        <sz val="12"/>
        <color theme="1"/>
        <rFont val="Times New Roman"/>
        <family val="1"/>
      </rPr>
      <t xml:space="preserve">Financial Reporting 03: </t>
    </r>
    <r>
      <rPr>
        <sz val="12"/>
        <color theme="1"/>
        <rFont val="Times New Roman"/>
        <family val="1"/>
      </rPr>
      <t>April 30, 2023</t>
    </r>
  </si>
  <si>
    <t>POA will further promote the new grant competition via the 100,000 Strong in the Americas Innovation Network. POA will target messages to U.S. and Colombian institutions within this network to ensure maximum participation in the USDA-sponsored grant competition.</t>
  </si>
  <si>
    <t>Percentage of female participants in USG-assisted programs designed to increase access to productive economic resources (assets, credit, income or employment)</t>
  </si>
  <si>
    <r>
      <rPr>
        <b/>
        <sz val="12"/>
        <color theme="1"/>
        <rFont val="Times New Roman"/>
        <family val="1"/>
      </rPr>
      <t xml:space="preserve">Financial Reporting 04: </t>
    </r>
    <r>
      <rPr>
        <sz val="12"/>
        <color theme="1"/>
        <rFont val="Times New Roman"/>
        <family val="1"/>
      </rPr>
      <t>July 30, 2023</t>
    </r>
  </si>
  <si>
    <t>POA will develop a comprehensive Request for Proposals (RFP) for the grant competition and customize it to focus on the U.S. and Colombia and on the academic themes of primary interest to USDA.</t>
  </si>
  <si>
    <t>Number of participants of workshops and meetings</t>
  </si>
  <si>
    <r>
      <rPr>
        <b/>
        <sz val="12"/>
        <color theme="1"/>
        <rFont val="Times New Roman"/>
        <family val="1"/>
      </rPr>
      <t xml:space="preserve">Financial Reporting 05: </t>
    </r>
    <r>
      <rPr>
        <sz val="12"/>
        <color theme="1"/>
        <rFont val="Times New Roman"/>
        <family val="1"/>
      </rPr>
      <t>October 30, 2023</t>
    </r>
  </si>
  <si>
    <t xml:space="preserve">POA will provide informational webinars in English and Spanish for prospective applicants, to help them connect with prospective partners and to further prepare them for the competition. </t>
  </si>
  <si>
    <t>Number of Workshops Delivered</t>
  </si>
  <si>
    <r>
      <rPr>
        <b/>
        <sz val="12"/>
        <color theme="1"/>
        <rFont val="Times New Roman"/>
        <family val="1"/>
      </rPr>
      <t xml:space="preserve">Financial Reporting 06: </t>
    </r>
    <r>
      <rPr>
        <sz val="12"/>
        <color theme="1"/>
        <rFont val="Times New Roman"/>
        <family val="1"/>
      </rPr>
      <t>January 30, 2024</t>
    </r>
  </si>
  <si>
    <t xml:space="preserve">POA will administer a three-step evaluation process that will subject proposals to several rounds of review, each with its own panel of independent, academic and professional experts in higher education internationalization and research that will be recruited through the various networks engaged in the outreach phase. </t>
  </si>
  <si>
    <t>Value of Leveraged Funds</t>
  </si>
  <si>
    <r>
      <rPr>
        <b/>
        <sz val="12"/>
        <color theme="1"/>
        <rFont val="Times New Roman"/>
        <family val="1"/>
      </rPr>
      <t xml:space="preserve">Financial Reporting 07: </t>
    </r>
    <r>
      <rPr>
        <sz val="12"/>
        <color theme="1"/>
        <rFont val="Times New Roman"/>
        <family val="1"/>
      </rPr>
      <t>April 30, 2024</t>
    </r>
  </si>
  <si>
    <t>Value of USAID Investments Linked to Leveraged funds</t>
  </si>
  <si>
    <r>
      <rPr>
        <b/>
        <sz val="12"/>
        <color theme="1"/>
        <rFont val="Times New Roman"/>
        <family val="1"/>
      </rPr>
      <t xml:space="preserve">Financial Reporting 08: </t>
    </r>
    <r>
      <rPr>
        <sz val="12"/>
        <color theme="1"/>
        <rFont val="Times New Roman"/>
        <family val="1"/>
      </rPr>
      <t>July 30, 2024</t>
    </r>
  </si>
  <si>
    <t xml:space="preserve">Number of individuals who have received USG-supported degree-granting agricultural sector productivity or food security training </t>
  </si>
  <si>
    <r>
      <rPr>
        <b/>
        <sz val="12"/>
        <color theme="1"/>
        <rFont val="Times New Roman"/>
        <family val="1"/>
      </rPr>
      <t xml:space="preserve">FY24 Projections to Donor: </t>
    </r>
    <r>
      <rPr>
        <sz val="12"/>
        <color theme="1"/>
        <rFont val="Times New Roman"/>
        <family val="1"/>
      </rPr>
      <t>October 3, 2024</t>
    </r>
  </si>
  <si>
    <r>
      <rPr>
        <b/>
        <sz val="12"/>
        <color theme="1"/>
        <rFont val="Times New Roman"/>
        <family val="1"/>
      </rPr>
      <t xml:space="preserve">Projections to Donor: </t>
    </r>
    <r>
      <rPr>
        <sz val="12"/>
        <color theme="1"/>
        <rFont val="Times New Roman"/>
        <family val="1"/>
      </rPr>
      <t>XXX</t>
    </r>
  </si>
  <si>
    <r>
      <t xml:space="preserve">FY24 Annual Implementation Plans: </t>
    </r>
    <r>
      <rPr>
        <sz val="12"/>
        <color theme="1"/>
        <rFont val="Times New Roman"/>
        <family val="1"/>
      </rPr>
      <t>August 4, 2023</t>
    </r>
  </si>
  <si>
    <r>
      <rPr>
        <b/>
        <sz val="12"/>
        <color theme="1"/>
        <rFont val="Times New Roman"/>
        <family val="1"/>
      </rPr>
      <t xml:space="preserve">Quarterly Report 01: </t>
    </r>
    <r>
      <rPr>
        <sz val="12"/>
        <color theme="1"/>
        <rFont val="Times New Roman"/>
        <family val="1"/>
      </rPr>
      <t>October 30, 2022</t>
    </r>
  </si>
  <si>
    <r>
      <rPr>
        <b/>
        <sz val="12"/>
        <color theme="1"/>
        <rFont val="Times New Roman"/>
        <family val="1"/>
      </rPr>
      <t xml:space="preserve">Quarterly Report 02: </t>
    </r>
    <r>
      <rPr>
        <sz val="12"/>
        <color theme="1"/>
        <rFont val="Times New Roman"/>
        <family val="1"/>
      </rPr>
      <t>January 30, 2023</t>
    </r>
  </si>
  <si>
    <r>
      <rPr>
        <b/>
        <sz val="12"/>
        <color theme="1"/>
        <rFont val="Times New Roman"/>
        <family val="1"/>
      </rPr>
      <t xml:space="preserve">Quarterly Report 03: </t>
    </r>
    <r>
      <rPr>
        <sz val="12"/>
        <color theme="1"/>
        <rFont val="Times New Roman"/>
        <family val="1"/>
      </rPr>
      <t>April 30, 2023</t>
    </r>
  </si>
  <si>
    <r>
      <rPr>
        <b/>
        <sz val="12"/>
        <color theme="1"/>
        <rFont val="Times New Roman"/>
        <family val="1"/>
      </rPr>
      <t xml:space="preserve">Quarterly Report 04: </t>
    </r>
    <r>
      <rPr>
        <sz val="12"/>
        <color theme="1"/>
        <rFont val="Times New Roman"/>
        <family val="1"/>
      </rPr>
      <t>July 30, 2023</t>
    </r>
  </si>
  <si>
    <r>
      <rPr>
        <b/>
        <sz val="12"/>
        <color theme="1"/>
        <rFont val="Times New Roman"/>
        <family val="1"/>
      </rPr>
      <t xml:space="preserve">Quarterly Report 05: </t>
    </r>
    <r>
      <rPr>
        <sz val="12"/>
        <color theme="1"/>
        <rFont val="Times New Roman"/>
        <family val="1"/>
      </rPr>
      <t>October 30, 2023</t>
    </r>
  </si>
  <si>
    <r>
      <rPr>
        <b/>
        <sz val="12"/>
        <color theme="1"/>
        <rFont val="Times New Roman"/>
        <family val="1"/>
      </rPr>
      <t xml:space="preserve">Quarterly Report 06: </t>
    </r>
    <r>
      <rPr>
        <sz val="12"/>
        <color theme="1"/>
        <rFont val="Times New Roman"/>
        <family val="1"/>
      </rPr>
      <t>January 30, 2024</t>
    </r>
  </si>
  <si>
    <r>
      <rPr>
        <b/>
        <sz val="12"/>
        <color theme="1"/>
        <rFont val="Times New Roman"/>
        <family val="1"/>
      </rPr>
      <t xml:space="preserve">Quarterly Report 07: </t>
    </r>
    <r>
      <rPr>
        <sz val="12"/>
        <color theme="1"/>
        <rFont val="Times New Roman"/>
        <family val="1"/>
      </rPr>
      <t>April 30, 2024</t>
    </r>
  </si>
  <si>
    <r>
      <rPr>
        <b/>
        <sz val="12"/>
        <color theme="1"/>
        <rFont val="Times New Roman"/>
        <family val="1"/>
      </rPr>
      <t xml:space="preserve">Quarterly Report 08: </t>
    </r>
    <r>
      <rPr>
        <sz val="12"/>
        <color theme="1"/>
        <rFont val="Times New Roman"/>
        <family val="1"/>
      </rPr>
      <t>July 30, 2024</t>
    </r>
  </si>
  <si>
    <r>
      <rPr>
        <b/>
        <sz val="12"/>
        <color rgb="FF000000"/>
        <rFont val="Times New Roman"/>
        <family val="1"/>
      </rPr>
      <t xml:space="preserve">Final Program Report: </t>
    </r>
    <r>
      <rPr>
        <sz val="12"/>
        <color rgb="FF000000"/>
        <rFont val="Times New Roman"/>
        <family val="1"/>
      </rPr>
      <t>November 27, 2024</t>
    </r>
  </si>
  <si>
    <t>Branding &amp; Marking:</t>
  </si>
  <si>
    <t>Subaward Name/Title:</t>
  </si>
  <si>
    <t>Transferring Knowledge and Skills to Students and Teachers for the Implementation of R&amp;D&amp;I Processes in the Cacao Production Chain in Colombia and the U.S.</t>
  </si>
  <si>
    <t>POA Subaward Manager(s) (including dates):</t>
  </si>
  <si>
    <t>Internal Grant Name:</t>
  </si>
  <si>
    <t>100K-USDA200-UniMinuto-UArizona</t>
  </si>
  <si>
    <t>Subaward Number:</t>
  </si>
  <si>
    <t>100K SubAg. 88 100K-USDA200-UniMinuto-UArizona FAA</t>
  </si>
  <si>
    <t>Subaward Start Date:</t>
  </si>
  <si>
    <t>Cesar Andres Andres Castillo</t>
  </si>
  <si>
    <t>Subaward End Date:</t>
  </si>
  <si>
    <t>Subaward Point of Contact:</t>
  </si>
  <si>
    <t>Harold de Jesús Castilla Devoz</t>
  </si>
  <si>
    <t>POA Point of Contact:</t>
  </si>
  <si>
    <t>Mariana Cabrera Figueroa (Technical), Summar Lyons (Contracts)</t>
  </si>
  <si>
    <t>Deduction</t>
  </si>
  <si>
    <t>Subaward Agreement</t>
  </si>
  <si>
    <t>2023-2024</t>
  </si>
  <si>
    <t>100KSubAg. 88 100K-USDA200-UniMinuto-UArizona FAA (2023-06-01 to 2024-05-31).pdf</t>
  </si>
  <si>
    <t>Uniminuto Original SubAward Agreement</t>
  </si>
  <si>
    <t>Modification 03</t>
  </si>
  <si>
    <t>Modification 04</t>
  </si>
  <si>
    <t>List restrictions</t>
  </si>
  <si>
    <t>List special provisions or requirements</t>
  </si>
  <si>
    <t>Meeting Notes with POA (Key Decisions)</t>
  </si>
  <si>
    <t>From the university to the field: North and South collaboration with practical pedagogy for production, commercialization, and transformation of cocoa (DEUCAM)</t>
  </si>
  <si>
    <t>100K-USDA200-DOS2002-IUAJC-Wellesley</t>
  </si>
  <si>
    <t>100KSubAg. 89 100K-USDA200-DOS2002-IUAJC-Wellesley FAA</t>
  </si>
  <si>
    <t>Dr. Claudia Polania</t>
  </si>
  <si>
    <t xml:space="preserve">Hugo Alberto González López </t>
  </si>
  <si>
    <t>FINAL - 100KSubAg. 100K-USDA200-DOS2002-IUAJC-Wellesley FAA (2023-06-01 to 2024-05-31).pdf</t>
  </si>
  <si>
    <t>IUAJC Original SubAward Agreement</t>
  </si>
  <si>
    <t>Cacao Innovation Rural Youth Lab: Instilling global values through shared agricultural activities</t>
  </si>
  <si>
    <t>100K-USDA200-UniSalle-UCD</t>
  </si>
  <si>
    <t>100KSubAg. 86 100K-USDA200-UniSalle-UCD FAA</t>
  </si>
  <si>
    <t>Libardo Gutierrez Mengual</t>
  </si>
  <si>
    <t>Brother Niky Alexánder Murcia Suárez</t>
  </si>
  <si>
    <t>100KSubAg. 86 100K-USDA200-UniSalle-UCD FAA (2023-06-01 to 2024-05-31).pdf</t>
  </si>
  <si>
    <t>UniSalle-UCD Original SubAward Agreement</t>
  </si>
  <si>
    <t>Utopia: Leveraging the Advancement of Rural Irrigation Systems in Cocoa Plantations Through International Collaborations</t>
  </si>
  <si>
    <t>100K-USDA200-UniSalle-NMSU</t>
  </si>
  <si>
    <t>100KSubAg. 92 100K-USDA200-UniSalle-NMSU FAA</t>
  </si>
  <si>
    <t>FE_100KSubAg. 92 100K-USDA200-UniSalle-NMSU FAA (2023-06-01 to 2024-05-31).pdf</t>
  </si>
  <si>
    <t>UniSalle-NMSU Original SubAward Agreement</t>
  </si>
  <si>
    <t>Cacao for Wellness</t>
  </si>
  <si>
    <t>100K-USDA200-UniSimonBolivar-UniPR</t>
  </si>
  <si>
    <t>100KSubAg. 93 100K-USDA200-UniSimonBolivar-UniPR FAA</t>
  </si>
  <si>
    <t>Ms. Romina Molina</t>
  </si>
  <si>
    <t>Dr. José Rafael Consuegra Machado</t>
  </si>
  <si>
    <t>100KSubAg. 93 100K-USDA200-UniSimonBolivar-UniPR FAA (2023-06-01 to 2024-05-31).pdf</t>
  </si>
  <si>
    <t>UniSimon Original SubAward Agreement</t>
  </si>
  <si>
    <t>Evaluation of technological application in the drying of cocoa (Theobroma cacao L.), in cocoa plantations of the Department of Arauca.</t>
  </si>
  <si>
    <t>100K-USDA200-SENAArauca-Auburn-FAA-Bilingual</t>
  </si>
  <si>
    <t>100KSubAg. 98 100K-USDA200-SENAArauca-Auburn-FAA-Bilingual</t>
  </si>
  <si>
    <t>Ms. Monica Delgado</t>
  </si>
  <si>
    <t xml:space="preserve">Edyd Gustavo Gómez Franco </t>
  </si>
  <si>
    <t>SENA Arauca Original SubAward Agreement</t>
  </si>
  <si>
    <t>Physical and Sensorial Characterization of Cocoa and its Relation to the Origin in Quindio. Quality Cocoa for Peace (National School of Cocoa Quality)</t>
  </si>
  <si>
    <t>Mr. Diego Valencias</t>
  </si>
  <si>
    <t>SENA Quindio Original SubAward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</si>
</sst>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26"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2"/>
      <color theme="1"/>
      <name val="Calibri"/>
      <family val="2"/>
      <scheme val="minor"/>
    </font>
    <font>
      <sz val="11"/>
      <color theme="1"/>
      <name val="Calibri"/>
      <family val="2"/>
      <scheme val="minor"/>
    </font>
    <font>
      <sz val="11"/>
      <color rgb="FF000000"/>
      <name val="Calibri"/>
      <family val="2"/>
    </font>
    <font>
      <sz val="12"/>
      <color rgb="FF000000"/>
      <name val="Times New Roman"/>
      <family val="1"/>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45">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style="thin">
        <color theme="2" tint="-0.24994659260841701"/>
      </bottom>
      <diagonal/>
    </border>
    <border>
      <left style="thin">
        <color indexed="64"/>
      </left>
      <right/>
      <top style="thin">
        <color theme="2" tint="-0.24994659260841701"/>
      </top>
      <bottom style="thin">
        <color theme="2" tint="-0.24994659260841701"/>
      </bottom>
      <diagonal/>
    </border>
    <border>
      <left style="thin">
        <color rgb="FF000000"/>
      </left>
      <right style="thin">
        <color rgb="FF000000"/>
      </right>
      <top style="thin">
        <color rgb="FF000000"/>
      </top>
      <bottom style="thin">
        <color rgb="FF000000"/>
      </bottom>
      <diagonal/>
    </border>
    <border>
      <left style="medium">
        <color indexed="64"/>
      </left>
      <right style="thin">
        <color theme="2" tint="-0.24994659260841701"/>
      </right>
      <top/>
      <bottom style="thin">
        <color theme="2" tint="-0.24994659260841701"/>
      </bottom>
      <diagonal/>
    </border>
    <border>
      <left style="thin">
        <color theme="2" tint="-0.24994659260841701"/>
      </left>
      <right style="thin">
        <color indexed="64"/>
      </right>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style="thin">
        <color theme="2" tint="-0.2499465926084170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bottom style="thin">
        <color rgb="FF000000"/>
      </bottom>
      <diagonal/>
    </border>
  </borders>
  <cellStyleXfs count="4">
    <xf numFmtId="0" fontId="0" fillId="0" borderId="0"/>
    <xf numFmtId="0" fontId="11" fillId="0" borderId="0" applyNumberFormat="0" applyFill="0" applyBorder="0" applyAlignment="0" applyProtection="0"/>
    <xf numFmtId="44" fontId="23" fillId="0" borderId="0" applyFont="0" applyFill="0" applyBorder="0" applyAlignment="0" applyProtection="0"/>
    <xf numFmtId="9" fontId="23" fillId="0" borderId="0" applyFont="0" applyFill="0" applyBorder="0" applyAlignment="0" applyProtection="0"/>
  </cellStyleXfs>
  <cellXfs count="122">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1" xfId="0" applyFont="1" applyBorder="1"/>
    <xf numFmtId="0" fontId="10" fillId="0" borderId="9" xfId="0" applyFont="1" applyBorder="1"/>
    <xf numFmtId="0" fontId="13" fillId="4" borderId="14" xfId="0" applyFont="1" applyFill="1" applyBorder="1"/>
    <xf numFmtId="0" fontId="13" fillId="4" borderId="12" xfId="0" applyFont="1" applyFill="1" applyBorder="1" applyAlignment="1">
      <alignment horizontal="fill"/>
    </xf>
    <xf numFmtId="0" fontId="10" fillId="0" borderId="17" xfId="0" applyFont="1" applyBorder="1"/>
    <xf numFmtId="0" fontId="10" fillId="5" borderId="18" xfId="0" applyFont="1" applyFill="1" applyBorder="1"/>
    <xf numFmtId="14" fontId="10" fillId="5" borderId="18" xfId="0" applyNumberFormat="1" applyFont="1" applyFill="1" applyBorder="1"/>
    <xf numFmtId="0" fontId="12" fillId="0" borderId="19"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5" fillId="3"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0" fillId="0" borderId="2" xfId="0" applyFont="1" applyBorder="1" applyAlignment="1">
      <alignment horizontal="left" vertical="top" wrapText="1"/>
    </xf>
    <xf numFmtId="0" fontId="18" fillId="0" borderId="2" xfId="0" applyFont="1" applyBorder="1" applyAlignment="1">
      <alignment horizontal="center" vertical="center" wrapText="1"/>
    </xf>
    <xf numFmtId="0" fontId="19" fillId="3"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10" fillId="0" borderId="2" xfId="0" applyFont="1" applyBorder="1" applyAlignment="1">
      <alignment vertical="top" wrapText="1"/>
    </xf>
    <xf numFmtId="0" fontId="10" fillId="3" borderId="2" xfId="0" applyFont="1" applyFill="1" applyBorder="1" applyAlignment="1">
      <alignment horizontal="left" vertical="top"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1" fillId="0" borderId="0" xfId="0" applyFont="1" applyAlignment="1">
      <alignment vertical="center"/>
    </xf>
    <xf numFmtId="0" fontId="8" fillId="4" borderId="22" xfId="0" applyFont="1" applyFill="1" applyBorder="1"/>
    <xf numFmtId="0" fontId="13" fillId="4" borderId="23" xfId="0" applyFont="1" applyFill="1" applyBorder="1"/>
    <xf numFmtId="0" fontId="13" fillId="4" borderId="24"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8" xfId="0" applyFont="1" applyFill="1" applyBorder="1" applyAlignment="1">
      <alignment horizontal="center"/>
    </xf>
    <xf numFmtId="0" fontId="0" fillId="0" borderId="29" xfId="0" applyBorder="1"/>
    <xf numFmtId="0" fontId="10" fillId="0" borderId="30" xfId="0" applyFont="1" applyBorder="1"/>
    <xf numFmtId="0" fontId="12" fillId="0" borderId="28" xfId="1" applyFont="1" applyFill="1" applyBorder="1" applyAlignment="1">
      <alignment horizontal="fill"/>
    </xf>
    <xf numFmtId="0" fontId="10" fillId="0" borderId="31" xfId="0" applyFont="1" applyBorder="1"/>
    <xf numFmtId="0" fontId="8" fillId="4" borderId="32" xfId="0" applyFont="1" applyFill="1" applyBorder="1" applyAlignment="1">
      <alignment horizontal="left"/>
    </xf>
    <xf numFmtId="0" fontId="8" fillId="4" borderId="0" xfId="0" applyFont="1" applyFill="1"/>
    <xf numFmtId="0" fontId="8" fillId="4" borderId="16" xfId="0" applyFont="1" applyFill="1" applyBorder="1" applyAlignment="1">
      <alignment horizontal="fill"/>
    </xf>
    <xf numFmtId="0" fontId="10" fillId="5" borderId="34" xfId="0" applyFont="1" applyFill="1" applyBorder="1"/>
    <xf numFmtId="0" fontId="19" fillId="0" borderId="2" xfId="1" applyFont="1" applyBorder="1" applyAlignment="1">
      <alignment horizontal="fill"/>
    </xf>
    <xf numFmtId="0" fontId="10" fillId="0" borderId="37" xfId="0" applyFont="1" applyBorder="1"/>
    <xf numFmtId="164" fontId="0" fillId="0" borderId="4" xfId="2" applyNumberFormat="1" applyFont="1" applyBorder="1" applyAlignment="1">
      <alignment horizontal="center"/>
    </xf>
    <xf numFmtId="0" fontId="0" fillId="0" borderId="4" xfId="0" applyBorder="1" applyAlignment="1">
      <alignment horizontal="center"/>
    </xf>
    <xf numFmtId="14" fontId="10" fillId="5" borderId="11" xfId="0" applyNumberFormat="1" applyFont="1" applyFill="1" applyBorder="1" applyAlignment="1">
      <alignment horizontal="left"/>
    </xf>
    <xf numFmtId="0" fontId="11" fillId="0" borderId="12" xfId="1" applyBorder="1" applyAlignment="1">
      <alignment horizontal="fill"/>
    </xf>
    <xf numFmtId="0" fontId="19" fillId="0" borderId="12" xfId="1" applyFont="1" applyBorder="1" applyAlignment="1">
      <alignment horizontal="left"/>
    </xf>
    <xf numFmtId="0" fontId="11" fillId="0" borderId="12" xfId="1" applyFill="1" applyBorder="1" applyAlignment="1">
      <alignment horizontal="fill"/>
    </xf>
    <xf numFmtId="0" fontId="11" fillId="0" borderId="0" xfId="1"/>
    <xf numFmtId="0" fontId="15" fillId="3" borderId="2" xfId="0" applyFont="1" applyFill="1" applyBorder="1" applyAlignment="1">
      <alignment horizontal="center" vertical="top" wrapText="1"/>
    </xf>
    <xf numFmtId="0" fontId="16" fillId="3" borderId="2" xfId="0" applyFont="1" applyFill="1" applyBorder="1" applyAlignment="1">
      <alignment horizontal="left" vertical="top" wrapText="1"/>
    </xf>
    <xf numFmtId="0" fontId="15" fillId="0" borderId="2" xfId="0" applyFont="1" applyBorder="1" applyAlignment="1">
      <alignment horizontal="center" vertical="top" wrapText="1"/>
    </xf>
    <xf numFmtId="0" fontId="10" fillId="5" borderId="2" xfId="0" applyFont="1" applyFill="1" applyBorder="1" applyAlignment="1">
      <alignment vertical="top" wrapText="1"/>
    </xf>
    <xf numFmtId="0" fontId="0" fillId="5" borderId="0" xfId="0" applyFill="1" applyAlignment="1">
      <alignment vertical="top" wrapText="1"/>
    </xf>
    <xf numFmtId="8" fontId="0" fillId="0" borderId="4" xfId="0" applyNumberFormat="1" applyBorder="1" applyAlignment="1">
      <alignment horizontal="center"/>
    </xf>
    <xf numFmtId="9" fontId="0" fillId="0" borderId="4" xfId="0" applyNumberFormat="1" applyBorder="1" applyAlignment="1">
      <alignment horizontal="center"/>
    </xf>
    <xf numFmtId="0" fontId="16" fillId="0" borderId="33" xfId="1" applyFont="1" applyBorder="1" applyAlignment="1">
      <alignment horizontal="fill"/>
    </xf>
    <xf numFmtId="0" fontId="10" fillId="5" borderId="36" xfId="0" applyFont="1" applyFill="1" applyBorder="1"/>
    <xf numFmtId="10" fontId="0" fillId="0" borderId="4" xfId="3" applyNumberFormat="1" applyFont="1" applyBorder="1" applyAlignment="1">
      <alignment horizontal="center"/>
    </xf>
    <xf numFmtId="0" fontId="10" fillId="3" borderId="2" xfId="0" applyFont="1" applyFill="1" applyBorder="1" applyAlignment="1">
      <alignment vertical="top" wrapText="1"/>
    </xf>
    <xf numFmtId="0" fontId="15" fillId="3" borderId="2" xfId="0" applyFont="1" applyFill="1" applyBorder="1" applyAlignment="1">
      <alignment horizontal="left" vertical="top" wrapText="1"/>
    </xf>
    <xf numFmtId="0" fontId="19" fillId="3" borderId="2" xfId="0" applyFont="1" applyFill="1" applyBorder="1" applyAlignment="1">
      <alignment horizontal="left" vertical="top" wrapText="1"/>
    </xf>
    <xf numFmtId="0" fontId="15" fillId="5" borderId="2" xfId="0" applyFont="1" applyFill="1" applyBorder="1" applyAlignment="1">
      <alignment horizontal="center" vertical="top" wrapText="1"/>
    </xf>
    <xf numFmtId="0" fontId="18" fillId="5" borderId="2" xfId="0" applyFont="1" applyFill="1" applyBorder="1" applyAlignment="1">
      <alignment vertical="top" wrapText="1"/>
    </xf>
    <xf numFmtId="0" fontId="16" fillId="5" borderId="2" xfId="0" applyFont="1" applyFill="1" applyBorder="1" applyAlignment="1">
      <alignment horizontal="left" vertical="top" wrapText="1"/>
    </xf>
    <xf numFmtId="0" fontId="10" fillId="5" borderId="2" xfId="0" applyFont="1" applyFill="1" applyBorder="1" applyAlignment="1">
      <alignment horizontal="left" vertical="top" wrapText="1"/>
    </xf>
    <xf numFmtId="0" fontId="16" fillId="0" borderId="2" xfId="0" applyFont="1" applyBorder="1" applyAlignment="1">
      <alignment horizontal="left" vertical="top" wrapText="1"/>
    </xf>
    <xf numFmtId="0" fontId="10" fillId="0" borderId="38" xfId="0" applyFont="1" applyBorder="1"/>
    <xf numFmtId="0" fontId="10" fillId="0" borderId="11" xfId="0" applyFont="1" applyBorder="1" applyAlignment="1">
      <alignment wrapText="1"/>
    </xf>
    <xf numFmtId="0" fontId="19" fillId="5" borderId="2" xfId="0" applyFont="1" applyFill="1" applyBorder="1" applyAlignment="1">
      <alignment vertical="top" wrapText="1"/>
    </xf>
    <xf numFmtId="0" fontId="20" fillId="5" borderId="2" xfId="0" applyFont="1" applyFill="1" applyBorder="1" applyAlignment="1">
      <alignment horizontal="center" vertical="top" wrapText="1"/>
    </xf>
    <xf numFmtId="0" fontId="0" fillId="0" borderId="40" xfId="0" applyBorder="1"/>
    <xf numFmtId="0" fontId="10" fillId="5" borderId="41" xfId="0" applyFont="1" applyFill="1" applyBorder="1"/>
    <xf numFmtId="0" fontId="11" fillId="0" borderId="42" xfId="1" applyBorder="1"/>
    <xf numFmtId="0" fontId="0" fillId="0" borderId="35" xfId="0" applyBorder="1"/>
    <xf numFmtId="0" fontId="12" fillId="0" borderId="3" xfId="1" applyFont="1" applyFill="1" applyBorder="1" applyAlignment="1">
      <alignment horizontal="fill"/>
    </xf>
    <xf numFmtId="0" fontId="12" fillId="0" borderId="43" xfId="1" applyFont="1" applyFill="1" applyBorder="1" applyAlignment="1">
      <alignment horizontal="fill"/>
    </xf>
    <xf numFmtId="0" fontId="0" fillId="0" borderId="44" xfId="0" applyBorder="1"/>
    <xf numFmtId="0" fontId="11" fillId="0" borderId="35" xfId="1" applyBorder="1"/>
    <xf numFmtId="0" fontId="10" fillId="5" borderId="35" xfId="0" applyFont="1" applyFill="1" applyBorder="1"/>
    <xf numFmtId="14" fontId="10" fillId="5" borderId="34" xfId="0" applyNumberFormat="1" applyFont="1" applyFill="1" applyBorder="1" applyAlignment="1">
      <alignment horizontal="left"/>
    </xf>
    <xf numFmtId="0" fontId="11" fillId="0" borderId="40" xfId="1" applyBorder="1"/>
    <xf numFmtId="14" fontId="10" fillId="5" borderId="34" xfId="0" applyNumberFormat="1" applyFont="1" applyFill="1" applyBorder="1"/>
    <xf numFmtId="0" fontId="12" fillId="0" borderId="42" xfId="1" applyFont="1" applyBorder="1" applyAlignment="1">
      <alignment horizontal="fill"/>
    </xf>
    <xf numFmtId="0" fontId="0" fillId="0" borderId="2" xfId="0" applyBorder="1" applyAlignment="1">
      <alignment horizontal="center"/>
    </xf>
    <xf numFmtId="0" fontId="4" fillId="2" borderId="25" xfId="0" applyFont="1" applyFill="1" applyBorder="1" applyAlignment="1">
      <alignment horizontal="center" vertical="center"/>
    </xf>
    <xf numFmtId="15" fontId="0" fillId="0" borderId="2" xfId="0" applyNumberFormat="1" applyBorder="1" applyAlignment="1">
      <alignment horizontal="center"/>
    </xf>
    <xf numFmtId="49" fontId="0" fillId="0" borderId="2" xfId="0" applyNumberFormat="1" applyBorder="1" applyAlignment="1">
      <alignment horizontal="center"/>
    </xf>
    <xf numFmtId="0" fontId="0" fillId="0" borderId="3" xfId="0" applyBorder="1" applyAlignment="1">
      <alignment horizontal="center"/>
    </xf>
    <xf numFmtId="0" fontId="14" fillId="2" borderId="20" xfId="0" applyFont="1" applyFill="1" applyBorder="1" applyAlignment="1">
      <alignment horizontal="center" vertical="center"/>
    </xf>
    <xf numFmtId="0" fontId="14" fillId="2" borderId="21" xfId="0" applyFont="1" applyFill="1" applyBorder="1" applyAlignment="1">
      <alignment horizontal="center" vertical="center"/>
    </xf>
    <xf numFmtId="14" fontId="22" fillId="0" borderId="2" xfId="0" applyNumberFormat="1" applyFont="1" applyBorder="1" applyAlignment="1">
      <alignment horizontal="center"/>
    </xf>
    <xf numFmtId="0" fontId="22" fillId="0" borderId="2" xfId="0" applyFont="1" applyBorder="1" applyAlignment="1">
      <alignment horizontal="center"/>
    </xf>
    <xf numFmtId="0" fontId="22" fillId="0" borderId="3" xfId="0" applyFont="1" applyBorder="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24" fillId="0" borderId="3" xfId="0" applyFont="1" applyBorder="1" applyAlignment="1">
      <alignment horizontal="center" wrapText="1"/>
    </xf>
    <xf numFmtId="0" fontId="22" fillId="0" borderId="39" xfId="0" applyFont="1" applyBorder="1" applyAlignment="1">
      <alignment horizontal="center" wrapText="1"/>
    </xf>
    <xf numFmtId="0" fontId="22" fillId="0" borderId="4" xfId="0" applyFont="1" applyBorder="1" applyAlignment="1">
      <alignment horizontal="center" wrapText="1"/>
    </xf>
    <xf numFmtId="0" fontId="22" fillId="0" borderId="3" xfId="0" applyFont="1" applyBorder="1" applyAlignment="1">
      <alignment horizontal="center" wrapText="1"/>
    </xf>
    <xf numFmtId="0" fontId="25" fillId="0" borderId="2" xfId="0" applyFont="1" applyBorder="1" applyAlignment="1">
      <alignment horizontal="center"/>
    </xf>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riana Cabrera" id="{B2AC408B-152A-46BC-8309-555B3D0EC83E}" userId="S::mcabrera@partners.net::c3965e9a-17dc-4db8-9128-3f2423b54c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3-12-15T03:08:41.00" personId="{B2AC408B-152A-46BC-8309-555B3D0EC83E}" id="{9960FD02-2B01-4F16-9157-B6CFAF63E411}">
    <text>Including $2734.90 from Dos2002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partnersnet107.sharepoint.com/:b:/s/Programs/Ean0M_nToYpLk9PJBwPEpOABpAh7IriX27rBP0NFZlzXqg?e=hVqaPX" TargetMode="External"/><Relationship Id="rId2" Type="http://schemas.openxmlformats.org/officeDocument/2006/relationships/hyperlink" Target="https://partnersnet107.sharepoint.com/:w:/s/Programs/ESBzGjO9X7VOgVICJy2Jk1UBnkY1VZYHMxZ3E_unuTj5kA?e=v4fAQO" TargetMode="External"/><Relationship Id="rId1" Type="http://schemas.openxmlformats.org/officeDocument/2006/relationships/hyperlink" Target="https://partnersnet107.sharepoint.com/:b:/s/Programs/EYK005NC2_FAh_eEId3DaBwBQ9I29CFRrpbwELWJbHEHxw?e=5xi3CJ" TargetMode="External"/><Relationship Id="rId5" Type="http://schemas.openxmlformats.org/officeDocument/2006/relationships/printerSettings" Target="../printerSettings/printerSettings2.bin"/><Relationship Id="rId4" Type="http://schemas.openxmlformats.org/officeDocument/2006/relationships/hyperlink" Target="https://partnersnet107.sharepoint.com/:x:/s/Programs/EXEJUdR62gNHuXo-a7rvIPMBNnO66q1hqXggClTsrI2jFQ?e=GsBn6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s://partnersnet107.sharepoint.com/:b:/s/Programs/EY-kVQCqmehDjIyiqQyHRJkBEavRg6iVy0W9veIpRrHcdA?e=qBpklv" TargetMode="External"/><Relationship Id="rId1" Type="http://schemas.openxmlformats.org/officeDocument/2006/relationships/hyperlink" Target="https://partnersnet107.sharepoint.com/:b:/s/Programs/EY-kVQCqmehDjIyiqQyHRJkBEavRg6iVy0W9veIpRrHcdA?e=n0nFhR"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s://partnersnet107.sharepoint.com/:b:/s/Programs/ERPQoLYOKGhElw6w3V7Jv5QBUQPpOMkPpD2EmDhA2e9lwA?e=guecKE"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hyperlink" Target="https://partnersnet107.sharepoint.com/:b:/s/Programs/ESjM8KPVgJJCpZPUicsWi6kBmnwBGHNWJfHG1rnjZoLMhA?e=PLGC0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artnersnet107.sharepoint.com/:b:/s/Programs/EUOKVQhSdi9AjUkZ7etcC_4BrYwvuZtAqSI-xIzZu13iJA?e=o21Ylw"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artnersnet107.sharepoint.com/:b:/s/Programs/Efr6C4CL4jdOjuNwGZAjz3UBc6KoRWtRmU0k0WT3QqVc-w?e=3h6b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F11" sqref="F11"/>
    </sheetView>
  </sheetViews>
  <sheetFormatPr baseColWidth="10" defaultColWidth="8.83203125" defaultRowHeight="15" x14ac:dyDescent="0.2"/>
  <sheetData>
    <row r="1" spans="1:4" x14ac:dyDescent="0.2">
      <c r="A1" s="43" t="s">
        <v>0</v>
      </c>
    </row>
    <row r="2" spans="1:4" x14ac:dyDescent="0.2">
      <c r="A2" s="2" t="s">
        <v>1</v>
      </c>
    </row>
    <row r="3" spans="1:4" x14ac:dyDescent="0.2">
      <c r="A3" s="2" t="s">
        <v>2</v>
      </c>
    </row>
    <row r="4" spans="1:4" x14ac:dyDescent="0.2">
      <c r="A4" s="2" t="s">
        <v>3</v>
      </c>
    </row>
    <row r="5" spans="1:4" x14ac:dyDescent="0.2">
      <c r="A5" s="2" t="s">
        <v>4</v>
      </c>
    </row>
    <row r="6" spans="1:4" x14ac:dyDescent="0.2">
      <c r="A6" s="2" t="s">
        <v>5</v>
      </c>
    </row>
    <row r="7" spans="1:4" x14ac:dyDescent="0.2">
      <c r="A7" s="2"/>
    </row>
    <row r="8" spans="1:4" x14ac:dyDescent="0.2">
      <c r="A8" s="43" t="s">
        <v>6</v>
      </c>
    </row>
    <row r="9" spans="1:4" x14ac:dyDescent="0.2">
      <c r="A9" s="1" t="s">
        <v>7</v>
      </c>
    </row>
    <row r="10" spans="1:4" x14ac:dyDescent="0.2">
      <c r="A10" s="1"/>
      <c r="B10" s="1"/>
      <c r="C10" s="1"/>
      <c r="D10" s="1"/>
    </row>
    <row r="11" spans="1:4" x14ac:dyDescent="0.2">
      <c r="A11" s="43" t="s">
        <v>8</v>
      </c>
      <c r="B11" s="1"/>
      <c r="C11" s="1"/>
      <c r="D11" s="1"/>
    </row>
    <row r="12" spans="1:4" x14ac:dyDescent="0.2">
      <c r="A12" s="1" t="s">
        <v>9</v>
      </c>
      <c r="B12" s="1"/>
      <c r="C12" s="1"/>
      <c r="D12" s="1"/>
    </row>
    <row r="13" spans="1:4" x14ac:dyDescent="0.2">
      <c r="A13" s="1" t="s">
        <v>10</v>
      </c>
      <c r="B13" s="1"/>
      <c r="C13" s="1"/>
      <c r="D13" s="1"/>
    </row>
    <row r="14" spans="1:4" x14ac:dyDescent="0.2">
      <c r="A14" s="1"/>
      <c r="B14" s="1"/>
      <c r="C14" s="1"/>
      <c r="D14" s="1"/>
    </row>
    <row r="15" spans="1:4" x14ac:dyDescent="0.2">
      <c r="A15" s="1"/>
      <c r="B15" s="1"/>
      <c r="C15" s="1"/>
      <c r="D15" s="1"/>
    </row>
    <row r="16" spans="1:4"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38"/>
  <sheetViews>
    <sheetView showGridLines="0" zoomScaleNormal="100" workbookViewId="0">
      <pane ySplit="12" topLeftCell="A13" activePane="bottomLeft" state="frozen"/>
      <selection pane="bottomLeft" activeCell="B6" sqref="B5:E6"/>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7" width="93" style="29" bestFit="1" customWidth="1"/>
    <col min="8" max="8" width="57.5" style="29" customWidth="1"/>
  </cols>
  <sheetData>
    <row r="1" spans="1:8" ht="30" customHeight="1" x14ac:dyDescent="0.2">
      <c r="A1" s="106" t="s">
        <v>11</v>
      </c>
      <c r="B1" s="106"/>
      <c r="C1" s="106"/>
      <c r="D1" s="106"/>
      <c r="E1" s="106"/>
      <c r="F1" s="106"/>
      <c r="G1" s="106"/>
      <c r="H1" s="106"/>
    </row>
    <row r="2" spans="1:8" s="6" customFormat="1" ht="19" x14ac:dyDescent="0.25">
      <c r="A2" s="3" t="s">
        <v>12</v>
      </c>
      <c r="B2" s="105" t="s">
        <v>13</v>
      </c>
      <c r="C2" s="105"/>
      <c r="D2" s="105"/>
      <c r="E2" s="105"/>
      <c r="F2" s="4" t="s">
        <v>14</v>
      </c>
      <c r="G2" s="63">
        <v>221465</v>
      </c>
      <c r="H2" s="52" t="s">
        <v>15</v>
      </c>
    </row>
    <row r="3" spans="1:8" ht="18" x14ac:dyDescent="0.2">
      <c r="A3" s="3" t="s">
        <v>16</v>
      </c>
      <c r="B3" s="105" t="s">
        <v>17</v>
      </c>
      <c r="C3" s="105"/>
      <c r="D3" s="105"/>
      <c r="E3" s="105"/>
      <c r="F3" s="4" t="s">
        <v>18</v>
      </c>
      <c r="G3" s="63">
        <f>G2</f>
        <v>221465</v>
      </c>
      <c r="H3" s="53"/>
    </row>
    <row r="4" spans="1:8" ht="18" x14ac:dyDescent="0.2">
      <c r="A4" s="3" t="s">
        <v>19</v>
      </c>
      <c r="B4" s="105" t="s">
        <v>20</v>
      </c>
      <c r="C4" s="105"/>
      <c r="D4" s="105"/>
      <c r="E4" s="105"/>
      <c r="F4" s="4" t="s">
        <v>21</v>
      </c>
      <c r="G4" s="63">
        <v>0</v>
      </c>
      <c r="H4" s="53"/>
    </row>
    <row r="5" spans="1:8" ht="18" x14ac:dyDescent="0.2">
      <c r="A5" s="3" t="s">
        <v>22</v>
      </c>
      <c r="B5" s="105" t="s">
        <v>23</v>
      </c>
      <c r="C5" s="105"/>
      <c r="D5" s="105"/>
      <c r="E5" s="105"/>
      <c r="F5" s="4" t="s">
        <v>24</v>
      </c>
      <c r="G5" s="63">
        <v>0</v>
      </c>
      <c r="H5" s="53"/>
    </row>
    <row r="6" spans="1:8" ht="18" x14ac:dyDescent="0.2">
      <c r="A6" s="3" t="s">
        <v>25</v>
      </c>
      <c r="B6" s="108" t="s">
        <v>26</v>
      </c>
      <c r="C6" s="108"/>
      <c r="D6" s="108"/>
      <c r="E6" s="108"/>
      <c r="F6" s="4" t="s">
        <v>27</v>
      </c>
      <c r="G6" s="5"/>
      <c r="H6" s="53"/>
    </row>
    <row r="7" spans="1:8" ht="18" x14ac:dyDescent="0.2">
      <c r="A7" s="3" t="s">
        <v>28</v>
      </c>
      <c r="B7" s="107">
        <v>44769</v>
      </c>
      <c r="C7" s="107"/>
      <c r="D7" s="107"/>
      <c r="E7" s="107"/>
      <c r="F7" s="4" t="s">
        <v>29</v>
      </c>
      <c r="G7" s="64" t="s">
        <v>30</v>
      </c>
      <c r="H7" s="53"/>
    </row>
    <row r="8" spans="1:8" ht="18" customHeight="1" x14ac:dyDescent="0.2">
      <c r="A8" s="3" t="s">
        <v>31</v>
      </c>
      <c r="B8" s="107">
        <v>45500</v>
      </c>
      <c r="C8" s="107"/>
      <c r="D8" s="107"/>
      <c r="E8" s="107"/>
      <c r="F8" s="4" t="s">
        <v>32</v>
      </c>
      <c r="G8" s="79">
        <v>0.2969</v>
      </c>
      <c r="H8" s="53"/>
    </row>
    <row r="9" spans="1:8" ht="18" x14ac:dyDescent="0.2">
      <c r="A9" s="3" t="s">
        <v>33</v>
      </c>
      <c r="B9" s="105" t="s">
        <v>34</v>
      </c>
      <c r="C9" s="105"/>
      <c r="D9" s="105"/>
      <c r="E9" s="105"/>
      <c r="F9" s="4" t="s">
        <v>35</v>
      </c>
      <c r="G9" s="64" t="s">
        <v>36</v>
      </c>
      <c r="H9" s="53"/>
    </row>
    <row r="10" spans="1:8" ht="18" x14ac:dyDescent="0.2">
      <c r="A10" s="3" t="s">
        <v>37</v>
      </c>
      <c r="B10" s="105" t="s">
        <v>38</v>
      </c>
      <c r="C10" s="105"/>
      <c r="D10" s="105"/>
      <c r="E10" s="105"/>
      <c r="F10" s="4" t="s">
        <v>39</v>
      </c>
      <c r="G10" s="64"/>
      <c r="H10" s="53"/>
    </row>
    <row r="11" spans="1:8" ht="18" x14ac:dyDescent="0.2">
      <c r="A11" s="3" t="s">
        <v>40</v>
      </c>
      <c r="B11" s="105"/>
      <c r="C11" s="105"/>
      <c r="D11" s="105"/>
      <c r="E11" s="105"/>
      <c r="F11" s="4"/>
      <c r="G11" s="109"/>
      <c r="H11" s="109"/>
    </row>
    <row r="12" spans="1:8" s="6" customFormat="1" ht="30" customHeight="1" x14ac:dyDescent="0.25">
      <c r="A12" s="7" t="s">
        <v>41</v>
      </c>
      <c r="B12" s="7" t="s">
        <v>42</v>
      </c>
      <c r="C12" s="7" t="s">
        <v>43</v>
      </c>
      <c r="D12" s="7" t="s">
        <v>44</v>
      </c>
      <c r="E12" s="7" t="s">
        <v>45</v>
      </c>
      <c r="F12" s="7" t="s">
        <v>46</v>
      </c>
      <c r="G12" s="8" t="s">
        <v>47</v>
      </c>
      <c r="H12" s="8" t="s">
        <v>48</v>
      </c>
    </row>
    <row r="13" spans="1:8" s="12" customFormat="1" ht="20" customHeight="1" x14ac:dyDescent="0.25">
      <c r="A13" s="9" t="s">
        <v>49</v>
      </c>
      <c r="B13" s="10"/>
      <c r="C13" s="10"/>
      <c r="D13" s="10"/>
      <c r="E13" s="10"/>
      <c r="F13" s="10"/>
      <c r="G13" s="11"/>
      <c r="H13" s="11"/>
    </row>
    <row r="14" spans="1:8" ht="20" customHeight="1" x14ac:dyDescent="0.2">
      <c r="A14" s="13" t="s">
        <v>50</v>
      </c>
      <c r="B14" s="14" t="s">
        <v>51</v>
      </c>
      <c r="C14" s="15" t="s">
        <v>52</v>
      </c>
      <c r="D14" s="65" t="s">
        <v>53</v>
      </c>
      <c r="E14" s="65">
        <v>44768</v>
      </c>
      <c r="F14" s="15" t="s">
        <v>54</v>
      </c>
      <c r="G14" s="66" t="s">
        <v>55</v>
      </c>
      <c r="H14" s="67" t="s">
        <v>56</v>
      </c>
    </row>
    <row r="15" spans="1:8" ht="20" customHeight="1" x14ac:dyDescent="0.2">
      <c r="A15" s="13" t="s">
        <v>57</v>
      </c>
      <c r="B15" s="14" t="s">
        <v>51</v>
      </c>
      <c r="C15" s="15" t="s">
        <v>52</v>
      </c>
      <c r="D15" s="65">
        <v>45062</v>
      </c>
      <c r="E15" s="65">
        <v>45069</v>
      </c>
      <c r="F15" s="15" t="s">
        <v>58</v>
      </c>
      <c r="G15" s="66" t="s">
        <v>59</v>
      </c>
      <c r="H15" s="67" t="s">
        <v>60</v>
      </c>
    </row>
    <row r="16" spans="1:8" ht="20" customHeight="1" x14ac:dyDescent="0.2">
      <c r="A16" s="13" t="s">
        <v>61</v>
      </c>
      <c r="B16" s="14" t="s">
        <v>51</v>
      </c>
      <c r="C16" s="15" t="s">
        <v>62</v>
      </c>
      <c r="D16" s="65" t="s">
        <v>53</v>
      </c>
      <c r="E16" s="65" t="s">
        <v>53</v>
      </c>
      <c r="F16" s="15"/>
      <c r="G16" s="66"/>
      <c r="H16" s="67"/>
    </row>
    <row r="17" spans="1:8" ht="20" customHeight="1" x14ac:dyDescent="0.2">
      <c r="A17" s="13" t="s">
        <v>63</v>
      </c>
      <c r="B17" s="14" t="s">
        <v>51</v>
      </c>
      <c r="C17" s="15" t="s">
        <v>62</v>
      </c>
      <c r="D17" s="65" t="s">
        <v>53</v>
      </c>
      <c r="E17" s="65" t="s">
        <v>53</v>
      </c>
      <c r="F17" s="15"/>
      <c r="G17" s="66"/>
      <c r="H17" s="67"/>
    </row>
    <row r="18" spans="1:8" s="6" customFormat="1" ht="20" customHeight="1" x14ac:dyDescent="0.25">
      <c r="A18" s="17" t="s">
        <v>64</v>
      </c>
      <c r="B18" s="18"/>
      <c r="C18" s="18"/>
      <c r="D18" s="18"/>
      <c r="E18" s="18"/>
      <c r="F18" s="18"/>
      <c r="G18" s="19"/>
      <c r="H18" s="19"/>
    </row>
    <row r="19" spans="1:8" ht="20" customHeight="1" x14ac:dyDescent="0.2">
      <c r="A19" s="88" t="s">
        <v>65</v>
      </c>
      <c r="B19" s="20" t="s">
        <v>66</v>
      </c>
      <c r="C19" s="15" t="s">
        <v>52</v>
      </c>
      <c r="D19" s="65">
        <v>45090</v>
      </c>
      <c r="E19" s="65">
        <v>45117</v>
      </c>
      <c r="F19" s="89" t="s">
        <v>67</v>
      </c>
      <c r="G19" s="68" t="s">
        <v>68</v>
      </c>
      <c r="H19" s="67" t="s">
        <v>69</v>
      </c>
    </row>
    <row r="20" spans="1:8" s="6" customFormat="1" ht="20" customHeight="1" x14ac:dyDescent="0.25">
      <c r="A20" s="17" t="s">
        <v>70</v>
      </c>
      <c r="B20" s="18"/>
      <c r="C20" s="18"/>
      <c r="D20" s="18"/>
      <c r="E20" s="18"/>
      <c r="F20" s="18"/>
      <c r="G20" s="19"/>
      <c r="H20" s="19"/>
    </row>
    <row r="21" spans="1:8" ht="20" customHeight="1" x14ac:dyDescent="0.2">
      <c r="A21" s="22" t="s">
        <v>71</v>
      </c>
      <c r="B21" s="20" t="s">
        <v>66</v>
      </c>
      <c r="C21" s="15" t="s">
        <v>52</v>
      </c>
      <c r="D21" s="65">
        <v>44756</v>
      </c>
      <c r="E21" s="65">
        <v>44768</v>
      </c>
      <c r="F21" s="21" t="s">
        <v>72</v>
      </c>
      <c r="G21" s="68" t="s">
        <v>73</v>
      </c>
      <c r="H21" s="67" t="s">
        <v>74</v>
      </c>
    </row>
    <row r="22" spans="1:8" s="6" customFormat="1" ht="20" customHeight="1" x14ac:dyDescent="0.25">
      <c r="A22" s="44" t="s">
        <v>75</v>
      </c>
      <c r="B22" s="45"/>
      <c r="C22" s="45"/>
      <c r="D22" s="45"/>
      <c r="E22" s="45"/>
      <c r="F22" s="45"/>
      <c r="G22" s="46"/>
      <c r="H22" s="46"/>
    </row>
    <row r="23" spans="1:8" ht="20" customHeight="1" x14ac:dyDescent="0.2">
      <c r="A23" s="54" t="s">
        <v>76</v>
      </c>
      <c r="B23" s="47"/>
      <c r="C23" s="48"/>
      <c r="D23" s="49"/>
      <c r="E23" s="49"/>
      <c r="F23" s="47"/>
      <c r="G23" s="51"/>
      <c r="H23" s="55"/>
    </row>
    <row r="24" spans="1:8" s="6" customFormat="1" ht="20" customHeight="1" x14ac:dyDescent="0.25">
      <c r="A24" s="44" t="s">
        <v>77</v>
      </c>
      <c r="B24" s="45"/>
      <c r="C24" s="45"/>
      <c r="D24" s="45" t="s">
        <v>78</v>
      </c>
      <c r="E24" s="45" t="s">
        <v>79</v>
      </c>
      <c r="F24" s="45"/>
      <c r="G24" s="46"/>
      <c r="H24" s="46"/>
    </row>
    <row r="25" spans="1:8" ht="20" customHeight="1" x14ac:dyDescent="0.2">
      <c r="A25" s="54" t="s">
        <v>80</v>
      </c>
      <c r="B25" s="47" t="s">
        <v>81</v>
      </c>
      <c r="C25" s="48"/>
      <c r="D25" s="49" t="s">
        <v>53</v>
      </c>
      <c r="E25" s="49" t="s">
        <v>53</v>
      </c>
      <c r="F25" s="47"/>
      <c r="G25" s="51"/>
      <c r="H25" s="55"/>
    </row>
    <row r="26" spans="1:8" ht="20" customHeight="1" x14ac:dyDescent="0.2">
      <c r="A26" s="54" t="s">
        <v>80</v>
      </c>
      <c r="B26" s="47" t="s">
        <v>81</v>
      </c>
      <c r="C26" s="48"/>
      <c r="D26" s="49" t="s">
        <v>53</v>
      </c>
      <c r="E26" s="49" t="s">
        <v>53</v>
      </c>
      <c r="F26" s="47"/>
      <c r="G26" s="51"/>
      <c r="H26" s="55"/>
    </row>
    <row r="27" spans="1:8" ht="20" customHeight="1" x14ac:dyDescent="0.2">
      <c r="A27" s="54" t="s">
        <v>80</v>
      </c>
      <c r="B27" s="47" t="s">
        <v>81</v>
      </c>
      <c r="C27" s="48"/>
      <c r="D27" s="49" t="s">
        <v>53</v>
      </c>
      <c r="E27" s="49" t="s">
        <v>53</v>
      </c>
      <c r="F27" s="47"/>
      <c r="G27" s="51"/>
      <c r="H27" s="55"/>
    </row>
    <row r="28" spans="1:8" ht="20" customHeight="1" x14ac:dyDescent="0.2">
      <c r="A28" s="54" t="s">
        <v>80</v>
      </c>
      <c r="B28" s="47" t="s">
        <v>81</v>
      </c>
      <c r="C28" s="48"/>
      <c r="D28" s="49" t="s">
        <v>53</v>
      </c>
      <c r="E28" s="49" t="s">
        <v>53</v>
      </c>
      <c r="F28" s="47"/>
      <c r="G28" s="51"/>
      <c r="H28" s="55"/>
    </row>
    <row r="29" spans="1:8" ht="20" customHeight="1" x14ac:dyDescent="0.2">
      <c r="A29" s="54" t="s">
        <v>80</v>
      </c>
      <c r="B29" s="47" t="s">
        <v>81</v>
      </c>
      <c r="C29" s="48"/>
      <c r="D29" s="49" t="s">
        <v>53</v>
      </c>
      <c r="E29" s="49" t="s">
        <v>53</v>
      </c>
      <c r="F29" s="47"/>
      <c r="G29" s="51"/>
      <c r="H29" s="55"/>
    </row>
    <row r="30" spans="1:8" ht="20" customHeight="1" x14ac:dyDescent="0.2">
      <c r="A30" s="54" t="s">
        <v>80</v>
      </c>
      <c r="B30" s="47" t="s">
        <v>81</v>
      </c>
      <c r="C30" s="48"/>
      <c r="D30" s="49" t="s">
        <v>53</v>
      </c>
      <c r="E30" s="49" t="s">
        <v>53</v>
      </c>
      <c r="F30" s="47"/>
      <c r="G30" s="51"/>
      <c r="H30" s="55"/>
    </row>
    <row r="31" spans="1:8" ht="20" customHeight="1" x14ac:dyDescent="0.2">
      <c r="A31" s="54" t="s">
        <v>80</v>
      </c>
      <c r="B31" s="47" t="s">
        <v>81</v>
      </c>
      <c r="C31" s="48"/>
      <c r="D31" s="49" t="s">
        <v>53</v>
      </c>
      <c r="E31" s="49" t="s">
        <v>53</v>
      </c>
      <c r="F31" s="47"/>
      <c r="G31" s="51"/>
      <c r="H31" s="55"/>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thickBot="1" x14ac:dyDescent="0.25">
      <c r="A38" s="56" t="s">
        <v>86</v>
      </c>
      <c r="B38" s="25" t="s">
        <v>81</v>
      </c>
      <c r="C38" s="26"/>
      <c r="D38" s="27" t="s">
        <v>53</v>
      </c>
      <c r="E38" s="27"/>
      <c r="F38" s="26"/>
      <c r="G38" s="28"/>
      <c r="H38" s="28"/>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1" type="noConversion"/>
  <hyperlinks>
    <hyperlink ref="G14" r:id="rId1" xr:uid="{93251BD2-5DDD-494F-95F6-115B919C4662}"/>
    <hyperlink ref="G21" r:id="rId2" xr:uid="{24CF7710-3D1C-9941-8716-8C1723106D9F}"/>
    <hyperlink ref="G15" r:id="rId3" xr:uid="{A4E3F629-8AEE-1948-8879-135C13C00F7A}"/>
    <hyperlink ref="G19" r:id="rId4" xr:uid="{8B2C2EB8-0F37-EF40-ABB1-329801C02443}"/>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2B157-CBBA-1E42-9EB4-12727145853E}">
  <sheetPr>
    <tabColor theme="8" tint="-0.249977111117893"/>
  </sheetPr>
  <dimension ref="A1:P23"/>
  <sheetViews>
    <sheetView zoomScale="109" zoomScaleNormal="110" workbookViewId="0">
      <selection activeCell="E6" sqref="E6"/>
    </sheetView>
  </sheetViews>
  <sheetFormatPr baseColWidth="10" defaultColWidth="8.83203125" defaultRowHeight="15" x14ac:dyDescent="0.2"/>
  <cols>
    <col min="1" max="1" width="3.83203125" style="30" bestFit="1" customWidth="1"/>
    <col min="2" max="2" width="72.33203125" style="41" customWidth="1"/>
    <col min="3" max="4" width="15.6640625" style="42" customWidth="1"/>
    <col min="5" max="5" width="78.33203125" style="41" customWidth="1"/>
    <col min="6" max="7" width="15.6640625" style="30" customWidth="1"/>
    <col min="8" max="8" width="65.6640625" style="41" customWidth="1"/>
    <col min="9" max="10" width="15.6640625" style="42" customWidth="1"/>
    <col min="11" max="11" width="65.6640625" style="74" customWidth="1"/>
    <col min="12" max="13" width="15.6640625" style="74" customWidth="1"/>
    <col min="14" max="14" width="65.6640625" style="74" customWidth="1"/>
    <col min="15" max="16" width="15.6640625" style="74" customWidth="1"/>
  </cols>
  <sheetData>
    <row r="1" spans="1:16" ht="33" x14ac:dyDescent="0.2">
      <c r="A1" s="110" t="s">
        <v>87</v>
      </c>
      <c r="B1" s="111"/>
      <c r="C1" s="111"/>
      <c r="D1" s="111"/>
      <c r="E1" s="111"/>
      <c r="F1" s="111"/>
      <c r="G1" s="111"/>
      <c r="H1" s="111"/>
      <c r="I1" s="111"/>
      <c r="J1" s="111"/>
      <c r="K1" s="111"/>
      <c r="L1" s="111"/>
      <c r="M1" s="111"/>
      <c r="N1" s="111"/>
      <c r="O1" s="111"/>
      <c r="P1" s="111"/>
    </row>
    <row r="2" spans="1:16" ht="17" x14ac:dyDescent="0.2">
      <c r="A2" s="31"/>
      <c r="B2" s="70" t="s">
        <v>88</v>
      </c>
      <c r="C2" s="32" t="s">
        <v>89</v>
      </c>
      <c r="D2" s="32" t="s">
        <v>90</v>
      </c>
      <c r="E2" s="83" t="s">
        <v>91</v>
      </c>
      <c r="F2" s="33" t="s">
        <v>89</v>
      </c>
      <c r="G2" s="33" t="s">
        <v>90</v>
      </c>
      <c r="H2" s="70" t="s">
        <v>92</v>
      </c>
      <c r="I2" s="32" t="s">
        <v>89</v>
      </c>
      <c r="J2" s="32" t="s">
        <v>90</v>
      </c>
      <c r="K2" s="72" t="s">
        <v>93</v>
      </c>
      <c r="L2" s="83" t="s">
        <v>89</v>
      </c>
      <c r="M2" s="83" t="s">
        <v>90</v>
      </c>
      <c r="N2" s="72" t="s">
        <v>94</v>
      </c>
      <c r="O2" s="83" t="s">
        <v>89</v>
      </c>
      <c r="P2" s="83" t="s">
        <v>90</v>
      </c>
    </row>
    <row r="3" spans="1:16" ht="346" customHeight="1" x14ac:dyDescent="0.2">
      <c r="A3" s="34">
        <v>1</v>
      </c>
      <c r="B3" s="40" t="s">
        <v>95</v>
      </c>
      <c r="C3" s="32" t="s">
        <v>96</v>
      </c>
      <c r="D3" s="32"/>
      <c r="E3" s="85" t="s">
        <v>97</v>
      </c>
      <c r="F3" s="35"/>
      <c r="G3" s="35"/>
      <c r="H3" s="71" t="s">
        <v>98</v>
      </c>
      <c r="I3" s="36"/>
      <c r="J3" s="36"/>
      <c r="K3" s="73" t="s">
        <v>99</v>
      </c>
      <c r="L3" s="84"/>
      <c r="M3" s="84"/>
      <c r="N3" s="90" t="s">
        <v>100</v>
      </c>
      <c r="O3" s="91" t="s">
        <v>96</v>
      </c>
      <c r="P3" s="84"/>
    </row>
    <row r="4" spans="1:16" ht="68" x14ac:dyDescent="0.2">
      <c r="A4" s="34">
        <v>2</v>
      </c>
      <c r="B4" s="40" t="s">
        <v>101</v>
      </c>
      <c r="C4" s="32" t="s">
        <v>96</v>
      </c>
      <c r="D4" s="32"/>
      <c r="E4" s="86" t="s">
        <v>102</v>
      </c>
      <c r="F4" s="37"/>
      <c r="G4" s="37"/>
      <c r="H4" s="40" t="s">
        <v>103</v>
      </c>
      <c r="I4" s="36"/>
      <c r="J4" s="36"/>
      <c r="K4" s="73" t="s">
        <v>104</v>
      </c>
      <c r="L4" s="84"/>
      <c r="M4" s="84"/>
      <c r="N4" s="73"/>
      <c r="O4" s="84"/>
      <c r="P4" s="84"/>
    </row>
    <row r="5" spans="1:16" ht="68" x14ac:dyDescent="0.2">
      <c r="A5" s="34">
        <v>3</v>
      </c>
      <c r="B5" s="40" t="s">
        <v>105</v>
      </c>
      <c r="C5" s="38" t="s">
        <v>96</v>
      </c>
      <c r="D5" s="38"/>
      <c r="E5" s="87"/>
      <c r="F5" s="33"/>
      <c r="G5" s="33"/>
      <c r="H5" s="40" t="s">
        <v>106</v>
      </c>
      <c r="I5" s="36"/>
      <c r="J5" s="36"/>
      <c r="K5" s="73" t="s">
        <v>107</v>
      </c>
      <c r="L5" s="84"/>
      <c r="M5" s="84"/>
      <c r="N5" s="73"/>
      <c r="O5" s="84"/>
      <c r="P5" s="84"/>
    </row>
    <row r="6" spans="1:16" ht="51" x14ac:dyDescent="0.2">
      <c r="A6" s="34">
        <v>4</v>
      </c>
      <c r="B6" s="40" t="s">
        <v>108</v>
      </c>
      <c r="C6" s="38" t="s">
        <v>96</v>
      </c>
      <c r="D6" s="38"/>
      <c r="E6" s="86"/>
      <c r="F6" s="37"/>
      <c r="G6" s="37"/>
      <c r="H6" s="40" t="s">
        <v>109</v>
      </c>
      <c r="I6" s="36"/>
      <c r="J6" s="36"/>
      <c r="K6" s="73" t="s">
        <v>110</v>
      </c>
      <c r="L6" s="84"/>
      <c r="M6" s="84"/>
      <c r="N6" s="73"/>
      <c r="O6" s="84"/>
      <c r="P6" s="84"/>
    </row>
    <row r="7" spans="1:16" ht="51" x14ac:dyDescent="0.2">
      <c r="A7" s="34">
        <v>5</v>
      </c>
      <c r="B7" s="40" t="s">
        <v>111</v>
      </c>
      <c r="C7" s="38" t="s">
        <v>96</v>
      </c>
      <c r="D7" s="38"/>
      <c r="E7" s="86"/>
      <c r="F7" s="33"/>
      <c r="G7" s="33"/>
      <c r="H7" s="82" t="s">
        <v>112</v>
      </c>
      <c r="I7" s="36"/>
      <c r="J7" s="36"/>
      <c r="K7" s="73" t="s">
        <v>113</v>
      </c>
      <c r="L7" s="84"/>
      <c r="M7" s="84"/>
      <c r="N7" s="73"/>
      <c r="O7" s="84"/>
      <c r="P7" s="84"/>
    </row>
    <row r="8" spans="1:16" ht="85" x14ac:dyDescent="0.2">
      <c r="A8" s="34">
        <v>6</v>
      </c>
      <c r="B8" s="40" t="s">
        <v>114</v>
      </c>
      <c r="C8" s="38"/>
      <c r="D8" s="38"/>
      <c r="E8" s="87"/>
      <c r="F8" s="35"/>
      <c r="G8" s="35"/>
      <c r="H8" s="40" t="s">
        <v>115</v>
      </c>
      <c r="I8" s="36"/>
      <c r="J8" s="36"/>
      <c r="K8" s="39" t="s">
        <v>116</v>
      </c>
      <c r="L8" s="39"/>
      <c r="M8" s="39"/>
      <c r="N8" s="39"/>
      <c r="O8" s="39"/>
      <c r="P8" s="39"/>
    </row>
    <row r="9" spans="1:16" ht="17" x14ac:dyDescent="0.2">
      <c r="A9" s="34">
        <v>7</v>
      </c>
      <c r="B9" s="40" t="s">
        <v>117</v>
      </c>
      <c r="C9" s="38"/>
      <c r="D9" s="38"/>
      <c r="E9" s="85"/>
      <c r="F9" s="33"/>
      <c r="G9" s="33"/>
      <c r="H9" s="40"/>
      <c r="I9" s="36"/>
      <c r="J9" s="36"/>
      <c r="K9" s="39" t="s">
        <v>118</v>
      </c>
      <c r="L9" s="39"/>
      <c r="M9" s="39"/>
      <c r="N9" s="39"/>
      <c r="O9" s="39"/>
      <c r="P9" s="39"/>
    </row>
    <row r="10" spans="1:16" ht="34" x14ac:dyDescent="0.2">
      <c r="A10" s="34">
        <v>8</v>
      </c>
      <c r="B10" s="40" t="s">
        <v>119</v>
      </c>
      <c r="C10" s="38"/>
      <c r="D10" s="38"/>
      <c r="E10" s="85"/>
      <c r="F10" s="33"/>
      <c r="G10" s="33"/>
      <c r="H10" s="40"/>
      <c r="I10" s="36"/>
      <c r="J10" s="36"/>
      <c r="K10" s="39" t="s">
        <v>120</v>
      </c>
      <c r="L10" s="39"/>
      <c r="M10" s="39"/>
      <c r="N10" s="39"/>
      <c r="O10" s="39"/>
      <c r="P10" s="39"/>
    </row>
    <row r="11" spans="1:16" ht="17" x14ac:dyDescent="0.2">
      <c r="A11" s="34">
        <v>9</v>
      </c>
      <c r="B11" s="40" t="s">
        <v>121</v>
      </c>
      <c r="C11" s="38" t="s">
        <v>96</v>
      </c>
      <c r="D11" s="38"/>
      <c r="E11" s="86"/>
      <c r="F11" s="37"/>
      <c r="G11" s="37"/>
      <c r="H11" s="40"/>
      <c r="I11" s="36"/>
      <c r="J11" s="36"/>
      <c r="K11" s="39"/>
      <c r="L11" s="39"/>
      <c r="M11" s="39"/>
      <c r="N11" s="39"/>
      <c r="O11" s="39"/>
      <c r="P11" s="39"/>
    </row>
    <row r="12" spans="1:16" ht="17" x14ac:dyDescent="0.2">
      <c r="A12" s="34">
        <v>10</v>
      </c>
      <c r="B12" s="40" t="s">
        <v>122</v>
      </c>
      <c r="C12" s="38"/>
      <c r="D12" s="38"/>
      <c r="E12" s="86"/>
      <c r="F12" s="33"/>
      <c r="G12" s="33"/>
      <c r="H12" s="40"/>
      <c r="I12" s="36"/>
      <c r="J12" s="36"/>
      <c r="K12" s="39"/>
      <c r="L12" s="39"/>
      <c r="M12" s="39"/>
      <c r="N12" s="39"/>
      <c r="O12" s="39"/>
      <c r="P12" s="39"/>
    </row>
    <row r="13" spans="1:16" ht="17" x14ac:dyDescent="0.2">
      <c r="A13" s="34">
        <v>11</v>
      </c>
      <c r="B13" s="81" t="s">
        <v>123</v>
      </c>
      <c r="C13" s="38" t="s">
        <v>96</v>
      </c>
      <c r="D13" s="38"/>
      <c r="E13" s="85"/>
      <c r="F13" s="33"/>
      <c r="G13" s="33"/>
      <c r="H13" s="40"/>
      <c r="I13" s="36"/>
      <c r="J13" s="36"/>
      <c r="K13" s="39"/>
      <c r="L13" s="39"/>
      <c r="M13" s="39"/>
      <c r="N13" s="39"/>
      <c r="O13" s="39"/>
      <c r="P13" s="39"/>
    </row>
    <row r="14" spans="1:16" ht="17" x14ac:dyDescent="0.2">
      <c r="A14" s="34">
        <v>12</v>
      </c>
      <c r="B14" s="40" t="s">
        <v>124</v>
      </c>
      <c r="C14" s="32" t="s">
        <v>96</v>
      </c>
      <c r="D14" s="32"/>
      <c r="E14" s="85"/>
      <c r="F14" s="33"/>
      <c r="G14" s="33"/>
      <c r="H14" s="40"/>
      <c r="I14" s="36"/>
      <c r="J14" s="36"/>
      <c r="K14" s="39"/>
      <c r="L14" s="39"/>
      <c r="M14" s="39"/>
      <c r="N14" s="39"/>
      <c r="O14" s="39"/>
      <c r="P14" s="39"/>
    </row>
    <row r="15" spans="1:16" ht="17" x14ac:dyDescent="0.2">
      <c r="A15" s="34">
        <v>13</v>
      </c>
      <c r="B15" s="40" t="s">
        <v>125</v>
      </c>
      <c r="C15" s="32" t="s">
        <v>96</v>
      </c>
      <c r="D15" s="32"/>
      <c r="E15" s="85"/>
      <c r="F15" s="33"/>
      <c r="G15" s="33"/>
      <c r="H15" s="40"/>
      <c r="I15" s="36"/>
      <c r="J15" s="36"/>
      <c r="K15" s="39"/>
      <c r="L15" s="39"/>
      <c r="M15" s="39"/>
      <c r="N15" s="39"/>
      <c r="O15" s="39"/>
      <c r="P15" s="39"/>
    </row>
    <row r="16" spans="1:16" ht="17" x14ac:dyDescent="0.2">
      <c r="A16" s="34">
        <v>14</v>
      </c>
      <c r="B16" s="40" t="s">
        <v>126</v>
      </c>
      <c r="C16" s="32" t="s">
        <v>96</v>
      </c>
      <c r="D16" s="32"/>
      <c r="E16" s="85"/>
      <c r="F16" s="33"/>
      <c r="G16" s="33"/>
      <c r="H16" s="40"/>
      <c r="I16" s="36"/>
      <c r="J16" s="36"/>
      <c r="K16" s="39"/>
      <c r="L16" s="39"/>
      <c r="M16" s="39"/>
      <c r="N16" s="39"/>
      <c r="O16" s="39"/>
      <c r="P16" s="39"/>
    </row>
    <row r="17" spans="1:16" ht="17" x14ac:dyDescent="0.2">
      <c r="A17" s="34">
        <v>15</v>
      </c>
      <c r="B17" s="40" t="s">
        <v>127</v>
      </c>
      <c r="C17" s="32" t="s">
        <v>96</v>
      </c>
      <c r="D17" s="32"/>
      <c r="E17" s="85"/>
      <c r="F17" s="33"/>
      <c r="G17" s="33"/>
      <c r="H17" s="81"/>
      <c r="I17" s="36"/>
      <c r="J17" s="36"/>
      <c r="K17" s="39"/>
      <c r="L17" s="39"/>
      <c r="M17" s="39"/>
      <c r="N17" s="39"/>
      <c r="O17" s="39"/>
      <c r="P17" s="39"/>
    </row>
    <row r="18" spans="1:16" ht="17" x14ac:dyDescent="0.2">
      <c r="A18" s="34">
        <v>16</v>
      </c>
      <c r="B18" s="40" t="s">
        <v>128</v>
      </c>
      <c r="C18" s="32" t="s">
        <v>96</v>
      </c>
      <c r="D18" s="32"/>
      <c r="E18" s="86"/>
      <c r="F18" s="33"/>
      <c r="G18" s="33"/>
      <c r="H18" s="40"/>
      <c r="I18" s="36"/>
      <c r="J18" s="36"/>
      <c r="K18" s="39"/>
      <c r="L18" s="39"/>
      <c r="M18" s="39"/>
      <c r="N18" s="39"/>
      <c r="O18" s="39"/>
      <c r="P18" s="39"/>
    </row>
    <row r="19" spans="1:16" ht="17" x14ac:dyDescent="0.2">
      <c r="A19" s="34">
        <v>17</v>
      </c>
      <c r="B19" s="40" t="s">
        <v>129</v>
      </c>
      <c r="C19" s="32"/>
      <c r="D19" s="32"/>
      <c r="E19" s="86"/>
      <c r="F19" s="37"/>
      <c r="G19" s="37"/>
      <c r="H19" s="40"/>
      <c r="I19" s="36"/>
      <c r="J19" s="36"/>
      <c r="K19" s="39"/>
      <c r="L19" s="39"/>
      <c r="M19" s="39"/>
      <c r="N19" s="39"/>
      <c r="O19" s="39"/>
      <c r="P19" s="39"/>
    </row>
    <row r="20" spans="1:16" ht="17" x14ac:dyDescent="0.2">
      <c r="A20" s="34">
        <v>18</v>
      </c>
      <c r="B20" s="40" t="s">
        <v>130</v>
      </c>
      <c r="C20" s="32"/>
      <c r="D20" s="32"/>
      <c r="E20" s="86"/>
      <c r="F20" s="33"/>
      <c r="G20" s="33"/>
      <c r="H20" s="40"/>
      <c r="I20" s="36"/>
      <c r="J20" s="36"/>
      <c r="K20" s="39"/>
      <c r="L20" s="39"/>
      <c r="M20" s="39"/>
      <c r="N20" s="39"/>
      <c r="O20" s="39"/>
      <c r="P20" s="39"/>
    </row>
    <row r="21" spans="1:16" ht="17" x14ac:dyDescent="0.2">
      <c r="A21" s="34">
        <v>19</v>
      </c>
      <c r="B21" s="40" t="s">
        <v>131</v>
      </c>
      <c r="C21" s="32"/>
      <c r="D21" s="32"/>
      <c r="E21" s="86"/>
      <c r="F21" s="33"/>
      <c r="G21" s="33"/>
      <c r="H21" s="40"/>
      <c r="I21" s="80"/>
      <c r="J21" s="80"/>
      <c r="K21" s="39"/>
      <c r="L21" s="39"/>
      <c r="M21" s="39"/>
      <c r="N21" s="39"/>
      <c r="O21" s="39"/>
      <c r="P21" s="39"/>
    </row>
    <row r="22" spans="1:16" ht="17" x14ac:dyDescent="0.2">
      <c r="A22" s="34">
        <v>20</v>
      </c>
      <c r="B22" s="71" t="s">
        <v>132</v>
      </c>
      <c r="C22" s="32"/>
      <c r="D22" s="32"/>
      <c r="E22" s="86"/>
      <c r="F22" s="33"/>
      <c r="G22" s="33"/>
      <c r="H22" s="40"/>
      <c r="I22" s="80"/>
      <c r="J22" s="80"/>
      <c r="K22" s="39"/>
      <c r="L22" s="39"/>
      <c r="M22" s="39"/>
      <c r="N22" s="39"/>
      <c r="O22" s="39"/>
      <c r="P22" s="39"/>
    </row>
    <row r="23" spans="1:16" ht="17" x14ac:dyDescent="0.2">
      <c r="A23" s="34">
        <v>21</v>
      </c>
      <c r="B23" s="81" t="s">
        <v>133</v>
      </c>
      <c r="C23" s="32"/>
      <c r="D23" s="32"/>
      <c r="E23" s="86"/>
      <c r="F23" s="33"/>
      <c r="G23" s="33"/>
      <c r="H23" s="40"/>
      <c r="I23" s="80"/>
      <c r="J23" s="80"/>
      <c r="K23" s="39"/>
      <c r="L23" s="39"/>
      <c r="M23" s="39"/>
      <c r="N23" s="39"/>
      <c r="O23" s="39"/>
      <c r="P23" s="39"/>
    </row>
  </sheetData>
  <mergeCells count="1">
    <mergeCell ref="A1:P1"/>
  </mergeCells>
  <phoneticPr fontId="2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C4E47-9145-43AD-82C0-27CEB0736E7E}">
  <sheetPr>
    <tabColor theme="4" tint="0.79998168889431442"/>
  </sheetPr>
  <dimension ref="A1:H38"/>
  <sheetViews>
    <sheetView showGridLines="0" zoomScale="70" zoomScaleNormal="70" workbookViewId="0">
      <pane ySplit="11" topLeftCell="A12" activePane="bottomLeft" state="frozen"/>
      <selection pane="bottomLeft" activeCell="H16" sqref="H16"/>
    </sheetView>
  </sheetViews>
  <sheetFormatPr baseColWidth="10" defaultColWidth="8.83203125" defaultRowHeight="15" x14ac:dyDescent="0.2"/>
  <cols>
    <col min="1" max="1" width="64.5" customWidth="1"/>
    <col min="2" max="2" width="10.33203125" customWidth="1"/>
    <col min="3" max="3" width="25.1640625" bestFit="1" customWidth="1"/>
    <col min="4" max="4" width="18.1640625" customWidth="1"/>
    <col min="5" max="5" width="20" customWidth="1"/>
    <col min="6" max="6" width="57.1640625" customWidth="1"/>
    <col min="7" max="8" width="93" style="29" bestFit="1" customWidth="1"/>
    <col min="9" max="79" width="9.1640625"/>
  </cols>
  <sheetData>
    <row r="1" spans="1:8" ht="30" customHeight="1" x14ac:dyDescent="0.2">
      <c r="A1" s="106" t="s">
        <v>11</v>
      </c>
      <c r="B1" s="115"/>
      <c r="C1" s="115"/>
      <c r="D1" s="115"/>
      <c r="E1" s="115"/>
      <c r="F1" s="115"/>
      <c r="G1" s="115"/>
      <c r="H1" s="116"/>
    </row>
    <row r="2" spans="1:8" s="6" customFormat="1" ht="51" customHeight="1" x14ac:dyDescent="0.25">
      <c r="A2" s="3" t="s">
        <v>134</v>
      </c>
      <c r="B2" s="117" t="s">
        <v>135</v>
      </c>
      <c r="C2" s="118"/>
      <c r="D2" s="118"/>
      <c r="E2" s="119"/>
      <c r="F2" s="4" t="s">
        <v>14</v>
      </c>
      <c r="G2" s="75">
        <v>25000</v>
      </c>
      <c r="H2" s="52" t="s">
        <v>136</v>
      </c>
    </row>
    <row r="3" spans="1:8" ht="18" customHeight="1" x14ac:dyDescent="0.2">
      <c r="A3" s="3" t="s">
        <v>137</v>
      </c>
      <c r="B3" s="113" t="s">
        <v>138</v>
      </c>
      <c r="C3" s="113"/>
      <c r="D3" s="113"/>
      <c r="E3" s="114"/>
      <c r="F3" s="4" t="s">
        <v>18</v>
      </c>
      <c r="G3" s="75">
        <v>25000</v>
      </c>
      <c r="H3" s="53"/>
    </row>
    <row r="4" spans="1:8" ht="18" x14ac:dyDescent="0.2">
      <c r="A4" s="3" t="s">
        <v>139</v>
      </c>
      <c r="B4" s="113" t="s">
        <v>140</v>
      </c>
      <c r="C4" s="113"/>
      <c r="D4" s="113"/>
      <c r="E4" s="114"/>
      <c r="F4" s="4" t="s">
        <v>21</v>
      </c>
      <c r="G4" s="64" t="s">
        <v>30</v>
      </c>
      <c r="H4" s="53"/>
    </row>
    <row r="5" spans="1:8" ht="18" customHeight="1" x14ac:dyDescent="0.2">
      <c r="A5" s="3" t="s">
        <v>22</v>
      </c>
      <c r="B5" s="105" t="s">
        <v>23</v>
      </c>
      <c r="C5" s="105"/>
      <c r="D5" s="105"/>
      <c r="E5" s="105"/>
      <c r="F5" s="4" t="s">
        <v>24</v>
      </c>
      <c r="G5" s="64"/>
      <c r="H5" s="53"/>
    </row>
    <row r="6" spans="1:8" ht="18" x14ac:dyDescent="0.2">
      <c r="A6" s="3" t="s">
        <v>25</v>
      </c>
      <c r="B6" s="108" t="s">
        <v>26</v>
      </c>
      <c r="C6" s="108"/>
      <c r="D6" s="108"/>
      <c r="E6" s="108"/>
      <c r="F6" s="4" t="s">
        <v>27</v>
      </c>
      <c r="G6" s="64"/>
      <c r="H6" s="53"/>
    </row>
    <row r="7" spans="1:8" ht="18" customHeight="1" x14ac:dyDescent="0.2">
      <c r="A7" s="3" t="s">
        <v>141</v>
      </c>
      <c r="B7" s="112">
        <v>45078</v>
      </c>
      <c r="C7" s="113"/>
      <c r="D7" s="113"/>
      <c r="E7" s="114"/>
      <c r="F7" s="4" t="s">
        <v>29</v>
      </c>
      <c r="G7" s="64" t="s">
        <v>142</v>
      </c>
      <c r="H7" s="53"/>
    </row>
    <row r="8" spans="1:8" ht="18" customHeight="1" x14ac:dyDescent="0.2">
      <c r="A8" s="3" t="s">
        <v>143</v>
      </c>
      <c r="B8" s="112">
        <v>45443</v>
      </c>
      <c r="C8" s="113"/>
      <c r="D8" s="113"/>
      <c r="E8" s="114"/>
      <c r="F8" s="4" t="s">
        <v>32</v>
      </c>
      <c r="G8" s="76">
        <v>0.09</v>
      </c>
      <c r="H8" s="53"/>
    </row>
    <row r="9" spans="1:8" ht="18" customHeight="1" x14ac:dyDescent="0.2">
      <c r="A9" s="3" t="s">
        <v>144</v>
      </c>
      <c r="B9" s="113" t="s">
        <v>145</v>
      </c>
      <c r="C9" s="113"/>
      <c r="D9" s="113"/>
      <c r="E9" s="114"/>
      <c r="F9" s="4" t="s">
        <v>35</v>
      </c>
      <c r="G9" s="64"/>
      <c r="H9" s="53"/>
    </row>
    <row r="10" spans="1:8" ht="18" customHeight="1" x14ac:dyDescent="0.2">
      <c r="A10" s="3" t="s">
        <v>146</v>
      </c>
      <c r="B10" s="113" t="s">
        <v>147</v>
      </c>
      <c r="C10" s="113"/>
      <c r="D10" s="113"/>
      <c r="E10" s="114"/>
      <c r="F10" s="4" t="s">
        <v>39</v>
      </c>
      <c r="G10" s="64" t="s">
        <v>148</v>
      </c>
      <c r="H10" s="53"/>
    </row>
    <row r="11" spans="1:8" s="6" customFormat="1" ht="30" customHeight="1" x14ac:dyDescent="0.25">
      <c r="A11" s="7" t="s">
        <v>41</v>
      </c>
      <c r="B11" s="7" t="s">
        <v>42</v>
      </c>
      <c r="C11" s="7" t="s">
        <v>43</v>
      </c>
      <c r="D11" s="7" t="s">
        <v>44</v>
      </c>
      <c r="E11" s="7" t="s">
        <v>45</v>
      </c>
      <c r="F11" s="7" t="s">
        <v>46</v>
      </c>
      <c r="G11" s="8" t="s">
        <v>47</v>
      </c>
      <c r="H11" s="8" t="s">
        <v>48</v>
      </c>
    </row>
    <row r="12" spans="1:8" s="12" customFormat="1" ht="20" customHeight="1" x14ac:dyDescent="0.25">
      <c r="A12" s="9" t="s">
        <v>49</v>
      </c>
      <c r="B12" s="10"/>
      <c r="C12" s="10"/>
      <c r="D12" s="10"/>
      <c r="E12" s="10"/>
      <c r="F12" s="10"/>
      <c r="G12" s="11"/>
      <c r="H12" s="11"/>
    </row>
    <row r="13" spans="1:8" s="12" customFormat="1" ht="20" customHeight="1" x14ac:dyDescent="0.25">
      <c r="A13" s="57"/>
      <c r="B13" s="58"/>
      <c r="C13" s="58"/>
      <c r="D13" s="58"/>
      <c r="E13" s="58"/>
      <c r="F13" s="58"/>
      <c r="G13" s="59"/>
      <c r="H13" s="59"/>
    </row>
    <row r="14" spans="1:8" ht="20" customHeight="1" x14ac:dyDescent="0.2">
      <c r="A14" s="13" t="s">
        <v>149</v>
      </c>
      <c r="B14" s="14" t="s">
        <v>51</v>
      </c>
      <c r="C14" s="15" t="s">
        <v>150</v>
      </c>
      <c r="D14" s="65">
        <v>45167</v>
      </c>
      <c r="E14" s="65">
        <v>45171</v>
      </c>
      <c r="F14" s="60" t="s">
        <v>140</v>
      </c>
      <c r="G14" s="69" t="s">
        <v>151</v>
      </c>
      <c r="H14" s="92" t="s">
        <v>152</v>
      </c>
    </row>
    <row r="15" spans="1:8" ht="20" customHeight="1" x14ac:dyDescent="0.2">
      <c r="A15" s="78" t="s">
        <v>61</v>
      </c>
      <c r="B15" s="62" t="s">
        <v>51</v>
      </c>
      <c r="C15" s="15" t="s">
        <v>62</v>
      </c>
      <c r="D15" s="16" t="s">
        <v>53</v>
      </c>
      <c r="E15" s="16" t="s">
        <v>53</v>
      </c>
      <c r="F15" s="93"/>
      <c r="G15" s="94"/>
      <c r="H15" s="77"/>
    </row>
    <row r="16" spans="1:8" ht="20" customHeight="1" x14ac:dyDescent="0.2">
      <c r="A16" s="13" t="s">
        <v>63</v>
      </c>
      <c r="B16" s="14" t="s">
        <v>51</v>
      </c>
      <c r="C16" s="15" t="s">
        <v>62</v>
      </c>
      <c r="D16" s="16" t="s">
        <v>53</v>
      </c>
      <c r="E16" s="16" t="s">
        <v>53</v>
      </c>
      <c r="F16" s="60"/>
      <c r="G16" s="50"/>
      <c r="H16" s="61"/>
    </row>
    <row r="17" spans="1:8" ht="20" customHeight="1" x14ac:dyDescent="0.2">
      <c r="A17" s="13" t="s">
        <v>153</v>
      </c>
      <c r="B17" s="14" t="s">
        <v>51</v>
      </c>
      <c r="C17" s="15" t="s">
        <v>62</v>
      </c>
      <c r="D17" s="16" t="s">
        <v>53</v>
      </c>
      <c r="E17" s="16" t="s">
        <v>53</v>
      </c>
      <c r="F17" s="60"/>
      <c r="G17" s="50"/>
      <c r="H17" s="61"/>
    </row>
    <row r="18" spans="1:8" ht="20" customHeight="1" x14ac:dyDescent="0.2">
      <c r="A18" s="13" t="s">
        <v>154</v>
      </c>
      <c r="B18" s="14" t="s">
        <v>51</v>
      </c>
      <c r="C18" s="15" t="s">
        <v>62</v>
      </c>
      <c r="D18" s="16" t="s">
        <v>53</v>
      </c>
      <c r="E18" s="16" t="s">
        <v>53</v>
      </c>
      <c r="F18" s="60"/>
      <c r="G18" s="50"/>
      <c r="H18" s="61"/>
    </row>
    <row r="19" spans="1:8" s="6" customFormat="1" ht="20" customHeight="1" x14ac:dyDescent="0.25">
      <c r="A19" s="44" t="s">
        <v>75</v>
      </c>
      <c r="B19" s="45"/>
      <c r="C19" s="45"/>
      <c r="D19" s="45"/>
      <c r="E19" s="45"/>
      <c r="F19" s="45"/>
      <c r="G19" s="46"/>
      <c r="H19" s="46"/>
    </row>
    <row r="20" spans="1:8" ht="20" customHeight="1" x14ac:dyDescent="0.2">
      <c r="A20" s="54" t="s">
        <v>155</v>
      </c>
      <c r="B20" s="47"/>
      <c r="C20" s="48"/>
      <c r="D20" s="49"/>
      <c r="E20" s="49"/>
      <c r="F20" s="47"/>
      <c r="G20" s="51"/>
      <c r="H20" s="55"/>
    </row>
    <row r="21" spans="1:8" ht="20" customHeight="1" x14ac:dyDescent="0.2">
      <c r="A21" s="54" t="s">
        <v>155</v>
      </c>
      <c r="B21" s="47"/>
      <c r="C21" s="48"/>
      <c r="D21" s="49"/>
      <c r="E21" s="49"/>
      <c r="F21" s="47"/>
      <c r="G21" s="51"/>
      <c r="H21" s="55"/>
    </row>
    <row r="22" spans="1:8" ht="20" customHeight="1" x14ac:dyDescent="0.2">
      <c r="A22" s="54" t="s">
        <v>156</v>
      </c>
      <c r="B22" s="47"/>
      <c r="C22" s="48"/>
      <c r="D22" s="49"/>
      <c r="E22" s="49"/>
      <c r="F22" s="47"/>
      <c r="G22" s="51"/>
      <c r="H22" s="55"/>
    </row>
    <row r="23" spans="1:8" ht="20" customHeight="1" x14ac:dyDescent="0.2">
      <c r="A23" s="54" t="s">
        <v>156</v>
      </c>
      <c r="B23" s="47"/>
      <c r="C23" s="48"/>
      <c r="D23" s="49"/>
      <c r="E23" s="49"/>
      <c r="F23" s="47"/>
      <c r="G23" s="51"/>
      <c r="H23" s="55"/>
    </row>
    <row r="24" spans="1:8" s="6" customFormat="1" ht="20" customHeight="1" x14ac:dyDescent="0.25">
      <c r="A24" s="44" t="s">
        <v>157</v>
      </c>
      <c r="B24" s="45"/>
      <c r="C24" s="45"/>
      <c r="D24" s="45" t="s">
        <v>78</v>
      </c>
      <c r="E24" s="45" t="s">
        <v>79</v>
      </c>
      <c r="F24" s="45"/>
      <c r="G24" s="46"/>
      <c r="H24" s="46"/>
    </row>
    <row r="25" spans="1:8" ht="20" customHeight="1" x14ac:dyDescent="0.2">
      <c r="A25" s="54" t="s">
        <v>80</v>
      </c>
      <c r="B25" s="47" t="s">
        <v>81</v>
      </c>
      <c r="C25" s="48"/>
      <c r="D25" s="49" t="s">
        <v>53</v>
      </c>
      <c r="E25" s="49" t="s">
        <v>53</v>
      </c>
      <c r="F25" s="47" t="s">
        <v>140</v>
      </c>
      <c r="G25" s="69" t="s">
        <v>151</v>
      </c>
      <c r="H25" s="55"/>
    </row>
    <row r="26" spans="1:8" ht="20" customHeight="1" x14ac:dyDescent="0.2">
      <c r="A26" s="54" t="s">
        <v>80</v>
      </c>
      <c r="B26" s="47" t="s">
        <v>81</v>
      </c>
      <c r="C26" s="48"/>
      <c r="D26" s="49" t="s">
        <v>53</v>
      </c>
      <c r="E26" s="49" t="s">
        <v>53</v>
      </c>
      <c r="F26" s="47"/>
      <c r="G26" s="51"/>
      <c r="H26" s="55"/>
    </row>
    <row r="27" spans="1:8" ht="20" customHeight="1" x14ac:dyDescent="0.2">
      <c r="A27" s="54" t="s">
        <v>80</v>
      </c>
      <c r="B27" s="47" t="s">
        <v>81</v>
      </c>
      <c r="C27" s="48"/>
      <c r="D27" s="49" t="s">
        <v>53</v>
      </c>
      <c r="E27" s="49" t="s">
        <v>53</v>
      </c>
      <c r="F27" s="47"/>
      <c r="G27" s="51"/>
      <c r="H27" s="55"/>
    </row>
    <row r="28" spans="1:8" ht="20" customHeight="1" x14ac:dyDescent="0.2">
      <c r="A28" s="54" t="s">
        <v>80</v>
      </c>
      <c r="B28" s="47" t="s">
        <v>81</v>
      </c>
      <c r="C28" s="48"/>
      <c r="D28" s="49" t="s">
        <v>53</v>
      </c>
      <c r="E28" s="49" t="s">
        <v>53</v>
      </c>
      <c r="F28" s="47"/>
      <c r="G28" s="51"/>
      <c r="H28" s="55"/>
    </row>
    <row r="29" spans="1:8" ht="20" customHeight="1" x14ac:dyDescent="0.2">
      <c r="A29" s="54" t="s">
        <v>80</v>
      </c>
      <c r="B29" s="47" t="s">
        <v>81</v>
      </c>
      <c r="C29" s="48"/>
      <c r="D29" s="49" t="s">
        <v>53</v>
      </c>
      <c r="E29" s="49" t="s">
        <v>53</v>
      </c>
      <c r="F29" s="47"/>
      <c r="G29" s="51"/>
      <c r="H29" s="55"/>
    </row>
    <row r="30" spans="1:8" ht="20" customHeight="1" x14ac:dyDescent="0.2">
      <c r="A30" s="54" t="s">
        <v>80</v>
      </c>
      <c r="B30" s="47" t="s">
        <v>81</v>
      </c>
      <c r="C30" s="48"/>
      <c r="D30" s="49" t="s">
        <v>53</v>
      </c>
      <c r="E30" s="49" t="s">
        <v>53</v>
      </c>
      <c r="F30" s="47"/>
      <c r="G30" s="51"/>
      <c r="H30" s="55"/>
    </row>
    <row r="31" spans="1:8" ht="20" customHeight="1" x14ac:dyDescent="0.2">
      <c r="A31" s="54" t="s">
        <v>80</v>
      </c>
      <c r="B31" s="47" t="s">
        <v>81</v>
      </c>
      <c r="C31" s="48"/>
      <c r="D31" s="49" t="s">
        <v>53</v>
      </c>
      <c r="E31" s="49" t="s">
        <v>53</v>
      </c>
      <c r="F31" s="47"/>
      <c r="G31" s="51"/>
      <c r="H31" s="55"/>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x14ac:dyDescent="0.2">
      <c r="A38" s="56" t="s">
        <v>86</v>
      </c>
      <c r="B38" s="25" t="s">
        <v>81</v>
      </c>
      <c r="C38" s="26"/>
      <c r="D38" s="27" t="s">
        <v>53</v>
      </c>
      <c r="E38" s="27"/>
      <c r="F38" s="26"/>
      <c r="G38" s="28"/>
      <c r="H38" s="28"/>
    </row>
  </sheetData>
  <mergeCells count="10">
    <mergeCell ref="B7:E7"/>
    <mergeCell ref="B8:E8"/>
    <mergeCell ref="B9:E9"/>
    <mergeCell ref="B10:E10"/>
    <mergeCell ref="A1:H1"/>
    <mergeCell ref="B2:E2"/>
    <mergeCell ref="B3:E3"/>
    <mergeCell ref="B4:E4"/>
    <mergeCell ref="B5:E5"/>
    <mergeCell ref="B6:E6"/>
  </mergeCells>
  <hyperlinks>
    <hyperlink ref="G25" r:id="rId1" xr:uid="{D73BD738-E79C-4563-B72E-B96D752329CF}"/>
    <hyperlink ref="G14" r:id="rId2" xr:uid="{3C84AE88-441D-4BB6-BEC0-2D8D0C057490}"/>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38"/>
  <sheetViews>
    <sheetView showGridLines="0" zoomScale="70" zoomScaleNormal="70" workbookViewId="0">
      <pane ySplit="11" topLeftCell="A12" activePane="bottomLeft" state="frozen"/>
      <selection pane="bottomLeft" activeCell="G2" sqref="G2"/>
    </sheetView>
  </sheetViews>
  <sheetFormatPr baseColWidth="10" defaultColWidth="8.83203125" defaultRowHeight="15" x14ac:dyDescent="0.2"/>
  <cols>
    <col min="1" max="1" width="64.5" customWidth="1"/>
    <col min="2" max="2" width="10.33203125" customWidth="1"/>
    <col min="3" max="3" width="25.1640625" bestFit="1" customWidth="1"/>
    <col min="4" max="4" width="18.1640625" customWidth="1"/>
    <col min="5" max="5" width="20" customWidth="1"/>
    <col min="6" max="6" width="46.1640625" customWidth="1"/>
    <col min="7" max="8" width="93" style="29" bestFit="1" customWidth="1"/>
    <col min="9" max="79" width="8.6640625"/>
  </cols>
  <sheetData>
    <row r="1" spans="1:8" ht="30" customHeight="1" x14ac:dyDescent="0.2">
      <c r="A1" s="106" t="s">
        <v>11</v>
      </c>
      <c r="B1" s="115"/>
      <c r="C1" s="115"/>
      <c r="D1" s="115"/>
      <c r="E1" s="115"/>
      <c r="F1" s="115"/>
      <c r="G1" s="115"/>
      <c r="H1" s="116"/>
    </row>
    <row r="2" spans="1:8" s="6" customFormat="1" ht="51" customHeight="1" x14ac:dyDescent="0.25">
      <c r="A2" s="3" t="s">
        <v>134</v>
      </c>
      <c r="B2" s="120" t="s">
        <v>158</v>
      </c>
      <c r="C2" s="118"/>
      <c r="D2" s="118"/>
      <c r="E2" s="119"/>
      <c r="F2" s="4" t="s">
        <v>14</v>
      </c>
      <c r="G2" s="75">
        <v>25000</v>
      </c>
      <c r="H2" s="52" t="s">
        <v>136</v>
      </c>
    </row>
    <row r="3" spans="1:8" ht="18" customHeight="1" x14ac:dyDescent="0.2">
      <c r="A3" s="3" t="s">
        <v>137</v>
      </c>
      <c r="B3" s="113" t="s">
        <v>159</v>
      </c>
      <c r="C3" s="113"/>
      <c r="D3" s="113"/>
      <c r="E3" s="114"/>
      <c r="F3" s="4" t="s">
        <v>18</v>
      </c>
      <c r="G3" s="75">
        <v>22265.1</v>
      </c>
      <c r="H3" s="53"/>
    </row>
    <row r="4" spans="1:8" ht="18" x14ac:dyDescent="0.2">
      <c r="A4" s="3" t="s">
        <v>139</v>
      </c>
      <c r="B4" s="113" t="s">
        <v>160</v>
      </c>
      <c r="C4" s="113"/>
      <c r="D4" s="113"/>
      <c r="E4" s="114"/>
      <c r="F4" s="4" t="s">
        <v>21</v>
      </c>
      <c r="G4" s="64" t="s">
        <v>30</v>
      </c>
      <c r="H4" s="53"/>
    </row>
    <row r="5" spans="1:8" ht="18" customHeight="1" x14ac:dyDescent="0.2">
      <c r="A5" s="3" t="s">
        <v>22</v>
      </c>
      <c r="B5" s="105" t="s">
        <v>23</v>
      </c>
      <c r="C5" s="105"/>
      <c r="D5" s="105"/>
      <c r="E5" s="105"/>
      <c r="F5" s="4" t="s">
        <v>24</v>
      </c>
      <c r="G5" s="64"/>
      <c r="H5" s="53"/>
    </row>
    <row r="6" spans="1:8" ht="18" x14ac:dyDescent="0.2">
      <c r="A6" s="3" t="s">
        <v>25</v>
      </c>
      <c r="B6" s="108" t="s">
        <v>26</v>
      </c>
      <c r="C6" s="108"/>
      <c r="D6" s="108"/>
      <c r="E6" s="108"/>
      <c r="F6" s="4" t="s">
        <v>27</v>
      </c>
      <c r="G6" s="64"/>
      <c r="H6" s="53"/>
    </row>
    <row r="7" spans="1:8" ht="18" customHeight="1" x14ac:dyDescent="0.2">
      <c r="A7" s="3" t="s">
        <v>141</v>
      </c>
      <c r="B7" s="112">
        <v>45078</v>
      </c>
      <c r="C7" s="113"/>
      <c r="D7" s="113"/>
      <c r="E7" s="114"/>
      <c r="F7" s="4" t="s">
        <v>29</v>
      </c>
      <c r="G7" s="64" t="s">
        <v>161</v>
      </c>
      <c r="H7" s="53"/>
    </row>
    <row r="8" spans="1:8" ht="18" customHeight="1" x14ac:dyDescent="0.2">
      <c r="A8" s="3" t="s">
        <v>143</v>
      </c>
      <c r="B8" s="112">
        <v>45443</v>
      </c>
      <c r="C8" s="113"/>
      <c r="D8" s="113"/>
      <c r="E8" s="114"/>
      <c r="F8" s="4" t="s">
        <v>32</v>
      </c>
      <c r="G8" s="76">
        <v>0</v>
      </c>
      <c r="H8" s="53"/>
    </row>
    <row r="9" spans="1:8" ht="18" customHeight="1" x14ac:dyDescent="0.2">
      <c r="A9" s="3" t="s">
        <v>144</v>
      </c>
      <c r="B9" s="113" t="s">
        <v>162</v>
      </c>
      <c r="C9" s="113"/>
      <c r="D9" s="113"/>
      <c r="E9" s="114"/>
      <c r="F9" s="4" t="s">
        <v>35</v>
      </c>
      <c r="G9" s="64"/>
      <c r="H9" s="53"/>
    </row>
    <row r="10" spans="1:8" ht="18" customHeight="1" x14ac:dyDescent="0.2">
      <c r="A10" s="3" t="s">
        <v>146</v>
      </c>
      <c r="B10" s="113" t="s">
        <v>147</v>
      </c>
      <c r="C10" s="113"/>
      <c r="D10" s="113"/>
      <c r="E10" s="114"/>
      <c r="F10" s="4" t="s">
        <v>39</v>
      </c>
      <c r="G10" s="64" t="s">
        <v>148</v>
      </c>
      <c r="H10" s="53"/>
    </row>
    <row r="11" spans="1:8" s="6" customFormat="1" ht="30" customHeight="1" x14ac:dyDescent="0.25">
      <c r="A11" s="7" t="s">
        <v>41</v>
      </c>
      <c r="B11" s="7" t="s">
        <v>42</v>
      </c>
      <c r="C11" s="7" t="s">
        <v>43</v>
      </c>
      <c r="D11" s="7" t="s">
        <v>44</v>
      </c>
      <c r="E11" s="7" t="s">
        <v>45</v>
      </c>
      <c r="F11" s="7" t="s">
        <v>46</v>
      </c>
      <c r="G11" s="8" t="s">
        <v>47</v>
      </c>
      <c r="H11" s="8" t="s">
        <v>48</v>
      </c>
    </row>
    <row r="12" spans="1:8" s="12" customFormat="1" ht="20" customHeight="1" x14ac:dyDescent="0.25">
      <c r="A12" s="9" t="s">
        <v>49</v>
      </c>
      <c r="B12" s="10"/>
      <c r="C12" s="10"/>
      <c r="D12" s="10"/>
      <c r="E12" s="10"/>
      <c r="F12" s="10"/>
      <c r="G12" s="11"/>
      <c r="H12" s="11"/>
    </row>
    <row r="13" spans="1:8" s="12" customFormat="1" ht="20" customHeight="1" x14ac:dyDescent="0.25">
      <c r="A13" s="57"/>
      <c r="B13" s="58"/>
      <c r="C13" s="58"/>
      <c r="D13" s="58"/>
      <c r="E13" s="58"/>
      <c r="F13" s="58"/>
      <c r="G13" s="59"/>
      <c r="H13" s="59"/>
    </row>
    <row r="14" spans="1:8" ht="20" customHeight="1" x14ac:dyDescent="0.2">
      <c r="A14" s="13" t="s">
        <v>149</v>
      </c>
      <c r="B14" s="14" t="s">
        <v>51</v>
      </c>
      <c r="C14" s="15" t="s">
        <v>150</v>
      </c>
      <c r="D14" s="65">
        <v>45259</v>
      </c>
      <c r="E14" s="65">
        <v>45271</v>
      </c>
      <c r="F14" s="60" t="s">
        <v>160</v>
      </c>
      <c r="G14" s="69" t="s">
        <v>163</v>
      </c>
      <c r="H14" s="92" t="s">
        <v>164</v>
      </c>
    </row>
    <row r="15" spans="1:8" ht="20" customHeight="1" x14ac:dyDescent="0.2">
      <c r="A15" s="78" t="s">
        <v>61</v>
      </c>
      <c r="B15" s="62" t="s">
        <v>51</v>
      </c>
      <c r="C15" s="15" t="s">
        <v>62</v>
      </c>
      <c r="D15" s="16" t="s">
        <v>53</v>
      </c>
      <c r="E15" s="16" t="s">
        <v>53</v>
      </c>
      <c r="F15" s="93"/>
      <c r="G15" s="94"/>
      <c r="H15" s="77"/>
    </row>
    <row r="16" spans="1:8" ht="20" customHeight="1" x14ac:dyDescent="0.2">
      <c r="A16" s="13" t="s">
        <v>63</v>
      </c>
      <c r="B16" s="14" t="s">
        <v>51</v>
      </c>
      <c r="C16" s="15" t="s">
        <v>62</v>
      </c>
      <c r="D16" s="16" t="s">
        <v>53</v>
      </c>
      <c r="E16" s="16" t="s">
        <v>53</v>
      </c>
      <c r="F16" s="60"/>
      <c r="G16" s="50"/>
      <c r="H16" s="61"/>
    </row>
    <row r="17" spans="1:8" ht="20" customHeight="1" x14ac:dyDescent="0.2">
      <c r="A17" s="13" t="s">
        <v>153</v>
      </c>
      <c r="B17" s="14" t="s">
        <v>51</v>
      </c>
      <c r="C17" s="15" t="s">
        <v>62</v>
      </c>
      <c r="D17" s="16" t="s">
        <v>53</v>
      </c>
      <c r="E17" s="16" t="s">
        <v>53</v>
      </c>
      <c r="F17" s="60"/>
      <c r="G17" s="50"/>
      <c r="H17" s="61"/>
    </row>
    <row r="18" spans="1:8" ht="20" customHeight="1" x14ac:dyDescent="0.2">
      <c r="A18" s="13" t="s">
        <v>154</v>
      </c>
      <c r="B18" s="14" t="s">
        <v>51</v>
      </c>
      <c r="C18" s="15" t="s">
        <v>62</v>
      </c>
      <c r="D18" s="16" t="s">
        <v>53</v>
      </c>
      <c r="E18" s="16" t="s">
        <v>53</v>
      </c>
      <c r="F18" s="60"/>
      <c r="G18" s="50"/>
      <c r="H18" s="61"/>
    </row>
    <row r="19" spans="1:8" s="6" customFormat="1" ht="20" customHeight="1" x14ac:dyDescent="0.25">
      <c r="A19" s="44" t="s">
        <v>75</v>
      </c>
      <c r="B19" s="45"/>
      <c r="C19" s="45"/>
      <c r="D19" s="45"/>
      <c r="E19" s="45"/>
      <c r="F19" s="45"/>
      <c r="G19" s="46"/>
      <c r="H19" s="46"/>
    </row>
    <row r="20" spans="1:8" ht="20" customHeight="1" x14ac:dyDescent="0.2">
      <c r="A20" s="54" t="s">
        <v>155</v>
      </c>
      <c r="B20" s="47"/>
      <c r="C20" s="48"/>
      <c r="D20" s="49"/>
      <c r="E20" s="49"/>
      <c r="F20" s="47"/>
      <c r="G20" s="51"/>
      <c r="H20" s="55"/>
    </row>
    <row r="21" spans="1:8" ht="20" customHeight="1" x14ac:dyDescent="0.2">
      <c r="A21" s="54" t="s">
        <v>155</v>
      </c>
      <c r="B21" s="47"/>
      <c r="C21" s="48"/>
      <c r="D21" s="49"/>
      <c r="E21" s="49"/>
      <c r="F21" s="47"/>
      <c r="G21" s="51"/>
      <c r="H21" s="55"/>
    </row>
    <row r="22" spans="1:8" ht="20" customHeight="1" x14ac:dyDescent="0.2">
      <c r="A22" s="54" t="s">
        <v>156</v>
      </c>
      <c r="B22" s="47"/>
      <c r="C22" s="48"/>
      <c r="D22" s="49"/>
      <c r="E22" s="49"/>
      <c r="F22" s="47"/>
      <c r="G22" s="51"/>
      <c r="H22" s="55"/>
    </row>
    <row r="23" spans="1:8" ht="20" customHeight="1" x14ac:dyDescent="0.2">
      <c r="A23" s="54" t="s">
        <v>156</v>
      </c>
      <c r="B23" s="47"/>
      <c r="C23" s="48"/>
      <c r="D23" s="49"/>
      <c r="E23" s="49"/>
      <c r="F23" s="47"/>
      <c r="G23" s="51"/>
      <c r="H23" s="55"/>
    </row>
    <row r="24" spans="1:8" s="6" customFormat="1" ht="20" customHeight="1" x14ac:dyDescent="0.25">
      <c r="A24" s="44" t="s">
        <v>157</v>
      </c>
      <c r="B24" s="45"/>
      <c r="C24" s="45"/>
      <c r="D24" s="45" t="s">
        <v>78</v>
      </c>
      <c r="E24" s="45" t="s">
        <v>79</v>
      </c>
      <c r="F24" s="45"/>
      <c r="G24" s="46"/>
      <c r="H24" s="46"/>
    </row>
    <row r="25" spans="1:8" ht="20" customHeight="1" x14ac:dyDescent="0.2">
      <c r="A25" s="54" t="s">
        <v>80</v>
      </c>
      <c r="B25" s="47" t="s">
        <v>81</v>
      </c>
      <c r="C25" s="48"/>
      <c r="D25" s="49" t="s">
        <v>53</v>
      </c>
      <c r="E25" s="49" t="s">
        <v>53</v>
      </c>
      <c r="F25" s="47"/>
      <c r="G25" s="51"/>
      <c r="H25" s="55"/>
    </row>
    <row r="26" spans="1:8" ht="20" customHeight="1" x14ac:dyDescent="0.2">
      <c r="A26" s="54" t="s">
        <v>80</v>
      </c>
      <c r="B26" s="47" t="s">
        <v>81</v>
      </c>
      <c r="C26" s="48"/>
      <c r="D26" s="49" t="s">
        <v>53</v>
      </c>
      <c r="E26" s="49" t="s">
        <v>53</v>
      </c>
      <c r="F26" s="47"/>
      <c r="G26" s="51"/>
      <c r="H26" s="55"/>
    </row>
    <row r="27" spans="1:8" ht="20" customHeight="1" x14ac:dyDescent="0.2">
      <c r="A27" s="54" t="s">
        <v>80</v>
      </c>
      <c r="B27" s="47" t="s">
        <v>81</v>
      </c>
      <c r="C27" s="48"/>
      <c r="D27" s="49" t="s">
        <v>53</v>
      </c>
      <c r="E27" s="49" t="s">
        <v>53</v>
      </c>
      <c r="F27" s="47"/>
      <c r="G27" s="51"/>
      <c r="H27" s="55"/>
    </row>
    <row r="28" spans="1:8" ht="20" customHeight="1" x14ac:dyDescent="0.2">
      <c r="A28" s="54" t="s">
        <v>80</v>
      </c>
      <c r="B28" s="47" t="s">
        <v>81</v>
      </c>
      <c r="C28" s="48"/>
      <c r="D28" s="49" t="s">
        <v>53</v>
      </c>
      <c r="E28" s="49" t="s">
        <v>53</v>
      </c>
      <c r="F28" s="47"/>
      <c r="G28" s="51"/>
      <c r="H28" s="55"/>
    </row>
    <row r="29" spans="1:8" ht="20" customHeight="1" x14ac:dyDescent="0.2">
      <c r="A29" s="54" t="s">
        <v>80</v>
      </c>
      <c r="B29" s="47" t="s">
        <v>81</v>
      </c>
      <c r="C29" s="48"/>
      <c r="D29" s="49" t="s">
        <v>53</v>
      </c>
      <c r="E29" s="49" t="s">
        <v>53</v>
      </c>
      <c r="F29" s="47"/>
      <c r="G29" s="51"/>
      <c r="H29" s="55"/>
    </row>
    <row r="30" spans="1:8" ht="20" customHeight="1" x14ac:dyDescent="0.2">
      <c r="A30" s="54" t="s">
        <v>80</v>
      </c>
      <c r="B30" s="47" t="s">
        <v>81</v>
      </c>
      <c r="C30" s="48"/>
      <c r="D30" s="49" t="s">
        <v>53</v>
      </c>
      <c r="E30" s="49" t="s">
        <v>53</v>
      </c>
      <c r="F30" s="47"/>
      <c r="G30" s="51"/>
      <c r="H30" s="55"/>
    </row>
    <row r="31" spans="1:8" ht="20" customHeight="1" x14ac:dyDescent="0.2">
      <c r="A31" s="54" t="s">
        <v>80</v>
      </c>
      <c r="B31" s="47" t="s">
        <v>81</v>
      </c>
      <c r="C31" s="48"/>
      <c r="D31" s="49" t="s">
        <v>53</v>
      </c>
      <c r="E31" s="49" t="s">
        <v>53</v>
      </c>
      <c r="F31" s="47"/>
      <c r="G31" s="51"/>
      <c r="H31" s="55"/>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thickBot="1" x14ac:dyDescent="0.25">
      <c r="A38" s="56" t="s">
        <v>86</v>
      </c>
      <c r="B38" s="25" t="s">
        <v>81</v>
      </c>
      <c r="C38" s="26"/>
      <c r="D38" s="27" t="s">
        <v>53</v>
      </c>
      <c r="E38" s="27"/>
      <c r="F38" s="26"/>
      <c r="G38" s="28"/>
      <c r="H38" s="28"/>
    </row>
  </sheetData>
  <mergeCells count="10">
    <mergeCell ref="B7:E7"/>
    <mergeCell ref="B8:E8"/>
    <mergeCell ref="B9:E9"/>
    <mergeCell ref="B10:E10"/>
    <mergeCell ref="A1:H1"/>
    <mergeCell ref="B2:E2"/>
    <mergeCell ref="B3:E3"/>
    <mergeCell ref="B4:E4"/>
    <mergeCell ref="B5:E5"/>
    <mergeCell ref="B6:E6"/>
  </mergeCells>
  <hyperlinks>
    <hyperlink ref="G14" r:id="rId1" xr:uid="{D4AE5D49-7F86-4BB9-8EB7-22B318B837B9}"/>
  </hyperlinks>
  <pageMargins left="0.7" right="0.7" top="0.75" bottom="0.75" header="0.3" footer="0.3"/>
  <pageSetup orientation="portrait"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822F-843A-4996-9B8F-E7CAF59624CB}">
  <sheetPr>
    <tabColor theme="4" tint="0.79998168889431442"/>
  </sheetPr>
  <dimension ref="A1:H38"/>
  <sheetViews>
    <sheetView showGridLines="0" tabSelected="1" zoomScale="70" zoomScaleNormal="70" workbookViewId="0">
      <pane ySplit="11" topLeftCell="A12" activePane="bottomLeft" state="frozen"/>
      <selection pane="bottomLeft" activeCell="B10" sqref="B10:E10"/>
    </sheetView>
  </sheetViews>
  <sheetFormatPr baseColWidth="10" defaultColWidth="8.83203125" defaultRowHeight="15" x14ac:dyDescent="0.2"/>
  <cols>
    <col min="1" max="1" width="64.5" customWidth="1"/>
    <col min="2" max="2" width="10.33203125" customWidth="1"/>
    <col min="3" max="3" width="25.1640625" bestFit="1" customWidth="1"/>
    <col min="4" max="4" width="18.1640625" customWidth="1"/>
    <col min="5" max="5" width="17.5" customWidth="1"/>
    <col min="6" max="6" width="57.1640625" customWidth="1"/>
    <col min="7" max="8" width="93" style="29" bestFit="1" customWidth="1"/>
    <col min="9" max="79" width="9.1640625"/>
  </cols>
  <sheetData>
    <row r="1" spans="1:8" ht="30" customHeight="1" x14ac:dyDescent="0.2">
      <c r="A1" s="106" t="s">
        <v>11</v>
      </c>
      <c r="B1" s="115"/>
      <c r="C1" s="115"/>
      <c r="D1" s="115"/>
      <c r="E1" s="115"/>
      <c r="F1" s="115"/>
      <c r="G1" s="115"/>
      <c r="H1" s="116"/>
    </row>
    <row r="2" spans="1:8" s="6" customFormat="1" ht="51" customHeight="1" x14ac:dyDescent="0.25">
      <c r="A2" s="3" t="s">
        <v>134</v>
      </c>
      <c r="B2" s="117" t="s">
        <v>165</v>
      </c>
      <c r="C2" s="118"/>
      <c r="D2" s="118"/>
      <c r="E2" s="119"/>
      <c r="F2" s="4" t="s">
        <v>14</v>
      </c>
      <c r="G2" s="75">
        <v>24940.13</v>
      </c>
      <c r="H2" s="52" t="s">
        <v>136</v>
      </c>
    </row>
    <row r="3" spans="1:8" ht="18" customHeight="1" x14ac:dyDescent="0.2">
      <c r="A3" s="3" t="s">
        <v>137</v>
      </c>
      <c r="B3" s="113" t="s">
        <v>166</v>
      </c>
      <c r="C3" s="113"/>
      <c r="D3" s="113"/>
      <c r="E3" s="114"/>
      <c r="F3" s="4" t="s">
        <v>18</v>
      </c>
      <c r="G3" s="75">
        <v>24940.13</v>
      </c>
      <c r="H3" s="53"/>
    </row>
    <row r="4" spans="1:8" ht="18" x14ac:dyDescent="0.2">
      <c r="A4" s="3" t="s">
        <v>139</v>
      </c>
      <c r="B4" s="113" t="s">
        <v>167</v>
      </c>
      <c r="C4" s="113"/>
      <c r="D4" s="113"/>
      <c r="E4" s="114"/>
      <c r="F4" s="4" t="s">
        <v>21</v>
      </c>
      <c r="G4" s="64" t="s">
        <v>30</v>
      </c>
      <c r="H4" s="53"/>
    </row>
    <row r="5" spans="1:8" ht="18" customHeight="1" x14ac:dyDescent="0.2">
      <c r="A5" s="3" t="s">
        <v>22</v>
      </c>
      <c r="B5" s="105" t="s">
        <v>23</v>
      </c>
      <c r="C5" s="105"/>
      <c r="D5" s="105"/>
      <c r="E5" s="105"/>
      <c r="F5" s="4" t="s">
        <v>24</v>
      </c>
      <c r="G5" s="64"/>
      <c r="H5" s="53"/>
    </row>
    <row r="6" spans="1:8" ht="18" x14ac:dyDescent="0.2">
      <c r="A6" s="3" t="s">
        <v>25</v>
      </c>
      <c r="B6" s="108" t="s">
        <v>26</v>
      </c>
      <c r="C6" s="108"/>
      <c r="D6" s="108"/>
      <c r="E6" s="108"/>
      <c r="F6" s="4" t="s">
        <v>27</v>
      </c>
      <c r="G6" s="64"/>
      <c r="H6" s="53"/>
    </row>
    <row r="7" spans="1:8" ht="18" customHeight="1" x14ac:dyDescent="0.2">
      <c r="A7" s="3" t="s">
        <v>141</v>
      </c>
      <c r="B7" s="112">
        <v>45078</v>
      </c>
      <c r="C7" s="113"/>
      <c r="D7" s="113"/>
      <c r="E7" s="114"/>
      <c r="F7" s="4" t="s">
        <v>29</v>
      </c>
      <c r="G7" s="64" t="s">
        <v>168</v>
      </c>
      <c r="H7" s="53"/>
    </row>
    <row r="8" spans="1:8" ht="18" customHeight="1" x14ac:dyDescent="0.2">
      <c r="A8" s="3" t="s">
        <v>143</v>
      </c>
      <c r="B8" s="112">
        <v>45443</v>
      </c>
      <c r="C8" s="113"/>
      <c r="D8" s="113"/>
      <c r="E8" s="114"/>
      <c r="F8" s="4" t="s">
        <v>32</v>
      </c>
      <c r="G8" s="76">
        <v>0</v>
      </c>
      <c r="H8" s="53"/>
    </row>
    <row r="9" spans="1:8" ht="18" customHeight="1" x14ac:dyDescent="0.2">
      <c r="A9" s="3" t="s">
        <v>144</v>
      </c>
      <c r="B9" s="113" t="s">
        <v>169</v>
      </c>
      <c r="C9" s="113"/>
      <c r="D9" s="113"/>
      <c r="E9" s="114"/>
      <c r="F9" s="4" t="s">
        <v>35</v>
      </c>
      <c r="G9" s="64"/>
      <c r="H9" s="53"/>
    </row>
    <row r="10" spans="1:8" ht="18" customHeight="1" x14ac:dyDescent="0.2">
      <c r="A10" s="3" t="s">
        <v>146</v>
      </c>
      <c r="B10" s="113" t="s">
        <v>147</v>
      </c>
      <c r="C10" s="113"/>
      <c r="D10" s="113"/>
      <c r="E10" s="114"/>
      <c r="F10" s="4" t="s">
        <v>39</v>
      </c>
      <c r="G10" s="64" t="s">
        <v>148</v>
      </c>
      <c r="H10" s="53"/>
    </row>
    <row r="11" spans="1:8" s="6" customFormat="1" ht="30" customHeight="1" x14ac:dyDescent="0.25">
      <c r="A11" s="7" t="s">
        <v>41</v>
      </c>
      <c r="B11" s="7" t="s">
        <v>42</v>
      </c>
      <c r="C11" s="7" t="s">
        <v>43</v>
      </c>
      <c r="D11" s="7" t="s">
        <v>44</v>
      </c>
      <c r="E11" s="7" t="s">
        <v>45</v>
      </c>
      <c r="F11" s="7" t="s">
        <v>46</v>
      </c>
      <c r="G11" s="8" t="s">
        <v>47</v>
      </c>
      <c r="H11" s="8" t="s">
        <v>48</v>
      </c>
    </row>
    <row r="12" spans="1:8" s="12" customFormat="1" ht="20" customHeight="1" x14ac:dyDescent="0.25">
      <c r="A12" s="9" t="s">
        <v>49</v>
      </c>
      <c r="B12" s="10"/>
      <c r="C12" s="10"/>
      <c r="D12" s="10"/>
      <c r="E12" s="10"/>
      <c r="F12" s="10"/>
      <c r="G12" s="11"/>
      <c r="H12" s="11"/>
    </row>
    <row r="13" spans="1:8" s="12" customFormat="1" ht="20" customHeight="1" x14ac:dyDescent="0.25">
      <c r="A13" s="57"/>
      <c r="B13" s="58"/>
      <c r="C13" s="58"/>
      <c r="D13" s="58"/>
      <c r="E13" s="58"/>
      <c r="F13" s="58"/>
      <c r="G13" s="59"/>
      <c r="H13" s="59"/>
    </row>
    <row r="14" spans="1:8" ht="20" customHeight="1" x14ac:dyDescent="0.2">
      <c r="A14" s="13" t="s">
        <v>149</v>
      </c>
      <c r="B14" s="14" t="s">
        <v>51</v>
      </c>
      <c r="C14" s="15" t="s">
        <v>150</v>
      </c>
      <c r="D14" s="65">
        <v>45153</v>
      </c>
      <c r="E14" s="65">
        <v>45154</v>
      </c>
      <c r="F14" s="60" t="s">
        <v>167</v>
      </c>
      <c r="G14" s="69" t="s">
        <v>170</v>
      </c>
      <c r="H14" s="92" t="s">
        <v>171</v>
      </c>
    </row>
    <row r="15" spans="1:8" ht="20" customHeight="1" x14ac:dyDescent="0.2">
      <c r="A15" s="78" t="s">
        <v>61</v>
      </c>
      <c r="B15" s="62" t="s">
        <v>51</v>
      </c>
      <c r="C15" s="15" t="s">
        <v>62</v>
      </c>
      <c r="D15" s="16" t="s">
        <v>53</v>
      </c>
      <c r="E15" s="16" t="s">
        <v>53</v>
      </c>
      <c r="F15" s="93"/>
      <c r="G15" s="94"/>
      <c r="H15" s="77"/>
    </row>
    <row r="16" spans="1:8" ht="20" customHeight="1" x14ac:dyDescent="0.2">
      <c r="A16" s="13" t="s">
        <v>63</v>
      </c>
      <c r="B16" s="14" t="s">
        <v>51</v>
      </c>
      <c r="C16" s="15" t="s">
        <v>62</v>
      </c>
      <c r="D16" s="16" t="s">
        <v>53</v>
      </c>
      <c r="E16" s="16" t="s">
        <v>53</v>
      </c>
      <c r="F16" s="60"/>
      <c r="G16" s="50"/>
      <c r="H16" s="61"/>
    </row>
    <row r="17" spans="1:8" ht="20" customHeight="1" x14ac:dyDescent="0.2">
      <c r="A17" s="13" t="s">
        <v>153</v>
      </c>
      <c r="B17" s="14" t="s">
        <v>51</v>
      </c>
      <c r="C17" s="15" t="s">
        <v>62</v>
      </c>
      <c r="D17" s="16" t="s">
        <v>53</v>
      </c>
      <c r="E17" s="16" t="s">
        <v>53</v>
      </c>
      <c r="F17" s="60"/>
      <c r="G17" s="50"/>
      <c r="H17" s="61"/>
    </row>
    <row r="18" spans="1:8" ht="20" customHeight="1" x14ac:dyDescent="0.2">
      <c r="A18" s="13" t="s">
        <v>154</v>
      </c>
      <c r="B18" s="14" t="s">
        <v>51</v>
      </c>
      <c r="C18" s="15" t="s">
        <v>62</v>
      </c>
      <c r="D18" s="16" t="s">
        <v>53</v>
      </c>
      <c r="E18" s="16" t="s">
        <v>53</v>
      </c>
      <c r="F18" s="60"/>
      <c r="G18" s="50"/>
      <c r="H18" s="61"/>
    </row>
    <row r="19" spans="1:8" s="6" customFormat="1" ht="20" customHeight="1" x14ac:dyDescent="0.25">
      <c r="A19" s="44" t="s">
        <v>75</v>
      </c>
      <c r="B19" s="45"/>
      <c r="C19" s="45"/>
      <c r="D19" s="45"/>
      <c r="E19" s="45"/>
      <c r="F19" s="45"/>
      <c r="G19" s="46"/>
      <c r="H19" s="46"/>
    </row>
    <row r="20" spans="1:8" ht="20" customHeight="1" x14ac:dyDescent="0.2">
      <c r="A20" s="54" t="s">
        <v>155</v>
      </c>
      <c r="B20" s="47"/>
      <c r="C20" s="48"/>
      <c r="D20" s="49"/>
      <c r="E20" s="49"/>
      <c r="F20" s="47"/>
      <c r="G20" s="51"/>
      <c r="H20" s="55"/>
    </row>
    <row r="21" spans="1:8" ht="20" customHeight="1" x14ac:dyDescent="0.2">
      <c r="A21" s="54" t="s">
        <v>155</v>
      </c>
      <c r="B21" s="47"/>
      <c r="C21" s="48"/>
      <c r="D21" s="49"/>
      <c r="E21" s="49"/>
      <c r="F21" s="47"/>
      <c r="G21" s="51"/>
      <c r="H21" s="55"/>
    </row>
    <row r="22" spans="1:8" ht="20" customHeight="1" x14ac:dyDescent="0.2">
      <c r="A22" s="54" t="s">
        <v>156</v>
      </c>
      <c r="B22" s="47"/>
      <c r="C22" s="48"/>
      <c r="D22" s="49"/>
      <c r="E22" s="49"/>
      <c r="F22" s="47"/>
      <c r="G22" s="51"/>
      <c r="H22" s="55"/>
    </row>
    <row r="23" spans="1:8" ht="20" customHeight="1" x14ac:dyDescent="0.2">
      <c r="A23" s="54" t="s">
        <v>156</v>
      </c>
      <c r="B23" s="47"/>
      <c r="C23" s="48"/>
      <c r="D23" s="49"/>
      <c r="E23" s="49"/>
      <c r="F23" s="47"/>
      <c r="G23" s="51"/>
      <c r="H23" s="55"/>
    </row>
    <row r="24" spans="1:8" s="6" customFormat="1" ht="20" customHeight="1" x14ac:dyDescent="0.25">
      <c r="A24" s="44" t="s">
        <v>157</v>
      </c>
      <c r="B24" s="45"/>
      <c r="C24" s="45"/>
      <c r="D24" s="45" t="s">
        <v>78</v>
      </c>
      <c r="E24" s="45" t="s">
        <v>79</v>
      </c>
      <c r="F24" s="45"/>
      <c r="G24" s="46"/>
      <c r="H24" s="46"/>
    </row>
    <row r="25" spans="1:8" ht="20" customHeight="1" x14ac:dyDescent="0.2">
      <c r="A25" s="54" t="s">
        <v>80</v>
      </c>
      <c r="B25" s="47" t="s">
        <v>81</v>
      </c>
      <c r="C25" s="48"/>
      <c r="D25" s="49" t="s">
        <v>53</v>
      </c>
      <c r="E25" s="49" t="s">
        <v>53</v>
      </c>
      <c r="F25" s="47"/>
      <c r="G25" s="69"/>
      <c r="H25" s="95"/>
    </row>
    <row r="26" spans="1:8" ht="20" customHeight="1" x14ac:dyDescent="0.2">
      <c r="A26" s="54" t="s">
        <v>80</v>
      </c>
      <c r="B26" s="47" t="s">
        <v>81</v>
      </c>
      <c r="C26" s="48"/>
      <c r="D26" s="49" t="s">
        <v>53</v>
      </c>
      <c r="E26" s="49" t="s">
        <v>53</v>
      </c>
      <c r="F26" s="47"/>
      <c r="G26" s="96"/>
      <c r="H26" s="98"/>
    </row>
    <row r="27" spans="1:8" ht="20" customHeight="1" x14ac:dyDescent="0.2">
      <c r="A27" s="54" t="s">
        <v>80</v>
      </c>
      <c r="B27" s="47" t="s">
        <v>81</v>
      </c>
      <c r="C27" s="48"/>
      <c r="D27" s="49" t="s">
        <v>53</v>
      </c>
      <c r="E27" s="49" t="s">
        <v>53</v>
      </c>
      <c r="F27" s="47"/>
      <c r="G27" s="96"/>
      <c r="H27" s="95"/>
    </row>
    <row r="28" spans="1:8" ht="20" customHeight="1" x14ac:dyDescent="0.2">
      <c r="A28" s="54" t="s">
        <v>80</v>
      </c>
      <c r="B28" s="47" t="s">
        <v>81</v>
      </c>
      <c r="C28" s="48"/>
      <c r="D28" s="49" t="s">
        <v>53</v>
      </c>
      <c r="E28" s="49" t="s">
        <v>53</v>
      </c>
      <c r="F28" s="47"/>
      <c r="G28" s="96"/>
      <c r="H28" s="95"/>
    </row>
    <row r="29" spans="1:8" ht="20" customHeight="1" x14ac:dyDescent="0.2">
      <c r="A29" s="54" t="s">
        <v>80</v>
      </c>
      <c r="B29" s="47" t="s">
        <v>81</v>
      </c>
      <c r="C29" s="48"/>
      <c r="D29" s="49" t="s">
        <v>53</v>
      </c>
      <c r="E29" s="49" t="s">
        <v>53</v>
      </c>
      <c r="F29" s="47"/>
      <c r="G29" s="96"/>
      <c r="H29" s="95"/>
    </row>
    <row r="30" spans="1:8" ht="20" customHeight="1" x14ac:dyDescent="0.2">
      <c r="A30" s="54" t="s">
        <v>80</v>
      </c>
      <c r="B30" s="47" t="s">
        <v>81</v>
      </c>
      <c r="C30" s="48"/>
      <c r="D30" s="49" t="s">
        <v>53</v>
      </c>
      <c r="E30" s="49" t="s">
        <v>53</v>
      </c>
      <c r="F30" s="47"/>
      <c r="G30" s="96"/>
      <c r="H30" s="95"/>
    </row>
    <row r="31" spans="1:8" ht="20" customHeight="1" x14ac:dyDescent="0.2">
      <c r="A31" s="54" t="s">
        <v>80</v>
      </c>
      <c r="B31" s="47" t="s">
        <v>81</v>
      </c>
      <c r="C31" s="48"/>
      <c r="D31" s="49" t="s">
        <v>53</v>
      </c>
      <c r="E31" s="49" t="s">
        <v>53</v>
      </c>
      <c r="F31" s="47"/>
      <c r="G31" s="51"/>
      <c r="H31" s="97"/>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x14ac:dyDescent="0.2">
      <c r="A38" s="56" t="s">
        <v>86</v>
      </c>
      <c r="B38" s="25" t="s">
        <v>81</v>
      </c>
      <c r="C38" s="26"/>
      <c r="D38" s="27" t="s">
        <v>53</v>
      </c>
      <c r="E38" s="27"/>
      <c r="F38" s="26"/>
      <c r="G38" s="28"/>
      <c r="H38" s="28"/>
    </row>
  </sheetData>
  <mergeCells count="10">
    <mergeCell ref="B7:E7"/>
    <mergeCell ref="B8:E8"/>
    <mergeCell ref="B9:E9"/>
    <mergeCell ref="B10:E10"/>
    <mergeCell ref="A1:H1"/>
    <mergeCell ref="B2:E2"/>
    <mergeCell ref="B3:E3"/>
    <mergeCell ref="B4:E4"/>
    <mergeCell ref="B5:E5"/>
    <mergeCell ref="B6:E6"/>
  </mergeCells>
  <hyperlinks>
    <hyperlink ref="G14" r:id="rId1" xr:uid="{2BEC1049-5929-4C10-917B-10D856E51C5B}"/>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0C37-CCE5-4711-8E94-98A3FD2C87EC}">
  <sheetPr>
    <tabColor theme="4" tint="0.79998168889431442"/>
  </sheetPr>
  <dimension ref="A1:H38"/>
  <sheetViews>
    <sheetView showGridLines="0" zoomScale="70" zoomScaleNormal="70" workbookViewId="0">
      <pane ySplit="11" topLeftCell="A12" activePane="bottomLeft" state="frozen"/>
      <selection pane="bottomLeft" activeCell="H15" sqref="H15"/>
    </sheetView>
  </sheetViews>
  <sheetFormatPr baseColWidth="10" defaultColWidth="8.83203125" defaultRowHeight="15" x14ac:dyDescent="0.2"/>
  <cols>
    <col min="1" max="1" width="64.5" customWidth="1"/>
    <col min="2" max="2" width="10.33203125" customWidth="1"/>
    <col min="3" max="3" width="25.1640625" bestFit="1" customWidth="1"/>
    <col min="4" max="4" width="18.1640625" customWidth="1"/>
    <col min="5" max="5" width="17.5" customWidth="1"/>
    <col min="6" max="6" width="57.1640625" customWidth="1"/>
    <col min="7" max="8" width="93" style="29" bestFit="1" customWidth="1"/>
    <col min="9" max="79" width="9.1640625"/>
  </cols>
  <sheetData>
    <row r="1" spans="1:8" ht="30" customHeight="1" x14ac:dyDescent="0.2">
      <c r="A1" s="106" t="s">
        <v>11</v>
      </c>
      <c r="B1" s="115"/>
      <c r="C1" s="115"/>
      <c r="D1" s="115"/>
      <c r="E1" s="115"/>
      <c r="F1" s="115"/>
      <c r="G1" s="115"/>
      <c r="H1" s="116"/>
    </row>
    <row r="2" spans="1:8" s="6" customFormat="1" ht="51" customHeight="1" x14ac:dyDescent="0.25">
      <c r="A2" s="3" t="s">
        <v>134</v>
      </c>
      <c r="B2" s="117" t="s">
        <v>172</v>
      </c>
      <c r="C2" s="118"/>
      <c r="D2" s="118"/>
      <c r="E2" s="119"/>
      <c r="F2" s="4" t="s">
        <v>14</v>
      </c>
      <c r="G2" s="75">
        <v>24957</v>
      </c>
      <c r="H2" s="52" t="s">
        <v>136</v>
      </c>
    </row>
    <row r="3" spans="1:8" ht="18" customHeight="1" x14ac:dyDescent="0.2">
      <c r="A3" s="3" t="s">
        <v>137</v>
      </c>
      <c r="B3" s="121" t="s">
        <v>173</v>
      </c>
      <c r="C3" s="113"/>
      <c r="D3" s="113"/>
      <c r="E3" s="114"/>
      <c r="F3" s="4" t="s">
        <v>18</v>
      </c>
      <c r="G3" s="75">
        <v>24957</v>
      </c>
      <c r="H3" s="53"/>
    </row>
    <row r="4" spans="1:8" ht="18" x14ac:dyDescent="0.2">
      <c r="A4" s="3" t="s">
        <v>139</v>
      </c>
      <c r="B4" s="121" t="s">
        <v>174</v>
      </c>
      <c r="C4" s="113"/>
      <c r="D4" s="113"/>
      <c r="E4" s="114"/>
      <c r="F4" s="4" t="s">
        <v>21</v>
      </c>
      <c r="G4" s="64" t="s">
        <v>30</v>
      </c>
      <c r="H4" s="53"/>
    </row>
    <row r="5" spans="1:8" ht="18" customHeight="1" x14ac:dyDescent="0.2">
      <c r="A5" s="3" t="s">
        <v>22</v>
      </c>
      <c r="B5" s="105" t="s">
        <v>23</v>
      </c>
      <c r="C5" s="105"/>
      <c r="D5" s="105"/>
      <c r="E5" s="105"/>
      <c r="F5" s="4" t="s">
        <v>24</v>
      </c>
      <c r="G5" s="64"/>
      <c r="H5" s="53"/>
    </row>
    <row r="6" spans="1:8" ht="18" x14ac:dyDescent="0.2">
      <c r="A6" s="3" t="s">
        <v>25</v>
      </c>
      <c r="B6" s="108" t="s">
        <v>26</v>
      </c>
      <c r="C6" s="108"/>
      <c r="D6" s="108"/>
      <c r="E6" s="108"/>
      <c r="F6" s="4" t="s">
        <v>27</v>
      </c>
      <c r="G6" s="64"/>
      <c r="H6" s="53"/>
    </row>
    <row r="7" spans="1:8" ht="18" customHeight="1" x14ac:dyDescent="0.2">
      <c r="A7" s="3" t="s">
        <v>141</v>
      </c>
      <c r="B7" s="112">
        <v>45078</v>
      </c>
      <c r="C7" s="113"/>
      <c r="D7" s="113"/>
      <c r="E7" s="114"/>
      <c r="F7" s="4" t="s">
        <v>29</v>
      </c>
      <c r="G7" s="64" t="s">
        <v>168</v>
      </c>
      <c r="H7" s="53"/>
    </row>
    <row r="8" spans="1:8" ht="18" customHeight="1" x14ac:dyDescent="0.2">
      <c r="A8" s="3" t="s">
        <v>143</v>
      </c>
      <c r="B8" s="112">
        <v>45443</v>
      </c>
      <c r="C8" s="113"/>
      <c r="D8" s="113"/>
      <c r="E8" s="114"/>
      <c r="F8" s="4" t="s">
        <v>32</v>
      </c>
      <c r="G8" s="76">
        <v>0</v>
      </c>
      <c r="H8" s="53"/>
    </row>
    <row r="9" spans="1:8" ht="18" customHeight="1" x14ac:dyDescent="0.2">
      <c r="A9" s="3" t="s">
        <v>144</v>
      </c>
      <c r="B9" s="113" t="s">
        <v>169</v>
      </c>
      <c r="C9" s="113"/>
      <c r="D9" s="113"/>
      <c r="E9" s="114"/>
      <c r="F9" s="4" t="s">
        <v>35</v>
      </c>
      <c r="G9" s="64"/>
      <c r="H9" s="53"/>
    </row>
    <row r="10" spans="1:8" ht="18" customHeight="1" x14ac:dyDescent="0.2">
      <c r="A10" s="3" t="s">
        <v>146</v>
      </c>
      <c r="B10" s="113" t="s">
        <v>147</v>
      </c>
      <c r="C10" s="113"/>
      <c r="D10" s="113"/>
      <c r="E10" s="114"/>
      <c r="F10" s="4" t="s">
        <v>39</v>
      </c>
      <c r="G10" s="64" t="s">
        <v>148</v>
      </c>
      <c r="H10" s="53"/>
    </row>
    <row r="11" spans="1:8" s="6" customFormat="1" ht="30" customHeight="1" x14ac:dyDescent="0.25">
      <c r="A11" s="7" t="s">
        <v>41</v>
      </c>
      <c r="B11" s="7" t="s">
        <v>42</v>
      </c>
      <c r="C11" s="7" t="s">
        <v>43</v>
      </c>
      <c r="D11" s="7" t="s">
        <v>44</v>
      </c>
      <c r="E11" s="7" t="s">
        <v>45</v>
      </c>
      <c r="F11" s="7" t="s">
        <v>46</v>
      </c>
      <c r="G11" s="8" t="s">
        <v>47</v>
      </c>
      <c r="H11" s="8" t="s">
        <v>48</v>
      </c>
    </row>
    <row r="12" spans="1:8" s="12" customFormat="1" ht="20" customHeight="1" x14ac:dyDescent="0.25">
      <c r="A12" s="9" t="s">
        <v>49</v>
      </c>
      <c r="B12" s="10"/>
      <c r="C12" s="10"/>
      <c r="D12" s="10"/>
      <c r="E12" s="10"/>
      <c r="F12" s="10"/>
      <c r="G12" s="11"/>
      <c r="H12" s="11"/>
    </row>
    <row r="13" spans="1:8" s="12" customFormat="1" ht="20" customHeight="1" x14ac:dyDescent="0.25">
      <c r="A13" s="57"/>
      <c r="B13" s="58"/>
      <c r="C13" s="58"/>
      <c r="D13" s="58"/>
      <c r="E13" s="58"/>
      <c r="F13" s="58"/>
      <c r="G13" s="59"/>
      <c r="H13" s="59"/>
    </row>
    <row r="14" spans="1:8" ht="20" customHeight="1" x14ac:dyDescent="0.2">
      <c r="A14" s="13" t="s">
        <v>149</v>
      </c>
      <c r="B14" s="14" t="s">
        <v>51</v>
      </c>
      <c r="C14" s="15" t="s">
        <v>150</v>
      </c>
      <c r="D14" s="65">
        <v>45148</v>
      </c>
      <c r="E14" s="65">
        <v>45152</v>
      </c>
      <c r="F14" s="60" t="s">
        <v>174</v>
      </c>
      <c r="G14" s="69" t="s">
        <v>175</v>
      </c>
      <c r="H14" s="92" t="s">
        <v>176</v>
      </c>
    </row>
    <row r="15" spans="1:8" ht="20" customHeight="1" x14ac:dyDescent="0.2">
      <c r="A15" s="78" t="s">
        <v>61</v>
      </c>
      <c r="B15" s="62" t="s">
        <v>51</v>
      </c>
      <c r="C15" s="15" t="s">
        <v>62</v>
      </c>
      <c r="D15" s="16" t="s">
        <v>53</v>
      </c>
      <c r="E15" s="16" t="s">
        <v>53</v>
      </c>
      <c r="F15" s="93"/>
      <c r="G15" s="94"/>
      <c r="H15" s="77"/>
    </row>
    <row r="16" spans="1:8" ht="20" customHeight="1" x14ac:dyDescent="0.2">
      <c r="A16" s="13" t="s">
        <v>63</v>
      </c>
      <c r="B16" s="14" t="s">
        <v>51</v>
      </c>
      <c r="C16" s="15" t="s">
        <v>62</v>
      </c>
      <c r="D16" s="16" t="s">
        <v>53</v>
      </c>
      <c r="E16" s="16" t="s">
        <v>53</v>
      </c>
      <c r="F16" s="60"/>
      <c r="G16" s="50"/>
      <c r="H16" s="61"/>
    </row>
    <row r="17" spans="1:8" ht="20" customHeight="1" x14ac:dyDescent="0.2">
      <c r="A17" s="13" t="s">
        <v>153</v>
      </c>
      <c r="B17" s="14" t="s">
        <v>51</v>
      </c>
      <c r="C17" s="15" t="s">
        <v>62</v>
      </c>
      <c r="D17" s="16" t="s">
        <v>53</v>
      </c>
      <c r="E17" s="16" t="s">
        <v>53</v>
      </c>
      <c r="F17" s="60"/>
      <c r="G17" s="50"/>
      <c r="H17" s="61"/>
    </row>
    <row r="18" spans="1:8" ht="20" customHeight="1" x14ac:dyDescent="0.2">
      <c r="A18" s="13" t="s">
        <v>154</v>
      </c>
      <c r="B18" s="14" t="s">
        <v>51</v>
      </c>
      <c r="C18" s="15" t="s">
        <v>62</v>
      </c>
      <c r="D18" s="16" t="s">
        <v>53</v>
      </c>
      <c r="E18" s="16" t="s">
        <v>53</v>
      </c>
      <c r="F18" s="60"/>
      <c r="G18" s="50"/>
      <c r="H18" s="61"/>
    </row>
    <row r="19" spans="1:8" s="6" customFormat="1" ht="20" customHeight="1" x14ac:dyDescent="0.25">
      <c r="A19" s="44" t="s">
        <v>75</v>
      </c>
      <c r="B19" s="45"/>
      <c r="C19" s="45"/>
      <c r="D19" s="45"/>
      <c r="E19" s="45"/>
      <c r="F19" s="45"/>
      <c r="G19" s="46"/>
      <c r="H19" s="46"/>
    </row>
    <row r="20" spans="1:8" ht="20" customHeight="1" x14ac:dyDescent="0.2">
      <c r="A20" s="54" t="s">
        <v>155</v>
      </c>
      <c r="B20" s="47"/>
      <c r="C20" s="48"/>
      <c r="D20" s="49"/>
      <c r="E20" s="49"/>
      <c r="F20" s="47"/>
      <c r="G20" s="51"/>
      <c r="H20" s="55"/>
    </row>
    <row r="21" spans="1:8" ht="20" customHeight="1" x14ac:dyDescent="0.2">
      <c r="A21" s="54" t="s">
        <v>155</v>
      </c>
      <c r="B21" s="47"/>
      <c r="C21" s="48"/>
      <c r="D21" s="49"/>
      <c r="E21" s="49"/>
      <c r="F21" s="47"/>
      <c r="G21" s="51"/>
      <c r="H21" s="55"/>
    </row>
    <row r="22" spans="1:8" ht="20" customHeight="1" x14ac:dyDescent="0.2">
      <c r="A22" s="54" t="s">
        <v>156</v>
      </c>
      <c r="B22" s="47"/>
      <c r="C22" s="48"/>
      <c r="D22" s="49"/>
      <c r="E22" s="49"/>
      <c r="F22" s="47"/>
      <c r="G22" s="51"/>
      <c r="H22" s="55"/>
    </row>
    <row r="23" spans="1:8" ht="20" customHeight="1" x14ac:dyDescent="0.2">
      <c r="A23" s="54" t="s">
        <v>156</v>
      </c>
      <c r="B23" s="47"/>
      <c r="C23" s="48"/>
      <c r="D23" s="49"/>
      <c r="E23" s="49"/>
      <c r="F23" s="47"/>
      <c r="G23" s="51"/>
      <c r="H23" s="55"/>
    </row>
    <row r="24" spans="1:8" s="6" customFormat="1" ht="20" customHeight="1" x14ac:dyDescent="0.25">
      <c r="A24" s="44" t="s">
        <v>157</v>
      </c>
      <c r="B24" s="45"/>
      <c r="C24" s="45"/>
      <c r="D24" s="45" t="s">
        <v>78</v>
      </c>
      <c r="E24" s="45" t="s">
        <v>79</v>
      </c>
      <c r="F24" s="45"/>
      <c r="G24" s="46"/>
      <c r="H24" s="46"/>
    </row>
    <row r="25" spans="1:8" ht="20" customHeight="1" x14ac:dyDescent="0.2">
      <c r="A25" s="54" t="s">
        <v>80</v>
      </c>
      <c r="B25" s="47" t="s">
        <v>81</v>
      </c>
      <c r="C25" s="48"/>
      <c r="D25" s="49" t="s">
        <v>53</v>
      </c>
      <c r="E25" s="49" t="s">
        <v>53</v>
      </c>
      <c r="F25" s="47"/>
      <c r="G25" s="69"/>
      <c r="H25" s="95"/>
    </row>
    <row r="26" spans="1:8" ht="20" customHeight="1" x14ac:dyDescent="0.2">
      <c r="A26" s="54" t="s">
        <v>80</v>
      </c>
      <c r="B26" s="47" t="s">
        <v>81</v>
      </c>
      <c r="C26" s="48"/>
      <c r="D26" s="49" t="s">
        <v>53</v>
      </c>
      <c r="E26" s="49" t="s">
        <v>53</v>
      </c>
      <c r="F26" s="47"/>
      <c r="G26" s="96"/>
      <c r="H26" s="98"/>
    </row>
    <row r="27" spans="1:8" ht="20" customHeight="1" x14ac:dyDescent="0.2">
      <c r="A27" s="54" t="s">
        <v>80</v>
      </c>
      <c r="B27" s="47" t="s">
        <v>81</v>
      </c>
      <c r="C27" s="48"/>
      <c r="D27" s="49" t="s">
        <v>53</v>
      </c>
      <c r="E27" s="49" t="s">
        <v>53</v>
      </c>
      <c r="F27" s="47"/>
      <c r="G27" s="96"/>
      <c r="H27" s="95"/>
    </row>
    <row r="28" spans="1:8" ht="20" customHeight="1" x14ac:dyDescent="0.2">
      <c r="A28" s="54" t="s">
        <v>80</v>
      </c>
      <c r="B28" s="47" t="s">
        <v>81</v>
      </c>
      <c r="C28" s="48"/>
      <c r="D28" s="49" t="s">
        <v>53</v>
      </c>
      <c r="E28" s="49" t="s">
        <v>53</v>
      </c>
      <c r="F28" s="47"/>
      <c r="G28" s="96"/>
      <c r="H28" s="95"/>
    </row>
    <row r="29" spans="1:8" ht="20" customHeight="1" x14ac:dyDescent="0.2">
      <c r="A29" s="54" t="s">
        <v>80</v>
      </c>
      <c r="B29" s="47" t="s">
        <v>81</v>
      </c>
      <c r="C29" s="48"/>
      <c r="D29" s="49" t="s">
        <v>53</v>
      </c>
      <c r="E29" s="49" t="s">
        <v>53</v>
      </c>
      <c r="F29" s="47"/>
      <c r="G29" s="96"/>
      <c r="H29" s="95"/>
    </row>
    <row r="30" spans="1:8" ht="20" customHeight="1" x14ac:dyDescent="0.2">
      <c r="A30" s="54" t="s">
        <v>80</v>
      </c>
      <c r="B30" s="47" t="s">
        <v>81</v>
      </c>
      <c r="C30" s="48"/>
      <c r="D30" s="49" t="s">
        <v>53</v>
      </c>
      <c r="E30" s="49" t="s">
        <v>53</v>
      </c>
      <c r="F30" s="47"/>
      <c r="G30" s="96"/>
      <c r="H30" s="95"/>
    </row>
    <row r="31" spans="1:8" ht="20" customHeight="1" x14ac:dyDescent="0.2">
      <c r="A31" s="54" t="s">
        <v>80</v>
      </c>
      <c r="B31" s="47" t="s">
        <v>81</v>
      </c>
      <c r="C31" s="48"/>
      <c r="D31" s="49" t="s">
        <v>53</v>
      </c>
      <c r="E31" s="49" t="s">
        <v>53</v>
      </c>
      <c r="F31" s="47"/>
      <c r="G31" s="51"/>
      <c r="H31" s="97"/>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x14ac:dyDescent="0.2">
      <c r="A38" s="56" t="s">
        <v>86</v>
      </c>
      <c r="B38" s="25" t="s">
        <v>81</v>
      </c>
      <c r="C38" s="26"/>
      <c r="D38" s="27" t="s">
        <v>53</v>
      </c>
      <c r="E38" s="27"/>
      <c r="F38" s="26"/>
      <c r="G38" s="28"/>
      <c r="H38" s="28"/>
    </row>
  </sheetData>
  <mergeCells count="10">
    <mergeCell ref="B7:E7"/>
    <mergeCell ref="B8:E8"/>
    <mergeCell ref="B9:E9"/>
    <mergeCell ref="B10:E10"/>
    <mergeCell ref="A1:H1"/>
    <mergeCell ref="B2:E2"/>
    <mergeCell ref="B3:E3"/>
    <mergeCell ref="B4:E4"/>
    <mergeCell ref="B5:E5"/>
    <mergeCell ref="B6:E6"/>
  </mergeCells>
  <hyperlinks>
    <hyperlink ref="G14" r:id="rId1" xr:uid="{12236B7E-32D3-4E5B-83A6-4771BBEC0B37}"/>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49CAF-26D6-43E8-A059-5AD32097FD19}">
  <sheetPr>
    <tabColor theme="4" tint="0.79998168889431442"/>
  </sheetPr>
  <dimension ref="A1:H38"/>
  <sheetViews>
    <sheetView showGridLines="0" zoomScale="70" zoomScaleNormal="70" workbookViewId="0">
      <pane ySplit="11" topLeftCell="A12" activePane="bottomLeft" state="frozen"/>
      <selection pane="bottomLeft" activeCell="F15" sqref="F15"/>
    </sheetView>
  </sheetViews>
  <sheetFormatPr baseColWidth="10" defaultColWidth="8.83203125" defaultRowHeight="15" x14ac:dyDescent="0.2"/>
  <cols>
    <col min="1" max="1" width="64.5" customWidth="1"/>
    <col min="2" max="2" width="10.33203125" customWidth="1"/>
    <col min="3" max="3" width="25.1640625" bestFit="1" customWidth="1"/>
    <col min="4" max="4" width="18.1640625" customWidth="1"/>
    <col min="5" max="5" width="17.5" customWidth="1"/>
    <col min="6" max="6" width="61.5" customWidth="1"/>
    <col min="7" max="8" width="93" style="29" bestFit="1" customWidth="1"/>
    <col min="9" max="79" width="9.1640625"/>
  </cols>
  <sheetData>
    <row r="1" spans="1:8" ht="30" customHeight="1" x14ac:dyDescent="0.2">
      <c r="A1" s="106" t="s">
        <v>11</v>
      </c>
      <c r="B1" s="115"/>
      <c r="C1" s="115"/>
      <c r="D1" s="115"/>
      <c r="E1" s="115"/>
      <c r="F1" s="115"/>
      <c r="G1" s="115"/>
      <c r="H1" s="116"/>
    </row>
    <row r="2" spans="1:8" s="6" customFormat="1" ht="51" customHeight="1" x14ac:dyDescent="0.25">
      <c r="A2" s="3" t="s">
        <v>134</v>
      </c>
      <c r="B2" s="117" t="s">
        <v>177</v>
      </c>
      <c r="C2" s="118"/>
      <c r="D2" s="118"/>
      <c r="E2" s="119"/>
      <c r="F2" s="4" t="s">
        <v>14</v>
      </c>
      <c r="G2" s="75">
        <v>24960</v>
      </c>
      <c r="H2" s="52" t="s">
        <v>136</v>
      </c>
    </row>
    <row r="3" spans="1:8" ht="18" customHeight="1" x14ac:dyDescent="0.2">
      <c r="A3" s="3" t="s">
        <v>137</v>
      </c>
      <c r="B3" s="121" t="s">
        <v>178</v>
      </c>
      <c r="C3" s="113"/>
      <c r="D3" s="113"/>
      <c r="E3" s="114"/>
      <c r="F3" s="4" t="s">
        <v>18</v>
      </c>
      <c r="G3" s="75">
        <v>24960</v>
      </c>
      <c r="H3" s="53"/>
    </row>
    <row r="4" spans="1:8" ht="18" x14ac:dyDescent="0.2">
      <c r="A4" s="3" t="s">
        <v>139</v>
      </c>
      <c r="B4" s="121" t="s">
        <v>179</v>
      </c>
      <c r="C4" s="113"/>
      <c r="D4" s="113"/>
      <c r="E4" s="114"/>
      <c r="F4" s="4" t="s">
        <v>21</v>
      </c>
      <c r="G4" s="64" t="s">
        <v>30</v>
      </c>
      <c r="H4" s="53"/>
    </row>
    <row r="5" spans="1:8" ht="18" customHeight="1" x14ac:dyDescent="0.2">
      <c r="A5" s="3" t="s">
        <v>22</v>
      </c>
      <c r="B5" s="105" t="s">
        <v>23</v>
      </c>
      <c r="C5" s="105"/>
      <c r="D5" s="105"/>
      <c r="E5" s="105"/>
      <c r="F5" s="4" t="s">
        <v>24</v>
      </c>
      <c r="G5" s="64"/>
      <c r="H5" s="53"/>
    </row>
    <row r="6" spans="1:8" ht="18" x14ac:dyDescent="0.2">
      <c r="A6" s="3" t="s">
        <v>25</v>
      </c>
      <c r="B6" s="108" t="s">
        <v>26</v>
      </c>
      <c r="C6" s="108"/>
      <c r="D6" s="108"/>
      <c r="E6" s="108"/>
      <c r="F6" s="4" t="s">
        <v>27</v>
      </c>
      <c r="G6" s="64"/>
      <c r="H6" s="53"/>
    </row>
    <row r="7" spans="1:8" ht="18" customHeight="1" x14ac:dyDescent="0.2">
      <c r="A7" s="3" t="s">
        <v>141</v>
      </c>
      <c r="B7" s="112">
        <v>45078</v>
      </c>
      <c r="C7" s="113"/>
      <c r="D7" s="113"/>
      <c r="E7" s="114"/>
      <c r="F7" s="4" t="s">
        <v>29</v>
      </c>
      <c r="G7" s="64" t="s">
        <v>180</v>
      </c>
      <c r="H7" s="53"/>
    </row>
    <row r="8" spans="1:8" ht="18" customHeight="1" x14ac:dyDescent="0.2">
      <c r="A8" s="3" t="s">
        <v>143</v>
      </c>
      <c r="B8" s="112">
        <v>45443</v>
      </c>
      <c r="C8" s="113"/>
      <c r="D8" s="113"/>
      <c r="E8" s="114"/>
      <c r="F8" s="4" t="s">
        <v>32</v>
      </c>
      <c r="G8" s="76">
        <v>0</v>
      </c>
      <c r="H8" s="53"/>
    </row>
    <row r="9" spans="1:8" ht="18" customHeight="1" x14ac:dyDescent="0.2">
      <c r="A9" s="3" t="s">
        <v>144</v>
      </c>
      <c r="B9" s="113" t="s">
        <v>181</v>
      </c>
      <c r="C9" s="113"/>
      <c r="D9" s="113"/>
      <c r="E9" s="114"/>
      <c r="F9" s="4" t="s">
        <v>35</v>
      </c>
      <c r="G9" s="64"/>
      <c r="H9" s="53"/>
    </row>
    <row r="10" spans="1:8" ht="18" customHeight="1" x14ac:dyDescent="0.2">
      <c r="A10" s="3" t="s">
        <v>146</v>
      </c>
      <c r="B10" s="113" t="s">
        <v>147</v>
      </c>
      <c r="C10" s="113"/>
      <c r="D10" s="113"/>
      <c r="E10" s="114"/>
      <c r="F10" s="4" t="s">
        <v>39</v>
      </c>
      <c r="G10" s="64" t="s">
        <v>148</v>
      </c>
      <c r="H10" s="53"/>
    </row>
    <row r="11" spans="1:8" s="6" customFormat="1" ht="30" customHeight="1" x14ac:dyDescent="0.25">
      <c r="A11" s="7" t="s">
        <v>41</v>
      </c>
      <c r="B11" s="7" t="s">
        <v>42</v>
      </c>
      <c r="C11" s="7" t="s">
        <v>43</v>
      </c>
      <c r="D11" s="7" t="s">
        <v>44</v>
      </c>
      <c r="E11" s="7" t="s">
        <v>45</v>
      </c>
      <c r="F11" s="7" t="s">
        <v>46</v>
      </c>
      <c r="G11" s="8" t="s">
        <v>47</v>
      </c>
      <c r="H11" s="8" t="s">
        <v>48</v>
      </c>
    </row>
    <row r="12" spans="1:8" s="12" customFormat="1" ht="20" customHeight="1" x14ac:dyDescent="0.25">
      <c r="A12" s="9" t="s">
        <v>49</v>
      </c>
      <c r="B12" s="10"/>
      <c r="C12" s="10"/>
      <c r="D12" s="10"/>
      <c r="E12" s="10"/>
      <c r="F12" s="10"/>
      <c r="G12" s="11"/>
      <c r="H12" s="11"/>
    </row>
    <row r="13" spans="1:8" s="12" customFormat="1" ht="20" customHeight="1" x14ac:dyDescent="0.25">
      <c r="A13" s="57"/>
      <c r="B13" s="58"/>
      <c r="C13" s="58"/>
      <c r="D13" s="58"/>
      <c r="E13" s="58"/>
      <c r="F13" s="58"/>
      <c r="G13" s="59"/>
      <c r="H13" s="59"/>
    </row>
    <row r="14" spans="1:8" ht="20" customHeight="1" x14ac:dyDescent="0.2">
      <c r="A14" s="13" t="s">
        <v>149</v>
      </c>
      <c r="B14" s="14" t="s">
        <v>51</v>
      </c>
      <c r="C14" s="15" t="s">
        <v>150</v>
      </c>
      <c r="D14" s="65">
        <v>45174</v>
      </c>
      <c r="E14" s="101">
        <v>45177</v>
      </c>
      <c r="F14" s="100" t="s">
        <v>179</v>
      </c>
      <c r="G14" s="102" t="s">
        <v>182</v>
      </c>
      <c r="H14" s="92" t="s">
        <v>183</v>
      </c>
    </row>
    <row r="15" spans="1:8" ht="20" customHeight="1" x14ac:dyDescent="0.2">
      <c r="A15" s="78" t="s">
        <v>61</v>
      </c>
      <c r="B15" s="62" t="s">
        <v>51</v>
      </c>
      <c r="C15" s="15" t="s">
        <v>62</v>
      </c>
      <c r="D15" s="16" t="s">
        <v>53</v>
      </c>
      <c r="E15" s="16" t="s">
        <v>53</v>
      </c>
      <c r="F15" s="93"/>
      <c r="G15" s="94"/>
      <c r="H15" s="77"/>
    </row>
    <row r="16" spans="1:8" ht="20" customHeight="1" x14ac:dyDescent="0.2">
      <c r="A16" s="13" t="s">
        <v>63</v>
      </c>
      <c r="B16" s="14" t="s">
        <v>51</v>
      </c>
      <c r="C16" s="15" t="s">
        <v>62</v>
      </c>
      <c r="D16" s="16" t="s">
        <v>53</v>
      </c>
      <c r="E16" s="16" t="s">
        <v>53</v>
      </c>
      <c r="F16" s="60"/>
      <c r="G16" s="50"/>
      <c r="H16" s="61"/>
    </row>
    <row r="17" spans="1:8" ht="20" customHeight="1" x14ac:dyDescent="0.2">
      <c r="A17" s="13" t="s">
        <v>153</v>
      </c>
      <c r="B17" s="14" t="s">
        <v>51</v>
      </c>
      <c r="C17" s="15" t="s">
        <v>62</v>
      </c>
      <c r="D17" s="16" t="s">
        <v>53</v>
      </c>
      <c r="E17" s="16" t="s">
        <v>53</v>
      </c>
      <c r="F17" s="60"/>
      <c r="G17" s="50"/>
      <c r="H17" s="61"/>
    </row>
    <row r="18" spans="1:8" ht="20" customHeight="1" x14ac:dyDescent="0.2">
      <c r="A18" s="13" t="s">
        <v>154</v>
      </c>
      <c r="B18" s="14" t="s">
        <v>51</v>
      </c>
      <c r="C18" s="15" t="s">
        <v>62</v>
      </c>
      <c r="D18" s="16" t="s">
        <v>53</v>
      </c>
      <c r="E18" s="16" t="s">
        <v>53</v>
      </c>
      <c r="F18" s="60"/>
      <c r="G18" s="50"/>
      <c r="H18" s="61"/>
    </row>
    <row r="19" spans="1:8" s="6" customFormat="1" ht="20" customHeight="1" x14ac:dyDescent="0.25">
      <c r="A19" s="44" t="s">
        <v>75</v>
      </c>
      <c r="B19" s="45"/>
      <c r="C19" s="45"/>
      <c r="D19" s="45"/>
      <c r="E19" s="45"/>
      <c r="F19" s="45"/>
      <c r="G19" s="46"/>
      <c r="H19" s="46"/>
    </row>
    <row r="20" spans="1:8" ht="20" customHeight="1" x14ac:dyDescent="0.2">
      <c r="A20" s="54" t="s">
        <v>155</v>
      </c>
      <c r="B20" s="47"/>
      <c r="C20" s="48"/>
      <c r="D20" s="49"/>
      <c r="E20" s="49"/>
      <c r="F20" s="47"/>
      <c r="G20" s="51"/>
      <c r="H20" s="55"/>
    </row>
    <row r="21" spans="1:8" ht="20" customHeight="1" x14ac:dyDescent="0.2">
      <c r="A21" s="54" t="s">
        <v>155</v>
      </c>
      <c r="B21" s="47"/>
      <c r="C21" s="48"/>
      <c r="D21" s="49"/>
      <c r="E21" s="49"/>
      <c r="F21" s="47"/>
      <c r="G21" s="51"/>
      <c r="H21" s="55"/>
    </row>
    <row r="22" spans="1:8" ht="20" customHeight="1" x14ac:dyDescent="0.2">
      <c r="A22" s="54" t="s">
        <v>156</v>
      </c>
      <c r="B22" s="47"/>
      <c r="C22" s="48"/>
      <c r="D22" s="49"/>
      <c r="E22" s="49"/>
      <c r="F22" s="47"/>
      <c r="G22" s="51"/>
      <c r="H22" s="55"/>
    </row>
    <row r="23" spans="1:8" ht="20" customHeight="1" x14ac:dyDescent="0.2">
      <c r="A23" s="54" t="s">
        <v>156</v>
      </c>
      <c r="B23" s="47"/>
      <c r="C23" s="48"/>
      <c r="D23" s="49"/>
      <c r="E23" s="49"/>
      <c r="F23" s="47"/>
      <c r="G23" s="51"/>
      <c r="H23" s="55"/>
    </row>
    <row r="24" spans="1:8" s="6" customFormat="1" ht="20" customHeight="1" x14ac:dyDescent="0.25">
      <c r="A24" s="44" t="s">
        <v>157</v>
      </c>
      <c r="B24" s="45"/>
      <c r="C24" s="45"/>
      <c r="D24" s="45" t="s">
        <v>78</v>
      </c>
      <c r="E24" s="45" t="s">
        <v>79</v>
      </c>
      <c r="F24" s="45"/>
      <c r="G24" s="46"/>
      <c r="H24" s="46"/>
    </row>
    <row r="25" spans="1:8" ht="20" customHeight="1" x14ac:dyDescent="0.2">
      <c r="A25" s="54" t="s">
        <v>80</v>
      </c>
      <c r="B25" s="47" t="s">
        <v>81</v>
      </c>
      <c r="C25" s="48"/>
      <c r="D25" s="49" t="s">
        <v>53</v>
      </c>
      <c r="E25" s="49" t="s">
        <v>53</v>
      </c>
      <c r="F25" s="47"/>
      <c r="G25" s="69"/>
      <c r="H25" s="95"/>
    </row>
    <row r="26" spans="1:8" ht="20" customHeight="1" x14ac:dyDescent="0.2">
      <c r="A26" s="54" t="s">
        <v>80</v>
      </c>
      <c r="B26" s="47" t="s">
        <v>81</v>
      </c>
      <c r="C26" s="48"/>
      <c r="D26" s="49" t="s">
        <v>53</v>
      </c>
      <c r="E26" s="49" t="s">
        <v>53</v>
      </c>
      <c r="F26" s="47"/>
      <c r="G26" s="96"/>
      <c r="H26" s="98"/>
    </row>
    <row r="27" spans="1:8" ht="20" customHeight="1" x14ac:dyDescent="0.2">
      <c r="A27" s="54" t="s">
        <v>80</v>
      </c>
      <c r="B27" s="47" t="s">
        <v>81</v>
      </c>
      <c r="C27" s="48"/>
      <c r="D27" s="49" t="s">
        <v>53</v>
      </c>
      <c r="E27" s="49" t="s">
        <v>53</v>
      </c>
      <c r="F27" s="47"/>
      <c r="G27" s="96"/>
      <c r="H27" s="95"/>
    </row>
    <row r="28" spans="1:8" ht="20" customHeight="1" x14ac:dyDescent="0.2">
      <c r="A28" s="54" t="s">
        <v>80</v>
      </c>
      <c r="B28" s="47" t="s">
        <v>81</v>
      </c>
      <c r="C28" s="48"/>
      <c r="D28" s="49" t="s">
        <v>53</v>
      </c>
      <c r="E28" s="49" t="s">
        <v>53</v>
      </c>
      <c r="F28" s="47"/>
      <c r="G28" s="96"/>
      <c r="H28" s="95"/>
    </row>
    <row r="29" spans="1:8" ht="20" customHeight="1" x14ac:dyDescent="0.2">
      <c r="A29" s="54" t="s">
        <v>80</v>
      </c>
      <c r="B29" s="47" t="s">
        <v>81</v>
      </c>
      <c r="C29" s="48"/>
      <c r="D29" s="49" t="s">
        <v>53</v>
      </c>
      <c r="E29" s="49" t="s">
        <v>53</v>
      </c>
      <c r="F29" s="47"/>
      <c r="G29" s="96"/>
      <c r="H29" s="95"/>
    </row>
    <row r="30" spans="1:8" ht="20" customHeight="1" x14ac:dyDescent="0.2">
      <c r="A30" s="54" t="s">
        <v>80</v>
      </c>
      <c r="B30" s="47" t="s">
        <v>81</v>
      </c>
      <c r="C30" s="48"/>
      <c r="D30" s="49" t="s">
        <v>53</v>
      </c>
      <c r="E30" s="49" t="s">
        <v>53</v>
      </c>
      <c r="F30" s="47"/>
      <c r="G30" s="96"/>
      <c r="H30" s="95"/>
    </row>
    <row r="31" spans="1:8" ht="20" customHeight="1" x14ac:dyDescent="0.2">
      <c r="A31" s="54" t="s">
        <v>80</v>
      </c>
      <c r="B31" s="47" t="s">
        <v>81</v>
      </c>
      <c r="C31" s="48"/>
      <c r="D31" s="49" t="s">
        <v>53</v>
      </c>
      <c r="E31" s="49" t="s">
        <v>53</v>
      </c>
      <c r="F31" s="47"/>
      <c r="G31" s="51"/>
      <c r="H31" s="97"/>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x14ac:dyDescent="0.2">
      <c r="A38" s="56" t="s">
        <v>86</v>
      </c>
      <c r="B38" s="25" t="s">
        <v>81</v>
      </c>
      <c r="C38" s="26"/>
      <c r="D38" s="27" t="s">
        <v>53</v>
      </c>
      <c r="E38" s="27"/>
      <c r="F38" s="26"/>
      <c r="G38" s="28"/>
      <c r="H38" s="28"/>
    </row>
  </sheetData>
  <mergeCells count="10">
    <mergeCell ref="B7:E7"/>
    <mergeCell ref="B8:E8"/>
    <mergeCell ref="B9:E9"/>
    <mergeCell ref="B10:E10"/>
    <mergeCell ref="A1:H1"/>
    <mergeCell ref="B2:E2"/>
    <mergeCell ref="B3:E3"/>
    <mergeCell ref="B4:E4"/>
    <mergeCell ref="B5:E5"/>
    <mergeCell ref="B6:E6"/>
  </mergeCells>
  <hyperlinks>
    <hyperlink ref="G14" r:id="rId1" xr:uid="{9D430E97-FCB6-45FD-A6BF-D6E9A58899C7}"/>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424A-F471-4E57-95C1-58DEFCB102C7}">
  <sheetPr>
    <tabColor theme="4" tint="0.79998168889431442"/>
  </sheetPr>
  <dimension ref="A1:H38"/>
  <sheetViews>
    <sheetView showGridLines="0" zoomScale="70" zoomScaleNormal="70" workbookViewId="0">
      <pane ySplit="11" topLeftCell="A13" activePane="bottomLeft" state="frozen"/>
      <selection pane="bottomLeft" activeCell="G9" sqref="G9"/>
    </sheetView>
  </sheetViews>
  <sheetFormatPr baseColWidth="10" defaultColWidth="8.83203125" defaultRowHeight="15" x14ac:dyDescent="0.2"/>
  <cols>
    <col min="1" max="1" width="64.5" customWidth="1"/>
    <col min="2" max="2" width="10.33203125" customWidth="1"/>
    <col min="3" max="3" width="25.1640625" bestFit="1" customWidth="1"/>
    <col min="4" max="4" width="18.1640625" customWidth="1"/>
    <col min="5" max="5" width="17.5" customWidth="1"/>
    <col min="6" max="6" width="57.1640625" customWidth="1"/>
    <col min="7" max="8" width="93" style="29" bestFit="1" customWidth="1"/>
    <col min="9" max="79" width="9.1640625"/>
  </cols>
  <sheetData>
    <row r="1" spans="1:8" ht="30" customHeight="1" x14ac:dyDescent="0.2">
      <c r="A1" s="106" t="s">
        <v>11</v>
      </c>
      <c r="B1" s="115"/>
      <c r="C1" s="115"/>
      <c r="D1" s="115"/>
      <c r="E1" s="115"/>
      <c r="F1" s="115"/>
      <c r="G1" s="115"/>
      <c r="H1" s="116"/>
    </row>
    <row r="2" spans="1:8" s="6" customFormat="1" ht="51" customHeight="1" x14ac:dyDescent="0.25">
      <c r="A2" s="3" t="s">
        <v>134</v>
      </c>
      <c r="B2" s="117" t="s">
        <v>184</v>
      </c>
      <c r="C2" s="118"/>
      <c r="D2" s="118"/>
      <c r="E2" s="119"/>
      <c r="F2" s="4" t="s">
        <v>14</v>
      </c>
      <c r="G2" s="75">
        <v>25000</v>
      </c>
      <c r="H2" s="52" t="s">
        <v>136</v>
      </c>
    </row>
    <row r="3" spans="1:8" ht="18" customHeight="1" x14ac:dyDescent="0.2">
      <c r="A3" s="3" t="s">
        <v>137</v>
      </c>
      <c r="B3" s="121" t="s">
        <v>185</v>
      </c>
      <c r="C3" s="113"/>
      <c r="D3" s="113"/>
      <c r="E3" s="114"/>
      <c r="F3" s="4" t="s">
        <v>18</v>
      </c>
      <c r="G3" s="75">
        <v>25000</v>
      </c>
      <c r="H3" s="53"/>
    </row>
    <row r="4" spans="1:8" ht="18" x14ac:dyDescent="0.2">
      <c r="A4" s="3" t="s">
        <v>139</v>
      </c>
      <c r="B4" s="121" t="s">
        <v>186</v>
      </c>
      <c r="C4" s="113"/>
      <c r="D4" s="113"/>
      <c r="E4" s="114"/>
      <c r="F4" s="4" t="s">
        <v>21</v>
      </c>
      <c r="G4" s="64" t="s">
        <v>30</v>
      </c>
      <c r="H4" s="53"/>
    </row>
    <row r="5" spans="1:8" ht="18" customHeight="1" x14ac:dyDescent="0.2">
      <c r="A5" s="3" t="s">
        <v>22</v>
      </c>
      <c r="B5" s="105" t="s">
        <v>23</v>
      </c>
      <c r="C5" s="105"/>
      <c r="D5" s="105"/>
      <c r="E5" s="105"/>
      <c r="F5" s="4" t="s">
        <v>24</v>
      </c>
      <c r="G5" s="64"/>
      <c r="H5" s="53"/>
    </row>
    <row r="6" spans="1:8" ht="18" x14ac:dyDescent="0.2">
      <c r="A6" s="3" t="s">
        <v>25</v>
      </c>
      <c r="B6" s="108" t="s">
        <v>26</v>
      </c>
      <c r="C6" s="108"/>
      <c r="D6" s="108"/>
      <c r="E6" s="108"/>
      <c r="F6" s="4" t="s">
        <v>27</v>
      </c>
      <c r="G6" s="64"/>
      <c r="H6" s="53"/>
    </row>
    <row r="7" spans="1:8" ht="18" customHeight="1" x14ac:dyDescent="0.2">
      <c r="A7" s="3" t="s">
        <v>141</v>
      </c>
      <c r="B7" s="112">
        <v>45078</v>
      </c>
      <c r="C7" s="113"/>
      <c r="D7" s="113"/>
      <c r="E7" s="114"/>
      <c r="F7" s="4" t="s">
        <v>29</v>
      </c>
      <c r="G7" s="64" t="s">
        <v>187</v>
      </c>
      <c r="H7" s="53"/>
    </row>
    <row r="8" spans="1:8" ht="18" customHeight="1" x14ac:dyDescent="0.2">
      <c r="A8" s="3" t="s">
        <v>143</v>
      </c>
      <c r="B8" s="112">
        <v>45443</v>
      </c>
      <c r="C8" s="113"/>
      <c r="D8" s="113"/>
      <c r="E8" s="114"/>
      <c r="F8" s="4" t="s">
        <v>32</v>
      </c>
      <c r="G8" s="76">
        <v>0</v>
      </c>
      <c r="H8" s="53"/>
    </row>
    <row r="9" spans="1:8" ht="18" customHeight="1" x14ac:dyDescent="0.2">
      <c r="A9" s="3" t="s">
        <v>144</v>
      </c>
      <c r="B9" s="113" t="s">
        <v>188</v>
      </c>
      <c r="C9" s="113"/>
      <c r="D9" s="113"/>
      <c r="E9" s="114"/>
      <c r="F9" s="4" t="s">
        <v>35</v>
      </c>
      <c r="G9" s="64"/>
      <c r="H9" s="53"/>
    </row>
    <row r="10" spans="1:8" ht="18" customHeight="1" x14ac:dyDescent="0.2">
      <c r="A10" s="3" t="s">
        <v>146</v>
      </c>
      <c r="B10" s="113" t="s">
        <v>147</v>
      </c>
      <c r="C10" s="113"/>
      <c r="D10" s="113"/>
      <c r="E10" s="114"/>
      <c r="F10" s="4" t="s">
        <v>39</v>
      </c>
      <c r="G10" s="64" t="s">
        <v>148</v>
      </c>
      <c r="H10" s="53"/>
    </row>
    <row r="11" spans="1:8" s="6" customFormat="1" ht="30" customHeight="1" x14ac:dyDescent="0.25">
      <c r="A11" s="7" t="s">
        <v>41</v>
      </c>
      <c r="B11" s="7" t="s">
        <v>42</v>
      </c>
      <c r="C11" s="7" t="s">
        <v>43</v>
      </c>
      <c r="D11" s="7" t="s">
        <v>44</v>
      </c>
      <c r="E11" s="7" t="s">
        <v>45</v>
      </c>
      <c r="F11" s="7" t="s">
        <v>46</v>
      </c>
      <c r="G11" s="8" t="s">
        <v>47</v>
      </c>
      <c r="H11" s="8" t="s">
        <v>48</v>
      </c>
    </row>
    <row r="12" spans="1:8" s="12" customFormat="1" ht="20" customHeight="1" x14ac:dyDescent="0.25">
      <c r="A12" s="9" t="s">
        <v>49</v>
      </c>
      <c r="B12" s="10"/>
      <c r="C12" s="10"/>
      <c r="D12" s="10"/>
      <c r="E12" s="10"/>
      <c r="F12" s="10"/>
      <c r="G12" s="11"/>
      <c r="H12" s="11"/>
    </row>
    <row r="13" spans="1:8" s="12" customFormat="1" ht="20" customHeight="1" x14ac:dyDescent="0.25">
      <c r="A13" s="57"/>
      <c r="B13" s="58"/>
      <c r="C13" s="58"/>
      <c r="D13" s="58"/>
      <c r="E13" s="58"/>
      <c r="F13" s="58"/>
      <c r="G13" s="59"/>
      <c r="H13" s="59"/>
    </row>
    <row r="14" spans="1:8" ht="20" customHeight="1" x14ac:dyDescent="0.2">
      <c r="A14" s="13" t="s">
        <v>149</v>
      </c>
      <c r="B14" s="14" t="s">
        <v>51</v>
      </c>
      <c r="C14" s="15" t="s">
        <v>150</v>
      </c>
      <c r="D14" s="65">
        <v>45148</v>
      </c>
      <c r="E14" s="101">
        <v>45152</v>
      </c>
      <c r="F14" s="100"/>
      <c r="G14" s="99"/>
      <c r="H14" s="92" t="s">
        <v>189</v>
      </c>
    </row>
    <row r="15" spans="1:8" ht="20" customHeight="1" x14ac:dyDescent="0.2">
      <c r="A15" s="78" t="s">
        <v>61</v>
      </c>
      <c r="B15" s="62" t="s">
        <v>51</v>
      </c>
      <c r="C15" s="15" t="s">
        <v>62</v>
      </c>
      <c r="D15" s="16" t="s">
        <v>53</v>
      </c>
      <c r="E15" s="103" t="s">
        <v>53</v>
      </c>
      <c r="F15" s="100"/>
      <c r="G15" s="99"/>
      <c r="H15" s="77"/>
    </row>
    <row r="16" spans="1:8" ht="20" customHeight="1" x14ac:dyDescent="0.2">
      <c r="A16" s="13" t="s">
        <v>63</v>
      </c>
      <c r="B16" s="14" t="s">
        <v>51</v>
      </c>
      <c r="C16" s="15" t="s">
        <v>62</v>
      </c>
      <c r="D16" s="16" t="s">
        <v>53</v>
      </c>
      <c r="E16" s="16" t="s">
        <v>53</v>
      </c>
      <c r="F16" s="93"/>
      <c r="G16" s="104"/>
      <c r="H16" s="61"/>
    </row>
    <row r="17" spans="1:8" ht="20" customHeight="1" x14ac:dyDescent="0.2">
      <c r="A17" s="13" t="s">
        <v>153</v>
      </c>
      <c r="B17" s="14" t="s">
        <v>51</v>
      </c>
      <c r="C17" s="15" t="s">
        <v>62</v>
      </c>
      <c r="D17" s="16" t="s">
        <v>53</v>
      </c>
      <c r="E17" s="16" t="s">
        <v>53</v>
      </c>
      <c r="F17" s="60"/>
      <c r="G17" s="50"/>
      <c r="H17" s="61"/>
    </row>
    <row r="18" spans="1:8" ht="20" customHeight="1" x14ac:dyDescent="0.2">
      <c r="A18" s="13" t="s">
        <v>154</v>
      </c>
      <c r="B18" s="14" t="s">
        <v>51</v>
      </c>
      <c r="C18" s="15" t="s">
        <v>62</v>
      </c>
      <c r="D18" s="16" t="s">
        <v>53</v>
      </c>
      <c r="E18" s="16" t="s">
        <v>53</v>
      </c>
      <c r="F18" s="60"/>
      <c r="G18" s="50"/>
      <c r="H18" s="61"/>
    </row>
    <row r="19" spans="1:8" s="6" customFormat="1" ht="20" customHeight="1" x14ac:dyDescent="0.25">
      <c r="A19" s="44" t="s">
        <v>75</v>
      </c>
      <c r="B19" s="45"/>
      <c r="C19" s="45"/>
      <c r="D19" s="45"/>
      <c r="E19" s="45"/>
      <c r="F19" s="45"/>
      <c r="G19" s="46"/>
      <c r="H19" s="46"/>
    </row>
    <row r="20" spans="1:8" ht="20" customHeight="1" x14ac:dyDescent="0.2">
      <c r="A20" s="54" t="s">
        <v>155</v>
      </c>
      <c r="B20" s="47"/>
      <c r="C20" s="48"/>
      <c r="D20" s="49"/>
      <c r="E20" s="49"/>
      <c r="F20" s="47"/>
      <c r="G20" s="51"/>
      <c r="H20" s="55"/>
    </row>
    <row r="21" spans="1:8" ht="20" customHeight="1" x14ac:dyDescent="0.2">
      <c r="A21" s="54" t="s">
        <v>155</v>
      </c>
      <c r="B21" s="47"/>
      <c r="C21" s="48"/>
      <c r="D21" s="49"/>
      <c r="E21" s="49"/>
      <c r="F21" s="47"/>
      <c r="G21" s="51"/>
      <c r="H21" s="55"/>
    </row>
    <row r="22" spans="1:8" ht="20" customHeight="1" x14ac:dyDescent="0.2">
      <c r="A22" s="54" t="s">
        <v>156</v>
      </c>
      <c r="B22" s="47"/>
      <c r="C22" s="48"/>
      <c r="D22" s="49"/>
      <c r="E22" s="49"/>
      <c r="F22" s="47"/>
      <c r="G22" s="51"/>
      <c r="H22" s="55"/>
    </row>
    <row r="23" spans="1:8" ht="20" customHeight="1" x14ac:dyDescent="0.2">
      <c r="A23" s="54" t="s">
        <v>156</v>
      </c>
      <c r="B23" s="47"/>
      <c r="C23" s="48"/>
      <c r="D23" s="49"/>
      <c r="E23" s="49"/>
      <c r="F23" s="47"/>
      <c r="G23" s="51"/>
      <c r="H23" s="55"/>
    </row>
    <row r="24" spans="1:8" s="6" customFormat="1" ht="20" customHeight="1" x14ac:dyDescent="0.25">
      <c r="A24" s="44" t="s">
        <v>157</v>
      </c>
      <c r="B24" s="45"/>
      <c r="C24" s="45"/>
      <c r="D24" s="45" t="s">
        <v>78</v>
      </c>
      <c r="E24" s="45" t="s">
        <v>79</v>
      </c>
      <c r="F24" s="45"/>
      <c r="G24" s="46"/>
      <c r="H24" s="46"/>
    </row>
    <row r="25" spans="1:8" ht="20" customHeight="1" x14ac:dyDescent="0.2">
      <c r="A25" s="54" t="s">
        <v>80</v>
      </c>
      <c r="B25" s="47" t="s">
        <v>81</v>
      </c>
      <c r="C25" s="48"/>
      <c r="D25" s="49" t="s">
        <v>53</v>
      </c>
      <c r="E25" s="49" t="s">
        <v>53</v>
      </c>
      <c r="F25" s="47"/>
      <c r="G25" s="69"/>
      <c r="H25" s="95"/>
    </row>
    <row r="26" spans="1:8" ht="20" customHeight="1" x14ac:dyDescent="0.2">
      <c r="A26" s="54" t="s">
        <v>80</v>
      </c>
      <c r="B26" s="47" t="s">
        <v>81</v>
      </c>
      <c r="C26" s="48"/>
      <c r="D26" s="49" t="s">
        <v>53</v>
      </c>
      <c r="E26" s="49" t="s">
        <v>53</v>
      </c>
      <c r="F26" s="47"/>
      <c r="G26" s="96"/>
      <c r="H26" s="98"/>
    </row>
    <row r="27" spans="1:8" ht="20" customHeight="1" x14ac:dyDescent="0.2">
      <c r="A27" s="54" t="s">
        <v>80</v>
      </c>
      <c r="B27" s="47" t="s">
        <v>81</v>
      </c>
      <c r="C27" s="48"/>
      <c r="D27" s="49" t="s">
        <v>53</v>
      </c>
      <c r="E27" s="49" t="s">
        <v>53</v>
      </c>
      <c r="F27" s="47"/>
      <c r="G27" s="96"/>
      <c r="H27" s="95"/>
    </row>
    <row r="28" spans="1:8" ht="20" customHeight="1" x14ac:dyDescent="0.2">
      <c r="A28" s="54" t="s">
        <v>80</v>
      </c>
      <c r="B28" s="47" t="s">
        <v>81</v>
      </c>
      <c r="C28" s="48"/>
      <c r="D28" s="49" t="s">
        <v>53</v>
      </c>
      <c r="E28" s="49" t="s">
        <v>53</v>
      </c>
      <c r="F28" s="47"/>
      <c r="G28" s="96"/>
      <c r="H28" s="95"/>
    </row>
    <row r="29" spans="1:8" ht="20" customHeight="1" x14ac:dyDescent="0.2">
      <c r="A29" s="54" t="s">
        <v>80</v>
      </c>
      <c r="B29" s="47" t="s">
        <v>81</v>
      </c>
      <c r="C29" s="48"/>
      <c r="D29" s="49" t="s">
        <v>53</v>
      </c>
      <c r="E29" s="49" t="s">
        <v>53</v>
      </c>
      <c r="F29" s="47"/>
      <c r="G29" s="96"/>
      <c r="H29" s="95"/>
    </row>
    <row r="30" spans="1:8" ht="20" customHeight="1" x14ac:dyDescent="0.2">
      <c r="A30" s="54" t="s">
        <v>80</v>
      </c>
      <c r="B30" s="47" t="s">
        <v>81</v>
      </c>
      <c r="C30" s="48"/>
      <c r="D30" s="49" t="s">
        <v>53</v>
      </c>
      <c r="E30" s="49" t="s">
        <v>53</v>
      </c>
      <c r="F30" s="47"/>
      <c r="G30" s="96"/>
      <c r="H30" s="95"/>
    </row>
    <row r="31" spans="1:8" ht="20" customHeight="1" x14ac:dyDescent="0.2">
      <c r="A31" s="54" t="s">
        <v>80</v>
      </c>
      <c r="B31" s="47" t="s">
        <v>81</v>
      </c>
      <c r="C31" s="48"/>
      <c r="D31" s="49" t="s">
        <v>53</v>
      </c>
      <c r="E31" s="49" t="s">
        <v>53</v>
      </c>
      <c r="F31" s="47"/>
      <c r="G31" s="51"/>
      <c r="H31" s="97"/>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x14ac:dyDescent="0.2">
      <c r="A38" s="56" t="s">
        <v>86</v>
      </c>
      <c r="B38" s="25" t="s">
        <v>81</v>
      </c>
      <c r="C38" s="26"/>
      <c r="D38" s="27" t="s">
        <v>53</v>
      </c>
      <c r="E38" s="27"/>
      <c r="F38" s="26"/>
      <c r="G38" s="28"/>
      <c r="H38" s="28"/>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084C5-65CB-475D-9E26-B0D33C3CEA41}">
  <sheetPr>
    <tabColor theme="4" tint="0.79998168889431442"/>
  </sheetPr>
  <dimension ref="A1:H38"/>
  <sheetViews>
    <sheetView showGridLines="0" zoomScale="70" zoomScaleNormal="70" workbookViewId="0">
      <pane ySplit="11" topLeftCell="A16" activePane="bottomLeft" state="frozen"/>
      <selection pane="bottomLeft" activeCell="G9" sqref="G9"/>
    </sheetView>
  </sheetViews>
  <sheetFormatPr baseColWidth="10" defaultColWidth="8.83203125" defaultRowHeight="15" x14ac:dyDescent="0.2"/>
  <cols>
    <col min="1" max="1" width="64.5" customWidth="1"/>
    <col min="2" max="2" width="10.33203125" customWidth="1"/>
    <col min="3" max="3" width="25.1640625" bestFit="1" customWidth="1"/>
    <col min="4" max="4" width="18.1640625" customWidth="1"/>
    <col min="5" max="5" width="17.5" customWidth="1"/>
    <col min="6" max="6" width="57.1640625" customWidth="1"/>
    <col min="7" max="8" width="93" style="29" bestFit="1" customWidth="1"/>
    <col min="9" max="79" width="9.1640625"/>
  </cols>
  <sheetData>
    <row r="1" spans="1:8" ht="30" customHeight="1" x14ac:dyDescent="0.2">
      <c r="A1" s="106" t="s">
        <v>11</v>
      </c>
      <c r="B1" s="115"/>
      <c r="C1" s="115"/>
      <c r="D1" s="115"/>
      <c r="E1" s="115"/>
      <c r="F1" s="115"/>
      <c r="G1" s="115"/>
      <c r="H1" s="116"/>
    </row>
    <row r="2" spans="1:8" s="6" customFormat="1" ht="51" customHeight="1" x14ac:dyDescent="0.25">
      <c r="A2" s="3" t="s">
        <v>134</v>
      </c>
      <c r="B2" s="117" t="s">
        <v>190</v>
      </c>
      <c r="C2" s="118"/>
      <c r="D2" s="118"/>
      <c r="E2" s="119"/>
      <c r="F2" s="4" t="s">
        <v>14</v>
      </c>
      <c r="G2" s="75">
        <v>24970</v>
      </c>
      <c r="H2" s="52" t="s">
        <v>136</v>
      </c>
    </row>
    <row r="3" spans="1:8" ht="18" customHeight="1" x14ac:dyDescent="0.2">
      <c r="A3" s="3" t="s">
        <v>137</v>
      </c>
      <c r="B3" s="121"/>
      <c r="C3" s="113"/>
      <c r="D3" s="113"/>
      <c r="E3" s="114"/>
      <c r="F3" s="4" t="s">
        <v>18</v>
      </c>
      <c r="G3" s="75">
        <v>24970</v>
      </c>
      <c r="H3" s="53"/>
    </row>
    <row r="4" spans="1:8" ht="18" x14ac:dyDescent="0.2">
      <c r="A4" s="3" t="s">
        <v>139</v>
      </c>
      <c r="B4" s="121"/>
      <c r="C4" s="113"/>
      <c r="D4" s="113"/>
      <c r="E4" s="114"/>
      <c r="F4" s="4" t="s">
        <v>21</v>
      </c>
      <c r="G4" s="64" t="s">
        <v>30</v>
      </c>
      <c r="H4" s="53"/>
    </row>
    <row r="5" spans="1:8" ht="18" customHeight="1" x14ac:dyDescent="0.2">
      <c r="A5" s="3" t="s">
        <v>22</v>
      </c>
      <c r="B5" s="105" t="s">
        <v>23</v>
      </c>
      <c r="C5" s="105"/>
      <c r="D5" s="105"/>
      <c r="E5" s="105"/>
      <c r="F5" s="4" t="s">
        <v>24</v>
      </c>
      <c r="G5" s="64"/>
      <c r="H5" s="53"/>
    </row>
    <row r="6" spans="1:8" ht="18" x14ac:dyDescent="0.2">
      <c r="A6" s="3" t="s">
        <v>25</v>
      </c>
      <c r="B6" s="108" t="s">
        <v>26</v>
      </c>
      <c r="C6" s="108"/>
      <c r="D6" s="108"/>
      <c r="E6" s="108"/>
      <c r="F6" s="4" t="s">
        <v>27</v>
      </c>
      <c r="G6" s="64"/>
      <c r="H6" s="53"/>
    </row>
    <row r="7" spans="1:8" ht="18" customHeight="1" x14ac:dyDescent="0.2">
      <c r="A7" s="3" t="s">
        <v>141</v>
      </c>
      <c r="B7" s="112">
        <v>45078</v>
      </c>
      <c r="C7" s="113"/>
      <c r="D7" s="113"/>
      <c r="E7" s="114"/>
      <c r="F7" s="4" t="s">
        <v>29</v>
      </c>
      <c r="G7" s="64" t="s">
        <v>191</v>
      </c>
      <c r="H7" s="53"/>
    </row>
    <row r="8" spans="1:8" ht="18" customHeight="1" x14ac:dyDescent="0.2">
      <c r="A8" s="3" t="s">
        <v>143</v>
      </c>
      <c r="B8" s="112">
        <v>45443</v>
      </c>
      <c r="C8" s="113"/>
      <c r="D8" s="113"/>
      <c r="E8" s="114"/>
      <c r="F8" s="4" t="s">
        <v>32</v>
      </c>
      <c r="G8" s="76">
        <v>0.1</v>
      </c>
      <c r="H8" s="53"/>
    </row>
    <row r="9" spans="1:8" ht="18" customHeight="1" x14ac:dyDescent="0.2">
      <c r="A9" s="3" t="s">
        <v>144</v>
      </c>
      <c r="B9" s="113"/>
      <c r="C9" s="113"/>
      <c r="D9" s="113"/>
      <c r="E9" s="114"/>
      <c r="F9" s="4" t="s">
        <v>35</v>
      </c>
      <c r="G9" s="64"/>
      <c r="H9" s="53"/>
    </row>
    <row r="10" spans="1:8" ht="18" customHeight="1" x14ac:dyDescent="0.2">
      <c r="A10" s="3" t="s">
        <v>146</v>
      </c>
      <c r="B10" s="113" t="s">
        <v>147</v>
      </c>
      <c r="C10" s="113"/>
      <c r="D10" s="113"/>
      <c r="E10" s="114"/>
      <c r="F10" s="4" t="s">
        <v>39</v>
      </c>
      <c r="G10" s="64" t="s">
        <v>148</v>
      </c>
      <c r="H10" s="53"/>
    </row>
    <row r="11" spans="1:8" s="6" customFormat="1" ht="30" customHeight="1" x14ac:dyDescent="0.25">
      <c r="A11" s="7" t="s">
        <v>41</v>
      </c>
      <c r="B11" s="7" t="s">
        <v>42</v>
      </c>
      <c r="C11" s="7" t="s">
        <v>43</v>
      </c>
      <c r="D11" s="7" t="s">
        <v>44</v>
      </c>
      <c r="E11" s="7" t="s">
        <v>45</v>
      </c>
      <c r="F11" s="7" t="s">
        <v>46</v>
      </c>
      <c r="G11" s="8" t="s">
        <v>47</v>
      </c>
      <c r="H11" s="8" t="s">
        <v>48</v>
      </c>
    </row>
    <row r="12" spans="1:8" s="12" customFormat="1" ht="20" customHeight="1" x14ac:dyDescent="0.25">
      <c r="A12" s="9" t="s">
        <v>49</v>
      </c>
      <c r="B12" s="10"/>
      <c r="C12" s="10"/>
      <c r="D12" s="10"/>
      <c r="E12" s="10"/>
      <c r="F12" s="10"/>
      <c r="G12" s="11"/>
      <c r="H12" s="11"/>
    </row>
    <row r="13" spans="1:8" s="12" customFormat="1" ht="20" customHeight="1" x14ac:dyDescent="0.25">
      <c r="A13" s="57"/>
      <c r="B13" s="58"/>
      <c r="C13" s="58"/>
      <c r="D13" s="58"/>
      <c r="E13" s="58"/>
      <c r="F13" s="58"/>
      <c r="G13" s="59"/>
      <c r="H13" s="59"/>
    </row>
    <row r="14" spans="1:8" ht="20" customHeight="1" x14ac:dyDescent="0.2">
      <c r="A14" s="13" t="s">
        <v>149</v>
      </c>
      <c r="B14" s="14" t="s">
        <v>51</v>
      </c>
      <c r="C14" s="15" t="s">
        <v>150</v>
      </c>
      <c r="D14" s="65">
        <v>45148</v>
      </c>
      <c r="E14" s="65">
        <v>45152</v>
      </c>
      <c r="F14" s="60"/>
      <c r="G14" s="69"/>
      <c r="H14" s="92" t="s">
        <v>192</v>
      </c>
    </row>
    <row r="15" spans="1:8" ht="20" customHeight="1" x14ac:dyDescent="0.2">
      <c r="A15" s="78" t="s">
        <v>61</v>
      </c>
      <c r="B15" s="62" t="s">
        <v>51</v>
      </c>
      <c r="C15" s="15" t="s">
        <v>62</v>
      </c>
      <c r="D15" s="16" t="s">
        <v>53</v>
      </c>
      <c r="E15" s="16" t="s">
        <v>53</v>
      </c>
      <c r="F15" s="93"/>
      <c r="G15" s="94"/>
      <c r="H15" s="77"/>
    </row>
    <row r="16" spans="1:8" ht="20" customHeight="1" x14ac:dyDescent="0.2">
      <c r="A16" s="13" t="s">
        <v>63</v>
      </c>
      <c r="B16" s="14" t="s">
        <v>51</v>
      </c>
      <c r="C16" s="15" t="s">
        <v>62</v>
      </c>
      <c r="D16" s="16" t="s">
        <v>53</v>
      </c>
      <c r="E16" s="16" t="s">
        <v>53</v>
      </c>
      <c r="F16" s="60"/>
      <c r="G16" s="50"/>
      <c r="H16" s="61"/>
    </row>
    <row r="17" spans="1:8" ht="20" customHeight="1" x14ac:dyDescent="0.2">
      <c r="A17" s="13" t="s">
        <v>153</v>
      </c>
      <c r="B17" s="14" t="s">
        <v>51</v>
      </c>
      <c r="C17" s="15" t="s">
        <v>62</v>
      </c>
      <c r="D17" s="16" t="s">
        <v>53</v>
      </c>
      <c r="E17" s="16" t="s">
        <v>53</v>
      </c>
      <c r="F17" s="60"/>
      <c r="G17" s="50"/>
      <c r="H17" s="61"/>
    </row>
    <row r="18" spans="1:8" ht="20" customHeight="1" x14ac:dyDescent="0.2">
      <c r="A18" s="13" t="s">
        <v>154</v>
      </c>
      <c r="B18" s="14" t="s">
        <v>51</v>
      </c>
      <c r="C18" s="15" t="s">
        <v>62</v>
      </c>
      <c r="D18" s="16" t="s">
        <v>53</v>
      </c>
      <c r="E18" s="16" t="s">
        <v>53</v>
      </c>
      <c r="F18" s="60"/>
      <c r="G18" s="50"/>
      <c r="H18" s="61"/>
    </row>
    <row r="19" spans="1:8" s="6" customFormat="1" ht="20" customHeight="1" x14ac:dyDescent="0.25">
      <c r="A19" s="44" t="s">
        <v>75</v>
      </c>
      <c r="B19" s="45"/>
      <c r="C19" s="45"/>
      <c r="D19" s="45"/>
      <c r="E19" s="45"/>
      <c r="F19" s="45"/>
      <c r="G19" s="46"/>
      <c r="H19" s="46"/>
    </row>
    <row r="20" spans="1:8" ht="20" customHeight="1" x14ac:dyDescent="0.2">
      <c r="A20" s="54" t="s">
        <v>155</v>
      </c>
      <c r="B20" s="47"/>
      <c r="C20" s="48"/>
      <c r="D20" s="49"/>
      <c r="E20" s="49"/>
      <c r="F20" s="47"/>
      <c r="G20" s="51"/>
      <c r="H20" s="55"/>
    </row>
    <row r="21" spans="1:8" ht="20" customHeight="1" x14ac:dyDescent="0.2">
      <c r="A21" s="54" t="s">
        <v>155</v>
      </c>
      <c r="B21" s="47"/>
      <c r="C21" s="48"/>
      <c r="D21" s="49"/>
      <c r="E21" s="49"/>
      <c r="F21" s="47"/>
      <c r="G21" s="51"/>
      <c r="H21" s="55"/>
    </row>
    <row r="22" spans="1:8" ht="20" customHeight="1" x14ac:dyDescent="0.2">
      <c r="A22" s="54" t="s">
        <v>156</v>
      </c>
      <c r="B22" s="47"/>
      <c r="C22" s="48"/>
      <c r="D22" s="49"/>
      <c r="E22" s="49"/>
      <c r="F22" s="47"/>
      <c r="G22" s="51"/>
      <c r="H22" s="55"/>
    </row>
    <row r="23" spans="1:8" ht="20" customHeight="1" x14ac:dyDescent="0.2">
      <c r="A23" s="54" t="s">
        <v>156</v>
      </c>
      <c r="B23" s="47"/>
      <c r="C23" s="48"/>
      <c r="D23" s="49"/>
      <c r="E23" s="49"/>
      <c r="F23" s="47"/>
      <c r="G23" s="51"/>
      <c r="H23" s="55"/>
    </row>
    <row r="24" spans="1:8" s="6" customFormat="1" ht="20" customHeight="1" x14ac:dyDescent="0.25">
      <c r="A24" s="44" t="s">
        <v>157</v>
      </c>
      <c r="B24" s="45"/>
      <c r="C24" s="45"/>
      <c r="D24" s="45" t="s">
        <v>78</v>
      </c>
      <c r="E24" s="45" t="s">
        <v>79</v>
      </c>
      <c r="F24" s="45"/>
      <c r="G24" s="46"/>
      <c r="H24" s="46"/>
    </row>
    <row r="25" spans="1:8" ht="20" customHeight="1" x14ac:dyDescent="0.2">
      <c r="A25" s="54" t="s">
        <v>80</v>
      </c>
      <c r="B25" s="47" t="s">
        <v>81</v>
      </c>
      <c r="C25" s="48"/>
      <c r="D25" s="49" t="s">
        <v>53</v>
      </c>
      <c r="E25" s="49" t="s">
        <v>53</v>
      </c>
      <c r="F25" s="47"/>
      <c r="G25" s="69"/>
      <c r="H25" s="95"/>
    </row>
    <row r="26" spans="1:8" ht="20" customHeight="1" x14ac:dyDescent="0.2">
      <c r="A26" s="54" t="s">
        <v>80</v>
      </c>
      <c r="B26" s="47" t="s">
        <v>81</v>
      </c>
      <c r="C26" s="48"/>
      <c r="D26" s="49" t="s">
        <v>53</v>
      </c>
      <c r="E26" s="49" t="s">
        <v>53</v>
      </c>
      <c r="F26" s="47"/>
      <c r="G26" s="96"/>
      <c r="H26" s="98"/>
    </row>
    <row r="27" spans="1:8" ht="20" customHeight="1" x14ac:dyDescent="0.2">
      <c r="A27" s="54" t="s">
        <v>80</v>
      </c>
      <c r="B27" s="47" t="s">
        <v>81</v>
      </c>
      <c r="C27" s="48"/>
      <c r="D27" s="49" t="s">
        <v>53</v>
      </c>
      <c r="E27" s="49" t="s">
        <v>53</v>
      </c>
      <c r="F27" s="47"/>
      <c r="G27" s="96"/>
      <c r="H27" s="95"/>
    </row>
    <row r="28" spans="1:8" ht="20" customHeight="1" x14ac:dyDescent="0.2">
      <c r="A28" s="54" t="s">
        <v>80</v>
      </c>
      <c r="B28" s="47" t="s">
        <v>81</v>
      </c>
      <c r="C28" s="48"/>
      <c r="D28" s="49" t="s">
        <v>53</v>
      </c>
      <c r="E28" s="49" t="s">
        <v>53</v>
      </c>
      <c r="F28" s="47"/>
      <c r="G28" s="96"/>
      <c r="H28" s="95"/>
    </row>
    <row r="29" spans="1:8" ht="20" customHeight="1" x14ac:dyDescent="0.2">
      <c r="A29" s="54" t="s">
        <v>80</v>
      </c>
      <c r="B29" s="47" t="s">
        <v>81</v>
      </c>
      <c r="C29" s="48"/>
      <c r="D29" s="49" t="s">
        <v>53</v>
      </c>
      <c r="E29" s="49" t="s">
        <v>53</v>
      </c>
      <c r="F29" s="47"/>
      <c r="G29" s="96"/>
      <c r="H29" s="95"/>
    </row>
    <row r="30" spans="1:8" ht="20" customHeight="1" x14ac:dyDescent="0.2">
      <c r="A30" s="54" t="s">
        <v>80</v>
      </c>
      <c r="B30" s="47" t="s">
        <v>81</v>
      </c>
      <c r="C30" s="48"/>
      <c r="D30" s="49" t="s">
        <v>53</v>
      </c>
      <c r="E30" s="49" t="s">
        <v>53</v>
      </c>
      <c r="F30" s="47"/>
      <c r="G30" s="96"/>
      <c r="H30" s="95"/>
    </row>
    <row r="31" spans="1:8" ht="20" customHeight="1" x14ac:dyDescent="0.2">
      <c r="A31" s="54" t="s">
        <v>80</v>
      </c>
      <c r="B31" s="47" t="s">
        <v>81</v>
      </c>
      <c r="C31" s="48"/>
      <c r="D31" s="49" t="s">
        <v>53</v>
      </c>
      <c r="E31" s="49" t="s">
        <v>53</v>
      </c>
      <c r="F31" s="47"/>
      <c r="G31" s="51"/>
      <c r="H31" s="97"/>
    </row>
    <row r="32" spans="1:8" ht="20" customHeight="1" x14ac:dyDescent="0.2">
      <c r="A32" s="54" t="s">
        <v>80</v>
      </c>
      <c r="B32" s="47" t="s">
        <v>81</v>
      </c>
      <c r="C32" s="48"/>
      <c r="D32" s="49" t="s">
        <v>53</v>
      </c>
      <c r="E32" s="49" t="s">
        <v>53</v>
      </c>
      <c r="F32" s="47"/>
      <c r="G32" s="51"/>
      <c r="H32" s="55"/>
    </row>
    <row r="33" spans="1:8" s="6" customFormat="1" ht="20" customHeight="1" x14ac:dyDescent="0.25">
      <c r="A33" s="17" t="s">
        <v>82</v>
      </c>
      <c r="B33" s="23"/>
      <c r="C33" s="23"/>
      <c r="D33" s="23" t="s">
        <v>83</v>
      </c>
      <c r="E33" s="23"/>
      <c r="F33" s="23" t="s">
        <v>84</v>
      </c>
      <c r="G33" s="23" t="s">
        <v>85</v>
      </c>
      <c r="H33" s="24"/>
    </row>
    <row r="34" spans="1:8" ht="20" customHeight="1" x14ac:dyDescent="0.2">
      <c r="A34" s="54" t="s">
        <v>86</v>
      </c>
      <c r="B34" s="47" t="s">
        <v>81</v>
      </c>
      <c r="C34" s="48"/>
      <c r="D34" s="49" t="s">
        <v>53</v>
      </c>
      <c r="E34" s="49"/>
      <c r="F34" s="47"/>
      <c r="G34" s="51"/>
      <c r="H34" s="55"/>
    </row>
    <row r="35" spans="1:8" ht="20" customHeight="1" x14ac:dyDescent="0.2">
      <c r="A35" s="54" t="s">
        <v>86</v>
      </c>
      <c r="B35" s="47" t="s">
        <v>81</v>
      </c>
      <c r="C35" s="48"/>
      <c r="D35" s="49" t="s">
        <v>53</v>
      </c>
      <c r="E35" s="49"/>
      <c r="F35" s="47"/>
      <c r="G35" s="51"/>
      <c r="H35" s="55"/>
    </row>
    <row r="36" spans="1:8" ht="20" customHeight="1" x14ac:dyDescent="0.2">
      <c r="A36" s="54" t="s">
        <v>86</v>
      </c>
      <c r="B36" s="47" t="s">
        <v>81</v>
      </c>
      <c r="C36" s="48"/>
      <c r="D36" s="49" t="s">
        <v>53</v>
      </c>
      <c r="E36" s="49"/>
      <c r="F36" s="47"/>
      <c r="G36" s="51"/>
      <c r="H36" s="55"/>
    </row>
    <row r="37" spans="1:8" ht="20" customHeight="1" x14ac:dyDescent="0.2">
      <c r="A37" s="54" t="s">
        <v>86</v>
      </c>
      <c r="B37" s="47" t="s">
        <v>81</v>
      </c>
      <c r="C37" s="48"/>
      <c r="D37" s="49" t="s">
        <v>53</v>
      </c>
      <c r="E37" s="49"/>
      <c r="F37" s="47"/>
      <c r="G37" s="51"/>
      <c r="H37" s="55"/>
    </row>
    <row r="38" spans="1:8" ht="20" customHeight="1" x14ac:dyDescent="0.2">
      <c r="A38" s="56" t="s">
        <v>86</v>
      </c>
      <c r="B38" s="25" t="s">
        <v>81</v>
      </c>
      <c r="C38" s="26"/>
      <c r="D38" s="27" t="s">
        <v>53</v>
      </c>
      <c r="E38" s="27"/>
      <c r="F38" s="26"/>
      <c r="G38" s="28"/>
      <c r="H38" s="28"/>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DD9DE-623A-4A8A-AACB-E8E4E85DED16}">
  <ds:schemaRefs>
    <ds:schemaRef ds:uri="1a9bbbe1-7cae-48c1-93ed-4785e360835f"/>
    <ds:schemaRef ds:uri="http://purl.org/dc/dcmitype/"/>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purl.org/dc/terms/"/>
    <ds:schemaRef ds:uri="http://schemas.openxmlformats.org/package/2006/metadata/core-properties"/>
    <ds:schemaRef ds:uri="dc808d36-874f-4b27-aec2-2fd649817929"/>
    <ds:schemaRef ds:uri="http://www.w3.org/XML/1998/namespace"/>
  </ds:schemaRefs>
</ds:datastoreItem>
</file>

<file path=customXml/itemProps2.xml><?xml version="1.0" encoding="utf-8"?>
<ds:datastoreItem xmlns:ds="http://schemas.openxmlformats.org/officeDocument/2006/customXml" ds:itemID="{09FB5EED-696E-41DD-953E-C81409F03599}"/>
</file>

<file path=customXml/itemProps3.xml><?xml version="1.0" encoding="utf-8"?>
<ds:datastoreItem xmlns:ds="http://schemas.openxmlformats.org/officeDocument/2006/customXml" ds:itemID="{569969D1-8590-481E-AEEC-AAF030CFD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Award Summary Page</vt:lpstr>
      <vt:lpstr>Compliance Matrix Details</vt:lpstr>
      <vt:lpstr>Uniminuto Subaward Summary</vt:lpstr>
      <vt:lpstr>IUAJC Subaward Summary</vt:lpstr>
      <vt:lpstr>UniSalle-UCD Subaward Summary</vt:lpstr>
      <vt:lpstr>UniSalle-NMSU Subaward Summary</vt:lpstr>
      <vt:lpstr>UniSimon Subaward Summary</vt:lpstr>
      <vt:lpstr>SENAArauca Subaward Summary IP</vt:lpstr>
      <vt:lpstr>SENAQuindio Subaward Summary 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Carmen Peña</cp:lastModifiedBy>
  <cp:revision/>
  <dcterms:created xsi:type="dcterms:W3CDTF">2023-06-04T02:52:32Z</dcterms:created>
  <dcterms:modified xsi:type="dcterms:W3CDTF">2023-12-15T21:23:57Z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