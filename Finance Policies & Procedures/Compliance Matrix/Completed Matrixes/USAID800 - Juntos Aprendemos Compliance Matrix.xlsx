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carmensofiapena/Downloads/"/>
    </mc:Choice>
  </mc:AlternateContent>
  <xr:revisionPtr revIDLastSave="0" documentId="8_{7A777F8D-D1C5-9C4B-B3FF-053CF9C28BF9}" xr6:coauthVersionLast="47" xr6:coauthVersionMax="47" xr10:uidLastSave="{00000000-0000-0000-0000-000000000000}"/>
  <bookViews>
    <workbookView xWindow="0" yWindow="500" windowWidth="19420" windowHeight="10300" firstSheet="1" activeTab="5" xr2:uid="{F56CB045-F017-4CA1-88CA-0052E5049C88}"/>
  </bookViews>
  <sheets>
    <sheet name="Instructions" sheetId="1" r:id="rId1"/>
    <sheet name="Award Summary Page" sheetId="3" r:id="rId2"/>
    <sheet name="Compliance Matrix Details" sheetId="2" r:id="rId3"/>
    <sheet name="Subaward FC" sheetId="5" r:id="rId4"/>
    <sheet name="Subaward PE" sheetId="6" r:id="rId5"/>
    <sheet name="Subaward PA"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2" l="1"/>
  <c r="A6" i="2"/>
  <c r="A7" i="2"/>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4" i="2"/>
  <c r="G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Claudia J Rojas H</author>
  </authors>
  <commentList>
    <comment ref="D11" authorId="0" shapeId="0" xr:uid="{DFDE464A-1EEA-425F-B7C5-8685390C6F69}">
      <text>
        <r>
          <rPr>
            <b/>
            <sz val="9"/>
            <color indexed="81"/>
            <rFont val="Tahoma"/>
            <family val="2"/>
          </rPr>
          <t>Claudia J Rojas H:</t>
        </r>
        <r>
          <rPr>
            <sz val="9"/>
            <color indexed="81"/>
            <rFont val="Tahoma"/>
            <family val="2"/>
          </rPr>
          <t xml:space="preserve">
Fecha de la carta de solicitud de FC</t>
        </r>
      </text>
    </comment>
    <comment ref="E11" authorId="0" shapeId="0" xr:uid="{B5A06065-4636-4F97-893C-861DDFCE2A05}">
      <text>
        <r>
          <rPr>
            <b/>
            <sz val="9"/>
            <color indexed="81"/>
            <rFont val="Tahoma"/>
            <family val="2"/>
          </rPr>
          <t>Claudia J Rojas H:</t>
        </r>
        <r>
          <rPr>
            <sz val="9"/>
            <color indexed="81"/>
            <rFont val="Tahoma"/>
            <family val="2"/>
          </rPr>
          <t xml:space="preserve">
Fecha de la firma total (aparece en la modificación)</t>
        </r>
      </text>
    </comment>
    <comment ref="F11" authorId="0" shapeId="0" xr:uid="{2377C789-B04A-41BA-A68D-4428BDDB21C3}">
      <text>
        <r>
          <rPr>
            <b/>
            <sz val="9"/>
            <color indexed="81"/>
            <rFont val="Tahoma"/>
            <family val="2"/>
          </rPr>
          <t>Claudia J Rojas H:</t>
        </r>
        <r>
          <rPr>
            <sz val="9"/>
            <color indexed="81"/>
            <rFont val="Tahoma"/>
            <family val="2"/>
          </rPr>
          <t xml:space="preserve">
= que en la categoría</t>
        </r>
      </text>
    </comment>
  </commentList>
</comments>
</file>

<file path=xl/sharedStrings.xml><?xml version="1.0" encoding="utf-8"?>
<sst xmlns="http://schemas.openxmlformats.org/spreadsheetml/2006/main" count="1165" uniqueCount="366">
  <si>
    <t xml:space="preserve"> Instructions for completing award compliance Matrix:</t>
  </si>
  <si>
    <r>
      <t>·</t>
    </r>
    <r>
      <rPr>
        <sz val="7"/>
        <color theme="1"/>
        <rFont val="Times New Roman"/>
        <family val="1"/>
      </rPr>
      <t xml:space="preserve">        </t>
    </r>
    <r>
      <rPr>
        <b/>
        <sz val="11"/>
        <color theme="1"/>
        <rFont val="Calibri"/>
        <family val="2"/>
        <scheme val="minor"/>
      </rPr>
      <t>Purpose</t>
    </r>
    <r>
      <rPr>
        <sz val="11"/>
        <color theme="1"/>
        <rFont val="Calibri"/>
        <family val="2"/>
        <scheme val="minor"/>
      </rPr>
      <t>: ensure that POA is compliant with our awards</t>
    </r>
  </si>
  <si>
    <r>
      <t>·</t>
    </r>
    <r>
      <rPr>
        <sz val="7"/>
        <color theme="1"/>
        <rFont val="Times New Roman"/>
        <family val="1"/>
      </rPr>
      <t xml:space="preserve">        </t>
    </r>
    <r>
      <rPr>
        <sz val="11"/>
        <color theme="1"/>
        <rFont val="Calibri"/>
        <family val="2"/>
        <scheme val="minor"/>
      </rPr>
      <t>Review award documents (award, annual work plan, PMP, M&amp;E, indicators, etc.)</t>
    </r>
  </si>
  <si>
    <r>
      <t>·</t>
    </r>
    <r>
      <rPr>
        <sz val="7"/>
        <color theme="1"/>
        <rFont val="Times New Roman"/>
        <family val="1"/>
      </rPr>
      <t xml:space="preserve">        </t>
    </r>
    <r>
      <rPr>
        <sz val="11"/>
        <color theme="1"/>
        <rFont val="Calibri"/>
        <family val="2"/>
        <scheme val="minor"/>
      </rPr>
      <t>Write down everything POA committed to completing</t>
    </r>
  </si>
  <si>
    <r>
      <t>·</t>
    </r>
    <r>
      <rPr>
        <sz val="7"/>
        <color theme="1"/>
        <rFont val="Times New Roman"/>
        <family val="1"/>
      </rPr>
      <t xml:space="preserve">        </t>
    </r>
    <r>
      <rPr>
        <sz val="11"/>
        <color theme="1"/>
        <rFont val="Calibri"/>
        <family val="2"/>
        <scheme val="minor"/>
      </rPr>
      <t>Note whether POA has completed it, or not. </t>
    </r>
  </si>
  <si>
    <r>
      <t>·</t>
    </r>
    <r>
      <rPr>
        <sz val="7"/>
        <color theme="1"/>
        <rFont val="Times New Roman"/>
        <family val="1"/>
      </rPr>
      <t xml:space="preserve">        </t>
    </r>
    <r>
      <rPr>
        <sz val="11"/>
        <color theme="1"/>
        <rFont val="Calibri"/>
        <family val="2"/>
        <scheme val="minor"/>
      </rPr>
      <t>If not, make a note as to why or indicate the current status.</t>
    </r>
  </si>
  <si>
    <t>Responsible</t>
  </si>
  <si>
    <t>Home office backstops will be responsible for updating and maintain the matrix</t>
  </si>
  <si>
    <t>Approvals</t>
  </si>
  <si>
    <t>Compliance matrix will be review twice annually, once at the end April and October.</t>
  </si>
  <si>
    <t>Senior Directors for each unit, the Senior Vice President of Programs, and the Compliance team will review and approve twice annually</t>
  </si>
  <si>
    <t>Compliance Matrix</t>
  </si>
  <si>
    <t>Award Name/Title:</t>
  </si>
  <si>
    <t>Juntos Aprendemos / Together We Learn</t>
  </si>
  <si>
    <t>Total Award Amount:</t>
  </si>
  <si>
    <t>Program Manager(s) (including dates):</t>
  </si>
  <si>
    <t>Internal Grant Number:</t>
  </si>
  <si>
    <t>USAID800</t>
  </si>
  <si>
    <t>Total Obligation Amount:</t>
  </si>
  <si>
    <t>Alexandra McWither-Santillan (XX - January 31, 2023)</t>
  </si>
  <si>
    <t>GET AMS HIRE DATES FROM HR</t>
  </si>
  <si>
    <t>Award Number:</t>
  </si>
  <si>
    <t>7200AA21CA0003</t>
  </si>
  <si>
    <t>Cost Share Amount:</t>
  </si>
  <si>
    <t>María Ochoa (January 1st, 2023 - to date)</t>
  </si>
  <si>
    <t>Donor:</t>
  </si>
  <si>
    <t>USAID</t>
  </si>
  <si>
    <t>Leverage Amount:</t>
  </si>
  <si>
    <t>CFDA:</t>
  </si>
  <si>
    <r>
      <rPr>
        <b/>
        <i/>
        <sz val="14"/>
        <rFont val="Times New Roman"/>
        <family val="1"/>
      </rPr>
      <t>USAID Only:</t>
    </r>
    <r>
      <rPr>
        <b/>
        <sz val="14"/>
        <rFont val="Times New Roman"/>
        <family val="1"/>
      </rPr>
      <t xml:space="preserve"> Geographic Code:</t>
    </r>
  </si>
  <si>
    <t>Award Start Date:</t>
  </si>
  <si>
    <t>February 5, 2021</t>
  </si>
  <si>
    <t>Key Personnel:</t>
  </si>
  <si>
    <t>Chief of Party / COP (POA) - Gustavo Payán-Luna
Deputy Chief of Party / DCOP (POA) - Alejandro Torres (former: Camilo Forero)
Community Engagement and Outreach Director (Parque Explora) - Liliana Leiva (former: Carolina Giraldo)
Education Director (Fundacion Carvajal) - Catalina Prada (former: Paola Trujillo)
Partnerships and Alliances Director (Proantioquia) - Natalia Currea (former: Natalia Niño)
Capacity Development Director (POA) - Silvana Torres</t>
  </si>
  <si>
    <t>Award End Date:</t>
  </si>
  <si>
    <t>February 4, 2026 // December 31, 2026 (mod 5)</t>
  </si>
  <si>
    <t>Approved Indirect Rate(s) %:</t>
  </si>
  <si>
    <t>28.28%</t>
  </si>
  <si>
    <t>Program Director:</t>
  </si>
  <si>
    <t>Gustavo Payán-Luna</t>
  </si>
  <si>
    <t>Prior Approvals Required:</t>
  </si>
  <si>
    <t>Implementation plans: LOP work plan, annual work plans
Key personnel and changes to key personnel
Sub-awards and sub-award manual
AMELP
(removed in mod 5: Print or electronic publications)
Quarterly performance reports
Final report
MONITOR reports (specific for USAID Colombia)
Annual reports
Safety &amp; Security Plan (no approval requried)
Closeout Plan</t>
  </si>
  <si>
    <t>Agreement Officer Rep. (AOR)/Grants Officer Rep. (GOR):</t>
  </si>
  <si>
    <t>Juan Reyes + Maria Lievano (alterante)</t>
  </si>
  <si>
    <t>Treatment of Program Income:</t>
  </si>
  <si>
    <t>PROGRAM INCOME NOT MENTIONED IN THE AGREEMENT; CONSULT WITH DANIELLE WHAT SHOULD WE INCLUDE HERE</t>
  </si>
  <si>
    <t>Agreement Officer (AO)/Grants Officer (GO):</t>
  </si>
  <si>
    <t>Heather Wirick</t>
  </si>
  <si>
    <t>Category</t>
  </si>
  <si>
    <t>FY</t>
  </si>
  <si>
    <t>Period of Performance</t>
  </si>
  <si>
    <t>Date Submitted</t>
  </si>
  <si>
    <t>Date Approved</t>
  </si>
  <si>
    <t>Report Title</t>
  </si>
  <si>
    <t>Link to Final Approved Document</t>
  </si>
  <si>
    <t>Description of Document/Modification and Source</t>
  </si>
  <si>
    <t>Award</t>
  </si>
  <si>
    <t>Agreement</t>
  </si>
  <si>
    <t>YYYY-YYYY</t>
  </si>
  <si>
    <t>MM/DD/YYYY</t>
  </si>
  <si>
    <t>https://partnersnet107.sharepoint.com/:b:/s/Programs/ESRXJT_eJjpFuWFDH5xeNgUBBCRcTsnwVnBI8RRgmqgFYw?e=QTvz29</t>
  </si>
  <si>
    <t>Cost Extension</t>
  </si>
  <si>
    <t>n/a</t>
  </si>
  <si>
    <t>Modification 01</t>
  </si>
  <si>
    <t>https://partnersnet107.sharepoint.com/:b:/s/Programs/EeT4TqURT7hBobw29fimSOQB3xtnoyGvuFUkcRTe7sWdNA?e=SqrzdC</t>
  </si>
  <si>
    <t>Update AOR and Alternate AOR designation and letter</t>
  </si>
  <si>
    <t>Modification 02</t>
  </si>
  <si>
    <t>https://partnersnet107.sharepoint.com/:b:/s/Programs/Ee09zsTJxyRPskHDt6QSBqcBUrRuxCvNZCqhANaKtoI9-w?e=0kLO0y</t>
  </si>
  <si>
    <t>Modify Attachment A (update sections A.8 Key Personnel and A.9 Reporting and Evaluation)
Modify Attachment B program Description (geographic coverage)
Modify Attachment D (update B&amp;M strategy)</t>
  </si>
  <si>
    <t>Modification 03</t>
  </si>
  <si>
    <t>https://partnersnet107.sharepoint.com/:b:/s/Programs/EYM9E6QYW1VDt-so__mwyikBB4EQLBSb9IHkfqS52KHO3g?e=IKdmAd</t>
  </si>
  <si>
    <t>To remove Special Provision: Procurement of Covered Materials and include Exchange visitors and participant training</t>
  </si>
  <si>
    <t>Modification 04</t>
  </si>
  <si>
    <t>https://partnersnet107.sharepoint.com/:b:/s/Programs/EcjuEI0TYk9KtciqDbSypKYB35f4zlm4k6Nx23LpDwJo6Q?e=9rmiZE</t>
  </si>
  <si>
    <t>To add 5m to obligation for total oblg: $13,400,000m and update DUNS with UEI</t>
  </si>
  <si>
    <t>Modification 05</t>
  </si>
  <si>
    <t>https://partnersnet107.sharepoint.com/:b:/s/Programs/Eaour-T1vmpOjkxeJOxJqI0BOTg-IRA5VusS0f2PgwZYLA?e=Dzo10a</t>
  </si>
  <si>
    <t>Extend end date from February 6, 2026 to December 31, 2026; add $2,587,000 for total obligation of $15,987,000</t>
  </si>
  <si>
    <t>Modification 06</t>
  </si>
  <si>
    <t>https://partnersnet107.sharepoint.com/:b:/s/Programs/ES0BZHPdvYRNkC26Qdy_ILwBi1AMe-lw3gu6j7CuIuqDpw?e=iX7wvE</t>
  </si>
  <si>
    <t>Incremental funding in the amount of $6,213,000.00; total obligated to USD 22.2 million; update financial data; update indirect cost rate; update approvals required B&amp;M; update min requirments to KP; include exchange rate languag; update provisions (mandatory and required as applicable)</t>
  </si>
  <si>
    <t>Modification 07</t>
  </si>
  <si>
    <t>Modification 08</t>
  </si>
  <si>
    <t>Modification 09</t>
  </si>
  <si>
    <t>Modification 10</t>
  </si>
  <si>
    <t>Monitoring, Evaluation &amp; Learning Plan</t>
  </si>
  <si>
    <t>M&amp;E Plan</t>
  </si>
  <si>
    <t>Juntos Aprendemos Activity - Activity Monitoring, Evaluation, and Learning Plan (AMELP)</t>
  </si>
  <si>
    <t>https://partnersnet107.sharepoint.com/:u:/s/Programs/EQp_40ICIiJFkydsdgYIpS8BJgCgVSk_lS-TSaDaNtS4SA?e=vekBZM</t>
  </si>
  <si>
    <t>Document not approved. USAID provided feedback.</t>
  </si>
  <si>
    <t>M&amp;E Plan - Revision</t>
  </si>
  <si>
    <t>https://partnersnet107.sharepoint.com/:w:/s/Programs/Ec22C256dE9OgzZkz5s2zcwB6z-X9gtnYBAOe879uNA5Rg?e=5MXWlt
Approval email: https://partnersnet107.sharepoint.com/:w:/s/Programs/Ec22C256dE9OgzZkz5s2zcwB6z-X9gtnYBAOe879uNA5Rg?e=5MXWlt</t>
  </si>
  <si>
    <t>https://partnersnet107.sharepoint.com/:w:/s/Programs/EfqQISMzkHpCsulP_QjmEz0BGgXVTvzim5DxTFdTbC4LgQ?e=K54Ubr
Approval email: https://partnersnet107.sharepoint.com/:w:/s/Programs/Ec22C256dE9OgzZkz5s2zcwB6z-X9gtnYBAOe879uNA5Rg?e=5MXWlt</t>
  </si>
  <si>
    <t>https://partnersnet107.sharepoint.com/:b:/s/Programs/EbxmdbMD2cZJmLt5HT8V53wBaapk-p5t_x1QU4YcxLGNAA?e=Oxic8O
Approval email: https://partnersnet107.sharepoint.com/:u:/s/Programs/EYCOFTNfaptIintZeQHFhnIBJwSiVdAzKAT8YjDjGN0tBg?e=dnrUUI</t>
  </si>
  <si>
    <t>M&amp;E Plan/Start-up Plan</t>
  </si>
  <si>
    <t>M&amp;E Plan - Cost Extension</t>
  </si>
  <si>
    <t>M&amp;E Plan - Cost Extension- Updated</t>
  </si>
  <si>
    <t>Work Plan/Performance Monitoring Plan (PMP)</t>
  </si>
  <si>
    <t>Implementation Plan/ Implementation PMP</t>
  </si>
  <si>
    <t>2021-2026</t>
  </si>
  <si>
    <t>Life of Project Workplan</t>
  </si>
  <si>
    <t>https://partnersnet107.sharepoint.com/:f:/s/Programs/Etm7Xts2OztFt7EDXB8ObRoBYiywd8lROkuLRjyQBGgMEQ?e=z0epWk</t>
  </si>
  <si>
    <t>PENDING: ORIGINAL SUBMISSION EMAIL + INCLUDE REVISIONS AND FINAL VERSIONS, SEPARATELY</t>
  </si>
  <si>
    <t>Work Plan/PMP</t>
  </si>
  <si>
    <t>Annual Work Plan 2021</t>
  </si>
  <si>
    <t>https://partnersnet107.sharepoint.com/:f:/s/Programs/EpsaMl-EfLxMj0jJlD_9vvkB9NtGObuo-tHN4axAel9NxA?e=vp7T3D</t>
  </si>
  <si>
    <t>PENDING: WP APPROVAL EMAIL; INCLUDE REVISIONS AND FINAL VERSION, SEPARATELY</t>
  </si>
  <si>
    <t>Annual Work Plan 2022</t>
  </si>
  <si>
    <t>PENDING: CLEAN FINAL APPROVED VERSION, INCLUDE REVISIONS AND FINAL VERSION, SEPARATELY</t>
  </si>
  <si>
    <t>Annual Work Plan 2023</t>
  </si>
  <si>
    <t>https://partnersnet107.sharepoint.com/:f:/s/Programs/Erm3qws9On5Pk-VrwtuNiR0BYBaPb7gSIL2QQkXYrEQcRQ?e=dsWiA3</t>
  </si>
  <si>
    <t>Annual Work Plan 2024</t>
  </si>
  <si>
    <t>Work Plan/PMP Revision</t>
  </si>
  <si>
    <t>FYXX</t>
  </si>
  <si>
    <t>Work Plan/ Start-up/PMP Plan</t>
  </si>
  <si>
    <t>Work Plan/PMP - Cost Extension</t>
  </si>
  <si>
    <t>Environmental Monitoring and Mitigation Plan (EMMP)</t>
  </si>
  <si>
    <t>EMMP Plan</t>
  </si>
  <si>
    <t>Special Provisions/Restrictions</t>
  </si>
  <si>
    <t>List restrictions</t>
  </si>
  <si>
    <t xml:space="preserve">CoAg 7200AA21CA00003 Section C </t>
  </si>
  <si>
    <t>All standard provisions (and restrictions) are included in Section C</t>
  </si>
  <si>
    <t>List special provisions or requirements</t>
  </si>
  <si>
    <t>Meeting Notes with Donor (AOR/GOR Key Decisions)</t>
  </si>
  <si>
    <t>Date of Meeting</t>
  </si>
  <si>
    <t>Date Approved by Email</t>
  </si>
  <si>
    <t>Topic: Add description of notes</t>
  </si>
  <si>
    <t>Juntos Aprendemos Running Agenda: USAID-Partners of the Americas weekly meetings</t>
  </si>
  <si>
    <t>https://docs.google.com/document/d/1h3B6cpae20V12f1qt_tBNyuVG9wQU176Z_nc-3MfSm0/edit?usp=sharing</t>
  </si>
  <si>
    <t>Compliance Issues or Other Finding/Concerns</t>
  </si>
  <si>
    <t>Date Found</t>
  </si>
  <si>
    <t>Issue/Concern</t>
  </si>
  <si>
    <t>Link to Document</t>
  </si>
  <si>
    <t>Indicate compliance issue/concern/finding</t>
  </si>
  <si>
    <t>CONFIRM WITH DANIELLE IF WE SHOULD INCLUDE HER COMMENTS ON COMPLIANCE OR PABLOS FINDINGS OR WHETHER THIS MAKES REFERENCE TO COMPLIANCE IDENTIFIED DURING POA AUDITS</t>
  </si>
  <si>
    <t>Breakdown of Award Requirements</t>
  </si>
  <si>
    <t>Award Terms &amp; Conditions</t>
  </si>
  <si>
    <t>Compliant Y/N</t>
  </si>
  <si>
    <t>Comments</t>
  </si>
  <si>
    <t xml:space="preserve">Program Description </t>
  </si>
  <si>
    <t>Work Plan 2024</t>
  </si>
  <si>
    <t>Workplan FYXX</t>
  </si>
  <si>
    <t>Work Plan FYXX</t>
  </si>
  <si>
    <t>MEL Plan FYXX (most recent and approved version)</t>
  </si>
  <si>
    <t>Indicators</t>
  </si>
  <si>
    <t>Environmental Mitigation and Monitoring Plan - EMMP</t>
  </si>
  <si>
    <t>Activities in Budget Narrative</t>
  </si>
  <si>
    <t>Financial Reporting: SFR425</t>
  </si>
  <si>
    <t>Y</t>
  </si>
  <si>
    <t>https://partnersnet107.sharepoint.com/:f:/s/Programs/Eqx9jJwRWdNIvgcEpVRPqhcB2SJvaNfNOgNdfrYyTzNf_g?e=5YZcxm</t>
  </si>
  <si>
    <r>
      <rPr>
        <b/>
        <sz val="12"/>
        <color rgb="FF000000"/>
        <rFont val="Times New Roman"/>
        <family val="1"/>
      </rPr>
      <t xml:space="preserve">Description: </t>
    </r>
    <r>
      <rPr>
        <sz val="12"/>
        <color rgb="FF000000"/>
        <rFont val="Times New Roman"/>
        <family val="1"/>
      </rPr>
      <t>To increase the capacity of the Colombian education system to provide sustainable and inclusive quality education in areas impacted by migration.</t>
    </r>
  </si>
  <si>
    <t>https://partnersnet107.sharepoint.com/:w:/s/Programs/EeQUXtHmyVRNsBV82lEMB2wBie4AsUHEp7ZiDL9qSczR_Q?e=pvQOPb</t>
  </si>
  <si>
    <r>
      <rPr>
        <b/>
        <sz val="12"/>
        <color rgb="FF000000"/>
        <rFont val="Times New Roman"/>
        <family val="1"/>
      </rPr>
      <t>Environmental Compliance:</t>
    </r>
    <r>
      <rPr>
        <sz val="12"/>
        <color rgb="FF000000"/>
        <rFont val="Times New Roman"/>
        <family val="1"/>
      </rPr>
      <t xml:space="preserve"> XXX</t>
    </r>
  </si>
  <si>
    <t>NA</t>
  </si>
  <si>
    <t>Track differences in spending patters. Ex: budgeted X, Y, Z positions; hired A, B, C // keep it highlevel, what's substantial considering the total budget (1%), high level changes in the sub budgets</t>
  </si>
  <si>
    <r>
      <rPr>
        <b/>
        <sz val="12"/>
        <color theme="1"/>
        <rFont val="Times New Roman"/>
        <family val="1"/>
      </rPr>
      <t xml:space="preserve">Financial Reporting: </t>
    </r>
    <r>
      <rPr>
        <sz val="12"/>
        <color theme="1"/>
        <rFont val="Times New Roman"/>
        <family val="1"/>
      </rPr>
      <t>XXX</t>
    </r>
  </si>
  <si>
    <r>
      <rPr>
        <b/>
        <sz val="12"/>
        <color theme="1"/>
        <rFont val="Times New Roman"/>
        <family val="1"/>
      </rPr>
      <t>Geographic Scope</t>
    </r>
    <r>
      <rPr>
        <sz val="12"/>
        <color theme="1"/>
        <rFont val="Times New Roman"/>
        <family val="1"/>
      </rPr>
      <t>:</t>
    </r>
    <r>
      <rPr>
        <b/>
        <sz val="12"/>
        <color theme="1"/>
        <rFont val="Times New Roman"/>
        <family val="1"/>
      </rPr>
      <t xml:space="preserve"> </t>
    </r>
    <r>
      <rPr>
        <sz val="12"/>
        <color theme="1"/>
        <rFont val="Times New Roman"/>
        <family val="1"/>
      </rPr>
      <t>Bogota, Medellin, Cali, Cucuta, Barranquilla, Cartagena, Santa Marta, Riohacha, and Bucaramanga, and adjacent areas</t>
    </r>
  </si>
  <si>
    <r>
      <rPr>
        <b/>
        <sz val="12"/>
        <color theme="1"/>
        <rFont val="Times New Roman"/>
        <family val="1"/>
      </rPr>
      <t xml:space="preserve">Gender Considerations: </t>
    </r>
    <r>
      <rPr>
        <sz val="12"/>
        <color theme="1"/>
        <rFont val="Times New Roman"/>
        <family val="1"/>
      </rPr>
      <t>XXX</t>
    </r>
  </si>
  <si>
    <t>versión más reciente</t>
  </si>
  <si>
    <t>todos los indicadores con meta</t>
  </si>
  <si>
    <r>
      <t xml:space="preserve">Objective 1: </t>
    </r>
    <r>
      <rPr>
        <sz val="11.5"/>
        <color rgb="FF010101"/>
        <rFont val="Times New Roman"/>
        <family val="1"/>
      </rPr>
      <t>Improved quality of education for children and youth in receptor communities</t>
    </r>
  </si>
  <si>
    <r>
      <rPr>
        <b/>
        <sz val="12"/>
        <color theme="1"/>
        <rFont val="Times New Roman"/>
        <family val="1"/>
      </rPr>
      <t xml:space="preserve">Sustainability: </t>
    </r>
    <r>
      <rPr>
        <sz val="12"/>
        <color theme="1"/>
        <rFont val="Times New Roman"/>
        <family val="1"/>
      </rPr>
      <t>XXX</t>
    </r>
  </si>
  <si>
    <t>cumplimos</t>
  </si>
  <si>
    <t>comentarios según los cambios (cambios en meta y cambios en alcance del indicador)</t>
  </si>
  <si>
    <r>
      <t>IR 1.1</t>
    </r>
    <r>
      <rPr>
        <sz val="11.5"/>
        <color rgb="FF1F1F1F"/>
        <rFont val="Times New Roman"/>
        <family val="1"/>
      </rPr>
      <t xml:space="preserve">: </t>
    </r>
    <r>
      <rPr>
        <sz val="11.5"/>
        <color rgb="FF010101"/>
        <rFont val="Times New Roman"/>
        <family val="1"/>
      </rPr>
      <t>Improved learning environment to be safe, inclusive, and responsive to the needs of returnee and</t>
    </r>
    <r>
      <rPr>
        <sz val="12"/>
        <color theme="1"/>
        <rFont val="Times New Roman"/>
        <family val="1"/>
      </rPr>
      <t xml:space="preserve"> migrant learners.</t>
    </r>
  </si>
  <si>
    <t>lo más importante del plan de trabajo</t>
  </si>
  <si>
    <t>comentarios</t>
  </si>
  <si>
    <r>
      <rPr>
        <b/>
        <sz val="12"/>
        <color theme="1"/>
        <rFont val="Times New Roman"/>
        <family val="1"/>
      </rPr>
      <t xml:space="preserve">Accrual Reporting: </t>
    </r>
    <r>
      <rPr>
        <sz val="12"/>
        <color theme="1"/>
        <rFont val="Times New Roman"/>
        <family val="1"/>
      </rPr>
      <t>Quarter Accrual Reports</t>
    </r>
  </si>
  <si>
    <t>https://partnersnet107.sharepoint.com/:f:/s/Programs/EmKWNqaGFGdPhQU3RT7X5EgB7AgloRYPZLHk4rFrgVgWuw?e=DmMCT6</t>
  </si>
  <si>
    <r>
      <t>IR 1.2</t>
    </r>
    <r>
      <rPr>
        <sz val="11.5"/>
        <color rgb="FF212121"/>
        <rFont val="Times New Roman"/>
        <family val="1"/>
      </rPr>
      <t xml:space="preserve">: </t>
    </r>
    <r>
      <rPr>
        <sz val="11.5"/>
        <color rgb="FF010101"/>
        <rFont val="Times New Roman"/>
        <family val="1"/>
      </rPr>
      <t>Strengthened organizational capacity (coordination, contingency planning, outreach, and policies) of national and local governments to provide quality education</t>
    </r>
    <r>
      <rPr>
        <sz val="11.5"/>
        <color rgb="FF212121"/>
        <rFont val="Times New Roman"/>
        <family val="1"/>
      </rPr>
      <t>.</t>
    </r>
  </si>
  <si>
    <t>ej 2023: incidencia - logros // parte técnica - logros</t>
  </si>
  <si>
    <r>
      <rPr>
        <b/>
        <sz val="12"/>
        <color theme="1"/>
        <rFont val="Times New Roman"/>
        <family val="1"/>
      </rPr>
      <t xml:space="preserve">Accrual Reporting: </t>
    </r>
    <r>
      <rPr>
        <sz val="12"/>
        <color theme="1"/>
        <rFont val="Times New Roman"/>
        <family val="1"/>
      </rPr>
      <t>XXX</t>
    </r>
  </si>
  <si>
    <r>
      <t>IR 1.3</t>
    </r>
    <r>
      <rPr>
        <sz val="11.5"/>
        <color rgb="FF212121"/>
        <rFont val="Times New Roman"/>
        <family val="1"/>
      </rPr>
      <t xml:space="preserve">: </t>
    </r>
    <r>
      <rPr>
        <sz val="11.5"/>
        <color rgb="FF010101"/>
        <rFont val="Times New Roman"/>
        <family val="1"/>
      </rPr>
      <t>Strengthened knowledge and skills of teachers and directors to deliver improved instruction in foundational skills, including literacy, numeracy and social and emotional skills</t>
    </r>
    <r>
      <rPr>
        <sz val="11.5"/>
        <color rgb="FF212121"/>
        <rFont val="Times New Roman"/>
        <family val="1"/>
      </rPr>
      <t>.</t>
    </r>
  </si>
  <si>
    <r>
      <t>IR 1.4</t>
    </r>
    <r>
      <rPr>
        <sz val="11.5"/>
        <color rgb="FF212121"/>
        <rFont val="Times New Roman"/>
        <family val="1"/>
      </rPr>
      <t xml:space="preserve">: </t>
    </r>
    <r>
      <rPr>
        <sz val="11.5"/>
        <color rgb="FF010101"/>
        <rFont val="Times New Roman"/>
        <family val="1"/>
      </rPr>
      <t>Improved curricula for high quality traditional and alternative instruction, including distance learning, accelerated education, bridging and catch-up programming.</t>
    </r>
  </si>
  <si>
    <r>
      <t xml:space="preserve">Objective 2: </t>
    </r>
    <r>
      <rPr>
        <sz val="11.5"/>
        <color rgb="FF010101"/>
        <rFont val="Times New Roman"/>
        <family val="1"/>
      </rPr>
      <t xml:space="preserve">Increased access to quality education for children and youth in receptor communities </t>
    </r>
  </si>
  <si>
    <r>
      <t xml:space="preserve">Projections to Donor: </t>
    </r>
    <r>
      <rPr>
        <sz val="12"/>
        <color theme="1"/>
        <rFont val="Times New Roman"/>
        <family val="1"/>
      </rPr>
      <t>Quarterly Projections</t>
    </r>
  </si>
  <si>
    <t>IR 2.1: Increased student access to appropriate and safe education opportunities.</t>
  </si>
  <si>
    <t>PENDING SUBMISSION OF 2024 WP</t>
  </si>
  <si>
    <r>
      <rPr>
        <b/>
        <sz val="12"/>
        <color theme="1"/>
        <rFont val="Times New Roman"/>
        <family val="1"/>
      </rPr>
      <t xml:space="preserve">Projections to Donor: </t>
    </r>
    <r>
      <rPr>
        <sz val="12"/>
        <color theme="1"/>
        <rFont val="Times New Roman"/>
        <family val="1"/>
      </rPr>
      <t>XXX</t>
    </r>
  </si>
  <si>
    <r>
      <t>IR 2</t>
    </r>
    <r>
      <rPr>
        <sz val="11.5"/>
        <color rgb="FF212121"/>
        <rFont val="Times New Roman"/>
        <family val="1"/>
      </rPr>
      <t>.</t>
    </r>
    <r>
      <rPr>
        <sz val="11.5"/>
        <color rgb="FF010101"/>
        <rFont val="Times New Roman"/>
        <family val="1"/>
      </rPr>
      <t>2</t>
    </r>
    <r>
      <rPr>
        <sz val="11.5"/>
        <color rgb="FF212121"/>
        <rFont val="Times New Roman"/>
        <family val="1"/>
      </rPr>
      <t xml:space="preserve">: </t>
    </r>
    <r>
      <rPr>
        <sz val="11.5"/>
        <color rgb="FF010101"/>
        <rFont val="Times New Roman"/>
        <family val="1"/>
      </rPr>
      <t>Increased access to certified flexible education modalities for children and youth</t>
    </r>
    <r>
      <rPr>
        <sz val="11.5"/>
        <color rgb="FF212121"/>
        <rFont val="Times New Roman"/>
        <family val="1"/>
      </rPr>
      <t>.</t>
    </r>
  </si>
  <si>
    <r>
      <t xml:space="preserve">Objective 3: </t>
    </r>
    <r>
      <rPr>
        <sz val="11.5"/>
        <color rgb="FF010101"/>
        <rFont val="Times New Roman"/>
        <family val="1"/>
      </rPr>
      <t>Strengthened community engagement in educational opportunities.</t>
    </r>
  </si>
  <si>
    <r>
      <t>IR 3.1</t>
    </r>
    <r>
      <rPr>
        <sz val="11.5"/>
        <color rgb="FF212121"/>
        <rFont val="Times New Roman"/>
        <family val="1"/>
      </rPr>
      <t xml:space="preserve">: </t>
    </r>
    <r>
      <rPr>
        <sz val="11.5"/>
        <color rgb="FF010101"/>
        <rFont val="Times New Roman"/>
        <family val="1"/>
      </rPr>
      <t>Increased participation from local community members and organizations, including youth organizations, in education decision making and service delivery.</t>
    </r>
  </si>
  <si>
    <r>
      <rPr>
        <b/>
        <sz val="12"/>
        <color theme="1"/>
        <rFont val="Times New Roman"/>
        <family val="1"/>
      </rPr>
      <t xml:space="preserve">Annual Implementation Plans: </t>
    </r>
    <r>
      <rPr>
        <sz val="12"/>
        <color theme="1"/>
        <rFont val="Times New Roman"/>
        <family val="1"/>
      </rPr>
      <t>Annual Work Plans</t>
    </r>
  </si>
  <si>
    <t>https://partnersnet107.sharepoint.com/:f:/s/Programs/EpDG7CUoPyhCpHJXSV0R1tUBzXSRurAJxyQacCH3qBfXGw?e=nYhklG</t>
  </si>
  <si>
    <r>
      <t>IR 3.2</t>
    </r>
    <r>
      <rPr>
        <sz val="11.5"/>
        <color rgb="FF212121"/>
        <rFont val="Times New Roman"/>
        <family val="1"/>
      </rPr>
      <t xml:space="preserve">: </t>
    </r>
    <r>
      <rPr>
        <sz val="11.5"/>
        <color rgb="FF010101"/>
        <rFont val="Times New Roman"/>
        <family val="1"/>
      </rPr>
      <t>Increased participation of families and caregivers to support student learning. IR 3</t>
    </r>
    <r>
      <rPr>
        <sz val="11.5"/>
        <color rgb="FF212121"/>
        <rFont val="Times New Roman"/>
        <family val="1"/>
      </rPr>
      <t>.</t>
    </r>
    <r>
      <rPr>
        <sz val="11.5"/>
        <color rgb="FF010101"/>
        <rFont val="Times New Roman"/>
        <family val="1"/>
      </rPr>
      <t>3</t>
    </r>
    <r>
      <rPr>
        <sz val="11.5"/>
        <color rgb="FF212121"/>
        <rFont val="Times New Roman"/>
        <family val="1"/>
      </rPr>
      <t xml:space="preserve">: </t>
    </r>
    <r>
      <rPr>
        <sz val="11.5"/>
        <color rgb="FF010101"/>
        <rFont val="Times New Roman"/>
        <family val="1"/>
      </rPr>
      <t>Strengthened social networks to support learning in receptor communities.</t>
    </r>
  </si>
  <si>
    <r>
      <rPr>
        <b/>
        <sz val="12"/>
        <color theme="1"/>
        <rFont val="Times New Roman"/>
        <family val="1"/>
      </rPr>
      <t xml:space="preserve">Annual Implementation Plans: </t>
    </r>
    <r>
      <rPr>
        <sz val="12"/>
        <color theme="1"/>
        <rFont val="Times New Roman"/>
        <family val="1"/>
      </rPr>
      <t>XXX</t>
    </r>
  </si>
  <si>
    <r>
      <rPr>
        <b/>
        <sz val="12"/>
        <rFont val="Times New Roman"/>
        <family val="1"/>
      </rPr>
      <t xml:space="preserve">Activity Monitoring and Evaluation (AMEP Plan): </t>
    </r>
    <r>
      <rPr>
        <sz val="12"/>
        <rFont val="Times New Roman"/>
        <family val="1"/>
      </rPr>
      <t>Juntos Aprendemos Activity - Activity Monitoring, Evaluation, and Learning Plan (AMELP)</t>
    </r>
  </si>
  <si>
    <t>https://partnersnet107.sharepoint.com/:f:/s/Programs/Erjx8sKNPmFKunGIHu5h0HQBhKJsIpOatMqvy1sY8lgPYA?e=XyDz8h</t>
  </si>
  <si>
    <r>
      <rPr>
        <b/>
        <sz val="12"/>
        <rFont val="Times New Roman"/>
        <family val="1"/>
      </rPr>
      <t xml:space="preserve">Activity Monitoring and Evaluation (AMEP Plan): </t>
    </r>
    <r>
      <rPr>
        <sz val="12"/>
        <rFont val="Times New Roman"/>
        <family val="1"/>
      </rPr>
      <t>XXX</t>
    </r>
  </si>
  <si>
    <r>
      <rPr>
        <b/>
        <sz val="12"/>
        <color theme="1"/>
        <rFont val="Times New Roman"/>
        <family val="1"/>
      </rPr>
      <t xml:space="preserve">Grants Manual: </t>
    </r>
    <r>
      <rPr>
        <sz val="12"/>
        <color theme="1"/>
        <rFont val="Times New Roman"/>
        <family val="1"/>
      </rPr>
      <t>Juntos Aprendemos Subaward Manual</t>
    </r>
  </si>
  <si>
    <t>https://partnersnet107.sharepoint.com/:f:/s/Programs/EmBOtgWoqJ5IhYyqNexNJK0B0h42f7keLvPjOjZP3CSrzw?e=XjmPTI</t>
  </si>
  <si>
    <r>
      <rPr>
        <b/>
        <sz val="12"/>
        <color theme="1"/>
        <rFont val="Times New Roman"/>
        <family val="1"/>
      </rPr>
      <t>Quarterly Performance Reports:</t>
    </r>
    <r>
      <rPr>
        <sz val="12"/>
        <color theme="1"/>
        <rFont val="Times New Roman"/>
        <family val="1"/>
      </rPr>
      <t xml:space="preserve"> Juntos Aprendemos Quarterly Performance Reports</t>
    </r>
  </si>
  <si>
    <t>https://partnersnet107.sharepoint.com/:f:/s/Programs/EoS7126WBmdJsuGr4b8xbEEBa4UCTbqFWWZZQ88SCdWOxg?e=NZxKw8</t>
  </si>
  <si>
    <r>
      <rPr>
        <b/>
        <sz val="12"/>
        <color theme="1"/>
        <rFont val="Times New Roman"/>
        <family val="1"/>
      </rPr>
      <t>Quarterly Performance Reports:</t>
    </r>
    <r>
      <rPr>
        <sz val="12"/>
        <color theme="1"/>
        <rFont val="Times New Roman"/>
        <family val="1"/>
      </rPr>
      <t xml:space="preserve"> XXX</t>
    </r>
  </si>
  <si>
    <r>
      <rPr>
        <b/>
        <sz val="12"/>
        <color rgb="FF000000"/>
        <rFont val="Times New Roman"/>
        <family val="1"/>
      </rPr>
      <t xml:space="preserve">Semi-Annual reports: </t>
    </r>
    <r>
      <rPr>
        <sz val="12"/>
        <color rgb="FF000000"/>
        <rFont val="Times New Roman"/>
        <family val="1"/>
      </rPr>
      <t>XXX</t>
    </r>
  </si>
  <si>
    <r>
      <rPr>
        <b/>
        <sz val="12"/>
        <color rgb="FF000000"/>
        <rFont val="Times New Roman"/>
        <family val="1"/>
      </rPr>
      <t xml:space="preserve">Annual Reports: </t>
    </r>
    <r>
      <rPr>
        <sz val="12"/>
        <color rgb="FF000000"/>
        <rFont val="Times New Roman"/>
        <family val="1"/>
      </rPr>
      <t>Juntos Aprendemos Annual Report</t>
    </r>
  </si>
  <si>
    <t>Y; annual report submitted, instead of Q1 report</t>
  </si>
  <si>
    <r>
      <rPr>
        <b/>
        <sz val="12"/>
        <color rgb="FF000000"/>
        <rFont val="Times New Roman"/>
        <family val="1"/>
      </rPr>
      <t xml:space="preserve">Final Program Report: </t>
    </r>
    <r>
      <rPr>
        <sz val="12"/>
        <color rgb="FF000000"/>
        <rFont val="Times New Roman"/>
        <family val="1"/>
      </rPr>
      <t>XXX</t>
    </r>
  </si>
  <si>
    <r>
      <rPr>
        <b/>
        <sz val="12"/>
        <color rgb="FF000000"/>
        <rFont val="Times New Roman"/>
        <family val="1"/>
      </rPr>
      <t>Short-Term Consultant Reports, Technical Briefs/Reports, Special and External Reports:</t>
    </r>
    <r>
      <rPr>
        <sz val="12"/>
        <color rgb="FF000000"/>
        <rFont val="Times New Roman"/>
        <family val="1"/>
      </rPr>
      <t xml:space="preserve"> XXX</t>
    </r>
  </si>
  <si>
    <t>Activity is not required to submit consultant reports to donor</t>
  </si>
  <si>
    <r>
      <rPr>
        <b/>
        <sz val="12"/>
        <color theme="1"/>
        <rFont val="Times New Roman"/>
        <family val="1"/>
      </rPr>
      <t xml:space="preserve">Closeout Plan: </t>
    </r>
    <r>
      <rPr>
        <sz val="12"/>
        <color theme="1"/>
        <rFont val="Times New Roman"/>
        <family val="1"/>
      </rPr>
      <t>XXX</t>
    </r>
  </si>
  <si>
    <r>
      <rPr>
        <b/>
        <sz val="12"/>
        <color theme="1"/>
        <rFont val="Times New Roman"/>
        <family val="1"/>
      </rPr>
      <t xml:space="preserve">Development Experience Clearinghouse Requirements: </t>
    </r>
    <r>
      <rPr>
        <sz val="12"/>
        <color theme="1"/>
        <rFont val="Times New Roman"/>
        <family val="1"/>
      </rPr>
      <t>XXX</t>
    </r>
  </si>
  <si>
    <r>
      <rPr>
        <b/>
        <sz val="12"/>
        <color rgb="FF000000"/>
        <rFont val="Times New Roman"/>
        <family val="1"/>
      </rPr>
      <t xml:space="preserve">Foreign Tax Reports: </t>
    </r>
    <r>
      <rPr>
        <sz val="12"/>
        <color rgb="FF000000"/>
        <rFont val="Times New Roman"/>
        <family val="1"/>
      </rPr>
      <t>VAT Reports</t>
    </r>
  </si>
  <si>
    <t>https://partnersnet107.sharepoint.com/:f:/s/Programs/EgGZqlHChItKlikdaGvkk3wBwoLZFBuHi3QwKVMZkZwCuQ?e=NDcUGK</t>
  </si>
  <si>
    <r>
      <t xml:space="preserve">DEVRESULTS: </t>
    </r>
    <r>
      <rPr>
        <sz val="12"/>
        <color rgb="FF000000"/>
        <rFont val="Times New Roman"/>
        <family val="1"/>
      </rPr>
      <t>XXX</t>
    </r>
  </si>
  <si>
    <r>
      <t xml:space="preserve">DEVRESULTS: </t>
    </r>
    <r>
      <rPr>
        <b/>
        <sz val="12"/>
        <color rgb="FF000000"/>
        <rFont val="Times New Roman"/>
        <family val="1"/>
      </rPr>
      <t>XXX</t>
    </r>
  </si>
  <si>
    <r>
      <rPr>
        <b/>
        <sz val="12"/>
        <color rgb="FF000000"/>
        <rFont val="Times New Roman"/>
        <family val="1"/>
      </rPr>
      <t xml:space="preserve">Program Income: </t>
    </r>
    <r>
      <rPr>
        <sz val="12"/>
        <color rgb="FF000000"/>
        <rFont val="Times New Roman"/>
        <family val="1"/>
      </rPr>
      <t>XXX</t>
    </r>
  </si>
  <si>
    <r>
      <rPr>
        <b/>
        <sz val="12"/>
        <color theme="1"/>
        <rFont val="Times New Roman"/>
        <family val="1"/>
      </rPr>
      <t xml:space="preserve">Substantial Involvement: </t>
    </r>
    <r>
      <rPr>
        <sz val="12"/>
        <color theme="1"/>
        <rFont val="Times New Roman"/>
        <family val="1"/>
      </rPr>
      <t>Approval of Recpient's Implementation Plans</t>
    </r>
  </si>
  <si>
    <t>https://partnersnet107.sharepoint.com/:f:/s/Programs/EpDG7CUoPyhCpHJXSV0R1tUBzXSRurAJxyQacCH3qBfXGw?e=NHq637</t>
  </si>
  <si>
    <r>
      <rPr>
        <b/>
        <sz val="12"/>
        <color theme="1"/>
        <rFont val="Times New Roman"/>
        <family val="1"/>
      </rPr>
      <t xml:space="preserve">Substantial Involvement: </t>
    </r>
    <r>
      <rPr>
        <sz val="12"/>
        <color theme="1"/>
        <rFont val="Times New Roman"/>
        <family val="1"/>
      </rPr>
      <t>Approval of Key Personnel and Any Changes in Key Personnel</t>
    </r>
  </si>
  <si>
    <t>https://partnersnet107.sharepoint.com/:f:/s/Programs/EoqTQ3xWDkBEmd68C05oWjMB7hLklCbw9kATnPIRyT3YrA?e=WR1SKR</t>
  </si>
  <si>
    <r>
      <rPr>
        <b/>
        <sz val="12"/>
        <color theme="1"/>
        <rFont val="Times New Roman"/>
        <family val="1"/>
      </rPr>
      <t xml:space="preserve">Substantial Involvement: </t>
    </r>
    <r>
      <rPr>
        <sz val="12"/>
        <color theme="1"/>
        <rFont val="Times New Roman"/>
        <family val="1"/>
      </rPr>
      <t>Collaboration and joint participation</t>
    </r>
  </si>
  <si>
    <r>
      <rPr>
        <b/>
        <sz val="12"/>
        <color theme="1"/>
        <rFont val="Times New Roman"/>
        <family val="1"/>
      </rPr>
      <t xml:space="preserve">Substantial Involvement: </t>
    </r>
    <r>
      <rPr>
        <sz val="12"/>
        <color theme="1"/>
        <rFont val="Times New Roman"/>
        <family val="1"/>
      </rPr>
      <t>Approval of all sub-awards and sub-awards manual</t>
    </r>
  </si>
  <si>
    <t>https://partnersnet107.sharepoint.com/:f:/s/Programs/EnFo2P5UAlxIieM1itvXK6cBrmtdTKu0dq0ZQoF-VGpViA?e=JNnwvN</t>
  </si>
  <si>
    <r>
      <rPr>
        <b/>
        <sz val="12"/>
        <color theme="1"/>
        <rFont val="Times New Roman"/>
        <family val="1"/>
      </rPr>
      <t xml:space="preserve">Substantial Involvement: </t>
    </r>
    <r>
      <rPr>
        <sz val="12"/>
        <color theme="1"/>
        <rFont val="Times New Roman"/>
        <family val="1"/>
      </rPr>
      <t>Approval of the Activity Monitoring Evaluation and Learning Plan (AMELP)</t>
    </r>
  </si>
  <si>
    <t>https://partnersnet107.sharepoint.com/:f:/s/Programs/Erjx8sKNPmFKunGIHu5h0HQBhKJsIpOatMqvy1sY8lgPYA?e=PLYAfC</t>
  </si>
  <si>
    <r>
      <rPr>
        <b/>
        <sz val="12"/>
        <color theme="1"/>
        <rFont val="Times New Roman"/>
        <family val="1"/>
      </rPr>
      <t xml:space="preserve">Substantial Involvement: </t>
    </r>
    <r>
      <rPr>
        <sz val="12"/>
        <color theme="1"/>
        <rFont val="Times New Roman"/>
        <family val="1"/>
      </rPr>
      <t>Approval of print or electronic publications</t>
    </r>
  </si>
  <si>
    <t>https://partnersnet107.sharepoint.com/:f:/s/Programs/Eg3Y-rvWFxNOi3KxzzDwLNMBK39l-LAl89ifTqkAzWnBsg?e=mZoHmF</t>
  </si>
  <si>
    <r>
      <rPr>
        <b/>
        <sz val="12"/>
        <color theme="1"/>
        <rFont val="Times New Roman"/>
        <family val="1"/>
      </rPr>
      <t xml:space="preserve">Substantial Involvement: </t>
    </r>
    <r>
      <rPr>
        <sz val="12"/>
        <color theme="1"/>
        <rFont val="Times New Roman"/>
        <family val="1"/>
      </rPr>
      <t>Approval for direction or redirection</t>
    </r>
  </si>
  <si>
    <r>
      <rPr>
        <b/>
        <sz val="12"/>
        <color theme="1"/>
        <rFont val="Times New Roman"/>
        <family val="1"/>
      </rPr>
      <t>Environmental Compliance:</t>
    </r>
    <r>
      <rPr>
        <sz val="12"/>
        <color theme="1"/>
        <rFont val="Times New Roman"/>
        <family val="1"/>
      </rPr>
      <t xml:space="preserve"> XXX</t>
    </r>
  </si>
  <si>
    <r>
      <rPr>
        <b/>
        <sz val="12"/>
        <color theme="1"/>
        <rFont val="Times New Roman"/>
        <family val="1"/>
      </rPr>
      <t xml:space="preserve">GENDER: </t>
    </r>
    <r>
      <rPr>
        <sz val="12"/>
        <color theme="1"/>
        <rFont val="Times New Roman"/>
        <family val="1"/>
      </rPr>
      <t>XXX</t>
    </r>
  </si>
  <si>
    <r>
      <rPr>
        <b/>
        <sz val="12"/>
        <color theme="1"/>
        <rFont val="Times New Roman"/>
        <family val="1"/>
      </rPr>
      <t xml:space="preserve">Branding: </t>
    </r>
    <r>
      <rPr>
        <sz val="12"/>
        <color theme="1"/>
        <rFont val="Times New Roman"/>
        <family val="1"/>
      </rPr>
      <t>XXX</t>
    </r>
  </si>
  <si>
    <r>
      <rPr>
        <b/>
        <sz val="12"/>
        <color theme="1"/>
        <rFont val="Times New Roman"/>
        <family val="1"/>
      </rPr>
      <t xml:space="preserve">Marking: </t>
    </r>
    <r>
      <rPr>
        <sz val="12"/>
        <color theme="1"/>
        <rFont val="Times New Roman"/>
        <family val="1"/>
      </rPr>
      <t>XXX</t>
    </r>
  </si>
  <si>
    <t>Subaward Name/Title:</t>
  </si>
  <si>
    <t>800-Fundacion Carvajal</t>
  </si>
  <si>
    <t>POA Subaward Manager(s) (including dates):</t>
  </si>
  <si>
    <t>Internal Grant Name:</t>
  </si>
  <si>
    <t>Claudia Johanna Rojas Hormiga (August 16, 2021 - Current)</t>
  </si>
  <si>
    <t>Subaward Number:</t>
  </si>
  <si>
    <t>7200AA21CA00003</t>
  </si>
  <si>
    <t>Subaward Start Date:</t>
  </si>
  <si>
    <t>August 16, 2021</t>
  </si>
  <si>
    <t>Catalina Prada Fernandez de Soto</t>
  </si>
  <si>
    <t>Subaward End Date:</t>
  </si>
  <si>
    <t>October 31, 2025</t>
  </si>
  <si>
    <t>Subaward Point of Contact:</t>
  </si>
  <si>
    <t>David Alejandro Gironza Rodriguez</t>
  </si>
  <si>
    <t xml:space="preserve">Yes; Article 14 and Article 19 </t>
  </si>
  <si>
    <t>POA Point of Contact:</t>
  </si>
  <si>
    <t>Gustavo Payan - Alejandro Torres - Claudia Johanna Rojas Hormiga</t>
  </si>
  <si>
    <t>Article 10: Added to funds committed by POA and the recipient to the program and used to further eligible program objective</t>
  </si>
  <si>
    <t>Subaward Agreement</t>
  </si>
  <si>
    <t>2021-2025</t>
  </si>
  <si>
    <t>May 31, 2021</t>
  </si>
  <si>
    <t>June 6, 2021</t>
  </si>
  <si>
    <t>https://partnersnet107.sharepoint.com/:u:/s/Programs/EVui6cJo261EiDasx1gzLRMBOKTHfmgFqG8ULM9l8v8_jQ?e=OEOcdH</t>
  </si>
  <si>
    <t>USAID approval</t>
  </si>
  <si>
    <t>August 10, 2021</t>
  </si>
  <si>
    <t>August 13, 2021</t>
  </si>
  <si>
    <t>https://partnersnet107.sharepoint.com/:b:/s/Programs/EX4-tejLkYlPknXl4za22T8B2YheETcYpMOGF8DW-13ojA?e=fjsboR</t>
  </si>
  <si>
    <t>Subaward FE</t>
  </si>
  <si>
    <t>October 19, 2022</t>
  </si>
  <si>
    <t>November 16, 2022</t>
  </si>
  <si>
    <t>https://partnersnet107.sharepoint.com/:b:/s/Programs/EYP0khSFVTFBq9BYAbSdf00BbG4c-BBbhjFBpCfROmSnMg?e=MDxUMi</t>
  </si>
  <si>
    <t>Subaward - Modification 1 - FE</t>
  </si>
  <si>
    <t>February 6, 2023</t>
  </si>
  <si>
    <t>February 21, 2023</t>
  </si>
  <si>
    <t>https://partnersnet107.sharepoint.com/:b:/s/Programs/Ef83SOVgDGJLgBpVnCsNYxYBKwymbWuFiPbspBToV2oJxA?e=LucuN3</t>
  </si>
  <si>
    <t>Subaward - Modification 2 - FE</t>
  </si>
  <si>
    <t>April 18, 2023</t>
  </si>
  <si>
    <t>May 5, 2023</t>
  </si>
  <si>
    <t>https://partnersnet107.sharepoint.com/:b:/s/Programs/EaMViAswkFpIgtsp3rS8UgsBqwklrngFFk77wl3v8EmGSg?e=FEk2sV</t>
  </si>
  <si>
    <t>Subaward - Modification 3 - FE</t>
  </si>
  <si>
    <t>May 26, 2023</t>
  </si>
  <si>
    <t>Jun 14, 2023</t>
  </si>
  <si>
    <t>https://partnersnet107.sharepoint.com/:b:/s/Programs/EX7KZ6sr9hRBrV3pMJW4aYgBMsjsA7Qsfu0BIcFAeTXUtQ?e=foJwaM</t>
  </si>
  <si>
    <t>Subaward - Modification 4 - FE</t>
  </si>
  <si>
    <t>September 28, 2023</t>
  </si>
  <si>
    <t>October 26, 2023</t>
  </si>
  <si>
    <t>https://partnersnet107.sharepoint.com/:b:/s/Programs/EVK3KJUUc_FBhuYN41xuJGABvq_2HT03xqTkKp8ZPp5-MQ?e=0y4Y8o</t>
  </si>
  <si>
    <t>Subaward - Modification 5 - FE</t>
  </si>
  <si>
    <t>https://partnersnet107.sharepoint.com/:f:/s/Programs/Eq0iMAmT6UpBn4GvwqWmzjUBuFhF_TrL19Bsvn0UDF9EMg?e=yCYGbU</t>
  </si>
  <si>
    <t>Verification</t>
  </si>
  <si>
    <t>https://partnersnet107.sharepoint.com/:f:/s/Programs/EpOLuuOg3h9GiSEzDjKKcsABHebFb13ORCQ_kV1jpQEyxA?e=caQUU2</t>
  </si>
  <si>
    <t>https://partnersnet107.sharepoint.com/:f:/s/Programs/EvdpX7dY_BZPlhcoPsOSY2UBu7mgzXRhTQm6nB9cW8sUhw?e=0BZuN0</t>
  </si>
  <si>
    <t>Meeting Notes with POA (Key Decisions)</t>
  </si>
  <si>
    <t>Topic: POA´s Procurement approvals</t>
  </si>
  <si>
    <t>https://partnersnet107.sharepoint.com/:f:/s/Programs/EjrHqwuqrS1Bh7WGyUgalxkBC1SH_YnaIJUThk9ruTgcdA?e=eb7dgQ</t>
  </si>
  <si>
    <t>Include all procurement approvals</t>
  </si>
  <si>
    <t>Topic: POA´s STTA approvals</t>
  </si>
  <si>
    <t>https://partnersnet107.sharepoint.com/:f:/s/Programs/EpLeTlcO_HdOjb9ph87cddgB-n_Acx5zjYW_p_6O2uHAOw?e=a8QI0e</t>
  </si>
  <si>
    <t>Include all STTAs approvals and resignation letters</t>
  </si>
  <si>
    <t>Topic: POA´s STAFFs approvals</t>
  </si>
  <si>
    <t>https://partnersnet107.sharepoint.com/:f:/s/Programs/EhM9tCEbm6xPqPjcso95iCMBTp8fsa4AI9yOzKpzC1ivQg?e=D318su</t>
  </si>
  <si>
    <t>Include all Staff approvals and resignation letters</t>
  </si>
  <si>
    <t>Topic: POA´s 2ND TIER Subawardeess approvals</t>
  </si>
  <si>
    <t>https://partnersnet107.sharepoint.com/:f:/s/Programs/EuP8RIvvX1FJorigFg_ln8MBGciUhnjKQf2fp3F3XzFSDw?e=gbgnyR</t>
  </si>
  <si>
    <t>Include all 2ND TIER Subawardeess approvals</t>
  </si>
  <si>
    <t>Topic: 800-FC-001.FAA - TRASO</t>
  </si>
  <si>
    <t>April 4, 2022</t>
  </si>
  <si>
    <t>June 3, 2022</t>
  </si>
  <si>
    <t>https://partnersnet107.sharepoint.com/:b:/s/Programs/EQSmxoBP2xVEhhEMyFqzKTEBRVF8GGp0_5Rr9Ghxt8C9sw?e=YaivVk</t>
  </si>
  <si>
    <t>Second Tier Grant Reviews Cover Sheet</t>
  </si>
  <si>
    <t>June 7, 2022</t>
  </si>
  <si>
    <t>https://partnersnet107.sharepoint.com/:b:/s/Programs/EWMthTrKqw1DrAYQ7V6eZi0BPb0FW5CLphygaVvaMf0taw?e=vK1MYX</t>
  </si>
  <si>
    <t>Second Tier Grant POAs Approval Letter</t>
  </si>
  <si>
    <t>Topic: 800-FC-002.FAA - FCA</t>
  </si>
  <si>
    <t>July 22, 2022</t>
  </si>
  <si>
    <t>August 1, 2022</t>
  </si>
  <si>
    <t>https://partnersnet107.sharepoint.com/:b:/s/Programs/EQFgPbbD2P9DsXrm0fLYo9wB8UxtcFDscKYTgxknl8Uw4Q?e=T0BUl9</t>
  </si>
  <si>
    <t>https://partnersnet107.sharepoint.com/:b:/s/Programs/EX2WqwI4HgRAlrJSJV8fAHgB-FJAWe2SNZl3BMf-nHx7UA?e=KVgMfI</t>
  </si>
  <si>
    <t>Topic: 800-FC-003.FAA - UNINORTE</t>
  </si>
  <si>
    <t>September 7, 2022</t>
  </si>
  <si>
    <t>https://partnersnet107.sharepoint.com/:b:/s/Programs/EbkV23BlsBVAs7depROlX7MB-YUPiAckGyVDlfQ9hl1jAw?e=W6aQPJ</t>
  </si>
  <si>
    <t>September 16, 2022</t>
  </si>
  <si>
    <t>https://partnersnet107.sharepoint.com/:b:/s/Programs/Eb_fAzp6FJ9PmDlT0V3cztgBNztP3DJd5UvHKu07eugBFQ?e=7nFZEO</t>
  </si>
  <si>
    <t>Topic: 800-FC-004.FAA - ASPA</t>
  </si>
  <si>
    <t>January 25, 2023</t>
  </si>
  <si>
    <t>February 15, 2023</t>
  </si>
  <si>
    <t>https://partnersnet107.sharepoint.com/:b:/s/Programs/EQUjd6bMjepGtfioV3hrKscBk2vnvhcQfEFf0NosypbaBQ?e=0nkRbE</t>
  </si>
  <si>
    <t>February 16, 2023</t>
  </si>
  <si>
    <t>https://partnersnet107.sharepoint.com/:b:/s/Programs/EaHg50uEqPpBtWsh5nFnU74BpSVL60ZvjIhBnRS8Efj8nA?e=nep3OH</t>
  </si>
  <si>
    <t>Topic: 800-FC-005.FAA - FUNDALECTURA</t>
  </si>
  <si>
    <t>January 10, 2023</t>
  </si>
  <si>
    <t>https://partnersnet107.sharepoint.com/:b:/s/Programs/Ef4g6wGVg5lLpU-CfDZ4wKABnBy8NzS-5z4kkfDajAZ6tw?e=A2wIZv</t>
  </si>
  <si>
    <t>https://partnersnet107.sharepoint.com/:b:/s/Programs/EWw0WeLrc9lHnNP5VjuuucsBUo1adB3oSae3CW2k_wr_Iw?e=NXK3sy</t>
  </si>
  <si>
    <t>2023 - Audit FY2022</t>
  </si>
  <si>
    <t>September 1, 2023</t>
  </si>
  <si>
    <t>https://partnersnet107.sharepoint.com/:b:/s/Programs/EYMnAyY3xXNOvMKcPUmKYyEB4BItOPZBUZZRQObX7eGa6A?e=3Y9ho1</t>
  </si>
  <si>
    <t>External Audit Management Letter</t>
  </si>
  <si>
    <t>https://partnersnet107.sharepoint.com/:b:/s/Programs/EZElEvvixTRFrl9sAGLrBW4BV87y5P8zHtx1GjYYKr9fUw?e=GspByv</t>
  </si>
  <si>
    <t>Final Audit Report</t>
  </si>
  <si>
    <t>Juntos Aprendemos</t>
  </si>
  <si>
    <t>800-Parque Explora</t>
  </si>
  <si>
    <t>Vanessa Ardila (August 16, 2021 - to date)</t>
  </si>
  <si>
    <t>Community Engagement and Outreach Director - Olga Liliana Leiva (former: Carolina Giraldo)</t>
  </si>
  <si>
    <t>Andrés Felipe Roldán Giraldo</t>
  </si>
  <si>
    <t>All activities’ planning
Annual work plans
Approval and changes of key personnel
Report outlines and report drafts
All consultancies, contracts, and purchase orders over 10,000 USD
Equipment purchases over 5,000 USD (unitary cost per equipment)
All Second-Tier Sub-Awards
Activity Monitoring Evaluation and Learning Plan (AMELP)
Programmatic redirection.                                                                                                                                    Print or electronic publications 
Leverage Plan</t>
  </si>
  <si>
    <t>Gustavo Payan - Alejandro Torres - Vanessa Ardila</t>
  </si>
  <si>
    <t>800-Parque Explora FE.pdf</t>
  </si>
  <si>
    <t>Subaward</t>
  </si>
  <si>
    <t>800 - Parque Explora - Mod 1_FE.pdf</t>
  </si>
  <si>
    <t>Increase sub-obligated funding in USD $479,465, to carry out Juntos Aprendemos activities as per the approved work plan.</t>
  </si>
  <si>
    <t>800 - Parque Explora - Mod 2_FE.pdf</t>
  </si>
  <si>
    <t xml:space="preserve">To increase the obligation of the subaward amount by USD $944,717 from USD $1,420,438 to USD $2,365,155. To delete the DUNS number in its entirety and replace it with the Unique Entity ID (UEI) Number. </t>
  </si>
  <si>
    <t>800 - Parque Explora - Mod 3_FE.pdf</t>
  </si>
  <si>
    <t>To increase the obligation of the subaward amount by USD $231,000 from USD $2,365,155 to USD
$2,596,155</t>
  </si>
  <si>
    <t>800 - Parque Explora - Mod 4_FE.pdf</t>
  </si>
  <si>
    <t>To increase the obligation of the subaward amount by USD $30,000 from USD $2,596,155 to USD
$2,626,155.</t>
  </si>
  <si>
    <t>800 - Parque Explora - Mod 5_FE.pdf</t>
  </si>
  <si>
    <t>To increase the obligation of the subaward amount by USD $466,068 from USD $2,626,155 to USD
$3,092,223. This obligation increase will provide sufficient funding for the subawardee to continue
implementing activities outlined in the program description thru September 2023</t>
  </si>
  <si>
    <t xml:space="preserve">To increase the obligation of the subaward amount by USD $440,000 from USD $3,092,223 to USD $3,532,223. Modify ARTICLE 8. Payments and Financial Reports: Paragraph 4, with the purpose to clarify the proper date to present advance payment request each month; Paragraph 14, with the purpose to include the text that each expense report shall contain, according with the form provided by POA. Modify ARTICLE 13. Title to and Care of Project Property: Paragraph 4, with the purpose to modify threshold cost conditions about project’s final inventory list, to include all property and equipment with a current fair market value threshold of US$100. Modify ARTICLE 14. Substantial Involvement: Include numerals e) and f) on the approval activities in charge of POA, according with the program needs and main Cooperative Agreement signed between POA and USAID. Modify ARTICLE 19. Assignment: Clarify the article to guarantee that the Subawardee understand that without prior written approval from POA may not make some decisions. Modify ARTICLE 31. Value Added Tax (VAT) Reporting: Paragraph 3, with the purpose to clarify that the sub-awardee is not the one who submits the reimbursement request to the DIAN. Update Project Coordination and supervision points of contact. Include Key Personnel. Update report submission dates. </t>
  </si>
  <si>
    <t>VC Board of Directors</t>
  </si>
  <si>
    <t>VC Board of Directors 2022</t>
  </si>
  <si>
    <t>VC Board of Directors 2023</t>
  </si>
  <si>
    <t>Audit file</t>
  </si>
  <si>
    <t>800-Proantioquia</t>
  </si>
  <si>
    <t>Partnerships and Alliances Director (Proantioquia) - Natalia Currea (former: Natalia Niño)</t>
  </si>
  <si>
    <t>October 31, 2025 // August 31, 2026 (mod 5)</t>
  </si>
  <si>
    <t>Maria Bibiana Botero</t>
  </si>
  <si>
    <t>All activities’ planning
Annual work plans
Approval and changes of key personnel
Report outlines and report drafts
All consultancies, contracts, and purchase orders over 10,000 USD
Equipment purchases over 5,000 USD (unitary cost per equipment)
Activity Monitoring Evaluation and Learning Plan (AMELP)
Programmatic redirection.                                                                                                                                                        Print or electronic publications 
Leverage Plan</t>
  </si>
  <si>
    <t>800-ProAntioquia FE.pdf</t>
  </si>
  <si>
    <t>800 - Proantioquia - Mod No.1 FE.pdf</t>
  </si>
  <si>
    <t xml:space="preserve">To increase the obligation of the subaward amount by USD $237,367 from USD $447,655 to USD $685,022. To delete the DUNS number in its entirety and replace it with the Unique Entity ID (UEI) Number. </t>
  </si>
  <si>
    <t>800 - Proantioquia - Mod No.2_FE.pdf</t>
  </si>
  <si>
    <t>To increase the obligation of the subaward amount by USD $76,500 from USD $685,022 to USD $761,522.</t>
  </si>
  <si>
    <t>800 - Proantioquia - Mod No.3 FE.pdf</t>
  </si>
  <si>
    <t>To increase the obligation of the subaward amount by USD $50,000 from USD $761,522 to USD $811,522.</t>
  </si>
  <si>
    <t>800 - Proantioquia - Mod No.4 FE.pdf</t>
  </si>
  <si>
    <t xml:space="preserve">To increase the obligation of the subaward amount by USD $200,510 from USD $811,522 to USD $1,012,032. </t>
  </si>
  <si>
    <t>7. 800-Proantioquia Mod No.5 FE.pdf</t>
  </si>
  <si>
    <t>Extend the period of performance and change the completion date of the sub agreement (no cost extension). Modify Detailed Budget, realign the original awarded budget and include indirect costs. Update Project Coordination and supervision points of contact. Update the period of performance in the Program Description. Include Key Personnel. Update report submission dates.</t>
  </si>
  <si>
    <t>800 - Proantioquia - Mod No.6 FE.pdf</t>
  </si>
  <si>
    <t>To increase the obligation of the subaward amount by USD $208,000 from USD $1,012,032, to USD $1,220,032. To clarify the proper date to present advance payment request each month ans include the text that each expense report shall contain, according with the form provided by POA. To modify threshold cost conditions about project’s final inventory list, to include all property and equipment with a current fair market value threshold of US$100. Include numerals e) and f) on the approval activities in charge of POA, according with the program needs and main Cooperative Agreement signed between POA and USAID. Modify ARTICLE 19. Assignment: Clarify the article to guarantee that the Subawardee understand that without prior written approval from POA may not make some decisions. Clarify that the sub-awardee is not the one who submits the VAT reimbursement request to the DIAN, but POA. Delete in its entirety the current “ANNEX A: PROGRAM DESCRIPTION AND OBJECTIVES” and replace for the new ANNEX A with the purpose to reflect programmatic changes, indicators according with the actual AMELP, and to include double column language.</t>
  </si>
  <si>
    <t>Visual Compliance 2022</t>
  </si>
  <si>
    <t>Visual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</si>
</sst>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_-* #,##0_-;\-* #,##0_-;_-* &quot;-&quot;??_-;_-@_-"/>
    <numFmt numFmtId="166" formatCode="[$-409]dd\-mmm\-yy;@"/>
    <numFmt numFmtId="167" formatCode="[$USD]\ #,##0.00"/>
    <numFmt numFmtId="168" formatCode="mm/dd/yy"/>
  </numFmts>
  <fonts count="30" x14ac:knownFonts="1">
    <font>
      <sz val="11"/>
      <color theme="1"/>
      <name val="Calibri"/>
      <family val="2"/>
      <scheme val="minor"/>
    </font>
    <font>
      <b/>
      <sz val="11"/>
      <color theme="1"/>
      <name val="Calibri"/>
      <family val="2"/>
      <scheme val="minor"/>
    </font>
    <font>
      <sz val="11"/>
      <color theme="1"/>
      <name val="Symbol"/>
      <family val="1"/>
      <charset val="2"/>
    </font>
    <font>
      <sz val="7"/>
      <color theme="1"/>
      <name val="Times New Roman"/>
      <family val="1"/>
    </font>
    <font>
      <b/>
      <sz val="20"/>
      <color theme="0"/>
      <name val="Times New Roman"/>
      <family val="1"/>
    </font>
    <font>
      <b/>
      <sz val="14"/>
      <name val="Times New Roman"/>
      <family val="1"/>
    </font>
    <font>
      <sz val="14"/>
      <color theme="1"/>
      <name val="Calibri"/>
      <family val="2"/>
      <scheme val="minor"/>
    </font>
    <font>
      <b/>
      <i/>
      <sz val="14"/>
      <name val="Times New Roman"/>
      <family val="1"/>
    </font>
    <font>
      <b/>
      <sz val="14"/>
      <color theme="0"/>
      <name val="Times New Roman"/>
      <family val="1"/>
    </font>
    <font>
      <b/>
      <sz val="14"/>
      <color theme="1"/>
      <name val="Calibri"/>
      <family val="2"/>
      <scheme val="minor"/>
    </font>
    <font>
      <sz val="12"/>
      <color theme="1"/>
      <name val="Times New Roman"/>
      <family val="1"/>
    </font>
    <font>
      <u/>
      <sz val="11"/>
      <color theme="10"/>
      <name val="Calibri"/>
      <family val="2"/>
      <scheme val="minor"/>
    </font>
    <font>
      <u/>
      <sz val="12"/>
      <color theme="10"/>
      <name val="Times New Roman"/>
      <family val="1"/>
    </font>
    <font>
      <u/>
      <sz val="12"/>
      <color theme="1"/>
      <name val="Times New Roman"/>
      <family val="1"/>
    </font>
    <font>
      <sz val="14"/>
      <color theme="0"/>
      <name val="Times New Roman"/>
      <family val="1"/>
    </font>
    <font>
      <b/>
      <sz val="26"/>
      <color theme="0"/>
      <name val="Times New Roman"/>
      <family val="1"/>
    </font>
    <font>
      <b/>
      <sz val="12"/>
      <color theme="1"/>
      <name val="Times New Roman"/>
      <family val="1"/>
    </font>
    <font>
      <sz val="12"/>
      <color rgb="FF000000"/>
      <name val="Times New Roman"/>
      <family val="1"/>
    </font>
    <font>
      <b/>
      <sz val="12"/>
      <color rgb="FF000000"/>
      <name val="Times New Roman"/>
      <family val="1"/>
    </font>
    <font>
      <b/>
      <sz val="12"/>
      <color rgb="FFFF0000"/>
      <name val="Times New Roman"/>
      <family val="1"/>
    </font>
    <font>
      <sz val="12"/>
      <name val="Times New Roman"/>
      <family val="1"/>
    </font>
    <font>
      <b/>
      <sz val="12"/>
      <name val="Times New Roman"/>
      <family val="1"/>
    </font>
    <font>
      <sz val="8"/>
      <name val="Calibri"/>
      <family val="2"/>
      <scheme val="minor"/>
    </font>
    <font>
      <sz val="9"/>
      <color indexed="81"/>
      <name val="Tahoma"/>
      <family val="2"/>
    </font>
    <font>
      <b/>
      <sz val="9"/>
      <color indexed="81"/>
      <name val="Tahoma"/>
      <family val="2"/>
    </font>
    <font>
      <sz val="11"/>
      <color theme="1"/>
      <name val="Calibri"/>
      <family val="2"/>
      <scheme val="minor"/>
    </font>
    <font>
      <sz val="14"/>
      <name val="Times New Roman"/>
      <family val="1"/>
    </font>
    <font>
      <sz val="11.5"/>
      <color rgb="FF010101"/>
      <name val="Times New Roman"/>
      <family val="1"/>
    </font>
    <font>
      <sz val="11.5"/>
      <color rgb="FF1F1F1F"/>
      <name val="Times New Roman"/>
      <family val="1"/>
    </font>
    <font>
      <sz val="11.5"/>
      <color rgb="FF212121"/>
      <name val="Times New Roman"/>
      <family val="1"/>
    </font>
  </fonts>
  <fills count="9">
    <fill>
      <patternFill patternType="none"/>
    </fill>
    <fill>
      <patternFill patternType="gray125"/>
    </fill>
    <fill>
      <patternFill patternType="solid">
        <fgColor rgb="FF1F497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1"/>
        <bgColor indexed="64"/>
      </patternFill>
    </fill>
    <fill>
      <patternFill patternType="solid">
        <fgColor rgb="FFFF0000"/>
        <bgColor indexed="64"/>
      </patternFill>
    </fill>
  </fills>
  <borders count="42">
    <border>
      <left/>
      <right/>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bottom/>
      <diagonal/>
    </border>
    <border>
      <left style="medium">
        <color auto="1"/>
      </left>
      <right style="medium">
        <color indexed="64"/>
      </right>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theme="2" tint="-0.24994659260841701"/>
      </top>
      <bottom style="thin">
        <color theme="2" tint="-0.24994659260841701"/>
      </bottom>
      <diagonal/>
    </border>
    <border>
      <left/>
      <right style="thin">
        <color indexed="64"/>
      </right>
      <top style="thin">
        <color theme="2" tint="-0.24994659260841701"/>
      </top>
      <bottom style="thin">
        <color theme="2" tint="-0.24994659260841701"/>
      </bottom>
      <diagonal/>
    </border>
    <border>
      <left style="thin">
        <color indexed="64"/>
      </left>
      <right style="thin">
        <color indexed="64"/>
      </right>
      <top style="thin">
        <color theme="2" tint="-0.24994659260841701"/>
      </top>
      <bottom style="thin">
        <color theme="2" tint="-0.24994659260841701"/>
      </bottom>
      <diagonal/>
    </border>
    <border>
      <left/>
      <right style="medium">
        <color indexed="64"/>
      </right>
      <top style="thin">
        <color theme="2" tint="-0.24994659260841701"/>
      </top>
      <bottom style="thin">
        <color theme="2" tint="-0.24994659260841701"/>
      </bottom>
      <diagonal/>
    </border>
    <border>
      <left style="medium">
        <color indexed="64"/>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style="medium">
        <color indexed="64"/>
      </left>
      <right style="thin">
        <color theme="2" tint="-0.24994659260841701"/>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right style="medium">
        <color indexed="64"/>
      </right>
      <top/>
      <bottom/>
      <diagonal/>
    </border>
    <border>
      <left style="thin">
        <color theme="2" tint="-0.24994659260841701"/>
      </left>
      <right style="thin">
        <color indexed="64"/>
      </right>
      <top style="thin">
        <color theme="2" tint="-0.24994659260841701"/>
      </top>
      <bottom style="medium">
        <color indexed="64"/>
      </bottom>
      <diagonal/>
    </border>
    <border>
      <left style="thin">
        <color indexed="64"/>
      </left>
      <right style="thin">
        <color indexed="64"/>
      </right>
      <top style="thin">
        <color theme="2" tint="-0.24994659260841701"/>
      </top>
      <bottom style="medium">
        <color indexed="64"/>
      </bottom>
      <diagonal/>
    </border>
    <border>
      <left/>
      <right style="medium">
        <color indexed="64"/>
      </right>
      <top style="thin">
        <color theme="2" tint="-0.24994659260841701"/>
      </top>
      <bottom style="medium">
        <color indexed="64"/>
      </bottom>
      <diagonal/>
    </border>
    <border>
      <left style="medium">
        <color auto="1"/>
      </left>
      <right/>
      <top/>
      <bottom style="thin">
        <color indexed="64"/>
      </bottom>
      <diagonal/>
    </border>
    <border>
      <left/>
      <right/>
      <top/>
      <bottom style="thin">
        <color indexed="64"/>
      </bottom>
      <diagonal/>
    </border>
    <border>
      <left style="medium">
        <color indexed="64"/>
      </left>
      <right/>
      <top style="thin">
        <color theme="2" tint="-0.24994659260841701"/>
      </top>
      <bottom/>
      <diagonal/>
    </border>
    <border>
      <left/>
      <right/>
      <top style="thin">
        <color theme="2" tint="-0.24994659260841701"/>
      </top>
      <bottom/>
      <diagonal/>
    </border>
    <border>
      <left/>
      <right style="medium">
        <color indexed="64"/>
      </right>
      <top style="thin">
        <color theme="2" tint="-0.2499465926084170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diagonal/>
    </border>
    <border>
      <left/>
      <right style="thin">
        <color indexed="64"/>
      </right>
      <top style="thin">
        <color theme="2" tint="-0.24994659260841701"/>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theme="2" tint="-0.24994659260841701"/>
      </top>
      <bottom style="thin">
        <color theme="2" tint="-0.24994659260841701"/>
      </bottom>
      <diagonal/>
    </border>
    <border>
      <left style="thin">
        <color indexed="64"/>
      </left>
      <right style="thin">
        <color indexed="64"/>
      </right>
      <top style="thin">
        <color indexed="64"/>
      </top>
      <bottom style="thin">
        <color theme="2" tint="-0.24994659260841701"/>
      </bottom>
      <diagonal/>
    </border>
    <border>
      <left style="thin">
        <color indexed="64"/>
      </left>
      <right style="thin">
        <color indexed="64"/>
      </right>
      <top/>
      <bottom/>
      <diagonal/>
    </border>
    <border>
      <left style="thin">
        <color indexed="64"/>
      </left>
      <right style="thin">
        <color indexed="64"/>
      </right>
      <top style="thin">
        <color theme="2" tint="-0.24994659260841701"/>
      </top>
      <bottom/>
      <diagonal/>
    </border>
    <border>
      <left/>
      <right style="medium">
        <color indexed="64"/>
      </right>
      <top/>
      <bottom style="thin">
        <color theme="2" tint="-0.24994659260841701"/>
      </bottom>
      <diagonal/>
    </border>
  </borders>
  <cellStyleXfs count="3">
    <xf numFmtId="0" fontId="0" fillId="0" borderId="0"/>
    <xf numFmtId="0" fontId="11" fillId="0" borderId="0" applyNumberFormat="0" applyFill="0" applyBorder="0" applyAlignment="0" applyProtection="0"/>
    <xf numFmtId="164" fontId="25" fillId="0" borderId="0" applyFont="0" applyFill="0" applyBorder="0" applyAlignment="0" applyProtection="0"/>
  </cellStyleXfs>
  <cellXfs count="205">
    <xf numFmtId="0" fontId="0" fillId="0" borderId="0" xfId="0"/>
    <xf numFmtId="0" fontId="0" fillId="0" borderId="0" xfId="0" applyAlignment="1">
      <alignment vertical="center"/>
    </xf>
    <xf numFmtId="0" fontId="2" fillId="0" borderId="0" xfId="0" applyFont="1" applyAlignment="1">
      <alignment horizontal="left" vertical="center" indent="5"/>
    </xf>
    <xf numFmtId="0" fontId="5" fillId="3" borderId="1" xfId="0" applyFont="1" applyFill="1" applyBorder="1" applyAlignment="1">
      <alignment horizontal="right"/>
    </xf>
    <xf numFmtId="0" fontId="5" fillId="3" borderId="2" xfId="0" applyFont="1" applyFill="1" applyBorder="1" applyAlignment="1">
      <alignment horizontal="right"/>
    </xf>
    <xf numFmtId="0" fontId="0" fillId="0" borderId="4" xfId="0" applyBorder="1"/>
    <xf numFmtId="0" fontId="6" fillId="0" borderId="0" xfId="0" applyFont="1"/>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4" borderId="1" xfId="0" applyFont="1" applyFill="1" applyBorder="1" applyAlignment="1">
      <alignment horizontal="left"/>
    </xf>
    <xf numFmtId="0" fontId="8" fillId="4" borderId="7" xfId="0" applyFont="1" applyFill="1" applyBorder="1"/>
    <xf numFmtId="0" fontId="8" fillId="4" borderId="8" xfId="0" applyFont="1" applyFill="1" applyBorder="1" applyAlignment="1">
      <alignment horizontal="fill"/>
    </xf>
    <xf numFmtId="0" fontId="9" fillId="0" borderId="0" xfId="0" applyFont="1"/>
    <xf numFmtId="0" fontId="10" fillId="5" borderId="9" xfId="0" applyFont="1" applyFill="1" applyBorder="1"/>
    <xf numFmtId="0" fontId="10" fillId="5" borderId="10" xfId="0" applyFont="1" applyFill="1" applyBorder="1"/>
    <xf numFmtId="0" fontId="10" fillId="5" borderId="11" xfId="0" applyFont="1" applyFill="1" applyBorder="1"/>
    <xf numFmtId="14" fontId="10" fillId="5" borderId="11" xfId="0" applyNumberFormat="1" applyFont="1" applyFill="1" applyBorder="1"/>
    <xf numFmtId="0" fontId="12" fillId="0" borderId="12" xfId="1" applyFont="1" applyBorder="1" applyAlignment="1">
      <alignment horizontal="fill"/>
    </xf>
    <xf numFmtId="0" fontId="8" fillId="4" borderId="13" xfId="0" applyFont="1" applyFill="1" applyBorder="1"/>
    <xf numFmtId="0" fontId="8" fillId="4" borderId="14" xfId="0" applyFont="1" applyFill="1" applyBorder="1"/>
    <xf numFmtId="0" fontId="8" fillId="4" borderId="12" xfId="0" applyFont="1" applyFill="1" applyBorder="1" applyAlignment="1">
      <alignment horizontal="fill"/>
    </xf>
    <xf numFmtId="0" fontId="10" fillId="0" borderId="15" xfId="0" applyFont="1" applyBorder="1"/>
    <xf numFmtId="0" fontId="10" fillId="0" borderId="16" xfId="0" applyFont="1" applyBorder="1"/>
    <xf numFmtId="0" fontId="10" fillId="0" borderId="11" xfId="0" applyFont="1" applyBorder="1" applyAlignment="1">
      <alignment wrapText="1"/>
    </xf>
    <xf numFmtId="0" fontId="13" fillId="0" borderId="12" xfId="1" applyFont="1" applyFill="1" applyBorder="1" applyAlignment="1">
      <alignment horizontal="fill"/>
    </xf>
    <xf numFmtId="0" fontId="10" fillId="0" borderId="11" xfId="0" applyFont="1" applyBorder="1"/>
    <xf numFmtId="0" fontId="12" fillId="0" borderId="12" xfId="1" applyFont="1" applyFill="1" applyBorder="1" applyAlignment="1">
      <alignment horizontal="fill"/>
    </xf>
    <xf numFmtId="0" fontId="12" fillId="0" borderId="17" xfId="1" applyFont="1" applyFill="1" applyBorder="1"/>
    <xf numFmtId="0" fontId="10" fillId="5" borderId="15" xfId="0" applyFont="1" applyFill="1" applyBorder="1"/>
    <xf numFmtId="0" fontId="10" fillId="0" borderId="9" xfId="0" applyFont="1" applyBorder="1"/>
    <xf numFmtId="0" fontId="10" fillId="0" borderId="12" xfId="0" applyFont="1" applyBorder="1" applyAlignment="1">
      <alignment horizontal="fill"/>
    </xf>
    <xf numFmtId="0" fontId="14" fillId="4" borderId="14" xfId="0" applyFont="1" applyFill="1" applyBorder="1"/>
    <xf numFmtId="0" fontId="14" fillId="4" borderId="12" xfId="0" applyFont="1" applyFill="1" applyBorder="1" applyAlignment="1">
      <alignment horizontal="fill"/>
    </xf>
    <xf numFmtId="0" fontId="10" fillId="0" borderId="18" xfId="0" applyFont="1" applyBorder="1"/>
    <xf numFmtId="0" fontId="10" fillId="5" borderId="19" xfId="0" applyFont="1" applyFill="1" applyBorder="1"/>
    <xf numFmtId="14" fontId="10" fillId="5" borderId="19" xfId="0" applyNumberFormat="1" applyFont="1" applyFill="1" applyBorder="1"/>
    <xf numFmtId="0" fontId="12" fillId="0" borderId="20" xfId="1" applyFont="1" applyBorder="1" applyAlignment="1">
      <alignment horizontal="fill"/>
    </xf>
    <xf numFmtId="0" fontId="0" fillId="0" borderId="0" xfId="0" applyAlignment="1">
      <alignment horizontal="fill"/>
    </xf>
    <xf numFmtId="0" fontId="0" fillId="5" borderId="0" xfId="0" applyFill="1" applyAlignment="1">
      <alignment wrapText="1"/>
    </xf>
    <xf numFmtId="0" fontId="10" fillId="0" borderId="2" xfId="0" applyFont="1" applyBorder="1" applyAlignment="1">
      <alignment horizontal="center" vertical="center" wrapText="1"/>
    </xf>
    <xf numFmtId="0" fontId="16" fillId="3" borderId="2"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10" fillId="0" borderId="2" xfId="0" applyFont="1" applyBorder="1" applyAlignment="1">
      <alignment horizontal="left" vertical="top" wrapText="1"/>
    </xf>
    <xf numFmtId="0" fontId="10" fillId="3" borderId="2" xfId="0" applyFont="1" applyFill="1" applyBorder="1" applyAlignment="1">
      <alignment horizontal="left" vertical="center" wrapText="1"/>
    </xf>
    <xf numFmtId="0" fontId="17" fillId="5" borderId="2" xfId="0" applyFont="1" applyFill="1" applyBorder="1" applyAlignment="1">
      <alignment horizontal="left" vertical="center" wrapText="1"/>
    </xf>
    <xf numFmtId="0" fontId="19" fillId="0" borderId="2" xfId="0" applyFont="1" applyBorder="1" applyAlignment="1">
      <alignment horizontal="center" vertical="center" wrapText="1"/>
    </xf>
    <xf numFmtId="0" fontId="17" fillId="3" borderId="2" xfId="0" applyFont="1" applyFill="1" applyBorder="1" applyAlignment="1">
      <alignment horizontal="left" vertical="center" wrapText="1"/>
    </xf>
    <xf numFmtId="0" fontId="20" fillId="3" borderId="2" xfId="0" applyFont="1" applyFill="1" applyBorder="1" applyAlignment="1">
      <alignment horizontal="center" vertical="center" wrapText="1"/>
    </xf>
    <xf numFmtId="0" fontId="17" fillId="0" borderId="2" xfId="0" applyFont="1" applyBorder="1" applyAlignment="1">
      <alignment horizontal="left" vertical="center" wrapText="1"/>
    </xf>
    <xf numFmtId="0" fontId="20" fillId="0" borderId="2" xfId="0" applyFont="1" applyBorder="1" applyAlignment="1">
      <alignment horizontal="center" vertical="center" wrapText="1"/>
    </xf>
    <xf numFmtId="0" fontId="10" fillId="5" borderId="2" xfId="0" applyFont="1" applyFill="1" applyBorder="1" applyAlignment="1">
      <alignment vertical="center" wrapText="1"/>
    </xf>
    <xf numFmtId="0" fontId="19" fillId="5" borderId="2" xfId="0" applyFont="1" applyFill="1" applyBorder="1" applyAlignment="1">
      <alignment vertical="center" wrapText="1"/>
    </xf>
    <xf numFmtId="0" fontId="10" fillId="5" borderId="2" xfId="0" applyFont="1" applyFill="1" applyBorder="1" applyAlignment="1">
      <alignment horizontal="left" vertical="center" wrapText="1"/>
    </xf>
    <xf numFmtId="0" fontId="19" fillId="5" borderId="2" xfId="0" applyFont="1" applyFill="1" applyBorder="1" applyAlignment="1">
      <alignment horizontal="center" vertical="center" wrapText="1"/>
    </xf>
    <xf numFmtId="0" fontId="10" fillId="0" borderId="2" xfId="0" applyFont="1" applyBorder="1" applyAlignment="1">
      <alignment horizontal="left" vertical="center" wrapText="1"/>
    </xf>
    <xf numFmtId="0" fontId="21" fillId="3" borderId="2" xfId="0" applyFont="1" applyFill="1" applyBorder="1" applyAlignment="1">
      <alignment horizontal="center" vertical="center" wrapText="1"/>
    </xf>
    <xf numFmtId="0" fontId="10" fillId="0" borderId="2" xfId="0" applyFont="1" applyBorder="1" applyAlignment="1">
      <alignment vertical="top" wrapText="1"/>
    </xf>
    <xf numFmtId="0" fontId="20" fillId="3" borderId="2" xfId="0" applyFont="1" applyFill="1" applyBorder="1" applyAlignment="1">
      <alignment horizontal="left" vertical="center" wrapText="1"/>
    </xf>
    <xf numFmtId="0" fontId="10" fillId="3" borderId="2" xfId="0" applyFont="1" applyFill="1" applyBorder="1" applyAlignment="1">
      <alignment horizontal="left" vertical="top" wrapText="1"/>
    </xf>
    <xf numFmtId="0" fontId="21" fillId="5" borderId="2" xfId="0" applyFont="1" applyFill="1" applyBorder="1" applyAlignment="1">
      <alignment horizontal="center" vertical="center" wrapText="1"/>
    </xf>
    <xf numFmtId="0" fontId="10" fillId="3" borderId="2" xfId="0" applyFont="1" applyFill="1" applyBorder="1" applyAlignment="1">
      <alignment vertical="top" wrapText="1"/>
    </xf>
    <xf numFmtId="0" fontId="10" fillId="3" borderId="2" xfId="0" applyFont="1" applyFill="1" applyBorder="1" applyAlignment="1">
      <alignment horizontal="center" vertical="center" wrapText="1"/>
    </xf>
    <xf numFmtId="0" fontId="16" fillId="3" borderId="2" xfId="0" applyFont="1" applyFill="1" applyBorder="1" applyAlignment="1">
      <alignment horizontal="left" vertical="top" wrapText="1"/>
    </xf>
    <xf numFmtId="0" fontId="10" fillId="0" borderId="2" xfId="0" applyFont="1" applyBorder="1" applyAlignment="1">
      <alignment wrapText="1"/>
    </xf>
    <xf numFmtId="0" fontId="10" fillId="3" borderId="2" xfId="0" applyFont="1" applyFill="1" applyBorder="1" applyAlignment="1">
      <alignment wrapText="1"/>
    </xf>
    <xf numFmtId="0" fontId="0" fillId="5" borderId="0" xfId="0" applyFill="1" applyAlignment="1">
      <alignment horizontal="left" vertical="top" wrapText="1"/>
    </xf>
    <xf numFmtId="0" fontId="1" fillId="5" borderId="0" xfId="0" applyFont="1" applyFill="1" applyAlignment="1">
      <alignment horizontal="center" vertical="center" wrapText="1"/>
    </xf>
    <xf numFmtId="0" fontId="0" fillId="5" borderId="0" xfId="0" applyFill="1" applyAlignment="1">
      <alignment horizontal="center" vertical="center" wrapText="1"/>
    </xf>
    <xf numFmtId="0" fontId="17" fillId="6" borderId="2" xfId="0" applyFont="1" applyFill="1" applyBorder="1" applyAlignment="1">
      <alignment horizontal="left" vertical="center" wrapText="1"/>
    </xf>
    <xf numFmtId="0" fontId="1" fillId="0" borderId="0" xfId="0" applyFont="1" applyAlignment="1">
      <alignment vertical="center"/>
    </xf>
    <xf numFmtId="0" fontId="8" fillId="4" borderId="23" xfId="0" applyFont="1" applyFill="1" applyBorder="1"/>
    <xf numFmtId="0" fontId="14" fillId="4" borderId="24" xfId="0" applyFont="1" applyFill="1" applyBorder="1"/>
    <xf numFmtId="0" fontId="14" fillId="4" borderId="25" xfId="0" applyFont="1" applyFill="1" applyBorder="1" applyAlignment="1">
      <alignment horizontal="fill"/>
    </xf>
    <xf numFmtId="0" fontId="10" fillId="0" borderId="2" xfId="0" applyFont="1" applyBorder="1"/>
    <xf numFmtId="0" fontId="10" fillId="5" borderId="2" xfId="0" applyFont="1" applyFill="1" applyBorder="1"/>
    <xf numFmtId="14" fontId="10" fillId="5" borderId="2" xfId="0" applyNumberFormat="1" applyFont="1" applyFill="1" applyBorder="1"/>
    <xf numFmtId="0" fontId="12" fillId="0" borderId="2" xfId="1" applyFont="1" applyBorder="1" applyAlignment="1">
      <alignment horizontal="fill"/>
    </xf>
    <xf numFmtId="0" fontId="12" fillId="0" borderId="2" xfId="1" applyFont="1" applyFill="1" applyBorder="1" applyAlignment="1">
      <alignment horizontal="fill"/>
    </xf>
    <xf numFmtId="0" fontId="5" fillId="3" borderId="29" xfId="0" applyFont="1" applyFill="1" applyBorder="1" applyAlignment="1">
      <alignment horizontal="center"/>
    </xf>
    <xf numFmtId="0" fontId="0" fillId="0" borderId="30" xfId="0" applyBorder="1"/>
    <xf numFmtId="0" fontId="10" fillId="0" borderId="31" xfId="0" applyFont="1" applyBorder="1"/>
    <xf numFmtId="0" fontId="12" fillId="0" borderId="29" xfId="1" applyFont="1" applyBorder="1" applyAlignment="1">
      <alignment horizontal="fill"/>
    </xf>
    <xf numFmtId="0" fontId="12" fillId="0" borderId="29" xfId="1" applyFont="1" applyFill="1" applyBorder="1" applyAlignment="1">
      <alignment horizontal="fill"/>
    </xf>
    <xf numFmtId="0" fontId="10" fillId="0" borderId="32" xfId="0" applyFont="1" applyBorder="1"/>
    <xf numFmtId="0" fontId="21" fillId="0" borderId="2" xfId="0" applyFont="1" applyBorder="1" applyAlignment="1">
      <alignment horizontal="center" vertical="center" wrapText="1"/>
    </xf>
    <xf numFmtId="0" fontId="1" fillId="0" borderId="0" xfId="0" applyFont="1" applyAlignment="1">
      <alignment horizontal="center" vertical="center" wrapText="1"/>
    </xf>
    <xf numFmtId="0" fontId="0" fillId="0" borderId="4" xfId="0" applyBorder="1" applyAlignment="1">
      <alignment wrapText="1"/>
    </xf>
    <xf numFmtId="165" fontId="0" fillId="0" borderId="4" xfId="2" applyNumberFormat="1" applyFont="1" applyBorder="1" applyAlignment="1">
      <alignment wrapText="1"/>
    </xf>
    <xf numFmtId="10" fontId="11" fillId="0" borderId="4" xfId="1" applyNumberFormat="1" applyBorder="1" applyAlignment="1">
      <alignment wrapText="1"/>
    </xf>
    <xf numFmtId="0" fontId="0" fillId="6" borderId="4" xfId="0" applyFill="1" applyBorder="1" applyAlignment="1">
      <alignment wrapText="1"/>
    </xf>
    <xf numFmtId="0" fontId="8" fillId="2" borderId="6" xfId="0" applyFont="1" applyFill="1" applyBorder="1" applyAlignment="1">
      <alignment horizontal="center" vertical="center" wrapText="1"/>
    </xf>
    <xf numFmtId="0" fontId="8" fillId="4" borderId="8" xfId="0" applyFont="1" applyFill="1" applyBorder="1" applyAlignment="1">
      <alignment horizontal="fill" wrapText="1"/>
    </xf>
    <xf numFmtId="0" fontId="0" fillId="0" borderId="0" xfId="0" applyAlignment="1">
      <alignment horizontal="fill" wrapText="1"/>
    </xf>
    <xf numFmtId="0" fontId="5" fillId="3" borderId="29" xfId="0" applyFont="1" applyFill="1" applyBorder="1" applyAlignment="1">
      <alignment horizontal="center" wrapText="1"/>
    </xf>
    <xf numFmtId="0" fontId="0" fillId="6" borderId="30" xfId="0" applyFill="1" applyBorder="1" applyAlignment="1">
      <alignment wrapText="1"/>
    </xf>
    <xf numFmtId="0" fontId="0" fillId="0" borderId="30" xfId="0" applyBorder="1" applyAlignment="1">
      <alignment wrapText="1"/>
    </xf>
    <xf numFmtId="0" fontId="16" fillId="7" borderId="2" xfId="0" applyFont="1" applyFill="1" applyBorder="1" applyAlignment="1">
      <alignment horizontal="center" vertical="center" wrapText="1"/>
    </xf>
    <xf numFmtId="0" fontId="21" fillId="7" borderId="2" xfId="0" applyFont="1" applyFill="1" applyBorder="1" applyAlignment="1">
      <alignment horizontal="center" vertical="center" wrapText="1"/>
    </xf>
    <xf numFmtId="166" fontId="8" fillId="2" borderId="5" xfId="0" applyNumberFormat="1" applyFont="1" applyFill="1" applyBorder="1" applyAlignment="1">
      <alignment horizontal="center" vertical="center"/>
    </xf>
    <xf numFmtId="166" fontId="8" fillId="4" borderId="7" xfId="0" applyNumberFormat="1" applyFont="1" applyFill="1" applyBorder="1"/>
    <xf numFmtId="166" fontId="10" fillId="5" borderId="11" xfId="0" applyNumberFormat="1" applyFont="1" applyFill="1" applyBorder="1"/>
    <xf numFmtId="166" fontId="8" fillId="4" borderId="14" xfId="0" applyNumberFormat="1" applyFont="1" applyFill="1" applyBorder="1"/>
    <xf numFmtId="166" fontId="14" fillId="4" borderId="24" xfId="0" applyNumberFormat="1" applyFont="1" applyFill="1" applyBorder="1"/>
    <xf numFmtId="166" fontId="10" fillId="5" borderId="2" xfId="0" applyNumberFormat="1" applyFont="1" applyFill="1" applyBorder="1"/>
    <xf numFmtId="166" fontId="14" fillId="4" borderId="14" xfId="0" applyNumberFormat="1" applyFont="1" applyFill="1" applyBorder="1"/>
    <xf numFmtId="166" fontId="10" fillId="5" borderId="19" xfId="0" applyNumberFormat="1" applyFont="1" applyFill="1" applyBorder="1"/>
    <xf numFmtId="0" fontId="8" fillId="2" borderId="5" xfId="0" applyFont="1" applyFill="1" applyBorder="1" applyAlignment="1">
      <alignment horizontal="center" vertical="center" wrapText="1"/>
    </xf>
    <xf numFmtId="0" fontId="8" fillId="4" borderId="7" xfId="0" applyFont="1" applyFill="1" applyBorder="1" applyAlignment="1">
      <alignment wrapText="1"/>
    </xf>
    <xf numFmtId="0" fontId="11" fillId="0" borderId="12" xfId="1" applyBorder="1" applyAlignment="1">
      <alignment horizontal="fill"/>
    </xf>
    <xf numFmtId="0" fontId="20" fillId="0" borderId="12" xfId="1" applyFont="1" applyBorder="1" applyAlignment="1">
      <alignment horizontal="fill"/>
    </xf>
    <xf numFmtId="0" fontId="5" fillId="4" borderId="12" xfId="0" applyFont="1" applyFill="1" applyBorder="1" applyAlignment="1">
      <alignment horizontal="fill"/>
    </xf>
    <xf numFmtId="0" fontId="20" fillId="0" borderId="12" xfId="1" applyFont="1" applyFill="1" applyBorder="1" applyAlignment="1">
      <alignment horizontal="fill"/>
    </xf>
    <xf numFmtId="0" fontId="12" fillId="0" borderId="17" xfId="1" applyFont="1" applyFill="1" applyBorder="1" applyAlignment="1"/>
    <xf numFmtId="0" fontId="20" fillId="0" borderId="17" xfId="1" applyFont="1" applyFill="1" applyBorder="1" applyAlignment="1"/>
    <xf numFmtId="0" fontId="20" fillId="0" borderId="12" xfId="0" applyFont="1" applyBorder="1" applyAlignment="1">
      <alignment horizontal="fill"/>
    </xf>
    <xf numFmtId="0" fontId="26" fillId="4" borderId="25" xfId="0" applyFont="1" applyFill="1" applyBorder="1" applyAlignment="1">
      <alignment horizontal="fill"/>
    </xf>
    <xf numFmtId="0" fontId="20" fillId="0" borderId="29" xfId="1" applyFont="1" applyBorder="1" applyAlignment="1">
      <alignment horizontal="fill"/>
    </xf>
    <xf numFmtId="0" fontId="20" fillId="0" borderId="29" xfId="1" applyFont="1" applyFill="1" applyBorder="1" applyAlignment="1">
      <alignment horizontal="fill"/>
    </xf>
    <xf numFmtId="0" fontId="26" fillId="4" borderId="12" xfId="0" applyFont="1" applyFill="1" applyBorder="1" applyAlignment="1">
      <alignment horizontal="fill"/>
    </xf>
    <xf numFmtId="0" fontId="20" fillId="0" borderId="20" xfId="1" applyFont="1" applyBorder="1" applyAlignment="1">
      <alignment horizontal="fill"/>
    </xf>
    <xf numFmtId="0" fontId="11" fillId="0" borderId="12" xfId="1" applyFill="1" applyBorder="1" applyAlignment="1">
      <alignment horizontal="fill"/>
    </xf>
    <xf numFmtId="0" fontId="11" fillId="0" borderId="12" xfId="1" applyFill="1" applyBorder="1" applyAlignment="1">
      <alignment horizontal="fill" wrapText="1"/>
    </xf>
    <xf numFmtId="0" fontId="11" fillId="0" borderId="2" xfId="1" applyFill="1" applyBorder="1" applyAlignment="1">
      <alignment horizontal="fill"/>
    </xf>
    <xf numFmtId="0" fontId="10" fillId="6" borderId="2" xfId="0" applyFont="1" applyFill="1" applyBorder="1"/>
    <xf numFmtId="166" fontId="10" fillId="6" borderId="11" xfId="0" applyNumberFormat="1" applyFont="1" applyFill="1" applyBorder="1"/>
    <xf numFmtId="0" fontId="16" fillId="3" borderId="2" xfId="0" applyFont="1" applyFill="1" applyBorder="1" applyAlignment="1">
      <alignment horizontal="left" vertical="center" wrapText="1"/>
    </xf>
    <xf numFmtId="0" fontId="11" fillId="3" borderId="2" xfId="1" applyFill="1" applyBorder="1" applyAlignment="1">
      <alignment horizontal="center" vertical="center" wrapText="1"/>
    </xf>
    <xf numFmtId="0" fontId="10" fillId="6" borderId="2" xfId="0" applyFont="1" applyFill="1" applyBorder="1" applyAlignment="1">
      <alignment horizontal="left" vertical="center" wrapText="1"/>
    </xf>
    <xf numFmtId="0" fontId="16" fillId="6" borderId="2" xfId="0" applyFont="1" applyFill="1" applyBorder="1" applyAlignment="1">
      <alignment horizontal="center" vertical="center" wrapText="1"/>
    </xf>
    <xf numFmtId="0" fontId="11" fillId="6" borderId="2" xfId="1" applyFill="1" applyBorder="1" applyAlignment="1">
      <alignment horizontal="center" vertical="center" wrapText="1"/>
    </xf>
    <xf numFmtId="0" fontId="18" fillId="6" borderId="2" xfId="0" applyFont="1" applyFill="1" applyBorder="1" applyAlignment="1">
      <alignment horizontal="left" vertical="center" wrapText="1"/>
    </xf>
    <xf numFmtId="0" fontId="16" fillId="8" borderId="2" xfId="0" applyFont="1" applyFill="1" applyBorder="1" applyAlignment="1">
      <alignment horizontal="center" vertical="center" wrapText="1"/>
    </xf>
    <xf numFmtId="0" fontId="11" fillId="0" borderId="2" xfId="1" applyBorder="1" applyAlignment="1">
      <alignment horizontal="center" vertical="center" wrapText="1"/>
    </xf>
    <xf numFmtId="9" fontId="0" fillId="0" borderId="4" xfId="0" applyNumberFormat="1" applyBorder="1"/>
    <xf numFmtId="0" fontId="11" fillId="0" borderId="0" xfId="1"/>
    <xf numFmtId="0" fontId="0" fillId="0" borderId="4" xfId="0" applyBorder="1" applyAlignment="1">
      <alignment vertical="center" wrapText="1"/>
    </xf>
    <xf numFmtId="0" fontId="11" fillId="0" borderId="2" xfId="1" applyBorder="1" applyAlignment="1">
      <alignment horizontal="fill"/>
    </xf>
    <xf numFmtId="168" fontId="10" fillId="5" borderId="11" xfId="0" applyNumberFormat="1" applyFont="1" applyFill="1" applyBorder="1" applyAlignment="1">
      <alignment horizontal="center"/>
    </xf>
    <xf numFmtId="167" fontId="0" fillId="0" borderId="4" xfId="0" applyNumberFormat="1" applyBorder="1" applyAlignment="1">
      <alignment horizontal="right" wrapText="1"/>
    </xf>
    <xf numFmtId="0" fontId="0" fillId="0" borderId="4" xfId="0" applyBorder="1" applyAlignment="1">
      <alignment horizontal="right" wrapText="1"/>
    </xf>
    <xf numFmtId="9" fontId="0" fillId="0" borderId="4" xfId="0" applyNumberFormat="1" applyBorder="1" applyAlignment="1">
      <alignment wrapText="1"/>
    </xf>
    <xf numFmtId="0" fontId="11" fillId="0" borderId="12" xfId="1" applyBorder="1" applyAlignment="1">
      <alignment horizontal="fill" wrapText="1"/>
    </xf>
    <xf numFmtId="0" fontId="12" fillId="0" borderId="12" xfId="1" applyFont="1" applyBorder="1" applyAlignment="1">
      <alignment horizontal="fill" wrapText="1"/>
    </xf>
    <xf numFmtId="0" fontId="8" fillId="4" borderId="12" xfId="0" applyFont="1" applyFill="1" applyBorder="1" applyAlignment="1">
      <alignment horizontal="fill" wrapText="1"/>
    </xf>
    <xf numFmtId="0" fontId="13" fillId="0" borderId="12" xfId="1" applyFont="1" applyFill="1" applyBorder="1" applyAlignment="1">
      <alignment horizontal="fill" wrapText="1"/>
    </xf>
    <xf numFmtId="0" fontId="12" fillId="0" borderId="12" xfId="1" applyFont="1" applyFill="1" applyBorder="1" applyAlignment="1">
      <alignment horizontal="fill" wrapText="1"/>
    </xf>
    <xf numFmtId="0" fontId="12" fillId="0" borderId="17" xfId="1" applyFont="1" applyFill="1" applyBorder="1" applyAlignment="1">
      <alignment wrapText="1"/>
    </xf>
    <xf numFmtId="0" fontId="10" fillId="0" borderId="12" xfId="0" applyFont="1" applyBorder="1" applyAlignment="1">
      <alignment horizontal="fill" wrapText="1"/>
    </xf>
    <xf numFmtId="0" fontId="14" fillId="4" borderId="25" xfId="0" applyFont="1" applyFill="1" applyBorder="1" applyAlignment="1">
      <alignment horizontal="fill" wrapText="1"/>
    </xf>
    <xf numFmtId="0" fontId="12" fillId="0" borderId="2" xfId="1" applyFont="1" applyBorder="1" applyAlignment="1">
      <alignment horizontal="fill" wrapText="1"/>
    </xf>
    <xf numFmtId="0" fontId="11" fillId="0" borderId="2" xfId="1" applyBorder="1" applyAlignment="1">
      <alignment horizontal="fill" wrapText="1"/>
    </xf>
    <xf numFmtId="0" fontId="12" fillId="0" borderId="2" xfId="1" applyFont="1" applyFill="1" applyBorder="1" applyAlignment="1">
      <alignment horizontal="fill" wrapText="1"/>
    </xf>
    <xf numFmtId="0" fontId="14" fillId="4" borderId="14" xfId="0" applyFont="1" applyFill="1" applyBorder="1" applyAlignment="1">
      <alignment wrapText="1"/>
    </xf>
    <xf numFmtId="0" fontId="12" fillId="0" borderId="20" xfId="1" applyFont="1" applyBorder="1" applyAlignment="1">
      <alignment horizontal="fill" wrapText="1"/>
    </xf>
    <xf numFmtId="0" fontId="10" fillId="0" borderId="31" xfId="0" applyFont="1" applyBorder="1" applyAlignment="1">
      <alignment wrapText="1"/>
    </xf>
    <xf numFmtId="0" fontId="10" fillId="5" borderId="2" xfId="0" applyFont="1" applyFill="1" applyBorder="1" applyAlignment="1">
      <alignment wrapText="1"/>
    </xf>
    <xf numFmtId="14" fontId="10" fillId="5" borderId="2" xfId="0" applyNumberFormat="1" applyFont="1" applyFill="1" applyBorder="1" applyAlignment="1">
      <alignment wrapText="1"/>
    </xf>
    <xf numFmtId="0" fontId="11" fillId="0" borderId="2" xfId="1" applyBorder="1" applyAlignment="1">
      <alignment horizontal="fill" vertical="center" wrapText="1"/>
    </xf>
    <xf numFmtId="0" fontId="10" fillId="5" borderId="34" xfId="0" applyFont="1" applyFill="1" applyBorder="1"/>
    <xf numFmtId="0" fontId="11" fillId="0" borderId="3" xfId="1" applyBorder="1" applyAlignment="1">
      <alignment horizontal="fill"/>
    </xf>
    <xf numFmtId="0" fontId="10" fillId="0" borderId="31" xfId="0" applyFont="1" applyBorder="1" applyAlignment="1">
      <alignment horizontal="right"/>
    </xf>
    <xf numFmtId="0" fontId="11" fillId="0" borderId="2" xfId="1" applyFill="1" applyBorder="1" applyAlignment="1">
      <alignment horizontal="fill" wrapText="1"/>
    </xf>
    <xf numFmtId="0" fontId="10" fillId="0" borderId="35" xfId="0" applyFont="1" applyBorder="1"/>
    <xf numFmtId="0" fontId="10" fillId="0" borderId="36" xfId="0" applyFont="1" applyBorder="1"/>
    <xf numFmtId="0" fontId="11" fillId="0" borderId="4" xfId="1" applyBorder="1"/>
    <xf numFmtId="0" fontId="11" fillId="0" borderId="2" xfId="1" applyBorder="1"/>
    <xf numFmtId="0" fontId="8" fillId="2" borderId="33" xfId="0" applyFont="1" applyFill="1" applyBorder="1" applyAlignment="1">
      <alignment horizontal="center" vertical="center"/>
    </xf>
    <xf numFmtId="0" fontId="10" fillId="5" borderId="37" xfId="0" applyFont="1" applyFill="1" applyBorder="1"/>
    <xf numFmtId="0" fontId="10" fillId="0" borderId="37" xfId="0" applyFont="1" applyBorder="1" applyAlignment="1">
      <alignment wrapText="1"/>
    </xf>
    <xf numFmtId="0" fontId="10" fillId="0" borderId="37" xfId="0" applyFont="1" applyBorder="1"/>
    <xf numFmtId="0" fontId="10" fillId="5" borderId="3" xfId="0" applyFont="1" applyFill="1" applyBorder="1"/>
    <xf numFmtId="0" fontId="8" fillId="2" borderId="17" xfId="0" applyFont="1" applyFill="1" applyBorder="1" applyAlignment="1">
      <alignment horizontal="center" vertical="center"/>
    </xf>
    <xf numFmtId="0" fontId="12" fillId="0" borderId="30" xfId="1" applyFont="1" applyBorder="1" applyAlignment="1">
      <alignment horizontal="fill"/>
    </xf>
    <xf numFmtId="0" fontId="8" fillId="2" borderId="35" xfId="0" applyFont="1" applyFill="1" applyBorder="1" applyAlignment="1">
      <alignment horizontal="center" vertical="center"/>
    </xf>
    <xf numFmtId="0" fontId="8" fillId="4" borderId="35" xfId="0" applyFont="1" applyFill="1" applyBorder="1" applyAlignment="1">
      <alignment horizontal="fill"/>
    </xf>
    <xf numFmtId="0" fontId="11" fillId="0" borderId="38" xfId="1" applyBorder="1"/>
    <xf numFmtId="0" fontId="11" fillId="0" borderId="11" xfId="1" applyBorder="1" applyAlignment="1">
      <alignment horizontal="fill"/>
    </xf>
    <xf numFmtId="0" fontId="11" fillId="0" borderId="39" xfId="1" applyBorder="1"/>
    <xf numFmtId="0" fontId="12" fillId="0" borderId="11" xfId="1" applyFont="1" applyBorder="1" applyAlignment="1">
      <alignment horizontal="fill"/>
    </xf>
    <xf numFmtId="0" fontId="8" fillId="4" borderId="11" xfId="0" applyFont="1" applyFill="1" applyBorder="1" applyAlignment="1">
      <alignment horizontal="fill"/>
    </xf>
    <xf numFmtId="0" fontId="13" fillId="0" borderId="11" xfId="1" applyFont="1" applyFill="1" applyBorder="1" applyAlignment="1">
      <alignment horizontal="fill"/>
    </xf>
    <xf numFmtId="0" fontId="12" fillId="0" borderId="11" xfId="1" applyFont="1" applyFill="1" applyBorder="1" applyAlignment="1">
      <alignment horizontal="fill"/>
    </xf>
    <xf numFmtId="0" fontId="12" fillId="0" borderId="39" xfId="1" applyFont="1" applyFill="1" applyBorder="1"/>
    <xf numFmtId="0" fontId="10" fillId="0" borderId="11" xfId="0" applyFont="1" applyBorder="1" applyAlignment="1">
      <alignment horizontal="fill"/>
    </xf>
    <xf numFmtId="0" fontId="14" fillId="4" borderId="40" xfId="0" applyFont="1" applyFill="1" applyBorder="1" applyAlignment="1">
      <alignment horizontal="fill"/>
    </xf>
    <xf numFmtId="0" fontId="14" fillId="4" borderId="4" xfId="0" applyFont="1" applyFill="1" applyBorder="1" applyAlignment="1">
      <alignment horizontal="fill"/>
    </xf>
    <xf numFmtId="0" fontId="0" fillId="0" borderId="2" xfId="0" applyBorder="1"/>
    <xf numFmtId="0" fontId="12" fillId="0" borderId="41" xfId="1" applyFont="1" applyBorder="1" applyAlignment="1">
      <alignment horizontal="fill"/>
    </xf>
    <xf numFmtId="0" fontId="11" fillId="6" borderId="12" xfId="1" applyFill="1" applyBorder="1" applyAlignment="1">
      <alignment horizontal="fill"/>
    </xf>
    <xf numFmtId="0" fontId="4" fillId="2" borderId="26"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28" xfId="0" applyFont="1" applyFill="1"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11" fillId="0" borderId="2" xfId="1" applyFill="1" applyBorder="1" applyAlignment="1">
      <alignment horizontal="center"/>
    </xf>
    <xf numFmtId="0" fontId="11" fillId="0" borderId="3" xfId="1" applyFill="1" applyBorder="1" applyAlignment="1">
      <alignment horizontal="center"/>
    </xf>
    <xf numFmtId="0" fontId="0" fillId="0" borderId="30" xfId="0" applyBorder="1" applyAlignment="1">
      <alignment horizontal="center"/>
    </xf>
    <xf numFmtId="0" fontId="11" fillId="0" borderId="2" xfId="1" applyBorder="1" applyAlignment="1">
      <alignment horizontal="center"/>
    </xf>
    <xf numFmtId="0" fontId="11" fillId="0" borderId="3" xfId="1" applyBorder="1" applyAlignment="1">
      <alignment horizontal="center"/>
    </xf>
    <xf numFmtId="0" fontId="15" fillId="2" borderId="21" xfId="0" applyFont="1" applyFill="1" applyBorder="1" applyAlignment="1">
      <alignment horizontal="center" vertical="center"/>
    </xf>
    <xf numFmtId="0" fontId="15" fillId="2" borderId="22"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14" fontId="0" fillId="0" borderId="2" xfId="0" applyNumberFormat="1" applyBorder="1" applyAlignment="1">
      <alignment horizontal="center"/>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partnersnet107.sharepoint.com/:b:/s/Programs/EcjuEI0TYk9KtciqDbSypKYB35f4zlm4k6Nx23LpDwJo6Q?e=9rmiZE" TargetMode="External"/><Relationship Id="rId13" Type="http://schemas.openxmlformats.org/officeDocument/2006/relationships/hyperlink" Target="https://partnersnet107.sharepoint.com/:f:/s/Programs/Etm7Xts2OztFt7EDXB8ObRoBYiywd8lROkuLRjyQBGgMEQ?e=z0epWk" TargetMode="External"/><Relationship Id="rId18" Type="http://schemas.openxmlformats.org/officeDocument/2006/relationships/hyperlink" Target="https://docs.google.com/document/d/1h3B6cpae20V12f1qt_tBNyuVG9wQU176Z_nc-3MfSm0/edit?usp=sharing" TargetMode="External"/><Relationship Id="rId3" Type="http://schemas.openxmlformats.org/officeDocument/2006/relationships/hyperlink" Target="https://partnersnet107.sharepoint.com/sites/Programs/CPU/USAID800/Donor/Award/Designation%20Authority%20Letters" TargetMode="External"/><Relationship Id="rId7" Type="http://schemas.openxmlformats.org/officeDocument/2006/relationships/hyperlink" Target="https://partnersnet107.sharepoint.com/:b:/s/Programs/EeT4TqURT7hBobw29fimSOQB3xtnoyGvuFUkcRTe7sWdNA?e=SqrzdC" TargetMode="External"/><Relationship Id="rId12" Type="http://schemas.openxmlformats.org/officeDocument/2006/relationships/hyperlink" Target="https://partnersnet107.sharepoint.com/:w:/s/Programs/Ec22C256dE9OgzZkz5s2zcwB6z-X9gtnYBAOe879uNA5Rg?e=5MXWlt" TargetMode="External"/><Relationship Id="rId17" Type="http://schemas.openxmlformats.org/officeDocument/2006/relationships/hyperlink" Target="https://partnersnet107.sharepoint.com/:f:/s/Programs/Erm3qws9On5Pk-VrwtuNiR0BYBaPb7gSIL2QQkXYrEQcRQ?e=dsWiA3" TargetMode="External"/><Relationship Id="rId2" Type="http://schemas.openxmlformats.org/officeDocument/2006/relationships/hyperlink" Target="https://partnersnet107.sharepoint.com/sites/Programs/CPU/USAID800/Donor/Award/Designation%20Authority%20Letters" TargetMode="External"/><Relationship Id="rId16" Type="http://schemas.openxmlformats.org/officeDocument/2006/relationships/hyperlink" Target="https://partnersnet107.sharepoint.com/:f:/s/Programs/Erm3qws9On5Pk-VrwtuNiR0BYBaPb7gSIL2QQkXYrEQcRQ?e=dsWiA3" TargetMode="External"/><Relationship Id="rId1" Type="http://schemas.openxmlformats.org/officeDocument/2006/relationships/hyperlink" Target="https://partnersnet107.sharepoint.com/sites/Programs/CPU/USAID800/Donor/Budget%20Worksheet%20-%20NO%20TOCAR%20NO%20MOVER/2022%20NICRA.pdf" TargetMode="External"/><Relationship Id="rId6" Type="http://schemas.openxmlformats.org/officeDocument/2006/relationships/hyperlink" Target="https://partnersnet107.sharepoint.com/:b:/s/Programs/EYM9E6QYW1VDt-so__mwyikBB4EQLBSb9IHkfqS52KHO3g?e=IKdmAd" TargetMode="External"/><Relationship Id="rId11" Type="http://schemas.openxmlformats.org/officeDocument/2006/relationships/hyperlink" Target="https://partnersnet107.sharepoint.com/:u:/s/Programs/EQp_40ICIiJFkydsdgYIpS8BJgCgVSk_lS-TSaDaNtS4SA?e=vekBZM" TargetMode="External"/><Relationship Id="rId5" Type="http://schemas.openxmlformats.org/officeDocument/2006/relationships/hyperlink" Target="https://partnersnet107.sharepoint.com/:b:/s/Programs/Ee09zsTJxyRPskHDt6QSBqcBUrRuxCvNZCqhANaKtoI9-w?e=0kLO0y" TargetMode="External"/><Relationship Id="rId15" Type="http://schemas.openxmlformats.org/officeDocument/2006/relationships/hyperlink" Target="https://partnersnet107.sharepoint.com/:f:/s/Programs/EpsaMl-EfLxMj0jJlD_9vvkB9NtGObuo-tHN4axAel9NxA?e=vp7T3D" TargetMode="External"/><Relationship Id="rId10" Type="http://schemas.openxmlformats.org/officeDocument/2006/relationships/hyperlink" Target="https://partnersnet107.sharepoint.com/:b:/s/Programs/ES0BZHPdvYRNkC26Qdy_ILwBi1AMe-lw3gu6j7CuIuqDpw?e=iX7wvE" TargetMode="External"/><Relationship Id="rId19" Type="http://schemas.openxmlformats.org/officeDocument/2006/relationships/printerSettings" Target="../printerSettings/printerSettings2.bin"/><Relationship Id="rId4" Type="http://schemas.openxmlformats.org/officeDocument/2006/relationships/hyperlink" Target="https://partnersnet107.sharepoint.com/:b:/s/Programs/ESRXJT_eJjpFuWFDH5xeNgUBBCRcTsnwVnBI8RRgmqgFYw?e=QTvz29" TargetMode="External"/><Relationship Id="rId9" Type="http://schemas.openxmlformats.org/officeDocument/2006/relationships/hyperlink" Target="https://partnersnet107.sharepoint.com/:b:/s/Programs/Eaour-T1vmpOjkxeJOxJqI0BOTg-IRA5VusS0f2PgwZYLA?e=Dzo10a" TargetMode="External"/><Relationship Id="rId14" Type="http://schemas.openxmlformats.org/officeDocument/2006/relationships/hyperlink" Target="https://partnersnet107.sharepoint.com/:f:/s/Programs/EpsaMl-EfLxMj0jJlD_9vvkB9NtGObuo-tHN4axAel9NxA?e=vp7T3D"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partnersnet107.sharepoint.com/:f:/s/Programs/EoS7126WBmdJsuGr4b8xbEEBa4UCTbqFWWZZQ88SCdWOxg?e=NZxKw8" TargetMode="External"/><Relationship Id="rId13" Type="http://schemas.openxmlformats.org/officeDocument/2006/relationships/hyperlink" Target="https://partnersnet107.sharepoint.com/:f:/s/Programs/EnFo2P5UAlxIieM1itvXK6cBrmtdTKu0dq0ZQoF-VGpViA?e=JNnwvN" TargetMode="External"/><Relationship Id="rId3" Type="http://schemas.openxmlformats.org/officeDocument/2006/relationships/hyperlink" Target="https://partnersnet107.sharepoint.com/:f:/s/Programs/EmKWNqaGFGdPhQU3RT7X5EgB7AgloRYPZLHk4rFrgVgWuw?e=DmMCT6" TargetMode="External"/><Relationship Id="rId7" Type="http://schemas.openxmlformats.org/officeDocument/2006/relationships/hyperlink" Target="https://partnersnet107.sharepoint.com/:f:/s/Programs/EoS7126WBmdJsuGr4b8xbEEBa4UCTbqFWWZZQ88SCdWOxg?e=NZxKw8" TargetMode="External"/><Relationship Id="rId12" Type="http://schemas.openxmlformats.org/officeDocument/2006/relationships/hyperlink" Target="https://docs.google.com/document/d/1h3B6cpae20V12f1qt_tBNyuVG9wQU176Z_nc-3MfSm0/edit?usp=sharing" TargetMode="External"/><Relationship Id="rId17" Type="http://schemas.openxmlformats.org/officeDocument/2006/relationships/printerSettings" Target="../printerSettings/printerSettings3.bin"/><Relationship Id="rId2" Type="http://schemas.openxmlformats.org/officeDocument/2006/relationships/hyperlink" Target="https://partnersnet107.sharepoint.com/:f:/s/Programs/EmKWNqaGFGdPhQU3RT7X5EgB7AgloRYPZLHk4rFrgVgWuw?e=DmMCT6" TargetMode="External"/><Relationship Id="rId16" Type="http://schemas.openxmlformats.org/officeDocument/2006/relationships/hyperlink" Target="https://partnersnet107.sharepoint.com/:w:/s/Programs/EeQUXtHmyVRNsBV82lEMB2wBie4AsUHEp7ZiDL9qSczR_Q?e=pvQOPb" TargetMode="External"/><Relationship Id="rId1" Type="http://schemas.openxmlformats.org/officeDocument/2006/relationships/hyperlink" Target="https://partnersnet107.sharepoint.com/:f:/s/Programs/Eqx9jJwRWdNIvgcEpVRPqhcB2SJvaNfNOgNdfrYyTzNf_g?e=5YZcxm" TargetMode="External"/><Relationship Id="rId6" Type="http://schemas.openxmlformats.org/officeDocument/2006/relationships/hyperlink" Target="https://partnersnet107.sharepoint.com/:f:/s/Programs/EmBOtgWoqJ5IhYyqNexNJK0B0h42f7keLvPjOjZP3CSrzw?e=XjmPTI" TargetMode="External"/><Relationship Id="rId11" Type="http://schemas.openxmlformats.org/officeDocument/2006/relationships/hyperlink" Target="https://partnersnet107.sharepoint.com/:f:/s/Programs/EoqTQ3xWDkBEmd68C05oWjMB7hLklCbw9kATnPIRyT3YrA?e=WR1SKR" TargetMode="External"/><Relationship Id="rId5" Type="http://schemas.openxmlformats.org/officeDocument/2006/relationships/hyperlink" Target="https://partnersnet107.sharepoint.com/:f:/s/Programs/Erjx8sKNPmFKunGIHu5h0HQBhKJsIpOatMqvy1sY8lgPYA?e=XyDz8h" TargetMode="External"/><Relationship Id="rId15" Type="http://schemas.openxmlformats.org/officeDocument/2006/relationships/hyperlink" Target="https://partnersnet107.sharepoint.com/:f:/s/Programs/Eg3Y-rvWFxNOi3KxzzDwLNMBK39l-LAl89ifTqkAzWnBsg?e=mZoHmF" TargetMode="External"/><Relationship Id="rId10" Type="http://schemas.openxmlformats.org/officeDocument/2006/relationships/hyperlink" Target="https://partnersnet107.sharepoint.com/:f:/s/Programs/EpDG7CUoPyhCpHJXSV0R1tUBzXSRurAJxyQacCH3qBfXGw?e=NHq637" TargetMode="External"/><Relationship Id="rId4" Type="http://schemas.openxmlformats.org/officeDocument/2006/relationships/hyperlink" Target="https://partnersnet107.sharepoint.com/:f:/s/Programs/EpDG7CUoPyhCpHJXSV0R1tUBzXSRurAJxyQacCH3qBfXGw?e=nYhklG" TargetMode="External"/><Relationship Id="rId9" Type="http://schemas.openxmlformats.org/officeDocument/2006/relationships/hyperlink" Target="https://partnersnet107.sharepoint.com/:f:/s/Programs/EgGZqlHChItKlikdaGvkk3wBwoLZFBuHi3QwKVMZkZwCuQ?e=NDcUGK" TargetMode="External"/><Relationship Id="rId14" Type="http://schemas.openxmlformats.org/officeDocument/2006/relationships/hyperlink" Target="https://partnersnet107.sharepoint.com/:f:/s/Programs/Erjx8sKNPmFKunGIHu5h0HQBhKJsIpOatMqvy1sY8lgPYA?e=PLYAfC"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partnersnet107.sharepoint.com/:b:/s/Programs/EaMViAswkFpIgtsp3rS8UgsBqwklrngFFk77wl3v8EmGSg?e=FEk2sV" TargetMode="External"/><Relationship Id="rId13" Type="http://schemas.openxmlformats.org/officeDocument/2006/relationships/hyperlink" Target="https://partnersnet107.sharepoint.com/:f:/s/Programs/EhM9tCEbm6xPqPjcso95iCMBTp8fsa4AI9yOzKpzC1ivQg?e=D318su" TargetMode="External"/><Relationship Id="rId18" Type="http://schemas.openxmlformats.org/officeDocument/2006/relationships/hyperlink" Target="https://partnersnet107.sharepoint.com/:b:/s/Programs/EX2WqwI4HgRAlrJSJV8fAHgB-FJAWe2SNZl3BMf-nHx7UA?e=KVgMfI" TargetMode="External"/><Relationship Id="rId26" Type="http://schemas.openxmlformats.org/officeDocument/2006/relationships/hyperlink" Target="https://partnersnet107.sharepoint.com/:b:/s/Programs/EZElEvvixTRFrl9sAGLrBW4BV87y5P8zHtx1GjYYKr9fUw?e=GspByv" TargetMode="External"/><Relationship Id="rId3" Type="http://schemas.openxmlformats.org/officeDocument/2006/relationships/hyperlink" Target="https://partnersnet107.sharepoint.com/:f:/s/Programs/Eq0iMAmT6UpBn4GvwqWmzjUBuFhF_TrL19Bsvn0UDF9EMg?e=yCYGbU" TargetMode="External"/><Relationship Id="rId21" Type="http://schemas.openxmlformats.org/officeDocument/2006/relationships/hyperlink" Target="https://partnersnet107.sharepoint.com/:b:/s/Programs/Eb_fAzp6FJ9PmDlT0V3cztgBNztP3DJd5UvHKu07eugBFQ?e=7nFZEO" TargetMode="External"/><Relationship Id="rId7" Type="http://schemas.openxmlformats.org/officeDocument/2006/relationships/hyperlink" Target="https://partnersnet107.sharepoint.com/:b:/s/Programs/Ef83SOVgDGJLgBpVnCsNYxYBKwymbWuFiPbspBToV2oJxA?e=LucuN3" TargetMode="External"/><Relationship Id="rId12" Type="http://schemas.openxmlformats.org/officeDocument/2006/relationships/hyperlink" Target="https://partnersnet107.sharepoint.com/:f:/s/Programs/EpLeTlcO_HdOjb9ph87cddgB-n_Acx5zjYW_p_6O2uHAOw?e=a8QI0e" TargetMode="External"/><Relationship Id="rId17" Type="http://schemas.openxmlformats.org/officeDocument/2006/relationships/hyperlink" Target="https://partnersnet107.sharepoint.com/:b:/s/Programs/EQFgPbbD2P9DsXrm0fLYo9wB8UxtcFDscKYTgxknl8Uw4Q?e=T0BUl9" TargetMode="External"/><Relationship Id="rId25" Type="http://schemas.openxmlformats.org/officeDocument/2006/relationships/hyperlink" Target="https://partnersnet107.sharepoint.com/:b:/s/Programs/EYMnAyY3xXNOvMKcPUmKYyEB4BItOPZBUZZRQObX7eGa6A?e=3Y9ho1" TargetMode="External"/><Relationship Id="rId2" Type="http://schemas.openxmlformats.org/officeDocument/2006/relationships/hyperlink" Target="https://partnersnet107.sharepoint.com/:f:/s/Programs/EvdpX7dY_BZPlhcoPsOSY2UBu7mgzXRhTQm6nB9cW8sUhw?e=0BZuN0" TargetMode="External"/><Relationship Id="rId16" Type="http://schemas.openxmlformats.org/officeDocument/2006/relationships/hyperlink" Target="https://partnersnet107.sharepoint.com/:b:/s/Programs/EWMthTrKqw1DrAYQ7V6eZi0BPb0FW5CLphygaVvaMf0taw?e=vK1MYX" TargetMode="External"/><Relationship Id="rId20" Type="http://schemas.openxmlformats.org/officeDocument/2006/relationships/hyperlink" Target="https://partnersnet107.sharepoint.com/:b:/s/Programs/EQUjd6bMjepGtfioV3hrKscBk2vnvhcQfEFf0NosypbaBQ?e=0nkRbE" TargetMode="External"/><Relationship Id="rId29" Type="http://schemas.openxmlformats.org/officeDocument/2006/relationships/comments" Target="../comments1.xml"/><Relationship Id="rId1" Type="http://schemas.openxmlformats.org/officeDocument/2006/relationships/hyperlink" Target="https://partnersnet107.sharepoint.com/:f:/s/Programs/EpOLuuOg3h9GiSEzDjKKcsABHebFb13ORCQ_kV1jpQEyxA?e=caQUU2" TargetMode="External"/><Relationship Id="rId6" Type="http://schemas.openxmlformats.org/officeDocument/2006/relationships/hyperlink" Target="https://partnersnet107.sharepoint.com/:b:/s/Programs/EYP0khSFVTFBq9BYAbSdf00BbG4c-BBbhjFBpCfROmSnMg?e=MDxUMi" TargetMode="External"/><Relationship Id="rId11" Type="http://schemas.openxmlformats.org/officeDocument/2006/relationships/hyperlink" Target="https://partnersnet107.sharepoint.com/:f:/s/Programs/EjrHqwuqrS1Bh7WGyUgalxkBC1SH_YnaIJUThk9ruTgcdA?e=eb7dgQ" TargetMode="External"/><Relationship Id="rId24" Type="http://schemas.openxmlformats.org/officeDocument/2006/relationships/hyperlink" Target="https://partnersnet107.sharepoint.com/:b:/s/Programs/EWw0WeLrc9lHnNP5VjuuucsBUo1adB3oSae3CW2k_wr_Iw?e=NXK3sy" TargetMode="External"/><Relationship Id="rId5" Type="http://schemas.openxmlformats.org/officeDocument/2006/relationships/hyperlink" Target="https://partnersnet107.sharepoint.com/:b:/s/Programs/EX4-tejLkYlPknXl4za22T8B2YheETcYpMOGF8DW-13ojA?e=fjsboR" TargetMode="External"/><Relationship Id="rId15" Type="http://schemas.openxmlformats.org/officeDocument/2006/relationships/hyperlink" Target="https://partnersnet107.sharepoint.com/:b:/s/Programs/EQSmxoBP2xVEhhEMyFqzKTEBRVF8GGp0_5Rr9Ghxt8C9sw?e=YaivVk" TargetMode="External"/><Relationship Id="rId23" Type="http://schemas.openxmlformats.org/officeDocument/2006/relationships/hyperlink" Target="https://partnersnet107.sharepoint.com/:b:/s/Programs/Ef4g6wGVg5lLpU-CfDZ4wKABnBy8NzS-5z4kkfDajAZ6tw?e=A2wIZv" TargetMode="External"/><Relationship Id="rId28" Type="http://schemas.openxmlformats.org/officeDocument/2006/relationships/vmlDrawing" Target="../drawings/vmlDrawing1.vml"/><Relationship Id="rId10" Type="http://schemas.openxmlformats.org/officeDocument/2006/relationships/hyperlink" Target="https://partnersnet107.sharepoint.com/:b:/s/Programs/EVK3KJUUc_FBhuYN41xuJGABvq_2HT03xqTkKp8ZPp5-MQ?e=0y4Y8o" TargetMode="External"/><Relationship Id="rId19" Type="http://schemas.openxmlformats.org/officeDocument/2006/relationships/hyperlink" Target="https://partnersnet107.sharepoint.com/:b:/s/Programs/EbkV23BlsBVAs7depROlX7MB-YUPiAckGyVDlfQ9hl1jAw?e=W6aQPJ" TargetMode="External"/><Relationship Id="rId4" Type="http://schemas.openxmlformats.org/officeDocument/2006/relationships/hyperlink" Target="https://partnersnet107.sharepoint.com/:u:/s/Programs/EVui6cJo261EiDasx1gzLRMBOKTHfmgFqG8ULM9l8v8_jQ?e=OEOcdH" TargetMode="External"/><Relationship Id="rId9" Type="http://schemas.openxmlformats.org/officeDocument/2006/relationships/hyperlink" Target="https://partnersnet107.sharepoint.com/:b:/s/Programs/EX7KZ6sr9hRBrV3pMJW4aYgBMsjsA7Qsfu0BIcFAeTXUtQ?e=foJwaM" TargetMode="External"/><Relationship Id="rId14" Type="http://schemas.openxmlformats.org/officeDocument/2006/relationships/hyperlink" Target="https://partnersnet107.sharepoint.com/:f:/s/Programs/EuP8RIvvX1FJorigFg_ln8MBGciUhnjKQf2fp3F3XzFSDw?e=gbgnyR" TargetMode="External"/><Relationship Id="rId22" Type="http://schemas.openxmlformats.org/officeDocument/2006/relationships/hyperlink" Target="https://partnersnet107.sharepoint.com/:b:/s/Programs/EaHg50uEqPpBtWsh5nFnU74BpSVL60ZvjIhBnRS8Efj8nA?e=nep3OH" TargetMode="External"/><Relationship Id="rId27"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partnersnet107.sharepoint.com/:f:/s/Programs/EumzFEwOKC1EmL9xzBRsC2YBUaPxfUCQVbu-SVcrROWCcA?e=LiLfhr" TargetMode="External"/><Relationship Id="rId3" Type="http://schemas.openxmlformats.org/officeDocument/2006/relationships/hyperlink" Target="https://partnersnet107.sharepoint.com/:b:/s/Programs/Edz_11xn-JtPhgHxi4TizIAB0QVG6fLiXdW8BZU5s69TLQ?e=Mbu9YH" TargetMode="External"/><Relationship Id="rId7" Type="http://schemas.openxmlformats.org/officeDocument/2006/relationships/hyperlink" Target="https://partnersnet107.sharepoint.com/:f:/s/Programs/EtAHPLi1Y1NJrFnA02N0SjABaxDX8zceXEYUqipn-p42ZA?e=buJQU0" TargetMode="External"/><Relationship Id="rId2" Type="http://schemas.openxmlformats.org/officeDocument/2006/relationships/hyperlink" Target="https://partnersnet107.sharepoint.com/:b:/s/Programs/ES9snb3i3b1MkeoPuNjkceIBUr6lqnrFq2WDFPE434JIGQ?e=8l3ITi" TargetMode="External"/><Relationship Id="rId1" Type="http://schemas.openxmlformats.org/officeDocument/2006/relationships/hyperlink" Target="https://partnersnet107.sharepoint.com/:b:/s/Programs/EVCoIQNvc8FCrpIu0erdIrUBjvMrjBDoZbEQbCCNM7MoXA?e=vg1lur" TargetMode="External"/><Relationship Id="rId6" Type="http://schemas.openxmlformats.org/officeDocument/2006/relationships/hyperlink" Target="https://partnersnet107.sharepoint.com/:b:/s/Programs/EVhA1wtmcI9BszGQpzyZodwBXsCgaFkZ0kpp3Jwcj5AHEQ?e=NszgIx" TargetMode="External"/><Relationship Id="rId5" Type="http://schemas.openxmlformats.org/officeDocument/2006/relationships/hyperlink" Target="https://partnersnet107.sharepoint.com/:b:/s/Programs/EU4NLrbrDLVFkDRYBzzGMwMBoGkf3rVFZn1xZlsMFZqoXQ?e=ZbDZZx" TargetMode="External"/><Relationship Id="rId10" Type="http://schemas.openxmlformats.org/officeDocument/2006/relationships/hyperlink" Target="https://partnersnet107.sharepoint.com/:f:/s/Programs/ElDJlraPTgtMrZzRzj_oJzIB3_Chkhr_gjKG_T_4Vw3NcA?e=tCEMbA" TargetMode="External"/><Relationship Id="rId4" Type="http://schemas.openxmlformats.org/officeDocument/2006/relationships/hyperlink" Target="https://partnersnet107.sharepoint.com/:b:/s/Programs/EV-wdpa4BVFApxkI2qx_qgcB4YENGtZX4v1_aw6G6E-RNA?e=Fo3lZv" TargetMode="External"/><Relationship Id="rId9" Type="http://schemas.openxmlformats.org/officeDocument/2006/relationships/hyperlink" Target="https://partnersnet107.sharepoint.com/:f:/s/Programs/Epg27lbgHIVNrrBDKM8dqVAB7JNw20R5wMy1Tl3ug-tdDg?e=QyXxuj"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partnersnet107.sharepoint.com/:f:/s/Programs/Ev0AHdAqhWlPmDCgFU--fPABVWPFZYDR-es8Q7bY2Izaxw?e=mx0eUK" TargetMode="External"/><Relationship Id="rId3" Type="http://schemas.openxmlformats.org/officeDocument/2006/relationships/hyperlink" Target="https://partnersnet107.sharepoint.com/:b:/s/Programs/EaFUc9eQBKdElr63g79VhTgBmcjjCrdtL5SuSaD9NeDMHw?e=GhreUS" TargetMode="External"/><Relationship Id="rId7" Type="http://schemas.openxmlformats.org/officeDocument/2006/relationships/hyperlink" Target="https://partnersnet107.sharepoint.com/:b:/s/Programs/Ee-_aKa30WxEsGN6pC8sY5kBdcmnX0fwydHVGh0LYiWgEQ?e=htltYS" TargetMode="External"/><Relationship Id="rId2" Type="http://schemas.openxmlformats.org/officeDocument/2006/relationships/hyperlink" Target="https://partnersnet107.sharepoint.com/:b:/s/Programs/EQRicSJg_wBKuk4akW7tybcBbXv-wvmEhShATokpWDnZew?e=MAv3RK" TargetMode="External"/><Relationship Id="rId1" Type="http://schemas.openxmlformats.org/officeDocument/2006/relationships/hyperlink" Target="https://partnersnet107.sharepoint.com/:b:/s/Programs/ER4R3s87oQVDgoARjxmhmHMB31JcX2zNhxF-TUtEtetnJQ?e=jnqYph" TargetMode="External"/><Relationship Id="rId6" Type="http://schemas.openxmlformats.org/officeDocument/2006/relationships/hyperlink" Target="https://partnersnet107.sharepoint.com/:b:/s/Programs/EXzrmKZgv_FMn6xvYLWYUrcBlctIeCln6MEft2qyP5CSLQ?e=7VS80Z" TargetMode="External"/><Relationship Id="rId5" Type="http://schemas.openxmlformats.org/officeDocument/2006/relationships/hyperlink" Target="https://partnersnet107.sharepoint.com/:b:/s/Programs/EZ9LgnRwZlxMn1RvJiSkU_IBA8YTtDrNmMPEISxzZ4-5-g?e=NMn4KY" TargetMode="External"/><Relationship Id="rId10" Type="http://schemas.openxmlformats.org/officeDocument/2006/relationships/hyperlink" Target="https://partnersnet107.sharepoint.com/:f:/s/Programs/EpHaauUUDcxAvOVKguMNFAsBn6qpHaOciNc8NesxoeuEWw?e=QCF8Xg" TargetMode="External"/><Relationship Id="rId4" Type="http://schemas.openxmlformats.org/officeDocument/2006/relationships/hyperlink" Target="https://partnersnet107.sharepoint.com/:b:/s/Programs/EetJLcDySjhIiAbqCjdCdVIBbDc30qBIONDRuXv3ClMdhA?e=FqZmMg" TargetMode="External"/><Relationship Id="rId9" Type="http://schemas.openxmlformats.org/officeDocument/2006/relationships/hyperlink" Target="https://partnersnet107.sharepoint.com/:f:/s/Programs/Eixo_2_y50RFmKA3I4d4CSsB07nOYQuSRMTDqrCti6NcfQ?e=6MczD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B9CF7-1E39-4721-80D6-FA01C6E78F24}">
  <dimension ref="A1:D21"/>
  <sheetViews>
    <sheetView workbookViewId="0">
      <selection activeCell="A12" sqref="A12"/>
    </sheetView>
  </sheetViews>
  <sheetFormatPr baseColWidth="10" defaultColWidth="9" defaultRowHeight="15" x14ac:dyDescent="0.2"/>
  <sheetData>
    <row r="1" spans="1:4" x14ac:dyDescent="0.2">
      <c r="A1" s="70" t="s">
        <v>0</v>
      </c>
    </row>
    <row r="2" spans="1:4" x14ac:dyDescent="0.2">
      <c r="A2" s="2" t="s">
        <v>1</v>
      </c>
    </row>
    <row r="3" spans="1:4" x14ac:dyDescent="0.2">
      <c r="A3" s="2" t="s">
        <v>2</v>
      </c>
    </row>
    <row r="4" spans="1:4" x14ac:dyDescent="0.2">
      <c r="A4" s="2" t="s">
        <v>3</v>
      </c>
    </row>
    <row r="5" spans="1:4" x14ac:dyDescent="0.2">
      <c r="A5" s="2" t="s">
        <v>4</v>
      </c>
    </row>
    <row r="6" spans="1:4" x14ac:dyDescent="0.2">
      <c r="A6" s="2" t="s">
        <v>5</v>
      </c>
    </row>
    <row r="7" spans="1:4" x14ac:dyDescent="0.2">
      <c r="A7" s="2"/>
    </row>
    <row r="8" spans="1:4" x14ac:dyDescent="0.2">
      <c r="A8" s="70" t="s">
        <v>6</v>
      </c>
    </row>
    <row r="9" spans="1:4" x14ac:dyDescent="0.2">
      <c r="A9" s="1" t="s">
        <v>7</v>
      </c>
    </row>
    <row r="10" spans="1:4" x14ac:dyDescent="0.2">
      <c r="A10" s="1"/>
      <c r="B10" s="1"/>
      <c r="C10" s="1"/>
      <c r="D10" s="1"/>
    </row>
    <row r="11" spans="1:4" x14ac:dyDescent="0.2">
      <c r="A11" s="70" t="s">
        <v>8</v>
      </c>
      <c r="B11" s="1"/>
      <c r="C11" s="1"/>
      <c r="D11" s="1"/>
    </row>
    <row r="12" spans="1:4" x14ac:dyDescent="0.2">
      <c r="A12" s="1" t="s">
        <v>9</v>
      </c>
      <c r="B12" s="1"/>
      <c r="C12" s="1"/>
      <c r="D12" s="1"/>
    </row>
    <row r="13" spans="1:4" x14ac:dyDescent="0.2">
      <c r="A13" s="1" t="s">
        <v>10</v>
      </c>
      <c r="B13" s="1"/>
      <c r="C13" s="1"/>
      <c r="D13" s="1"/>
    </row>
    <row r="14" spans="1:4" x14ac:dyDescent="0.2">
      <c r="A14" s="1"/>
      <c r="B14" s="1"/>
      <c r="C14" s="1"/>
      <c r="D14" s="1"/>
    </row>
    <row r="15" spans="1:4" x14ac:dyDescent="0.2">
      <c r="A15" s="1"/>
      <c r="B15" s="1"/>
      <c r="C15" s="1"/>
      <c r="D15" s="1"/>
    </row>
    <row r="16" spans="1:4" x14ac:dyDescent="0.2">
      <c r="A16" s="1"/>
      <c r="B16" s="1"/>
      <c r="C16" s="1"/>
      <c r="D16" s="1"/>
    </row>
    <row r="17" spans="1:4" x14ac:dyDescent="0.2">
      <c r="A17" s="1"/>
      <c r="B17" s="1"/>
      <c r="C17" s="1"/>
      <c r="D17" s="1"/>
    </row>
    <row r="18" spans="1:4" x14ac:dyDescent="0.2">
      <c r="A18" s="1"/>
      <c r="B18" s="1"/>
      <c r="C18" s="1"/>
      <c r="D18" s="1"/>
    </row>
    <row r="19" spans="1:4" x14ac:dyDescent="0.2">
      <c r="A19" s="1"/>
      <c r="B19" s="1"/>
      <c r="C19" s="1"/>
      <c r="D19" s="1"/>
    </row>
    <row r="20" spans="1:4" x14ac:dyDescent="0.2">
      <c r="A20" s="1"/>
      <c r="B20" s="1"/>
      <c r="C20" s="1"/>
      <c r="D20" s="1"/>
    </row>
    <row r="21" spans="1:4" x14ac:dyDescent="0.2">
      <c r="A21" s="1"/>
      <c r="B21" s="1"/>
      <c r="C21" s="1"/>
      <c r="D21"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796C-18E5-458B-9F9E-AA0721C2CED4}">
  <sheetPr>
    <tabColor theme="8" tint="0.59999389629810485"/>
  </sheetPr>
  <dimension ref="A1:I57"/>
  <sheetViews>
    <sheetView showGridLines="0" topLeftCell="A28" zoomScale="60" zoomScaleNormal="60" workbookViewId="0">
      <selection activeCell="B46" sqref="B46"/>
    </sheetView>
  </sheetViews>
  <sheetFormatPr baseColWidth="10" defaultColWidth="9" defaultRowHeight="15" x14ac:dyDescent="0.2"/>
  <cols>
    <col min="1" max="1" width="64.5" customWidth="1"/>
    <col min="2" max="2" width="10.33203125" customWidth="1"/>
    <col min="3" max="3" width="27.83203125" bestFit="1" customWidth="1"/>
    <col min="4" max="4" width="19.6640625" bestFit="1" customWidth="1"/>
    <col min="5" max="5" width="27.5" bestFit="1" customWidth="1"/>
    <col min="6" max="6" width="43.5" customWidth="1"/>
    <col min="7" max="8" width="93" style="93" bestFit="1" customWidth="1"/>
  </cols>
  <sheetData>
    <row r="1" spans="1:9" ht="30" customHeight="1" x14ac:dyDescent="0.2">
      <c r="A1" s="190" t="s">
        <v>11</v>
      </c>
      <c r="B1" s="191"/>
      <c r="C1" s="191"/>
      <c r="D1" s="191"/>
      <c r="E1" s="191"/>
      <c r="F1" s="191"/>
      <c r="G1" s="191"/>
      <c r="H1" s="192"/>
    </row>
    <row r="2" spans="1:9" s="6" customFormat="1" ht="20" x14ac:dyDescent="0.25">
      <c r="A2" s="3" t="s">
        <v>12</v>
      </c>
      <c r="B2" s="193" t="s">
        <v>13</v>
      </c>
      <c r="C2" s="193"/>
      <c r="D2" s="193"/>
      <c r="E2" s="194"/>
      <c r="F2" s="4" t="s">
        <v>14</v>
      </c>
      <c r="G2" s="88">
        <v>35000000</v>
      </c>
      <c r="H2" s="94" t="s">
        <v>15</v>
      </c>
    </row>
    <row r="3" spans="1:9" ht="18" x14ac:dyDescent="0.2">
      <c r="A3" s="3" t="s">
        <v>16</v>
      </c>
      <c r="B3" s="193" t="s">
        <v>17</v>
      </c>
      <c r="C3" s="193"/>
      <c r="D3" s="193"/>
      <c r="E3" s="194"/>
      <c r="F3" s="4" t="s">
        <v>18</v>
      </c>
      <c r="G3" s="88">
        <f>7900000+5500000+2587000+6213000</f>
        <v>22200000</v>
      </c>
      <c r="H3" s="95" t="s">
        <v>19</v>
      </c>
      <c r="I3" t="s">
        <v>20</v>
      </c>
    </row>
    <row r="4" spans="1:9" ht="18" x14ac:dyDescent="0.2">
      <c r="A4" s="3" t="s">
        <v>21</v>
      </c>
      <c r="B4" s="193" t="s">
        <v>22</v>
      </c>
      <c r="C4" s="193"/>
      <c r="D4" s="193"/>
      <c r="E4" s="194"/>
      <c r="F4" s="4" t="s">
        <v>23</v>
      </c>
      <c r="G4" s="88">
        <v>0</v>
      </c>
      <c r="H4" s="96" t="s">
        <v>24</v>
      </c>
    </row>
    <row r="5" spans="1:9" ht="18" x14ac:dyDescent="0.2">
      <c r="A5" s="3" t="s">
        <v>25</v>
      </c>
      <c r="B5" s="193" t="s">
        <v>26</v>
      </c>
      <c r="C5" s="193"/>
      <c r="D5" s="193"/>
      <c r="E5" s="194"/>
      <c r="F5" s="4" t="s">
        <v>27</v>
      </c>
      <c r="G5" s="88">
        <v>1059006.011575527</v>
      </c>
      <c r="H5" s="96"/>
    </row>
    <row r="6" spans="1:9" ht="18" x14ac:dyDescent="0.2">
      <c r="A6" s="3" t="s">
        <v>28</v>
      </c>
      <c r="B6" s="193"/>
      <c r="C6" s="193"/>
      <c r="D6" s="193"/>
      <c r="E6" s="194"/>
      <c r="F6" s="4" t="s">
        <v>29</v>
      </c>
      <c r="G6" s="87">
        <v>937</v>
      </c>
      <c r="H6" s="96"/>
    </row>
    <row r="7" spans="1:9" ht="96" x14ac:dyDescent="0.2">
      <c r="A7" s="3" t="s">
        <v>30</v>
      </c>
      <c r="B7" s="193" t="s">
        <v>31</v>
      </c>
      <c r="C7" s="193"/>
      <c r="D7" s="193"/>
      <c r="E7" s="194"/>
      <c r="F7" s="4" t="s">
        <v>32</v>
      </c>
      <c r="G7" s="87" t="s">
        <v>33</v>
      </c>
      <c r="H7" s="96"/>
    </row>
    <row r="8" spans="1:9" ht="18" x14ac:dyDescent="0.2">
      <c r="A8" s="3" t="s">
        <v>34</v>
      </c>
      <c r="B8" s="193" t="s">
        <v>35</v>
      </c>
      <c r="C8" s="193"/>
      <c r="D8" s="193"/>
      <c r="E8" s="194"/>
      <c r="F8" s="4" t="s">
        <v>36</v>
      </c>
      <c r="G8" s="89" t="s">
        <v>37</v>
      </c>
      <c r="H8" s="96"/>
    </row>
    <row r="9" spans="1:9" ht="176" x14ac:dyDescent="0.2">
      <c r="A9" s="3" t="s">
        <v>38</v>
      </c>
      <c r="B9" s="193" t="s">
        <v>39</v>
      </c>
      <c r="C9" s="193"/>
      <c r="D9" s="193"/>
      <c r="E9" s="194"/>
      <c r="F9" s="4" t="s">
        <v>40</v>
      </c>
      <c r="G9" s="87" t="s">
        <v>41</v>
      </c>
      <c r="H9" s="96"/>
    </row>
    <row r="10" spans="1:9" ht="18" x14ac:dyDescent="0.2">
      <c r="A10" s="3" t="s">
        <v>42</v>
      </c>
      <c r="B10" s="198" t="s">
        <v>43</v>
      </c>
      <c r="C10" s="198"/>
      <c r="D10" s="198"/>
      <c r="E10" s="199"/>
      <c r="F10" s="4" t="s">
        <v>44</v>
      </c>
      <c r="G10" s="90"/>
      <c r="H10" s="96"/>
      <c r="I10" t="s">
        <v>45</v>
      </c>
    </row>
    <row r="11" spans="1:9" ht="18" x14ac:dyDescent="0.2">
      <c r="A11" s="3" t="s">
        <v>46</v>
      </c>
      <c r="B11" s="195" t="s">
        <v>47</v>
      </c>
      <c r="C11" s="195"/>
      <c r="D11" s="195"/>
      <c r="E11" s="196"/>
      <c r="F11" s="4"/>
      <c r="G11" s="194"/>
      <c r="H11" s="197"/>
    </row>
    <row r="12" spans="1:9" s="6" customFormat="1" ht="30" customHeight="1" x14ac:dyDescent="0.25">
      <c r="A12" s="7" t="s">
        <v>48</v>
      </c>
      <c r="B12" s="7" t="s">
        <v>49</v>
      </c>
      <c r="C12" s="7" t="s">
        <v>50</v>
      </c>
      <c r="D12" s="99" t="s">
        <v>51</v>
      </c>
      <c r="E12" s="99" t="s">
        <v>52</v>
      </c>
      <c r="F12" s="107" t="s">
        <v>53</v>
      </c>
      <c r="G12" s="91" t="s">
        <v>54</v>
      </c>
      <c r="H12" s="91" t="s">
        <v>55</v>
      </c>
    </row>
    <row r="13" spans="1:9" s="12" customFormat="1" ht="20" customHeight="1" x14ac:dyDescent="0.25">
      <c r="A13" s="9" t="s">
        <v>56</v>
      </c>
      <c r="B13" s="10"/>
      <c r="C13" s="10"/>
      <c r="D13" s="100"/>
      <c r="E13" s="100"/>
      <c r="F13" s="108"/>
      <c r="G13" s="92"/>
      <c r="H13" s="92"/>
    </row>
    <row r="14" spans="1:9" ht="20" customHeight="1" x14ac:dyDescent="0.2">
      <c r="A14" s="13" t="s">
        <v>57</v>
      </c>
      <c r="B14" s="14">
        <v>2021</v>
      </c>
      <c r="C14" s="15" t="s">
        <v>58</v>
      </c>
      <c r="D14" s="101" t="s">
        <v>59</v>
      </c>
      <c r="E14" s="101" t="s">
        <v>59</v>
      </c>
      <c r="F14" s="15"/>
      <c r="G14" s="109" t="s">
        <v>60</v>
      </c>
      <c r="H14" s="110"/>
    </row>
    <row r="15" spans="1:9" ht="20" customHeight="1" x14ac:dyDescent="0.2">
      <c r="A15" s="13" t="s">
        <v>61</v>
      </c>
      <c r="B15" s="14" t="s">
        <v>62</v>
      </c>
      <c r="C15" s="15" t="s">
        <v>58</v>
      </c>
      <c r="D15" s="101" t="s">
        <v>59</v>
      </c>
      <c r="E15" s="101" t="s">
        <v>59</v>
      </c>
      <c r="F15" s="15"/>
      <c r="G15" s="17"/>
      <c r="H15" s="110"/>
    </row>
    <row r="16" spans="1:9" ht="16" x14ac:dyDescent="0.2">
      <c r="A16" s="13" t="s">
        <v>63</v>
      </c>
      <c r="B16" s="14" t="s">
        <v>62</v>
      </c>
      <c r="C16" s="15" t="s">
        <v>58</v>
      </c>
      <c r="D16" s="101" t="s">
        <v>59</v>
      </c>
      <c r="E16" s="101">
        <v>44349</v>
      </c>
      <c r="F16" s="15"/>
      <c r="G16" s="109" t="s">
        <v>64</v>
      </c>
      <c r="H16" s="110" t="s">
        <v>65</v>
      </c>
    </row>
    <row r="17" spans="1:9" ht="16" x14ac:dyDescent="0.2">
      <c r="A17" s="13" t="s">
        <v>66</v>
      </c>
      <c r="B17" s="14" t="s">
        <v>62</v>
      </c>
      <c r="C17" s="15" t="s">
        <v>58</v>
      </c>
      <c r="D17" s="101" t="s">
        <v>59</v>
      </c>
      <c r="E17" s="101">
        <v>44552</v>
      </c>
      <c r="F17" s="15"/>
      <c r="G17" s="109" t="s">
        <v>67</v>
      </c>
      <c r="H17" s="110" t="s">
        <v>68</v>
      </c>
    </row>
    <row r="18" spans="1:9" ht="20" customHeight="1" x14ac:dyDescent="0.2">
      <c r="A18" s="13" t="s">
        <v>69</v>
      </c>
      <c r="B18" s="14" t="s">
        <v>62</v>
      </c>
      <c r="C18" s="15" t="s">
        <v>58</v>
      </c>
      <c r="D18" s="101" t="s">
        <v>59</v>
      </c>
      <c r="E18" s="101">
        <v>44694</v>
      </c>
      <c r="F18" s="15"/>
      <c r="G18" s="109" t="s">
        <v>70</v>
      </c>
      <c r="H18" s="110" t="s">
        <v>71</v>
      </c>
    </row>
    <row r="19" spans="1:9" ht="20" customHeight="1" x14ac:dyDescent="0.2">
      <c r="A19" s="13" t="s">
        <v>72</v>
      </c>
      <c r="B19" s="14" t="s">
        <v>62</v>
      </c>
      <c r="C19" s="15" t="s">
        <v>58</v>
      </c>
      <c r="D19" s="101" t="s">
        <v>59</v>
      </c>
      <c r="E19" s="101">
        <v>44798</v>
      </c>
      <c r="F19" s="15"/>
      <c r="G19" s="109" t="s">
        <v>73</v>
      </c>
      <c r="H19" s="110" t="s">
        <v>74</v>
      </c>
    </row>
    <row r="20" spans="1:9" ht="20" customHeight="1" x14ac:dyDescent="0.2">
      <c r="A20" s="13" t="s">
        <v>75</v>
      </c>
      <c r="B20" s="14" t="s">
        <v>62</v>
      </c>
      <c r="C20" s="15" t="s">
        <v>58</v>
      </c>
      <c r="D20" s="101" t="s">
        <v>59</v>
      </c>
      <c r="E20" s="101">
        <v>45072</v>
      </c>
      <c r="F20" s="15"/>
      <c r="G20" s="109" t="s">
        <v>76</v>
      </c>
      <c r="H20" s="110" t="s">
        <v>77</v>
      </c>
    </row>
    <row r="21" spans="1:9" ht="20" customHeight="1" x14ac:dyDescent="0.2">
      <c r="A21" s="13" t="s">
        <v>78</v>
      </c>
      <c r="B21" s="14" t="s">
        <v>62</v>
      </c>
      <c r="C21" s="15" t="s">
        <v>58</v>
      </c>
      <c r="D21" s="101" t="s">
        <v>59</v>
      </c>
      <c r="E21" s="101">
        <v>45190</v>
      </c>
      <c r="F21" s="15"/>
      <c r="G21" s="109" t="s">
        <v>79</v>
      </c>
      <c r="H21" s="110" t="s">
        <v>80</v>
      </c>
    </row>
    <row r="22" spans="1:9" ht="20" customHeight="1" x14ac:dyDescent="0.2">
      <c r="A22" s="13" t="s">
        <v>81</v>
      </c>
      <c r="B22" s="14" t="s">
        <v>62</v>
      </c>
      <c r="C22" s="15" t="s">
        <v>58</v>
      </c>
      <c r="D22" s="101" t="s">
        <v>59</v>
      </c>
      <c r="E22" s="101" t="s">
        <v>59</v>
      </c>
      <c r="F22" s="15"/>
      <c r="G22" s="17"/>
      <c r="H22" s="110"/>
    </row>
    <row r="23" spans="1:9" ht="20" customHeight="1" x14ac:dyDescent="0.2">
      <c r="A23" s="13" t="s">
        <v>82</v>
      </c>
      <c r="B23" s="14" t="s">
        <v>62</v>
      </c>
      <c r="C23" s="15" t="s">
        <v>58</v>
      </c>
      <c r="D23" s="101" t="s">
        <v>59</v>
      </c>
      <c r="E23" s="101" t="s">
        <v>59</v>
      </c>
      <c r="F23" s="15"/>
      <c r="G23" s="17"/>
      <c r="H23" s="110"/>
    </row>
    <row r="24" spans="1:9" ht="20" customHeight="1" x14ac:dyDescent="0.2">
      <c r="A24" s="13" t="s">
        <v>83</v>
      </c>
      <c r="B24" s="14" t="s">
        <v>62</v>
      </c>
      <c r="C24" s="15" t="s">
        <v>58</v>
      </c>
      <c r="D24" s="101" t="s">
        <v>59</v>
      </c>
      <c r="E24" s="101" t="s">
        <v>59</v>
      </c>
      <c r="F24" s="15"/>
      <c r="G24" s="17"/>
      <c r="H24" s="110"/>
    </row>
    <row r="25" spans="1:9" ht="20" customHeight="1" x14ac:dyDescent="0.2">
      <c r="A25" s="13" t="s">
        <v>84</v>
      </c>
      <c r="B25" s="14" t="s">
        <v>62</v>
      </c>
      <c r="C25" s="15" t="s">
        <v>58</v>
      </c>
      <c r="D25" s="101" t="s">
        <v>59</v>
      </c>
      <c r="E25" s="101" t="s">
        <v>59</v>
      </c>
      <c r="F25" s="15"/>
      <c r="G25" s="17"/>
      <c r="H25" s="110"/>
    </row>
    <row r="26" spans="1:9" s="6" customFormat="1" ht="20" customHeight="1" x14ac:dyDescent="0.25">
      <c r="A26" s="18" t="s">
        <v>85</v>
      </c>
      <c r="B26" s="19"/>
      <c r="C26" s="19"/>
      <c r="D26" s="102"/>
      <c r="E26" s="102"/>
      <c r="F26" s="19"/>
      <c r="G26" s="20"/>
      <c r="H26" s="111"/>
      <c r="I26"/>
    </row>
    <row r="27" spans="1:9" ht="20" customHeight="1" x14ac:dyDescent="0.2">
      <c r="A27" s="21" t="s">
        <v>86</v>
      </c>
      <c r="B27" s="22">
        <v>2021</v>
      </c>
      <c r="C27" s="15" t="s">
        <v>58</v>
      </c>
      <c r="D27" s="101">
        <v>44320</v>
      </c>
      <c r="E27" s="101" t="s">
        <v>59</v>
      </c>
      <c r="F27" s="25" t="s">
        <v>87</v>
      </c>
      <c r="G27" s="121" t="s">
        <v>88</v>
      </c>
      <c r="H27" s="110" t="s">
        <v>89</v>
      </c>
    </row>
    <row r="28" spans="1:9" ht="20" customHeight="1" x14ac:dyDescent="0.2">
      <c r="A28" s="21" t="s">
        <v>90</v>
      </c>
      <c r="B28" s="22">
        <v>2022</v>
      </c>
      <c r="C28" s="15" t="s">
        <v>58</v>
      </c>
      <c r="D28" s="101">
        <v>44608</v>
      </c>
      <c r="E28" s="101">
        <v>44622</v>
      </c>
      <c r="F28" s="25" t="s">
        <v>87</v>
      </c>
      <c r="G28" s="122" t="s">
        <v>91</v>
      </c>
      <c r="H28" s="112"/>
    </row>
    <row r="29" spans="1:9" ht="20" customHeight="1" x14ac:dyDescent="0.2">
      <c r="A29" s="21" t="s">
        <v>90</v>
      </c>
      <c r="B29" s="22">
        <v>2023</v>
      </c>
      <c r="C29" s="15" t="s">
        <v>58</v>
      </c>
      <c r="D29" s="101">
        <v>44960</v>
      </c>
      <c r="E29" s="101">
        <v>44970</v>
      </c>
      <c r="F29" s="25" t="s">
        <v>87</v>
      </c>
      <c r="G29" s="122" t="s">
        <v>92</v>
      </c>
      <c r="H29" s="112"/>
    </row>
    <row r="30" spans="1:9" ht="20" customHeight="1" x14ac:dyDescent="0.2">
      <c r="A30" s="21" t="s">
        <v>90</v>
      </c>
      <c r="B30" s="22">
        <v>2023</v>
      </c>
      <c r="C30" s="15" t="s">
        <v>58</v>
      </c>
      <c r="D30" s="101">
        <v>45119</v>
      </c>
      <c r="E30" s="101">
        <v>45125</v>
      </c>
      <c r="F30" s="25" t="s">
        <v>87</v>
      </c>
      <c r="G30" s="122" t="s">
        <v>93</v>
      </c>
      <c r="H30" s="112"/>
    </row>
    <row r="31" spans="1:9" ht="20" customHeight="1" x14ac:dyDescent="0.2">
      <c r="A31" s="21" t="s">
        <v>94</v>
      </c>
      <c r="B31" s="22" t="s">
        <v>62</v>
      </c>
      <c r="C31" s="15" t="s">
        <v>58</v>
      </c>
      <c r="D31" s="101" t="s">
        <v>59</v>
      </c>
      <c r="E31" s="101" t="s">
        <v>59</v>
      </c>
      <c r="F31" s="25"/>
      <c r="G31" s="24"/>
      <c r="H31" s="112"/>
    </row>
    <row r="32" spans="1:9" ht="20" customHeight="1" x14ac:dyDescent="0.2">
      <c r="A32" s="21" t="s">
        <v>95</v>
      </c>
      <c r="B32" s="22" t="s">
        <v>62</v>
      </c>
      <c r="C32" s="15" t="s">
        <v>58</v>
      </c>
      <c r="D32" s="101" t="s">
        <v>59</v>
      </c>
      <c r="E32" s="101" t="s">
        <v>59</v>
      </c>
      <c r="F32" s="25"/>
      <c r="G32" s="113"/>
      <c r="H32" s="114"/>
    </row>
    <row r="33" spans="1:9" ht="20" customHeight="1" x14ac:dyDescent="0.2">
      <c r="A33" s="28" t="s">
        <v>96</v>
      </c>
      <c r="B33" s="22" t="s">
        <v>62</v>
      </c>
      <c r="C33" s="15" t="s">
        <v>58</v>
      </c>
      <c r="D33" s="101" t="s">
        <v>59</v>
      </c>
      <c r="E33" s="101" t="s">
        <v>59</v>
      </c>
      <c r="F33" s="15"/>
      <c r="G33" s="17"/>
      <c r="H33" s="110"/>
    </row>
    <row r="34" spans="1:9" s="6" customFormat="1" ht="20" customHeight="1" x14ac:dyDescent="0.25">
      <c r="A34" s="18" t="s">
        <v>97</v>
      </c>
      <c r="B34" s="19"/>
      <c r="C34" s="19"/>
      <c r="D34" s="102"/>
      <c r="E34" s="102"/>
      <c r="F34" s="19"/>
      <c r="G34" s="20"/>
      <c r="H34" s="111"/>
      <c r="I34"/>
    </row>
    <row r="35" spans="1:9" ht="20" customHeight="1" x14ac:dyDescent="0.2">
      <c r="A35" s="29" t="s">
        <v>98</v>
      </c>
      <c r="B35" s="22" t="s">
        <v>62</v>
      </c>
      <c r="C35" s="15" t="s">
        <v>99</v>
      </c>
      <c r="D35" s="101">
        <v>44334</v>
      </c>
      <c r="E35" s="101">
        <v>44351</v>
      </c>
      <c r="F35" s="25" t="s">
        <v>100</v>
      </c>
      <c r="G35" s="121" t="s">
        <v>101</v>
      </c>
      <c r="H35" s="112"/>
      <c r="I35" t="s">
        <v>102</v>
      </c>
    </row>
    <row r="36" spans="1:9" ht="20" customHeight="1" x14ac:dyDescent="0.2">
      <c r="A36" s="13" t="s">
        <v>103</v>
      </c>
      <c r="B36" s="22">
        <v>2021</v>
      </c>
      <c r="C36" s="15" t="s">
        <v>58</v>
      </c>
      <c r="D36" s="101">
        <v>44347</v>
      </c>
      <c r="E36" s="125" t="s">
        <v>59</v>
      </c>
      <c r="F36" s="15" t="s">
        <v>104</v>
      </c>
      <c r="G36" s="109" t="s">
        <v>105</v>
      </c>
      <c r="H36" s="110"/>
      <c r="I36" t="s">
        <v>106</v>
      </c>
    </row>
    <row r="37" spans="1:9" ht="20" customHeight="1" x14ac:dyDescent="0.2">
      <c r="A37" s="13" t="s">
        <v>103</v>
      </c>
      <c r="B37" s="22">
        <v>2022</v>
      </c>
      <c r="C37" s="15" t="s">
        <v>58</v>
      </c>
      <c r="D37" s="101">
        <v>44558</v>
      </c>
      <c r="E37" s="101">
        <v>44586</v>
      </c>
      <c r="F37" s="15" t="s">
        <v>107</v>
      </c>
      <c r="G37" s="109" t="s">
        <v>105</v>
      </c>
      <c r="H37" s="110"/>
      <c r="I37" t="s">
        <v>108</v>
      </c>
    </row>
    <row r="38" spans="1:9" ht="20" customHeight="1" x14ac:dyDescent="0.2">
      <c r="A38" s="13" t="s">
        <v>103</v>
      </c>
      <c r="B38" s="22">
        <v>2023</v>
      </c>
      <c r="C38" s="15" t="s">
        <v>58</v>
      </c>
      <c r="D38" s="101">
        <v>44911</v>
      </c>
      <c r="E38" s="101">
        <v>44915</v>
      </c>
      <c r="F38" s="15" t="s">
        <v>109</v>
      </c>
      <c r="G38" s="109" t="s">
        <v>110</v>
      </c>
      <c r="H38" s="110"/>
      <c r="I38" t="s">
        <v>108</v>
      </c>
    </row>
    <row r="39" spans="1:9" ht="20" customHeight="1" x14ac:dyDescent="0.2">
      <c r="A39" s="13" t="s">
        <v>103</v>
      </c>
      <c r="B39" s="22">
        <v>2024</v>
      </c>
      <c r="C39" s="15" t="s">
        <v>58</v>
      </c>
      <c r="D39" s="101">
        <v>45261</v>
      </c>
      <c r="E39" s="125"/>
      <c r="F39" s="15" t="s">
        <v>111</v>
      </c>
      <c r="G39" s="189"/>
      <c r="H39" s="110"/>
    </row>
    <row r="40" spans="1:9" ht="20" customHeight="1" x14ac:dyDescent="0.2">
      <c r="A40" s="29" t="s">
        <v>112</v>
      </c>
      <c r="B40" s="22" t="s">
        <v>113</v>
      </c>
      <c r="C40" s="15" t="s">
        <v>58</v>
      </c>
      <c r="D40" s="101" t="s">
        <v>59</v>
      </c>
      <c r="E40" s="101" t="s">
        <v>59</v>
      </c>
      <c r="F40" s="25"/>
      <c r="G40" s="30"/>
      <c r="H40" s="115"/>
    </row>
    <row r="41" spans="1:9" ht="20" customHeight="1" x14ac:dyDescent="0.2">
      <c r="A41" s="29" t="s">
        <v>114</v>
      </c>
      <c r="B41" s="22" t="s">
        <v>113</v>
      </c>
      <c r="C41" s="15" t="s">
        <v>58</v>
      </c>
      <c r="D41" s="101" t="s">
        <v>59</v>
      </c>
      <c r="E41" s="101" t="s">
        <v>59</v>
      </c>
      <c r="F41" s="25"/>
      <c r="G41" s="24"/>
      <c r="H41" s="112"/>
    </row>
    <row r="42" spans="1:9" ht="20" customHeight="1" x14ac:dyDescent="0.2">
      <c r="A42" s="29" t="s">
        <v>115</v>
      </c>
      <c r="B42" s="22" t="s">
        <v>113</v>
      </c>
      <c r="C42" s="15" t="s">
        <v>58</v>
      </c>
      <c r="D42" s="101" t="s">
        <v>59</v>
      </c>
      <c r="E42" s="101" t="s">
        <v>59</v>
      </c>
      <c r="F42" s="25"/>
      <c r="G42" s="26"/>
      <c r="H42" s="112"/>
    </row>
    <row r="43" spans="1:9" s="6" customFormat="1" ht="20" customHeight="1" x14ac:dyDescent="0.25">
      <c r="A43" s="71" t="s">
        <v>116</v>
      </c>
      <c r="B43" s="72"/>
      <c r="C43" s="72"/>
      <c r="D43" s="103"/>
      <c r="E43" s="103"/>
      <c r="F43" s="72"/>
      <c r="G43" s="73"/>
      <c r="H43" s="116"/>
    </row>
    <row r="44" spans="1:9" ht="20" customHeight="1" x14ac:dyDescent="0.2">
      <c r="A44" s="81" t="s">
        <v>117</v>
      </c>
      <c r="B44" s="74" t="s">
        <v>62</v>
      </c>
      <c r="C44" s="75" t="s">
        <v>58</v>
      </c>
      <c r="D44" s="104" t="s">
        <v>59</v>
      </c>
      <c r="E44" s="104" t="s">
        <v>59</v>
      </c>
      <c r="F44" s="75"/>
      <c r="G44" s="77"/>
      <c r="H44" s="117"/>
    </row>
    <row r="45" spans="1:9" s="6" customFormat="1" ht="20" customHeight="1" x14ac:dyDescent="0.25">
      <c r="A45" s="71" t="s">
        <v>118</v>
      </c>
      <c r="B45" s="72"/>
      <c r="C45" s="72"/>
      <c r="D45" s="103"/>
      <c r="E45" s="103"/>
      <c r="F45" s="72"/>
      <c r="G45" s="73"/>
      <c r="H45" s="116"/>
    </row>
    <row r="46" spans="1:9" ht="20" customHeight="1" x14ac:dyDescent="0.2">
      <c r="A46" s="81" t="s">
        <v>119</v>
      </c>
      <c r="B46" s="74"/>
      <c r="C46" s="75"/>
      <c r="D46" s="104"/>
      <c r="E46" s="104"/>
      <c r="F46" s="74" t="s">
        <v>120</v>
      </c>
      <c r="G46" s="123" t="s">
        <v>110</v>
      </c>
      <c r="H46" s="118" t="s">
        <v>121</v>
      </c>
    </row>
    <row r="47" spans="1:9" ht="20" customHeight="1" x14ac:dyDescent="0.2">
      <c r="A47" s="81" t="s">
        <v>119</v>
      </c>
      <c r="B47" s="74"/>
      <c r="C47" s="75"/>
      <c r="D47" s="104"/>
      <c r="E47" s="104"/>
      <c r="F47" s="74"/>
      <c r="G47" s="78"/>
      <c r="H47" s="118"/>
    </row>
    <row r="48" spans="1:9" ht="20" customHeight="1" x14ac:dyDescent="0.2">
      <c r="A48" s="81" t="s">
        <v>122</v>
      </c>
      <c r="B48" s="74"/>
      <c r="C48" s="75"/>
      <c r="D48" s="104"/>
      <c r="E48" s="104"/>
      <c r="F48" s="74"/>
      <c r="G48" s="78"/>
      <c r="H48" s="118"/>
    </row>
    <row r="49" spans="1:9" ht="20" customHeight="1" x14ac:dyDescent="0.2">
      <c r="A49" s="81" t="s">
        <v>122</v>
      </c>
      <c r="B49" s="74"/>
      <c r="C49" s="75"/>
      <c r="D49" s="104"/>
      <c r="E49" s="104"/>
      <c r="F49" s="74"/>
      <c r="G49" s="78"/>
      <c r="H49" s="118"/>
    </row>
    <row r="50" spans="1:9" s="6" customFormat="1" ht="20" customHeight="1" x14ac:dyDescent="0.25">
      <c r="A50" s="71" t="s">
        <v>123</v>
      </c>
      <c r="B50" s="72"/>
      <c r="C50" s="72"/>
      <c r="D50" s="103" t="s">
        <v>124</v>
      </c>
      <c r="E50" s="103" t="s">
        <v>125</v>
      </c>
      <c r="F50" s="72"/>
      <c r="G50" s="73"/>
      <c r="H50" s="116"/>
    </row>
    <row r="51" spans="1:9" ht="20" customHeight="1" x14ac:dyDescent="0.2">
      <c r="A51" s="81" t="s">
        <v>126</v>
      </c>
      <c r="B51" s="74" t="s">
        <v>113</v>
      </c>
      <c r="C51" s="75"/>
      <c r="D51" s="104" t="s">
        <v>59</v>
      </c>
      <c r="E51" s="104" t="s">
        <v>59</v>
      </c>
      <c r="F51" s="74" t="s">
        <v>127</v>
      </c>
      <c r="G51" s="123" t="s">
        <v>128</v>
      </c>
      <c r="H51" s="118"/>
    </row>
    <row r="52" spans="1:9" s="6" customFormat="1" ht="20" customHeight="1" x14ac:dyDescent="0.25">
      <c r="A52" s="18" t="s">
        <v>129</v>
      </c>
      <c r="B52" s="31"/>
      <c r="C52" s="31"/>
      <c r="D52" s="105" t="s">
        <v>130</v>
      </c>
      <c r="E52" s="105"/>
      <c r="F52" s="31" t="s">
        <v>131</v>
      </c>
      <c r="G52" s="31" t="s">
        <v>132</v>
      </c>
      <c r="H52" s="119"/>
    </row>
    <row r="53" spans="1:9" ht="20" customHeight="1" x14ac:dyDescent="0.2">
      <c r="A53" s="81" t="s">
        <v>133</v>
      </c>
      <c r="B53" s="74" t="s">
        <v>113</v>
      </c>
      <c r="C53" s="75"/>
      <c r="D53" s="104" t="s">
        <v>59</v>
      </c>
      <c r="E53" s="104"/>
      <c r="F53" s="124"/>
      <c r="G53" s="78"/>
      <c r="H53" s="118"/>
      <c r="I53" t="s">
        <v>134</v>
      </c>
    </row>
    <row r="54" spans="1:9" ht="20" customHeight="1" x14ac:dyDescent="0.2">
      <c r="A54" s="81" t="s">
        <v>133</v>
      </c>
      <c r="B54" s="74" t="s">
        <v>113</v>
      </c>
      <c r="C54" s="75"/>
      <c r="D54" s="104" t="s">
        <v>59</v>
      </c>
      <c r="E54" s="104"/>
      <c r="F54" s="74"/>
      <c r="G54" s="78"/>
      <c r="H54" s="118"/>
    </row>
    <row r="55" spans="1:9" ht="20" customHeight="1" x14ac:dyDescent="0.2">
      <c r="A55" s="81" t="s">
        <v>133</v>
      </c>
      <c r="B55" s="74" t="s">
        <v>113</v>
      </c>
      <c r="C55" s="75"/>
      <c r="D55" s="104" t="s">
        <v>59</v>
      </c>
      <c r="E55" s="104"/>
      <c r="F55" s="74"/>
      <c r="G55" s="78"/>
      <c r="H55" s="118"/>
    </row>
    <row r="56" spans="1:9" ht="20" customHeight="1" x14ac:dyDescent="0.2">
      <c r="A56" s="81" t="s">
        <v>133</v>
      </c>
      <c r="B56" s="74" t="s">
        <v>113</v>
      </c>
      <c r="C56" s="75"/>
      <c r="D56" s="104" t="s">
        <v>59</v>
      </c>
      <c r="E56" s="104"/>
      <c r="F56" s="74"/>
      <c r="G56" s="78"/>
      <c r="H56" s="118"/>
    </row>
    <row r="57" spans="1:9" ht="20" customHeight="1" thickBot="1" x14ac:dyDescent="0.25">
      <c r="A57" s="84" t="s">
        <v>133</v>
      </c>
      <c r="B57" s="33" t="s">
        <v>113</v>
      </c>
      <c r="C57" s="34"/>
      <c r="D57" s="106" t="s">
        <v>59</v>
      </c>
      <c r="E57" s="106"/>
      <c r="F57" s="34"/>
      <c r="G57" s="36"/>
      <c r="H57" s="120"/>
    </row>
  </sheetData>
  <mergeCells count="12">
    <mergeCell ref="A1:H1"/>
    <mergeCell ref="B7:E7"/>
    <mergeCell ref="B8:E8"/>
    <mergeCell ref="B9:E9"/>
    <mergeCell ref="B11:E11"/>
    <mergeCell ref="B6:E6"/>
    <mergeCell ref="B2:E2"/>
    <mergeCell ref="B3:E3"/>
    <mergeCell ref="B4:E4"/>
    <mergeCell ref="B5:E5"/>
    <mergeCell ref="G11:H11"/>
    <mergeCell ref="B10:E10"/>
  </mergeCells>
  <phoneticPr fontId="22" type="noConversion"/>
  <hyperlinks>
    <hyperlink ref="G8" r:id="rId1" xr:uid="{65FEF939-F036-4420-9D53-8B9C6EAE25CE}"/>
    <hyperlink ref="B10:E10" r:id="rId2" display="Juan Reyes + Maria Lievano (alterante)" xr:uid="{7FAD8D3B-8D93-46EA-BBE1-A07F6FD047D7}"/>
    <hyperlink ref="B11:E11" r:id="rId3" display="Heather Wirick" xr:uid="{172B8D38-F7EE-4681-9556-5F1B516DB463}"/>
    <hyperlink ref="G14" r:id="rId4" xr:uid="{6DA19651-ABAE-474A-8575-4A694AA9AB97}"/>
    <hyperlink ref="G17" r:id="rId5" xr:uid="{0CE4459D-424C-4314-93AD-307F97CC8E78}"/>
    <hyperlink ref="G18" r:id="rId6" xr:uid="{E2F279BE-B169-476C-9D1A-36C63F99CABD}"/>
    <hyperlink ref="G16" r:id="rId7" xr:uid="{841DC035-DA86-466E-A8CF-F6EB596AB380}"/>
    <hyperlink ref="G19" r:id="rId8" xr:uid="{B8DE84C5-E0A7-4486-8236-D9A5B9BB9166}"/>
    <hyperlink ref="G20" r:id="rId9" xr:uid="{C06D26D4-E94D-4A69-9E80-B43E640F14CE}"/>
    <hyperlink ref="G21" r:id="rId10" xr:uid="{B394BF3A-36CC-4C9F-BEB5-A263E2762672}"/>
    <hyperlink ref="G27" r:id="rId11" xr:uid="{623EE70F-C536-45CE-BD5F-31212B973AF8}"/>
    <hyperlink ref="G28" r:id="rId12" display="https://partnersnet107.sharepoint.com/:w:/s/Programs/Ec22C256dE9OgzZkz5s2zcwB6z-X9gtnYBAOe879uNA5Rg?e=5MXWlt" xr:uid="{9EA21DCC-90A6-4927-9670-86757616F72B}"/>
    <hyperlink ref="G35" r:id="rId13" xr:uid="{7E180493-1BFB-49F9-98EE-22818C530BE9}"/>
    <hyperlink ref="G36" r:id="rId14" xr:uid="{4A4C1E31-F4F9-49B3-8534-DCB673F23C82}"/>
    <hyperlink ref="G37" r:id="rId15" xr:uid="{250A81F9-D29A-4CA2-9D2B-807852D5B73B}"/>
    <hyperlink ref="G38" r:id="rId16" xr:uid="{4351C03C-D9F1-4A2C-9B42-2D000BEC8A27}"/>
    <hyperlink ref="G46" r:id="rId17" xr:uid="{C9B69584-8557-4BDD-8AD6-FE45C4AC2082}"/>
    <hyperlink ref="G51" r:id="rId18" xr:uid="{59524A2F-8080-4903-9AA2-40EF2F53B5AA}"/>
  </hyperlinks>
  <pageMargins left="0.7" right="0.7" top="0.75" bottom="0.75" header="0.3" footer="0.3"/>
  <pageSetup orientation="portrait"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0EBA-385F-45AE-8A28-1A7B43D5A22C}">
  <sheetPr>
    <tabColor theme="8" tint="-0.249977111117893"/>
  </sheetPr>
  <dimension ref="A1:AO54"/>
  <sheetViews>
    <sheetView zoomScale="60" zoomScaleNormal="60" workbookViewId="0">
      <selection activeCell="AM2" sqref="AM2"/>
    </sheetView>
  </sheetViews>
  <sheetFormatPr baseColWidth="10" defaultColWidth="9" defaultRowHeight="15" x14ac:dyDescent="0.2"/>
  <cols>
    <col min="1" max="1" width="3.83203125" style="38" bestFit="1" customWidth="1"/>
    <col min="2" max="2" width="86.6640625" style="66" bestFit="1" customWidth="1"/>
    <col min="3" max="4" width="15.6640625" style="67" customWidth="1"/>
    <col min="5" max="5" width="3" style="67" customWidth="1"/>
    <col min="6" max="6" width="15.6640625" style="86" customWidth="1"/>
    <col min="7" max="7" width="65.5" style="66" customWidth="1"/>
    <col min="8" max="9" width="15.6640625" style="38" customWidth="1"/>
    <col min="10" max="10" width="3" style="67" customWidth="1"/>
    <col min="11" max="11" width="65.6640625" style="66" customWidth="1"/>
    <col min="12" max="13" width="15.6640625" style="67" customWidth="1"/>
    <col min="14" max="14" width="3" style="67" customWidth="1"/>
    <col min="15" max="15" width="65.6640625" style="66" hidden="1" customWidth="1"/>
    <col min="16" max="17" width="15.6640625" style="67" hidden="1" customWidth="1"/>
    <col min="18" max="18" width="3" style="67" hidden="1" customWidth="1"/>
    <col min="19" max="19" width="65.6640625" style="66" hidden="1" customWidth="1"/>
    <col min="20" max="21" width="15.6640625" style="67" hidden="1" customWidth="1"/>
    <col min="22" max="22" width="3" style="67" hidden="1" customWidth="1"/>
    <col min="23" max="23" width="65.6640625" style="66" hidden="1" customWidth="1"/>
    <col min="24" max="25" width="15.6640625" style="67" hidden="1" customWidth="1"/>
    <col min="26" max="26" width="3" style="67" customWidth="1"/>
    <col min="27" max="27" width="65.6640625" style="66" customWidth="1"/>
    <col min="28" max="29" width="13.6640625" style="67" customWidth="1"/>
    <col min="30" max="30" width="3" style="67" customWidth="1"/>
    <col min="31" max="31" width="65.6640625" style="38" customWidth="1"/>
    <col min="32" max="33" width="15.6640625" style="38" customWidth="1"/>
    <col min="34" max="34" width="3" style="67" customWidth="1"/>
    <col min="35" max="35" width="65.6640625" style="38" customWidth="1"/>
    <col min="36" max="37" width="15.6640625" style="68" customWidth="1"/>
    <col min="38" max="38" width="3" style="67" customWidth="1"/>
    <col min="39" max="39" width="65.6640625" style="38" customWidth="1"/>
    <col min="40" max="41" width="15.6640625" style="38" customWidth="1"/>
  </cols>
  <sheetData>
    <row r="1" spans="1:41" ht="33" x14ac:dyDescent="0.2">
      <c r="A1" s="200" t="s">
        <v>135</v>
      </c>
      <c r="B1" s="201"/>
      <c r="C1" s="201"/>
      <c r="D1" s="201"/>
      <c r="E1" s="201"/>
      <c r="F1" s="201"/>
      <c r="G1" s="201"/>
      <c r="H1" s="201"/>
      <c r="I1" s="201"/>
      <c r="J1" s="201"/>
      <c r="K1" s="201"/>
      <c r="L1" s="201"/>
      <c r="M1" s="201"/>
      <c r="N1" s="201"/>
      <c r="O1" s="201"/>
      <c r="P1" s="201"/>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row>
    <row r="2" spans="1:41" ht="34" x14ac:dyDescent="0.2">
      <c r="A2" s="39"/>
      <c r="B2" s="40" t="s">
        <v>136</v>
      </c>
      <c r="C2" s="40" t="s">
        <v>137</v>
      </c>
      <c r="D2" s="40" t="s">
        <v>138</v>
      </c>
      <c r="E2" s="97"/>
      <c r="F2" s="42"/>
      <c r="G2" s="41" t="s">
        <v>139</v>
      </c>
      <c r="H2" s="41" t="s">
        <v>137</v>
      </c>
      <c r="I2" s="41" t="s">
        <v>138</v>
      </c>
      <c r="J2" s="97"/>
      <c r="K2" s="129" t="s">
        <v>140</v>
      </c>
      <c r="L2" s="40" t="s">
        <v>137</v>
      </c>
      <c r="M2" s="40" t="s">
        <v>138</v>
      </c>
      <c r="N2" s="97"/>
      <c r="O2" s="42" t="s">
        <v>141</v>
      </c>
      <c r="P2" s="41" t="s">
        <v>137</v>
      </c>
      <c r="Q2" s="41" t="s">
        <v>138</v>
      </c>
      <c r="R2" s="97"/>
      <c r="S2" s="40" t="s">
        <v>142</v>
      </c>
      <c r="T2" s="40" t="s">
        <v>137</v>
      </c>
      <c r="U2" s="40" t="s">
        <v>138</v>
      </c>
      <c r="V2" s="97"/>
      <c r="W2" s="42" t="s">
        <v>141</v>
      </c>
      <c r="X2" s="41" t="s">
        <v>137</v>
      </c>
      <c r="Y2" s="41" t="s">
        <v>138</v>
      </c>
      <c r="Z2" s="97"/>
      <c r="AA2" s="129" t="s">
        <v>143</v>
      </c>
      <c r="AB2" s="40" t="s">
        <v>137</v>
      </c>
      <c r="AC2" s="40" t="s">
        <v>138</v>
      </c>
      <c r="AD2" s="97"/>
      <c r="AE2" s="129" t="s">
        <v>144</v>
      </c>
      <c r="AF2" s="41" t="s">
        <v>137</v>
      </c>
      <c r="AG2" s="41" t="s">
        <v>138</v>
      </c>
      <c r="AH2" s="97"/>
      <c r="AI2" s="40" t="s">
        <v>145</v>
      </c>
      <c r="AJ2" s="40" t="s">
        <v>137</v>
      </c>
      <c r="AK2" s="40" t="s">
        <v>138</v>
      </c>
      <c r="AL2" s="97"/>
      <c r="AM2" s="129" t="s">
        <v>146</v>
      </c>
      <c r="AN2" s="41" t="s">
        <v>137</v>
      </c>
      <c r="AO2" s="41" t="s">
        <v>138</v>
      </c>
    </row>
    <row r="3" spans="1:41" ht="112" x14ac:dyDescent="0.2">
      <c r="A3" s="43">
        <v>1</v>
      </c>
      <c r="B3" s="126" t="s">
        <v>147</v>
      </c>
      <c r="C3" s="40" t="s">
        <v>148</v>
      </c>
      <c r="D3" s="127" t="s">
        <v>149</v>
      </c>
      <c r="E3" s="97"/>
      <c r="F3" s="42"/>
      <c r="G3" s="45" t="s">
        <v>150</v>
      </c>
      <c r="H3" s="46"/>
      <c r="I3" s="133" t="s">
        <v>151</v>
      </c>
      <c r="J3" s="97"/>
      <c r="K3" s="47" t="s">
        <v>152</v>
      </c>
      <c r="L3" s="48"/>
      <c r="M3" s="48"/>
      <c r="N3" s="97"/>
      <c r="O3" s="49" t="s">
        <v>152</v>
      </c>
      <c r="P3" s="50"/>
      <c r="Q3" s="50"/>
      <c r="R3" s="97"/>
      <c r="S3" s="47" t="s">
        <v>152</v>
      </c>
      <c r="T3" s="48"/>
      <c r="U3" s="48"/>
      <c r="V3" s="97"/>
      <c r="W3" s="49" t="s">
        <v>152</v>
      </c>
      <c r="X3" s="50"/>
      <c r="Y3" s="50"/>
      <c r="Z3" s="97"/>
      <c r="AA3" s="44"/>
      <c r="AB3" s="40"/>
      <c r="AC3" s="40"/>
      <c r="AD3" s="97"/>
      <c r="AE3" s="51"/>
      <c r="AF3" s="52"/>
      <c r="AG3" s="52"/>
      <c r="AH3" s="97"/>
      <c r="AI3" s="44" t="s">
        <v>153</v>
      </c>
      <c r="AJ3" s="40"/>
      <c r="AK3" s="40"/>
      <c r="AL3" s="97"/>
      <c r="AM3" s="51" t="s">
        <v>154</v>
      </c>
      <c r="AN3" s="52"/>
      <c r="AO3" s="52"/>
    </row>
    <row r="4" spans="1:41" ht="34" x14ac:dyDescent="0.2">
      <c r="A4" s="43">
        <f>+A3+1</f>
        <v>2</v>
      </c>
      <c r="B4" s="44" t="s">
        <v>155</v>
      </c>
      <c r="C4" s="40"/>
      <c r="D4" s="40"/>
      <c r="E4" s="97"/>
      <c r="F4" s="42"/>
      <c r="G4" s="53" t="s">
        <v>156</v>
      </c>
      <c r="H4" s="60"/>
      <c r="I4" s="54"/>
      <c r="J4" s="97"/>
      <c r="K4" s="44" t="s">
        <v>157</v>
      </c>
      <c r="L4" s="48"/>
      <c r="M4" s="48"/>
      <c r="N4" s="97"/>
      <c r="O4" s="55" t="s">
        <v>157</v>
      </c>
      <c r="P4" s="50"/>
      <c r="Q4" s="50"/>
      <c r="R4" s="97"/>
      <c r="S4" s="44" t="s">
        <v>157</v>
      </c>
      <c r="T4" s="48"/>
      <c r="U4" s="48"/>
      <c r="V4" s="97"/>
      <c r="W4" s="55" t="s">
        <v>157</v>
      </c>
      <c r="X4" s="50"/>
      <c r="Y4" s="50"/>
      <c r="Z4" s="97"/>
      <c r="AA4" s="44" t="s">
        <v>158</v>
      </c>
      <c r="AB4" s="40"/>
      <c r="AC4" s="40"/>
      <c r="AD4" s="97"/>
      <c r="AE4" s="51" t="s">
        <v>159</v>
      </c>
      <c r="AF4" s="52"/>
      <c r="AG4" s="52"/>
      <c r="AH4" s="97"/>
      <c r="AI4" s="44"/>
      <c r="AJ4" s="40"/>
      <c r="AK4" s="40"/>
      <c r="AL4" s="97"/>
      <c r="AM4" s="51"/>
      <c r="AN4" s="52"/>
      <c r="AO4" s="52"/>
    </row>
    <row r="5" spans="1:41" ht="34" x14ac:dyDescent="0.2">
      <c r="A5" s="43">
        <f t="shared" ref="A5:A54" si="0">+A4+1</f>
        <v>3</v>
      </c>
      <c r="B5" s="44" t="s">
        <v>155</v>
      </c>
      <c r="C5" s="56"/>
      <c r="D5" s="56"/>
      <c r="E5" s="98"/>
      <c r="F5" s="85"/>
      <c r="G5" s="53" t="s">
        <v>160</v>
      </c>
      <c r="H5" s="41"/>
      <c r="I5" s="41"/>
      <c r="J5" s="98"/>
      <c r="K5" s="44" t="s">
        <v>161</v>
      </c>
      <c r="L5" s="48"/>
      <c r="M5" s="48"/>
      <c r="N5" s="98"/>
      <c r="O5" s="55" t="s">
        <v>161</v>
      </c>
      <c r="P5" s="50"/>
      <c r="Q5" s="50"/>
      <c r="R5" s="98"/>
      <c r="S5" s="44" t="s">
        <v>161</v>
      </c>
      <c r="T5" s="48"/>
      <c r="U5" s="48"/>
      <c r="V5" s="98"/>
      <c r="W5" s="55" t="s">
        <v>161</v>
      </c>
      <c r="X5" s="50"/>
      <c r="Y5" s="50"/>
      <c r="Z5" s="98"/>
      <c r="AA5" s="44" t="s">
        <v>162</v>
      </c>
      <c r="AB5" s="40"/>
      <c r="AC5" s="40"/>
      <c r="AD5" s="98"/>
      <c r="AE5" s="51" t="s">
        <v>163</v>
      </c>
      <c r="AF5" s="52"/>
      <c r="AG5" s="52"/>
      <c r="AH5" s="98"/>
      <c r="AI5" s="44"/>
      <c r="AJ5" s="40"/>
      <c r="AK5" s="40"/>
      <c r="AL5" s="98"/>
      <c r="AM5" s="51"/>
      <c r="AN5" s="52"/>
      <c r="AO5" s="52"/>
    </row>
    <row r="6" spans="1:41" ht="34" x14ac:dyDescent="0.2">
      <c r="A6" s="43">
        <f t="shared" si="0"/>
        <v>4</v>
      </c>
      <c r="B6" s="44" t="s">
        <v>155</v>
      </c>
      <c r="C6" s="56"/>
      <c r="D6" s="56"/>
      <c r="E6" s="98"/>
      <c r="F6" s="85"/>
      <c r="G6" s="53" t="s">
        <v>164</v>
      </c>
      <c r="H6" s="54"/>
      <c r="I6" s="54"/>
      <c r="J6" s="98"/>
      <c r="K6" s="44" t="s">
        <v>165</v>
      </c>
      <c r="L6" s="48"/>
      <c r="M6" s="48"/>
      <c r="N6" s="98"/>
      <c r="O6" s="43"/>
      <c r="P6" s="50"/>
      <c r="Q6" s="50"/>
      <c r="R6" s="98"/>
      <c r="S6" s="44"/>
      <c r="T6" s="48"/>
      <c r="U6" s="48"/>
      <c r="V6" s="98"/>
      <c r="W6" s="43"/>
      <c r="X6" s="50"/>
      <c r="Y6" s="50"/>
      <c r="Z6" s="98"/>
      <c r="AA6" s="44" t="s">
        <v>166</v>
      </c>
      <c r="AB6" s="40"/>
      <c r="AC6" s="40"/>
      <c r="AD6" s="98"/>
      <c r="AE6" s="51"/>
      <c r="AF6" s="52"/>
      <c r="AG6" s="52"/>
      <c r="AH6" s="98"/>
      <c r="AI6" s="44"/>
      <c r="AJ6" s="40"/>
      <c r="AK6" s="40"/>
      <c r="AL6" s="98"/>
      <c r="AM6" s="51"/>
      <c r="AN6" s="52"/>
      <c r="AO6" s="52"/>
    </row>
    <row r="7" spans="1:41" ht="99.75" customHeight="1" x14ac:dyDescent="0.2">
      <c r="A7" s="43">
        <f t="shared" si="0"/>
        <v>5</v>
      </c>
      <c r="B7" s="44" t="s">
        <v>167</v>
      </c>
      <c r="C7" s="56" t="s">
        <v>148</v>
      </c>
      <c r="D7" s="127" t="s">
        <v>168</v>
      </c>
      <c r="E7" s="98"/>
      <c r="F7" s="85"/>
      <c r="G7" s="53" t="s">
        <v>169</v>
      </c>
      <c r="H7" s="41"/>
      <c r="I7" s="41"/>
      <c r="J7" s="98"/>
      <c r="K7" s="44" t="s">
        <v>170</v>
      </c>
      <c r="L7" s="48"/>
      <c r="M7" s="48"/>
      <c r="N7" s="98"/>
      <c r="O7" s="43"/>
      <c r="P7" s="50"/>
      <c r="Q7" s="50"/>
      <c r="R7" s="98"/>
      <c r="S7" s="44"/>
      <c r="T7" s="48"/>
      <c r="U7" s="48"/>
      <c r="V7" s="98"/>
      <c r="W7" s="43"/>
      <c r="X7" s="50"/>
      <c r="Y7" s="50"/>
      <c r="Z7" s="98"/>
      <c r="AA7" s="44"/>
      <c r="AB7" s="40"/>
      <c r="AC7" s="40"/>
      <c r="AD7" s="98"/>
      <c r="AE7" s="51"/>
      <c r="AF7" s="52"/>
      <c r="AG7" s="52"/>
      <c r="AH7" s="98"/>
      <c r="AI7" s="44"/>
      <c r="AJ7" s="40"/>
      <c r="AK7" s="40"/>
      <c r="AL7" s="98"/>
      <c r="AM7" s="51"/>
      <c r="AN7" s="52"/>
      <c r="AO7" s="52"/>
    </row>
    <row r="8" spans="1:41" ht="51" x14ac:dyDescent="0.2">
      <c r="A8" s="43">
        <f t="shared" si="0"/>
        <v>6</v>
      </c>
      <c r="B8" s="44" t="s">
        <v>171</v>
      </c>
      <c r="C8" s="56"/>
      <c r="D8" s="56"/>
      <c r="E8" s="98"/>
      <c r="F8" s="85"/>
      <c r="G8" s="53" t="s">
        <v>172</v>
      </c>
      <c r="H8" s="46"/>
      <c r="I8" s="46"/>
      <c r="J8" s="98"/>
      <c r="K8" s="44"/>
      <c r="L8" s="48"/>
      <c r="M8" s="48"/>
      <c r="N8" s="98"/>
      <c r="O8" s="43"/>
      <c r="P8" s="50"/>
      <c r="Q8" s="50"/>
      <c r="R8" s="98"/>
      <c r="S8" s="44"/>
      <c r="T8" s="48"/>
      <c r="U8" s="48"/>
      <c r="V8" s="98"/>
      <c r="W8" s="43"/>
      <c r="X8" s="50"/>
      <c r="Y8" s="50"/>
      <c r="Z8" s="98"/>
      <c r="AA8" s="44"/>
      <c r="AB8" s="40"/>
      <c r="AC8" s="40"/>
      <c r="AD8" s="98"/>
      <c r="AE8" s="57"/>
      <c r="AF8" s="57"/>
      <c r="AG8" s="57"/>
      <c r="AH8" s="98"/>
      <c r="AI8" s="44"/>
      <c r="AJ8" s="40"/>
      <c r="AK8" s="40"/>
      <c r="AL8" s="98"/>
      <c r="AM8" s="57"/>
      <c r="AN8" s="57"/>
      <c r="AO8" s="57"/>
    </row>
    <row r="9" spans="1:41" ht="51" x14ac:dyDescent="0.2">
      <c r="A9" s="43">
        <f t="shared" si="0"/>
        <v>7</v>
      </c>
      <c r="B9" s="44" t="s">
        <v>171</v>
      </c>
      <c r="C9" s="56"/>
      <c r="D9" s="56"/>
      <c r="E9" s="98"/>
      <c r="F9" s="85"/>
      <c r="G9" s="53" t="s">
        <v>173</v>
      </c>
      <c r="H9" s="41"/>
      <c r="I9" s="41"/>
      <c r="J9" s="98"/>
      <c r="K9" s="44"/>
      <c r="L9" s="48"/>
      <c r="M9" s="48"/>
      <c r="N9" s="98"/>
      <c r="O9" s="43"/>
      <c r="P9" s="50"/>
      <c r="Q9" s="50"/>
      <c r="R9" s="98"/>
      <c r="S9" s="44"/>
      <c r="T9" s="48"/>
      <c r="U9" s="48"/>
      <c r="V9" s="98"/>
      <c r="W9" s="43"/>
      <c r="X9" s="50"/>
      <c r="Y9" s="50"/>
      <c r="Z9" s="98"/>
      <c r="AA9" s="44"/>
      <c r="AB9" s="40"/>
      <c r="AC9" s="40"/>
      <c r="AD9" s="98"/>
      <c r="AE9" s="57"/>
      <c r="AF9" s="57"/>
      <c r="AG9" s="57"/>
      <c r="AH9" s="98"/>
      <c r="AI9" s="44"/>
      <c r="AJ9" s="40"/>
      <c r="AK9" s="40"/>
      <c r="AL9" s="98"/>
      <c r="AM9" s="57"/>
      <c r="AN9" s="57"/>
      <c r="AO9" s="57"/>
    </row>
    <row r="10" spans="1:41" ht="34" x14ac:dyDescent="0.2">
      <c r="A10" s="43">
        <f t="shared" si="0"/>
        <v>8</v>
      </c>
      <c r="B10" s="44" t="s">
        <v>171</v>
      </c>
      <c r="C10" s="56"/>
      <c r="D10" s="56"/>
      <c r="E10" s="98"/>
      <c r="F10" s="85"/>
      <c r="G10" s="53" t="s">
        <v>174</v>
      </c>
      <c r="H10" s="41"/>
      <c r="I10" s="41"/>
      <c r="J10" s="98"/>
      <c r="K10" s="59"/>
      <c r="L10" s="48"/>
      <c r="M10" s="48"/>
      <c r="N10" s="98"/>
      <c r="O10" s="43"/>
      <c r="P10" s="50"/>
      <c r="Q10" s="50"/>
      <c r="R10" s="98"/>
      <c r="S10" s="59"/>
      <c r="T10" s="48"/>
      <c r="U10" s="48"/>
      <c r="V10" s="98"/>
      <c r="W10" s="43"/>
      <c r="X10" s="50"/>
      <c r="Y10" s="50"/>
      <c r="Z10" s="98"/>
      <c r="AA10" s="44"/>
      <c r="AB10" s="40"/>
      <c r="AC10" s="40"/>
      <c r="AD10" s="98"/>
      <c r="AE10" s="57"/>
      <c r="AF10" s="57"/>
      <c r="AG10" s="57"/>
      <c r="AH10" s="98"/>
      <c r="AI10" s="44"/>
      <c r="AJ10" s="40"/>
      <c r="AK10" s="40"/>
      <c r="AL10" s="98"/>
      <c r="AM10" s="57"/>
      <c r="AN10" s="57"/>
      <c r="AO10" s="57"/>
    </row>
    <row r="11" spans="1:41" ht="99.75" customHeight="1" x14ac:dyDescent="0.2">
      <c r="A11" s="43">
        <f t="shared" si="0"/>
        <v>9</v>
      </c>
      <c r="B11" s="126" t="s">
        <v>175</v>
      </c>
      <c r="C11" s="56" t="s">
        <v>148</v>
      </c>
      <c r="D11" s="127" t="s">
        <v>168</v>
      </c>
      <c r="E11" s="98"/>
      <c r="F11" s="85"/>
      <c r="G11" s="53" t="s">
        <v>176</v>
      </c>
      <c r="H11" s="54"/>
      <c r="I11" s="54"/>
      <c r="J11" s="98"/>
      <c r="K11" s="59" t="s">
        <v>177</v>
      </c>
      <c r="L11" s="48"/>
      <c r="M11" s="48"/>
      <c r="N11" s="98"/>
      <c r="O11" s="43"/>
      <c r="P11" s="50"/>
      <c r="Q11" s="50"/>
      <c r="R11" s="98"/>
      <c r="S11" s="59"/>
      <c r="T11" s="48"/>
      <c r="U11" s="48"/>
      <c r="V11" s="98"/>
      <c r="W11" s="43"/>
      <c r="X11" s="50"/>
      <c r="Y11" s="50"/>
      <c r="Z11" s="98"/>
      <c r="AA11" s="44"/>
      <c r="AB11" s="40"/>
      <c r="AC11" s="40"/>
      <c r="AD11" s="98"/>
      <c r="AE11" s="57"/>
      <c r="AF11" s="57"/>
      <c r="AG11" s="57"/>
      <c r="AH11" s="98"/>
      <c r="AI11" s="44"/>
      <c r="AJ11" s="40"/>
      <c r="AK11" s="40"/>
      <c r="AL11" s="98"/>
      <c r="AM11" s="57"/>
      <c r="AN11" s="57"/>
      <c r="AO11" s="57"/>
    </row>
    <row r="12" spans="1:41" ht="34" x14ac:dyDescent="0.2">
      <c r="A12" s="43">
        <f t="shared" si="0"/>
        <v>10</v>
      </c>
      <c r="B12" s="44" t="s">
        <v>178</v>
      </c>
      <c r="C12" s="56"/>
      <c r="D12" s="56"/>
      <c r="E12" s="98"/>
      <c r="F12" s="85"/>
      <c r="G12" s="53" t="s">
        <v>179</v>
      </c>
      <c r="H12" s="41"/>
      <c r="I12" s="41"/>
      <c r="J12" s="98"/>
      <c r="K12" s="59"/>
      <c r="L12" s="48"/>
      <c r="M12" s="48"/>
      <c r="N12" s="98"/>
      <c r="O12" s="43"/>
      <c r="P12" s="50"/>
      <c r="Q12" s="50"/>
      <c r="R12" s="98"/>
      <c r="S12" s="59"/>
      <c r="T12" s="48"/>
      <c r="U12" s="48"/>
      <c r="V12" s="98"/>
      <c r="W12" s="43"/>
      <c r="X12" s="50"/>
      <c r="Y12" s="50"/>
      <c r="Z12" s="98"/>
      <c r="AA12" s="44"/>
      <c r="AB12" s="40"/>
      <c r="AC12" s="40"/>
      <c r="AD12" s="98"/>
      <c r="AE12" s="57"/>
      <c r="AF12" s="57"/>
      <c r="AG12" s="57"/>
      <c r="AH12" s="98"/>
      <c r="AI12" s="44"/>
      <c r="AJ12" s="40"/>
      <c r="AK12" s="40"/>
      <c r="AL12" s="98"/>
      <c r="AM12" s="57"/>
      <c r="AN12" s="57"/>
      <c r="AO12" s="57"/>
    </row>
    <row r="13" spans="1:41" ht="34" x14ac:dyDescent="0.2">
      <c r="A13" s="43">
        <f t="shared" si="0"/>
        <v>11</v>
      </c>
      <c r="B13" s="44" t="s">
        <v>178</v>
      </c>
      <c r="C13" s="56"/>
      <c r="D13" s="56"/>
      <c r="E13" s="98"/>
      <c r="F13" s="85"/>
      <c r="G13" s="53" t="s">
        <v>180</v>
      </c>
      <c r="H13" s="41"/>
      <c r="I13" s="41"/>
      <c r="J13" s="98"/>
      <c r="K13" s="59"/>
      <c r="L13" s="48"/>
      <c r="M13" s="48"/>
      <c r="N13" s="98"/>
      <c r="O13" s="43"/>
      <c r="P13" s="50"/>
      <c r="Q13" s="50"/>
      <c r="R13" s="98"/>
      <c r="S13" s="59"/>
      <c r="T13" s="48"/>
      <c r="U13" s="48"/>
      <c r="V13" s="98"/>
      <c r="W13" s="43"/>
      <c r="X13" s="50"/>
      <c r="Y13" s="50"/>
      <c r="Z13" s="98"/>
      <c r="AA13" s="44"/>
      <c r="AB13" s="40"/>
      <c r="AC13" s="40"/>
      <c r="AD13" s="98"/>
      <c r="AE13" s="57"/>
      <c r="AF13" s="57"/>
      <c r="AG13" s="57"/>
      <c r="AH13" s="98"/>
      <c r="AI13" s="44"/>
      <c r="AJ13" s="40"/>
      <c r="AK13" s="40"/>
      <c r="AL13" s="98"/>
      <c r="AM13" s="57"/>
      <c r="AN13" s="57"/>
      <c r="AO13" s="57"/>
    </row>
    <row r="14" spans="1:41" ht="51" x14ac:dyDescent="0.2">
      <c r="A14" s="43">
        <f t="shared" si="0"/>
        <v>12</v>
      </c>
      <c r="B14" s="44" t="s">
        <v>178</v>
      </c>
      <c r="C14" s="56"/>
      <c r="D14" s="56"/>
      <c r="E14" s="98"/>
      <c r="F14" s="85"/>
      <c r="G14" s="53" t="s">
        <v>181</v>
      </c>
      <c r="H14" s="60"/>
      <c r="I14" s="60"/>
      <c r="J14" s="98"/>
      <c r="K14" s="59"/>
      <c r="L14" s="48"/>
      <c r="M14" s="48"/>
      <c r="N14" s="98"/>
      <c r="O14" s="43"/>
      <c r="P14" s="50"/>
      <c r="Q14" s="50"/>
      <c r="R14" s="98"/>
      <c r="S14" s="59"/>
      <c r="T14" s="48"/>
      <c r="U14" s="48"/>
      <c r="V14" s="98"/>
      <c r="W14" s="43"/>
      <c r="X14" s="50"/>
      <c r="Y14" s="50"/>
      <c r="Z14" s="98"/>
      <c r="AA14" s="44"/>
      <c r="AB14" s="40"/>
      <c r="AC14" s="40"/>
      <c r="AD14" s="98"/>
      <c r="AE14" s="57"/>
      <c r="AF14" s="57"/>
      <c r="AG14" s="57"/>
      <c r="AH14" s="98"/>
      <c r="AI14" s="61"/>
      <c r="AJ14" s="62"/>
      <c r="AK14" s="62"/>
      <c r="AL14" s="98"/>
      <c r="AM14" s="57"/>
      <c r="AN14" s="57"/>
      <c r="AO14" s="57"/>
    </row>
    <row r="15" spans="1:41" ht="112" x14ac:dyDescent="0.2">
      <c r="A15" s="43">
        <f t="shared" si="0"/>
        <v>13</v>
      </c>
      <c r="B15" s="44" t="s">
        <v>182</v>
      </c>
      <c r="C15" s="56" t="s">
        <v>148</v>
      </c>
      <c r="D15" s="127" t="s">
        <v>183</v>
      </c>
      <c r="E15" s="98"/>
      <c r="F15" s="85"/>
      <c r="G15" s="53" t="s">
        <v>184</v>
      </c>
      <c r="H15" s="41"/>
      <c r="I15" s="41"/>
      <c r="J15" s="98"/>
      <c r="K15" s="59"/>
      <c r="L15" s="48"/>
      <c r="M15" s="48"/>
      <c r="N15" s="98"/>
      <c r="O15" s="43"/>
      <c r="P15" s="50"/>
      <c r="Q15" s="50"/>
      <c r="R15" s="98"/>
      <c r="S15" s="59"/>
      <c r="T15" s="48"/>
      <c r="U15" s="48"/>
      <c r="V15" s="98"/>
      <c r="W15" s="43"/>
      <c r="X15" s="50"/>
      <c r="Y15" s="50"/>
      <c r="Z15" s="98"/>
      <c r="AA15" s="59"/>
      <c r="AB15" s="59"/>
      <c r="AC15" s="59"/>
      <c r="AD15" s="98"/>
      <c r="AE15" s="57"/>
      <c r="AF15" s="57"/>
      <c r="AG15" s="57"/>
      <c r="AH15" s="98"/>
      <c r="AI15" s="61"/>
      <c r="AJ15" s="62"/>
      <c r="AK15" s="62"/>
      <c r="AL15" s="98"/>
      <c r="AM15" s="57"/>
      <c r="AN15" s="57"/>
      <c r="AO15" s="57"/>
    </row>
    <row r="16" spans="1:41" ht="17" x14ac:dyDescent="0.2">
      <c r="A16" s="43">
        <f t="shared" si="0"/>
        <v>14</v>
      </c>
      <c r="B16" s="44" t="s">
        <v>185</v>
      </c>
      <c r="C16" s="40"/>
      <c r="D16" s="40"/>
      <c r="E16" s="97"/>
      <c r="F16" s="42"/>
      <c r="G16" s="53"/>
      <c r="H16" s="60"/>
      <c r="I16" s="60"/>
      <c r="J16" s="97"/>
      <c r="K16" s="59"/>
      <c r="L16" s="48"/>
      <c r="M16" s="48"/>
      <c r="N16" s="97"/>
      <c r="O16" s="43"/>
      <c r="P16" s="50"/>
      <c r="Q16" s="50"/>
      <c r="R16" s="97"/>
      <c r="S16" s="59"/>
      <c r="T16" s="48"/>
      <c r="U16" s="48"/>
      <c r="V16" s="97"/>
      <c r="W16" s="43"/>
      <c r="X16" s="50"/>
      <c r="Y16" s="50"/>
      <c r="Z16" s="97"/>
      <c r="AA16" s="59"/>
      <c r="AB16" s="59"/>
      <c r="AC16" s="59"/>
      <c r="AD16" s="97"/>
      <c r="AE16" s="57"/>
      <c r="AF16" s="57"/>
      <c r="AG16" s="57"/>
      <c r="AH16" s="97"/>
      <c r="AI16" s="61"/>
      <c r="AJ16" s="62"/>
      <c r="AK16" s="62"/>
      <c r="AL16" s="97"/>
      <c r="AM16" s="57"/>
      <c r="AN16" s="57"/>
      <c r="AO16" s="57"/>
    </row>
    <row r="17" spans="1:41" ht="17" x14ac:dyDescent="0.2">
      <c r="A17" s="43">
        <f t="shared" si="0"/>
        <v>15</v>
      </c>
      <c r="B17" s="44" t="s">
        <v>185</v>
      </c>
      <c r="C17" s="40"/>
      <c r="D17" s="40"/>
      <c r="E17" s="97"/>
      <c r="F17" s="42"/>
      <c r="G17" s="53"/>
      <c r="H17" s="54"/>
      <c r="I17" s="54"/>
      <c r="J17" s="97"/>
      <c r="K17" s="59"/>
      <c r="L17" s="48"/>
      <c r="M17" s="48"/>
      <c r="N17" s="97"/>
      <c r="O17" s="43"/>
      <c r="P17" s="50"/>
      <c r="Q17" s="50"/>
      <c r="R17" s="97"/>
      <c r="S17" s="59"/>
      <c r="T17" s="48"/>
      <c r="U17" s="48"/>
      <c r="V17" s="97"/>
      <c r="W17" s="43"/>
      <c r="X17" s="50"/>
      <c r="Y17" s="50"/>
      <c r="Z17" s="97"/>
      <c r="AA17" s="59"/>
      <c r="AB17" s="59"/>
      <c r="AC17" s="59"/>
      <c r="AD17" s="97"/>
      <c r="AE17" s="57"/>
      <c r="AF17" s="57"/>
      <c r="AG17" s="57"/>
      <c r="AH17" s="97"/>
      <c r="AI17" s="61"/>
      <c r="AJ17" s="62"/>
      <c r="AK17" s="62"/>
      <c r="AL17" s="97"/>
      <c r="AM17" s="57"/>
      <c r="AN17" s="57"/>
      <c r="AO17" s="57"/>
    </row>
    <row r="18" spans="1:41" ht="17" x14ac:dyDescent="0.2">
      <c r="A18" s="43">
        <f t="shared" si="0"/>
        <v>16</v>
      </c>
      <c r="B18" s="44" t="s">
        <v>185</v>
      </c>
      <c r="C18" s="40"/>
      <c r="D18" s="40"/>
      <c r="E18" s="97"/>
      <c r="F18" s="42"/>
      <c r="G18" s="53"/>
      <c r="H18" s="54"/>
      <c r="I18" s="54"/>
      <c r="J18" s="97"/>
      <c r="K18" s="59"/>
      <c r="L18" s="48"/>
      <c r="M18" s="48"/>
      <c r="N18" s="97"/>
      <c r="O18" s="43"/>
      <c r="P18" s="50"/>
      <c r="Q18" s="50"/>
      <c r="R18" s="97"/>
      <c r="S18" s="59"/>
      <c r="T18" s="48"/>
      <c r="U18" s="48"/>
      <c r="V18" s="97"/>
      <c r="W18" s="43"/>
      <c r="X18" s="50"/>
      <c r="Y18" s="50"/>
      <c r="Z18" s="97"/>
      <c r="AA18" s="59"/>
      <c r="AB18" s="59"/>
      <c r="AC18" s="59"/>
      <c r="AD18" s="97"/>
      <c r="AE18" s="57"/>
      <c r="AF18" s="57"/>
      <c r="AG18" s="57"/>
      <c r="AH18" s="97"/>
      <c r="AI18" s="61"/>
      <c r="AJ18" s="62"/>
      <c r="AK18" s="62"/>
      <c r="AL18" s="97"/>
      <c r="AM18" s="57"/>
      <c r="AN18" s="57"/>
      <c r="AO18" s="57"/>
    </row>
    <row r="19" spans="1:41" ht="112" x14ac:dyDescent="0.2">
      <c r="A19" s="43">
        <f t="shared" si="0"/>
        <v>17</v>
      </c>
      <c r="B19" s="58" t="s">
        <v>186</v>
      </c>
      <c r="C19" s="40" t="s">
        <v>148</v>
      </c>
      <c r="D19" s="127" t="s">
        <v>187</v>
      </c>
      <c r="E19" s="97"/>
      <c r="F19" s="42"/>
      <c r="G19" s="53"/>
      <c r="H19" s="41"/>
      <c r="I19" s="41"/>
      <c r="J19" s="97"/>
      <c r="K19" s="59"/>
      <c r="L19" s="48"/>
      <c r="M19" s="48"/>
      <c r="N19" s="97"/>
      <c r="O19" s="43"/>
      <c r="P19" s="50"/>
      <c r="Q19" s="50"/>
      <c r="R19" s="97"/>
      <c r="S19" s="59"/>
      <c r="T19" s="48"/>
      <c r="U19" s="48"/>
      <c r="V19" s="97"/>
      <c r="W19" s="43"/>
      <c r="X19" s="50"/>
      <c r="Y19" s="50"/>
      <c r="Z19" s="97"/>
      <c r="AA19" s="59"/>
      <c r="AB19" s="59"/>
      <c r="AC19" s="59"/>
      <c r="AD19" s="97"/>
      <c r="AE19" s="57"/>
      <c r="AF19" s="57"/>
      <c r="AG19" s="57"/>
      <c r="AH19" s="97"/>
      <c r="AI19" s="61"/>
      <c r="AJ19" s="62"/>
      <c r="AK19" s="62"/>
      <c r="AL19" s="97"/>
      <c r="AM19" s="57"/>
      <c r="AN19" s="57"/>
      <c r="AO19" s="57"/>
    </row>
    <row r="20" spans="1:41" ht="17" x14ac:dyDescent="0.2">
      <c r="A20" s="43">
        <f t="shared" si="0"/>
        <v>18</v>
      </c>
      <c r="B20" s="58" t="s">
        <v>188</v>
      </c>
      <c r="C20" s="40"/>
      <c r="D20" s="40"/>
      <c r="E20" s="97"/>
      <c r="F20" s="42"/>
      <c r="G20" s="53"/>
      <c r="H20" s="41"/>
      <c r="I20" s="41"/>
      <c r="J20" s="97"/>
      <c r="K20" s="59"/>
      <c r="L20" s="48"/>
      <c r="M20" s="48"/>
      <c r="N20" s="97"/>
      <c r="O20" s="43"/>
      <c r="P20" s="50"/>
      <c r="Q20" s="50"/>
      <c r="R20" s="97"/>
      <c r="S20" s="59"/>
      <c r="T20" s="48"/>
      <c r="U20" s="48"/>
      <c r="V20" s="97"/>
      <c r="W20" s="43"/>
      <c r="X20" s="50"/>
      <c r="Y20" s="50"/>
      <c r="Z20" s="97"/>
      <c r="AA20" s="59"/>
      <c r="AB20" s="59"/>
      <c r="AC20" s="59"/>
      <c r="AD20" s="97"/>
      <c r="AE20" s="57"/>
      <c r="AF20" s="57"/>
      <c r="AG20" s="57"/>
      <c r="AH20" s="97"/>
      <c r="AI20" s="61"/>
      <c r="AJ20" s="62"/>
      <c r="AK20" s="62"/>
      <c r="AL20" s="97"/>
      <c r="AM20" s="57"/>
      <c r="AN20" s="57"/>
      <c r="AO20" s="57"/>
    </row>
    <row r="21" spans="1:41" ht="112" x14ac:dyDescent="0.2">
      <c r="A21" s="43">
        <f t="shared" si="0"/>
        <v>19</v>
      </c>
      <c r="B21" s="128" t="s">
        <v>189</v>
      </c>
      <c r="C21" s="132" t="s">
        <v>148</v>
      </c>
      <c r="D21" s="130" t="s">
        <v>190</v>
      </c>
      <c r="E21" s="97"/>
      <c r="F21" s="42"/>
      <c r="G21" s="53"/>
      <c r="H21" s="41"/>
      <c r="I21" s="41"/>
      <c r="J21" s="97"/>
      <c r="K21" s="59"/>
      <c r="L21" s="48"/>
      <c r="M21" s="48"/>
      <c r="N21" s="97"/>
      <c r="O21" s="43"/>
      <c r="P21" s="50"/>
      <c r="Q21" s="50"/>
      <c r="R21" s="97"/>
      <c r="S21" s="59"/>
      <c r="T21" s="48"/>
      <c r="U21" s="48"/>
      <c r="V21" s="97"/>
      <c r="W21" s="43"/>
      <c r="X21" s="50"/>
      <c r="Y21" s="50"/>
      <c r="Z21" s="97"/>
      <c r="AA21" s="59"/>
      <c r="AB21" s="59"/>
      <c r="AC21" s="59"/>
      <c r="AD21" s="97"/>
      <c r="AE21" s="57"/>
      <c r="AF21" s="57"/>
      <c r="AG21" s="57"/>
      <c r="AH21" s="97"/>
      <c r="AI21" s="61"/>
      <c r="AJ21" s="62"/>
      <c r="AK21" s="62"/>
      <c r="AL21" s="97"/>
      <c r="AM21" s="57"/>
      <c r="AN21" s="57"/>
      <c r="AO21" s="57"/>
    </row>
    <row r="22" spans="1:41" ht="99.75" customHeight="1" x14ac:dyDescent="0.2">
      <c r="A22" s="43">
        <f t="shared" si="0"/>
        <v>20</v>
      </c>
      <c r="B22" s="44" t="s">
        <v>191</v>
      </c>
      <c r="C22" s="40" t="s">
        <v>148</v>
      </c>
      <c r="D22" s="127" t="s">
        <v>192</v>
      </c>
      <c r="E22" s="97"/>
      <c r="F22" s="42"/>
      <c r="H22" s="41"/>
      <c r="I22" s="41"/>
      <c r="J22" s="97"/>
      <c r="K22" s="59"/>
      <c r="L22" s="48"/>
      <c r="M22" s="48"/>
      <c r="N22" s="97"/>
      <c r="O22" s="43"/>
      <c r="P22" s="50"/>
      <c r="Q22" s="50"/>
      <c r="R22" s="97"/>
      <c r="S22" s="59"/>
      <c r="T22" s="48"/>
      <c r="U22" s="48"/>
      <c r="V22" s="97"/>
      <c r="W22" s="43"/>
      <c r="X22" s="50"/>
      <c r="Y22" s="50"/>
      <c r="Z22" s="97"/>
      <c r="AA22" s="59"/>
      <c r="AB22" s="59"/>
      <c r="AC22" s="59"/>
      <c r="AD22" s="97"/>
      <c r="AE22" s="57"/>
      <c r="AF22" s="57"/>
      <c r="AG22" s="57"/>
      <c r="AH22" s="97"/>
      <c r="AI22" s="61"/>
      <c r="AJ22" s="62"/>
      <c r="AK22" s="62"/>
      <c r="AL22" s="97"/>
      <c r="AM22" s="57"/>
      <c r="AN22" s="57"/>
      <c r="AO22" s="57"/>
    </row>
    <row r="23" spans="1:41" ht="17" x14ac:dyDescent="0.2">
      <c r="A23" s="43">
        <f t="shared" si="0"/>
        <v>21</v>
      </c>
      <c r="B23" s="44" t="s">
        <v>193</v>
      </c>
      <c r="C23" s="40"/>
      <c r="D23" s="40"/>
      <c r="E23" s="97"/>
      <c r="F23" s="42"/>
      <c r="G23" s="53"/>
      <c r="H23" s="41"/>
      <c r="I23" s="41"/>
      <c r="J23" s="97"/>
      <c r="K23" s="59"/>
      <c r="L23" s="48"/>
      <c r="M23" s="48"/>
      <c r="N23" s="97"/>
      <c r="O23" s="43"/>
      <c r="P23" s="50"/>
      <c r="Q23" s="50"/>
      <c r="R23" s="97"/>
      <c r="S23" s="59"/>
      <c r="T23" s="48"/>
      <c r="U23" s="48"/>
      <c r="V23" s="97"/>
      <c r="W23" s="43"/>
      <c r="X23" s="50"/>
      <c r="Y23" s="50"/>
      <c r="Z23" s="97"/>
      <c r="AA23" s="59"/>
      <c r="AB23" s="59"/>
      <c r="AC23" s="59"/>
      <c r="AD23" s="97"/>
      <c r="AE23" s="57"/>
      <c r="AF23" s="57"/>
      <c r="AG23" s="57"/>
      <c r="AH23" s="97"/>
      <c r="AI23" s="61"/>
      <c r="AJ23" s="62"/>
      <c r="AK23" s="62"/>
      <c r="AL23" s="97"/>
      <c r="AM23" s="57"/>
      <c r="AN23" s="57"/>
      <c r="AO23" s="57"/>
    </row>
    <row r="24" spans="1:41" ht="17" x14ac:dyDescent="0.2">
      <c r="A24" s="43">
        <f t="shared" si="0"/>
        <v>22</v>
      </c>
      <c r="B24" s="44" t="s">
        <v>193</v>
      </c>
      <c r="C24" s="40"/>
      <c r="D24" s="40"/>
      <c r="E24" s="97"/>
      <c r="F24" s="42"/>
      <c r="H24" s="41"/>
      <c r="I24" s="41"/>
      <c r="J24" s="97"/>
      <c r="K24" s="59"/>
      <c r="L24" s="48"/>
      <c r="M24" s="48"/>
      <c r="N24" s="97"/>
      <c r="O24" s="43"/>
      <c r="P24" s="50"/>
      <c r="Q24" s="50"/>
      <c r="R24" s="97"/>
      <c r="S24" s="59"/>
      <c r="T24" s="48"/>
      <c r="U24" s="48"/>
      <c r="V24" s="97"/>
      <c r="W24" s="43"/>
      <c r="X24" s="50"/>
      <c r="Y24" s="50"/>
      <c r="Z24" s="97"/>
      <c r="AA24" s="59"/>
      <c r="AB24" s="59"/>
      <c r="AC24" s="59"/>
      <c r="AD24" s="97"/>
      <c r="AE24" s="57"/>
      <c r="AF24" s="57"/>
      <c r="AG24" s="57"/>
      <c r="AH24" s="97"/>
      <c r="AI24" s="61"/>
      <c r="AJ24" s="62"/>
      <c r="AK24" s="62"/>
      <c r="AL24" s="97"/>
      <c r="AM24" s="57"/>
      <c r="AN24" s="57"/>
      <c r="AO24" s="57"/>
    </row>
    <row r="25" spans="1:41" ht="17" x14ac:dyDescent="0.2">
      <c r="A25" s="43">
        <f t="shared" si="0"/>
        <v>23</v>
      </c>
      <c r="B25" s="44" t="s">
        <v>193</v>
      </c>
      <c r="C25" s="40"/>
      <c r="D25" s="40"/>
      <c r="E25" s="97"/>
      <c r="F25" s="42"/>
      <c r="G25" s="53"/>
      <c r="H25" s="41"/>
      <c r="I25" s="41"/>
      <c r="J25" s="97"/>
      <c r="K25" s="63"/>
      <c r="L25" s="48"/>
      <c r="M25" s="48"/>
      <c r="N25" s="97"/>
      <c r="O25" s="43"/>
      <c r="P25" s="50"/>
      <c r="Q25" s="50"/>
      <c r="R25" s="97"/>
      <c r="S25" s="63"/>
      <c r="T25" s="48"/>
      <c r="U25" s="48"/>
      <c r="V25" s="97"/>
      <c r="W25" s="43"/>
      <c r="X25" s="50"/>
      <c r="Y25" s="50"/>
      <c r="Z25" s="97"/>
      <c r="AA25" s="59"/>
      <c r="AB25" s="59"/>
      <c r="AC25" s="59"/>
      <c r="AD25" s="97"/>
      <c r="AE25" s="57"/>
      <c r="AF25" s="57"/>
      <c r="AG25" s="57"/>
      <c r="AH25" s="97"/>
      <c r="AI25" s="61"/>
      <c r="AJ25" s="62"/>
      <c r="AK25" s="62"/>
      <c r="AL25" s="97"/>
      <c r="AM25" s="57"/>
      <c r="AN25" s="57"/>
      <c r="AO25" s="57"/>
    </row>
    <row r="26" spans="1:41" ht="17" x14ac:dyDescent="0.2">
      <c r="A26" s="43">
        <f t="shared" si="0"/>
        <v>24</v>
      </c>
      <c r="B26" s="47" t="s">
        <v>194</v>
      </c>
      <c r="C26" s="40" t="s">
        <v>153</v>
      </c>
      <c r="D26" s="40"/>
      <c r="E26" s="97"/>
      <c r="F26" s="42"/>
      <c r="G26" s="53"/>
      <c r="H26" s="60"/>
      <c r="I26" s="60"/>
      <c r="J26" s="97"/>
      <c r="K26" s="59"/>
      <c r="L26" s="48"/>
      <c r="M26" s="48"/>
      <c r="N26" s="97"/>
      <c r="O26" s="43"/>
      <c r="P26" s="50"/>
      <c r="Q26" s="50"/>
      <c r="R26" s="97"/>
      <c r="S26" s="59"/>
      <c r="T26" s="48"/>
      <c r="U26" s="48"/>
      <c r="V26" s="97"/>
      <c r="W26" s="43"/>
      <c r="X26" s="50"/>
      <c r="Y26" s="50"/>
      <c r="Z26" s="97"/>
      <c r="AA26" s="59"/>
      <c r="AB26" s="59"/>
      <c r="AC26" s="59"/>
      <c r="AD26" s="97"/>
      <c r="AE26" s="57"/>
      <c r="AF26" s="57"/>
      <c r="AG26" s="57"/>
      <c r="AH26" s="97"/>
      <c r="AI26" s="61"/>
      <c r="AJ26" s="62"/>
      <c r="AK26" s="62"/>
      <c r="AL26" s="97"/>
      <c r="AM26" s="57"/>
      <c r="AN26" s="57"/>
      <c r="AO26" s="57"/>
    </row>
    <row r="27" spans="1:41" ht="128" x14ac:dyDescent="0.2">
      <c r="A27" s="43">
        <f t="shared" si="0"/>
        <v>25</v>
      </c>
      <c r="B27" s="47" t="s">
        <v>195</v>
      </c>
      <c r="C27" s="40" t="s">
        <v>196</v>
      </c>
      <c r="D27" s="127" t="s">
        <v>192</v>
      </c>
      <c r="E27" s="97"/>
      <c r="F27" s="42"/>
      <c r="G27" s="53"/>
      <c r="H27" s="41"/>
      <c r="I27" s="41"/>
      <c r="J27" s="97"/>
      <c r="K27" s="59"/>
      <c r="L27" s="48"/>
      <c r="M27" s="48"/>
      <c r="N27" s="97"/>
      <c r="O27" s="43"/>
      <c r="P27" s="50"/>
      <c r="Q27" s="50"/>
      <c r="R27" s="97"/>
      <c r="S27" s="59"/>
      <c r="T27" s="48"/>
      <c r="U27" s="48"/>
      <c r="V27" s="97"/>
      <c r="W27" s="43"/>
      <c r="X27" s="50"/>
      <c r="Y27" s="50"/>
      <c r="Z27" s="97"/>
      <c r="AA27" s="59"/>
      <c r="AB27" s="59"/>
      <c r="AC27" s="59"/>
      <c r="AD27" s="97"/>
      <c r="AE27" s="57"/>
      <c r="AF27" s="57"/>
      <c r="AG27" s="57"/>
      <c r="AH27" s="97"/>
      <c r="AI27" s="61"/>
      <c r="AJ27" s="62"/>
      <c r="AK27" s="62"/>
      <c r="AL27" s="97"/>
      <c r="AM27" s="57"/>
      <c r="AN27" s="57"/>
      <c r="AO27" s="57"/>
    </row>
    <row r="28" spans="1:41" ht="17" x14ac:dyDescent="0.2">
      <c r="A28" s="43">
        <f t="shared" si="0"/>
        <v>26</v>
      </c>
      <c r="B28" s="47" t="s">
        <v>197</v>
      </c>
      <c r="C28" s="40"/>
      <c r="D28" s="40"/>
      <c r="E28" s="97"/>
      <c r="F28" s="42"/>
      <c r="G28" s="53"/>
      <c r="H28" s="41"/>
      <c r="I28" s="41"/>
      <c r="J28" s="97"/>
      <c r="K28" s="59"/>
      <c r="L28" s="48"/>
      <c r="M28" s="48"/>
      <c r="N28" s="97"/>
      <c r="O28" s="43"/>
      <c r="P28" s="50"/>
      <c r="Q28" s="50"/>
      <c r="R28" s="97"/>
      <c r="S28" s="59"/>
      <c r="T28" s="48"/>
      <c r="U28" s="48"/>
      <c r="V28" s="97"/>
      <c r="W28" s="43"/>
      <c r="X28" s="50"/>
      <c r="Y28" s="50"/>
      <c r="Z28" s="97"/>
      <c r="AA28" s="59"/>
      <c r="AB28" s="59"/>
      <c r="AC28" s="59"/>
      <c r="AD28" s="97"/>
      <c r="AE28" s="57"/>
      <c r="AF28" s="57"/>
      <c r="AG28" s="57"/>
      <c r="AH28" s="97"/>
      <c r="AI28" s="61"/>
      <c r="AJ28" s="62"/>
      <c r="AK28" s="62"/>
      <c r="AL28" s="97"/>
      <c r="AM28" s="57"/>
      <c r="AN28" s="57"/>
      <c r="AO28" s="57"/>
    </row>
    <row r="29" spans="1:41" ht="85" x14ac:dyDescent="0.2">
      <c r="A29" s="43">
        <f t="shared" si="0"/>
        <v>27</v>
      </c>
      <c r="B29" s="47" t="s">
        <v>198</v>
      </c>
      <c r="C29" s="40" t="s">
        <v>153</v>
      </c>
      <c r="D29" s="40" t="s">
        <v>199</v>
      </c>
      <c r="E29" s="97"/>
      <c r="F29" s="42"/>
      <c r="G29" s="53"/>
      <c r="H29" s="54"/>
      <c r="I29" s="54"/>
      <c r="J29" s="97"/>
      <c r="K29" s="59"/>
      <c r="L29" s="48"/>
      <c r="M29" s="48"/>
      <c r="N29" s="97"/>
      <c r="O29" s="43"/>
      <c r="P29" s="50"/>
      <c r="Q29" s="50"/>
      <c r="R29" s="97"/>
      <c r="S29" s="59"/>
      <c r="T29" s="48"/>
      <c r="U29" s="48"/>
      <c r="V29" s="97"/>
      <c r="W29" s="43"/>
      <c r="X29" s="50"/>
      <c r="Y29" s="50"/>
      <c r="Z29" s="97"/>
      <c r="AA29" s="59"/>
      <c r="AB29" s="59"/>
      <c r="AC29" s="59"/>
      <c r="AD29" s="97"/>
      <c r="AE29" s="57"/>
      <c r="AF29" s="57"/>
      <c r="AG29" s="57"/>
      <c r="AH29" s="97"/>
      <c r="AI29" s="61"/>
      <c r="AJ29" s="62"/>
      <c r="AK29" s="62"/>
      <c r="AL29" s="97"/>
      <c r="AM29" s="57"/>
      <c r="AN29" s="57"/>
      <c r="AO29" s="57"/>
    </row>
    <row r="30" spans="1:41" ht="17" x14ac:dyDescent="0.2">
      <c r="A30" s="43">
        <f t="shared" si="0"/>
        <v>28</v>
      </c>
      <c r="B30" s="47" t="s">
        <v>198</v>
      </c>
      <c r="C30" s="40"/>
      <c r="D30" s="40"/>
      <c r="E30" s="97"/>
      <c r="F30" s="42"/>
      <c r="G30" s="53"/>
      <c r="H30" s="41"/>
      <c r="I30" s="41"/>
      <c r="J30" s="97"/>
      <c r="K30" s="59"/>
      <c r="L30" s="48"/>
      <c r="M30" s="48"/>
      <c r="N30" s="97"/>
      <c r="O30" s="43"/>
      <c r="P30" s="50"/>
      <c r="Q30" s="50"/>
      <c r="R30" s="97"/>
      <c r="S30" s="59"/>
      <c r="T30" s="48"/>
      <c r="U30" s="48"/>
      <c r="V30" s="97"/>
      <c r="W30" s="43"/>
      <c r="X30" s="50"/>
      <c r="Y30" s="50"/>
      <c r="Z30" s="97"/>
      <c r="AA30" s="59"/>
      <c r="AB30" s="59"/>
      <c r="AC30" s="59"/>
      <c r="AD30" s="97"/>
      <c r="AE30" s="57"/>
      <c r="AF30" s="57"/>
      <c r="AG30" s="57"/>
      <c r="AH30" s="97"/>
      <c r="AI30" s="61"/>
      <c r="AJ30" s="62"/>
      <c r="AK30" s="62"/>
      <c r="AL30" s="97"/>
      <c r="AM30" s="57"/>
      <c r="AN30" s="57"/>
      <c r="AO30" s="57"/>
    </row>
    <row r="31" spans="1:41" ht="17" x14ac:dyDescent="0.2">
      <c r="A31" s="43">
        <f t="shared" si="0"/>
        <v>29</v>
      </c>
      <c r="B31" s="44" t="s">
        <v>200</v>
      </c>
      <c r="C31" s="40"/>
      <c r="D31" s="40"/>
      <c r="E31" s="97"/>
      <c r="F31" s="42"/>
      <c r="G31" s="53"/>
      <c r="H31" s="41"/>
      <c r="I31" s="41"/>
      <c r="J31" s="97"/>
      <c r="K31" s="59"/>
      <c r="L31" s="61"/>
      <c r="M31" s="61"/>
      <c r="N31" s="97"/>
      <c r="O31" s="43"/>
      <c r="P31" s="50"/>
      <c r="Q31" s="50"/>
      <c r="R31" s="97"/>
      <c r="S31" s="59"/>
      <c r="T31" s="61"/>
      <c r="U31" s="61"/>
      <c r="V31" s="97"/>
      <c r="W31" s="43"/>
      <c r="X31" s="50"/>
      <c r="Y31" s="50"/>
      <c r="Z31" s="97"/>
      <c r="AA31" s="59"/>
      <c r="AB31" s="59"/>
      <c r="AC31" s="59"/>
      <c r="AD31" s="97"/>
      <c r="AE31" s="57"/>
      <c r="AF31" s="57"/>
      <c r="AG31" s="57"/>
      <c r="AH31" s="97"/>
      <c r="AI31" s="61"/>
      <c r="AJ31" s="62"/>
      <c r="AK31" s="62"/>
      <c r="AL31" s="97"/>
      <c r="AM31" s="57"/>
      <c r="AN31" s="57"/>
      <c r="AO31" s="57"/>
    </row>
    <row r="32" spans="1:41" ht="17" x14ac:dyDescent="0.2">
      <c r="A32" s="43">
        <f t="shared" si="0"/>
        <v>30</v>
      </c>
      <c r="B32" s="128" t="s">
        <v>201</v>
      </c>
      <c r="C32" s="129"/>
      <c r="D32" s="129"/>
      <c r="E32" s="97"/>
      <c r="F32" s="42"/>
      <c r="G32" s="45"/>
      <c r="H32" s="41"/>
      <c r="I32" s="41"/>
      <c r="J32" s="97"/>
      <c r="K32" s="59"/>
      <c r="L32" s="61"/>
      <c r="M32" s="61"/>
      <c r="N32" s="97"/>
      <c r="O32" s="43"/>
      <c r="P32" s="50"/>
      <c r="Q32" s="50"/>
      <c r="R32" s="97"/>
      <c r="S32" s="59"/>
      <c r="T32" s="61"/>
      <c r="U32" s="61"/>
      <c r="V32" s="97"/>
      <c r="W32" s="43"/>
      <c r="X32" s="50"/>
      <c r="Y32" s="50"/>
      <c r="Z32" s="97"/>
      <c r="AA32" s="59"/>
      <c r="AB32" s="59"/>
      <c r="AC32" s="59"/>
      <c r="AD32" s="97"/>
      <c r="AE32" s="57"/>
      <c r="AF32" s="57"/>
      <c r="AG32" s="57"/>
      <c r="AH32" s="97"/>
      <c r="AI32" s="61"/>
      <c r="AJ32" s="62"/>
      <c r="AK32" s="62"/>
      <c r="AL32" s="97"/>
      <c r="AM32" s="57"/>
      <c r="AN32" s="57"/>
      <c r="AO32" s="57"/>
    </row>
    <row r="33" spans="1:41" ht="112" x14ac:dyDescent="0.2">
      <c r="A33" s="43">
        <f t="shared" si="0"/>
        <v>31</v>
      </c>
      <c r="B33" s="69" t="s">
        <v>202</v>
      </c>
      <c r="C33" s="129" t="s">
        <v>148</v>
      </c>
      <c r="D33" s="130" t="s">
        <v>203</v>
      </c>
      <c r="E33" s="97"/>
      <c r="F33" s="42"/>
      <c r="G33" s="45"/>
      <c r="H33" s="41"/>
      <c r="I33" s="41"/>
      <c r="J33" s="97"/>
      <c r="K33" s="59"/>
      <c r="L33" s="61"/>
      <c r="M33" s="61"/>
      <c r="N33" s="97"/>
      <c r="O33" s="43"/>
      <c r="P33" s="50"/>
      <c r="Q33" s="50"/>
      <c r="R33" s="97"/>
      <c r="S33" s="59"/>
      <c r="T33" s="61"/>
      <c r="U33" s="61"/>
      <c r="V33" s="97"/>
      <c r="W33" s="43"/>
      <c r="X33" s="50"/>
      <c r="Y33" s="50"/>
      <c r="Z33" s="97"/>
      <c r="AA33" s="59"/>
      <c r="AB33" s="59"/>
      <c r="AC33" s="59"/>
      <c r="AD33" s="97"/>
      <c r="AE33" s="57"/>
      <c r="AF33" s="57"/>
      <c r="AG33" s="57"/>
      <c r="AH33" s="97"/>
      <c r="AI33" s="61"/>
      <c r="AJ33" s="62"/>
      <c r="AK33" s="62"/>
      <c r="AL33" s="97"/>
      <c r="AM33" s="57"/>
      <c r="AN33" s="57"/>
      <c r="AO33" s="57"/>
    </row>
    <row r="34" spans="1:41" ht="17" x14ac:dyDescent="0.2">
      <c r="A34" s="43">
        <f t="shared" si="0"/>
        <v>32</v>
      </c>
      <c r="B34" s="131" t="s">
        <v>204</v>
      </c>
      <c r="C34" s="129"/>
      <c r="D34" s="129"/>
      <c r="E34" s="97"/>
      <c r="F34" s="42"/>
      <c r="G34" s="45"/>
      <c r="H34" s="41"/>
      <c r="I34" s="41"/>
      <c r="J34" s="97"/>
      <c r="K34" s="59"/>
      <c r="L34" s="61"/>
      <c r="M34" s="61"/>
      <c r="N34" s="97"/>
      <c r="O34" s="43"/>
      <c r="P34" s="50"/>
      <c r="Q34" s="50"/>
      <c r="R34" s="97"/>
      <c r="S34" s="59"/>
      <c r="T34" s="61"/>
      <c r="U34" s="61"/>
      <c r="V34" s="97"/>
      <c r="W34" s="43"/>
      <c r="X34" s="50"/>
      <c r="Y34" s="50"/>
      <c r="Z34" s="97"/>
      <c r="AA34" s="59"/>
      <c r="AB34" s="59"/>
      <c r="AC34" s="59"/>
      <c r="AD34" s="97"/>
      <c r="AE34" s="57"/>
      <c r="AF34" s="57"/>
      <c r="AG34" s="57"/>
      <c r="AH34" s="97"/>
      <c r="AI34" s="61"/>
      <c r="AJ34" s="62"/>
      <c r="AK34" s="62"/>
      <c r="AL34" s="97"/>
      <c r="AM34" s="57"/>
      <c r="AN34" s="57"/>
      <c r="AO34" s="57"/>
    </row>
    <row r="35" spans="1:41" ht="17" x14ac:dyDescent="0.2">
      <c r="A35" s="43">
        <f t="shared" si="0"/>
        <v>33</v>
      </c>
      <c r="B35" s="126" t="s">
        <v>205</v>
      </c>
      <c r="C35" s="40"/>
      <c r="D35" s="40"/>
      <c r="E35" s="97"/>
      <c r="F35" s="42"/>
      <c r="G35" s="53"/>
      <c r="H35" s="41"/>
      <c r="I35" s="41"/>
      <c r="J35" s="97"/>
      <c r="K35" s="59"/>
      <c r="L35" s="61"/>
      <c r="M35" s="61"/>
      <c r="N35" s="97"/>
      <c r="O35" s="43"/>
      <c r="P35" s="50"/>
      <c r="Q35" s="50"/>
      <c r="R35" s="97"/>
      <c r="S35" s="59"/>
      <c r="T35" s="61"/>
      <c r="U35" s="61"/>
      <c r="V35" s="97"/>
      <c r="W35" s="43"/>
      <c r="X35" s="50"/>
      <c r="Y35" s="50"/>
      <c r="Z35" s="97"/>
      <c r="AA35" s="59"/>
      <c r="AB35" s="59"/>
      <c r="AC35" s="59"/>
      <c r="AD35" s="97"/>
      <c r="AE35" s="64"/>
      <c r="AF35" s="64"/>
      <c r="AG35" s="64"/>
      <c r="AH35" s="97"/>
      <c r="AI35" s="61"/>
      <c r="AJ35" s="62"/>
      <c r="AK35" s="62"/>
      <c r="AL35" s="97"/>
      <c r="AM35" s="64"/>
      <c r="AN35" s="64"/>
      <c r="AO35" s="64"/>
    </row>
    <row r="36" spans="1:41" ht="17" x14ac:dyDescent="0.2">
      <c r="A36" s="43">
        <f t="shared" si="0"/>
        <v>34</v>
      </c>
      <c r="B36" s="69" t="s">
        <v>206</v>
      </c>
      <c r="C36" s="129"/>
      <c r="D36" s="129"/>
      <c r="E36" s="97"/>
      <c r="F36" s="42"/>
      <c r="G36" s="53"/>
      <c r="H36" s="41"/>
      <c r="I36" s="41"/>
      <c r="J36" s="97"/>
      <c r="K36" s="59"/>
      <c r="L36" s="61"/>
      <c r="M36" s="61"/>
      <c r="N36" s="97"/>
      <c r="O36" s="43"/>
      <c r="P36" s="50"/>
      <c r="Q36" s="50"/>
      <c r="R36" s="97"/>
      <c r="S36" s="59"/>
      <c r="T36" s="61"/>
      <c r="U36" s="61"/>
      <c r="V36" s="97"/>
      <c r="W36" s="43"/>
      <c r="X36" s="50"/>
      <c r="Y36" s="50"/>
      <c r="Z36" s="97"/>
      <c r="AA36" s="59"/>
      <c r="AB36" s="59"/>
      <c r="AC36" s="59"/>
      <c r="AD36" s="97"/>
      <c r="AE36" s="57"/>
      <c r="AF36" s="57"/>
      <c r="AG36" s="57"/>
      <c r="AH36" s="97"/>
      <c r="AI36" s="61"/>
      <c r="AJ36" s="62"/>
      <c r="AK36" s="62"/>
      <c r="AL36" s="97"/>
      <c r="AM36" s="57"/>
      <c r="AN36" s="57"/>
      <c r="AO36" s="57"/>
    </row>
    <row r="37" spans="1:41" ht="112" x14ac:dyDescent="0.2">
      <c r="A37" s="43">
        <f t="shared" si="0"/>
        <v>35</v>
      </c>
      <c r="B37" s="44" t="s">
        <v>207</v>
      </c>
      <c r="C37" s="40" t="s">
        <v>148</v>
      </c>
      <c r="D37" s="127" t="s">
        <v>208</v>
      </c>
      <c r="E37" s="97"/>
      <c r="F37" s="42"/>
      <c r="G37" s="45"/>
      <c r="H37" s="41"/>
      <c r="I37" s="41"/>
      <c r="J37" s="97"/>
      <c r="K37" s="59"/>
      <c r="L37" s="61"/>
      <c r="M37" s="61"/>
      <c r="N37" s="97"/>
      <c r="O37" s="43"/>
      <c r="P37" s="50"/>
      <c r="Q37" s="50"/>
      <c r="R37" s="97"/>
      <c r="S37" s="59"/>
      <c r="T37" s="61"/>
      <c r="U37" s="61"/>
      <c r="V37" s="97"/>
      <c r="W37" s="43"/>
      <c r="X37" s="50"/>
      <c r="Y37" s="50"/>
      <c r="Z37" s="97"/>
      <c r="AA37" s="59"/>
      <c r="AB37" s="59"/>
      <c r="AC37" s="59"/>
      <c r="AD37" s="97"/>
      <c r="AE37" s="57"/>
      <c r="AF37" s="57"/>
      <c r="AG37" s="57"/>
      <c r="AH37" s="97"/>
      <c r="AI37" s="61"/>
      <c r="AJ37" s="62"/>
      <c r="AK37" s="62"/>
      <c r="AL37" s="97"/>
      <c r="AM37" s="57"/>
      <c r="AN37" s="57"/>
      <c r="AO37" s="57"/>
    </row>
    <row r="38" spans="1:41" ht="112" x14ac:dyDescent="0.2">
      <c r="A38" s="43">
        <f t="shared" si="0"/>
        <v>36</v>
      </c>
      <c r="B38" s="44" t="s">
        <v>209</v>
      </c>
      <c r="C38" s="40" t="s">
        <v>148</v>
      </c>
      <c r="D38" s="127" t="s">
        <v>210</v>
      </c>
      <c r="E38" s="97"/>
      <c r="F38" s="42"/>
      <c r="G38" s="45"/>
      <c r="H38" s="41"/>
      <c r="I38" s="41"/>
      <c r="J38" s="97"/>
      <c r="K38" s="59"/>
      <c r="L38" s="61"/>
      <c r="M38" s="61"/>
      <c r="N38" s="97"/>
      <c r="O38" s="43"/>
      <c r="P38" s="50"/>
      <c r="Q38" s="50"/>
      <c r="R38" s="97"/>
      <c r="S38" s="59"/>
      <c r="T38" s="61"/>
      <c r="U38" s="61"/>
      <c r="V38" s="97"/>
      <c r="W38" s="43"/>
      <c r="X38" s="50"/>
      <c r="Y38" s="50"/>
      <c r="Z38" s="97"/>
      <c r="AA38" s="59"/>
      <c r="AB38" s="59"/>
      <c r="AC38" s="59"/>
      <c r="AD38" s="97"/>
      <c r="AE38" s="64"/>
      <c r="AF38" s="64"/>
      <c r="AG38" s="64"/>
      <c r="AH38" s="97"/>
      <c r="AI38" s="61"/>
      <c r="AJ38" s="62"/>
      <c r="AK38" s="62"/>
      <c r="AL38" s="97"/>
      <c r="AM38" s="64"/>
      <c r="AN38" s="64"/>
      <c r="AO38" s="64"/>
    </row>
    <row r="39" spans="1:41" ht="112" x14ac:dyDescent="0.2">
      <c r="A39" s="43">
        <f t="shared" si="0"/>
        <v>37</v>
      </c>
      <c r="B39" s="44" t="s">
        <v>211</v>
      </c>
      <c r="C39" s="40" t="s">
        <v>148</v>
      </c>
      <c r="D39" s="127" t="s">
        <v>128</v>
      </c>
      <c r="E39" s="97"/>
      <c r="F39" s="42"/>
      <c r="G39" s="53"/>
      <c r="H39" s="41"/>
      <c r="I39" s="41"/>
      <c r="J39" s="97"/>
      <c r="K39" s="59"/>
      <c r="L39" s="61"/>
      <c r="M39" s="61"/>
      <c r="N39" s="97"/>
      <c r="O39" s="43"/>
      <c r="P39" s="50"/>
      <c r="Q39" s="50"/>
      <c r="R39" s="97"/>
      <c r="S39" s="59"/>
      <c r="T39" s="61"/>
      <c r="U39" s="61"/>
      <c r="V39" s="97"/>
      <c r="W39" s="43"/>
      <c r="X39" s="50"/>
      <c r="Y39" s="50"/>
      <c r="Z39" s="97"/>
      <c r="AA39" s="59"/>
      <c r="AB39" s="59"/>
      <c r="AC39" s="59"/>
      <c r="AD39" s="97"/>
      <c r="AE39" s="64"/>
      <c r="AF39" s="64"/>
      <c r="AG39" s="64"/>
      <c r="AH39" s="97"/>
      <c r="AI39" s="61"/>
      <c r="AJ39" s="62"/>
      <c r="AK39" s="62"/>
      <c r="AL39" s="97"/>
      <c r="AM39" s="64"/>
      <c r="AN39" s="64"/>
      <c r="AO39" s="64"/>
    </row>
    <row r="40" spans="1:41" ht="128" x14ac:dyDescent="0.2">
      <c r="A40" s="43">
        <f t="shared" si="0"/>
        <v>38</v>
      </c>
      <c r="B40" s="44" t="s">
        <v>212</v>
      </c>
      <c r="C40" s="40" t="s">
        <v>148</v>
      </c>
      <c r="D40" s="127" t="s">
        <v>213</v>
      </c>
      <c r="E40" s="97"/>
      <c r="F40" s="42"/>
      <c r="G40" s="53"/>
      <c r="H40" s="41"/>
      <c r="I40" s="41"/>
      <c r="J40" s="97"/>
      <c r="K40" s="59"/>
      <c r="L40" s="61"/>
      <c r="M40" s="61"/>
      <c r="N40" s="97"/>
      <c r="O40" s="43"/>
      <c r="P40" s="50"/>
      <c r="Q40" s="50"/>
      <c r="R40" s="97"/>
      <c r="S40" s="59"/>
      <c r="T40" s="61"/>
      <c r="U40" s="61"/>
      <c r="V40" s="97"/>
      <c r="W40" s="43"/>
      <c r="X40" s="50"/>
      <c r="Y40" s="50"/>
      <c r="Z40" s="97"/>
      <c r="AA40" s="59"/>
      <c r="AB40" s="59"/>
      <c r="AC40" s="59"/>
      <c r="AD40" s="97"/>
      <c r="AE40" s="64"/>
      <c r="AF40" s="64"/>
      <c r="AG40" s="64"/>
      <c r="AH40" s="97"/>
      <c r="AI40" s="61"/>
      <c r="AJ40" s="62"/>
      <c r="AK40" s="62"/>
      <c r="AL40" s="97"/>
      <c r="AM40" s="64"/>
      <c r="AN40" s="64"/>
      <c r="AO40" s="64"/>
    </row>
    <row r="41" spans="1:41" ht="112" x14ac:dyDescent="0.2">
      <c r="A41" s="43">
        <f t="shared" si="0"/>
        <v>39</v>
      </c>
      <c r="B41" s="44" t="s">
        <v>214</v>
      </c>
      <c r="C41" s="40" t="s">
        <v>148</v>
      </c>
      <c r="D41" s="127" t="s">
        <v>215</v>
      </c>
      <c r="E41" s="97"/>
      <c r="F41" s="42"/>
      <c r="G41" s="45"/>
      <c r="H41" s="41"/>
      <c r="I41" s="41"/>
      <c r="J41" s="97"/>
      <c r="K41" s="59"/>
      <c r="L41" s="61"/>
      <c r="M41" s="61"/>
      <c r="N41" s="97"/>
      <c r="O41" s="43"/>
      <c r="P41" s="50"/>
      <c r="Q41" s="50"/>
      <c r="R41" s="97"/>
      <c r="S41" s="59"/>
      <c r="T41" s="61"/>
      <c r="U41" s="61"/>
      <c r="V41" s="97"/>
      <c r="W41" s="43"/>
      <c r="X41" s="50"/>
      <c r="Y41" s="50"/>
      <c r="Z41" s="97"/>
      <c r="AA41" s="59"/>
      <c r="AB41" s="59"/>
      <c r="AC41" s="59"/>
      <c r="AD41" s="97"/>
      <c r="AE41" s="64"/>
      <c r="AF41" s="64"/>
      <c r="AG41" s="64"/>
      <c r="AH41" s="97"/>
      <c r="AI41" s="61"/>
      <c r="AJ41" s="62"/>
      <c r="AK41" s="62"/>
      <c r="AL41" s="97"/>
      <c r="AM41" s="64"/>
      <c r="AN41" s="64"/>
      <c r="AO41" s="64"/>
    </row>
    <row r="42" spans="1:41" ht="128" x14ac:dyDescent="0.2">
      <c r="A42" s="43">
        <f t="shared" si="0"/>
        <v>40</v>
      </c>
      <c r="B42" s="128" t="s">
        <v>216</v>
      </c>
      <c r="C42" s="129" t="s">
        <v>148</v>
      </c>
      <c r="D42" s="130" t="s">
        <v>217</v>
      </c>
      <c r="E42" s="97"/>
      <c r="F42" s="42"/>
      <c r="G42" s="45"/>
      <c r="H42" s="41"/>
      <c r="I42" s="41"/>
      <c r="J42" s="97"/>
      <c r="K42" s="59"/>
      <c r="L42" s="61"/>
      <c r="M42" s="61"/>
      <c r="N42" s="97"/>
      <c r="O42" s="43"/>
      <c r="P42" s="50"/>
      <c r="Q42" s="50"/>
      <c r="R42" s="97"/>
      <c r="S42" s="59"/>
      <c r="T42" s="61"/>
      <c r="U42" s="61"/>
      <c r="V42" s="97"/>
      <c r="W42" s="43"/>
      <c r="X42" s="50"/>
      <c r="Y42" s="50"/>
      <c r="Z42" s="97"/>
      <c r="AA42" s="59"/>
      <c r="AB42" s="59"/>
      <c r="AC42" s="59"/>
      <c r="AD42" s="97"/>
      <c r="AE42" s="64"/>
      <c r="AF42" s="64"/>
      <c r="AG42" s="64"/>
      <c r="AH42" s="97"/>
      <c r="AI42" s="61"/>
      <c r="AJ42" s="62"/>
      <c r="AK42" s="62"/>
      <c r="AL42" s="97"/>
      <c r="AM42" s="64"/>
      <c r="AN42" s="64"/>
      <c r="AO42" s="64"/>
    </row>
    <row r="43" spans="1:41" ht="17" x14ac:dyDescent="0.2">
      <c r="A43" s="43">
        <f t="shared" si="0"/>
        <v>41</v>
      </c>
      <c r="B43" s="44" t="s">
        <v>218</v>
      </c>
      <c r="C43" s="40" t="s">
        <v>153</v>
      </c>
      <c r="D43" s="40"/>
      <c r="E43" s="97"/>
      <c r="F43" s="42"/>
      <c r="G43" s="45"/>
      <c r="H43" s="41"/>
      <c r="I43" s="41"/>
      <c r="J43" s="97"/>
      <c r="K43" s="59"/>
      <c r="L43" s="61"/>
      <c r="M43" s="61"/>
      <c r="N43" s="97"/>
      <c r="O43" s="43"/>
      <c r="P43" s="50"/>
      <c r="Q43" s="50"/>
      <c r="R43" s="97"/>
      <c r="S43" s="59"/>
      <c r="T43" s="61"/>
      <c r="U43" s="61"/>
      <c r="V43" s="97"/>
      <c r="W43" s="43"/>
      <c r="X43" s="50"/>
      <c r="Y43" s="50"/>
      <c r="Z43" s="97"/>
      <c r="AA43" s="59"/>
      <c r="AB43" s="59"/>
      <c r="AC43" s="59"/>
      <c r="AD43" s="97"/>
      <c r="AE43" s="64"/>
      <c r="AF43" s="64"/>
      <c r="AG43" s="64"/>
      <c r="AH43" s="97"/>
      <c r="AI43" s="61"/>
      <c r="AJ43" s="62"/>
      <c r="AK43" s="62"/>
      <c r="AL43" s="97"/>
      <c r="AM43" s="64"/>
      <c r="AN43" s="64"/>
      <c r="AO43" s="64"/>
    </row>
    <row r="44" spans="1:41" ht="17" x14ac:dyDescent="0.2">
      <c r="A44" s="43">
        <f t="shared" si="0"/>
        <v>42</v>
      </c>
      <c r="B44" s="44" t="s">
        <v>219</v>
      </c>
      <c r="C44" s="40" t="s">
        <v>153</v>
      </c>
      <c r="D44" s="40"/>
      <c r="E44" s="97"/>
      <c r="F44" s="42"/>
      <c r="G44" s="53"/>
      <c r="H44" s="41"/>
      <c r="I44" s="41"/>
      <c r="J44" s="97"/>
      <c r="K44" s="59"/>
      <c r="L44" s="61"/>
      <c r="M44" s="61"/>
      <c r="N44" s="97"/>
      <c r="O44" s="43"/>
      <c r="P44" s="42"/>
      <c r="Q44" s="42"/>
      <c r="R44" s="97"/>
      <c r="S44" s="59"/>
      <c r="T44" s="61"/>
      <c r="U44" s="61"/>
      <c r="V44" s="97"/>
      <c r="W44" s="43"/>
      <c r="X44" s="42"/>
      <c r="Y44" s="42"/>
      <c r="Z44" s="97"/>
      <c r="AA44" s="59"/>
      <c r="AB44" s="59"/>
      <c r="AC44" s="59"/>
      <c r="AD44" s="97"/>
      <c r="AE44" s="64"/>
      <c r="AF44" s="64"/>
      <c r="AG44" s="64"/>
      <c r="AH44" s="97"/>
      <c r="AI44" s="61"/>
      <c r="AJ44" s="62"/>
      <c r="AK44" s="62"/>
      <c r="AL44" s="97"/>
      <c r="AM44" s="64"/>
      <c r="AN44" s="64"/>
      <c r="AO44" s="64"/>
    </row>
    <row r="45" spans="1:41" ht="17" x14ac:dyDescent="0.2">
      <c r="A45" s="43">
        <f t="shared" si="0"/>
        <v>43</v>
      </c>
      <c r="B45" s="44" t="s">
        <v>220</v>
      </c>
      <c r="C45" s="40"/>
      <c r="D45" s="40"/>
      <c r="E45" s="97"/>
      <c r="F45" s="42"/>
      <c r="G45" s="53"/>
      <c r="H45" s="41"/>
      <c r="I45" s="41"/>
      <c r="J45" s="97"/>
      <c r="K45" s="59"/>
      <c r="L45" s="61"/>
      <c r="M45" s="61"/>
      <c r="N45" s="97"/>
      <c r="O45" s="43"/>
      <c r="P45" s="42"/>
      <c r="Q45" s="42"/>
      <c r="R45" s="97"/>
      <c r="S45" s="59"/>
      <c r="T45" s="61"/>
      <c r="U45" s="61"/>
      <c r="V45" s="97"/>
      <c r="W45" s="43"/>
      <c r="X45" s="42"/>
      <c r="Y45" s="42"/>
      <c r="Z45" s="97"/>
      <c r="AA45" s="59"/>
      <c r="AB45" s="59"/>
      <c r="AC45" s="59"/>
      <c r="AD45" s="97"/>
      <c r="AE45" s="64"/>
      <c r="AF45" s="64"/>
      <c r="AG45" s="64"/>
      <c r="AH45" s="97"/>
      <c r="AI45" s="61"/>
      <c r="AJ45" s="62"/>
      <c r="AK45" s="62"/>
      <c r="AL45" s="97"/>
      <c r="AM45" s="64"/>
      <c r="AN45" s="64"/>
      <c r="AO45" s="64"/>
    </row>
    <row r="46" spans="1:41" ht="17" x14ac:dyDescent="0.2">
      <c r="A46" s="43">
        <f t="shared" si="0"/>
        <v>44</v>
      </c>
      <c r="B46" s="44" t="s">
        <v>221</v>
      </c>
      <c r="C46" s="40"/>
      <c r="D46" s="40"/>
      <c r="E46" s="97"/>
      <c r="F46" s="42"/>
      <c r="G46" s="53"/>
      <c r="H46" s="41"/>
      <c r="I46" s="41"/>
      <c r="J46" s="97"/>
      <c r="K46" s="59"/>
      <c r="L46" s="61"/>
      <c r="M46" s="61"/>
      <c r="N46" s="97"/>
      <c r="O46" s="43"/>
      <c r="P46" s="42"/>
      <c r="Q46" s="42"/>
      <c r="R46" s="97"/>
      <c r="S46" s="59"/>
      <c r="T46" s="61"/>
      <c r="U46" s="61"/>
      <c r="V46" s="97"/>
      <c r="W46" s="43"/>
      <c r="X46" s="42"/>
      <c r="Y46" s="42"/>
      <c r="Z46" s="97"/>
      <c r="AA46" s="59"/>
      <c r="AB46" s="59"/>
      <c r="AC46" s="59"/>
      <c r="AD46" s="97"/>
      <c r="AE46" s="64"/>
      <c r="AF46" s="64"/>
      <c r="AG46" s="64"/>
      <c r="AH46" s="97"/>
      <c r="AI46" s="65"/>
      <c r="AJ46" s="62"/>
      <c r="AK46" s="62"/>
      <c r="AL46" s="97"/>
      <c r="AM46" s="64"/>
      <c r="AN46" s="64"/>
      <c r="AO46" s="64"/>
    </row>
    <row r="47" spans="1:41" ht="17" x14ac:dyDescent="0.2">
      <c r="A47" s="43">
        <f t="shared" si="0"/>
        <v>45</v>
      </c>
      <c r="B47" s="44" t="s">
        <v>222</v>
      </c>
      <c r="C47" s="40"/>
      <c r="D47" s="40"/>
      <c r="E47" s="97"/>
      <c r="F47" s="42"/>
      <c r="G47" s="53"/>
      <c r="H47" s="41"/>
      <c r="I47" s="41"/>
      <c r="J47" s="97"/>
      <c r="K47" s="59"/>
      <c r="L47" s="40"/>
      <c r="M47" s="40"/>
      <c r="N47" s="97"/>
      <c r="O47" s="43"/>
      <c r="P47" s="42"/>
      <c r="Q47" s="42"/>
      <c r="R47" s="97"/>
      <c r="S47" s="59"/>
      <c r="T47" s="40"/>
      <c r="U47" s="40"/>
      <c r="V47" s="97"/>
      <c r="W47" s="43"/>
      <c r="X47" s="42"/>
      <c r="Y47" s="42"/>
      <c r="Z47" s="97"/>
      <c r="AA47" s="59"/>
      <c r="AB47" s="59"/>
      <c r="AC47" s="59"/>
      <c r="AD47" s="97"/>
      <c r="AE47" s="64"/>
      <c r="AF47" s="64"/>
      <c r="AG47" s="64"/>
      <c r="AH47" s="97"/>
      <c r="AI47" s="65"/>
      <c r="AJ47" s="62"/>
      <c r="AK47" s="62"/>
      <c r="AL47" s="97"/>
      <c r="AM47" s="64"/>
      <c r="AN47" s="64"/>
      <c r="AO47" s="64"/>
    </row>
    <row r="48" spans="1:41" ht="16" x14ac:dyDescent="0.2">
      <c r="A48" s="43">
        <f t="shared" si="0"/>
        <v>46</v>
      </c>
      <c r="B48" s="44"/>
      <c r="C48" s="40"/>
      <c r="D48" s="40"/>
      <c r="E48" s="97"/>
      <c r="F48" s="42"/>
      <c r="G48" s="53"/>
      <c r="H48" s="41"/>
      <c r="I48" s="41"/>
      <c r="J48" s="97"/>
      <c r="K48" s="59"/>
      <c r="L48" s="61"/>
      <c r="M48" s="61"/>
      <c r="N48" s="97"/>
      <c r="O48" s="43"/>
      <c r="P48" s="42"/>
      <c r="Q48" s="42"/>
      <c r="R48" s="97"/>
      <c r="S48" s="59"/>
      <c r="T48" s="61"/>
      <c r="U48" s="61"/>
      <c r="V48" s="97"/>
      <c r="W48" s="43"/>
      <c r="X48" s="42"/>
      <c r="Y48" s="42"/>
      <c r="Z48" s="97"/>
      <c r="AA48" s="59"/>
      <c r="AB48" s="59"/>
      <c r="AC48" s="59"/>
      <c r="AD48" s="97"/>
      <c r="AE48" s="64"/>
      <c r="AF48" s="64"/>
      <c r="AG48" s="64"/>
      <c r="AH48" s="97"/>
      <c r="AI48" s="65"/>
      <c r="AJ48" s="62"/>
      <c r="AK48" s="62"/>
      <c r="AL48" s="97"/>
      <c r="AM48" s="64"/>
      <c r="AN48" s="64"/>
      <c r="AO48" s="64"/>
    </row>
    <row r="49" spans="1:41" ht="16" x14ac:dyDescent="0.2">
      <c r="A49" s="43">
        <f t="shared" si="0"/>
        <v>47</v>
      </c>
      <c r="B49" s="59"/>
      <c r="C49" s="40"/>
      <c r="D49" s="40"/>
      <c r="E49" s="97"/>
      <c r="F49" s="42"/>
      <c r="G49" s="53"/>
      <c r="H49" s="41"/>
      <c r="I49" s="41"/>
      <c r="J49" s="97"/>
      <c r="K49" s="59"/>
      <c r="L49" s="61"/>
      <c r="M49" s="61"/>
      <c r="N49" s="97"/>
      <c r="O49" s="43"/>
      <c r="P49" s="42"/>
      <c r="Q49" s="42"/>
      <c r="R49" s="97"/>
      <c r="S49" s="59"/>
      <c r="T49" s="61"/>
      <c r="U49" s="61"/>
      <c r="V49" s="97"/>
      <c r="W49" s="43"/>
      <c r="X49" s="42"/>
      <c r="Y49" s="42"/>
      <c r="Z49" s="97"/>
      <c r="AA49" s="59"/>
      <c r="AB49" s="59"/>
      <c r="AC49" s="59"/>
      <c r="AD49" s="97"/>
      <c r="AE49" s="64"/>
      <c r="AF49" s="64"/>
      <c r="AG49" s="64"/>
      <c r="AH49" s="97"/>
      <c r="AI49" s="65"/>
      <c r="AJ49" s="62"/>
      <c r="AK49" s="62"/>
      <c r="AL49" s="97"/>
      <c r="AM49" s="64"/>
      <c r="AN49" s="64"/>
      <c r="AO49" s="64"/>
    </row>
    <row r="50" spans="1:41" ht="16" x14ac:dyDescent="0.2">
      <c r="A50" s="43">
        <f t="shared" si="0"/>
        <v>48</v>
      </c>
      <c r="B50" s="59"/>
      <c r="C50" s="40"/>
      <c r="D50" s="40"/>
      <c r="E50" s="97"/>
      <c r="F50" s="42"/>
      <c r="G50" s="53"/>
      <c r="H50" s="41"/>
      <c r="I50" s="41"/>
      <c r="J50" s="97"/>
      <c r="K50" s="59"/>
      <c r="L50" s="61"/>
      <c r="M50" s="61"/>
      <c r="N50" s="97"/>
      <c r="O50" s="43"/>
      <c r="P50" s="42"/>
      <c r="Q50" s="42"/>
      <c r="R50" s="97"/>
      <c r="S50" s="59"/>
      <c r="T50" s="61"/>
      <c r="U50" s="61"/>
      <c r="V50" s="97"/>
      <c r="W50" s="43"/>
      <c r="X50" s="42"/>
      <c r="Y50" s="42"/>
      <c r="Z50" s="97"/>
      <c r="AA50" s="59"/>
      <c r="AB50" s="59"/>
      <c r="AC50" s="59"/>
      <c r="AD50" s="97"/>
      <c r="AE50" s="64"/>
      <c r="AF50" s="64"/>
      <c r="AG50" s="64"/>
      <c r="AH50" s="97"/>
      <c r="AI50" s="65"/>
      <c r="AJ50" s="62"/>
      <c r="AK50" s="62"/>
      <c r="AL50" s="97"/>
      <c r="AM50" s="64"/>
      <c r="AN50" s="64"/>
      <c r="AO50" s="64"/>
    </row>
    <row r="51" spans="1:41" ht="16" x14ac:dyDescent="0.2">
      <c r="A51" s="43">
        <f t="shared" si="0"/>
        <v>49</v>
      </c>
      <c r="B51" s="59"/>
      <c r="C51" s="40"/>
      <c r="D51" s="40"/>
      <c r="E51" s="97"/>
      <c r="F51" s="42"/>
      <c r="G51" s="53"/>
      <c r="H51" s="54"/>
      <c r="I51" s="54"/>
      <c r="J51" s="97"/>
      <c r="K51" s="59"/>
      <c r="L51" s="61"/>
      <c r="M51" s="61"/>
      <c r="N51" s="97"/>
      <c r="O51" s="43"/>
      <c r="P51" s="42"/>
      <c r="Q51" s="42"/>
      <c r="R51" s="97"/>
      <c r="S51" s="59"/>
      <c r="T51" s="61"/>
      <c r="U51" s="61"/>
      <c r="V51" s="97"/>
      <c r="W51" s="43"/>
      <c r="X51" s="42"/>
      <c r="Y51" s="42"/>
      <c r="Z51" s="97"/>
      <c r="AA51" s="59"/>
      <c r="AB51" s="59"/>
      <c r="AC51" s="59"/>
      <c r="AD51" s="97"/>
      <c r="AE51" s="64"/>
      <c r="AF51" s="64"/>
      <c r="AG51" s="64"/>
      <c r="AH51" s="97"/>
      <c r="AI51" s="65"/>
      <c r="AJ51" s="62"/>
      <c r="AK51" s="62"/>
      <c r="AL51" s="97"/>
      <c r="AM51" s="64"/>
      <c r="AN51" s="64"/>
      <c r="AO51" s="64"/>
    </row>
    <row r="52" spans="1:41" ht="16" x14ac:dyDescent="0.2">
      <c r="A52" s="43">
        <f t="shared" si="0"/>
        <v>50</v>
      </c>
      <c r="B52" s="59"/>
      <c r="C52" s="40"/>
      <c r="D52" s="40"/>
      <c r="E52" s="97"/>
      <c r="F52" s="42"/>
      <c r="G52" s="53"/>
      <c r="H52" s="41"/>
      <c r="I52" s="41"/>
      <c r="J52" s="97"/>
      <c r="K52" s="59"/>
      <c r="L52" s="65"/>
      <c r="M52" s="65"/>
      <c r="N52" s="97"/>
      <c r="O52" s="43"/>
      <c r="P52" s="42"/>
      <c r="Q52" s="42"/>
      <c r="R52" s="97"/>
      <c r="S52" s="59"/>
      <c r="T52" s="65"/>
      <c r="U52" s="65"/>
      <c r="V52" s="97"/>
      <c r="W52" s="43"/>
      <c r="X52" s="42"/>
      <c r="Y52" s="42"/>
      <c r="Z52" s="97"/>
      <c r="AA52" s="59"/>
      <c r="AB52" s="59"/>
      <c r="AC52" s="59"/>
      <c r="AD52" s="97"/>
      <c r="AE52" s="64"/>
      <c r="AF52" s="64"/>
      <c r="AG52" s="64"/>
      <c r="AH52" s="97"/>
      <c r="AI52" s="65"/>
      <c r="AJ52" s="62"/>
      <c r="AK52" s="62"/>
      <c r="AL52" s="97"/>
      <c r="AM52" s="64"/>
      <c r="AN52" s="64"/>
      <c r="AO52" s="64"/>
    </row>
    <row r="53" spans="1:41" ht="16" x14ac:dyDescent="0.2">
      <c r="A53" s="43">
        <f t="shared" si="0"/>
        <v>51</v>
      </c>
      <c r="B53" s="59"/>
      <c r="C53" s="40"/>
      <c r="D53" s="40"/>
      <c r="E53" s="97"/>
      <c r="F53" s="42"/>
      <c r="G53" s="53"/>
      <c r="H53" s="54"/>
      <c r="I53" s="54"/>
      <c r="J53" s="97"/>
      <c r="K53" s="59"/>
      <c r="L53" s="65"/>
      <c r="M53" s="65"/>
      <c r="N53" s="97"/>
      <c r="O53" s="43"/>
      <c r="P53" s="42"/>
      <c r="Q53" s="42"/>
      <c r="R53" s="97"/>
      <c r="S53" s="59"/>
      <c r="T53" s="65"/>
      <c r="U53" s="65"/>
      <c r="V53" s="97"/>
      <c r="W53" s="43"/>
      <c r="X53" s="42"/>
      <c r="Y53" s="42"/>
      <c r="Z53" s="97"/>
      <c r="AA53" s="59"/>
      <c r="AB53" s="59"/>
      <c r="AC53" s="59"/>
      <c r="AD53" s="97"/>
      <c r="AE53" s="64"/>
      <c r="AF53" s="64"/>
      <c r="AG53" s="64"/>
      <c r="AH53" s="97"/>
      <c r="AI53" s="65"/>
      <c r="AJ53" s="62"/>
      <c r="AK53" s="62"/>
      <c r="AL53" s="97"/>
      <c r="AM53" s="64"/>
      <c r="AN53" s="64"/>
      <c r="AO53" s="64"/>
    </row>
    <row r="54" spans="1:41" ht="16" x14ac:dyDescent="0.2">
      <c r="A54" s="43">
        <f t="shared" si="0"/>
        <v>52</v>
      </c>
      <c r="B54" s="59"/>
      <c r="C54" s="40"/>
      <c r="D54" s="40"/>
      <c r="E54" s="97"/>
      <c r="F54" s="42"/>
      <c r="G54" s="45"/>
      <c r="H54" s="54"/>
      <c r="I54" s="54"/>
      <c r="J54" s="97"/>
      <c r="K54" s="59"/>
      <c r="L54" s="65"/>
      <c r="M54" s="65"/>
      <c r="N54" s="97"/>
      <c r="O54" s="43"/>
      <c r="P54" s="42"/>
      <c r="Q54" s="42"/>
      <c r="R54" s="97"/>
      <c r="S54" s="59"/>
      <c r="T54" s="65"/>
      <c r="U54" s="65"/>
      <c r="V54" s="97"/>
      <c r="W54" s="43"/>
      <c r="X54" s="42"/>
      <c r="Y54" s="42"/>
      <c r="Z54" s="97"/>
      <c r="AA54" s="59"/>
      <c r="AB54" s="59"/>
      <c r="AC54" s="59"/>
      <c r="AD54" s="97"/>
      <c r="AE54" s="64"/>
      <c r="AF54" s="64"/>
      <c r="AG54" s="64"/>
      <c r="AH54" s="97"/>
      <c r="AI54" s="65"/>
      <c r="AJ54" s="62"/>
      <c r="AK54" s="62"/>
      <c r="AL54" s="97"/>
      <c r="AM54" s="64"/>
      <c r="AN54" s="64"/>
      <c r="AO54" s="64"/>
    </row>
  </sheetData>
  <mergeCells count="1">
    <mergeCell ref="A1:AO1"/>
  </mergeCells>
  <hyperlinks>
    <hyperlink ref="D3" r:id="rId1" xr:uid="{9C30E6DC-FFF7-4ED4-A992-E71B332D16FE}"/>
    <hyperlink ref="D7" r:id="rId2" xr:uid="{38E291E7-BB09-4151-8596-8452FAEB527A}"/>
    <hyperlink ref="D11" r:id="rId3" xr:uid="{1C2ADD9B-EB80-4F41-80EB-802B09F5B1CD}"/>
    <hyperlink ref="D15" r:id="rId4" xr:uid="{4D5FBDB2-CBE1-437C-9D3D-8440703826F5}"/>
    <hyperlink ref="D19" r:id="rId5" xr:uid="{846BCC23-115B-4634-955C-9497E77ED718}"/>
    <hyperlink ref="D21" r:id="rId6" xr:uid="{04160314-382B-427F-A327-32CC1B36DD70}"/>
    <hyperlink ref="D22" r:id="rId7" xr:uid="{D15100B6-C4F3-4817-8D0A-26B5A0F16CA1}"/>
    <hyperlink ref="D27" r:id="rId8" xr:uid="{99995799-FE86-4713-9FFF-C14D1E702FA4}"/>
    <hyperlink ref="D33" r:id="rId9" xr:uid="{B56A04C9-E964-435D-B358-090F3D7A9BFB}"/>
    <hyperlink ref="D37" r:id="rId10" xr:uid="{6B3C45E7-4D16-4826-B40A-BB67157E5602}"/>
    <hyperlink ref="D38" r:id="rId11" xr:uid="{147EB83A-5B8F-4311-A1E4-F5165A519E8C}"/>
    <hyperlink ref="D39" r:id="rId12" xr:uid="{D666BED0-DA07-463E-88EC-B5984F2588A9}"/>
    <hyperlink ref="D40" r:id="rId13" xr:uid="{4395DDDD-72F8-4403-801D-121C466180BB}"/>
    <hyperlink ref="D41" r:id="rId14" xr:uid="{69E601EA-57B2-4BDA-9791-8E77418EC65F}"/>
    <hyperlink ref="D42" r:id="rId15" xr:uid="{0C0FE9CB-7792-4B96-A641-5C30E9ECE850}"/>
    <hyperlink ref="I3" r:id="rId16" xr:uid="{DD6896D8-CACB-410B-AFF5-328DE4323D50}"/>
  </hyperlinks>
  <pageMargins left="0.7" right="0.7" top="0.75" bottom="0.75" header="0.3" footer="0.3"/>
  <pageSetup orientation="portrait" r:id="rId1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73BF-96CA-44A6-BE2E-865087FB15EF}">
  <sheetPr>
    <tabColor theme="4" tint="0.79998168889431442"/>
  </sheetPr>
  <dimension ref="A1:H66"/>
  <sheetViews>
    <sheetView showGridLines="0" zoomScale="60" zoomScaleNormal="60" workbookViewId="0">
      <pane ySplit="11" topLeftCell="A12" activePane="bottomLeft" state="frozen"/>
      <selection pane="bottomLeft" activeCell="H42" sqref="H42"/>
    </sheetView>
  </sheetViews>
  <sheetFormatPr baseColWidth="10" defaultColWidth="9" defaultRowHeight="15" x14ac:dyDescent="0.2"/>
  <cols>
    <col min="1" max="1" width="64.5" customWidth="1"/>
    <col min="2" max="2" width="10.33203125" customWidth="1"/>
    <col min="3" max="3" width="27.83203125" bestFit="1" customWidth="1"/>
    <col min="4" max="4" width="18.6640625" bestFit="1" customWidth="1"/>
    <col min="5" max="5" width="26.5" bestFit="1" customWidth="1"/>
    <col min="6" max="6" width="43.5" customWidth="1"/>
    <col min="7" max="7" width="137.6640625" style="93" customWidth="1"/>
    <col min="8" max="8" width="93" style="37" bestFit="1" customWidth="1"/>
  </cols>
  <sheetData>
    <row r="1" spans="1:8" ht="30" customHeight="1" x14ac:dyDescent="0.2">
      <c r="A1" s="190" t="s">
        <v>11</v>
      </c>
      <c r="B1" s="191"/>
      <c r="C1" s="191"/>
      <c r="D1" s="191"/>
      <c r="E1" s="191"/>
      <c r="F1" s="191"/>
      <c r="G1" s="191"/>
      <c r="H1" s="192"/>
    </row>
    <row r="2" spans="1:8" s="6" customFormat="1" ht="19" x14ac:dyDescent="0.25">
      <c r="A2" s="3" t="s">
        <v>223</v>
      </c>
      <c r="B2" s="193" t="s">
        <v>224</v>
      </c>
      <c r="C2" s="193"/>
      <c r="D2" s="193"/>
      <c r="E2" s="194"/>
      <c r="F2" s="4" t="s">
        <v>14</v>
      </c>
      <c r="G2" s="139">
        <v>8686266</v>
      </c>
      <c r="H2" s="79" t="s">
        <v>225</v>
      </c>
    </row>
    <row r="3" spans="1:8" ht="18" x14ac:dyDescent="0.2">
      <c r="A3" s="3" t="s">
        <v>226</v>
      </c>
      <c r="B3" s="193" t="s">
        <v>224</v>
      </c>
      <c r="C3" s="193"/>
      <c r="D3" s="193"/>
      <c r="E3" s="194"/>
      <c r="F3" s="4" t="s">
        <v>18</v>
      </c>
      <c r="G3" s="139">
        <v>4023258</v>
      </c>
      <c r="H3" s="80" t="s">
        <v>227</v>
      </c>
    </row>
    <row r="4" spans="1:8" ht="18" x14ac:dyDescent="0.2">
      <c r="A4" s="3" t="s">
        <v>228</v>
      </c>
      <c r="B4" s="193" t="s">
        <v>224</v>
      </c>
      <c r="C4" s="193"/>
      <c r="D4" s="193"/>
      <c r="E4" s="194"/>
      <c r="F4" s="4" t="s">
        <v>23</v>
      </c>
      <c r="G4" s="139">
        <v>0</v>
      </c>
      <c r="H4" s="80"/>
    </row>
    <row r="5" spans="1:8" ht="18" x14ac:dyDescent="0.2">
      <c r="A5" s="3" t="s">
        <v>25</v>
      </c>
      <c r="B5" s="193" t="s">
        <v>26</v>
      </c>
      <c r="C5" s="193"/>
      <c r="D5" s="193"/>
      <c r="E5" s="194"/>
      <c r="F5" s="4" t="s">
        <v>27</v>
      </c>
      <c r="G5" s="139">
        <v>315966</v>
      </c>
      <c r="H5" s="80"/>
    </row>
    <row r="6" spans="1:8" ht="18" x14ac:dyDescent="0.2">
      <c r="A6" s="3" t="s">
        <v>28</v>
      </c>
      <c r="B6" s="193" t="s">
        <v>229</v>
      </c>
      <c r="C6" s="193"/>
      <c r="D6" s="193"/>
      <c r="E6" s="194"/>
      <c r="F6" s="4" t="s">
        <v>29</v>
      </c>
      <c r="G6" s="87">
        <v>937</v>
      </c>
      <c r="H6" s="80"/>
    </row>
    <row r="7" spans="1:8" ht="18" x14ac:dyDescent="0.2">
      <c r="A7" s="3" t="s">
        <v>230</v>
      </c>
      <c r="B7" s="193" t="s">
        <v>231</v>
      </c>
      <c r="C7" s="193"/>
      <c r="D7" s="193"/>
      <c r="E7" s="194"/>
      <c r="F7" s="4" t="s">
        <v>32</v>
      </c>
      <c r="G7" s="140" t="s">
        <v>232</v>
      </c>
      <c r="H7" s="80"/>
    </row>
    <row r="8" spans="1:8" ht="18" x14ac:dyDescent="0.2">
      <c r="A8" s="3" t="s">
        <v>233</v>
      </c>
      <c r="B8" s="193" t="s">
        <v>234</v>
      </c>
      <c r="C8" s="193"/>
      <c r="D8" s="193"/>
      <c r="E8" s="194"/>
      <c r="F8" s="4" t="s">
        <v>36</v>
      </c>
      <c r="G8" s="141">
        <v>0.1</v>
      </c>
      <c r="H8" s="80"/>
    </row>
    <row r="9" spans="1:8" ht="18" x14ac:dyDescent="0.2">
      <c r="A9" s="3" t="s">
        <v>235</v>
      </c>
      <c r="B9" s="193" t="s">
        <v>236</v>
      </c>
      <c r="C9" s="193"/>
      <c r="D9" s="193"/>
      <c r="E9" s="194"/>
      <c r="F9" s="4" t="s">
        <v>40</v>
      </c>
      <c r="G9" s="140" t="s">
        <v>237</v>
      </c>
      <c r="H9" s="80"/>
    </row>
    <row r="10" spans="1:8" ht="18" x14ac:dyDescent="0.2">
      <c r="A10" s="3" t="s">
        <v>238</v>
      </c>
      <c r="B10" s="202" t="s">
        <v>239</v>
      </c>
      <c r="C10" s="202"/>
      <c r="D10" s="202"/>
      <c r="E10" s="203"/>
      <c r="F10" s="4" t="s">
        <v>44</v>
      </c>
      <c r="G10" s="136" t="s">
        <v>240</v>
      </c>
      <c r="H10" s="80"/>
    </row>
    <row r="11" spans="1:8" s="6" customFormat="1" ht="30" customHeight="1" x14ac:dyDescent="0.25">
      <c r="A11" s="7" t="s">
        <v>48</v>
      </c>
      <c r="B11" s="7" t="s">
        <v>49</v>
      </c>
      <c r="C11" s="7" t="s">
        <v>50</v>
      </c>
      <c r="D11" s="7" t="s">
        <v>51</v>
      </c>
      <c r="E11" s="7" t="s">
        <v>52</v>
      </c>
      <c r="F11" s="7" t="s">
        <v>53</v>
      </c>
      <c r="G11" s="91" t="s">
        <v>54</v>
      </c>
      <c r="H11" s="8" t="s">
        <v>55</v>
      </c>
    </row>
    <row r="12" spans="1:8" s="12" customFormat="1" ht="20" customHeight="1" x14ac:dyDescent="0.25">
      <c r="A12" s="9" t="s">
        <v>56</v>
      </c>
      <c r="B12" s="10"/>
      <c r="C12" s="10"/>
      <c r="D12" s="10"/>
      <c r="E12" s="10"/>
      <c r="F12" s="10"/>
      <c r="G12" s="92"/>
      <c r="H12" s="11"/>
    </row>
    <row r="13" spans="1:8" ht="19.5" customHeight="1" x14ac:dyDescent="0.2">
      <c r="A13" s="13" t="s">
        <v>241</v>
      </c>
      <c r="B13" s="14" t="s">
        <v>62</v>
      </c>
      <c r="C13" s="15" t="s">
        <v>242</v>
      </c>
      <c r="D13" s="138" t="s">
        <v>243</v>
      </c>
      <c r="E13" s="138" t="s">
        <v>244</v>
      </c>
      <c r="F13" s="15"/>
      <c r="G13" s="142" t="s">
        <v>245</v>
      </c>
      <c r="H13" s="14" t="s">
        <v>246</v>
      </c>
    </row>
    <row r="14" spans="1:8" ht="20" customHeight="1" x14ac:dyDescent="0.2">
      <c r="A14" s="13"/>
      <c r="B14" s="14" t="s">
        <v>62</v>
      </c>
      <c r="C14" s="15" t="s">
        <v>242</v>
      </c>
      <c r="D14" s="138" t="s">
        <v>247</v>
      </c>
      <c r="E14" s="138" t="s">
        <v>248</v>
      </c>
      <c r="F14" s="15"/>
      <c r="G14" s="142" t="s">
        <v>249</v>
      </c>
      <c r="H14" s="14" t="s">
        <v>250</v>
      </c>
    </row>
    <row r="15" spans="1:8" ht="20" customHeight="1" x14ac:dyDescent="0.2">
      <c r="A15" s="13" t="s">
        <v>61</v>
      </c>
      <c r="B15" s="14" t="s">
        <v>62</v>
      </c>
      <c r="C15" s="15" t="s">
        <v>58</v>
      </c>
      <c r="D15" s="138" t="s">
        <v>59</v>
      </c>
      <c r="E15" s="138" t="s">
        <v>59</v>
      </c>
      <c r="F15" s="15"/>
      <c r="G15" s="143"/>
      <c r="H15" s="17"/>
    </row>
    <row r="16" spans="1:8" ht="20" customHeight="1" x14ac:dyDescent="0.2">
      <c r="A16" s="13" t="s">
        <v>63</v>
      </c>
      <c r="B16" s="14" t="s">
        <v>62</v>
      </c>
      <c r="C16" s="15" t="s">
        <v>242</v>
      </c>
      <c r="D16" s="138" t="s">
        <v>251</v>
      </c>
      <c r="E16" s="138" t="s">
        <v>252</v>
      </c>
      <c r="F16" s="15"/>
      <c r="G16" s="142" t="s">
        <v>253</v>
      </c>
      <c r="H16" s="14" t="s">
        <v>254</v>
      </c>
    </row>
    <row r="17" spans="1:8" ht="20" customHeight="1" x14ac:dyDescent="0.2">
      <c r="A17" s="13" t="s">
        <v>66</v>
      </c>
      <c r="B17" s="14" t="s">
        <v>62</v>
      </c>
      <c r="C17" s="15" t="s">
        <v>242</v>
      </c>
      <c r="D17" s="138" t="s">
        <v>255</v>
      </c>
      <c r="E17" s="138" t="s">
        <v>256</v>
      </c>
      <c r="F17" s="15"/>
      <c r="G17" s="142" t="s">
        <v>257</v>
      </c>
      <c r="H17" s="14" t="s">
        <v>258</v>
      </c>
    </row>
    <row r="18" spans="1:8" ht="20" customHeight="1" x14ac:dyDescent="0.2">
      <c r="A18" s="13" t="s">
        <v>69</v>
      </c>
      <c r="B18" s="14" t="s">
        <v>62</v>
      </c>
      <c r="C18" s="15" t="s">
        <v>242</v>
      </c>
      <c r="D18" s="138" t="s">
        <v>259</v>
      </c>
      <c r="E18" s="138" t="s">
        <v>260</v>
      </c>
      <c r="F18" s="15"/>
      <c r="G18" s="142" t="s">
        <v>261</v>
      </c>
      <c r="H18" s="14" t="s">
        <v>262</v>
      </c>
    </row>
    <row r="19" spans="1:8" ht="20" customHeight="1" x14ac:dyDescent="0.2">
      <c r="A19" s="13" t="s">
        <v>72</v>
      </c>
      <c r="B19" s="14" t="s">
        <v>62</v>
      </c>
      <c r="C19" s="15" t="s">
        <v>242</v>
      </c>
      <c r="D19" s="138" t="s">
        <v>263</v>
      </c>
      <c r="E19" s="138" t="s">
        <v>264</v>
      </c>
      <c r="F19" s="15"/>
      <c r="G19" s="142" t="s">
        <v>265</v>
      </c>
      <c r="H19" s="14" t="s">
        <v>266</v>
      </c>
    </row>
    <row r="20" spans="1:8" ht="20" customHeight="1" x14ac:dyDescent="0.2">
      <c r="A20" s="13" t="s">
        <v>75</v>
      </c>
      <c r="B20" s="14" t="s">
        <v>62</v>
      </c>
      <c r="C20" s="15" t="s">
        <v>242</v>
      </c>
      <c r="D20" s="138" t="s">
        <v>267</v>
      </c>
      <c r="E20" s="138" t="s">
        <v>268</v>
      </c>
      <c r="F20" s="15"/>
      <c r="G20" s="142" t="s">
        <v>269</v>
      </c>
      <c r="H20" s="14" t="s">
        <v>270</v>
      </c>
    </row>
    <row r="21" spans="1:8" ht="20" customHeight="1" x14ac:dyDescent="0.2">
      <c r="A21" s="13" t="s">
        <v>78</v>
      </c>
      <c r="B21" s="14" t="s">
        <v>62</v>
      </c>
      <c r="C21" s="15" t="s">
        <v>58</v>
      </c>
      <c r="D21" s="16" t="s">
        <v>59</v>
      </c>
      <c r="E21" s="16" t="s">
        <v>59</v>
      </c>
      <c r="F21" s="15"/>
      <c r="G21" s="143"/>
      <c r="H21" s="17"/>
    </row>
    <row r="22" spans="1:8" ht="20" customHeight="1" x14ac:dyDescent="0.2">
      <c r="A22" s="13" t="s">
        <v>81</v>
      </c>
      <c r="B22" s="14" t="s">
        <v>62</v>
      </c>
      <c r="C22" s="15" t="s">
        <v>58</v>
      </c>
      <c r="D22" s="16" t="s">
        <v>59</v>
      </c>
      <c r="E22" s="16" t="s">
        <v>59</v>
      </c>
      <c r="F22" s="15"/>
      <c r="G22" s="143"/>
      <c r="H22" s="17"/>
    </row>
    <row r="23" spans="1:8" ht="20" customHeight="1" x14ac:dyDescent="0.2">
      <c r="A23" s="13" t="s">
        <v>82</v>
      </c>
      <c r="B23" s="14" t="s">
        <v>62</v>
      </c>
      <c r="C23" s="15" t="s">
        <v>58</v>
      </c>
      <c r="D23" s="16" t="s">
        <v>59</v>
      </c>
      <c r="E23" s="16" t="s">
        <v>59</v>
      </c>
      <c r="F23" s="15"/>
      <c r="G23" s="143"/>
      <c r="H23" s="17"/>
    </row>
    <row r="24" spans="1:8" ht="20" customHeight="1" x14ac:dyDescent="0.2">
      <c r="A24" s="13" t="s">
        <v>83</v>
      </c>
      <c r="B24" s="14" t="s">
        <v>62</v>
      </c>
      <c r="C24" s="15" t="s">
        <v>58</v>
      </c>
      <c r="D24" s="16" t="s">
        <v>59</v>
      </c>
      <c r="E24" s="16" t="s">
        <v>59</v>
      </c>
      <c r="F24" s="15"/>
      <c r="G24" s="143"/>
      <c r="H24" s="17"/>
    </row>
    <row r="25" spans="1:8" ht="20" customHeight="1" x14ac:dyDescent="0.2">
      <c r="A25" s="13" t="s">
        <v>84</v>
      </c>
      <c r="B25" s="14" t="s">
        <v>62</v>
      </c>
      <c r="C25" s="15" t="s">
        <v>58</v>
      </c>
      <c r="D25" s="16" t="s">
        <v>59</v>
      </c>
      <c r="E25" s="16" t="s">
        <v>59</v>
      </c>
      <c r="F25" s="15"/>
      <c r="G25" s="143"/>
      <c r="H25" s="17"/>
    </row>
    <row r="26" spans="1:8" s="6" customFormat="1" ht="20" customHeight="1" x14ac:dyDescent="0.25">
      <c r="A26" s="18" t="s">
        <v>85</v>
      </c>
      <c r="B26" s="19"/>
      <c r="C26" s="19"/>
      <c r="D26" s="19"/>
      <c r="E26" s="19"/>
      <c r="F26" s="19"/>
      <c r="G26" s="144"/>
      <c r="H26" s="20"/>
    </row>
    <row r="27" spans="1:8" ht="20" customHeight="1" x14ac:dyDescent="0.2">
      <c r="A27" s="21" t="s">
        <v>86</v>
      </c>
      <c r="B27" s="22" t="s">
        <v>113</v>
      </c>
      <c r="C27" s="15" t="s">
        <v>58</v>
      </c>
      <c r="D27" s="16" t="s">
        <v>59</v>
      </c>
      <c r="E27" s="16" t="s">
        <v>59</v>
      </c>
      <c r="F27" s="23"/>
      <c r="G27" s="145"/>
      <c r="H27" s="24"/>
    </row>
    <row r="28" spans="1:8" ht="20" customHeight="1" x14ac:dyDescent="0.2">
      <c r="A28" s="21" t="s">
        <v>90</v>
      </c>
      <c r="B28" s="22" t="s">
        <v>113</v>
      </c>
      <c r="C28" s="15" t="s">
        <v>58</v>
      </c>
      <c r="D28" s="16" t="s">
        <v>59</v>
      </c>
      <c r="E28" s="16" t="s">
        <v>59</v>
      </c>
      <c r="F28" s="25"/>
      <c r="G28" s="146"/>
      <c r="H28" s="26"/>
    </row>
    <row r="29" spans="1:8" ht="20" customHeight="1" x14ac:dyDescent="0.2">
      <c r="A29" s="21" t="s">
        <v>94</v>
      </c>
      <c r="B29" s="22" t="s">
        <v>113</v>
      </c>
      <c r="C29" s="15" t="s">
        <v>58</v>
      </c>
      <c r="D29" s="16" t="s">
        <v>59</v>
      </c>
      <c r="E29" s="16" t="s">
        <v>59</v>
      </c>
      <c r="F29" s="25"/>
      <c r="G29" s="145"/>
      <c r="H29" s="24"/>
    </row>
    <row r="30" spans="1:8" ht="20" customHeight="1" x14ac:dyDescent="0.2">
      <c r="A30" s="21" t="s">
        <v>95</v>
      </c>
      <c r="B30" s="22" t="s">
        <v>113</v>
      </c>
      <c r="C30" s="15" t="s">
        <v>58</v>
      </c>
      <c r="D30" s="16" t="s">
        <v>59</v>
      </c>
      <c r="E30" s="16" t="s">
        <v>59</v>
      </c>
      <c r="F30" s="25"/>
      <c r="G30" s="147"/>
      <c r="H30" s="27"/>
    </row>
    <row r="31" spans="1:8" ht="20" customHeight="1" x14ac:dyDescent="0.2">
      <c r="A31" s="28" t="s">
        <v>96</v>
      </c>
      <c r="B31" s="22" t="s">
        <v>113</v>
      </c>
      <c r="C31" s="15" t="s">
        <v>58</v>
      </c>
      <c r="D31" s="16" t="s">
        <v>59</v>
      </c>
      <c r="E31" s="16" t="s">
        <v>59</v>
      </c>
      <c r="F31" s="15"/>
      <c r="G31" s="143"/>
      <c r="H31" s="17"/>
    </row>
    <row r="32" spans="1:8" s="6" customFormat="1" ht="20" customHeight="1" x14ac:dyDescent="0.25">
      <c r="A32" s="18" t="s">
        <v>97</v>
      </c>
      <c r="B32" s="19"/>
      <c r="C32" s="19"/>
      <c r="D32" s="19"/>
      <c r="E32" s="19"/>
      <c r="F32" s="19"/>
      <c r="G32" s="144"/>
      <c r="H32" s="20"/>
    </row>
    <row r="33" spans="1:8" ht="20" customHeight="1" x14ac:dyDescent="0.2">
      <c r="A33" s="29" t="s">
        <v>98</v>
      </c>
      <c r="B33" s="22" t="s">
        <v>113</v>
      </c>
      <c r="C33" s="15" t="s">
        <v>58</v>
      </c>
      <c r="D33" s="16" t="s">
        <v>59</v>
      </c>
      <c r="E33" s="16" t="s">
        <v>59</v>
      </c>
      <c r="F33" s="25"/>
      <c r="G33" s="145"/>
      <c r="H33" s="24"/>
    </row>
    <row r="34" spans="1:8" ht="20" customHeight="1" x14ac:dyDescent="0.2">
      <c r="A34" s="13" t="s">
        <v>103</v>
      </c>
      <c r="B34" s="22" t="s">
        <v>113</v>
      </c>
      <c r="C34" s="15" t="s">
        <v>58</v>
      </c>
      <c r="D34" s="16" t="s">
        <v>59</v>
      </c>
      <c r="E34" s="16" t="s">
        <v>59</v>
      </c>
      <c r="F34" s="15"/>
      <c r="G34" s="143"/>
      <c r="H34" s="17"/>
    </row>
    <row r="35" spans="1:8" ht="20" customHeight="1" x14ac:dyDescent="0.2">
      <c r="A35" s="29" t="s">
        <v>112</v>
      </c>
      <c r="B35" s="22" t="s">
        <v>113</v>
      </c>
      <c r="C35" s="15" t="s">
        <v>58</v>
      </c>
      <c r="D35" s="16" t="s">
        <v>59</v>
      </c>
      <c r="E35" s="16" t="s">
        <v>59</v>
      </c>
      <c r="F35" s="25"/>
      <c r="G35" s="148"/>
      <c r="H35" s="30"/>
    </row>
    <row r="36" spans="1:8" ht="20" customHeight="1" x14ac:dyDescent="0.2">
      <c r="A36" s="29" t="s">
        <v>114</v>
      </c>
      <c r="B36" s="22" t="s">
        <v>113</v>
      </c>
      <c r="C36" s="15" t="s">
        <v>58</v>
      </c>
      <c r="D36" s="16" t="s">
        <v>59</v>
      </c>
      <c r="E36" s="16" t="s">
        <v>59</v>
      </c>
      <c r="F36" s="25"/>
      <c r="G36" s="145"/>
      <c r="H36" s="24"/>
    </row>
    <row r="37" spans="1:8" ht="20" customHeight="1" x14ac:dyDescent="0.2">
      <c r="A37" s="29" t="s">
        <v>115</v>
      </c>
      <c r="B37" s="22" t="s">
        <v>113</v>
      </c>
      <c r="C37" s="15" t="s">
        <v>58</v>
      </c>
      <c r="D37" s="16" t="s">
        <v>59</v>
      </c>
      <c r="E37" s="16" t="s">
        <v>59</v>
      </c>
      <c r="F37" s="25"/>
      <c r="G37" s="146"/>
      <c r="H37" s="26"/>
    </row>
    <row r="38" spans="1:8" s="6" customFormat="1" ht="20" customHeight="1" x14ac:dyDescent="0.25">
      <c r="A38" s="71" t="s">
        <v>116</v>
      </c>
      <c r="B38" s="72"/>
      <c r="C38" s="72"/>
      <c r="D38" s="72"/>
      <c r="E38" s="72"/>
      <c r="F38" s="72"/>
      <c r="G38" s="149"/>
      <c r="H38" s="73"/>
    </row>
    <row r="39" spans="1:8" ht="20" customHeight="1" x14ac:dyDescent="0.2">
      <c r="A39" s="81" t="s">
        <v>117</v>
      </c>
      <c r="B39" s="74" t="s">
        <v>113</v>
      </c>
      <c r="C39" s="75" t="s">
        <v>58</v>
      </c>
      <c r="D39" s="76" t="s">
        <v>59</v>
      </c>
      <c r="E39" s="76" t="s">
        <v>59</v>
      </c>
      <c r="F39" s="75"/>
      <c r="G39" s="150"/>
      <c r="H39" s="82"/>
    </row>
    <row r="40" spans="1:8" s="6" customFormat="1" ht="20" customHeight="1" x14ac:dyDescent="0.25">
      <c r="A40" s="71" t="s">
        <v>118</v>
      </c>
      <c r="B40" s="72"/>
      <c r="C40" s="72"/>
      <c r="D40" s="72"/>
      <c r="E40" s="72"/>
      <c r="F40" s="72"/>
      <c r="G40" s="149"/>
      <c r="H40" s="73"/>
    </row>
    <row r="41" spans="1:8" ht="20" customHeight="1" x14ac:dyDescent="0.2">
      <c r="A41" s="81" t="s">
        <v>119</v>
      </c>
      <c r="B41" s="74"/>
      <c r="C41" s="75">
        <v>2021</v>
      </c>
      <c r="D41" s="76"/>
      <c r="E41" s="76"/>
      <c r="F41" s="74"/>
      <c r="G41" s="151" t="s">
        <v>271</v>
      </c>
      <c r="H41" s="14" t="s">
        <v>272</v>
      </c>
    </row>
    <row r="42" spans="1:8" ht="20" customHeight="1" x14ac:dyDescent="0.2">
      <c r="A42" s="81" t="s">
        <v>119</v>
      </c>
      <c r="B42" s="74"/>
      <c r="C42" s="75">
        <v>2022</v>
      </c>
      <c r="D42" s="76"/>
      <c r="E42" s="76"/>
      <c r="F42" s="74"/>
      <c r="G42" s="151" t="s">
        <v>273</v>
      </c>
      <c r="H42" s="14" t="s">
        <v>272</v>
      </c>
    </row>
    <row r="43" spans="1:8" ht="20" customHeight="1" x14ac:dyDescent="0.2">
      <c r="A43" s="81" t="s">
        <v>119</v>
      </c>
      <c r="B43" s="74"/>
      <c r="C43" s="75">
        <v>2023</v>
      </c>
      <c r="D43" s="76"/>
      <c r="E43" s="76"/>
      <c r="F43" s="74"/>
      <c r="G43" s="151" t="s">
        <v>274</v>
      </c>
      <c r="H43" s="14" t="s">
        <v>272</v>
      </c>
    </row>
    <row r="44" spans="1:8" ht="20" customHeight="1" x14ac:dyDescent="0.2">
      <c r="A44" s="81" t="s">
        <v>122</v>
      </c>
      <c r="B44" s="74"/>
      <c r="C44" s="75"/>
      <c r="D44" s="76"/>
      <c r="E44" s="76"/>
      <c r="F44" s="74"/>
      <c r="G44" s="152"/>
      <c r="H44" s="83"/>
    </row>
    <row r="45" spans="1:8" ht="20" customHeight="1" x14ac:dyDescent="0.2">
      <c r="A45" s="81" t="s">
        <v>122</v>
      </c>
      <c r="B45" s="74"/>
      <c r="C45" s="75"/>
      <c r="D45" s="76"/>
      <c r="E45" s="76"/>
      <c r="F45" s="74"/>
      <c r="G45" s="152"/>
      <c r="H45" s="83"/>
    </row>
    <row r="46" spans="1:8" s="6" customFormat="1" ht="20" customHeight="1" x14ac:dyDescent="0.25">
      <c r="A46" s="71" t="s">
        <v>275</v>
      </c>
      <c r="B46" s="72"/>
      <c r="C46" s="72"/>
      <c r="D46" s="72" t="s">
        <v>124</v>
      </c>
      <c r="E46" s="72" t="s">
        <v>125</v>
      </c>
      <c r="F46" s="72"/>
      <c r="G46" s="149"/>
      <c r="H46" s="73"/>
    </row>
    <row r="47" spans="1:8" s="6" customFormat="1" ht="20" customHeight="1" x14ac:dyDescent="0.25">
      <c r="A47" s="155" t="s">
        <v>276</v>
      </c>
      <c r="B47" s="64" t="s">
        <v>113</v>
      </c>
      <c r="C47" s="156"/>
      <c r="D47" s="157" t="s">
        <v>59</v>
      </c>
      <c r="E47" s="157" t="s">
        <v>59</v>
      </c>
      <c r="F47" s="64"/>
      <c r="G47" s="158" t="s">
        <v>277</v>
      </c>
      <c r="H47" s="159" t="s">
        <v>278</v>
      </c>
    </row>
    <row r="48" spans="1:8" s="6" customFormat="1" ht="20" customHeight="1" x14ac:dyDescent="0.25">
      <c r="A48" s="81" t="s">
        <v>279</v>
      </c>
      <c r="B48" s="74" t="s">
        <v>113</v>
      </c>
      <c r="C48" s="75"/>
      <c r="D48" s="76" t="s">
        <v>59</v>
      </c>
      <c r="E48" s="76" t="s">
        <v>59</v>
      </c>
      <c r="F48" s="74"/>
      <c r="G48" s="160" t="s">
        <v>280</v>
      </c>
      <c r="H48" s="75" t="s">
        <v>281</v>
      </c>
    </row>
    <row r="49" spans="1:8" s="6" customFormat="1" ht="20" customHeight="1" x14ac:dyDescent="0.25">
      <c r="A49" s="81" t="s">
        <v>282</v>
      </c>
      <c r="B49" s="74" t="s">
        <v>113</v>
      </c>
      <c r="C49" s="75"/>
      <c r="D49" s="76" t="s">
        <v>59</v>
      </c>
      <c r="E49" s="76" t="s">
        <v>59</v>
      </c>
      <c r="F49" s="74"/>
      <c r="G49" s="160" t="s">
        <v>283</v>
      </c>
      <c r="H49" s="75" t="s">
        <v>284</v>
      </c>
    </row>
    <row r="50" spans="1:8" s="6" customFormat="1" ht="20" customHeight="1" x14ac:dyDescent="0.25">
      <c r="A50" s="81" t="s">
        <v>285</v>
      </c>
      <c r="B50" s="74" t="s">
        <v>113</v>
      </c>
      <c r="C50" s="75"/>
      <c r="D50" s="76" t="s">
        <v>59</v>
      </c>
      <c r="E50" s="76" t="s">
        <v>59</v>
      </c>
      <c r="F50" s="74"/>
      <c r="G50" s="160" t="s">
        <v>286</v>
      </c>
      <c r="H50" s="74" t="s">
        <v>287</v>
      </c>
    </row>
    <row r="51" spans="1:8" s="6" customFormat="1" ht="20" customHeight="1" x14ac:dyDescent="0.25">
      <c r="A51" s="161" t="s">
        <v>288</v>
      </c>
      <c r="B51" s="74" t="s">
        <v>113</v>
      </c>
      <c r="C51" s="75"/>
      <c r="D51" s="76" t="s">
        <v>289</v>
      </c>
      <c r="E51" s="76" t="s">
        <v>290</v>
      </c>
      <c r="F51" s="74"/>
      <c r="G51" s="160" t="s">
        <v>291</v>
      </c>
      <c r="H51" s="74" t="s">
        <v>292</v>
      </c>
    </row>
    <row r="52" spans="1:8" s="6" customFormat="1" ht="20" customHeight="1" x14ac:dyDescent="0.25">
      <c r="A52" s="161" t="s">
        <v>288</v>
      </c>
      <c r="B52" s="74" t="s">
        <v>113</v>
      </c>
      <c r="C52" s="75"/>
      <c r="D52" s="76" t="s">
        <v>289</v>
      </c>
      <c r="E52" s="76" t="s">
        <v>293</v>
      </c>
      <c r="F52" s="74"/>
      <c r="G52" s="160" t="s">
        <v>294</v>
      </c>
      <c r="H52" s="74" t="s">
        <v>295</v>
      </c>
    </row>
    <row r="53" spans="1:8" s="6" customFormat="1" ht="20" customHeight="1" x14ac:dyDescent="0.25">
      <c r="A53" s="161" t="s">
        <v>296</v>
      </c>
      <c r="B53" s="74" t="s">
        <v>113</v>
      </c>
      <c r="C53" s="75"/>
      <c r="D53" s="76" t="s">
        <v>297</v>
      </c>
      <c r="E53" s="76" t="s">
        <v>298</v>
      </c>
      <c r="F53" s="74"/>
      <c r="G53" s="160" t="s">
        <v>299</v>
      </c>
      <c r="H53" s="74" t="s">
        <v>292</v>
      </c>
    </row>
    <row r="54" spans="1:8" s="6" customFormat="1" ht="20" customHeight="1" x14ac:dyDescent="0.25">
      <c r="A54" s="161" t="s">
        <v>296</v>
      </c>
      <c r="B54" s="74" t="s">
        <v>113</v>
      </c>
      <c r="C54" s="75"/>
      <c r="D54" s="76" t="s">
        <v>297</v>
      </c>
      <c r="E54" s="76" t="s">
        <v>298</v>
      </c>
      <c r="F54" s="74"/>
      <c r="G54" s="160" t="s">
        <v>300</v>
      </c>
      <c r="H54" s="74" t="s">
        <v>295</v>
      </c>
    </row>
    <row r="55" spans="1:8" ht="20" customHeight="1" x14ac:dyDescent="0.2">
      <c r="A55" s="161" t="s">
        <v>301</v>
      </c>
      <c r="B55" s="74" t="s">
        <v>113</v>
      </c>
      <c r="C55" s="75"/>
      <c r="D55" s="76" t="s">
        <v>298</v>
      </c>
      <c r="E55" s="76" t="s">
        <v>302</v>
      </c>
      <c r="F55" s="74"/>
      <c r="G55" s="160" t="s">
        <v>303</v>
      </c>
      <c r="H55" s="74" t="s">
        <v>292</v>
      </c>
    </row>
    <row r="56" spans="1:8" ht="20" customHeight="1" x14ac:dyDescent="0.2">
      <c r="A56" s="161" t="s">
        <v>301</v>
      </c>
      <c r="B56" s="74" t="s">
        <v>113</v>
      </c>
      <c r="C56" s="75"/>
      <c r="D56" s="76" t="s">
        <v>298</v>
      </c>
      <c r="E56" s="76" t="s">
        <v>304</v>
      </c>
      <c r="F56" s="74"/>
      <c r="G56" s="160" t="s">
        <v>305</v>
      </c>
      <c r="H56" s="74" t="s">
        <v>295</v>
      </c>
    </row>
    <row r="57" spans="1:8" ht="20" customHeight="1" x14ac:dyDescent="0.2">
      <c r="A57" s="161" t="s">
        <v>306</v>
      </c>
      <c r="B57" s="74" t="s">
        <v>113</v>
      </c>
      <c r="C57" s="75"/>
      <c r="D57" s="76" t="s">
        <v>307</v>
      </c>
      <c r="E57" s="76" t="s">
        <v>308</v>
      </c>
      <c r="F57" s="74"/>
      <c r="G57" s="160" t="s">
        <v>309</v>
      </c>
      <c r="H57" s="74" t="s">
        <v>292</v>
      </c>
    </row>
    <row r="58" spans="1:8" ht="20" customHeight="1" x14ac:dyDescent="0.2">
      <c r="A58" s="161" t="s">
        <v>306</v>
      </c>
      <c r="B58" s="74" t="s">
        <v>113</v>
      </c>
      <c r="C58" s="75"/>
      <c r="D58" s="76" t="s">
        <v>307</v>
      </c>
      <c r="E58" s="76" t="s">
        <v>310</v>
      </c>
      <c r="F58" s="74"/>
      <c r="G58" s="160" t="s">
        <v>311</v>
      </c>
      <c r="H58" s="74" t="s">
        <v>295</v>
      </c>
    </row>
    <row r="59" spans="1:8" ht="20" customHeight="1" x14ac:dyDescent="0.2">
      <c r="A59" s="161" t="s">
        <v>312</v>
      </c>
      <c r="B59" s="74" t="s">
        <v>113</v>
      </c>
      <c r="C59" s="75"/>
      <c r="D59" s="76" t="s">
        <v>313</v>
      </c>
      <c r="E59" s="76" t="s">
        <v>308</v>
      </c>
      <c r="F59" s="74"/>
      <c r="G59" s="137" t="s">
        <v>314</v>
      </c>
      <c r="H59" s="74" t="s">
        <v>292</v>
      </c>
    </row>
    <row r="60" spans="1:8" ht="20" customHeight="1" x14ac:dyDescent="0.2">
      <c r="A60" s="161" t="s">
        <v>312</v>
      </c>
      <c r="B60" s="74" t="s">
        <v>113</v>
      </c>
      <c r="C60" s="75"/>
      <c r="D60" s="76" t="s">
        <v>313</v>
      </c>
      <c r="E60" s="76" t="s">
        <v>308</v>
      </c>
      <c r="F60" s="74"/>
      <c r="G60" s="137" t="s">
        <v>315</v>
      </c>
      <c r="H60" s="74" t="s">
        <v>295</v>
      </c>
    </row>
    <row r="61" spans="1:8" s="6" customFormat="1" ht="20" customHeight="1" x14ac:dyDescent="0.25">
      <c r="A61" s="18" t="s">
        <v>129</v>
      </c>
      <c r="B61" s="31"/>
      <c r="C61" s="31"/>
      <c r="D61" s="31" t="s">
        <v>130</v>
      </c>
      <c r="E61" s="31"/>
      <c r="F61" s="31" t="s">
        <v>131</v>
      </c>
      <c r="G61" s="153" t="s">
        <v>132</v>
      </c>
      <c r="H61" s="32"/>
    </row>
    <row r="62" spans="1:8" ht="20" customHeight="1" x14ac:dyDescent="0.2">
      <c r="A62" s="81" t="s">
        <v>316</v>
      </c>
      <c r="B62" s="74" t="s">
        <v>113</v>
      </c>
      <c r="C62" s="75"/>
      <c r="D62" s="76" t="s">
        <v>317</v>
      </c>
      <c r="E62" s="76"/>
      <c r="F62" s="74"/>
      <c r="G62" s="162" t="s">
        <v>318</v>
      </c>
      <c r="H62" s="74" t="s">
        <v>319</v>
      </c>
    </row>
    <row r="63" spans="1:8" ht="20" customHeight="1" x14ac:dyDescent="0.2">
      <c r="A63" s="81" t="s">
        <v>316</v>
      </c>
      <c r="B63" s="74" t="s">
        <v>113</v>
      </c>
      <c r="C63" s="75"/>
      <c r="D63" s="76" t="s">
        <v>317</v>
      </c>
      <c r="E63" s="76"/>
      <c r="F63" s="74"/>
      <c r="G63" s="162" t="s">
        <v>320</v>
      </c>
      <c r="H63" s="74" t="s">
        <v>321</v>
      </c>
    </row>
    <row r="64" spans="1:8" ht="20" customHeight="1" x14ac:dyDescent="0.2">
      <c r="A64" s="81" t="s">
        <v>133</v>
      </c>
      <c r="B64" s="74" t="s">
        <v>113</v>
      </c>
      <c r="C64" s="75"/>
      <c r="D64" s="76" t="s">
        <v>59</v>
      </c>
      <c r="E64" s="76"/>
      <c r="F64" s="74"/>
      <c r="G64" s="152"/>
      <c r="H64" s="83"/>
    </row>
    <row r="65" spans="1:8" ht="20" customHeight="1" x14ac:dyDescent="0.2">
      <c r="A65" s="81" t="s">
        <v>133</v>
      </c>
      <c r="B65" s="74" t="s">
        <v>113</v>
      </c>
      <c r="C65" s="75"/>
      <c r="D65" s="76" t="s">
        <v>59</v>
      </c>
      <c r="E65" s="76"/>
      <c r="F65" s="74"/>
      <c r="G65" s="152"/>
      <c r="H65" s="83"/>
    </row>
    <row r="66" spans="1:8" ht="20" customHeight="1" thickBot="1" x14ac:dyDescent="0.25">
      <c r="A66" s="84" t="s">
        <v>133</v>
      </c>
      <c r="B66" s="33" t="s">
        <v>113</v>
      </c>
      <c r="C66" s="34"/>
      <c r="D66" s="35" t="s">
        <v>59</v>
      </c>
      <c r="E66" s="35"/>
      <c r="F66" s="34"/>
      <c r="G66" s="154"/>
      <c r="H66" s="36"/>
    </row>
  </sheetData>
  <mergeCells count="10">
    <mergeCell ref="B7:E7"/>
    <mergeCell ref="B8:E8"/>
    <mergeCell ref="B9:E9"/>
    <mergeCell ref="B10:E10"/>
    <mergeCell ref="A1:H1"/>
    <mergeCell ref="B2:E2"/>
    <mergeCell ref="B3:E3"/>
    <mergeCell ref="B4:E4"/>
    <mergeCell ref="B5:E5"/>
    <mergeCell ref="B6:E6"/>
  </mergeCells>
  <hyperlinks>
    <hyperlink ref="G42" r:id="rId1" xr:uid="{7D383A35-8E9C-4F64-9665-9864A1DEC286}"/>
    <hyperlink ref="G43" r:id="rId2" xr:uid="{F16360DF-0B14-418F-AF11-06FF2BA895CE}"/>
    <hyperlink ref="G41" r:id="rId3" xr:uid="{6A0B79E3-9159-49C1-BD7E-E960787D8703}"/>
    <hyperlink ref="G13" r:id="rId4" xr:uid="{75E708BB-EC10-4EE0-A376-6EF46544B7B0}"/>
    <hyperlink ref="G14" r:id="rId5" xr:uid="{48FF9F88-6D98-4593-A9DC-70FB3D327259}"/>
    <hyperlink ref="G16" r:id="rId6" xr:uid="{D7399AA7-D88A-4FFC-85D6-206FAF5A9794}"/>
    <hyperlink ref="G17" r:id="rId7" xr:uid="{CA144CE8-2181-400B-BAB5-A6E14EAB8C8C}"/>
    <hyperlink ref="G18" r:id="rId8" xr:uid="{CEBA7519-EA90-4439-82DC-E639BFE69261}"/>
    <hyperlink ref="G19" r:id="rId9" xr:uid="{D38DA522-516D-4B30-9319-D59C72C1797C}"/>
    <hyperlink ref="G20" r:id="rId10" xr:uid="{C807455D-F0A8-40DE-BFB8-B3329E724075}"/>
    <hyperlink ref="G47" r:id="rId11" xr:uid="{8C844D50-8879-4EDE-8120-6EC745341B8C}"/>
    <hyperlink ref="G48" r:id="rId12" xr:uid="{096119D6-AF55-44CE-B54A-435A6825F2FC}"/>
    <hyperlink ref="G49" r:id="rId13" xr:uid="{975FF4B4-4036-497B-B553-D5059ADA073B}"/>
    <hyperlink ref="G50" r:id="rId14" xr:uid="{D207EDAD-C5BF-4A6D-9390-4C0B31D047DA}"/>
    <hyperlink ref="G51" r:id="rId15" xr:uid="{E6FDD854-278B-4EDF-8774-8A7503475D70}"/>
    <hyperlink ref="G52" r:id="rId16" xr:uid="{0EDBB13E-3A97-4DE1-AB13-D3A54043D8C6}"/>
    <hyperlink ref="G53" r:id="rId17" xr:uid="{8CC96F7F-1D73-45AB-9EFB-0DB856BECC8C}"/>
    <hyperlink ref="G54" r:id="rId18" xr:uid="{D6F21537-2302-4C7B-B8EA-95BB8D404A7D}"/>
    <hyperlink ref="G55" r:id="rId19" xr:uid="{C114D451-FAF4-4539-8E3B-25A89D5E372C}"/>
    <hyperlink ref="G57" r:id="rId20" xr:uid="{E5F87FEE-46CD-469B-AF5F-066C6A3DDE87}"/>
    <hyperlink ref="G56" r:id="rId21" xr:uid="{90B41E53-B20D-4462-937B-61E340E84BE3}"/>
    <hyperlink ref="G58" r:id="rId22" xr:uid="{705A8506-C9CF-43F0-86A2-AB6EE5D3ABE1}"/>
    <hyperlink ref="G59" r:id="rId23" xr:uid="{3A29CF3E-D1E4-4517-8810-AD83F021775F}"/>
    <hyperlink ref="G60" r:id="rId24" xr:uid="{CA1A717B-9C0B-4297-9D51-70306FA5F392}"/>
    <hyperlink ref="G62" r:id="rId25" xr:uid="{EE11E6FA-5EE5-4308-812D-2727FBBEEE00}"/>
    <hyperlink ref="G63" r:id="rId26" xr:uid="{E352CAC7-0889-43EF-A0D5-814677F3179F}"/>
  </hyperlinks>
  <pageMargins left="0.7" right="0.7" top="0.75" bottom="0.75" header="0.3" footer="0.3"/>
  <pageSetup orientation="portrait" r:id="rId27"/>
  <legacyDrawing r:id="rId2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6F722-D692-4398-B682-F081CCFD7A06}">
  <sheetPr>
    <tabColor theme="4" tint="0.79998168889431442"/>
  </sheetPr>
  <dimension ref="A1:H58"/>
  <sheetViews>
    <sheetView showGridLines="0" zoomScale="60" zoomScaleNormal="60" workbookViewId="0">
      <pane ySplit="11" topLeftCell="A13" activePane="bottomLeft" state="frozen"/>
      <selection pane="bottomLeft" activeCell="D13" sqref="D13"/>
    </sheetView>
  </sheetViews>
  <sheetFormatPr baseColWidth="10" defaultColWidth="9" defaultRowHeight="15" x14ac:dyDescent="0.2"/>
  <cols>
    <col min="1" max="1" width="67.1640625" bestFit="1" customWidth="1"/>
    <col min="2" max="2" width="6.5" bestFit="1" customWidth="1"/>
    <col min="3" max="3" width="27.1640625" bestFit="1" customWidth="1"/>
    <col min="4" max="4" width="18.6640625" bestFit="1" customWidth="1"/>
    <col min="5" max="5" width="26.5" bestFit="1" customWidth="1"/>
    <col min="6" max="6" width="37.5" bestFit="1" customWidth="1"/>
    <col min="7" max="7" width="80.33203125" style="37" bestFit="1" customWidth="1"/>
    <col min="8" max="8" width="58.83203125" style="37" bestFit="1" customWidth="1"/>
  </cols>
  <sheetData>
    <row r="1" spans="1:8" ht="30" customHeight="1" x14ac:dyDescent="0.2">
      <c r="A1" s="190" t="s">
        <v>11</v>
      </c>
      <c r="B1" s="191"/>
      <c r="C1" s="191"/>
      <c r="D1" s="191"/>
      <c r="E1" s="191"/>
      <c r="F1" s="191"/>
      <c r="G1" s="191"/>
      <c r="H1" s="192"/>
    </row>
    <row r="2" spans="1:8" s="6" customFormat="1" ht="19" x14ac:dyDescent="0.25">
      <c r="A2" s="3" t="s">
        <v>223</v>
      </c>
      <c r="B2" s="193" t="s">
        <v>322</v>
      </c>
      <c r="C2" s="193"/>
      <c r="D2" s="193"/>
      <c r="E2" s="194"/>
      <c r="F2" s="4" t="s">
        <v>14</v>
      </c>
      <c r="G2" s="88">
        <v>6818381</v>
      </c>
      <c r="H2" s="79" t="s">
        <v>225</v>
      </c>
    </row>
    <row r="3" spans="1:8" ht="18" x14ac:dyDescent="0.2">
      <c r="A3" s="3" t="s">
        <v>226</v>
      </c>
      <c r="B3" s="193" t="s">
        <v>323</v>
      </c>
      <c r="C3" s="193"/>
      <c r="D3" s="193"/>
      <c r="E3" s="194"/>
      <c r="F3" s="4" t="s">
        <v>18</v>
      </c>
      <c r="G3" s="88">
        <v>3532222</v>
      </c>
      <c r="H3" s="80" t="s">
        <v>324</v>
      </c>
    </row>
    <row r="4" spans="1:8" ht="18" x14ac:dyDescent="0.2">
      <c r="A4" s="3" t="s">
        <v>228</v>
      </c>
      <c r="B4" s="193" t="s">
        <v>323</v>
      </c>
      <c r="C4" s="193"/>
      <c r="D4" s="193"/>
      <c r="E4" s="194"/>
      <c r="F4" s="4" t="s">
        <v>23</v>
      </c>
      <c r="G4" s="5">
        <v>0</v>
      </c>
      <c r="H4" s="80"/>
    </row>
    <row r="5" spans="1:8" ht="18" x14ac:dyDescent="0.2">
      <c r="A5" s="3" t="s">
        <v>25</v>
      </c>
      <c r="B5" s="193" t="s">
        <v>26</v>
      </c>
      <c r="C5" s="193"/>
      <c r="D5" s="193"/>
      <c r="E5" s="194"/>
      <c r="F5" s="4" t="s">
        <v>27</v>
      </c>
      <c r="G5" s="88">
        <v>442234</v>
      </c>
      <c r="H5" s="80"/>
    </row>
    <row r="6" spans="1:8" ht="18" x14ac:dyDescent="0.2">
      <c r="A6" s="3" t="s">
        <v>28</v>
      </c>
      <c r="B6" s="193" t="s">
        <v>229</v>
      </c>
      <c r="C6" s="193"/>
      <c r="D6" s="193"/>
      <c r="E6" s="194"/>
      <c r="F6" s="4" t="s">
        <v>29</v>
      </c>
      <c r="G6" s="5">
        <v>937</v>
      </c>
      <c r="H6" s="80"/>
    </row>
    <row r="7" spans="1:8" ht="18" x14ac:dyDescent="0.2">
      <c r="A7" s="3" t="s">
        <v>230</v>
      </c>
      <c r="B7" s="204" t="s">
        <v>231</v>
      </c>
      <c r="C7" s="193"/>
      <c r="D7" s="193"/>
      <c r="E7" s="194"/>
      <c r="F7" s="4" t="s">
        <v>32</v>
      </c>
      <c r="G7" s="5" t="s">
        <v>325</v>
      </c>
      <c r="H7" s="80"/>
    </row>
    <row r="8" spans="1:8" ht="18" x14ac:dyDescent="0.2">
      <c r="A8" s="3" t="s">
        <v>233</v>
      </c>
      <c r="B8" s="204" t="s">
        <v>234</v>
      </c>
      <c r="C8" s="193"/>
      <c r="D8" s="193"/>
      <c r="E8" s="194"/>
      <c r="F8" s="4" t="s">
        <v>36</v>
      </c>
      <c r="G8" s="134">
        <v>0.1</v>
      </c>
      <c r="H8" s="80"/>
    </row>
    <row r="9" spans="1:8" ht="176" x14ac:dyDescent="0.2">
      <c r="A9" s="3" t="s">
        <v>235</v>
      </c>
      <c r="B9" s="193" t="s">
        <v>326</v>
      </c>
      <c r="C9" s="193"/>
      <c r="D9" s="193"/>
      <c r="E9" s="194"/>
      <c r="F9" s="4" t="s">
        <v>40</v>
      </c>
      <c r="G9" s="87" t="s">
        <v>327</v>
      </c>
      <c r="H9" s="80"/>
    </row>
    <row r="10" spans="1:8" ht="18" x14ac:dyDescent="0.2">
      <c r="A10" s="3" t="s">
        <v>238</v>
      </c>
      <c r="B10" s="193" t="s">
        <v>328</v>
      </c>
      <c r="C10" s="193"/>
      <c r="D10" s="193"/>
      <c r="E10" s="194"/>
      <c r="F10" s="4" t="s">
        <v>44</v>
      </c>
      <c r="G10" s="5" t="s">
        <v>240</v>
      </c>
      <c r="H10" s="80"/>
    </row>
    <row r="11" spans="1:8" s="6" customFormat="1" ht="30" customHeight="1" x14ac:dyDescent="0.25">
      <c r="A11" s="7" t="s">
        <v>48</v>
      </c>
      <c r="B11" s="7" t="s">
        <v>49</v>
      </c>
      <c r="C11" s="7" t="s">
        <v>50</v>
      </c>
      <c r="D11" s="7" t="s">
        <v>51</v>
      </c>
      <c r="E11" s="7" t="s">
        <v>52</v>
      </c>
      <c r="F11" s="167" t="s">
        <v>53</v>
      </c>
      <c r="G11" s="174" t="s">
        <v>54</v>
      </c>
      <c r="H11" s="172" t="s">
        <v>55</v>
      </c>
    </row>
    <row r="12" spans="1:8" s="12" customFormat="1" ht="20" customHeight="1" x14ac:dyDescent="0.25">
      <c r="A12" s="9" t="s">
        <v>56</v>
      </c>
      <c r="B12" s="10"/>
      <c r="C12" s="10"/>
      <c r="D12" s="10"/>
      <c r="E12" s="10"/>
      <c r="F12" s="10"/>
      <c r="G12" s="175"/>
      <c r="H12" s="11"/>
    </row>
    <row r="13" spans="1:8" ht="20" customHeight="1" x14ac:dyDescent="0.2">
      <c r="A13" s="13" t="s">
        <v>241</v>
      </c>
      <c r="B13" s="14">
        <v>2021</v>
      </c>
      <c r="C13" s="15" t="s">
        <v>242</v>
      </c>
      <c r="D13" s="16" t="s">
        <v>59</v>
      </c>
      <c r="E13" s="16" t="s">
        <v>59</v>
      </c>
      <c r="F13" s="168"/>
      <c r="G13" s="176" t="s">
        <v>329</v>
      </c>
      <c r="H13" s="80" t="s">
        <v>330</v>
      </c>
    </row>
    <row r="14" spans="1:8" ht="20" customHeight="1" x14ac:dyDescent="0.2">
      <c r="A14" s="13" t="s">
        <v>61</v>
      </c>
      <c r="B14" s="14" t="s">
        <v>62</v>
      </c>
      <c r="C14" s="15" t="s">
        <v>58</v>
      </c>
      <c r="D14" s="16" t="s">
        <v>59</v>
      </c>
      <c r="E14" s="16" t="s">
        <v>59</v>
      </c>
      <c r="F14" s="168"/>
      <c r="G14" s="177"/>
      <c r="H14" s="80"/>
    </row>
    <row r="15" spans="1:8" ht="32" x14ac:dyDescent="0.2">
      <c r="A15" s="13" t="s">
        <v>63</v>
      </c>
      <c r="B15" s="14" t="s">
        <v>62</v>
      </c>
      <c r="C15" s="15" t="s">
        <v>242</v>
      </c>
      <c r="D15" s="16" t="s">
        <v>59</v>
      </c>
      <c r="E15" s="16" t="s">
        <v>59</v>
      </c>
      <c r="F15" s="168"/>
      <c r="G15" s="178" t="s">
        <v>331</v>
      </c>
      <c r="H15" s="96" t="s">
        <v>332</v>
      </c>
    </row>
    <row r="16" spans="1:8" ht="20" customHeight="1" x14ac:dyDescent="0.2">
      <c r="A16" s="13" t="s">
        <v>66</v>
      </c>
      <c r="B16" s="14" t="s">
        <v>62</v>
      </c>
      <c r="C16" s="15" t="s">
        <v>242</v>
      </c>
      <c r="D16" s="16" t="s">
        <v>59</v>
      </c>
      <c r="E16" s="16" t="s">
        <v>59</v>
      </c>
      <c r="F16" s="168"/>
      <c r="G16" s="166" t="s">
        <v>333</v>
      </c>
      <c r="H16" s="96" t="s">
        <v>334</v>
      </c>
    </row>
    <row r="17" spans="1:8" ht="20" customHeight="1" x14ac:dyDescent="0.2">
      <c r="A17" s="13" t="s">
        <v>69</v>
      </c>
      <c r="B17" s="14" t="s">
        <v>62</v>
      </c>
      <c r="C17" s="15" t="s">
        <v>242</v>
      </c>
      <c r="D17" s="16" t="s">
        <v>59</v>
      </c>
      <c r="E17" s="16" t="s">
        <v>59</v>
      </c>
      <c r="F17" s="168"/>
      <c r="G17" s="178" t="s">
        <v>335</v>
      </c>
      <c r="H17" s="96" t="s">
        <v>336</v>
      </c>
    </row>
    <row r="18" spans="1:8" ht="20" customHeight="1" x14ac:dyDescent="0.2">
      <c r="A18" s="13" t="s">
        <v>72</v>
      </c>
      <c r="B18" s="14" t="s">
        <v>62</v>
      </c>
      <c r="C18" s="15" t="s">
        <v>242</v>
      </c>
      <c r="D18" s="16" t="s">
        <v>59</v>
      </c>
      <c r="E18" s="16" t="s">
        <v>59</v>
      </c>
      <c r="F18" s="168"/>
      <c r="G18" s="166" t="s">
        <v>337</v>
      </c>
      <c r="H18" s="96" t="s">
        <v>338</v>
      </c>
    </row>
    <row r="19" spans="1:8" ht="20" customHeight="1" x14ac:dyDescent="0.2">
      <c r="A19" s="13" t="s">
        <v>75</v>
      </c>
      <c r="B19" s="14" t="s">
        <v>62</v>
      </c>
      <c r="C19" s="15" t="s">
        <v>242</v>
      </c>
      <c r="D19" s="16" t="s">
        <v>59</v>
      </c>
      <c r="E19" s="16" t="s">
        <v>59</v>
      </c>
      <c r="F19" s="168"/>
      <c r="G19" s="178" t="s">
        <v>339</v>
      </c>
      <c r="H19" s="96" t="s">
        <v>340</v>
      </c>
    </row>
    <row r="20" spans="1:8" ht="304" x14ac:dyDescent="0.2">
      <c r="A20" s="13" t="s">
        <v>78</v>
      </c>
      <c r="B20" s="14" t="s">
        <v>62</v>
      </c>
      <c r="C20" s="15" t="s">
        <v>242</v>
      </c>
      <c r="D20" s="16" t="s">
        <v>59</v>
      </c>
      <c r="E20" s="16" t="s">
        <v>59</v>
      </c>
      <c r="F20" s="168"/>
      <c r="G20" s="179"/>
      <c r="H20" s="96" t="s">
        <v>341</v>
      </c>
    </row>
    <row r="21" spans="1:8" ht="20" customHeight="1" x14ac:dyDescent="0.2">
      <c r="A21" s="13" t="s">
        <v>81</v>
      </c>
      <c r="B21" s="14" t="s">
        <v>62</v>
      </c>
      <c r="C21" s="15" t="s">
        <v>58</v>
      </c>
      <c r="D21" s="16" t="s">
        <v>59</v>
      </c>
      <c r="E21" s="16" t="s">
        <v>59</v>
      </c>
      <c r="F21" s="168"/>
      <c r="G21" s="179"/>
      <c r="H21" s="17"/>
    </row>
    <row r="22" spans="1:8" ht="20" customHeight="1" x14ac:dyDescent="0.2">
      <c r="A22" s="13" t="s">
        <v>82</v>
      </c>
      <c r="B22" s="14" t="s">
        <v>62</v>
      </c>
      <c r="C22" s="15" t="s">
        <v>58</v>
      </c>
      <c r="D22" s="16" t="s">
        <v>59</v>
      </c>
      <c r="E22" s="16" t="s">
        <v>59</v>
      </c>
      <c r="F22" s="168"/>
      <c r="G22" s="179"/>
      <c r="H22" s="17"/>
    </row>
    <row r="23" spans="1:8" ht="20" customHeight="1" x14ac:dyDescent="0.2">
      <c r="A23" s="13" t="s">
        <v>83</v>
      </c>
      <c r="B23" s="14" t="s">
        <v>62</v>
      </c>
      <c r="C23" s="15" t="s">
        <v>58</v>
      </c>
      <c r="D23" s="16" t="s">
        <v>59</v>
      </c>
      <c r="E23" s="16" t="s">
        <v>59</v>
      </c>
      <c r="F23" s="168"/>
      <c r="G23" s="179"/>
      <c r="H23" s="17"/>
    </row>
    <row r="24" spans="1:8" ht="20" customHeight="1" x14ac:dyDescent="0.2">
      <c r="A24" s="13" t="s">
        <v>84</v>
      </c>
      <c r="B24" s="14" t="s">
        <v>62</v>
      </c>
      <c r="C24" s="15" t="s">
        <v>58</v>
      </c>
      <c r="D24" s="16" t="s">
        <v>59</v>
      </c>
      <c r="E24" s="16" t="s">
        <v>59</v>
      </c>
      <c r="F24" s="168"/>
      <c r="G24" s="179"/>
      <c r="H24" s="17"/>
    </row>
    <row r="25" spans="1:8" s="6" customFormat="1" ht="20" customHeight="1" x14ac:dyDescent="0.25">
      <c r="A25" s="18" t="s">
        <v>85</v>
      </c>
      <c r="B25" s="19"/>
      <c r="C25" s="19"/>
      <c r="D25" s="19"/>
      <c r="E25" s="19"/>
      <c r="F25" s="19"/>
      <c r="G25" s="180"/>
      <c r="H25" s="20"/>
    </row>
    <row r="26" spans="1:8" ht="20" customHeight="1" x14ac:dyDescent="0.2">
      <c r="A26" s="21" t="s">
        <v>86</v>
      </c>
      <c r="B26" s="22" t="s">
        <v>113</v>
      </c>
      <c r="C26" s="15" t="s">
        <v>58</v>
      </c>
      <c r="D26" s="16" t="s">
        <v>59</v>
      </c>
      <c r="E26" s="16" t="s">
        <v>59</v>
      </c>
      <c r="F26" s="169"/>
      <c r="G26" s="181"/>
      <c r="H26" s="24"/>
    </row>
    <row r="27" spans="1:8" ht="20" customHeight="1" x14ac:dyDescent="0.2">
      <c r="A27" s="21" t="s">
        <v>90</v>
      </c>
      <c r="B27" s="22" t="s">
        <v>113</v>
      </c>
      <c r="C27" s="15" t="s">
        <v>58</v>
      </c>
      <c r="D27" s="16" t="s">
        <v>59</v>
      </c>
      <c r="E27" s="16" t="s">
        <v>59</v>
      </c>
      <c r="F27" s="170"/>
      <c r="G27" s="182"/>
      <c r="H27" s="26"/>
    </row>
    <row r="28" spans="1:8" ht="20" customHeight="1" x14ac:dyDescent="0.2">
      <c r="A28" s="21" t="s">
        <v>94</v>
      </c>
      <c r="B28" s="22" t="s">
        <v>113</v>
      </c>
      <c r="C28" s="15" t="s">
        <v>58</v>
      </c>
      <c r="D28" s="16" t="s">
        <v>59</v>
      </c>
      <c r="E28" s="16" t="s">
        <v>59</v>
      </c>
      <c r="F28" s="170"/>
      <c r="G28" s="181"/>
      <c r="H28" s="24"/>
    </row>
    <row r="29" spans="1:8" ht="20" customHeight="1" x14ac:dyDescent="0.2">
      <c r="A29" s="21" t="s">
        <v>95</v>
      </c>
      <c r="B29" s="22" t="s">
        <v>113</v>
      </c>
      <c r="C29" s="15" t="s">
        <v>58</v>
      </c>
      <c r="D29" s="16" t="s">
        <v>59</v>
      </c>
      <c r="E29" s="16" t="s">
        <v>59</v>
      </c>
      <c r="F29" s="170"/>
      <c r="G29" s="183"/>
      <c r="H29" s="27"/>
    </row>
    <row r="30" spans="1:8" ht="20" customHeight="1" x14ac:dyDescent="0.2">
      <c r="A30" s="28" t="s">
        <v>96</v>
      </c>
      <c r="B30" s="22" t="s">
        <v>113</v>
      </c>
      <c r="C30" s="15" t="s">
        <v>58</v>
      </c>
      <c r="D30" s="16" t="s">
        <v>59</v>
      </c>
      <c r="E30" s="16" t="s">
        <v>59</v>
      </c>
      <c r="F30" s="168"/>
      <c r="G30" s="179"/>
      <c r="H30" s="17"/>
    </row>
    <row r="31" spans="1:8" s="6" customFormat="1" ht="20" customHeight="1" x14ac:dyDescent="0.25">
      <c r="A31" s="18" t="s">
        <v>97</v>
      </c>
      <c r="B31" s="19"/>
      <c r="C31" s="19"/>
      <c r="D31" s="19"/>
      <c r="E31" s="19"/>
      <c r="F31" s="19"/>
      <c r="G31" s="180"/>
      <c r="H31" s="20"/>
    </row>
    <row r="32" spans="1:8" ht="20" customHeight="1" x14ac:dyDescent="0.2">
      <c r="A32" s="29" t="s">
        <v>98</v>
      </c>
      <c r="B32" s="22" t="s">
        <v>113</v>
      </c>
      <c r="C32" s="15" t="s">
        <v>58</v>
      </c>
      <c r="D32" s="16" t="s">
        <v>59</v>
      </c>
      <c r="E32" s="16" t="s">
        <v>59</v>
      </c>
      <c r="F32" s="170"/>
      <c r="G32" s="181"/>
      <c r="H32" s="24"/>
    </row>
    <row r="33" spans="1:8" ht="20" customHeight="1" x14ac:dyDescent="0.2">
      <c r="A33" s="13" t="s">
        <v>103</v>
      </c>
      <c r="B33" s="22" t="s">
        <v>113</v>
      </c>
      <c r="C33" s="15" t="s">
        <v>58</v>
      </c>
      <c r="D33" s="16" t="s">
        <v>59</v>
      </c>
      <c r="E33" s="16" t="s">
        <v>59</v>
      </c>
      <c r="F33" s="168"/>
      <c r="G33" s="179"/>
      <c r="H33" s="17"/>
    </row>
    <row r="34" spans="1:8" ht="20" customHeight="1" x14ac:dyDescent="0.2">
      <c r="A34" s="29" t="s">
        <v>112</v>
      </c>
      <c r="B34" s="22" t="s">
        <v>113</v>
      </c>
      <c r="C34" s="15" t="s">
        <v>58</v>
      </c>
      <c r="D34" s="16" t="s">
        <v>59</v>
      </c>
      <c r="E34" s="16" t="s">
        <v>59</v>
      </c>
      <c r="F34" s="170"/>
      <c r="G34" s="184"/>
      <c r="H34" s="30"/>
    </row>
    <row r="35" spans="1:8" ht="20" customHeight="1" x14ac:dyDescent="0.2">
      <c r="A35" s="29" t="s">
        <v>114</v>
      </c>
      <c r="B35" s="22" t="s">
        <v>113</v>
      </c>
      <c r="C35" s="15" t="s">
        <v>58</v>
      </c>
      <c r="D35" s="16" t="s">
        <v>59</v>
      </c>
      <c r="E35" s="16" t="s">
        <v>59</v>
      </c>
      <c r="F35" s="170"/>
      <c r="G35" s="181"/>
      <c r="H35" s="24"/>
    </row>
    <row r="36" spans="1:8" ht="20" customHeight="1" x14ac:dyDescent="0.2">
      <c r="A36" s="29" t="s">
        <v>115</v>
      </c>
      <c r="B36" s="22" t="s">
        <v>113</v>
      </c>
      <c r="C36" s="15" t="s">
        <v>58</v>
      </c>
      <c r="D36" s="16" t="s">
        <v>59</v>
      </c>
      <c r="E36" s="16" t="s">
        <v>59</v>
      </c>
      <c r="F36" s="170"/>
      <c r="G36" s="182"/>
      <c r="H36" s="26"/>
    </row>
    <row r="37" spans="1:8" s="6" customFormat="1" ht="20" customHeight="1" x14ac:dyDescent="0.25">
      <c r="A37" s="71" t="s">
        <v>116</v>
      </c>
      <c r="B37" s="72"/>
      <c r="C37" s="72"/>
      <c r="D37" s="72"/>
      <c r="E37" s="72"/>
      <c r="F37" s="72"/>
      <c r="G37" s="185"/>
      <c r="H37" s="73"/>
    </row>
    <row r="38" spans="1:8" ht="20" customHeight="1" x14ac:dyDescent="0.2">
      <c r="A38" s="81" t="s">
        <v>117</v>
      </c>
      <c r="B38" s="74" t="s">
        <v>113</v>
      </c>
      <c r="C38" s="75" t="s">
        <v>58</v>
      </c>
      <c r="D38" s="76" t="s">
        <v>59</v>
      </c>
      <c r="E38" s="76" t="s">
        <v>59</v>
      </c>
      <c r="F38" s="171"/>
      <c r="G38" s="77"/>
      <c r="H38" s="173"/>
    </row>
    <row r="39" spans="1:8" s="6" customFormat="1" ht="20" customHeight="1" x14ac:dyDescent="0.25">
      <c r="A39" s="71" t="s">
        <v>118</v>
      </c>
      <c r="B39" s="72"/>
      <c r="C39" s="72"/>
      <c r="D39" s="72"/>
      <c r="E39" s="72"/>
      <c r="F39" s="72"/>
      <c r="G39" s="186"/>
      <c r="H39" s="73"/>
    </row>
    <row r="40" spans="1:8" ht="20" customHeight="1" x14ac:dyDescent="0.2">
      <c r="A40" s="81" t="s">
        <v>119</v>
      </c>
      <c r="B40" s="74"/>
      <c r="C40" s="75"/>
      <c r="D40" s="76"/>
      <c r="E40" s="76"/>
      <c r="F40" s="163"/>
      <c r="G40" s="166" t="s">
        <v>342</v>
      </c>
      <c r="H40" s="14" t="s">
        <v>272</v>
      </c>
    </row>
    <row r="41" spans="1:8" ht="20" customHeight="1" x14ac:dyDescent="0.2">
      <c r="A41" s="81" t="s">
        <v>119</v>
      </c>
      <c r="B41" s="74"/>
      <c r="C41" s="75"/>
      <c r="D41" s="76"/>
      <c r="E41" s="76"/>
      <c r="F41" s="74"/>
      <c r="G41" s="165" t="s">
        <v>343</v>
      </c>
      <c r="H41" s="14" t="s">
        <v>272</v>
      </c>
    </row>
    <row r="42" spans="1:8" ht="20" customHeight="1" x14ac:dyDescent="0.2">
      <c r="A42" s="81" t="s">
        <v>119</v>
      </c>
      <c r="B42" s="74"/>
      <c r="C42" s="75"/>
      <c r="D42" s="76"/>
      <c r="E42" s="76"/>
      <c r="F42" s="164"/>
      <c r="G42" s="135" t="s">
        <v>344</v>
      </c>
      <c r="H42" s="14" t="s">
        <v>272</v>
      </c>
    </row>
    <row r="43" spans="1:8" ht="20" customHeight="1" x14ac:dyDescent="0.2">
      <c r="A43" s="81" t="s">
        <v>122</v>
      </c>
      <c r="B43" s="74"/>
      <c r="C43" s="75"/>
      <c r="D43" s="76"/>
      <c r="E43" s="76"/>
      <c r="F43" s="74"/>
      <c r="G43" s="78"/>
      <c r="H43" s="83"/>
    </row>
    <row r="44" spans="1:8" s="6" customFormat="1" ht="20" customHeight="1" x14ac:dyDescent="0.25">
      <c r="A44" s="71" t="s">
        <v>275</v>
      </c>
      <c r="B44" s="72"/>
      <c r="C44" s="72"/>
      <c r="D44" s="72" t="s">
        <v>124</v>
      </c>
      <c r="E44" s="72" t="s">
        <v>125</v>
      </c>
      <c r="F44" s="72"/>
      <c r="G44" s="73"/>
      <c r="H44" s="73"/>
    </row>
    <row r="45" spans="1:8" ht="20" customHeight="1" x14ac:dyDescent="0.2">
      <c r="A45" s="81" t="s">
        <v>126</v>
      </c>
      <c r="B45" s="74" t="s">
        <v>113</v>
      </c>
      <c r="C45" s="75"/>
      <c r="D45" s="76" t="s">
        <v>59</v>
      </c>
      <c r="E45" s="76" t="s">
        <v>59</v>
      </c>
      <c r="F45" s="74"/>
      <c r="G45" s="78"/>
      <c r="H45" s="83"/>
    </row>
    <row r="46" spans="1:8" ht="20" customHeight="1" x14ac:dyDescent="0.2">
      <c r="A46" s="81" t="s">
        <v>126</v>
      </c>
      <c r="B46" s="74" t="s">
        <v>113</v>
      </c>
      <c r="C46" s="75"/>
      <c r="D46" s="76" t="s">
        <v>59</v>
      </c>
      <c r="E46" s="76" t="s">
        <v>59</v>
      </c>
      <c r="F46" s="74"/>
      <c r="G46" s="78"/>
      <c r="H46" s="83"/>
    </row>
    <row r="47" spans="1:8" ht="20" customHeight="1" x14ac:dyDescent="0.2">
      <c r="A47" s="81" t="s">
        <v>126</v>
      </c>
      <c r="B47" s="74" t="s">
        <v>113</v>
      </c>
      <c r="C47" s="75"/>
      <c r="D47" s="76" t="s">
        <v>59</v>
      </c>
      <c r="E47" s="76" t="s">
        <v>59</v>
      </c>
      <c r="F47" s="74"/>
      <c r="G47" s="78"/>
      <c r="H47" s="83"/>
    </row>
    <row r="48" spans="1:8" ht="20" customHeight="1" x14ac:dyDescent="0.2">
      <c r="A48" s="81" t="s">
        <v>126</v>
      </c>
      <c r="B48" s="74" t="s">
        <v>113</v>
      </c>
      <c r="C48" s="75"/>
      <c r="D48" s="76" t="s">
        <v>59</v>
      </c>
      <c r="E48" s="76" t="s">
        <v>59</v>
      </c>
      <c r="F48" s="74"/>
      <c r="G48" s="78"/>
      <c r="H48" s="83"/>
    </row>
    <row r="49" spans="1:8" ht="20" customHeight="1" x14ac:dyDescent="0.2">
      <c r="A49" s="81" t="s">
        <v>126</v>
      </c>
      <c r="B49" s="74" t="s">
        <v>113</v>
      </c>
      <c r="C49" s="75"/>
      <c r="D49" s="76" t="s">
        <v>59</v>
      </c>
      <c r="E49" s="76" t="s">
        <v>59</v>
      </c>
      <c r="F49" s="74"/>
      <c r="G49" s="78"/>
      <c r="H49" s="83"/>
    </row>
    <row r="50" spans="1:8" ht="20" customHeight="1" x14ac:dyDescent="0.2">
      <c r="A50" s="81" t="s">
        <v>126</v>
      </c>
      <c r="B50" s="74" t="s">
        <v>113</v>
      </c>
      <c r="C50" s="75"/>
      <c r="D50" s="76" t="s">
        <v>59</v>
      </c>
      <c r="E50" s="76" t="s">
        <v>59</v>
      </c>
      <c r="F50" s="74"/>
      <c r="G50" s="78"/>
      <c r="H50" s="83"/>
    </row>
    <row r="51" spans="1:8" ht="20" customHeight="1" x14ac:dyDescent="0.2">
      <c r="A51" s="81" t="s">
        <v>126</v>
      </c>
      <c r="B51" s="74" t="s">
        <v>113</v>
      </c>
      <c r="C51" s="75"/>
      <c r="D51" s="76" t="s">
        <v>59</v>
      </c>
      <c r="E51" s="76" t="s">
        <v>59</v>
      </c>
      <c r="F51" s="74"/>
      <c r="G51" s="78"/>
      <c r="H51" s="83"/>
    </row>
    <row r="52" spans="1:8" ht="20" customHeight="1" x14ac:dyDescent="0.2">
      <c r="A52" s="81" t="s">
        <v>126</v>
      </c>
      <c r="B52" s="74" t="s">
        <v>113</v>
      </c>
      <c r="C52" s="75"/>
      <c r="D52" s="76" t="s">
        <v>59</v>
      </c>
      <c r="E52" s="76" t="s">
        <v>59</v>
      </c>
      <c r="F52" s="74"/>
      <c r="G52" s="78"/>
      <c r="H52" s="83"/>
    </row>
    <row r="53" spans="1:8" s="6" customFormat="1" ht="20" customHeight="1" x14ac:dyDescent="0.25">
      <c r="A53" s="18" t="s">
        <v>129</v>
      </c>
      <c r="B53" s="31"/>
      <c r="C53" s="31"/>
      <c r="D53" s="31" t="s">
        <v>130</v>
      </c>
      <c r="E53" s="31"/>
      <c r="F53" s="31" t="s">
        <v>131</v>
      </c>
      <c r="G53" s="31" t="s">
        <v>132</v>
      </c>
      <c r="H53" s="32"/>
    </row>
    <row r="54" spans="1:8" ht="20" customHeight="1" x14ac:dyDescent="0.2">
      <c r="A54" s="81" t="s">
        <v>316</v>
      </c>
      <c r="B54" s="74" t="s">
        <v>113</v>
      </c>
      <c r="C54" s="75"/>
      <c r="D54" s="76" t="s">
        <v>317</v>
      </c>
      <c r="E54" s="76"/>
      <c r="F54" s="74"/>
      <c r="G54" s="135" t="s">
        <v>316</v>
      </c>
      <c r="H54" s="187" t="s">
        <v>345</v>
      </c>
    </row>
    <row r="55" spans="1:8" ht="20" customHeight="1" x14ac:dyDescent="0.2">
      <c r="A55" s="81" t="s">
        <v>133</v>
      </c>
      <c r="B55" s="74" t="s">
        <v>113</v>
      </c>
      <c r="C55" s="75"/>
      <c r="D55" s="76" t="s">
        <v>59</v>
      </c>
      <c r="E55" s="76"/>
      <c r="F55" s="74"/>
      <c r="G55" s="78"/>
      <c r="H55" s="83"/>
    </row>
    <row r="56" spans="1:8" ht="20" customHeight="1" x14ac:dyDescent="0.2">
      <c r="A56" s="81" t="s">
        <v>133</v>
      </c>
      <c r="B56" s="74" t="s">
        <v>113</v>
      </c>
      <c r="C56" s="75"/>
      <c r="D56" s="76" t="s">
        <v>59</v>
      </c>
      <c r="E56" s="76"/>
      <c r="F56" s="74"/>
      <c r="G56" s="78"/>
      <c r="H56" s="83"/>
    </row>
    <row r="57" spans="1:8" ht="20" customHeight="1" x14ac:dyDescent="0.2">
      <c r="A57" s="81" t="s">
        <v>133</v>
      </c>
      <c r="B57" s="74" t="s">
        <v>113</v>
      </c>
      <c r="C57" s="75"/>
      <c r="D57" s="76" t="s">
        <v>59</v>
      </c>
      <c r="E57" s="76"/>
      <c r="F57" s="74"/>
      <c r="G57" s="78"/>
      <c r="H57" s="83"/>
    </row>
    <row r="58" spans="1:8" ht="20" customHeight="1" x14ac:dyDescent="0.2">
      <c r="A58" s="84" t="s">
        <v>133</v>
      </c>
      <c r="B58" s="33" t="s">
        <v>113</v>
      </c>
      <c r="C58" s="34"/>
      <c r="D58" s="35" t="s">
        <v>59</v>
      </c>
      <c r="E58" s="35"/>
      <c r="F58" s="34"/>
      <c r="G58" s="36"/>
      <c r="H58" s="36"/>
    </row>
  </sheetData>
  <mergeCells count="10">
    <mergeCell ref="B7:E7"/>
    <mergeCell ref="B8:E8"/>
    <mergeCell ref="B9:E9"/>
    <mergeCell ref="B10:E10"/>
    <mergeCell ref="A1:H1"/>
    <mergeCell ref="B2:E2"/>
    <mergeCell ref="B3:E3"/>
    <mergeCell ref="B4:E4"/>
    <mergeCell ref="B5:E5"/>
    <mergeCell ref="B6:E6"/>
  </mergeCells>
  <hyperlinks>
    <hyperlink ref="G15" r:id="rId1" display="../../../../:b:/s/Programs/EVCoIQNvc8FCrpIu0erdIrUBjvMrjBDoZbEQbCCNM7MoXA?e=vg1lur" xr:uid="{D4D65414-A68A-4515-9710-24366DDC3B45}"/>
    <hyperlink ref="G16" r:id="rId2" display="../../../../:b:/s/Programs/ES9snb3i3b1MkeoPuNjkceIBUr6lqnrFq2WDFPE434JIGQ?e=8l3ITi" xr:uid="{6524B197-0498-41E7-B579-635A6300FC28}"/>
    <hyperlink ref="G17" r:id="rId3" display="../../../../:b:/s/Programs/Edz_11xn-JtPhgHxi4TizIAB0QVG6fLiXdW8BZU5s69TLQ?e=Mbu9YH" xr:uid="{A6DD26F0-5B6B-4F58-BA98-6461CCB695EF}"/>
    <hyperlink ref="G18" r:id="rId4" display="../../../../:b:/s/Programs/EV-wdpa4BVFApxkI2qx_qgcB4YENGtZX4v1_aw6G6E-RNA?e=Fo3lZv" xr:uid="{325FF3D9-8CCF-45E0-8D5B-EA9F0A8889FE}"/>
    <hyperlink ref="G19" r:id="rId5" display="../../../../:b:/s/Programs/EU4NLrbrDLVFkDRYBzzGMwMBoGkf3rVFZn1xZlsMFZqoXQ?e=ZbDZZx" xr:uid="{4200B7F0-46A3-401F-8543-FD120EDA16CD}"/>
    <hyperlink ref="G13" r:id="rId6" display="../../../../:b:/s/Programs/EVhA1wtmcI9BszGQpzyZodwBXsCgaFkZ0kpp3Jwcj5AHEQ?e=NszgIx" xr:uid="{A8419317-8B84-4678-AF22-99B16091FCD3}"/>
    <hyperlink ref="G40" r:id="rId7" display="../../../../:f:/s/Programs/EtAHPLi1Y1NJrFnA02N0SjABaxDX8zceXEYUqipn-p42ZA?e=buJQU0" xr:uid="{60D8B075-AF2F-4530-9095-FF4A6239A59F}"/>
    <hyperlink ref="G41" r:id="rId8" display="../../../../:f:/s/Programs/EumzFEwOKC1EmL9xzBRsC2YBUaPxfUCQVbu-SVcrROWCcA?e=LiLfhr" xr:uid="{4B71142F-A1BA-4F23-97E2-064CB480817C}"/>
    <hyperlink ref="G42" r:id="rId9" display="../../../../:f:/s/Programs/Epg27lbgHIVNrrBDKM8dqVAB7JNw20R5wMy1Tl3ug-tdDg?e=QyXxuj" xr:uid="{2A7F49D3-E31A-4067-ACD8-8197FEC2DB2B}"/>
    <hyperlink ref="G54" r:id="rId10" display="../../../../:f:/s/Programs/ElDJlraPTgtMrZzRzj_oJzIB3_Chkhr_gjKG_T_4Vw3NcA?e=tCEMbA" xr:uid="{ADD3C44E-D808-457F-B301-09BFEC93B953}"/>
  </hyperlink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2CBB3-5228-404E-B208-FC9E190FF830}">
  <sheetPr>
    <tabColor theme="4" tint="0.79998168889431442"/>
  </sheetPr>
  <dimension ref="A1:H58"/>
  <sheetViews>
    <sheetView showGridLines="0" tabSelected="1" zoomScale="60" zoomScaleNormal="60" workbookViewId="0">
      <pane ySplit="11" topLeftCell="A12" activePane="bottomLeft" state="frozen"/>
      <selection pane="bottomLeft" activeCell="C21" sqref="C21"/>
    </sheetView>
  </sheetViews>
  <sheetFormatPr baseColWidth="10" defaultColWidth="9" defaultRowHeight="15" x14ac:dyDescent="0.2"/>
  <cols>
    <col min="1" max="1" width="64.5" customWidth="1"/>
    <col min="2" max="2" width="10.33203125" customWidth="1"/>
    <col min="3" max="3" width="25.1640625" bestFit="1" customWidth="1"/>
    <col min="4" max="4" width="17.5" bestFit="1" customWidth="1"/>
    <col min="5" max="5" width="25.83203125" bestFit="1" customWidth="1"/>
    <col min="6" max="6" width="43.5" customWidth="1"/>
    <col min="7" max="8" width="93" style="37" bestFit="1" customWidth="1"/>
  </cols>
  <sheetData>
    <row r="1" spans="1:8" ht="30" customHeight="1" x14ac:dyDescent="0.2">
      <c r="A1" s="190" t="s">
        <v>11</v>
      </c>
      <c r="B1" s="191"/>
      <c r="C1" s="191"/>
      <c r="D1" s="191"/>
      <c r="E1" s="191"/>
      <c r="F1" s="191"/>
      <c r="G1" s="191"/>
      <c r="H1" s="192"/>
    </row>
    <row r="2" spans="1:8" s="6" customFormat="1" ht="19" x14ac:dyDescent="0.25">
      <c r="A2" s="3" t="s">
        <v>223</v>
      </c>
      <c r="B2" s="193" t="s">
        <v>322</v>
      </c>
      <c r="C2" s="193"/>
      <c r="D2" s="193"/>
      <c r="E2" s="194"/>
      <c r="F2" s="4" t="s">
        <v>14</v>
      </c>
      <c r="G2" s="88">
        <v>2133979</v>
      </c>
      <c r="H2" s="79" t="s">
        <v>225</v>
      </c>
    </row>
    <row r="3" spans="1:8" ht="18" x14ac:dyDescent="0.2">
      <c r="A3" s="3" t="s">
        <v>226</v>
      </c>
      <c r="B3" s="193" t="s">
        <v>346</v>
      </c>
      <c r="C3" s="193"/>
      <c r="D3" s="193"/>
      <c r="E3" s="194"/>
      <c r="F3" s="4" t="s">
        <v>18</v>
      </c>
      <c r="G3" s="88">
        <v>1220032</v>
      </c>
      <c r="H3" s="80" t="s">
        <v>324</v>
      </c>
    </row>
    <row r="4" spans="1:8" ht="18" x14ac:dyDescent="0.2">
      <c r="A4" s="3" t="s">
        <v>228</v>
      </c>
      <c r="B4" s="193" t="s">
        <v>346</v>
      </c>
      <c r="C4" s="193"/>
      <c r="D4" s="193"/>
      <c r="E4" s="194"/>
      <c r="F4" s="4" t="s">
        <v>23</v>
      </c>
      <c r="G4" s="5">
        <v>0</v>
      </c>
      <c r="H4" s="80"/>
    </row>
    <row r="5" spans="1:8" ht="18" x14ac:dyDescent="0.2">
      <c r="A5" s="3" t="s">
        <v>25</v>
      </c>
      <c r="B5" s="193" t="s">
        <v>26</v>
      </c>
      <c r="C5" s="193"/>
      <c r="D5" s="193"/>
      <c r="E5" s="194"/>
      <c r="F5" s="4" t="s">
        <v>27</v>
      </c>
      <c r="G5" s="88">
        <v>300806</v>
      </c>
      <c r="H5" s="80"/>
    </row>
    <row r="6" spans="1:8" ht="18" x14ac:dyDescent="0.2">
      <c r="A6" s="3" t="s">
        <v>28</v>
      </c>
      <c r="B6" s="193" t="s">
        <v>229</v>
      </c>
      <c r="C6" s="193"/>
      <c r="D6" s="193"/>
      <c r="E6" s="194"/>
      <c r="F6" s="4" t="s">
        <v>29</v>
      </c>
      <c r="G6" s="88">
        <v>937</v>
      </c>
      <c r="H6" s="80"/>
    </row>
    <row r="7" spans="1:8" ht="18" x14ac:dyDescent="0.2">
      <c r="A7" s="3" t="s">
        <v>230</v>
      </c>
      <c r="B7" s="204" t="s">
        <v>231</v>
      </c>
      <c r="C7" s="193"/>
      <c r="D7" s="193"/>
      <c r="E7" s="194"/>
      <c r="F7" s="4" t="s">
        <v>32</v>
      </c>
      <c r="G7" s="5" t="s">
        <v>347</v>
      </c>
      <c r="H7" s="80"/>
    </row>
    <row r="8" spans="1:8" ht="18" x14ac:dyDescent="0.2">
      <c r="A8" s="3" t="s">
        <v>233</v>
      </c>
      <c r="B8" s="204" t="s">
        <v>348</v>
      </c>
      <c r="C8" s="193"/>
      <c r="D8" s="193"/>
      <c r="E8" s="194"/>
      <c r="F8" s="4" t="s">
        <v>36</v>
      </c>
      <c r="G8" s="134">
        <v>0.09</v>
      </c>
      <c r="H8" s="80"/>
    </row>
    <row r="9" spans="1:8" ht="160" x14ac:dyDescent="0.2">
      <c r="A9" s="3" t="s">
        <v>235</v>
      </c>
      <c r="B9" s="193" t="s">
        <v>349</v>
      </c>
      <c r="C9" s="193"/>
      <c r="D9" s="193"/>
      <c r="E9" s="194"/>
      <c r="F9" s="4" t="s">
        <v>40</v>
      </c>
      <c r="G9" s="87" t="s">
        <v>350</v>
      </c>
      <c r="H9" s="80"/>
    </row>
    <row r="10" spans="1:8" ht="18" x14ac:dyDescent="0.2">
      <c r="A10" s="3" t="s">
        <v>238</v>
      </c>
      <c r="B10" s="193" t="s">
        <v>328</v>
      </c>
      <c r="C10" s="193"/>
      <c r="D10" s="193"/>
      <c r="E10" s="194"/>
      <c r="F10" s="4" t="s">
        <v>44</v>
      </c>
      <c r="G10" s="5" t="s">
        <v>240</v>
      </c>
      <c r="H10" s="80"/>
    </row>
    <row r="11" spans="1:8" s="6" customFormat="1" ht="30" customHeight="1" x14ac:dyDescent="0.25">
      <c r="A11" s="7" t="s">
        <v>48</v>
      </c>
      <c r="B11" s="7" t="s">
        <v>49</v>
      </c>
      <c r="C11" s="7" t="s">
        <v>50</v>
      </c>
      <c r="D11" s="7" t="s">
        <v>51</v>
      </c>
      <c r="E11" s="7" t="s">
        <v>52</v>
      </c>
      <c r="F11" s="7" t="s">
        <v>53</v>
      </c>
      <c r="G11" s="8" t="s">
        <v>54</v>
      </c>
      <c r="H11" s="8" t="s">
        <v>55</v>
      </c>
    </row>
    <row r="12" spans="1:8" s="12" customFormat="1" ht="20" customHeight="1" x14ac:dyDescent="0.25">
      <c r="A12" s="9" t="s">
        <v>56</v>
      </c>
      <c r="B12" s="10"/>
      <c r="C12" s="10"/>
      <c r="D12" s="10"/>
      <c r="E12" s="10"/>
      <c r="F12" s="10"/>
      <c r="G12" s="11"/>
      <c r="H12" s="11"/>
    </row>
    <row r="13" spans="1:8" ht="20" customHeight="1" x14ac:dyDescent="0.2">
      <c r="A13" s="13" t="s">
        <v>241</v>
      </c>
      <c r="B13" s="14">
        <v>2021</v>
      </c>
      <c r="C13" s="15" t="s">
        <v>242</v>
      </c>
      <c r="D13" s="16" t="s">
        <v>59</v>
      </c>
      <c r="E13" s="16" t="s">
        <v>59</v>
      </c>
      <c r="F13" s="15"/>
      <c r="G13" s="166" t="s">
        <v>351</v>
      </c>
      <c r="H13" s="80" t="s">
        <v>330</v>
      </c>
    </row>
    <row r="14" spans="1:8" ht="20" customHeight="1" x14ac:dyDescent="0.2">
      <c r="A14" s="13" t="s">
        <v>61</v>
      </c>
      <c r="B14" s="14" t="s">
        <v>62</v>
      </c>
      <c r="C14" s="15" t="s">
        <v>58</v>
      </c>
      <c r="D14" s="16" t="s">
        <v>59</v>
      </c>
      <c r="E14" s="16" t="s">
        <v>59</v>
      </c>
      <c r="F14" s="15"/>
      <c r="G14" s="77"/>
      <c r="H14" s="80"/>
    </row>
    <row r="15" spans="1:8" ht="20" customHeight="1" x14ac:dyDescent="0.2">
      <c r="A15" s="13" t="s">
        <v>63</v>
      </c>
      <c r="B15" s="14" t="s">
        <v>62</v>
      </c>
      <c r="C15" s="15" t="s">
        <v>242</v>
      </c>
      <c r="D15" s="16" t="s">
        <v>59</v>
      </c>
      <c r="E15" s="16" t="s">
        <v>59</v>
      </c>
      <c r="F15" s="15"/>
      <c r="G15" s="166" t="s">
        <v>352</v>
      </c>
      <c r="H15" s="80" t="s">
        <v>353</v>
      </c>
    </row>
    <row r="16" spans="1:8" ht="20" customHeight="1" x14ac:dyDescent="0.2">
      <c r="A16" s="13" t="s">
        <v>66</v>
      </c>
      <c r="B16" s="14" t="s">
        <v>62</v>
      </c>
      <c r="C16" s="15" t="s">
        <v>242</v>
      </c>
      <c r="D16" s="16" t="s">
        <v>59</v>
      </c>
      <c r="E16" s="16" t="s">
        <v>59</v>
      </c>
      <c r="F16" s="15"/>
      <c r="G16" s="166" t="s">
        <v>354</v>
      </c>
      <c r="H16" s="80" t="s">
        <v>355</v>
      </c>
    </row>
    <row r="17" spans="1:8" ht="20" customHeight="1" x14ac:dyDescent="0.2">
      <c r="A17" s="13" t="s">
        <v>69</v>
      </c>
      <c r="B17" s="14" t="s">
        <v>62</v>
      </c>
      <c r="C17" s="15" t="s">
        <v>242</v>
      </c>
      <c r="D17" s="16" t="s">
        <v>59</v>
      </c>
      <c r="E17" s="16" t="s">
        <v>59</v>
      </c>
      <c r="F17" s="15"/>
      <c r="G17" s="166" t="s">
        <v>356</v>
      </c>
      <c r="H17" s="80" t="s">
        <v>357</v>
      </c>
    </row>
    <row r="18" spans="1:8" ht="20" customHeight="1" x14ac:dyDescent="0.2">
      <c r="A18" s="13" t="s">
        <v>72</v>
      </c>
      <c r="B18" s="14" t="s">
        <v>62</v>
      </c>
      <c r="C18" s="15" t="s">
        <v>242</v>
      </c>
      <c r="D18" s="16" t="s">
        <v>59</v>
      </c>
      <c r="E18" s="16" t="s">
        <v>59</v>
      </c>
      <c r="F18" s="15"/>
      <c r="G18" s="166" t="s">
        <v>358</v>
      </c>
      <c r="H18" s="80" t="s">
        <v>359</v>
      </c>
    </row>
    <row r="19" spans="1:8" ht="20" customHeight="1" x14ac:dyDescent="0.2">
      <c r="A19" s="13" t="s">
        <v>75</v>
      </c>
      <c r="B19" s="14" t="s">
        <v>62</v>
      </c>
      <c r="C19" s="15" t="s">
        <v>99</v>
      </c>
      <c r="D19" s="16" t="s">
        <v>59</v>
      </c>
      <c r="E19" s="16" t="s">
        <v>59</v>
      </c>
      <c r="F19" s="15"/>
      <c r="G19" s="166" t="s">
        <v>360</v>
      </c>
      <c r="H19" s="80" t="s">
        <v>361</v>
      </c>
    </row>
    <row r="20" spans="1:8" ht="20" customHeight="1" x14ac:dyDescent="0.2">
      <c r="A20" s="13" t="s">
        <v>78</v>
      </c>
      <c r="B20" s="14" t="s">
        <v>62</v>
      </c>
      <c r="C20" s="15" t="s">
        <v>99</v>
      </c>
      <c r="D20" s="16" t="s">
        <v>59</v>
      </c>
      <c r="E20" s="16" t="s">
        <v>59</v>
      </c>
      <c r="F20" s="15"/>
      <c r="G20" s="166" t="s">
        <v>362</v>
      </c>
      <c r="H20" s="80" t="s">
        <v>363</v>
      </c>
    </row>
    <row r="21" spans="1:8" ht="20" customHeight="1" x14ac:dyDescent="0.2">
      <c r="A21" s="13" t="s">
        <v>81</v>
      </c>
      <c r="B21" s="14" t="s">
        <v>62</v>
      </c>
      <c r="C21" s="15" t="s">
        <v>58</v>
      </c>
      <c r="D21" s="16" t="s">
        <v>59</v>
      </c>
      <c r="E21" s="16" t="s">
        <v>59</v>
      </c>
      <c r="F21" s="15"/>
      <c r="G21" s="77"/>
      <c r="H21" s="17"/>
    </row>
    <row r="22" spans="1:8" ht="20" customHeight="1" x14ac:dyDescent="0.2">
      <c r="A22" s="13" t="s">
        <v>82</v>
      </c>
      <c r="B22" s="14" t="s">
        <v>62</v>
      </c>
      <c r="C22" s="15" t="s">
        <v>58</v>
      </c>
      <c r="D22" s="16" t="s">
        <v>59</v>
      </c>
      <c r="E22" s="16" t="s">
        <v>59</v>
      </c>
      <c r="F22" s="15"/>
      <c r="G22" s="188"/>
      <c r="H22" s="17"/>
    </row>
    <row r="23" spans="1:8" ht="20" customHeight="1" x14ac:dyDescent="0.2">
      <c r="A23" s="13" t="s">
        <v>83</v>
      </c>
      <c r="B23" s="14" t="s">
        <v>62</v>
      </c>
      <c r="C23" s="15" t="s">
        <v>58</v>
      </c>
      <c r="D23" s="16" t="s">
        <v>59</v>
      </c>
      <c r="E23" s="16" t="s">
        <v>59</v>
      </c>
      <c r="F23" s="15"/>
      <c r="G23" s="17"/>
      <c r="H23" s="17"/>
    </row>
    <row r="24" spans="1:8" ht="20" customHeight="1" x14ac:dyDescent="0.2">
      <c r="A24" s="13" t="s">
        <v>84</v>
      </c>
      <c r="B24" s="14" t="s">
        <v>62</v>
      </c>
      <c r="C24" s="15" t="s">
        <v>58</v>
      </c>
      <c r="D24" s="16" t="s">
        <v>59</v>
      </c>
      <c r="E24" s="16" t="s">
        <v>59</v>
      </c>
      <c r="F24" s="15"/>
      <c r="G24" s="17"/>
      <c r="H24" s="17"/>
    </row>
    <row r="25" spans="1:8" s="6" customFormat="1" ht="20" customHeight="1" x14ac:dyDescent="0.25">
      <c r="A25" s="18" t="s">
        <v>85</v>
      </c>
      <c r="B25" s="19"/>
      <c r="C25" s="19"/>
      <c r="D25" s="19"/>
      <c r="E25" s="19"/>
      <c r="F25" s="19"/>
      <c r="G25" s="20"/>
      <c r="H25" s="20"/>
    </row>
    <row r="26" spans="1:8" ht="20" customHeight="1" x14ac:dyDescent="0.2">
      <c r="A26" s="21" t="s">
        <v>86</v>
      </c>
      <c r="B26" s="22" t="s">
        <v>113</v>
      </c>
      <c r="C26" s="15" t="s">
        <v>58</v>
      </c>
      <c r="D26" s="16" t="s">
        <v>59</v>
      </c>
      <c r="E26" s="16" t="s">
        <v>59</v>
      </c>
      <c r="F26" s="23"/>
      <c r="G26" s="24"/>
      <c r="H26" s="24"/>
    </row>
    <row r="27" spans="1:8" ht="20" customHeight="1" x14ac:dyDescent="0.2">
      <c r="A27" s="21" t="s">
        <v>90</v>
      </c>
      <c r="B27" s="22" t="s">
        <v>113</v>
      </c>
      <c r="C27" s="15" t="s">
        <v>58</v>
      </c>
      <c r="D27" s="16" t="s">
        <v>59</v>
      </c>
      <c r="E27" s="16" t="s">
        <v>59</v>
      </c>
      <c r="F27" s="25"/>
      <c r="G27" s="26"/>
      <c r="H27" s="26"/>
    </row>
    <row r="28" spans="1:8" ht="20" customHeight="1" x14ac:dyDescent="0.2">
      <c r="A28" s="21" t="s">
        <v>94</v>
      </c>
      <c r="B28" s="22" t="s">
        <v>113</v>
      </c>
      <c r="C28" s="15" t="s">
        <v>58</v>
      </c>
      <c r="D28" s="16" t="s">
        <v>59</v>
      </c>
      <c r="E28" s="16" t="s">
        <v>59</v>
      </c>
      <c r="F28" s="25"/>
      <c r="G28" s="24"/>
      <c r="H28" s="24"/>
    </row>
    <row r="29" spans="1:8" ht="20" customHeight="1" x14ac:dyDescent="0.2">
      <c r="A29" s="21" t="s">
        <v>95</v>
      </c>
      <c r="B29" s="22" t="s">
        <v>113</v>
      </c>
      <c r="C29" s="15" t="s">
        <v>58</v>
      </c>
      <c r="D29" s="16" t="s">
        <v>59</v>
      </c>
      <c r="E29" s="16" t="s">
        <v>59</v>
      </c>
      <c r="F29" s="25"/>
      <c r="G29" s="27"/>
      <c r="H29" s="27"/>
    </row>
    <row r="30" spans="1:8" ht="20" customHeight="1" x14ac:dyDescent="0.2">
      <c r="A30" s="28" t="s">
        <v>96</v>
      </c>
      <c r="B30" s="22" t="s">
        <v>113</v>
      </c>
      <c r="C30" s="15" t="s">
        <v>58</v>
      </c>
      <c r="D30" s="16" t="s">
        <v>59</v>
      </c>
      <c r="E30" s="16" t="s">
        <v>59</v>
      </c>
      <c r="F30" s="15"/>
      <c r="G30" s="17"/>
      <c r="H30" s="17"/>
    </row>
    <row r="31" spans="1:8" s="6" customFormat="1" ht="20" customHeight="1" x14ac:dyDescent="0.25">
      <c r="A31" s="18" t="s">
        <v>97</v>
      </c>
      <c r="B31" s="19"/>
      <c r="C31" s="19"/>
      <c r="D31" s="19"/>
      <c r="E31" s="19"/>
      <c r="F31" s="19"/>
      <c r="G31" s="20"/>
      <c r="H31" s="20"/>
    </row>
    <row r="32" spans="1:8" ht="20" customHeight="1" x14ac:dyDescent="0.2">
      <c r="A32" s="29" t="s">
        <v>98</v>
      </c>
      <c r="B32" s="22" t="s">
        <v>113</v>
      </c>
      <c r="C32" s="15" t="s">
        <v>58</v>
      </c>
      <c r="D32" s="16" t="s">
        <v>59</v>
      </c>
      <c r="E32" s="16" t="s">
        <v>59</v>
      </c>
      <c r="F32" s="25"/>
      <c r="G32" s="24"/>
      <c r="H32" s="24"/>
    </row>
    <row r="33" spans="1:8" ht="20" customHeight="1" x14ac:dyDescent="0.2">
      <c r="A33" s="13" t="s">
        <v>103</v>
      </c>
      <c r="B33" s="22" t="s">
        <v>113</v>
      </c>
      <c r="C33" s="15" t="s">
        <v>58</v>
      </c>
      <c r="D33" s="16" t="s">
        <v>59</v>
      </c>
      <c r="E33" s="16" t="s">
        <v>59</v>
      </c>
      <c r="F33" s="15"/>
      <c r="G33" s="17"/>
      <c r="H33" s="17"/>
    </row>
    <row r="34" spans="1:8" ht="20" customHeight="1" x14ac:dyDescent="0.2">
      <c r="A34" s="29" t="s">
        <v>112</v>
      </c>
      <c r="B34" s="22" t="s">
        <v>113</v>
      </c>
      <c r="C34" s="15" t="s">
        <v>58</v>
      </c>
      <c r="D34" s="16" t="s">
        <v>59</v>
      </c>
      <c r="E34" s="16" t="s">
        <v>59</v>
      </c>
      <c r="F34" s="25"/>
      <c r="G34" s="30"/>
      <c r="H34" s="30"/>
    </row>
    <row r="35" spans="1:8" ht="20" customHeight="1" x14ac:dyDescent="0.2">
      <c r="A35" s="29" t="s">
        <v>114</v>
      </c>
      <c r="B35" s="22" t="s">
        <v>113</v>
      </c>
      <c r="C35" s="15" t="s">
        <v>58</v>
      </c>
      <c r="D35" s="16" t="s">
        <v>59</v>
      </c>
      <c r="E35" s="16" t="s">
        <v>59</v>
      </c>
      <c r="F35" s="25"/>
      <c r="G35" s="24"/>
      <c r="H35" s="24"/>
    </row>
    <row r="36" spans="1:8" ht="20" customHeight="1" x14ac:dyDescent="0.2">
      <c r="A36" s="29" t="s">
        <v>115</v>
      </c>
      <c r="B36" s="22" t="s">
        <v>113</v>
      </c>
      <c r="C36" s="15" t="s">
        <v>58</v>
      </c>
      <c r="D36" s="16" t="s">
        <v>59</v>
      </c>
      <c r="E36" s="16" t="s">
        <v>59</v>
      </c>
      <c r="F36" s="25"/>
      <c r="G36" s="26"/>
      <c r="H36" s="26"/>
    </row>
    <row r="37" spans="1:8" s="6" customFormat="1" ht="20" customHeight="1" x14ac:dyDescent="0.25">
      <c r="A37" s="71" t="s">
        <v>116</v>
      </c>
      <c r="B37" s="72"/>
      <c r="C37" s="72"/>
      <c r="D37" s="72"/>
      <c r="E37" s="72"/>
      <c r="F37" s="72"/>
      <c r="G37" s="73"/>
      <c r="H37" s="73"/>
    </row>
    <row r="38" spans="1:8" ht="20" customHeight="1" x14ac:dyDescent="0.2">
      <c r="A38" s="81" t="s">
        <v>117</v>
      </c>
      <c r="B38" s="74" t="s">
        <v>113</v>
      </c>
      <c r="C38" s="75" t="s">
        <v>58</v>
      </c>
      <c r="D38" s="76" t="s">
        <v>59</v>
      </c>
      <c r="E38" s="76" t="s">
        <v>59</v>
      </c>
      <c r="F38" s="75"/>
      <c r="G38" s="77"/>
      <c r="H38" s="82"/>
    </row>
    <row r="39" spans="1:8" s="6" customFormat="1" ht="20" customHeight="1" x14ac:dyDescent="0.25">
      <c r="A39" s="71" t="s">
        <v>118</v>
      </c>
      <c r="B39" s="72"/>
      <c r="C39" s="72"/>
      <c r="D39" s="72"/>
      <c r="E39" s="72"/>
      <c r="F39" s="72"/>
      <c r="G39" s="73"/>
      <c r="H39" s="73"/>
    </row>
    <row r="40" spans="1:8" ht="20" customHeight="1" x14ac:dyDescent="0.2">
      <c r="A40" s="81" t="s">
        <v>119</v>
      </c>
      <c r="B40" s="74">
        <v>2021</v>
      </c>
      <c r="C40" s="75"/>
      <c r="D40" s="76"/>
      <c r="E40" s="76"/>
      <c r="F40" s="74"/>
      <c r="G40" s="166" t="s">
        <v>342</v>
      </c>
      <c r="H40" s="14" t="s">
        <v>272</v>
      </c>
    </row>
    <row r="41" spans="1:8" ht="20" customHeight="1" x14ac:dyDescent="0.2">
      <c r="A41" s="81" t="s">
        <v>119</v>
      </c>
      <c r="B41" s="74">
        <v>2022</v>
      </c>
      <c r="C41" s="75"/>
      <c r="D41" s="76"/>
      <c r="E41" s="76"/>
      <c r="F41" s="74"/>
      <c r="G41" s="166" t="s">
        <v>364</v>
      </c>
      <c r="H41" s="14" t="s">
        <v>272</v>
      </c>
    </row>
    <row r="42" spans="1:8" ht="20" customHeight="1" x14ac:dyDescent="0.2">
      <c r="A42" s="81" t="s">
        <v>119</v>
      </c>
      <c r="B42" s="74">
        <v>2023</v>
      </c>
      <c r="C42" s="75"/>
      <c r="D42" s="76"/>
      <c r="E42" s="76"/>
      <c r="F42" s="74"/>
      <c r="G42" s="166" t="s">
        <v>365</v>
      </c>
      <c r="H42" s="14" t="s">
        <v>272</v>
      </c>
    </row>
    <row r="43" spans="1:8" ht="20" customHeight="1" x14ac:dyDescent="0.2">
      <c r="A43" s="81" t="s">
        <v>122</v>
      </c>
      <c r="B43" s="74"/>
      <c r="C43" s="75"/>
      <c r="D43" s="76"/>
      <c r="E43" s="76"/>
      <c r="F43" s="74"/>
      <c r="G43" s="78"/>
      <c r="H43" s="83"/>
    </row>
    <row r="44" spans="1:8" s="6" customFormat="1" ht="20" customHeight="1" x14ac:dyDescent="0.25">
      <c r="A44" s="71" t="s">
        <v>275</v>
      </c>
      <c r="B44" s="72"/>
      <c r="C44" s="72"/>
      <c r="D44" s="72" t="s">
        <v>124</v>
      </c>
      <c r="E44" s="72" t="s">
        <v>125</v>
      </c>
      <c r="F44" s="72"/>
      <c r="G44" s="73"/>
      <c r="H44" s="73"/>
    </row>
    <row r="45" spans="1:8" ht="20" customHeight="1" x14ac:dyDescent="0.2">
      <c r="A45" s="81" t="s">
        <v>126</v>
      </c>
      <c r="B45" s="74" t="s">
        <v>113</v>
      </c>
      <c r="C45" s="75"/>
      <c r="D45" s="76" t="s">
        <v>59</v>
      </c>
      <c r="E45" s="76" t="s">
        <v>59</v>
      </c>
      <c r="F45" s="74"/>
      <c r="G45" s="78"/>
      <c r="H45" s="83"/>
    </row>
    <row r="46" spans="1:8" ht="20" customHeight="1" x14ac:dyDescent="0.2">
      <c r="A46" s="81" t="s">
        <v>126</v>
      </c>
      <c r="B46" s="74" t="s">
        <v>113</v>
      </c>
      <c r="C46" s="75"/>
      <c r="D46" s="76" t="s">
        <v>59</v>
      </c>
      <c r="E46" s="76" t="s">
        <v>59</v>
      </c>
      <c r="F46" s="74"/>
      <c r="G46" s="78"/>
      <c r="H46" s="83"/>
    </row>
    <row r="47" spans="1:8" ht="20" customHeight="1" x14ac:dyDescent="0.2">
      <c r="A47" s="81" t="s">
        <v>126</v>
      </c>
      <c r="B47" s="74" t="s">
        <v>113</v>
      </c>
      <c r="C47" s="75"/>
      <c r="D47" s="76" t="s">
        <v>59</v>
      </c>
      <c r="E47" s="76" t="s">
        <v>59</v>
      </c>
      <c r="F47" s="74"/>
      <c r="G47" s="78"/>
      <c r="H47" s="83"/>
    </row>
    <row r="48" spans="1:8" ht="20" customHeight="1" x14ac:dyDescent="0.2">
      <c r="A48" s="81" t="s">
        <v>126</v>
      </c>
      <c r="B48" s="74" t="s">
        <v>113</v>
      </c>
      <c r="C48" s="75"/>
      <c r="D48" s="76" t="s">
        <v>59</v>
      </c>
      <c r="E48" s="76" t="s">
        <v>59</v>
      </c>
      <c r="F48" s="74"/>
      <c r="G48" s="78"/>
      <c r="H48" s="83"/>
    </row>
    <row r="49" spans="1:8" ht="20" customHeight="1" x14ac:dyDescent="0.2">
      <c r="A49" s="81" t="s">
        <v>126</v>
      </c>
      <c r="B49" s="74" t="s">
        <v>113</v>
      </c>
      <c r="C49" s="75"/>
      <c r="D49" s="76" t="s">
        <v>59</v>
      </c>
      <c r="E49" s="76" t="s">
        <v>59</v>
      </c>
      <c r="F49" s="74"/>
      <c r="G49" s="78"/>
      <c r="H49" s="83"/>
    </row>
    <row r="50" spans="1:8" ht="20" customHeight="1" x14ac:dyDescent="0.2">
      <c r="A50" s="81" t="s">
        <v>126</v>
      </c>
      <c r="B50" s="74" t="s">
        <v>113</v>
      </c>
      <c r="C50" s="75"/>
      <c r="D50" s="76" t="s">
        <v>59</v>
      </c>
      <c r="E50" s="76" t="s">
        <v>59</v>
      </c>
      <c r="F50" s="74"/>
      <c r="G50" s="78"/>
      <c r="H50" s="83"/>
    </row>
    <row r="51" spans="1:8" ht="20" customHeight="1" x14ac:dyDescent="0.2">
      <c r="A51" s="81" t="s">
        <v>126</v>
      </c>
      <c r="B51" s="74" t="s">
        <v>113</v>
      </c>
      <c r="C51" s="75"/>
      <c r="D51" s="76" t="s">
        <v>59</v>
      </c>
      <c r="E51" s="76" t="s">
        <v>59</v>
      </c>
      <c r="F51" s="74"/>
      <c r="G51" s="78"/>
      <c r="H51" s="83"/>
    </row>
    <row r="52" spans="1:8" ht="20" customHeight="1" x14ac:dyDescent="0.2">
      <c r="A52" s="81" t="s">
        <v>126</v>
      </c>
      <c r="B52" s="74" t="s">
        <v>113</v>
      </c>
      <c r="C52" s="75"/>
      <c r="D52" s="76" t="s">
        <v>59</v>
      </c>
      <c r="E52" s="76" t="s">
        <v>59</v>
      </c>
      <c r="F52" s="74"/>
      <c r="G52" s="78"/>
      <c r="H52" s="83"/>
    </row>
    <row r="53" spans="1:8" s="6" customFormat="1" ht="20" customHeight="1" x14ac:dyDescent="0.25">
      <c r="A53" s="18" t="s">
        <v>129</v>
      </c>
      <c r="B53" s="31"/>
      <c r="C53" s="31"/>
      <c r="D53" s="31" t="s">
        <v>130</v>
      </c>
      <c r="E53" s="31"/>
      <c r="F53" s="31" t="s">
        <v>131</v>
      </c>
      <c r="G53" s="31" t="s">
        <v>132</v>
      </c>
      <c r="H53" s="32"/>
    </row>
    <row r="54" spans="1:8" ht="20" customHeight="1" x14ac:dyDescent="0.2">
      <c r="A54" s="81" t="s">
        <v>133</v>
      </c>
      <c r="B54" s="74" t="s">
        <v>113</v>
      </c>
      <c r="C54" s="75"/>
      <c r="D54" s="76" t="s">
        <v>59</v>
      </c>
      <c r="E54" s="76"/>
      <c r="F54" s="74"/>
      <c r="G54" s="78"/>
      <c r="H54" s="83"/>
    </row>
    <row r="55" spans="1:8" ht="20" customHeight="1" x14ac:dyDescent="0.2">
      <c r="A55" s="81" t="s">
        <v>133</v>
      </c>
      <c r="B55" s="74" t="s">
        <v>113</v>
      </c>
      <c r="C55" s="75"/>
      <c r="D55" s="76" t="s">
        <v>59</v>
      </c>
      <c r="E55" s="76"/>
      <c r="F55" s="74"/>
      <c r="G55" s="78"/>
      <c r="H55" s="83"/>
    </row>
    <row r="56" spans="1:8" ht="20" customHeight="1" x14ac:dyDescent="0.2">
      <c r="A56" s="81" t="s">
        <v>133</v>
      </c>
      <c r="B56" s="74" t="s">
        <v>113</v>
      </c>
      <c r="C56" s="75"/>
      <c r="D56" s="76" t="s">
        <v>59</v>
      </c>
      <c r="E56" s="76"/>
      <c r="F56" s="74"/>
      <c r="G56" s="78"/>
      <c r="H56" s="83"/>
    </row>
    <row r="57" spans="1:8" ht="20" customHeight="1" x14ac:dyDescent="0.2">
      <c r="A57" s="81" t="s">
        <v>133</v>
      </c>
      <c r="B57" s="74" t="s">
        <v>113</v>
      </c>
      <c r="C57" s="75"/>
      <c r="D57" s="76" t="s">
        <v>59</v>
      </c>
      <c r="E57" s="76"/>
      <c r="F57" s="74"/>
      <c r="G57" s="78"/>
      <c r="H57" s="83"/>
    </row>
    <row r="58" spans="1:8" ht="20" customHeight="1" x14ac:dyDescent="0.2">
      <c r="A58" s="84" t="s">
        <v>133</v>
      </c>
      <c r="B58" s="33" t="s">
        <v>113</v>
      </c>
      <c r="C58" s="34"/>
      <c r="D58" s="35" t="s">
        <v>59</v>
      </c>
      <c r="E58" s="35"/>
      <c r="F58" s="34"/>
      <c r="G58" s="36"/>
      <c r="H58" s="36"/>
    </row>
  </sheetData>
  <mergeCells count="10">
    <mergeCell ref="B7:E7"/>
    <mergeCell ref="B8:E8"/>
    <mergeCell ref="B9:E9"/>
    <mergeCell ref="B10:E10"/>
    <mergeCell ref="A1:H1"/>
    <mergeCell ref="B2:E2"/>
    <mergeCell ref="B3:E3"/>
    <mergeCell ref="B4:E4"/>
    <mergeCell ref="B5:E5"/>
    <mergeCell ref="B6:E6"/>
  </mergeCells>
  <hyperlinks>
    <hyperlink ref="G13" r:id="rId1" display="../../../../:b:/s/Programs/ER4R3s87oQVDgoARjxmhmHMB31JcX2zNhxF-TUtEtetnJQ?e=jnqYph" xr:uid="{F0D96F1B-0DF9-42B3-8205-674AE934C33F}"/>
    <hyperlink ref="G15" r:id="rId2" display="../../../../:b:/s/Programs/EQRicSJg_wBKuk4akW7tybcBbXv-wvmEhShATokpWDnZew?e=MAv3RK" xr:uid="{32C6D3DE-B3CC-4E5A-967C-CD2C92EADE7E}"/>
    <hyperlink ref="G16" r:id="rId3" display="../../../../:b:/s/Programs/EaFUc9eQBKdElr63g79VhTgBmcjjCrdtL5SuSaD9NeDMHw?e=GhreUS" xr:uid="{20ABA42C-167F-4F00-BAEC-2783ACD6A6E0}"/>
    <hyperlink ref="G17" r:id="rId4" display="../../../../:b:/s/Programs/EetJLcDySjhIiAbqCjdCdVIBbDc30qBIONDRuXv3ClMdhA?e=FqZmMg" xr:uid="{C51A5201-E0AB-4874-B10A-12E11F091B29}"/>
    <hyperlink ref="G18" r:id="rId5" display="../../../../:b:/s/Programs/EZ9LgnRwZlxMn1RvJiSkU_IBA8YTtDrNmMPEISxzZ4-5-g?e=NMn4KY" xr:uid="{E3F253C0-0870-4CF5-ADA5-C13CFC1C85D9}"/>
    <hyperlink ref="G19" r:id="rId6" display="../../../../:b:/s/Programs/EXzrmKZgv_FMn6xvYLWYUrcBlctIeCln6MEft2qyP5CSLQ?e=7VS80Z" xr:uid="{58EB8C17-9B18-4347-B9E5-15A9F7CB9EEE}"/>
    <hyperlink ref="G20" r:id="rId7" display="../../../../:b:/s/Programs/Ee-_aKa30WxEsGN6pC8sY5kBdcmnX0fwydHVGh0LYiWgEQ?e=htltYS" xr:uid="{52621B04-9DB8-403A-ADDE-B6CEC33A2DD3}"/>
    <hyperlink ref="G40" r:id="rId8" display="../../../../:f:/s/Programs/Ev0AHdAqhWlPmDCgFU--fPABVWPFZYDR-es8Q7bY2Izaxw?e=mx0eUK" xr:uid="{FD1D8A0D-91A9-4B19-844F-BBBA1145F7B9}"/>
    <hyperlink ref="G41" r:id="rId9" display="../../../../:f:/s/Programs/Eixo_2_y50RFmKA3I4d4CSsB07nOYQuSRMTDqrCti6NcfQ?e=6MczDl" xr:uid="{89A343B9-1C61-4766-B674-4EC2BC5DB2C8}"/>
    <hyperlink ref="G42" r:id="rId10" display="../../../../:f:/s/Programs/EpHaauUUDcxAvOVKguMNFAsBn6qpHaOciNc8NesxoeuEWw?e=QCF8Xg" xr:uid="{799051DC-685A-4222-B9A5-3F7ED016E62C}"/>
  </hyperlink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69969D1-8590-481E-AEEC-AAF030CFD2DF}">
  <ds:schemaRefs>
    <ds:schemaRef ds:uri="http://schemas.microsoft.com/sharepoint/v3/contenttype/forms"/>
  </ds:schemaRefs>
</ds:datastoreItem>
</file>

<file path=customXml/itemProps2.xml><?xml version="1.0" encoding="utf-8"?>
<ds:datastoreItem xmlns:ds="http://schemas.openxmlformats.org/officeDocument/2006/customXml" ds:itemID="{23F4E080-5490-41A3-8DA9-3BAB52D7E6F9}"/>
</file>

<file path=customXml/itemProps3.xml><?xml version="1.0" encoding="utf-8"?>
<ds:datastoreItem xmlns:ds="http://schemas.openxmlformats.org/officeDocument/2006/customXml" ds:itemID="{471DD9DE-623A-4A8A-AACB-E8E4E85DED16}">
  <ds:schemaRefs>
    <ds:schemaRef ds:uri="dc808d36-874f-4b27-aec2-2fd649817929"/>
    <ds:schemaRef ds:uri="3a684b84-d35d-4ed0-9b62-b4a83786fd0e"/>
    <ds:schemaRef ds:uri="http://schemas.microsoft.com/office/2006/documentManagement/types"/>
    <ds:schemaRef ds:uri="http://purl.org/dc/elements/1.1/"/>
    <ds:schemaRef ds:uri="http://purl.org/dc/terms/"/>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Award Summary Page</vt:lpstr>
      <vt:lpstr>Compliance Matrix Details</vt:lpstr>
      <vt:lpstr>Subaward FC</vt:lpstr>
      <vt:lpstr>Subaward PE</vt:lpstr>
      <vt:lpstr>Subaward 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Martin</dc:creator>
  <cp:keywords/>
  <dc:description/>
  <cp:lastModifiedBy>Carmen Peña</cp:lastModifiedBy>
  <cp:revision/>
  <dcterms:created xsi:type="dcterms:W3CDTF">2023-06-04T02:52:32Z</dcterms:created>
  <dcterms:modified xsi:type="dcterms:W3CDTF">2023-12-14T20:25:07Z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