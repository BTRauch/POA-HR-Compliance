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18"/>
  <workbookPr filterPrivacy="1" defaultThemeVersion="124226"/>
  <xr:revisionPtr revIDLastSave="16" documentId="8_{7A2C292B-9349-4941-B91E-B6B9A7732ED8}" xr6:coauthVersionLast="47" xr6:coauthVersionMax="47" xr10:uidLastSave="{0B851756-A7C9-43A9-9102-E10567A2F53D}"/>
  <bookViews>
    <workbookView xWindow="-110" yWindow="-110" windowWidth="25180" windowHeight="16260" tabRatio="701" activeTab="1" xr2:uid="{00000000-000D-0000-FFFF-FFFF00000000}"/>
  </bookViews>
  <sheets>
    <sheet name="APP" sheetId="1" r:id="rId1"/>
    <sheet name="Grants" sheetId="3" r:id="rId2"/>
    <sheet name="Listas" sheetId="2" r:id="rId3"/>
  </sheets>
  <definedNames>
    <definedName name="_xlnm._FilterDatabase" localSheetId="0" hidden="1">APP!$A$8:$Y$8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3" l="1"/>
  <c r="P25" i="1"/>
  <c r="P23" i="1"/>
  <c r="P31" i="1"/>
  <c r="P30" i="1"/>
  <c r="P29" i="1"/>
  <c r="P28" i="1"/>
  <c r="P27" i="1"/>
  <c r="P26" i="1"/>
  <c r="P24" i="1"/>
  <c r="P22" i="1"/>
  <c r="P21" i="1"/>
  <c r="P20" i="1"/>
  <c r="P19" i="1"/>
  <c r="P18" i="1"/>
  <c r="P17" i="1"/>
  <c r="P16" i="1"/>
  <c r="P14" i="1"/>
  <c r="P13" i="1"/>
  <c r="P10" i="1"/>
  <c r="H8" i="3" l="1"/>
  <c r="H7" i="3"/>
  <c r="H6" i="3"/>
  <c r="H5" i="3"/>
  <c r="I4" i="3"/>
  <c r="H4" i="3" s="1"/>
  <c r="H3" i="3"/>
  <c r="I16" i="1"/>
  <c r="H16" i="1" s="1"/>
  <c r="H9" i="3" l="1"/>
  <c r="H10" i="1"/>
  <c r="H11" i="1"/>
  <c r="H12" i="1"/>
  <c r="H13" i="1"/>
  <c r="H14" i="1"/>
  <c r="H15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9" i="1"/>
  <c r="S32" i="1"/>
  <c r="I32" i="1" l="1"/>
  <c r="H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0" authorId="0" shapeId="0" xr:uid="{14597820-F04C-4988-B37F-6F798A9C547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Cambia y queda a cargo de Dirección técnica. Estaba a cargo de alianzas.</t>
        </r>
      </text>
    </comment>
    <comment ref="I11" authorId="0" shapeId="0" xr:uid="{9C9F1429-06B0-44B0-9983-68BE05C0DC9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Estos recursos (35.000) se pasan al fondo de grants</t>
        </r>
      </text>
    </comment>
    <comment ref="B12" authorId="0" shapeId="0" xr:uid="{9D52F5B7-0F91-47DC-BD4A-4F42113A6E3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Sale de esta línea si cuesta 4.800 USD</t>
        </r>
      </text>
    </comment>
    <comment ref="I12" authorId="0" shapeId="0" xr:uid="{FC989636-E831-452F-8A21-53481F2884C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Solo habrían disponibles 4,800 USD </t>
        </r>
      </text>
    </comment>
    <comment ref="I21" authorId="0" shapeId="0" xr:uid="{71999197-0690-4D83-A209-5BA538E1460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TBD buscar , recursos por definir
</t>
        </r>
      </text>
    </comment>
    <comment ref="I26" authorId="0" shapeId="0" xr:uid="{6FE0D58A-7252-4CBB-9CFC-BA8CACC9A36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El presupuesto requerido es superior al disponible, se estima que se requieren 420 millones / USD 106.500</t>
        </r>
      </text>
    </comment>
    <comment ref="O28" authorId="0" shapeId="0" xr:uid="{3B0D53A6-BAE2-4724-94E7-57EA02BDB70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En convocatoria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tc={6CFC0E1E-FA07-4C09-B583-87D34B6454D2}</author>
  </authors>
  <commentList>
    <comment ref="E3" authorId="0" shapeId="0" xr:uid="{6CFC0E1E-FA07-4C09-B583-87D34B6454D2}">
      <text>
        <t>[Threaded comment]
Your version of Excel allows you to read this threaded comment; however, any edits to it will get removed if the file is opened in a newer version of Excel. Learn more: https://go.microsoft.com/fwlink/?linkid=870924
Comment:
    APS para Fondo de Actividades Componente 3
Renovación de cultivos-siembra nueva no injertación.
Control de plaga específica.
Emprendimiento de idea de negocio en torno a la comunidad.
Establecimiento de hectáreas a nombre de la comunidad de un cultivo complementario específico.</t>
      </text>
    </comment>
  </commentList>
</comments>
</file>

<file path=xl/sharedStrings.xml><?xml version="1.0" encoding="utf-8"?>
<sst xmlns="http://schemas.openxmlformats.org/spreadsheetml/2006/main" count="357" uniqueCount="143">
  <si>
    <t>PLAN ANUAL DE ADQUISICIONES</t>
  </si>
  <si>
    <t xml:space="preserve">Preparado por: </t>
  </si>
  <si>
    <t>Dirección de Contratos y Cumplimiento C4D</t>
  </si>
  <si>
    <t>Cooperante:</t>
  </si>
  <si>
    <t>Departamento de Agricultura de Estados Unidos-USDA.</t>
  </si>
  <si>
    <t>Pendiente revisión HO</t>
  </si>
  <si>
    <t>Acuerdo No.:</t>
  </si>
  <si>
    <t>Nº OGSM: FCC-514-2020/002-00.</t>
  </si>
  <si>
    <t>Para revisar.</t>
  </si>
  <si>
    <t>Periodo:</t>
  </si>
  <si>
    <t>Enero 1, 2024 a Diciembre 31, 2024</t>
  </si>
  <si>
    <t>En convocatoria</t>
  </si>
  <si>
    <t>*TRM:</t>
  </si>
  <si>
    <t>No.</t>
  </si>
  <si>
    <t>Sage Activity</t>
  </si>
  <si>
    <t>Budget Item</t>
  </si>
  <si>
    <t>Actividad</t>
  </si>
  <si>
    <t>Área encargada</t>
  </si>
  <si>
    <t>Descripción Ítem</t>
  </si>
  <si>
    <t>Cantidad</t>
  </si>
  <si>
    <t>Costo estimado COP</t>
  </si>
  <si>
    <t>Costo estimado USD*</t>
  </si>
  <si>
    <t>Tipo de proceso</t>
  </si>
  <si>
    <t>Tipo de Adquisición</t>
  </si>
  <si>
    <t>Método de Adquisición</t>
  </si>
  <si>
    <t xml:space="preserve">Aprobación previa de USDA o waiver requerido? </t>
  </si>
  <si>
    <t>Duración estimada del contrato</t>
  </si>
  <si>
    <t>Fecha límite para el envío de los TDR</t>
  </si>
  <si>
    <t>Fecha límite para suscribir Purchase Requisition Form (PRF)</t>
  </si>
  <si>
    <t>Responsable de la PRF</t>
  </si>
  <si>
    <t>Fecha estimada firma de contrato</t>
  </si>
  <si>
    <t>Día y mes en el que deben ser recibidos los bienes/servicios</t>
  </si>
  <si>
    <t>Expected delivery location/procurement region</t>
  </si>
  <si>
    <t>DIGITALPAR</t>
  </si>
  <si>
    <t>Digital Training Parthnership</t>
  </si>
  <si>
    <t>Dirección alianzas e inversiones</t>
  </si>
  <si>
    <t>Herramienta digital - Diseñar, construir, pilotear, e implementar una(s) herramienta(s) digital(es) para la gestión de las fincas de los productores, la gestión de las asociaciones y un market place para el uso de vendedores, compradores y transportadores de cacao y productos complementarios.</t>
  </si>
  <si>
    <t>Contratación consultoría persona jurídica</t>
  </si>
  <si>
    <t xml:space="preserve">Technical - Workplan </t>
  </si>
  <si>
    <t>Competitive proposal</t>
  </si>
  <si>
    <t>Prior approval needed</t>
  </si>
  <si>
    <t>12 meses</t>
  </si>
  <si>
    <t>Área de contratos y donaciones</t>
  </si>
  <si>
    <t>NEWPARTNER</t>
  </si>
  <si>
    <t>Other new parthership</t>
  </si>
  <si>
    <t>Dirección técnica</t>
  </si>
  <si>
    <t>Tecnología inteligencia artificial  - Diseñar una tecnología de inteligencia artificial para determinar cuál es el perfil de sabor de grano de cacao a partir de dispositivo móvil.</t>
  </si>
  <si>
    <t>FCIA Parthership</t>
  </si>
  <si>
    <t>Find chocolate Partnership - Ruedas de negocios.</t>
  </si>
  <si>
    <t>TBD</t>
  </si>
  <si>
    <t>CACAOSAFE</t>
  </si>
  <si>
    <t>Cacao Food Safety, Traceability, and Risk Managment</t>
  </si>
  <si>
    <t>Inocuidad alimentaria / Cadmio (componente 4) - Analizar los niveles de cadmio a nivel de suelos y grano seco, de plomo a nivel de grano seco, y de análisis de suelo de elementos menores y elementos mayores para una muestra representativa a nivel de asociación para un grupo de asociaciones seleccionadas del proyecto C4D.</t>
  </si>
  <si>
    <t>6 meses</t>
  </si>
  <si>
    <t>Equipo E-Max - Adquisición del equipo de fluorescencia de rayos X monocromática (MXRF), E-max, de Z-spec o equivalente.</t>
  </si>
  <si>
    <t>Adquisición de bienes</t>
  </si>
  <si>
    <t>Adquisición de insumos para carmenta.</t>
  </si>
  <si>
    <t>2 meses</t>
  </si>
  <si>
    <t>Fertilizer for Farmers Digital Training Partnership</t>
  </si>
  <si>
    <t>Implementar 28 Biofabricas de Biopreparados, para promover en 2.500 familias cacaocultoras las diferentes opciones tecnológicas en la elaboración de productos amigables con el medio ambiente, como un método alternativo sostenible.</t>
  </si>
  <si>
    <t>Both prior approval &amp; wavier needed</t>
  </si>
  <si>
    <t>3 meses</t>
  </si>
  <si>
    <t>Realización de capacitaciones Biofábricas.</t>
  </si>
  <si>
    <t>Adquisición de servicios</t>
  </si>
  <si>
    <t>CARBONPAR</t>
  </si>
  <si>
    <t>New Carbon Partnership</t>
  </si>
  <si>
    <t>Consultor individual para implementación del PDD.</t>
  </si>
  <si>
    <t>Contratación consultoría persona natural</t>
  </si>
  <si>
    <t>COMCROPS</t>
  </si>
  <si>
    <t>Complementary Crops Food Security, traceability, and Risk Managment</t>
  </si>
  <si>
    <t>Proceso para seleccionar a las organizaciones beneficiarias de los centros de reproducción de gallinas. Proceso interno</t>
  </si>
  <si>
    <t>N/A</t>
  </si>
  <si>
    <t>Proceso para seleccionar a las organizaciones beneficiarias de los pilotos de ají. Proceso interno.</t>
  </si>
  <si>
    <t>Implementación de centros de reproducción de gallinas para seguridad alimentaria de las familias productoras.</t>
  </si>
  <si>
    <t>Contratación consultoría perdona jurídica</t>
  </si>
  <si>
    <t>4 meses</t>
  </si>
  <si>
    <t>Implementación piloto ají.</t>
  </si>
  <si>
    <t>Adquisición de bienes y servicios</t>
  </si>
  <si>
    <t>Suplies for extension Agents</t>
  </si>
  <si>
    <t>Adquisición de prendas de visibilidad.</t>
  </si>
  <si>
    <t xml:space="preserve">Operational </t>
  </si>
  <si>
    <t>BPA</t>
  </si>
  <si>
    <t>Cacaograma, Platanograma y yucagrama and Related Supplies (Include prinitng)</t>
  </si>
  <si>
    <t>Adquisición de cacaogramas y planes de manejo de finca.</t>
  </si>
  <si>
    <t>Small purchase</t>
  </si>
  <si>
    <t>2  meses</t>
  </si>
  <si>
    <t xml:space="preserve">Nutresa Support for private </t>
  </si>
  <si>
    <t>Agrreement Nutresa + agreement Luker. Compra de Material vegetal convenios Luker y Nutresa. 4 procesos</t>
  </si>
  <si>
    <t>Pendiente definir</t>
  </si>
  <si>
    <t>durante el año, validar con Felipe</t>
  </si>
  <si>
    <t>Small group - training for producers on Cacao and Complementary crops</t>
  </si>
  <si>
    <t>Capacitación (como Manuel Mejía) Se propone en Yariguies en tandas.</t>
  </si>
  <si>
    <t>TDB</t>
  </si>
  <si>
    <t>SUBAGROSAV</t>
  </si>
  <si>
    <t xml:space="preserve">Subrecipient Agrosavia </t>
  </si>
  <si>
    <t>Biorremediador (componente 3) - Implementar una prueba piloto para determinar los valores de inmovilización de cadmio en dos viveros de cacao y/o dos plantaciones, mediante la aplicación del biopreparado de bacterias tolerantes a cadmio o un producto similar.</t>
  </si>
  <si>
    <t>ACCELPART</t>
  </si>
  <si>
    <t>Incubator/Accelerator partherships</t>
  </si>
  <si>
    <t>Dirección fortalecimiento cadena de valor</t>
  </si>
  <si>
    <t>Consultoría para aceleración de emprendimientos  - Desarrollar un proceso para aceleración de ideas de negocio o emprendimientos.</t>
  </si>
  <si>
    <t>4-6 meses</t>
  </si>
  <si>
    <t>YOUTHORGS</t>
  </si>
  <si>
    <t>Organizations/networks/youth Incubators</t>
  </si>
  <si>
    <t xml:space="preserve">Desarrollar un proceso de innovación abierta que promueva una amplia participación de jóvenes en la ideación y propuesta de soluciones a los retos de las cadenas de valor de cacao y sus cultivos complementarios (plátano, ají, yuca, mango y limón Tahití) y que, a través de un proceso competitivo, permita seleccionar las ideas de negocio o emprendimientos prometedores que puedan ser aceleradas y/o escaladas. </t>
  </si>
  <si>
    <t>5 meses</t>
  </si>
  <si>
    <t>STUDYTRIP</t>
  </si>
  <si>
    <t>Colombia Student Stipends for Local 6 Month Research trip</t>
  </si>
  <si>
    <t>Formación de jóvenes en cultivos complementarios IES - Servicio integral de alojamiento, hospedaje y capacitación para la formación de jóvenes en cultivos complementarios.</t>
  </si>
  <si>
    <t>7 meses</t>
  </si>
  <si>
    <t xml:space="preserve">COMPRORFA6 </t>
  </si>
  <si>
    <t>Communication &amp; Promotional Fees for Grant RFAs</t>
  </si>
  <si>
    <t>Por definir: evento de presentación de ganadores.</t>
  </si>
  <si>
    <t>1 mes</t>
  </si>
  <si>
    <t>RCPEVENTS</t>
  </si>
  <si>
    <t>RCP Events/Conference</t>
  </si>
  <si>
    <t>Logística para evento - Convenio con FEDECACAO</t>
  </si>
  <si>
    <t xml:space="preserve">Total: </t>
  </si>
  <si>
    <t>Reviewed and Approved by:</t>
  </si>
  <si>
    <t>Date:</t>
  </si>
  <si>
    <t>Signature:</t>
  </si>
  <si>
    <t>Fecha estimada firma de grants</t>
  </si>
  <si>
    <t>Instrumento propuesto</t>
  </si>
  <si>
    <t>Grant found - Activity 3</t>
  </si>
  <si>
    <t xml:space="preserve">Grants actividad 3 </t>
  </si>
  <si>
    <t>Grants</t>
  </si>
  <si>
    <t>APS</t>
  </si>
  <si>
    <t>Grant found - Activity 4</t>
  </si>
  <si>
    <t>Grants actividad 4</t>
  </si>
  <si>
    <t>Grant found - Activity 5</t>
  </si>
  <si>
    <t>Grants actividad 5 - Financiación de ideas de negocio de acuerdo con el proceso de aceleración</t>
  </si>
  <si>
    <t>RFA</t>
  </si>
  <si>
    <t xml:space="preserve">AGRIBGRANT </t>
  </si>
  <si>
    <t>Youth Agribusiness Impact Investing Grants</t>
  </si>
  <si>
    <t>Grants actividad 6</t>
  </si>
  <si>
    <t xml:space="preserve">Grants </t>
  </si>
  <si>
    <t>VCHAINGRANT</t>
  </si>
  <si>
    <t>Niche Cacao &amp; Underutilize Value Chain Market Research Grant</t>
  </si>
  <si>
    <t>OTHER GRANTS ACT6</t>
  </si>
  <si>
    <t>TOTAL</t>
  </si>
  <si>
    <t>Micro-purchase</t>
  </si>
  <si>
    <t>Non-competitive (sole source)</t>
  </si>
  <si>
    <t>Neither needed</t>
  </si>
  <si>
    <t>Wavier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</si>
</sst>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&quot;$&quot;\ * #,##0.00_-;\-&quot;$&quot;\ * #,##0.00_-;_-&quot;$&quot;\ * &quot;-&quot;??_-;_-@_-"/>
    <numFmt numFmtId="165" formatCode="[$$-409]#,##0.00"/>
    <numFmt numFmtId="166" formatCode="[$-F800]dddd\,\ mmmm\ dd\,\ yyyy"/>
    <numFmt numFmtId="167" formatCode="_-&quot;$&quot;\ * #,##0_-;\-&quot;$&quot;\ * #,##0_-;_-&quot;$&quot;\ * &quot;-&quot;??_-;_-@_-"/>
  </numFmts>
  <fonts count="12">
    <font>
      <sz val="10"/>
      <name val="Arial"/>
    </font>
    <font>
      <b/>
      <sz val="11"/>
      <name val="Times New Roman"/>
      <family val="1"/>
    </font>
    <font>
      <sz val="11"/>
      <name val="Times New Roman"/>
      <family val="1"/>
    </font>
    <font>
      <b/>
      <sz val="18"/>
      <name val="Times New Roman"/>
      <family val="1"/>
    </font>
    <font>
      <b/>
      <i/>
      <sz val="11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EFE9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11">
    <xf numFmtId="0" fontId="0" fillId="0" borderId="0" xfId="0"/>
    <xf numFmtId="166" fontId="0" fillId="0" borderId="0" xfId="0" applyNumberFormat="1"/>
    <xf numFmtId="0" fontId="2" fillId="0" borderId="0" xfId="0" applyFont="1"/>
    <xf numFmtId="0" fontId="1" fillId="0" borderId="0" xfId="0" applyFont="1"/>
    <xf numFmtId="166" fontId="1" fillId="0" borderId="0" xfId="0" applyNumberFormat="1" applyFont="1"/>
    <xf numFmtId="4" fontId="2" fillId="0" borderId="1" xfId="0" applyNumberFormat="1" applyFont="1" applyBorder="1"/>
    <xf numFmtId="166" fontId="2" fillId="0" borderId="0" xfId="0" applyNumberFormat="1" applyFont="1"/>
    <xf numFmtId="0" fontId="2" fillId="0" borderId="2" xfId="0" applyFont="1" applyBorder="1"/>
    <xf numFmtId="14" fontId="2" fillId="0" borderId="2" xfId="0" applyNumberFormat="1" applyFont="1" applyBorder="1"/>
    <xf numFmtId="166" fontId="2" fillId="0" borderId="1" xfId="0" applyNumberFormat="1" applyFont="1" applyBorder="1" applyAlignment="1">
      <alignment horizontal="left"/>
    </xf>
    <xf numFmtId="0" fontId="1" fillId="0" borderId="1" xfId="0" applyFont="1" applyBorder="1"/>
    <xf numFmtId="166" fontId="1" fillId="0" borderId="1" xfId="0" applyNumberFormat="1" applyFont="1" applyBorder="1"/>
    <xf numFmtId="165" fontId="1" fillId="0" borderId="1" xfId="0" applyNumberFormat="1" applyFont="1" applyBorder="1"/>
    <xf numFmtId="166" fontId="0" fillId="0" borderId="2" xfId="0" applyNumberFormat="1" applyBorder="1"/>
    <xf numFmtId="166" fontId="2" fillId="0" borderId="2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2" fillId="0" borderId="0" xfId="0" applyNumberFormat="1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/>
    </xf>
    <xf numFmtId="167" fontId="6" fillId="0" borderId="1" xfId="0" applyNumberFormat="1" applyFont="1" applyBorder="1" applyAlignment="1">
      <alignment vertical="center"/>
    </xf>
    <xf numFmtId="167" fontId="2" fillId="0" borderId="1" xfId="2" applyNumberFormat="1" applyFont="1" applyBorder="1" applyAlignment="1">
      <alignment vertical="center"/>
    </xf>
    <xf numFmtId="2" fontId="2" fillId="0" borderId="1" xfId="1" applyNumberFormat="1" applyFont="1" applyBorder="1" applyAlignment="1">
      <alignment horizontal="left" vertical="center"/>
    </xf>
    <xf numFmtId="17" fontId="6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7" fontId="1" fillId="0" borderId="1" xfId="0" applyNumberFormat="1" applyFont="1" applyBorder="1"/>
    <xf numFmtId="0" fontId="1" fillId="0" borderId="1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166" fontId="2" fillId="3" borderId="1" xfId="0" applyNumberFormat="1" applyFont="1" applyFill="1" applyBorder="1" applyAlignment="1">
      <alignment horizontal="left"/>
    </xf>
    <xf numFmtId="4" fontId="2" fillId="3" borderId="1" xfId="0" applyNumberFormat="1" applyFont="1" applyFill="1" applyBorder="1"/>
    <xf numFmtId="0" fontId="2" fillId="3" borderId="0" xfId="0" applyFont="1" applyFill="1"/>
    <xf numFmtId="166" fontId="2" fillId="0" borderId="1" xfId="0" applyNumberFormat="1" applyFont="1" applyBorder="1" applyAlignment="1">
      <alignment horizontal="left" vertical="center"/>
    </xf>
    <xf numFmtId="17" fontId="6" fillId="0" borderId="1" xfId="0" applyNumberFormat="1" applyFont="1" applyBorder="1" applyAlignment="1">
      <alignment horizontal="center" vertical="center" wrapText="1"/>
    </xf>
    <xf numFmtId="17" fontId="6" fillId="5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/>
    <xf numFmtId="167" fontId="1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/>
    <xf numFmtId="0" fontId="2" fillId="7" borderId="1" xfId="0" applyFont="1" applyFill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/>
    </xf>
    <xf numFmtId="4" fontId="2" fillId="0" borderId="4" xfId="0" applyNumberFormat="1" applyFont="1" applyBorder="1" applyAlignment="1">
      <alignment horizontal="center" vertical="center"/>
    </xf>
    <xf numFmtId="0" fontId="2" fillId="0" borderId="1" xfId="0" applyFont="1" applyBorder="1"/>
    <xf numFmtId="0" fontId="7" fillId="0" borderId="0" xfId="0" applyFont="1"/>
    <xf numFmtId="0" fontId="7" fillId="0" borderId="1" xfId="0" applyFont="1" applyBorder="1" applyAlignment="1">
      <alignment vertical="center" wrapText="1"/>
    </xf>
    <xf numFmtId="0" fontId="7" fillId="3" borderId="0" xfId="0" applyFont="1" applyFill="1"/>
    <xf numFmtId="0" fontId="7" fillId="0" borderId="1" xfId="0" applyFont="1" applyBorder="1" applyAlignment="1">
      <alignment vertical="center"/>
    </xf>
    <xf numFmtId="167" fontId="7" fillId="0" borderId="1" xfId="2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7" fontId="1" fillId="0" borderId="3" xfId="2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4" fontId="2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4" fontId="11" fillId="0" borderId="1" xfId="0" applyNumberFormat="1" applyFont="1" applyBorder="1"/>
    <xf numFmtId="167" fontId="11" fillId="0" borderId="1" xfId="0" applyNumberFormat="1" applyFont="1" applyBorder="1" applyAlignment="1">
      <alignment vertical="center"/>
    </xf>
    <xf numFmtId="167" fontId="11" fillId="0" borderId="1" xfId="2" applyNumberFormat="1" applyFont="1" applyBorder="1" applyAlignment="1">
      <alignment vertical="center"/>
    </xf>
    <xf numFmtId="166" fontId="11" fillId="0" borderId="1" xfId="0" applyNumberFormat="1" applyFont="1" applyBorder="1" applyAlignment="1">
      <alignment horizontal="left" vertical="center"/>
    </xf>
    <xf numFmtId="17" fontId="11" fillId="0" borderId="1" xfId="0" applyNumberFormat="1" applyFont="1" applyBorder="1" applyAlignment="1">
      <alignment horizontal="center" vertical="center"/>
    </xf>
    <xf numFmtId="17" fontId="11" fillId="6" borderId="1" xfId="0" applyNumberFormat="1" applyFont="1" applyFill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/>
    </xf>
    <xf numFmtId="166" fontId="11" fillId="0" borderId="1" xfId="0" applyNumberFormat="1" applyFont="1" applyBorder="1" applyAlignment="1">
      <alignment horizontal="left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left"/>
    </xf>
    <xf numFmtId="167" fontId="11" fillId="5" borderId="1" xfId="0" applyNumberFormat="1" applyFont="1" applyFill="1" applyBorder="1" applyAlignment="1">
      <alignment vertical="center"/>
    </xf>
    <xf numFmtId="167" fontId="11" fillId="5" borderId="1" xfId="2" applyNumberFormat="1" applyFont="1" applyFill="1" applyBorder="1" applyAlignment="1">
      <alignment vertical="center"/>
    </xf>
    <xf numFmtId="166" fontId="11" fillId="5" borderId="1" xfId="0" applyNumberFormat="1" applyFont="1" applyFill="1" applyBorder="1" applyAlignment="1">
      <alignment horizontal="left" vertical="center"/>
    </xf>
    <xf numFmtId="17" fontId="11" fillId="5" borderId="1" xfId="0" applyNumberFormat="1" applyFont="1" applyFill="1" applyBorder="1" applyAlignment="1">
      <alignment horizontal="center" vertical="center"/>
    </xf>
    <xf numFmtId="17" fontId="11" fillId="5" borderId="1" xfId="0" applyNumberFormat="1" applyFont="1" applyFill="1" applyBorder="1" applyAlignment="1">
      <alignment horizontal="center" vertical="center" wrapText="1"/>
    </xf>
    <xf numFmtId="167" fontId="11" fillId="4" borderId="1" xfId="2" applyNumberFormat="1" applyFont="1" applyFill="1" applyBorder="1" applyAlignment="1">
      <alignment vertical="center"/>
    </xf>
    <xf numFmtId="17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 wrapText="1"/>
    </xf>
    <xf numFmtId="166" fontId="11" fillId="3" borderId="1" xfId="0" applyNumberFormat="1" applyFont="1" applyFill="1" applyBorder="1" applyAlignment="1">
      <alignment horizontal="left"/>
    </xf>
    <xf numFmtId="167" fontId="11" fillId="3" borderId="1" xfId="0" applyNumberFormat="1" applyFont="1" applyFill="1" applyBorder="1" applyAlignment="1">
      <alignment vertical="center"/>
    </xf>
    <xf numFmtId="167" fontId="11" fillId="3" borderId="1" xfId="2" applyNumberFormat="1" applyFont="1" applyFill="1" applyBorder="1" applyAlignment="1">
      <alignment vertical="center"/>
    </xf>
    <xf numFmtId="166" fontId="11" fillId="3" borderId="1" xfId="0" applyNumberFormat="1" applyFont="1" applyFill="1" applyBorder="1" applyAlignment="1">
      <alignment horizontal="left" vertical="center"/>
    </xf>
    <xf numFmtId="2" fontId="11" fillId="0" borderId="1" xfId="1" applyNumberFormat="1" applyFont="1" applyBorder="1" applyAlignment="1">
      <alignment horizontal="left" vertical="center"/>
    </xf>
    <xf numFmtId="17" fontId="11" fillId="7" borderId="1" xfId="0" applyNumberFormat="1" applyFont="1" applyFill="1" applyBorder="1" applyAlignment="1">
      <alignment horizontal="center" vertical="center"/>
    </xf>
    <xf numFmtId="0" fontId="11" fillId="0" borderId="0" xfId="0" applyFont="1"/>
    <xf numFmtId="0" fontId="2" fillId="0" borderId="0" xfId="0" applyFont="1" applyFill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mruColors>
      <color rgb="FFFEFE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3-12-12T21:19:27.96" personId="{00000000-0000-0000-0000-000000000000}" id="{6CFC0E1E-FA07-4C09-B583-87D34B6454D2}">
    <text>APS para Fondo de Actividades Componente 3
Renovación de cultivos-siembra nueva no injertación.
Control de plaga específica.
Emprendimiento de idea de negocio en torno a la comunidad.
Establecimiento de hectáreas a nombre de la comunidad de un cultivo complementario específico.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0"/>
  <sheetViews>
    <sheetView zoomScale="70" zoomScaleNormal="70" workbookViewId="0">
      <selection activeCell="U9" sqref="U9"/>
    </sheetView>
  </sheetViews>
  <sheetFormatPr defaultColWidth="11.42578125" defaultRowHeight="12.75"/>
  <cols>
    <col min="1" max="1" width="15" style="30" customWidth="1"/>
    <col min="2" max="2" width="19.140625" customWidth="1"/>
    <col min="3" max="3" width="44.42578125" style="1" customWidth="1"/>
    <col min="4" max="4" width="19" style="1" customWidth="1"/>
    <col min="5" max="5" width="34.7109375" style="30" bestFit="1" customWidth="1"/>
    <col min="6" max="6" width="48.5703125" bestFit="1" customWidth="1"/>
    <col min="7" max="7" width="13.28515625" style="1" hidden="1" customWidth="1"/>
    <col min="8" max="8" width="18.42578125" bestFit="1" customWidth="1"/>
    <col min="9" max="9" width="18.42578125" style="30" bestFit="1" customWidth="1"/>
    <col min="10" max="10" width="34.28515625" bestFit="1" customWidth="1"/>
    <col min="11" max="11" width="22.5703125" bestFit="1" customWidth="1"/>
    <col min="12" max="12" width="18.140625" style="30" bestFit="1" customWidth="1"/>
    <col min="13" max="13" width="31.5703125" bestFit="1" customWidth="1"/>
    <col min="14" max="14" width="24.42578125" customWidth="1"/>
    <col min="15" max="15" width="21.42578125" customWidth="1"/>
    <col min="16" max="16" width="24.85546875" customWidth="1"/>
    <col min="17" max="17" width="20.5703125" style="1" customWidth="1"/>
    <col min="18" max="18" width="24" style="38" bestFit="1" customWidth="1"/>
    <col min="19" max="19" width="27.7109375" hidden="1" customWidth="1"/>
    <col min="20" max="20" width="29.5703125" style="1" hidden="1" customWidth="1"/>
    <col min="21" max="21" width="15.140625" customWidth="1"/>
  </cols>
  <sheetData>
    <row r="1" spans="1:21" s="19" customFormat="1" ht="31.15" customHeight="1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1:21" s="2" customFormat="1" ht="13.9">
      <c r="A2" s="26" t="s">
        <v>1</v>
      </c>
      <c r="B2" s="73" t="s">
        <v>2</v>
      </c>
      <c r="C2" s="73"/>
      <c r="D2" s="73"/>
      <c r="E2" s="27"/>
      <c r="I2" s="18"/>
      <c r="L2" s="18"/>
      <c r="R2" s="24"/>
    </row>
    <row r="3" spans="1:21" s="2" customFormat="1" ht="13.9">
      <c r="A3" s="26" t="s">
        <v>3</v>
      </c>
      <c r="B3" s="73" t="s">
        <v>4</v>
      </c>
      <c r="C3" s="73"/>
      <c r="D3" s="73"/>
      <c r="E3" s="27"/>
      <c r="I3" s="18"/>
      <c r="L3" s="18"/>
      <c r="N3" s="57"/>
      <c r="O3" s="60" t="s">
        <v>5</v>
      </c>
      <c r="R3" s="24"/>
    </row>
    <row r="4" spans="1:21" s="2" customFormat="1" ht="13.9">
      <c r="A4" s="26" t="s">
        <v>6</v>
      </c>
      <c r="B4" s="73" t="s">
        <v>7</v>
      </c>
      <c r="C4" s="73"/>
      <c r="D4" s="73"/>
      <c r="E4" s="27"/>
      <c r="I4" s="18"/>
      <c r="L4" s="18"/>
      <c r="N4" s="52"/>
      <c r="O4" s="28" t="s">
        <v>8</v>
      </c>
      <c r="R4" s="24"/>
    </row>
    <row r="5" spans="1:21" s="2" customFormat="1" ht="13.9">
      <c r="A5" s="26" t="s">
        <v>9</v>
      </c>
      <c r="B5" s="73" t="s">
        <v>10</v>
      </c>
      <c r="C5" s="73"/>
      <c r="D5" s="73"/>
      <c r="E5" s="3"/>
      <c r="F5" s="3"/>
      <c r="G5" s="3"/>
      <c r="I5" s="18"/>
      <c r="L5" s="18"/>
      <c r="N5" s="58"/>
      <c r="O5" s="59" t="s">
        <v>11</v>
      </c>
      <c r="P5" s="3"/>
      <c r="R5" s="36"/>
      <c r="S5" s="3"/>
      <c r="T5" s="3"/>
    </row>
    <row r="6" spans="1:21" s="2" customFormat="1" ht="13.9">
      <c r="A6" s="26" t="s">
        <v>12</v>
      </c>
      <c r="B6" s="72">
        <v>4000</v>
      </c>
      <c r="C6" s="72"/>
      <c r="D6" s="72"/>
      <c r="E6" s="31"/>
      <c r="F6" s="31"/>
      <c r="G6" s="31"/>
      <c r="I6" s="18"/>
      <c r="L6" s="18"/>
      <c r="O6" s="31"/>
      <c r="P6" s="31"/>
      <c r="R6" s="36"/>
      <c r="S6" s="31"/>
      <c r="T6" s="31"/>
    </row>
    <row r="7" spans="1:21" s="2" customFormat="1" ht="13.9">
      <c r="A7" s="27"/>
      <c r="B7" s="3"/>
      <c r="C7" s="4"/>
      <c r="D7" s="4"/>
      <c r="E7" s="27"/>
      <c r="F7" s="3"/>
      <c r="G7" s="4"/>
      <c r="I7" s="18"/>
      <c r="L7" s="18"/>
      <c r="O7" s="3"/>
      <c r="P7" s="3"/>
      <c r="Q7" s="4"/>
      <c r="R7" s="36"/>
      <c r="S7" s="3"/>
      <c r="T7" s="4"/>
    </row>
    <row r="8" spans="1:21" s="2" customFormat="1" ht="40.5">
      <c r="A8" s="55" t="s">
        <v>13</v>
      </c>
      <c r="B8" s="55" t="s">
        <v>14</v>
      </c>
      <c r="C8" s="55" t="s">
        <v>15</v>
      </c>
      <c r="D8" s="55" t="s">
        <v>16</v>
      </c>
      <c r="E8" s="55" t="s">
        <v>17</v>
      </c>
      <c r="F8" s="56" t="s">
        <v>18</v>
      </c>
      <c r="G8" s="56" t="s">
        <v>19</v>
      </c>
      <c r="H8" s="56" t="s">
        <v>20</v>
      </c>
      <c r="I8" s="56" t="s">
        <v>21</v>
      </c>
      <c r="J8" s="56" t="s">
        <v>22</v>
      </c>
      <c r="K8" s="56" t="s">
        <v>23</v>
      </c>
      <c r="L8" s="56" t="s">
        <v>24</v>
      </c>
      <c r="M8" s="56" t="s">
        <v>25</v>
      </c>
      <c r="N8" s="56" t="s">
        <v>26</v>
      </c>
      <c r="O8" s="56" t="s">
        <v>27</v>
      </c>
      <c r="P8" s="56" t="s">
        <v>28</v>
      </c>
      <c r="Q8" s="56" t="s">
        <v>29</v>
      </c>
      <c r="R8" s="56" t="s">
        <v>30</v>
      </c>
      <c r="S8" s="56" t="s">
        <v>31</v>
      </c>
      <c r="T8" s="56" t="s">
        <v>32</v>
      </c>
      <c r="U8" s="110"/>
    </row>
    <row r="9" spans="1:21" s="2" customFormat="1" ht="90.75">
      <c r="A9" s="78">
        <v>1</v>
      </c>
      <c r="B9" s="79" t="s">
        <v>33</v>
      </c>
      <c r="C9" s="79" t="s">
        <v>34</v>
      </c>
      <c r="D9" s="78">
        <v>3</v>
      </c>
      <c r="E9" s="79" t="s">
        <v>35</v>
      </c>
      <c r="F9" s="80" t="s">
        <v>36</v>
      </c>
      <c r="G9" s="81"/>
      <c r="H9" s="82">
        <f t="shared" ref="H9:H31" si="0">+I9*$B$6</f>
        <v>424000000</v>
      </c>
      <c r="I9" s="83">
        <v>106000</v>
      </c>
      <c r="J9" s="79" t="s">
        <v>37</v>
      </c>
      <c r="K9" s="84" t="s">
        <v>38</v>
      </c>
      <c r="L9" s="84" t="s">
        <v>39</v>
      </c>
      <c r="M9" s="85" t="s">
        <v>40</v>
      </c>
      <c r="N9" s="78" t="s">
        <v>41</v>
      </c>
      <c r="O9" s="86">
        <v>45627</v>
      </c>
      <c r="P9" s="85">
        <v>45292</v>
      </c>
      <c r="Q9" s="87" t="s">
        <v>42</v>
      </c>
      <c r="R9" s="85">
        <v>45352</v>
      </c>
      <c r="S9" s="35"/>
      <c r="T9" s="5"/>
      <c r="U9" s="64"/>
    </row>
    <row r="10" spans="1:21" s="2" customFormat="1" ht="60.75">
      <c r="A10" s="78">
        <v>2</v>
      </c>
      <c r="B10" s="79" t="s">
        <v>43</v>
      </c>
      <c r="C10" s="79" t="s">
        <v>44</v>
      </c>
      <c r="D10" s="78">
        <v>3</v>
      </c>
      <c r="E10" s="88" t="s">
        <v>45</v>
      </c>
      <c r="F10" s="80" t="s">
        <v>46</v>
      </c>
      <c r="G10" s="89"/>
      <c r="H10" s="82">
        <f t="shared" si="0"/>
        <v>467824000</v>
      </c>
      <c r="I10" s="83">
        <v>116956</v>
      </c>
      <c r="J10" s="79" t="s">
        <v>37</v>
      </c>
      <c r="K10" s="84" t="s">
        <v>38</v>
      </c>
      <c r="L10" s="84" t="s">
        <v>39</v>
      </c>
      <c r="M10" s="85" t="s">
        <v>40</v>
      </c>
      <c r="N10" s="78" t="s">
        <v>41</v>
      </c>
      <c r="O10" s="85">
        <v>45474</v>
      </c>
      <c r="P10" s="85">
        <f>+O10</f>
        <v>45474</v>
      </c>
      <c r="Q10" s="87" t="s">
        <v>42</v>
      </c>
      <c r="R10" s="85">
        <v>45536</v>
      </c>
      <c r="S10" s="35"/>
      <c r="T10" s="5"/>
      <c r="U10" s="64"/>
    </row>
    <row r="11" spans="1:21" s="2" customFormat="1" ht="30">
      <c r="A11" s="90">
        <v>3</v>
      </c>
      <c r="B11" s="91" t="s">
        <v>43</v>
      </c>
      <c r="C11" s="91" t="s">
        <v>47</v>
      </c>
      <c r="D11" s="90">
        <v>3</v>
      </c>
      <c r="E11" s="91" t="s">
        <v>35</v>
      </c>
      <c r="F11" s="92" t="s">
        <v>48</v>
      </c>
      <c r="G11" s="93"/>
      <c r="H11" s="94">
        <f t="shared" si="0"/>
        <v>0</v>
      </c>
      <c r="I11" s="95">
        <v>0</v>
      </c>
      <c r="J11" s="91" t="s">
        <v>37</v>
      </c>
      <c r="K11" s="96" t="s">
        <v>38</v>
      </c>
      <c r="L11" s="96"/>
      <c r="M11" s="97" t="s">
        <v>40</v>
      </c>
      <c r="N11" s="90" t="s">
        <v>49</v>
      </c>
      <c r="O11" s="97" t="s">
        <v>49</v>
      </c>
      <c r="P11" s="97" t="s">
        <v>49</v>
      </c>
      <c r="Q11" s="98" t="s">
        <v>42</v>
      </c>
      <c r="R11" s="97" t="s">
        <v>49</v>
      </c>
      <c r="S11" s="51"/>
      <c r="T11" s="52"/>
      <c r="U11" s="64"/>
    </row>
    <row r="12" spans="1:21" s="2" customFormat="1" ht="106.5">
      <c r="A12" s="78">
        <v>4</v>
      </c>
      <c r="B12" s="79" t="s">
        <v>50</v>
      </c>
      <c r="C12" s="80" t="s">
        <v>51</v>
      </c>
      <c r="D12" s="78">
        <v>3</v>
      </c>
      <c r="E12" s="79" t="s">
        <v>35</v>
      </c>
      <c r="F12" s="80" t="s">
        <v>52</v>
      </c>
      <c r="G12" s="89"/>
      <c r="H12" s="82">
        <f t="shared" si="0"/>
        <v>368000000</v>
      </c>
      <c r="I12" s="99">
        <v>92000</v>
      </c>
      <c r="J12" s="79" t="s">
        <v>37</v>
      </c>
      <c r="K12" s="84" t="s">
        <v>38</v>
      </c>
      <c r="L12" s="84" t="s">
        <v>39</v>
      </c>
      <c r="M12" s="100" t="s">
        <v>40</v>
      </c>
      <c r="N12" s="100" t="s">
        <v>53</v>
      </c>
      <c r="O12" s="86">
        <v>45627</v>
      </c>
      <c r="P12" s="85">
        <v>45292</v>
      </c>
      <c r="Q12" s="87" t="s">
        <v>42</v>
      </c>
      <c r="R12" s="85">
        <v>45352</v>
      </c>
      <c r="S12" s="35"/>
      <c r="T12" s="5"/>
    </row>
    <row r="13" spans="1:21" s="2" customFormat="1" ht="45.75">
      <c r="A13" s="78">
        <v>5</v>
      </c>
      <c r="B13" s="79" t="s">
        <v>50</v>
      </c>
      <c r="C13" s="80" t="s">
        <v>51</v>
      </c>
      <c r="D13" s="78">
        <v>3</v>
      </c>
      <c r="E13" s="79" t="s">
        <v>35</v>
      </c>
      <c r="F13" s="80" t="s">
        <v>54</v>
      </c>
      <c r="G13" s="89"/>
      <c r="H13" s="82">
        <f t="shared" si="0"/>
        <v>224000000</v>
      </c>
      <c r="I13" s="99">
        <v>56000</v>
      </c>
      <c r="J13" s="79" t="s">
        <v>55</v>
      </c>
      <c r="K13" s="84" t="s">
        <v>38</v>
      </c>
      <c r="L13" s="84" t="s">
        <v>39</v>
      </c>
      <c r="M13" s="100" t="s">
        <v>40</v>
      </c>
      <c r="N13" s="100" t="s">
        <v>49</v>
      </c>
      <c r="O13" s="85" t="s">
        <v>49</v>
      </c>
      <c r="P13" s="85" t="str">
        <f>+O13</f>
        <v>TBD</v>
      </c>
      <c r="Q13" s="87" t="s">
        <v>42</v>
      </c>
      <c r="R13" s="85" t="s">
        <v>49</v>
      </c>
      <c r="S13" s="35"/>
      <c r="T13" s="5"/>
    </row>
    <row r="14" spans="1:21" s="2" customFormat="1" ht="30">
      <c r="A14" s="78">
        <v>6</v>
      </c>
      <c r="B14" s="79" t="s">
        <v>50</v>
      </c>
      <c r="C14" s="80" t="s">
        <v>51</v>
      </c>
      <c r="D14" s="78">
        <v>3</v>
      </c>
      <c r="E14" s="88" t="s">
        <v>45</v>
      </c>
      <c r="F14" s="80" t="s">
        <v>56</v>
      </c>
      <c r="G14" s="89"/>
      <c r="H14" s="82">
        <f t="shared" si="0"/>
        <v>144000000</v>
      </c>
      <c r="I14" s="99">
        <v>36000</v>
      </c>
      <c r="J14" s="79" t="s">
        <v>55</v>
      </c>
      <c r="K14" s="84" t="s">
        <v>38</v>
      </c>
      <c r="L14" s="84" t="s">
        <v>39</v>
      </c>
      <c r="M14" s="100" t="s">
        <v>40</v>
      </c>
      <c r="N14" s="100" t="s">
        <v>57</v>
      </c>
      <c r="O14" s="85">
        <v>45474</v>
      </c>
      <c r="P14" s="85">
        <f>+O14</f>
        <v>45474</v>
      </c>
      <c r="Q14" s="87" t="s">
        <v>42</v>
      </c>
      <c r="R14" s="85">
        <v>45536</v>
      </c>
      <c r="S14" s="35">
        <v>45352</v>
      </c>
      <c r="T14" s="5"/>
      <c r="U14" s="64"/>
    </row>
    <row r="15" spans="1:21" s="48" customFormat="1" ht="75.75">
      <c r="A15" s="101">
        <v>7</v>
      </c>
      <c r="B15" s="88" t="s">
        <v>33</v>
      </c>
      <c r="C15" s="102" t="s">
        <v>58</v>
      </c>
      <c r="D15" s="101">
        <v>3</v>
      </c>
      <c r="E15" s="88" t="s">
        <v>45</v>
      </c>
      <c r="F15" s="102" t="s">
        <v>59</v>
      </c>
      <c r="G15" s="103"/>
      <c r="H15" s="104">
        <f t="shared" si="0"/>
        <v>680000000</v>
      </c>
      <c r="I15" s="105">
        <v>170000</v>
      </c>
      <c r="J15" s="88" t="s">
        <v>55</v>
      </c>
      <c r="K15" s="84" t="s">
        <v>38</v>
      </c>
      <c r="L15" s="106" t="s">
        <v>39</v>
      </c>
      <c r="M15" s="85" t="s">
        <v>60</v>
      </c>
      <c r="N15" s="100" t="s">
        <v>61</v>
      </c>
      <c r="O15" s="85">
        <v>45261</v>
      </c>
      <c r="P15" s="85">
        <v>45292</v>
      </c>
      <c r="Q15" s="87" t="s">
        <v>42</v>
      </c>
      <c r="R15" s="85">
        <v>45352</v>
      </c>
      <c r="S15" s="35">
        <v>45352</v>
      </c>
      <c r="T15" s="47"/>
      <c r="U15" s="66"/>
    </row>
    <row r="16" spans="1:21" s="48" customFormat="1" ht="30">
      <c r="A16" s="101">
        <v>8</v>
      </c>
      <c r="B16" s="88" t="s">
        <v>33</v>
      </c>
      <c r="C16" s="102" t="s">
        <v>58</v>
      </c>
      <c r="D16" s="101">
        <v>3</v>
      </c>
      <c r="E16" s="88" t="s">
        <v>45</v>
      </c>
      <c r="F16" s="102" t="s">
        <v>62</v>
      </c>
      <c r="G16" s="103"/>
      <c r="H16" s="104">
        <f t="shared" si="0"/>
        <v>240000000</v>
      </c>
      <c r="I16" s="105">
        <f>230000-170000</f>
        <v>60000</v>
      </c>
      <c r="J16" s="88" t="s">
        <v>63</v>
      </c>
      <c r="K16" s="84" t="s">
        <v>38</v>
      </c>
      <c r="L16" s="106" t="s">
        <v>39</v>
      </c>
      <c r="M16" s="85" t="s">
        <v>40</v>
      </c>
      <c r="N16" s="100" t="s">
        <v>61</v>
      </c>
      <c r="O16" s="85">
        <v>45292</v>
      </c>
      <c r="P16" s="85">
        <f t="shared" ref="P16:P31" si="1">+O16</f>
        <v>45292</v>
      </c>
      <c r="Q16" s="87" t="s">
        <v>42</v>
      </c>
      <c r="R16" s="85">
        <v>45383</v>
      </c>
      <c r="S16" s="35">
        <v>45352</v>
      </c>
      <c r="T16" s="47"/>
      <c r="U16" s="66"/>
    </row>
    <row r="17" spans="1:21" s="2" customFormat="1" ht="30">
      <c r="A17" s="78">
        <v>9</v>
      </c>
      <c r="B17" s="79" t="s">
        <v>64</v>
      </c>
      <c r="C17" s="80" t="s">
        <v>65</v>
      </c>
      <c r="D17" s="78">
        <v>3</v>
      </c>
      <c r="E17" s="79" t="s">
        <v>45</v>
      </c>
      <c r="F17" s="80" t="s">
        <v>66</v>
      </c>
      <c r="G17" s="89"/>
      <c r="H17" s="82">
        <f t="shared" si="0"/>
        <v>80000000</v>
      </c>
      <c r="I17" s="83">
        <v>20000</v>
      </c>
      <c r="J17" s="79" t="s">
        <v>67</v>
      </c>
      <c r="K17" s="84" t="s">
        <v>38</v>
      </c>
      <c r="L17" s="84" t="s">
        <v>39</v>
      </c>
      <c r="M17" s="85" t="s">
        <v>40</v>
      </c>
      <c r="N17" s="100" t="s">
        <v>53</v>
      </c>
      <c r="O17" s="85">
        <v>45323</v>
      </c>
      <c r="P17" s="85">
        <f t="shared" si="1"/>
        <v>45323</v>
      </c>
      <c r="Q17" s="87" t="s">
        <v>42</v>
      </c>
      <c r="R17" s="85">
        <v>45383</v>
      </c>
      <c r="S17" s="35"/>
      <c r="T17" s="5"/>
    </row>
    <row r="18" spans="1:21" s="2" customFormat="1" ht="36" customHeight="1">
      <c r="A18" s="90">
        <v>10</v>
      </c>
      <c r="B18" s="91" t="s">
        <v>68</v>
      </c>
      <c r="C18" s="92" t="s">
        <v>69</v>
      </c>
      <c r="D18" s="90">
        <v>3</v>
      </c>
      <c r="E18" s="91" t="s">
        <v>45</v>
      </c>
      <c r="F18" s="92" t="s">
        <v>70</v>
      </c>
      <c r="G18" s="93"/>
      <c r="H18" s="94">
        <f t="shared" si="0"/>
        <v>0</v>
      </c>
      <c r="I18" s="95">
        <v>0</v>
      </c>
      <c r="J18" s="91" t="s">
        <v>71</v>
      </c>
      <c r="K18" s="96" t="s">
        <v>38</v>
      </c>
      <c r="L18" s="96"/>
      <c r="M18" s="97" t="s">
        <v>40</v>
      </c>
      <c r="N18" s="97" t="s">
        <v>71</v>
      </c>
      <c r="O18" s="97" t="s">
        <v>71</v>
      </c>
      <c r="P18" s="97" t="str">
        <f t="shared" si="1"/>
        <v>N/A</v>
      </c>
      <c r="Q18" s="98" t="s">
        <v>42</v>
      </c>
      <c r="R18" s="97" t="s">
        <v>71</v>
      </c>
      <c r="S18" s="51"/>
      <c r="T18" s="52"/>
      <c r="U18" s="64"/>
    </row>
    <row r="19" spans="1:21" s="2" customFormat="1" ht="36" customHeight="1">
      <c r="A19" s="90">
        <v>11</v>
      </c>
      <c r="B19" s="91" t="s">
        <v>68</v>
      </c>
      <c r="C19" s="92" t="s">
        <v>69</v>
      </c>
      <c r="D19" s="90">
        <v>3</v>
      </c>
      <c r="E19" s="91" t="s">
        <v>45</v>
      </c>
      <c r="F19" s="92" t="s">
        <v>72</v>
      </c>
      <c r="G19" s="93"/>
      <c r="H19" s="94">
        <f t="shared" si="0"/>
        <v>0</v>
      </c>
      <c r="I19" s="95">
        <v>0</v>
      </c>
      <c r="J19" s="91" t="s">
        <v>71</v>
      </c>
      <c r="K19" s="96" t="s">
        <v>38</v>
      </c>
      <c r="L19" s="96"/>
      <c r="M19" s="97" t="s">
        <v>40</v>
      </c>
      <c r="N19" s="97" t="s">
        <v>71</v>
      </c>
      <c r="O19" s="97" t="s">
        <v>71</v>
      </c>
      <c r="P19" s="97" t="str">
        <f t="shared" si="1"/>
        <v>N/A</v>
      </c>
      <c r="Q19" s="98" t="s">
        <v>42</v>
      </c>
      <c r="R19" s="97" t="s">
        <v>71</v>
      </c>
      <c r="S19" s="51"/>
      <c r="T19" s="52"/>
      <c r="U19" s="64"/>
    </row>
    <row r="20" spans="1:21" s="2" customFormat="1" ht="36.6" customHeight="1">
      <c r="A20" s="78">
        <v>12</v>
      </c>
      <c r="B20" s="79" t="s">
        <v>68</v>
      </c>
      <c r="C20" s="80" t="s">
        <v>69</v>
      </c>
      <c r="D20" s="78">
        <v>3</v>
      </c>
      <c r="E20" s="79" t="s">
        <v>45</v>
      </c>
      <c r="F20" s="80" t="s">
        <v>73</v>
      </c>
      <c r="G20" s="89"/>
      <c r="H20" s="82">
        <f t="shared" si="0"/>
        <v>219600000</v>
      </c>
      <c r="I20" s="83">
        <v>54900</v>
      </c>
      <c r="J20" s="79" t="s">
        <v>74</v>
      </c>
      <c r="K20" s="84" t="s">
        <v>38</v>
      </c>
      <c r="L20" s="84" t="s">
        <v>39</v>
      </c>
      <c r="M20" s="85" t="s">
        <v>40</v>
      </c>
      <c r="N20" s="101" t="s">
        <v>75</v>
      </c>
      <c r="O20" s="85">
        <v>45352</v>
      </c>
      <c r="P20" s="85">
        <f t="shared" si="1"/>
        <v>45352</v>
      </c>
      <c r="Q20" s="87" t="s">
        <v>42</v>
      </c>
      <c r="R20" s="85">
        <v>45444</v>
      </c>
      <c r="S20" s="35"/>
      <c r="T20" s="5"/>
      <c r="U20" s="64"/>
    </row>
    <row r="21" spans="1:21" s="2" customFormat="1" ht="30">
      <c r="A21" s="78">
        <v>13</v>
      </c>
      <c r="B21" s="79" t="s">
        <v>68</v>
      </c>
      <c r="C21" s="80" t="s">
        <v>69</v>
      </c>
      <c r="D21" s="78">
        <v>3</v>
      </c>
      <c r="E21" s="79" t="s">
        <v>45</v>
      </c>
      <c r="F21" s="80" t="s">
        <v>76</v>
      </c>
      <c r="G21" s="89"/>
      <c r="H21" s="82">
        <f t="shared" si="0"/>
        <v>80000000</v>
      </c>
      <c r="I21" s="105">
        <v>20000</v>
      </c>
      <c r="J21" s="79" t="s">
        <v>77</v>
      </c>
      <c r="K21" s="84" t="s">
        <v>38</v>
      </c>
      <c r="L21" s="84" t="s">
        <v>39</v>
      </c>
      <c r="M21" s="85" t="s">
        <v>40</v>
      </c>
      <c r="N21" s="100" t="s">
        <v>75</v>
      </c>
      <c r="O21" s="85">
        <v>45474</v>
      </c>
      <c r="P21" s="85">
        <f t="shared" si="1"/>
        <v>45474</v>
      </c>
      <c r="Q21" s="87" t="s">
        <v>42</v>
      </c>
      <c r="R21" s="85">
        <v>45536</v>
      </c>
      <c r="S21" s="35"/>
      <c r="T21" s="5"/>
      <c r="U21" s="64"/>
    </row>
    <row r="22" spans="1:21" s="2" customFormat="1" ht="30">
      <c r="A22" s="78">
        <v>14</v>
      </c>
      <c r="B22" s="79"/>
      <c r="C22" s="80" t="s">
        <v>78</v>
      </c>
      <c r="D22" s="78">
        <v>3</v>
      </c>
      <c r="E22" s="79" t="s">
        <v>45</v>
      </c>
      <c r="F22" s="80" t="s">
        <v>79</v>
      </c>
      <c r="G22" s="89"/>
      <c r="H22" s="82">
        <f t="shared" si="0"/>
        <v>99000000</v>
      </c>
      <c r="I22" s="83">
        <v>24750</v>
      </c>
      <c r="J22" s="79" t="s">
        <v>55</v>
      </c>
      <c r="K22" s="84" t="s">
        <v>80</v>
      </c>
      <c r="L22" s="84" t="s">
        <v>39</v>
      </c>
      <c r="M22" s="85" t="s">
        <v>40</v>
      </c>
      <c r="N22" s="100" t="s">
        <v>81</v>
      </c>
      <c r="O22" s="85">
        <v>45292</v>
      </c>
      <c r="P22" s="85">
        <f t="shared" si="1"/>
        <v>45292</v>
      </c>
      <c r="Q22" s="87" t="s">
        <v>42</v>
      </c>
      <c r="R22" s="85">
        <v>45352</v>
      </c>
      <c r="S22" s="35"/>
      <c r="T22" s="5"/>
      <c r="U22" s="64"/>
    </row>
    <row r="23" spans="1:21" s="2" customFormat="1" ht="30">
      <c r="A23" s="78">
        <v>15</v>
      </c>
      <c r="B23" s="79"/>
      <c r="C23" s="80" t="s">
        <v>82</v>
      </c>
      <c r="D23" s="78">
        <v>3</v>
      </c>
      <c r="E23" s="79" t="s">
        <v>45</v>
      </c>
      <c r="F23" s="80" t="s">
        <v>83</v>
      </c>
      <c r="G23" s="89"/>
      <c r="H23" s="82">
        <f t="shared" si="0"/>
        <v>22000000</v>
      </c>
      <c r="I23" s="83">
        <v>5500</v>
      </c>
      <c r="J23" s="79" t="s">
        <v>55</v>
      </c>
      <c r="K23" s="84" t="s">
        <v>80</v>
      </c>
      <c r="L23" s="84" t="s">
        <v>84</v>
      </c>
      <c r="M23" s="85" t="s">
        <v>40</v>
      </c>
      <c r="N23" s="100" t="s">
        <v>85</v>
      </c>
      <c r="O23" s="85">
        <v>45292</v>
      </c>
      <c r="P23" s="85">
        <f t="shared" si="1"/>
        <v>45292</v>
      </c>
      <c r="Q23" s="87" t="s">
        <v>42</v>
      </c>
      <c r="R23" s="85">
        <v>45352</v>
      </c>
      <c r="S23" s="35"/>
      <c r="T23" s="5"/>
    </row>
    <row r="24" spans="1:21" s="2" customFormat="1" ht="45.75">
      <c r="A24" s="78">
        <v>16</v>
      </c>
      <c r="B24" s="79"/>
      <c r="C24" s="80" t="s">
        <v>86</v>
      </c>
      <c r="D24" s="78">
        <v>3</v>
      </c>
      <c r="E24" s="79" t="s">
        <v>45</v>
      </c>
      <c r="F24" s="80" t="s">
        <v>87</v>
      </c>
      <c r="G24" s="89"/>
      <c r="H24" s="82">
        <f t="shared" si="0"/>
        <v>330000000</v>
      </c>
      <c r="I24" s="83">
        <v>82500</v>
      </c>
      <c r="J24" s="79" t="s">
        <v>88</v>
      </c>
      <c r="K24" s="84" t="s">
        <v>38</v>
      </c>
      <c r="L24" s="84" t="s">
        <v>39</v>
      </c>
      <c r="M24" s="85" t="s">
        <v>40</v>
      </c>
      <c r="N24" s="100" t="s">
        <v>49</v>
      </c>
      <c r="O24" s="85" t="s">
        <v>49</v>
      </c>
      <c r="P24" s="85" t="str">
        <f t="shared" si="1"/>
        <v>TBD</v>
      </c>
      <c r="Q24" s="87" t="s">
        <v>42</v>
      </c>
      <c r="R24" s="87" t="s">
        <v>89</v>
      </c>
      <c r="S24" s="35"/>
      <c r="T24" s="5"/>
      <c r="U24" s="64"/>
    </row>
    <row r="25" spans="1:21" s="2" customFormat="1" ht="30">
      <c r="A25" s="78">
        <v>17</v>
      </c>
      <c r="B25" s="79"/>
      <c r="C25" s="80" t="s">
        <v>90</v>
      </c>
      <c r="D25" s="78">
        <v>3</v>
      </c>
      <c r="E25" s="79" t="s">
        <v>45</v>
      </c>
      <c r="F25" s="80" t="s">
        <v>91</v>
      </c>
      <c r="G25" s="89"/>
      <c r="H25" s="82">
        <f t="shared" si="0"/>
        <v>48000000</v>
      </c>
      <c r="I25" s="83">
        <v>12000</v>
      </c>
      <c r="J25" s="79" t="s">
        <v>63</v>
      </c>
      <c r="K25" s="84" t="s">
        <v>38</v>
      </c>
      <c r="L25" s="84" t="s">
        <v>39</v>
      </c>
      <c r="M25" s="85" t="s">
        <v>40</v>
      </c>
      <c r="N25" s="100" t="s">
        <v>49</v>
      </c>
      <c r="O25" s="85" t="s">
        <v>49</v>
      </c>
      <c r="P25" s="85" t="str">
        <f t="shared" si="1"/>
        <v>TBD</v>
      </c>
      <c r="Q25" s="87" t="s">
        <v>42</v>
      </c>
      <c r="R25" s="85" t="s">
        <v>92</v>
      </c>
      <c r="S25" s="35"/>
      <c r="T25" s="5"/>
    </row>
    <row r="26" spans="1:21" s="2" customFormat="1" ht="90.75">
      <c r="A26" s="78">
        <v>18</v>
      </c>
      <c r="B26" s="79" t="s">
        <v>93</v>
      </c>
      <c r="C26" s="79" t="s">
        <v>94</v>
      </c>
      <c r="D26" s="78">
        <v>4</v>
      </c>
      <c r="E26" s="107" t="s">
        <v>35</v>
      </c>
      <c r="F26" s="80" t="s">
        <v>95</v>
      </c>
      <c r="G26" s="89"/>
      <c r="H26" s="82">
        <f t="shared" si="0"/>
        <v>209592000</v>
      </c>
      <c r="I26" s="83">
        <v>52398</v>
      </c>
      <c r="J26" s="79" t="s">
        <v>37</v>
      </c>
      <c r="K26" s="84" t="s">
        <v>38</v>
      </c>
      <c r="L26" s="84" t="s">
        <v>39</v>
      </c>
      <c r="M26" s="85" t="s">
        <v>40</v>
      </c>
      <c r="N26" s="101" t="s">
        <v>41</v>
      </c>
      <c r="O26" s="86">
        <v>45261</v>
      </c>
      <c r="P26" s="85">
        <f t="shared" si="1"/>
        <v>45261</v>
      </c>
      <c r="Q26" s="87" t="s">
        <v>42</v>
      </c>
      <c r="R26" s="85">
        <v>45352</v>
      </c>
      <c r="S26" s="35"/>
      <c r="T26" s="5"/>
      <c r="U26" s="64"/>
    </row>
    <row r="27" spans="1:21" s="2" customFormat="1" ht="45.75">
      <c r="A27" s="78">
        <v>19</v>
      </c>
      <c r="B27" s="79" t="s">
        <v>96</v>
      </c>
      <c r="C27" s="79" t="s">
        <v>97</v>
      </c>
      <c r="D27" s="78">
        <v>5</v>
      </c>
      <c r="E27" s="79" t="s">
        <v>98</v>
      </c>
      <c r="F27" s="80" t="s">
        <v>99</v>
      </c>
      <c r="G27" s="89"/>
      <c r="H27" s="82">
        <f t="shared" si="0"/>
        <v>160000000</v>
      </c>
      <c r="I27" s="83">
        <v>40000</v>
      </c>
      <c r="J27" s="79" t="s">
        <v>37</v>
      </c>
      <c r="K27" s="84" t="s">
        <v>38</v>
      </c>
      <c r="L27" s="84" t="s">
        <v>39</v>
      </c>
      <c r="M27" s="85" t="s">
        <v>40</v>
      </c>
      <c r="N27" s="101" t="s">
        <v>100</v>
      </c>
      <c r="O27" s="85">
        <v>45280</v>
      </c>
      <c r="P27" s="85">
        <f t="shared" si="1"/>
        <v>45280</v>
      </c>
      <c r="Q27" s="87" t="s">
        <v>42</v>
      </c>
      <c r="R27" s="85">
        <v>45352</v>
      </c>
      <c r="S27" s="35"/>
      <c r="T27" s="5"/>
    </row>
    <row r="28" spans="1:21" s="2" customFormat="1" ht="136.5">
      <c r="A28" s="78">
        <v>20</v>
      </c>
      <c r="B28" s="79" t="s">
        <v>101</v>
      </c>
      <c r="C28" s="79" t="s">
        <v>102</v>
      </c>
      <c r="D28" s="78">
        <v>6</v>
      </c>
      <c r="E28" s="107" t="s">
        <v>98</v>
      </c>
      <c r="F28" s="80" t="s">
        <v>103</v>
      </c>
      <c r="G28" s="89"/>
      <c r="H28" s="82">
        <f t="shared" si="0"/>
        <v>232000000</v>
      </c>
      <c r="I28" s="83">
        <v>58000</v>
      </c>
      <c r="J28" s="79" t="s">
        <v>37</v>
      </c>
      <c r="K28" s="84" t="s">
        <v>38</v>
      </c>
      <c r="L28" s="84" t="s">
        <v>39</v>
      </c>
      <c r="M28" s="85" t="s">
        <v>40</v>
      </c>
      <c r="N28" s="100" t="s">
        <v>104</v>
      </c>
      <c r="O28" s="108">
        <v>45261</v>
      </c>
      <c r="P28" s="85">
        <f t="shared" si="1"/>
        <v>45261</v>
      </c>
      <c r="Q28" s="87" t="s">
        <v>42</v>
      </c>
      <c r="R28" s="85">
        <v>45352</v>
      </c>
      <c r="S28" s="35"/>
      <c r="T28" s="5"/>
    </row>
    <row r="29" spans="1:21" s="2" customFormat="1" ht="60.75">
      <c r="A29" s="78">
        <v>21</v>
      </c>
      <c r="B29" s="79" t="s">
        <v>105</v>
      </c>
      <c r="C29" s="80" t="s">
        <v>106</v>
      </c>
      <c r="D29" s="78">
        <v>6</v>
      </c>
      <c r="E29" s="107" t="s">
        <v>98</v>
      </c>
      <c r="F29" s="80" t="s">
        <v>107</v>
      </c>
      <c r="G29" s="89"/>
      <c r="H29" s="82">
        <f t="shared" si="0"/>
        <v>149848000</v>
      </c>
      <c r="I29" s="83">
        <v>37462</v>
      </c>
      <c r="J29" s="79" t="s">
        <v>63</v>
      </c>
      <c r="K29" s="84" t="s">
        <v>38</v>
      </c>
      <c r="L29" s="84" t="s">
        <v>39</v>
      </c>
      <c r="M29" s="85" t="s">
        <v>40</v>
      </c>
      <c r="N29" s="101" t="s">
        <v>108</v>
      </c>
      <c r="O29" s="85">
        <v>45352</v>
      </c>
      <c r="P29" s="85">
        <f t="shared" si="1"/>
        <v>45352</v>
      </c>
      <c r="Q29" s="87" t="s">
        <v>42</v>
      </c>
      <c r="R29" s="85">
        <v>45474</v>
      </c>
      <c r="S29" s="35"/>
      <c r="T29" s="5"/>
    </row>
    <row r="30" spans="1:21" s="2" customFormat="1" ht="30">
      <c r="A30" s="78">
        <v>22</v>
      </c>
      <c r="B30" s="79" t="s">
        <v>109</v>
      </c>
      <c r="C30" s="80" t="s">
        <v>110</v>
      </c>
      <c r="D30" s="78">
        <v>6</v>
      </c>
      <c r="E30" s="107" t="s">
        <v>98</v>
      </c>
      <c r="F30" s="80" t="s">
        <v>111</v>
      </c>
      <c r="G30" s="89"/>
      <c r="H30" s="82">
        <f t="shared" si="0"/>
        <v>12000000</v>
      </c>
      <c r="I30" s="83">
        <v>3000</v>
      </c>
      <c r="J30" s="79" t="s">
        <v>63</v>
      </c>
      <c r="K30" s="84" t="s">
        <v>80</v>
      </c>
      <c r="L30" s="84" t="s">
        <v>84</v>
      </c>
      <c r="M30" s="85" t="s">
        <v>40</v>
      </c>
      <c r="N30" s="101" t="s">
        <v>112</v>
      </c>
      <c r="O30" s="85">
        <v>45505</v>
      </c>
      <c r="P30" s="85">
        <f t="shared" si="1"/>
        <v>45505</v>
      </c>
      <c r="Q30" s="87" t="s">
        <v>42</v>
      </c>
      <c r="R30" s="85">
        <v>45536</v>
      </c>
      <c r="S30" s="35"/>
      <c r="T30" s="5"/>
    </row>
    <row r="31" spans="1:21" s="2" customFormat="1" ht="30">
      <c r="A31" s="78">
        <v>23</v>
      </c>
      <c r="B31" s="79" t="s">
        <v>113</v>
      </c>
      <c r="C31" s="80" t="s">
        <v>114</v>
      </c>
      <c r="D31" s="78">
        <v>7</v>
      </c>
      <c r="E31" s="107" t="s">
        <v>98</v>
      </c>
      <c r="F31" s="80" t="s">
        <v>115</v>
      </c>
      <c r="G31" s="89"/>
      <c r="H31" s="82">
        <f t="shared" si="0"/>
        <v>208000000</v>
      </c>
      <c r="I31" s="83">
        <v>52000</v>
      </c>
      <c r="J31" s="109" t="s">
        <v>63</v>
      </c>
      <c r="K31" s="84" t="s">
        <v>80</v>
      </c>
      <c r="L31" s="84" t="s">
        <v>39</v>
      </c>
      <c r="M31" s="85" t="s">
        <v>40</v>
      </c>
      <c r="N31" s="100" t="s">
        <v>112</v>
      </c>
      <c r="O31" s="85">
        <v>45323</v>
      </c>
      <c r="P31" s="85">
        <f t="shared" si="1"/>
        <v>45323</v>
      </c>
      <c r="Q31" s="87" t="s">
        <v>42</v>
      </c>
      <c r="R31" s="85">
        <v>45413</v>
      </c>
      <c r="S31" s="35"/>
      <c r="T31" s="5"/>
      <c r="U31" s="64"/>
    </row>
    <row r="32" spans="1:21" s="3" customFormat="1" ht="13.9">
      <c r="A32" s="40" t="s">
        <v>116</v>
      </c>
      <c r="B32" s="10"/>
      <c r="C32" s="11"/>
      <c r="D32" s="11"/>
      <c r="E32" s="29"/>
      <c r="F32" s="10"/>
      <c r="G32" s="11"/>
      <c r="H32" s="39">
        <f>SUM(H9:H31)</f>
        <v>4397864000</v>
      </c>
      <c r="I32" s="53">
        <f>SUM(I9:I31)</f>
        <v>1099466</v>
      </c>
      <c r="J32" s="10"/>
      <c r="K32" s="9"/>
      <c r="L32" s="49"/>
      <c r="M32" s="9"/>
      <c r="N32" s="46"/>
      <c r="O32" s="10"/>
      <c r="P32" s="10"/>
      <c r="Q32" s="5"/>
      <c r="R32" s="25"/>
      <c r="S32" s="12">
        <f>SUM(S9:S31)</f>
        <v>136056</v>
      </c>
      <c r="T32" s="5"/>
    </row>
    <row r="33" spans="1:20" s="2" customFormat="1" ht="13.9">
      <c r="A33" s="41"/>
      <c r="C33" s="6"/>
      <c r="D33" s="6"/>
      <c r="E33" s="18"/>
      <c r="G33" s="6"/>
      <c r="I33" s="18"/>
      <c r="L33" s="18"/>
      <c r="Q33" s="6"/>
      <c r="R33" s="24"/>
      <c r="T33" s="6"/>
    </row>
    <row r="34" spans="1:20" s="2" customFormat="1" ht="13.9">
      <c r="A34" s="42"/>
      <c r="E34" s="18"/>
      <c r="I34" s="18"/>
      <c r="L34" s="18"/>
      <c r="R34" s="24"/>
    </row>
    <row r="35" spans="1:20" s="2" customFormat="1" ht="27">
      <c r="A35" s="43" t="s">
        <v>117</v>
      </c>
      <c r="B35" s="7"/>
      <c r="C35" s="14"/>
      <c r="D35" s="14"/>
      <c r="E35" s="18" t="s">
        <v>118</v>
      </c>
      <c r="F35" s="8"/>
      <c r="G35" s="6"/>
      <c r="I35" s="18"/>
      <c r="L35" s="18"/>
      <c r="O35" s="17"/>
      <c r="P35" s="17"/>
      <c r="Q35" s="6"/>
      <c r="R35" s="37"/>
      <c r="T35" s="6"/>
    </row>
    <row r="36" spans="1:20">
      <c r="A36" s="44"/>
    </row>
    <row r="37" spans="1:20">
      <c r="A37" s="44"/>
    </row>
    <row r="38" spans="1:20" ht="13.9">
      <c r="A38" s="45" t="s">
        <v>119</v>
      </c>
      <c r="B38" s="7"/>
      <c r="C38" s="13"/>
      <c r="D38" s="13"/>
    </row>
    <row r="39" spans="1:20">
      <c r="A39" s="44"/>
    </row>
    <row r="40" spans="1:20">
      <c r="A40" s="44"/>
    </row>
  </sheetData>
  <autoFilter ref="A8:Y8" xr:uid="{00000000-0001-0000-0000-000000000000}"/>
  <mergeCells count="6">
    <mergeCell ref="A1:T1"/>
    <mergeCell ref="B6:D6"/>
    <mergeCell ref="B2:D2"/>
    <mergeCell ref="B3:D3"/>
    <mergeCell ref="B4:D4"/>
    <mergeCell ref="B5:D5"/>
  </mergeCells>
  <phoneticPr fontId="0" type="noConversion"/>
  <pageMargins left="0.75" right="0.75" top="1" bottom="1" header="0.5" footer="0.5"/>
  <pageSetup scale="57" orientation="landscape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4BC8E79-71F0-477B-B6B9-105B243F25A6}">
          <x14:formula1>
            <xm:f>Listas!$A$1:$A$4</xm:f>
          </x14:formula1>
          <xm:sqref>L9:L32 G10:G31</xm:sqref>
        </x14:dataValidation>
        <x14:dataValidation type="list" allowBlank="1" showInputMessage="1" showErrorMessage="1" xr:uid="{331CC947-ECE2-45A6-A5F2-A9FA9A64D993}">
          <x14:formula1>
            <xm:f>Listas!$A$7:$A$10</xm:f>
          </x14:formula1>
          <xm:sqref>M9:M32</xm:sqref>
        </x14:dataValidation>
        <x14:dataValidation type="list" allowBlank="1" showInputMessage="1" showErrorMessage="1" xr:uid="{BEE86851-C493-4AB2-B7FA-25AF98C4CD1E}">
          <x14:formula1>
            <xm:f>Listas!$A$12:$A$13</xm:f>
          </x14:formula1>
          <xm:sqref>K9:K32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A0BC3-C88B-41CF-83D0-5326D24F1DBF}">
  <dimension ref="A2:S9"/>
  <sheetViews>
    <sheetView tabSelected="1" topLeftCell="K1" workbookViewId="0">
      <selection activeCell="S3" sqref="S3:S8"/>
    </sheetView>
  </sheetViews>
  <sheetFormatPr defaultColWidth="11.42578125" defaultRowHeight="12.75"/>
  <cols>
    <col min="1" max="1" width="15" customWidth="1"/>
    <col min="2" max="2" width="19.140625" customWidth="1"/>
    <col min="3" max="3" width="44.42578125" customWidth="1"/>
    <col min="4" max="4" width="14.28515625" customWidth="1"/>
    <col min="5" max="5" width="34.7109375" bestFit="1" customWidth="1"/>
    <col min="6" max="6" width="48" customWidth="1"/>
    <col min="7" max="7" width="0" hidden="1" customWidth="1"/>
    <col min="8" max="8" width="16.28515625" customWidth="1"/>
    <col min="9" max="9" width="14.5703125" customWidth="1"/>
    <col min="10" max="10" width="19.140625" customWidth="1"/>
    <col min="11" max="11" width="18.85546875" customWidth="1"/>
    <col min="12" max="12" width="18.140625" customWidth="1"/>
    <col min="13" max="13" width="24.42578125" customWidth="1"/>
    <col min="14" max="14" width="21.42578125" customWidth="1"/>
    <col min="15" max="15" width="24.85546875" customWidth="1"/>
    <col min="16" max="17" width="20.5703125" customWidth="1"/>
    <col min="18" max="18" width="25.7109375" customWidth="1"/>
  </cols>
  <sheetData>
    <row r="2" spans="1:19" s="2" customFormat="1" ht="40.5">
      <c r="A2" s="15" t="s">
        <v>13</v>
      </c>
      <c r="B2" s="15" t="s">
        <v>14</v>
      </c>
      <c r="C2" s="15" t="s">
        <v>15</v>
      </c>
      <c r="D2" s="15" t="s">
        <v>16</v>
      </c>
      <c r="E2" s="15" t="s">
        <v>17</v>
      </c>
      <c r="F2" s="16" t="s">
        <v>18</v>
      </c>
      <c r="G2" s="16" t="s">
        <v>19</v>
      </c>
      <c r="H2" s="16" t="s">
        <v>20</v>
      </c>
      <c r="I2" s="16" t="s">
        <v>21</v>
      </c>
      <c r="J2" s="16" t="s">
        <v>22</v>
      </c>
      <c r="K2" s="16" t="s">
        <v>23</v>
      </c>
      <c r="L2" s="16" t="s">
        <v>24</v>
      </c>
      <c r="M2" s="16" t="s">
        <v>25</v>
      </c>
      <c r="N2" s="16" t="s">
        <v>27</v>
      </c>
      <c r="O2" s="16" t="s">
        <v>28</v>
      </c>
      <c r="P2" s="16" t="s">
        <v>29</v>
      </c>
      <c r="Q2" s="16" t="s">
        <v>120</v>
      </c>
      <c r="R2" s="16" t="s">
        <v>121</v>
      </c>
    </row>
    <row r="3" spans="1:19" s="18" customFormat="1" ht="27.75">
      <c r="A3" s="28">
        <v>1</v>
      </c>
      <c r="B3" s="20"/>
      <c r="C3" s="22" t="s">
        <v>122</v>
      </c>
      <c r="D3" s="21">
        <v>3</v>
      </c>
      <c r="E3" s="20" t="s">
        <v>45</v>
      </c>
      <c r="F3" s="54" t="s">
        <v>123</v>
      </c>
      <c r="G3" s="49"/>
      <c r="H3" s="32">
        <f>+I3*APP!$B$6</f>
        <v>892000000</v>
      </c>
      <c r="I3" s="68">
        <v>223000</v>
      </c>
      <c r="J3" s="21" t="s">
        <v>124</v>
      </c>
      <c r="K3" s="49" t="s">
        <v>38</v>
      </c>
      <c r="L3" s="49" t="s">
        <v>39</v>
      </c>
      <c r="M3" s="35" t="s">
        <v>40</v>
      </c>
      <c r="N3" s="35">
        <v>45413</v>
      </c>
      <c r="O3" s="35">
        <v>45413</v>
      </c>
      <c r="P3" s="50" t="s">
        <v>42</v>
      </c>
      <c r="Q3" s="35">
        <v>45536</v>
      </c>
      <c r="R3" s="74" t="s">
        <v>125</v>
      </c>
      <c r="S3" s="69"/>
    </row>
    <row r="4" spans="1:19" s="18" customFormat="1" ht="27.75">
      <c r="A4" s="28">
        <v>2</v>
      </c>
      <c r="B4" s="20"/>
      <c r="C4" s="22" t="s">
        <v>126</v>
      </c>
      <c r="D4" s="21">
        <v>4</v>
      </c>
      <c r="E4" s="20" t="s">
        <v>45</v>
      </c>
      <c r="F4" s="54" t="s">
        <v>127</v>
      </c>
      <c r="G4" s="49"/>
      <c r="H4" s="32">
        <f>+I4*APP!$B$6</f>
        <v>280000000</v>
      </c>
      <c r="I4" s="68">
        <f>70000</f>
        <v>70000</v>
      </c>
      <c r="J4" s="28" t="s">
        <v>124</v>
      </c>
      <c r="K4" s="49" t="s">
        <v>38</v>
      </c>
      <c r="L4" s="49" t="s">
        <v>39</v>
      </c>
      <c r="M4" s="35" t="s">
        <v>40</v>
      </c>
      <c r="N4" s="35">
        <v>45413</v>
      </c>
      <c r="O4" s="35">
        <v>45413</v>
      </c>
      <c r="P4" s="50" t="s">
        <v>42</v>
      </c>
      <c r="Q4" s="35">
        <v>45536</v>
      </c>
      <c r="R4" s="74"/>
      <c r="S4" s="69"/>
    </row>
    <row r="5" spans="1:19" s="2" customFormat="1" ht="27.75">
      <c r="A5" s="28">
        <v>3</v>
      </c>
      <c r="B5" s="23"/>
      <c r="C5" s="20" t="s">
        <v>128</v>
      </c>
      <c r="D5" s="21">
        <v>5</v>
      </c>
      <c r="E5" s="20" t="s">
        <v>98</v>
      </c>
      <c r="F5" s="22" t="s">
        <v>129</v>
      </c>
      <c r="G5" s="9"/>
      <c r="H5" s="32">
        <f>+I5*APP!$B$6</f>
        <v>229400000</v>
      </c>
      <c r="I5" s="68">
        <v>57350</v>
      </c>
      <c r="J5" s="28" t="s">
        <v>124</v>
      </c>
      <c r="K5" s="49" t="s">
        <v>38</v>
      </c>
      <c r="L5" s="49" t="s">
        <v>39</v>
      </c>
      <c r="M5" s="35" t="s">
        <v>40</v>
      </c>
      <c r="N5" s="35">
        <v>45413</v>
      </c>
      <c r="O5" s="35">
        <v>45413</v>
      </c>
      <c r="P5" s="50" t="s">
        <v>42</v>
      </c>
      <c r="Q5" s="35">
        <v>45536</v>
      </c>
      <c r="R5" s="62" t="s">
        <v>130</v>
      </c>
      <c r="S5" s="64"/>
    </row>
    <row r="6" spans="1:19" s="2" customFormat="1" ht="27.75">
      <c r="A6" s="28">
        <v>4</v>
      </c>
      <c r="B6" s="70" t="s">
        <v>131</v>
      </c>
      <c r="C6" s="65" t="s">
        <v>132</v>
      </c>
      <c r="D6" s="21">
        <v>6</v>
      </c>
      <c r="E6" s="34" t="s">
        <v>98</v>
      </c>
      <c r="F6" s="20" t="s">
        <v>133</v>
      </c>
      <c r="G6" s="9"/>
      <c r="H6" s="32">
        <f>+I6*APP!$B$6</f>
        <v>440000000</v>
      </c>
      <c r="I6" s="33">
        <v>110000</v>
      </c>
      <c r="J6" s="21" t="s">
        <v>134</v>
      </c>
      <c r="K6" s="49" t="s">
        <v>38</v>
      </c>
      <c r="L6" s="49" t="s">
        <v>39</v>
      </c>
      <c r="M6" s="35" t="s">
        <v>40</v>
      </c>
      <c r="N6" s="35">
        <v>45413</v>
      </c>
      <c r="O6" s="35">
        <v>45413</v>
      </c>
      <c r="P6" s="50" t="s">
        <v>42</v>
      </c>
      <c r="Q6" s="35">
        <v>45536</v>
      </c>
      <c r="R6" s="61" t="s">
        <v>130</v>
      </c>
      <c r="S6" s="64"/>
    </row>
    <row r="7" spans="1:19" s="2" customFormat="1" ht="27.75">
      <c r="A7" s="28">
        <v>5</v>
      </c>
      <c r="B7" s="67" t="s">
        <v>135</v>
      </c>
      <c r="C7" s="65" t="s">
        <v>136</v>
      </c>
      <c r="D7" s="21">
        <v>6</v>
      </c>
      <c r="E7" s="34" t="s">
        <v>98</v>
      </c>
      <c r="F7" s="20" t="s">
        <v>133</v>
      </c>
      <c r="G7" s="9"/>
      <c r="H7" s="32">
        <f>+I7*APP!$B$6</f>
        <v>760000000</v>
      </c>
      <c r="I7" s="33">
        <v>190000</v>
      </c>
      <c r="J7" s="21" t="s">
        <v>134</v>
      </c>
      <c r="K7" s="49" t="s">
        <v>38</v>
      </c>
      <c r="L7" s="49" t="s">
        <v>39</v>
      </c>
      <c r="M7" s="35" t="s">
        <v>40</v>
      </c>
      <c r="N7" s="35">
        <v>45413</v>
      </c>
      <c r="O7" s="35">
        <v>45413</v>
      </c>
      <c r="P7" s="50" t="s">
        <v>42</v>
      </c>
      <c r="Q7" s="35">
        <v>45536</v>
      </c>
      <c r="R7" s="61" t="s">
        <v>130</v>
      </c>
      <c r="S7" s="64"/>
    </row>
    <row r="8" spans="1:19" s="2" customFormat="1" ht="27.75">
      <c r="A8" s="28">
        <v>6</v>
      </c>
      <c r="B8" s="20"/>
      <c r="C8" s="65" t="s">
        <v>137</v>
      </c>
      <c r="D8" s="21">
        <v>6</v>
      </c>
      <c r="E8" s="34" t="s">
        <v>98</v>
      </c>
      <c r="F8" s="20" t="s">
        <v>133</v>
      </c>
      <c r="G8" s="9"/>
      <c r="H8" s="32">
        <f>+I8*APP!$B$6</f>
        <v>1146000000</v>
      </c>
      <c r="I8" s="33">
        <v>286500</v>
      </c>
      <c r="J8" s="21" t="s">
        <v>134</v>
      </c>
      <c r="K8" s="49" t="s">
        <v>38</v>
      </c>
      <c r="L8" s="49" t="s">
        <v>39</v>
      </c>
      <c r="M8" s="35" t="s">
        <v>40</v>
      </c>
      <c r="N8" s="35">
        <v>45413</v>
      </c>
      <c r="O8" s="35">
        <v>45413</v>
      </c>
      <c r="P8" s="50" t="s">
        <v>42</v>
      </c>
      <c r="Q8" s="35">
        <v>45536</v>
      </c>
      <c r="R8" s="61" t="s">
        <v>130</v>
      </c>
      <c r="S8" s="64"/>
    </row>
    <row r="9" spans="1:19" ht="13.9">
      <c r="A9" s="75" t="s">
        <v>138</v>
      </c>
      <c r="B9" s="76"/>
      <c r="C9" s="76"/>
      <c r="D9" s="76"/>
      <c r="E9" s="76"/>
      <c r="F9" s="77"/>
      <c r="G9" s="63"/>
      <c r="H9" s="39">
        <f>SUM(H3:H8)</f>
        <v>3747400000</v>
      </c>
      <c r="I9" s="39">
        <f>SUM(I3:I8)</f>
        <v>936850</v>
      </c>
      <c r="J9" s="63"/>
      <c r="K9" s="63"/>
      <c r="L9" s="63"/>
      <c r="M9" s="63"/>
      <c r="N9" s="63"/>
      <c r="O9" s="63"/>
      <c r="P9" s="63"/>
      <c r="Q9" s="63"/>
      <c r="R9" s="63"/>
    </row>
  </sheetData>
  <mergeCells count="2">
    <mergeCell ref="R3:R4"/>
    <mergeCell ref="A9:F9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EE86851-C493-4AB2-B7FA-25AF98C4CD1E}">
          <x14:formula1>
            <xm:f>Listas!$A$12:$A$13</xm:f>
          </x14:formula1>
          <xm:sqref>K3:K8</xm:sqref>
        </x14:dataValidation>
        <x14:dataValidation type="list" allowBlank="1" showInputMessage="1" showErrorMessage="1" xr:uid="{331CC947-ECE2-45A6-A5F2-A9FA9A64D993}">
          <x14:formula1>
            <xm:f>Listas!$A$7:$A$10</xm:f>
          </x14:formula1>
          <xm:sqref>M3:M8</xm:sqref>
        </x14:dataValidation>
        <x14:dataValidation type="list" allowBlank="1" showInputMessage="1" showErrorMessage="1" xr:uid="{34BC8E79-71F0-477B-B6B9-105B243F25A6}">
          <x14:formula1>
            <xm:f>Listas!$A$1:$A$4</xm:f>
          </x14:formula1>
          <xm:sqref>G3:G8 L3:L8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0D49-2C7A-4711-92F2-1A40B8870EC6}">
  <dimension ref="A1:A13"/>
  <sheetViews>
    <sheetView workbookViewId="0">
      <selection activeCell="B15" sqref="B15"/>
    </sheetView>
  </sheetViews>
  <sheetFormatPr defaultColWidth="8.7109375" defaultRowHeight="12.75"/>
  <cols>
    <col min="1" max="1" width="30.140625" bestFit="1" customWidth="1"/>
  </cols>
  <sheetData>
    <row r="1" spans="1:1">
      <c r="A1" t="s">
        <v>139</v>
      </c>
    </row>
    <row r="2" spans="1:1">
      <c r="A2" t="s">
        <v>84</v>
      </c>
    </row>
    <row r="3" spans="1:1">
      <c r="A3" t="s">
        <v>39</v>
      </c>
    </row>
    <row r="4" spans="1:1">
      <c r="A4" t="s">
        <v>140</v>
      </c>
    </row>
    <row r="7" spans="1:1">
      <c r="A7" t="s">
        <v>60</v>
      </c>
    </row>
    <row r="8" spans="1:1">
      <c r="A8" t="s">
        <v>141</v>
      </c>
    </row>
    <row r="9" spans="1:1">
      <c r="A9" t="s">
        <v>40</v>
      </c>
    </row>
    <row r="10" spans="1:1">
      <c r="A10" t="s">
        <v>142</v>
      </c>
    </row>
    <row r="12" spans="1:1">
      <c r="A12" t="s">
        <v>38</v>
      </c>
    </row>
    <row r="13" spans="1:1">
      <c r="A13" t="s">
        <v>80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3D3E9D98-C632-49A9-8B93-27E099ED8196}"/>
</file>

<file path=customXml/itemProps2.xml><?xml version="1.0" encoding="utf-8"?>
<ds:datastoreItem xmlns:ds="http://schemas.openxmlformats.org/officeDocument/2006/customXml" ds:itemID="{185AF8F5-F77F-4F35-B0CB-96A9A3418C0B}"/>
</file>

<file path=customXml/itemProps3.xml><?xml version="1.0" encoding="utf-8"?>
<ds:datastoreItem xmlns:ds="http://schemas.openxmlformats.org/officeDocument/2006/customXml" ds:itemID="{7DEFE612-9965-479D-87E2-000A20C77163}"/>
</file>

<file path=customXml/itemProps4.xml><?xml version="1.0" encoding="utf-8"?>
<ds:datastoreItem xmlns:ds="http://schemas.openxmlformats.org/officeDocument/2006/customXml" ds:itemID="{D48711D3-DEC6-4A2D-A651-6984EECBCC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Javiera Salinas</cp:lastModifiedBy>
  <cp:revision>1</cp:revision>
  <dcterms:created xsi:type="dcterms:W3CDTF">2022-07-18T03:14:52Z</dcterms:created>
  <dcterms:modified xsi:type="dcterms:W3CDTF">2023-12-21T21:19:42Z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