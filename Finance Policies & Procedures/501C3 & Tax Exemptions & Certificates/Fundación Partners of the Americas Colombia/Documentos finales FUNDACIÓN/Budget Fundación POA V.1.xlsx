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ltorres_partners_net/Documents/"/>
    </mc:Choice>
  </mc:AlternateContent>
  <xr:revisionPtr revIDLastSave="0" documentId="14_{052FD0EB-7C64-4A94-A0DD-CB8FEA5A565F}" xr6:coauthVersionLast="47" xr6:coauthVersionMax="47" xr10:uidLastSave="{00000000-0000-0000-0000-000000000000}"/>
  <bookViews>
    <workbookView xWindow="-28965" yWindow="510" windowWidth="29130" windowHeight="15810" xr2:uid="{BE1C998F-1493-4B02-B1BA-28EE709145C9}"/>
  </bookViews>
  <sheets>
    <sheet name="Resumen" sheetId="3" r:id="rId1"/>
    <sheet name="Budget Fundación POA" sheetId="1" r:id="rId2"/>
    <sheet name="Prestaciones" sheetId="2" r:id="rId3"/>
  </sheets>
  <definedNames>
    <definedName name="_xlnm.Print_Area" localSheetId="1">'Budget Fundación POA'!$A$2:$E$31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2" i="1" l="1"/>
  <c r="AW31" i="1"/>
  <c r="AS31" i="1"/>
  <c r="AO31" i="1"/>
  <c r="AK31" i="1"/>
  <c r="AG31" i="1"/>
  <c r="AC31" i="1"/>
  <c r="Y31" i="1"/>
  <c r="U31" i="1"/>
  <c r="M31" i="1"/>
  <c r="Q31" i="1"/>
  <c r="AW30" i="1"/>
  <c r="AW23" i="1"/>
  <c r="AW26" i="1" s="1"/>
  <c r="AW18" i="1"/>
  <c r="AW21" i="1" s="1"/>
  <c r="AW13" i="1"/>
  <c r="AW16" i="1" s="1"/>
  <c r="AW11" i="1"/>
  <c r="AW10" i="1"/>
  <c r="AW9" i="1"/>
  <c r="AW5" i="1"/>
  <c r="AW7" i="1" s="1"/>
  <c r="AW4" i="1"/>
  <c r="AS30" i="1"/>
  <c r="AS23" i="1"/>
  <c r="AS26" i="1" s="1"/>
  <c r="AS18" i="1"/>
  <c r="AS21" i="1" s="1"/>
  <c r="AS13" i="1"/>
  <c r="AS16" i="1" s="1"/>
  <c r="AS10" i="1"/>
  <c r="AS9" i="1"/>
  <c r="AS11" i="1" s="1"/>
  <c r="AS5" i="1"/>
  <c r="AS4" i="1"/>
  <c r="AS7" i="1" s="1"/>
  <c r="AO30" i="1"/>
  <c r="AO26" i="1"/>
  <c r="AO23" i="1"/>
  <c r="AO18" i="1"/>
  <c r="AO21" i="1" s="1"/>
  <c r="AO13" i="1"/>
  <c r="AO16" i="1" s="1"/>
  <c r="AO10" i="1"/>
  <c r="AO9" i="1"/>
  <c r="AO11" i="1" s="1"/>
  <c r="AO5" i="1"/>
  <c r="AO4" i="1"/>
  <c r="AO7" i="1" s="1"/>
  <c r="AK30" i="1"/>
  <c r="AK23" i="1"/>
  <c r="AK26" i="1" s="1"/>
  <c r="AK18" i="1"/>
  <c r="AK21" i="1" s="1"/>
  <c r="AK16" i="1"/>
  <c r="AK13" i="1"/>
  <c r="AK10" i="1"/>
  <c r="AK9" i="1"/>
  <c r="AK11" i="1" s="1"/>
  <c r="AK5" i="1"/>
  <c r="AK4" i="1"/>
  <c r="AK7" i="1" s="1"/>
  <c r="AG30" i="1"/>
  <c r="AG26" i="1"/>
  <c r="AG23" i="1"/>
  <c r="AG21" i="1"/>
  <c r="AG18" i="1"/>
  <c r="AG13" i="1"/>
  <c r="AG16" i="1" s="1"/>
  <c r="AG10" i="1"/>
  <c r="AG9" i="1"/>
  <c r="AG11" i="1" s="1"/>
  <c r="AG5" i="1"/>
  <c r="AG4" i="1"/>
  <c r="AG7" i="1" s="1"/>
  <c r="AC30" i="1"/>
  <c r="AC23" i="1"/>
  <c r="AC26" i="1" s="1"/>
  <c r="AC18" i="1"/>
  <c r="AC21" i="1" s="1"/>
  <c r="AC13" i="1"/>
  <c r="AC16" i="1" s="1"/>
  <c r="AC10" i="1"/>
  <c r="AC9" i="1"/>
  <c r="AC11" i="1" s="1"/>
  <c r="AC5" i="1"/>
  <c r="AC4" i="1"/>
  <c r="AC7" i="1" s="1"/>
  <c r="Y30" i="1"/>
  <c r="Y26" i="1"/>
  <c r="Y23" i="1"/>
  <c r="Y21" i="1"/>
  <c r="Y18" i="1"/>
  <c r="Y13" i="1"/>
  <c r="Y16" i="1" s="1"/>
  <c r="Y10" i="1"/>
  <c r="Y9" i="1"/>
  <c r="Y11" i="1" s="1"/>
  <c r="Y5" i="1"/>
  <c r="Y7" i="1" s="1"/>
  <c r="Y4" i="1"/>
  <c r="U30" i="1"/>
  <c r="U23" i="1"/>
  <c r="U26" i="1" s="1"/>
  <c r="U18" i="1"/>
  <c r="U21" i="1" s="1"/>
  <c r="U16" i="1"/>
  <c r="U13" i="1"/>
  <c r="U11" i="1"/>
  <c r="U10" i="1"/>
  <c r="U9" i="1"/>
  <c r="U5" i="1"/>
  <c r="U4" i="1"/>
  <c r="U7" i="1" s="1"/>
  <c r="Q30" i="1"/>
  <c r="Q26" i="1"/>
  <c r="Q23" i="1"/>
  <c r="Q18" i="1"/>
  <c r="Q21" i="1" s="1"/>
  <c r="Q13" i="1"/>
  <c r="Q16" i="1" s="1"/>
  <c r="Q11" i="1"/>
  <c r="Q10" i="1"/>
  <c r="Q9" i="1"/>
  <c r="Q5" i="1"/>
  <c r="Q4" i="1"/>
  <c r="Q7" i="1" s="1"/>
  <c r="M9" i="1"/>
  <c r="M11" i="1" s="1"/>
  <c r="M30" i="1"/>
  <c r="M26" i="1"/>
  <c r="M23" i="1"/>
  <c r="M21" i="1"/>
  <c r="M18" i="1"/>
  <c r="M13" i="1"/>
  <c r="M16" i="1" s="1"/>
  <c r="M10" i="1"/>
  <c r="M5" i="1"/>
  <c r="M4" i="1"/>
  <c r="M7" i="1" s="1"/>
  <c r="I10" i="1"/>
  <c r="D10" i="1"/>
  <c r="D9" i="1"/>
  <c r="H9" i="1"/>
  <c r="I9" i="1" s="1"/>
  <c r="I23" i="1"/>
  <c r="I26" i="1" s="1"/>
  <c r="I18" i="1"/>
  <c r="I21" i="1" s="1"/>
  <c r="I13" i="1"/>
  <c r="I16" i="1" s="1"/>
  <c r="I5" i="1"/>
  <c r="I4" i="1"/>
  <c r="I7" i="1" s="1"/>
  <c r="I11" i="1" l="1"/>
  <c r="E13" i="1"/>
  <c r="AX13" i="1" s="1"/>
  <c r="I30" i="1"/>
  <c r="E30" i="1"/>
  <c r="E10" i="1" l="1"/>
  <c r="AX10" i="1" s="1"/>
  <c r="E9" i="1"/>
  <c r="AX9" i="1" s="1"/>
  <c r="C13" i="2"/>
  <c r="E23" i="1"/>
  <c r="AX23" i="1" s="1"/>
  <c r="AX18" i="1"/>
  <c r="E5" i="1"/>
  <c r="AX5" i="1" s="1"/>
  <c r="E4" i="1"/>
  <c r="AX4" i="1" s="1"/>
  <c r="E26" i="1" l="1"/>
  <c r="AX26" i="1" s="1"/>
  <c r="B6" i="3" s="1"/>
  <c r="E21" i="1"/>
  <c r="AX21" i="1" s="1"/>
  <c r="B5" i="3" s="1"/>
  <c r="E16" i="1"/>
  <c r="AX16" i="1" s="1"/>
  <c r="B4" i="3" s="1"/>
  <c r="E7" i="1"/>
  <c r="AX7" i="1" s="1"/>
  <c r="B2" i="3" s="1"/>
  <c r="B7" i="3" s="1"/>
  <c r="E11" i="1"/>
  <c r="AX11" i="1" s="1"/>
  <c r="B3" i="3" s="1"/>
  <c r="E31" i="1" l="1"/>
  <c r="AX31" i="1" s="1"/>
  <c r="I31" i="1"/>
</calcChain>
</file>

<file path=xl/sharedStrings.xml><?xml version="1.0" encoding="utf-8"?>
<sst xmlns="http://schemas.openxmlformats.org/spreadsheetml/2006/main" count="185" uniqueCount="44">
  <si>
    <t xml:space="preserve">Detalle </t>
  </si>
  <si>
    <t xml:space="preserve">Total </t>
  </si>
  <si>
    <t>1.Personal (Laboral)</t>
  </si>
  <si>
    <t xml:space="preserve">2.Prestaciones Sociales </t>
  </si>
  <si>
    <t>3.Viajes y transportes</t>
  </si>
  <si>
    <t>4. Servicios profesionales (consultores)</t>
  </si>
  <si>
    <t>5. Materiales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</si>
  <si>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</si>
  <si>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</si>
  <si>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</si>
  <si>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</si>
  <si>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</si>
  <si>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</si>
  <si>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</si>
  <si>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</si>
  <si>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</si>
  <si>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</si>
  <si>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</si>
  <si>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</si>
  <si>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 xml:space="preserve">Item </t>
  </si>
  <si>
    <t xml:space="preserve">Unidad </t>
  </si>
  <si>
    <t xml:space="preserve">Cantidad </t>
  </si>
  <si>
    <t xml:space="preserve">Valor unitario
Pesos COL$ </t>
  </si>
  <si>
    <t>Valor total 
Pesos COL$</t>
  </si>
  <si>
    <t>Director</t>
  </si>
  <si>
    <t xml:space="preserve">Mes </t>
  </si>
  <si>
    <t>Contador</t>
  </si>
  <si>
    <t>Subtotal</t>
  </si>
  <si>
    <t>Viajes para gestión donaciones</t>
  </si>
  <si>
    <t>Asesores jurídicos</t>
  </si>
  <si>
    <t>Papelería</t>
  </si>
  <si>
    <t>5. Costos Directos</t>
  </si>
  <si>
    <t>TOTAL</t>
  </si>
  <si>
    <t>Salud</t>
  </si>
  <si>
    <t>Pensión</t>
  </si>
  <si>
    <t>Sena</t>
  </si>
  <si>
    <t>ICBF</t>
  </si>
  <si>
    <t>Caja de compesación</t>
  </si>
  <si>
    <t>Prima</t>
  </si>
  <si>
    <t>Cesantias</t>
  </si>
  <si>
    <t>Intereses Cesantias</t>
  </si>
  <si>
    <t>Vacaciones</t>
  </si>
  <si>
    <t>ARL Riesgo I</t>
  </si>
  <si>
    <t>Total Prestaciones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</si>
</sst>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165" fontId="0" fillId="0" borderId="1" xfId="1" applyNumberFormat="1" applyFont="1" applyBorder="1" applyAlignment="1">
      <alignment horizontal="center" wrapText="1"/>
    </xf>
    <xf numFmtId="165" fontId="0" fillId="3" borderId="1" xfId="1" applyNumberFormat="1" applyFont="1" applyFill="1" applyBorder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2" borderId="1" xfId="1" applyNumberFormat="1" applyFont="1" applyFill="1" applyBorder="1"/>
    <xf numFmtId="165" fontId="0" fillId="2" borderId="1" xfId="1" applyNumberFormat="1" applyFont="1" applyFill="1" applyBorder="1"/>
    <xf numFmtId="165" fontId="2" fillId="0" borderId="1" xfId="1" applyNumberFormat="1" applyFont="1" applyBorder="1"/>
    <xf numFmtId="0" fontId="0" fillId="0" borderId="1" xfId="0" applyBorder="1" applyAlignment="1">
      <alignment horizontal="left"/>
    </xf>
    <xf numFmtId="3" fontId="1" fillId="0" borderId="1" xfId="0" applyNumberFormat="1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/>
    <xf numFmtId="0" fontId="1" fillId="0" borderId="1" xfId="0" applyFont="1" applyBorder="1" applyAlignment="1">
      <alignment horizontal="center"/>
    </xf>
    <xf numFmtId="165" fontId="1" fillId="3" borderId="1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6A76-9BA3-4F69-9A52-6502450AFF7C}">
  <dimension ref="A1:B7"/>
  <sheetViews>
    <sheetView tabSelected="1" workbookViewId="0">
      <selection activeCell="E23" sqref="E23"/>
    </sheetView>
  </sheetViews>
  <sheetFormatPr defaultColWidth="11.42578125" defaultRowHeight="14.45"/>
  <cols>
    <col min="1" max="1" width="34.42578125" bestFit="1" customWidth="1"/>
  </cols>
  <sheetData>
    <row r="1" spans="1:2">
      <c r="A1" s="15" t="s">
        <v>0</v>
      </c>
      <c r="B1" s="15" t="s">
        <v>1</v>
      </c>
    </row>
    <row r="2" spans="1:2">
      <c r="A2" s="13" t="s">
        <v>2</v>
      </c>
      <c r="B2" s="14">
        <f>+'Budget Fundación POA'!AX7</f>
        <v>45000000</v>
      </c>
    </row>
    <row r="3" spans="1:2">
      <c r="A3" s="13" t="s">
        <v>3</v>
      </c>
      <c r="B3" s="14">
        <f>+'Budget Fundación POA'!AX11</f>
        <v>23331599.999999996</v>
      </c>
    </row>
    <row r="4" spans="1:2">
      <c r="A4" s="13" t="s">
        <v>4</v>
      </c>
      <c r="B4" s="14">
        <f>+'Budget Fundación POA'!AX16</f>
        <v>10000000</v>
      </c>
    </row>
    <row r="5" spans="1:2">
      <c r="A5" s="13" t="s">
        <v>5</v>
      </c>
      <c r="B5" s="14">
        <f>+'Budget Fundación POA'!AX21</f>
        <v>25000001</v>
      </c>
    </row>
    <row r="6" spans="1:2">
      <c r="A6" s="13" t="s">
        <v>6</v>
      </c>
      <c r="B6" s="14">
        <f>+'Budget Fundación POA'!AX26</f>
        <v>1000000</v>
      </c>
    </row>
    <row r="7" spans="1:2">
      <c r="A7" s="16" t="s">
        <v>1</v>
      </c>
      <c r="B7" s="17">
        <f>SUM(B2:B6)</f>
        <v>104331601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0C07-B1A5-4DA4-AA89-C3D67BA97A63}">
  <sheetPr>
    <tabColor theme="6" tint="-0.249977111117893"/>
    <pageSetUpPr fitToPage="1"/>
  </sheetPr>
  <dimension ref="A1:AX31"/>
  <sheetViews>
    <sheetView workbookViewId="0">
      <selection activeCell="H18" sqref="H18"/>
    </sheetView>
  </sheetViews>
  <sheetFormatPr defaultColWidth="11.42578125" defaultRowHeight="14.45"/>
  <cols>
    <col min="1" max="1" width="36" bestFit="1" customWidth="1"/>
    <col min="2" max="2" width="7.140625" bestFit="1" customWidth="1"/>
    <col min="3" max="3" width="8.42578125" bestFit="1" customWidth="1"/>
    <col min="4" max="4" width="12.5703125" bestFit="1" customWidth="1"/>
    <col min="5" max="5" width="11.140625" bestFit="1" customWidth="1"/>
    <col min="6" max="6" width="7.140625" bestFit="1" customWidth="1"/>
    <col min="7" max="7" width="8.42578125" bestFit="1" customWidth="1"/>
    <col min="8" max="8" width="10.42578125" bestFit="1" customWidth="1"/>
    <col min="9" max="9" width="11.140625" bestFit="1" customWidth="1"/>
    <col min="10" max="10" width="7.140625" bestFit="1" customWidth="1"/>
    <col min="11" max="11" width="8.42578125" bestFit="1" customWidth="1"/>
    <col min="12" max="12" width="10.42578125" bestFit="1" customWidth="1"/>
    <col min="13" max="13" width="11.140625" bestFit="1" customWidth="1"/>
    <col min="14" max="14" width="7.140625" bestFit="1" customWidth="1"/>
    <col min="15" max="15" width="8.42578125" bestFit="1" customWidth="1"/>
    <col min="16" max="16" width="10.42578125" bestFit="1" customWidth="1"/>
    <col min="17" max="17" width="11.140625" bestFit="1" customWidth="1"/>
    <col min="18" max="18" width="7.140625" bestFit="1" customWidth="1"/>
    <col min="19" max="19" width="8.42578125" bestFit="1" customWidth="1"/>
    <col min="20" max="20" width="10.42578125" bestFit="1" customWidth="1"/>
    <col min="21" max="21" width="11.140625" bestFit="1" customWidth="1"/>
    <col min="22" max="22" width="7.140625" bestFit="1" customWidth="1"/>
    <col min="23" max="23" width="8.42578125" bestFit="1" customWidth="1"/>
    <col min="24" max="24" width="10.42578125" bestFit="1" customWidth="1"/>
    <col min="25" max="25" width="11.140625" bestFit="1" customWidth="1"/>
    <col min="26" max="26" width="7.140625" bestFit="1" customWidth="1"/>
    <col min="27" max="27" width="8.42578125" bestFit="1" customWidth="1"/>
    <col min="28" max="28" width="10.42578125" bestFit="1" customWidth="1"/>
    <col min="29" max="29" width="11.140625" bestFit="1" customWidth="1"/>
    <col min="30" max="30" width="7.140625" bestFit="1" customWidth="1"/>
    <col min="31" max="31" width="8.42578125" bestFit="1" customWidth="1"/>
    <col min="32" max="32" width="10.42578125" bestFit="1" customWidth="1"/>
    <col min="33" max="33" width="11.140625" bestFit="1" customWidth="1"/>
    <col min="34" max="34" width="7.140625" bestFit="1" customWidth="1"/>
    <col min="35" max="35" width="8.42578125" bestFit="1" customWidth="1"/>
    <col min="36" max="36" width="10.42578125" bestFit="1" customWidth="1"/>
    <col min="37" max="37" width="11.140625" bestFit="1" customWidth="1"/>
    <col min="38" max="38" width="7.140625" bestFit="1" customWidth="1"/>
    <col min="39" max="39" width="8.42578125" bestFit="1" customWidth="1"/>
    <col min="40" max="40" width="10.42578125" bestFit="1" customWidth="1"/>
    <col min="41" max="41" width="11.140625" bestFit="1" customWidth="1"/>
    <col min="42" max="42" width="7.140625" bestFit="1" customWidth="1"/>
    <col min="43" max="43" width="8.42578125" bestFit="1" customWidth="1"/>
    <col min="44" max="44" width="10.42578125" bestFit="1" customWidth="1"/>
    <col min="45" max="45" width="11.140625" bestFit="1" customWidth="1"/>
    <col min="46" max="46" width="7.140625" bestFit="1" customWidth="1"/>
    <col min="47" max="47" width="8.42578125" bestFit="1" customWidth="1"/>
    <col min="48" max="48" width="10.42578125" bestFit="1" customWidth="1"/>
    <col min="49" max="49" width="11.140625" bestFit="1" customWidth="1"/>
    <col min="50" max="50" width="12.140625" bestFit="1" customWidth="1"/>
  </cols>
  <sheetData>
    <row r="1" spans="1:50">
      <c r="A1" s="5"/>
      <c r="B1" s="18" t="s">
        <v>7</v>
      </c>
      <c r="C1" s="18"/>
      <c r="D1" s="18"/>
      <c r="E1" s="18"/>
      <c r="F1" s="18" t="s">
        <v>8</v>
      </c>
      <c r="G1" s="18"/>
      <c r="H1" s="18"/>
      <c r="I1" s="18"/>
      <c r="J1" s="18" t="s">
        <v>9</v>
      </c>
      <c r="K1" s="18"/>
      <c r="L1" s="18"/>
      <c r="M1" s="18"/>
      <c r="N1" s="18" t="s">
        <v>10</v>
      </c>
      <c r="O1" s="18"/>
      <c r="P1" s="18"/>
      <c r="Q1" s="18"/>
      <c r="R1" s="18" t="s">
        <v>11</v>
      </c>
      <c r="S1" s="18"/>
      <c r="T1" s="18"/>
      <c r="U1" s="18"/>
      <c r="V1" s="18" t="s">
        <v>12</v>
      </c>
      <c r="W1" s="18"/>
      <c r="X1" s="18"/>
      <c r="Y1" s="18"/>
      <c r="Z1" s="18" t="s">
        <v>13</v>
      </c>
      <c r="AA1" s="18"/>
      <c r="AB1" s="18"/>
      <c r="AC1" s="18"/>
      <c r="AD1" s="18" t="s">
        <v>14</v>
      </c>
      <c r="AE1" s="18"/>
      <c r="AF1" s="18"/>
      <c r="AG1" s="18"/>
      <c r="AH1" s="18" t="s">
        <v>15</v>
      </c>
      <c r="AI1" s="18"/>
      <c r="AJ1" s="18"/>
      <c r="AK1" s="18"/>
      <c r="AL1" s="18" t="s">
        <v>16</v>
      </c>
      <c r="AM1" s="18"/>
      <c r="AN1" s="18"/>
      <c r="AO1" s="18"/>
      <c r="AP1" s="18" t="s">
        <v>17</v>
      </c>
      <c r="AQ1" s="18"/>
      <c r="AR1" s="18"/>
      <c r="AS1" s="18"/>
      <c r="AT1" s="18" t="s">
        <v>18</v>
      </c>
      <c r="AU1" s="18"/>
      <c r="AV1" s="18"/>
      <c r="AW1" s="18"/>
    </row>
    <row r="2" spans="1:50" ht="73.150000000000006" customHeight="1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20</v>
      </c>
      <c r="AA2" s="4" t="s">
        <v>21</v>
      </c>
      <c r="AB2" s="4" t="s">
        <v>22</v>
      </c>
      <c r="AC2" s="4" t="s">
        <v>23</v>
      </c>
      <c r="AD2" s="4" t="s">
        <v>20</v>
      </c>
      <c r="AE2" s="4" t="s">
        <v>21</v>
      </c>
      <c r="AF2" s="4" t="s">
        <v>22</v>
      </c>
      <c r="AG2" s="4" t="s">
        <v>23</v>
      </c>
      <c r="AH2" s="4" t="s">
        <v>20</v>
      </c>
      <c r="AI2" s="4" t="s">
        <v>21</v>
      </c>
      <c r="AJ2" s="4" t="s">
        <v>22</v>
      </c>
      <c r="AK2" s="4" t="s">
        <v>23</v>
      </c>
      <c r="AL2" s="4" t="s">
        <v>20</v>
      </c>
      <c r="AM2" s="4" t="s">
        <v>21</v>
      </c>
      <c r="AN2" s="4" t="s">
        <v>22</v>
      </c>
      <c r="AO2" s="4" t="s">
        <v>23</v>
      </c>
      <c r="AP2" s="4" t="s">
        <v>20</v>
      </c>
      <c r="AQ2" s="4" t="s">
        <v>21</v>
      </c>
      <c r="AR2" s="4" t="s">
        <v>22</v>
      </c>
      <c r="AS2" s="4" t="s">
        <v>23</v>
      </c>
      <c r="AT2" s="4" t="s">
        <v>20</v>
      </c>
      <c r="AU2" s="4" t="s">
        <v>21</v>
      </c>
      <c r="AV2" s="4" t="s">
        <v>22</v>
      </c>
      <c r="AW2" s="4" t="s">
        <v>23</v>
      </c>
      <c r="AX2" s="4" t="s">
        <v>1</v>
      </c>
    </row>
    <row r="3" spans="1:50">
      <c r="A3" s="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>
      <c r="A4" s="8" t="s">
        <v>24</v>
      </c>
      <c r="B4" s="8" t="s">
        <v>25</v>
      </c>
      <c r="C4" s="8"/>
      <c r="D4" s="6">
        <v>3000000</v>
      </c>
      <c r="E4" s="8">
        <f>C4*D4</f>
        <v>0</v>
      </c>
      <c r="F4" s="8" t="s">
        <v>25</v>
      </c>
      <c r="G4" s="8"/>
      <c r="H4" s="6">
        <v>3000000</v>
      </c>
      <c r="I4" s="8">
        <f>G4*H4</f>
        <v>0</v>
      </c>
      <c r="J4" s="8" t="s">
        <v>25</v>
      </c>
      <c r="K4" s="8">
        <v>1</v>
      </c>
      <c r="L4" s="6">
        <v>3000000</v>
      </c>
      <c r="M4" s="8">
        <f>K4*L4</f>
        <v>3000000</v>
      </c>
      <c r="N4" s="8" t="s">
        <v>25</v>
      </c>
      <c r="O4" s="8">
        <v>1</v>
      </c>
      <c r="P4" s="6">
        <v>3000000</v>
      </c>
      <c r="Q4" s="8">
        <f>O4*P4</f>
        <v>3000000</v>
      </c>
      <c r="R4" s="8" t="s">
        <v>25</v>
      </c>
      <c r="S4" s="8">
        <v>1</v>
      </c>
      <c r="T4" s="6">
        <v>3000000</v>
      </c>
      <c r="U4" s="8">
        <f>S4*T4</f>
        <v>3000000</v>
      </c>
      <c r="V4" s="8" t="s">
        <v>25</v>
      </c>
      <c r="W4" s="8">
        <v>1</v>
      </c>
      <c r="X4" s="6">
        <v>3000000</v>
      </c>
      <c r="Y4" s="8">
        <f>W4*X4</f>
        <v>3000000</v>
      </c>
      <c r="Z4" s="8" t="s">
        <v>25</v>
      </c>
      <c r="AA4" s="8">
        <v>1</v>
      </c>
      <c r="AB4" s="6">
        <v>3000000</v>
      </c>
      <c r="AC4" s="8">
        <f>AA4*AB4</f>
        <v>3000000</v>
      </c>
      <c r="AD4" s="8" t="s">
        <v>25</v>
      </c>
      <c r="AE4" s="8">
        <v>1</v>
      </c>
      <c r="AF4" s="6">
        <v>3000000</v>
      </c>
      <c r="AG4" s="8">
        <f>AE4*AF4</f>
        <v>3000000</v>
      </c>
      <c r="AH4" s="8" t="s">
        <v>25</v>
      </c>
      <c r="AI4" s="8">
        <v>1</v>
      </c>
      <c r="AJ4" s="6">
        <v>3000000</v>
      </c>
      <c r="AK4" s="8">
        <f>AI4*AJ4</f>
        <v>3000000</v>
      </c>
      <c r="AL4" s="8" t="s">
        <v>25</v>
      </c>
      <c r="AM4" s="8">
        <v>1</v>
      </c>
      <c r="AN4" s="6">
        <v>3000000</v>
      </c>
      <c r="AO4" s="8">
        <f>AM4*AN4</f>
        <v>3000000</v>
      </c>
      <c r="AP4" s="8" t="s">
        <v>25</v>
      </c>
      <c r="AQ4" s="8">
        <v>1</v>
      </c>
      <c r="AR4" s="6">
        <v>3000000</v>
      </c>
      <c r="AS4" s="8">
        <f>AQ4*AR4</f>
        <v>3000000</v>
      </c>
      <c r="AT4" s="8" t="s">
        <v>25</v>
      </c>
      <c r="AU4" s="8">
        <v>1</v>
      </c>
      <c r="AV4" s="6">
        <v>3000000</v>
      </c>
      <c r="AW4" s="8">
        <f>AU4*AV4</f>
        <v>3000000</v>
      </c>
      <c r="AX4" s="8">
        <f>+AW4+AS4+AO4+AK4+AG4+AC4+Y4+U4+Q4+M4+I4+E4+D4</f>
        <v>33000000</v>
      </c>
    </row>
    <row r="5" spans="1:50">
      <c r="A5" s="8" t="s">
        <v>26</v>
      </c>
      <c r="B5" s="8" t="s">
        <v>25</v>
      </c>
      <c r="C5" s="8"/>
      <c r="D5" s="8">
        <v>1500000</v>
      </c>
      <c r="E5" s="8">
        <f>C5*D5</f>
        <v>0</v>
      </c>
      <c r="F5" s="8" t="s">
        <v>25</v>
      </c>
      <c r="G5" s="8"/>
      <c r="H5" s="8">
        <v>1500000</v>
      </c>
      <c r="I5" s="8">
        <f>G5*H5</f>
        <v>0</v>
      </c>
      <c r="J5" s="8" t="s">
        <v>25</v>
      </c>
      <c r="K5" s="8">
        <v>1</v>
      </c>
      <c r="L5" s="8">
        <v>1500000</v>
      </c>
      <c r="M5" s="8">
        <f>K5*L5</f>
        <v>1500000</v>
      </c>
      <c r="N5" s="8" t="s">
        <v>25</v>
      </c>
      <c r="O5" s="8">
        <v>1</v>
      </c>
      <c r="P5" s="8">
        <v>1500000</v>
      </c>
      <c r="Q5" s="8">
        <f>O5*P5</f>
        <v>1500000</v>
      </c>
      <c r="R5" s="8" t="s">
        <v>25</v>
      </c>
      <c r="S5" s="8">
        <v>1</v>
      </c>
      <c r="T5" s="8">
        <v>1500000</v>
      </c>
      <c r="U5" s="8">
        <f>S5*T5</f>
        <v>1500000</v>
      </c>
      <c r="V5" s="8" t="s">
        <v>25</v>
      </c>
      <c r="W5" s="8">
        <v>1</v>
      </c>
      <c r="X5" s="8">
        <v>1500000</v>
      </c>
      <c r="Y5" s="8">
        <f>W5*X5</f>
        <v>1500000</v>
      </c>
      <c r="Z5" s="8" t="s">
        <v>25</v>
      </c>
      <c r="AA5" s="8">
        <v>1</v>
      </c>
      <c r="AB5" s="8">
        <v>1500000</v>
      </c>
      <c r="AC5" s="8">
        <f>AA5*AB5</f>
        <v>1500000</v>
      </c>
      <c r="AD5" s="8" t="s">
        <v>25</v>
      </c>
      <c r="AE5" s="8">
        <v>1</v>
      </c>
      <c r="AF5" s="8">
        <v>1500000</v>
      </c>
      <c r="AG5" s="8">
        <f>AE5*AF5</f>
        <v>1500000</v>
      </c>
      <c r="AH5" s="8" t="s">
        <v>25</v>
      </c>
      <c r="AI5" s="8">
        <v>1</v>
      </c>
      <c r="AJ5" s="8">
        <v>1500000</v>
      </c>
      <c r="AK5" s="8">
        <f>AI5*AJ5</f>
        <v>1500000</v>
      </c>
      <c r="AL5" s="8" t="s">
        <v>25</v>
      </c>
      <c r="AM5" s="8">
        <v>1</v>
      </c>
      <c r="AN5" s="8">
        <v>1500000</v>
      </c>
      <c r="AO5" s="8">
        <f>AM5*AN5</f>
        <v>1500000</v>
      </c>
      <c r="AP5" s="8" t="s">
        <v>25</v>
      </c>
      <c r="AQ5" s="8">
        <v>1</v>
      </c>
      <c r="AR5" s="8">
        <v>1500000</v>
      </c>
      <c r="AS5" s="8">
        <f>AQ5*AR5</f>
        <v>1500000</v>
      </c>
      <c r="AT5" s="8" t="s">
        <v>25</v>
      </c>
      <c r="AU5" s="8">
        <v>1</v>
      </c>
      <c r="AV5" s="8">
        <v>1500000</v>
      </c>
      <c r="AW5" s="8">
        <f>AU5*AV5</f>
        <v>1500000</v>
      </c>
      <c r="AX5" s="8">
        <f>+AW5+AS5+AO5+AK5+AG5+AC5+Y5+U5+Q5+M5+I5+E5+D5</f>
        <v>16500000</v>
      </c>
    </row>
    <row r="6" spans="1:50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>
      <c r="A7" s="9" t="s">
        <v>27</v>
      </c>
      <c r="B7" s="7"/>
      <c r="C7" s="7"/>
      <c r="D7" s="7"/>
      <c r="E7" s="7">
        <f>SUM(E4:E6)</f>
        <v>0</v>
      </c>
      <c r="F7" s="7"/>
      <c r="G7" s="7"/>
      <c r="H7" s="7"/>
      <c r="I7" s="7">
        <f>SUM(I4:I6)</f>
        <v>0</v>
      </c>
      <c r="J7" s="7"/>
      <c r="K7" s="7"/>
      <c r="L7" s="7"/>
      <c r="M7" s="7">
        <f>SUM(M4:M6)</f>
        <v>4500000</v>
      </c>
      <c r="N7" s="7"/>
      <c r="O7" s="7"/>
      <c r="P7" s="7"/>
      <c r="Q7" s="7">
        <f>SUM(Q4:Q6)</f>
        <v>4500000</v>
      </c>
      <c r="R7" s="7"/>
      <c r="S7" s="7"/>
      <c r="T7" s="7"/>
      <c r="U7" s="7">
        <f>SUM(U4:U6)</f>
        <v>4500000</v>
      </c>
      <c r="V7" s="7"/>
      <c r="W7" s="7"/>
      <c r="X7" s="7"/>
      <c r="Y7" s="7">
        <f>SUM(Y4:Y6)</f>
        <v>4500000</v>
      </c>
      <c r="Z7" s="7"/>
      <c r="AA7" s="7"/>
      <c r="AB7" s="7"/>
      <c r="AC7" s="7">
        <f>SUM(AC4:AC6)</f>
        <v>4500000</v>
      </c>
      <c r="AD7" s="7"/>
      <c r="AE7" s="7"/>
      <c r="AF7" s="7"/>
      <c r="AG7" s="7">
        <f>SUM(AG4:AG6)</f>
        <v>4500000</v>
      </c>
      <c r="AH7" s="7"/>
      <c r="AI7" s="7"/>
      <c r="AJ7" s="7"/>
      <c r="AK7" s="7">
        <f>SUM(AK4:AK6)</f>
        <v>4500000</v>
      </c>
      <c r="AL7" s="7"/>
      <c r="AM7" s="7"/>
      <c r="AN7" s="7"/>
      <c r="AO7" s="7">
        <f>SUM(AO4:AO6)</f>
        <v>4500000</v>
      </c>
      <c r="AP7" s="7"/>
      <c r="AQ7" s="7"/>
      <c r="AR7" s="7"/>
      <c r="AS7" s="7">
        <f>SUM(AS4:AS6)</f>
        <v>4500000</v>
      </c>
      <c r="AT7" s="7"/>
      <c r="AU7" s="7"/>
      <c r="AV7" s="7"/>
      <c r="AW7" s="7">
        <f>SUM(AW4:AW6)</f>
        <v>4500000</v>
      </c>
      <c r="AX7" s="7">
        <f>+AW7+AS7+AO7+AK7+AG7+AC7+Y7+U7+Q7+M7+I7+E7+D7</f>
        <v>45000000</v>
      </c>
    </row>
    <row r="8" spans="1:50">
      <c r="A8" s="10" t="s">
        <v>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>
      <c r="A9" s="8" t="s">
        <v>24</v>
      </c>
      <c r="B9" s="8" t="s">
        <v>25</v>
      </c>
      <c r="C9" s="8"/>
      <c r="D9" s="8">
        <f>D4*Prestaciones!C$13%</f>
        <v>1555439.9999999998</v>
      </c>
      <c r="E9" s="8">
        <f>C9*D9</f>
        <v>0</v>
      </c>
      <c r="F9" s="8" t="s">
        <v>25</v>
      </c>
      <c r="G9" s="8"/>
      <c r="H9" s="8">
        <f>H4*Prestaciones!C13%</f>
        <v>1555439.9999999998</v>
      </c>
      <c r="I9" s="8">
        <f>G9*H9</f>
        <v>0</v>
      </c>
      <c r="J9" s="8" t="s">
        <v>25</v>
      </c>
      <c r="K9" s="8">
        <v>1</v>
      </c>
      <c r="L9" s="8">
        <v>1555439.9999999998</v>
      </c>
      <c r="M9" s="8">
        <f>K9*L9</f>
        <v>1555439.9999999998</v>
      </c>
      <c r="N9" s="8" t="s">
        <v>25</v>
      </c>
      <c r="O9" s="8">
        <v>1</v>
      </c>
      <c r="P9" s="8">
        <v>1555439.9999999998</v>
      </c>
      <c r="Q9" s="8">
        <f>O9*P9</f>
        <v>1555439.9999999998</v>
      </c>
      <c r="R9" s="8" t="s">
        <v>25</v>
      </c>
      <c r="S9" s="8">
        <v>1</v>
      </c>
      <c r="T9" s="8">
        <v>1555439.9999999998</v>
      </c>
      <c r="U9" s="8">
        <f>S9*T9</f>
        <v>1555439.9999999998</v>
      </c>
      <c r="V9" s="8" t="s">
        <v>25</v>
      </c>
      <c r="W9" s="8">
        <v>1</v>
      </c>
      <c r="X9" s="8">
        <v>1555439.9999999998</v>
      </c>
      <c r="Y9" s="8">
        <f>W9*X9</f>
        <v>1555439.9999999998</v>
      </c>
      <c r="Z9" s="8" t="s">
        <v>25</v>
      </c>
      <c r="AA9" s="8">
        <v>1</v>
      </c>
      <c r="AB9" s="8">
        <v>1555439.9999999998</v>
      </c>
      <c r="AC9" s="8">
        <f>AA9*AB9</f>
        <v>1555439.9999999998</v>
      </c>
      <c r="AD9" s="8" t="s">
        <v>25</v>
      </c>
      <c r="AE9" s="8">
        <v>1</v>
      </c>
      <c r="AF9" s="8">
        <v>1555439.9999999998</v>
      </c>
      <c r="AG9" s="8">
        <f>AE9*AF9</f>
        <v>1555439.9999999998</v>
      </c>
      <c r="AH9" s="8" t="s">
        <v>25</v>
      </c>
      <c r="AI9" s="8">
        <v>1</v>
      </c>
      <c r="AJ9" s="8">
        <v>1555439.9999999998</v>
      </c>
      <c r="AK9" s="8">
        <f>AI9*AJ9</f>
        <v>1555439.9999999998</v>
      </c>
      <c r="AL9" s="8" t="s">
        <v>25</v>
      </c>
      <c r="AM9" s="8">
        <v>1</v>
      </c>
      <c r="AN9" s="8">
        <v>1555439.9999999998</v>
      </c>
      <c r="AO9" s="8">
        <f>AM9*AN9</f>
        <v>1555439.9999999998</v>
      </c>
      <c r="AP9" s="8" t="s">
        <v>25</v>
      </c>
      <c r="AQ9" s="8">
        <v>1</v>
      </c>
      <c r="AR9" s="8">
        <v>1555439.9999999998</v>
      </c>
      <c r="AS9" s="8">
        <f>AQ9*AR9</f>
        <v>1555439.9999999998</v>
      </c>
      <c r="AT9" s="8" t="s">
        <v>25</v>
      </c>
      <c r="AU9" s="8">
        <v>1</v>
      </c>
      <c r="AV9" s="8">
        <v>1555439.9999999998</v>
      </c>
      <c r="AW9" s="8">
        <f>AU9*AV9</f>
        <v>1555439.9999999998</v>
      </c>
      <c r="AX9" s="8">
        <f t="shared" ref="AX9:AX13" si="0">+AW9+AS9+AO9+AK9+AG9+AC9+Y9+U9+Q9+M9+I9+E9+D9</f>
        <v>17109839.999999996</v>
      </c>
    </row>
    <row r="10" spans="1:50">
      <c r="A10" s="8" t="s">
        <v>26</v>
      </c>
      <c r="B10" s="8" t="s">
        <v>25</v>
      </c>
      <c r="C10" s="8"/>
      <c r="D10" s="8">
        <f>D5*Prestaciones!C$13%</f>
        <v>777719.99999999988</v>
      </c>
      <c r="E10" s="8">
        <f>C10*D10</f>
        <v>0</v>
      </c>
      <c r="F10" s="8" t="s">
        <v>25</v>
      </c>
      <c r="G10" s="8"/>
      <c r="H10" s="8">
        <v>777719.99999999988</v>
      </c>
      <c r="I10" s="8">
        <f>G10*H10</f>
        <v>0</v>
      </c>
      <c r="J10" s="8" t="s">
        <v>25</v>
      </c>
      <c r="K10" s="8">
        <v>1</v>
      </c>
      <c r="L10" s="8">
        <v>777719.99999999988</v>
      </c>
      <c r="M10" s="8">
        <f>K10*L10</f>
        <v>777719.99999999988</v>
      </c>
      <c r="N10" s="8" t="s">
        <v>25</v>
      </c>
      <c r="O10" s="8">
        <v>1</v>
      </c>
      <c r="P10" s="8">
        <v>777719.99999999988</v>
      </c>
      <c r="Q10" s="8">
        <f>O10*P10</f>
        <v>777719.99999999988</v>
      </c>
      <c r="R10" s="8" t="s">
        <v>25</v>
      </c>
      <c r="S10" s="8">
        <v>1</v>
      </c>
      <c r="T10" s="8">
        <v>777719.99999999988</v>
      </c>
      <c r="U10" s="8">
        <f>S10*T10</f>
        <v>777719.99999999988</v>
      </c>
      <c r="V10" s="8" t="s">
        <v>25</v>
      </c>
      <c r="W10" s="8">
        <v>1</v>
      </c>
      <c r="X10" s="8">
        <v>777719.99999999988</v>
      </c>
      <c r="Y10" s="8">
        <f>W10*X10</f>
        <v>777719.99999999988</v>
      </c>
      <c r="Z10" s="8" t="s">
        <v>25</v>
      </c>
      <c r="AA10" s="8">
        <v>1</v>
      </c>
      <c r="AB10" s="8">
        <v>777719.99999999988</v>
      </c>
      <c r="AC10" s="8">
        <f>AA10*AB10</f>
        <v>777719.99999999988</v>
      </c>
      <c r="AD10" s="8" t="s">
        <v>25</v>
      </c>
      <c r="AE10" s="8">
        <v>1</v>
      </c>
      <c r="AF10" s="8">
        <v>777719.99999999988</v>
      </c>
      <c r="AG10" s="8">
        <f>AE10*AF10</f>
        <v>777719.99999999988</v>
      </c>
      <c r="AH10" s="8" t="s">
        <v>25</v>
      </c>
      <c r="AI10" s="8">
        <v>1</v>
      </c>
      <c r="AJ10" s="8">
        <v>777719.99999999988</v>
      </c>
      <c r="AK10" s="8">
        <f>AI10*AJ10</f>
        <v>777719.99999999988</v>
      </c>
      <c r="AL10" s="8" t="s">
        <v>25</v>
      </c>
      <c r="AM10" s="8">
        <v>1</v>
      </c>
      <c r="AN10" s="8">
        <v>777719.99999999988</v>
      </c>
      <c r="AO10" s="8">
        <f>AM10*AN10</f>
        <v>777719.99999999988</v>
      </c>
      <c r="AP10" s="8" t="s">
        <v>25</v>
      </c>
      <c r="AQ10" s="8">
        <v>1</v>
      </c>
      <c r="AR10" s="8">
        <v>777719.99999999988</v>
      </c>
      <c r="AS10" s="8">
        <f>AQ10*AR10</f>
        <v>777719.99999999988</v>
      </c>
      <c r="AT10" s="8" t="s">
        <v>25</v>
      </c>
      <c r="AU10" s="8">
        <v>1</v>
      </c>
      <c r="AV10" s="8">
        <v>777719.99999999988</v>
      </c>
      <c r="AW10" s="8">
        <f>AU10*AV10</f>
        <v>777719.99999999988</v>
      </c>
      <c r="AX10" s="8">
        <f t="shared" si="0"/>
        <v>8554919.9999999981</v>
      </c>
    </row>
    <row r="11" spans="1:50">
      <c r="A11" s="9" t="s">
        <v>27</v>
      </c>
      <c r="B11" s="7"/>
      <c r="C11" s="7"/>
      <c r="D11" s="7"/>
      <c r="E11" s="7">
        <f>SUM(E8:E10)</f>
        <v>0</v>
      </c>
      <c r="F11" s="7"/>
      <c r="G11" s="7"/>
      <c r="H11" s="7"/>
      <c r="I11" s="7">
        <f>SUM(I8:I10)</f>
        <v>0</v>
      </c>
      <c r="J11" s="7"/>
      <c r="K11" s="7"/>
      <c r="L11" s="7"/>
      <c r="M11" s="7">
        <f>SUM(M8:M10)</f>
        <v>2333159.9999999995</v>
      </c>
      <c r="N11" s="7"/>
      <c r="O11" s="7"/>
      <c r="P11" s="7"/>
      <c r="Q11" s="7">
        <f>SUM(Q8:Q10)</f>
        <v>2333159.9999999995</v>
      </c>
      <c r="R11" s="7"/>
      <c r="S11" s="7"/>
      <c r="T11" s="7"/>
      <c r="U11" s="7">
        <f>SUM(U8:U10)</f>
        <v>2333159.9999999995</v>
      </c>
      <c r="V11" s="7"/>
      <c r="W11" s="7"/>
      <c r="X11" s="7"/>
      <c r="Y11" s="7">
        <f>SUM(Y8:Y10)</f>
        <v>2333159.9999999995</v>
      </c>
      <c r="Z11" s="7"/>
      <c r="AA11" s="7"/>
      <c r="AB11" s="7"/>
      <c r="AC11" s="7">
        <f>SUM(AC8:AC10)</f>
        <v>2333159.9999999995</v>
      </c>
      <c r="AD11" s="7"/>
      <c r="AE11" s="7"/>
      <c r="AF11" s="7"/>
      <c r="AG11" s="7">
        <f>SUM(AG8:AG10)</f>
        <v>2333159.9999999995</v>
      </c>
      <c r="AH11" s="7"/>
      <c r="AI11" s="7"/>
      <c r="AJ11" s="7"/>
      <c r="AK11" s="7">
        <f>SUM(AK8:AK10)</f>
        <v>2333159.9999999995</v>
      </c>
      <c r="AL11" s="7"/>
      <c r="AM11" s="7"/>
      <c r="AN11" s="7"/>
      <c r="AO11" s="7">
        <f>SUM(AO8:AO10)</f>
        <v>2333159.9999999995</v>
      </c>
      <c r="AP11" s="7"/>
      <c r="AQ11" s="7"/>
      <c r="AR11" s="7"/>
      <c r="AS11" s="7">
        <f>SUM(AS8:AS10)</f>
        <v>2333159.9999999995</v>
      </c>
      <c r="AT11" s="7"/>
      <c r="AU11" s="7"/>
      <c r="AV11" s="7"/>
      <c r="AW11" s="7">
        <f>SUM(AW8:AW10)</f>
        <v>2333159.9999999995</v>
      </c>
      <c r="AX11" s="7">
        <f t="shared" si="0"/>
        <v>23331599.999999996</v>
      </c>
    </row>
    <row r="12" spans="1:50">
      <c r="A12" s="10" t="s">
        <v>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:50">
      <c r="A13" s="8" t="s">
        <v>28</v>
      </c>
      <c r="B13" s="8" t="s">
        <v>25</v>
      </c>
      <c r="C13" s="8"/>
      <c r="D13" s="8">
        <v>1000000</v>
      </c>
      <c r="E13" s="8">
        <f>C13*D13</f>
        <v>0</v>
      </c>
      <c r="F13" s="8" t="s">
        <v>25</v>
      </c>
      <c r="G13" s="8"/>
      <c r="H13" s="8">
        <v>1000000</v>
      </c>
      <c r="I13" s="8">
        <f>G13*H13</f>
        <v>0</v>
      </c>
      <c r="J13" s="8" t="s">
        <v>25</v>
      </c>
      <c r="K13" s="8">
        <v>1</v>
      </c>
      <c r="L13" s="8">
        <v>1000000</v>
      </c>
      <c r="M13" s="8">
        <f>K13*L13</f>
        <v>1000000</v>
      </c>
      <c r="N13" s="8" t="s">
        <v>25</v>
      </c>
      <c r="O13" s="8">
        <v>1</v>
      </c>
      <c r="P13" s="8">
        <v>1000000</v>
      </c>
      <c r="Q13" s="8">
        <f>O13*P13</f>
        <v>1000000</v>
      </c>
      <c r="R13" s="8" t="s">
        <v>25</v>
      </c>
      <c r="S13" s="8">
        <v>1</v>
      </c>
      <c r="T13" s="8">
        <v>1000000</v>
      </c>
      <c r="U13" s="8">
        <f>S13*T13</f>
        <v>1000000</v>
      </c>
      <c r="V13" s="8" t="s">
        <v>25</v>
      </c>
      <c r="W13" s="8">
        <v>1</v>
      </c>
      <c r="X13" s="8">
        <v>1000000</v>
      </c>
      <c r="Y13" s="8">
        <f>W13*X13</f>
        <v>1000000</v>
      </c>
      <c r="Z13" s="8" t="s">
        <v>25</v>
      </c>
      <c r="AA13" s="8">
        <v>1</v>
      </c>
      <c r="AB13" s="8">
        <v>1000000</v>
      </c>
      <c r="AC13" s="8">
        <f>AA13*AB13</f>
        <v>1000000</v>
      </c>
      <c r="AD13" s="8" t="s">
        <v>25</v>
      </c>
      <c r="AE13" s="8">
        <v>1</v>
      </c>
      <c r="AF13" s="8">
        <v>1000000</v>
      </c>
      <c r="AG13" s="8">
        <f>AE13*AF13</f>
        <v>1000000</v>
      </c>
      <c r="AH13" s="8" t="s">
        <v>25</v>
      </c>
      <c r="AI13" s="8">
        <v>1</v>
      </c>
      <c r="AJ13" s="8">
        <v>1000000</v>
      </c>
      <c r="AK13" s="8">
        <f>AI13*AJ13</f>
        <v>1000000</v>
      </c>
      <c r="AL13" s="8" t="s">
        <v>25</v>
      </c>
      <c r="AM13" s="8">
        <v>1</v>
      </c>
      <c r="AN13" s="8">
        <v>1000000</v>
      </c>
      <c r="AO13" s="8">
        <f>AM13*AN13</f>
        <v>1000000</v>
      </c>
      <c r="AP13" s="8" t="s">
        <v>25</v>
      </c>
      <c r="AQ13" s="8">
        <v>1</v>
      </c>
      <c r="AR13" s="8">
        <v>1000000</v>
      </c>
      <c r="AS13" s="8">
        <f>AQ13*AR13</f>
        <v>1000000</v>
      </c>
      <c r="AT13" s="8" t="s">
        <v>25</v>
      </c>
      <c r="AU13" s="8">
        <v>1</v>
      </c>
      <c r="AV13" s="8">
        <v>1000000</v>
      </c>
      <c r="AW13" s="8">
        <f>AU13*AV13</f>
        <v>1000000</v>
      </c>
      <c r="AX13" s="8">
        <f t="shared" si="0"/>
        <v>11000000</v>
      </c>
    </row>
    <row r="14" spans="1:5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>
      <c r="A16" s="9" t="s">
        <v>27</v>
      </c>
      <c r="B16" s="7"/>
      <c r="C16" s="7"/>
      <c r="D16" s="7"/>
      <c r="E16" s="7">
        <f>SUM(E13:E15)</f>
        <v>0</v>
      </c>
      <c r="F16" s="7"/>
      <c r="G16" s="7"/>
      <c r="H16" s="7"/>
      <c r="I16" s="7">
        <f>SUM(I13:I15)</f>
        <v>0</v>
      </c>
      <c r="J16" s="7"/>
      <c r="K16" s="7"/>
      <c r="L16" s="7"/>
      <c r="M16" s="7">
        <f>SUM(M13:M15)</f>
        <v>1000000</v>
      </c>
      <c r="N16" s="7"/>
      <c r="O16" s="7"/>
      <c r="P16" s="7"/>
      <c r="Q16" s="7">
        <f>SUM(Q13:Q15)</f>
        <v>1000000</v>
      </c>
      <c r="R16" s="7"/>
      <c r="S16" s="7"/>
      <c r="T16" s="7"/>
      <c r="U16" s="7">
        <f>SUM(U13:U15)</f>
        <v>1000000</v>
      </c>
      <c r="V16" s="7"/>
      <c r="W16" s="7"/>
      <c r="X16" s="7"/>
      <c r="Y16" s="7">
        <f>SUM(Y13:Y15)</f>
        <v>1000000</v>
      </c>
      <c r="Z16" s="7"/>
      <c r="AA16" s="7"/>
      <c r="AB16" s="7"/>
      <c r="AC16" s="7">
        <f>SUM(AC13:AC15)</f>
        <v>1000000</v>
      </c>
      <c r="AD16" s="7"/>
      <c r="AE16" s="7"/>
      <c r="AF16" s="7"/>
      <c r="AG16" s="7">
        <f>SUM(AG13:AG15)</f>
        <v>1000000</v>
      </c>
      <c r="AH16" s="7"/>
      <c r="AI16" s="7"/>
      <c r="AJ16" s="7"/>
      <c r="AK16" s="7">
        <f>SUM(AK13:AK15)</f>
        <v>1000000</v>
      </c>
      <c r="AL16" s="7"/>
      <c r="AM16" s="7"/>
      <c r="AN16" s="7"/>
      <c r="AO16" s="7">
        <f>SUM(AO13:AO15)</f>
        <v>1000000</v>
      </c>
      <c r="AP16" s="7"/>
      <c r="AQ16" s="7"/>
      <c r="AR16" s="7"/>
      <c r="AS16" s="7">
        <f>SUM(AS13:AS15)</f>
        <v>1000000</v>
      </c>
      <c r="AT16" s="7"/>
      <c r="AU16" s="7"/>
      <c r="AV16" s="7"/>
      <c r="AW16" s="7">
        <f>SUM(AW13:AW15)</f>
        <v>1000000</v>
      </c>
      <c r="AX16" s="7">
        <f t="shared" ref="AX16:AX18" si="1">+AW16+AS16+AO16+AK16+AG16+AC16+Y16+U16+Q16+M16+I16+E16+D16</f>
        <v>10000000</v>
      </c>
    </row>
    <row r="17" spans="1:50">
      <c r="A17" s="10" t="s">
        <v>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</row>
    <row r="18" spans="1:50">
      <c r="A18" s="8" t="s">
        <v>29</v>
      </c>
      <c r="B18" s="8" t="s">
        <v>25</v>
      </c>
      <c r="C18" s="8"/>
      <c r="D18" s="8">
        <v>2500000</v>
      </c>
      <c r="E18" s="8">
        <v>1</v>
      </c>
      <c r="F18" s="8" t="s">
        <v>25</v>
      </c>
      <c r="G18" s="8"/>
      <c r="H18" s="8">
        <v>2500000</v>
      </c>
      <c r="I18" s="8">
        <f>G18*H18</f>
        <v>0</v>
      </c>
      <c r="J18" s="8" t="s">
        <v>25</v>
      </c>
      <c r="K18" s="8">
        <v>1</v>
      </c>
      <c r="L18" s="8">
        <v>2500000</v>
      </c>
      <c r="M18" s="8">
        <f>K18*L18</f>
        <v>2500000</v>
      </c>
      <c r="N18" s="8" t="s">
        <v>25</v>
      </c>
      <c r="O18" s="8">
        <v>1</v>
      </c>
      <c r="P18" s="8">
        <v>2500000</v>
      </c>
      <c r="Q18" s="8">
        <f>O18*P18</f>
        <v>2500000</v>
      </c>
      <c r="R18" s="8" t="s">
        <v>25</v>
      </c>
      <c r="S18" s="8">
        <v>1</v>
      </c>
      <c r="T18" s="8">
        <v>2500000</v>
      </c>
      <c r="U18" s="8">
        <f>S18*T18</f>
        <v>2500000</v>
      </c>
      <c r="V18" s="8" t="s">
        <v>25</v>
      </c>
      <c r="W18" s="8">
        <v>1</v>
      </c>
      <c r="X18" s="8">
        <v>2500000</v>
      </c>
      <c r="Y18" s="8">
        <f>W18*X18</f>
        <v>2500000</v>
      </c>
      <c r="Z18" s="8" t="s">
        <v>25</v>
      </c>
      <c r="AA18" s="8">
        <v>1</v>
      </c>
      <c r="AB18" s="8">
        <v>2500000</v>
      </c>
      <c r="AC18" s="8">
        <f>AA18*AB18</f>
        <v>2500000</v>
      </c>
      <c r="AD18" s="8" t="s">
        <v>25</v>
      </c>
      <c r="AE18" s="8">
        <v>1</v>
      </c>
      <c r="AF18" s="8">
        <v>2500000</v>
      </c>
      <c r="AG18" s="8">
        <f>AE18*AF18</f>
        <v>2500000</v>
      </c>
      <c r="AH18" s="8" t="s">
        <v>25</v>
      </c>
      <c r="AI18" s="8">
        <v>1</v>
      </c>
      <c r="AJ18" s="8">
        <v>2500000</v>
      </c>
      <c r="AK18" s="8">
        <f>AI18*AJ18</f>
        <v>2500000</v>
      </c>
      <c r="AL18" s="8" t="s">
        <v>25</v>
      </c>
      <c r="AM18" s="8">
        <v>1</v>
      </c>
      <c r="AN18" s="8">
        <v>2500000</v>
      </c>
      <c r="AO18" s="8">
        <f>AM18*AN18</f>
        <v>2500000</v>
      </c>
      <c r="AP18" s="8" t="s">
        <v>25</v>
      </c>
      <c r="AQ18" s="8">
        <v>1</v>
      </c>
      <c r="AR18" s="8">
        <v>2500000</v>
      </c>
      <c r="AS18" s="8">
        <f>AQ18*AR18</f>
        <v>2500000</v>
      </c>
      <c r="AT18" s="8" t="s">
        <v>25</v>
      </c>
      <c r="AU18" s="8">
        <v>1</v>
      </c>
      <c r="AV18" s="8">
        <v>2500000</v>
      </c>
      <c r="AW18" s="8">
        <f>AU18*AV18</f>
        <v>2500000</v>
      </c>
      <c r="AX18" s="8">
        <f t="shared" si="1"/>
        <v>27500001</v>
      </c>
    </row>
    <row r="19" spans="1:50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>
      <c r="A21" s="9" t="s">
        <v>27</v>
      </c>
      <c r="B21" s="7"/>
      <c r="C21" s="7"/>
      <c r="D21" s="7"/>
      <c r="E21" s="7">
        <f>SUM(E18:E20)</f>
        <v>1</v>
      </c>
      <c r="F21" s="7"/>
      <c r="G21" s="7"/>
      <c r="H21" s="7"/>
      <c r="I21" s="7">
        <f>SUM(I18:I20)</f>
        <v>0</v>
      </c>
      <c r="J21" s="7"/>
      <c r="K21" s="7"/>
      <c r="L21" s="7"/>
      <c r="M21" s="7">
        <f>SUM(M18:M20)</f>
        <v>2500000</v>
      </c>
      <c r="N21" s="7"/>
      <c r="O21" s="7"/>
      <c r="P21" s="7"/>
      <c r="Q21" s="7">
        <f>SUM(Q18:Q20)</f>
        <v>2500000</v>
      </c>
      <c r="R21" s="7"/>
      <c r="S21" s="7"/>
      <c r="T21" s="7"/>
      <c r="U21" s="7">
        <f>SUM(U18:U20)</f>
        <v>2500000</v>
      </c>
      <c r="V21" s="7"/>
      <c r="W21" s="7"/>
      <c r="X21" s="7"/>
      <c r="Y21" s="7">
        <f>SUM(Y18:Y20)</f>
        <v>2500000</v>
      </c>
      <c r="Z21" s="7"/>
      <c r="AA21" s="7"/>
      <c r="AB21" s="7"/>
      <c r="AC21" s="7">
        <f>SUM(AC18:AC20)</f>
        <v>2500000</v>
      </c>
      <c r="AD21" s="7"/>
      <c r="AE21" s="7"/>
      <c r="AF21" s="7"/>
      <c r="AG21" s="7">
        <f>SUM(AG18:AG20)</f>
        <v>2500000</v>
      </c>
      <c r="AH21" s="7"/>
      <c r="AI21" s="7"/>
      <c r="AJ21" s="7"/>
      <c r="AK21" s="7">
        <f>SUM(AK18:AK20)</f>
        <v>2500000</v>
      </c>
      <c r="AL21" s="7"/>
      <c r="AM21" s="7"/>
      <c r="AN21" s="7"/>
      <c r="AO21" s="7">
        <f>SUM(AO18:AO20)</f>
        <v>2500000</v>
      </c>
      <c r="AP21" s="7"/>
      <c r="AQ21" s="7"/>
      <c r="AR21" s="7"/>
      <c r="AS21" s="7">
        <f>SUM(AS18:AS20)</f>
        <v>2500000</v>
      </c>
      <c r="AT21" s="7"/>
      <c r="AU21" s="7"/>
      <c r="AV21" s="7"/>
      <c r="AW21" s="7">
        <f>SUM(AW18:AW20)</f>
        <v>2500000</v>
      </c>
      <c r="AX21" s="7">
        <f t="shared" ref="AX21:AX23" si="2">+AW21+AS21+AO21+AK21+AG21+AC21+Y21+U21+Q21+M21+I21+E21+D21</f>
        <v>25000001</v>
      </c>
    </row>
    <row r="22" spans="1:50">
      <c r="A22" s="10" t="s">
        <v>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>
        <f t="shared" si="2"/>
        <v>0</v>
      </c>
    </row>
    <row r="23" spans="1:50">
      <c r="A23" s="8" t="s">
        <v>30</v>
      </c>
      <c r="B23" s="8" t="s">
        <v>25</v>
      </c>
      <c r="C23" s="8"/>
      <c r="D23" s="8">
        <v>100000</v>
      </c>
      <c r="E23" s="8">
        <f>C23*D23</f>
        <v>0</v>
      </c>
      <c r="F23" s="8" t="s">
        <v>25</v>
      </c>
      <c r="G23" s="8"/>
      <c r="H23" s="8">
        <v>100000</v>
      </c>
      <c r="I23" s="8">
        <f>G23*H23</f>
        <v>0</v>
      </c>
      <c r="J23" s="8" t="s">
        <v>25</v>
      </c>
      <c r="K23" s="8">
        <v>1</v>
      </c>
      <c r="L23" s="8">
        <v>100000</v>
      </c>
      <c r="M23" s="8">
        <f>K23*L23</f>
        <v>100000</v>
      </c>
      <c r="N23" s="8" t="s">
        <v>25</v>
      </c>
      <c r="O23" s="8">
        <v>1</v>
      </c>
      <c r="P23" s="8">
        <v>100000</v>
      </c>
      <c r="Q23" s="8">
        <f>O23*P23</f>
        <v>100000</v>
      </c>
      <c r="R23" s="8" t="s">
        <v>25</v>
      </c>
      <c r="S23" s="8">
        <v>1</v>
      </c>
      <c r="T23" s="8">
        <v>100000</v>
      </c>
      <c r="U23" s="8">
        <f>S23*T23</f>
        <v>100000</v>
      </c>
      <c r="V23" s="8" t="s">
        <v>25</v>
      </c>
      <c r="W23" s="8">
        <v>1</v>
      </c>
      <c r="X23" s="8">
        <v>100000</v>
      </c>
      <c r="Y23" s="8">
        <f>W23*X23</f>
        <v>100000</v>
      </c>
      <c r="Z23" s="8" t="s">
        <v>25</v>
      </c>
      <c r="AA23" s="8">
        <v>1</v>
      </c>
      <c r="AB23" s="8">
        <v>100000</v>
      </c>
      <c r="AC23" s="8">
        <f>AA23*AB23</f>
        <v>100000</v>
      </c>
      <c r="AD23" s="8" t="s">
        <v>25</v>
      </c>
      <c r="AE23" s="8">
        <v>1</v>
      </c>
      <c r="AF23" s="8">
        <v>100000</v>
      </c>
      <c r="AG23" s="8">
        <f>AE23*AF23</f>
        <v>100000</v>
      </c>
      <c r="AH23" s="8" t="s">
        <v>25</v>
      </c>
      <c r="AI23" s="8">
        <v>1</v>
      </c>
      <c r="AJ23" s="8">
        <v>100000</v>
      </c>
      <c r="AK23" s="8">
        <f>AI23*AJ23</f>
        <v>100000</v>
      </c>
      <c r="AL23" s="8" t="s">
        <v>25</v>
      </c>
      <c r="AM23" s="8">
        <v>1</v>
      </c>
      <c r="AN23" s="8">
        <v>100000</v>
      </c>
      <c r="AO23" s="8">
        <f>AM23*AN23</f>
        <v>100000</v>
      </c>
      <c r="AP23" s="8" t="s">
        <v>25</v>
      </c>
      <c r="AQ23" s="8">
        <v>1</v>
      </c>
      <c r="AR23" s="8">
        <v>100000</v>
      </c>
      <c r="AS23" s="8">
        <f>AQ23*AR23</f>
        <v>100000</v>
      </c>
      <c r="AT23" s="8" t="s">
        <v>25</v>
      </c>
      <c r="AU23" s="8">
        <v>1</v>
      </c>
      <c r="AV23" s="8">
        <v>100000</v>
      </c>
      <c r="AW23" s="8">
        <f>AU23*AV23</f>
        <v>100000</v>
      </c>
      <c r="AX23" s="8">
        <f t="shared" si="2"/>
        <v>1100000</v>
      </c>
    </row>
    <row r="24" spans="1:50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>
      <c r="A26" s="9" t="s">
        <v>27</v>
      </c>
      <c r="B26" s="7"/>
      <c r="C26" s="7"/>
      <c r="D26" s="7"/>
      <c r="E26" s="7">
        <f>SUM(E23:E25)</f>
        <v>0</v>
      </c>
      <c r="F26" s="7"/>
      <c r="G26" s="7"/>
      <c r="H26" s="7"/>
      <c r="I26" s="7">
        <f>SUM(I23:I25)</f>
        <v>0</v>
      </c>
      <c r="J26" s="7"/>
      <c r="K26" s="7"/>
      <c r="L26" s="7"/>
      <c r="M26" s="7">
        <f>SUM(M23:M25)</f>
        <v>100000</v>
      </c>
      <c r="N26" s="7"/>
      <c r="O26" s="7"/>
      <c r="P26" s="7"/>
      <c r="Q26" s="7">
        <f>SUM(Q23:Q25)</f>
        <v>100000</v>
      </c>
      <c r="R26" s="7"/>
      <c r="S26" s="7"/>
      <c r="T26" s="7"/>
      <c r="U26" s="7">
        <f>SUM(U23:U25)</f>
        <v>100000</v>
      </c>
      <c r="V26" s="7"/>
      <c r="W26" s="7"/>
      <c r="X26" s="7"/>
      <c r="Y26" s="7">
        <f>SUM(Y23:Y25)</f>
        <v>100000</v>
      </c>
      <c r="Z26" s="7"/>
      <c r="AA26" s="7"/>
      <c r="AB26" s="7"/>
      <c r="AC26" s="7">
        <f>SUM(AC23:AC25)</f>
        <v>100000</v>
      </c>
      <c r="AD26" s="7"/>
      <c r="AE26" s="7"/>
      <c r="AF26" s="7"/>
      <c r="AG26" s="7">
        <f>SUM(AG23:AG25)</f>
        <v>100000</v>
      </c>
      <c r="AH26" s="7"/>
      <c r="AI26" s="7"/>
      <c r="AJ26" s="7"/>
      <c r="AK26" s="7">
        <f>SUM(AK23:AK25)</f>
        <v>100000</v>
      </c>
      <c r="AL26" s="7"/>
      <c r="AM26" s="7"/>
      <c r="AN26" s="7"/>
      <c r="AO26" s="7">
        <f>SUM(AO23:AO25)</f>
        <v>100000</v>
      </c>
      <c r="AP26" s="7"/>
      <c r="AQ26" s="7"/>
      <c r="AR26" s="7"/>
      <c r="AS26" s="7">
        <f>SUM(AS23:AS25)</f>
        <v>100000</v>
      </c>
      <c r="AT26" s="7"/>
      <c r="AU26" s="7"/>
      <c r="AV26" s="7"/>
      <c r="AW26" s="7">
        <f>SUM(AW23:AW25)</f>
        <v>100000</v>
      </c>
      <c r="AX26" s="7">
        <f t="shared" ref="AX26" si="3">+AW26+AS26+AO26+AK26+AG26+AC26+Y26+U26+Q26+M26+I26+E26+D26</f>
        <v>1000000</v>
      </c>
    </row>
    <row r="27" spans="1:50">
      <c r="A27" s="10" t="s">
        <v>31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</row>
    <row r="28" spans="1:50">
      <c r="A28" s="1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>
      <c r="A29" s="1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>
      <c r="A30" s="9" t="s">
        <v>27</v>
      </c>
      <c r="B30" s="7"/>
      <c r="C30" s="7"/>
      <c r="D30" s="7"/>
      <c r="E30" s="7">
        <f>SUM(E28:E29)</f>
        <v>0</v>
      </c>
      <c r="F30" s="7"/>
      <c r="G30" s="7"/>
      <c r="H30" s="7"/>
      <c r="I30" s="7">
        <f>SUM(I28:I29)</f>
        <v>0</v>
      </c>
      <c r="J30" s="7"/>
      <c r="K30" s="7"/>
      <c r="L30" s="7"/>
      <c r="M30" s="7">
        <f>SUM(M28:M29)</f>
        <v>0</v>
      </c>
      <c r="N30" s="7"/>
      <c r="O30" s="7"/>
      <c r="P30" s="7"/>
      <c r="Q30" s="7">
        <f>SUM(Q28:Q29)</f>
        <v>0</v>
      </c>
      <c r="R30" s="7"/>
      <c r="S30" s="7"/>
      <c r="T30" s="7"/>
      <c r="U30" s="7">
        <f>SUM(U28:U29)</f>
        <v>0</v>
      </c>
      <c r="V30" s="7"/>
      <c r="W30" s="7"/>
      <c r="X30" s="7"/>
      <c r="Y30" s="7">
        <f>SUM(Y28:Y29)</f>
        <v>0</v>
      </c>
      <c r="Z30" s="7"/>
      <c r="AA30" s="7"/>
      <c r="AB30" s="7"/>
      <c r="AC30" s="7">
        <f>SUM(AC28:AC29)</f>
        <v>0</v>
      </c>
      <c r="AD30" s="7"/>
      <c r="AE30" s="7"/>
      <c r="AF30" s="7"/>
      <c r="AG30" s="7">
        <f>SUM(AG28:AG29)</f>
        <v>0</v>
      </c>
      <c r="AH30" s="7"/>
      <c r="AI30" s="7"/>
      <c r="AJ30" s="7"/>
      <c r="AK30" s="7">
        <f>SUM(AK28:AK29)</f>
        <v>0</v>
      </c>
      <c r="AL30" s="7"/>
      <c r="AM30" s="7"/>
      <c r="AN30" s="7"/>
      <c r="AO30" s="7">
        <f>SUM(AO28:AO29)</f>
        <v>0</v>
      </c>
      <c r="AP30" s="7"/>
      <c r="AQ30" s="7"/>
      <c r="AR30" s="7"/>
      <c r="AS30" s="7">
        <f>SUM(AS28:AS29)</f>
        <v>0</v>
      </c>
      <c r="AT30" s="7"/>
      <c r="AU30" s="7"/>
      <c r="AV30" s="7"/>
      <c r="AW30" s="7">
        <f>SUM(AW28:AW29)</f>
        <v>0</v>
      </c>
      <c r="AX30" s="7"/>
    </row>
    <row r="31" spans="1:50">
      <c r="A31" s="19" t="s">
        <v>32</v>
      </c>
      <c r="B31" s="19"/>
      <c r="C31" s="19"/>
      <c r="D31" s="19"/>
      <c r="E31" s="9">
        <f>E7+E11+E16+E21+E26+E30</f>
        <v>1</v>
      </c>
      <c r="F31" s="7"/>
      <c r="G31" s="7"/>
      <c r="H31" s="7"/>
      <c r="I31" s="9">
        <f>I7+I11+I16+I21+I26+I30</f>
        <v>0</v>
      </c>
      <c r="J31" s="7"/>
      <c r="K31" s="7"/>
      <c r="L31" s="7"/>
      <c r="M31" s="9">
        <f>M7+M11+M16+M21+M26+M30</f>
        <v>10433160</v>
      </c>
      <c r="N31" s="7"/>
      <c r="O31" s="7"/>
      <c r="P31" s="7"/>
      <c r="Q31" s="9">
        <f>Q7+Q11+Q16+Q21+Q26+Q30</f>
        <v>10433160</v>
      </c>
      <c r="R31" s="7"/>
      <c r="S31" s="7"/>
      <c r="T31" s="7"/>
      <c r="U31" s="9">
        <f>U7+U11+U16+U21+U26+U30</f>
        <v>10433160</v>
      </c>
      <c r="V31" s="7"/>
      <c r="W31" s="7"/>
      <c r="X31" s="7"/>
      <c r="Y31" s="9">
        <f>Y7+Y11+Y16+Y21+Y26+Y30</f>
        <v>10433160</v>
      </c>
      <c r="Z31" s="7"/>
      <c r="AA31" s="7"/>
      <c r="AB31" s="7"/>
      <c r="AC31" s="9">
        <f>AC7+AC11+AC16+AC21+AC26+AC30</f>
        <v>10433160</v>
      </c>
      <c r="AD31" s="7"/>
      <c r="AE31" s="7"/>
      <c r="AF31" s="7"/>
      <c r="AG31" s="9">
        <f>AG7+AG11+AG16+AG21+AG26+AG30</f>
        <v>10433160</v>
      </c>
      <c r="AH31" s="7"/>
      <c r="AI31" s="7"/>
      <c r="AJ31" s="7"/>
      <c r="AK31" s="9">
        <f>AK7+AK11+AK16+AK21+AK26+AK30</f>
        <v>10433160</v>
      </c>
      <c r="AL31" s="7"/>
      <c r="AM31" s="7"/>
      <c r="AN31" s="7"/>
      <c r="AO31" s="9">
        <f>AO7+AO11+AO16+AO21+AO26+AO30</f>
        <v>10433160</v>
      </c>
      <c r="AP31" s="7"/>
      <c r="AQ31" s="7"/>
      <c r="AR31" s="7"/>
      <c r="AS31" s="9">
        <f>AS7+AS11+AS16+AS21+AS26+AS30</f>
        <v>10433160</v>
      </c>
      <c r="AT31" s="7"/>
      <c r="AU31" s="7"/>
      <c r="AV31" s="7"/>
      <c r="AW31" s="9">
        <f>AW7+AW11+AW16+AW21+AW26+AW30</f>
        <v>10433160</v>
      </c>
      <c r="AX31" s="9">
        <f t="shared" ref="AX31" si="4">+AW31+AS31+AO31+AK31+AG31+AC31+Y31+U31+Q31+M31+I31+E31+D31</f>
        <v>104331601</v>
      </c>
    </row>
  </sheetData>
  <mergeCells count="13">
    <mergeCell ref="A31:D31"/>
    <mergeCell ref="B1:E1"/>
    <mergeCell ref="F1:I1"/>
    <mergeCell ref="J1:M1"/>
    <mergeCell ref="N1:Q1"/>
    <mergeCell ref="AL1:AO1"/>
    <mergeCell ref="AP1:AS1"/>
    <mergeCell ref="AT1:AW1"/>
    <mergeCell ref="R1:U1"/>
    <mergeCell ref="V1:Y1"/>
    <mergeCell ref="Z1:AC1"/>
    <mergeCell ref="AD1:AG1"/>
    <mergeCell ref="AH1:AK1"/>
  </mergeCells>
  <pageMargins left="0.70866141732283472" right="0.70866141732283472" top="0.74803149606299213" bottom="0.74803149606299213" header="0.31496062992125984" footer="0.31496062992125984"/>
  <pageSetup scale="86" orientation="landscape" r:id="rId1"/>
  <headerFooter>
    <oddHeader>&amp;C&amp;"-,Negrita"&amp;14FORMATO PRESUPUESTO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98A6-0E77-481A-8709-96E20C57D171}">
  <dimension ref="B3:C13"/>
  <sheetViews>
    <sheetView workbookViewId="0">
      <selection activeCell="K10" sqref="K10"/>
    </sheetView>
  </sheetViews>
  <sheetFormatPr defaultColWidth="11.42578125" defaultRowHeight="14.45"/>
  <cols>
    <col min="2" max="2" width="18.5703125" bestFit="1" customWidth="1"/>
  </cols>
  <sheetData>
    <row r="3" spans="2:3">
      <c r="B3" s="2" t="s">
        <v>33</v>
      </c>
      <c r="C3" s="2">
        <v>8.5</v>
      </c>
    </row>
    <row r="4" spans="2:3">
      <c r="B4" s="2" t="s">
        <v>34</v>
      </c>
      <c r="C4" s="2">
        <v>12</v>
      </c>
    </row>
    <row r="5" spans="2:3">
      <c r="B5" s="2" t="s">
        <v>35</v>
      </c>
      <c r="C5" s="2">
        <v>2</v>
      </c>
    </row>
    <row r="6" spans="2:3">
      <c r="B6" s="2" t="s">
        <v>36</v>
      </c>
      <c r="C6" s="2">
        <v>3</v>
      </c>
    </row>
    <row r="7" spans="2:3">
      <c r="B7" s="2" t="s">
        <v>37</v>
      </c>
      <c r="C7" s="2">
        <v>4</v>
      </c>
    </row>
    <row r="8" spans="2:3">
      <c r="B8" s="2" t="s">
        <v>38</v>
      </c>
      <c r="C8" s="2">
        <v>8.33</v>
      </c>
    </row>
    <row r="9" spans="2:3">
      <c r="B9" s="2" t="s">
        <v>39</v>
      </c>
      <c r="C9" s="2">
        <v>8.33</v>
      </c>
    </row>
    <row r="10" spans="2:3">
      <c r="B10" s="2" t="s">
        <v>40</v>
      </c>
      <c r="C10" s="2">
        <v>1</v>
      </c>
    </row>
    <row r="11" spans="2:3">
      <c r="B11" s="2" t="s">
        <v>41</v>
      </c>
      <c r="C11" s="2">
        <v>4.1660000000000004</v>
      </c>
    </row>
    <row r="12" spans="2:3">
      <c r="B12" s="2" t="s">
        <v>42</v>
      </c>
      <c r="C12" s="2">
        <v>0.52200000000000002</v>
      </c>
    </row>
    <row r="13" spans="2:3">
      <c r="B13" s="2" t="s">
        <v>43</v>
      </c>
      <c r="C13" s="5">
        <f>SUM(C3:C12)</f>
        <v>51.847999999999992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3804E93-B1A3-4C88-8C00-D1758E3D187A}"/>
</file>

<file path=customXml/itemProps2.xml><?xml version="1.0" encoding="utf-8"?>
<ds:datastoreItem xmlns:ds="http://schemas.openxmlformats.org/officeDocument/2006/customXml" ds:itemID="{5920F190-1BEA-4FC6-AA70-28DAF6EB59FC}"/>
</file>

<file path=customXml/itemProps3.xml><?xml version="1.0" encoding="utf-8"?>
<ds:datastoreItem xmlns:ds="http://schemas.openxmlformats.org/officeDocument/2006/customXml" ds:itemID="{EAF2EAEC-2353-49B3-95E4-566A612C72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Ortiz</dc:creator>
  <cp:keywords/>
  <dc:description/>
  <cp:lastModifiedBy>Lizeth Gómez</cp:lastModifiedBy>
  <cp:revision/>
  <dcterms:created xsi:type="dcterms:W3CDTF">2021-10-27T16:04:30Z</dcterms:created>
  <dcterms:modified xsi:type="dcterms:W3CDTF">2024-08-14T21:08:16Z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  <property fmtid="{D5CDD505-2E9C-101B-9397-08002B2CF9AE}" pid="4" name="Order">
    <vt:r8>66032100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