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-my.sharepoint.com/personal/ltorres_partners_net/Documents/Documentos/DocumentosLegalesFPoA/"/>
    </mc:Choice>
  </mc:AlternateContent>
  <xr:revisionPtr revIDLastSave="17" documentId="8_{1E466622-BD96-42B6-8797-3740F9DD19A3}" xr6:coauthVersionLast="47" xr6:coauthVersionMax="47" xr10:uidLastSave="{6889CC6E-E846-41ED-81F4-7E3778C6E9FA}"/>
  <bookViews>
    <workbookView xWindow="28680" yWindow="-120" windowWidth="29040" windowHeight="15720" xr2:uid="{BE1C998F-1493-4B02-B1BA-28EE709145C9}"/>
  </bookViews>
  <sheets>
    <sheet name="Resumen" sheetId="3" r:id="rId1"/>
    <sheet name="Ingresos Fundación POA" sheetId="4" r:id="rId2"/>
    <sheet name="Budget Fundación POA" sheetId="1" r:id="rId3"/>
    <sheet name="Prestaciones" sheetId="2" r:id="rId4"/>
  </sheets>
  <definedNames>
    <definedName name="_xlnm.Print_Area" localSheetId="2">'Budget Fundación POA'!$A$3:$E$33</definedName>
    <definedName name="_xlnm.Print_Area" localSheetId="1">'Ingresos Fundación POA'!#REF!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8" i="3" s="1"/>
  <c r="B5" i="4"/>
  <c r="B7" i="3" s="1"/>
  <c r="B6" i="3"/>
  <c r="B5" i="3"/>
  <c r="B4" i="3"/>
  <c r="A8" i="3"/>
  <c r="A7" i="3"/>
  <c r="A6" i="3"/>
  <c r="A5" i="3"/>
  <c r="A4" i="3"/>
  <c r="C9" i="3" l="1"/>
  <c r="M31" i="1"/>
  <c r="Q31" i="1"/>
  <c r="U31" i="1"/>
  <c r="Y31" i="1"/>
  <c r="AC31" i="1"/>
  <c r="AG31" i="1"/>
  <c r="AK31" i="1"/>
  <c r="AO31" i="1"/>
  <c r="AS31" i="1"/>
  <c r="AW31" i="1"/>
  <c r="AW30" i="1"/>
  <c r="AX30" i="1" s="1"/>
  <c r="AS30" i="1"/>
  <c r="AS32" i="1" s="1"/>
  <c r="AO30" i="1"/>
  <c r="AK30" i="1"/>
  <c r="AK32" i="1" s="1"/>
  <c r="AG30" i="1"/>
  <c r="AC30" i="1"/>
  <c r="Y30" i="1"/>
  <c r="U30" i="1"/>
  <c r="Q30" i="1"/>
  <c r="Q32" i="1" s="1"/>
  <c r="M30" i="1"/>
  <c r="M32" i="1" s="1"/>
  <c r="C8" i="3"/>
  <c r="B7" i="4"/>
  <c r="AW26" i="1"/>
  <c r="AS26" i="1"/>
  <c r="AX26" i="1" s="1"/>
  <c r="AO26" i="1"/>
  <c r="AK26" i="1"/>
  <c r="AG26" i="1"/>
  <c r="AC26" i="1"/>
  <c r="Y26" i="1"/>
  <c r="U26" i="1"/>
  <c r="Q21" i="1"/>
  <c r="U21" i="1"/>
  <c r="Y21" i="1"/>
  <c r="AC21" i="1"/>
  <c r="AG21" i="1"/>
  <c r="AK21" i="1"/>
  <c r="AO21" i="1"/>
  <c r="AS21" i="1"/>
  <c r="AW21" i="1"/>
  <c r="AX24" i="1"/>
  <c r="AW25" i="1"/>
  <c r="AW28" i="1" s="1"/>
  <c r="AW20" i="1"/>
  <c r="AW15" i="1"/>
  <c r="AW18" i="1" s="1"/>
  <c r="AW11" i="1"/>
  <c r="AW10" i="1"/>
  <c r="AW13" i="1" s="1"/>
  <c r="AW6" i="1"/>
  <c r="AW5" i="1"/>
  <c r="AS25" i="1"/>
  <c r="AS28" i="1" s="1"/>
  <c r="AS20" i="1"/>
  <c r="AS15" i="1"/>
  <c r="AS18" i="1" s="1"/>
  <c r="AS11" i="1"/>
  <c r="AS10" i="1"/>
  <c r="AS13" i="1" s="1"/>
  <c r="AS6" i="1"/>
  <c r="AS5" i="1"/>
  <c r="AO25" i="1"/>
  <c r="AO28" i="1" s="1"/>
  <c r="AO20" i="1"/>
  <c r="AO15" i="1"/>
  <c r="AO18" i="1" s="1"/>
  <c r="AO11" i="1"/>
  <c r="AO10" i="1"/>
  <c r="AO6" i="1"/>
  <c r="AO5" i="1"/>
  <c r="AK25" i="1"/>
  <c r="AK20" i="1"/>
  <c r="AK15" i="1"/>
  <c r="AK18" i="1" s="1"/>
  <c r="AK11" i="1"/>
  <c r="AK10" i="1"/>
  <c r="AK6" i="1"/>
  <c r="AK5" i="1"/>
  <c r="AG25" i="1"/>
  <c r="AG28" i="1" s="1"/>
  <c r="AG20" i="1"/>
  <c r="AG15" i="1"/>
  <c r="AG18" i="1" s="1"/>
  <c r="AG11" i="1"/>
  <c r="AG10" i="1"/>
  <c r="AG13" i="1" s="1"/>
  <c r="AG6" i="1"/>
  <c r="AG5" i="1"/>
  <c r="AG8" i="1" s="1"/>
  <c r="AC25" i="1"/>
  <c r="AC28" i="1" s="1"/>
  <c r="AC20" i="1"/>
  <c r="AC23" i="1" s="1"/>
  <c r="AC15" i="1"/>
  <c r="AC18" i="1" s="1"/>
  <c r="AC11" i="1"/>
  <c r="AC10" i="1"/>
  <c r="AC13" i="1" s="1"/>
  <c r="AC6" i="1"/>
  <c r="AC5" i="1"/>
  <c r="Y25" i="1"/>
  <c r="Y20" i="1"/>
  <c r="Y15" i="1"/>
  <c r="Y18" i="1" s="1"/>
  <c r="Y11" i="1"/>
  <c r="Y10" i="1"/>
  <c r="Y13" i="1" s="1"/>
  <c r="Y6" i="1"/>
  <c r="Y5" i="1"/>
  <c r="U25" i="1"/>
  <c r="U28" i="1" s="1"/>
  <c r="U20" i="1"/>
  <c r="U23" i="1" s="1"/>
  <c r="U15" i="1"/>
  <c r="U18" i="1" s="1"/>
  <c r="U11" i="1"/>
  <c r="U10" i="1"/>
  <c r="U6" i="1"/>
  <c r="U5" i="1"/>
  <c r="U8" i="1" s="1"/>
  <c r="Q25" i="1"/>
  <c r="Q28" i="1" s="1"/>
  <c r="Q20" i="1"/>
  <c r="Q15" i="1"/>
  <c r="Q18" i="1" s="1"/>
  <c r="Q11" i="1"/>
  <c r="Q10" i="1"/>
  <c r="Q6" i="1"/>
  <c r="Q5" i="1"/>
  <c r="M25" i="1"/>
  <c r="M28" i="1" s="1"/>
  <c r="M20" i="1"/>
  <c r="M23" i="1" s="1"/>
  <c r="M18" i="1"/>
  <c r="M8" i="1"/>
  <c r="Y28" i="1" l="1"/>
  <c r="AW32" i="1"/>
  <c r="U13" i="1"/>
  <c r="AK28" i="1"/>
  <c r="Q13" i="1"/>
  <c r="B10" i="3"/>
  <c r="AX31" i="1"/>
  <c r="U32" i="1"/>
  <c r="Y32" i="1"/>
  <c r="AC32" i="1"/>
  <c r="AO32" i="1"/>
  <c r="AG32" i="1"/>
  <c r="AW23" i="1"/>
  <c r="AO23" i="1"/>
  <c r="Y23" i="1"/>
  <c r="AX21" i="1"/>
  <c r="Q23" i="1"/>
  <c r="AG23" i="1"/>
  <c r="AK23" i="1"/>
  <c r="AS23" i="1"/>
  <c r="AO13" i="1"/>
  <c r="AK8" i="1"/>
  <c r="Q8" i="1"/>
  <c r="U33" i="1"/>
  <c r="AW8" i="1"/>
  <c r="AC8" i="1"/>
  <c r="AC33" i="1" s="1"/>
  <c r="AO8" i="1"/>
  <c r="Y8" i="1"/>
  <c r="M13" i="1"/>
  <c r="M33" i="1" s="1"/>
  <c r="AK13" i="1"/>
  <c r="AS8" i="1"/>
  <c r="AX15" i="1"/>
  <c r="I32" i="1"/>
  <c r="E32" i="1"/>
  <c r="AX32" i="1" l="1"/>
  <c r="D9" i="3" s="1"/>
  <c r="Q33" i="1"/>
  <c r="AG33" i="1"/>
  <c r="Y33" i="1"/>
  <c r="AW33" i="1"/>
  <c r="AS33" i="1"/>
  <c r="AO33" i="1"/>
  <c r="AK33" i="1"/>
  <c r="AX11" i="1"/>
  <c r="AX10" i="1"/>
  <c r="C13" i="2"/>
  <c r="AX25" i="1"/>
  <c r="AX20" i="1"/>
  <c r="AX6" i="1"/>
  <c r="AX5" i="1"/>
  <c r="AX28" i="1" l="1"/>
  <c r="D8" i="3" s="1"/>
  <c r="AX23" i="1"/>
  <c r="D7" i="3" s="1"/>
  <c r="AX18" i="1"/>
  <c r="D6" i="3" s="1"/>
  <c r="AX8" i="1"/>
  <c r="D4" i="3" s="1"/>
  <c r="AX13" i="1"/>
  <c r="D5" i="3" s="1"/>
  <c r="D10" i="3" l="1"/>
  <c r="B12" i="3" s="1"/>
  <c r="E33" i="1"/>
  <c r="I33" i="1"/>
  <c r="AX33" i="1" l="1"/>
</calcChain>
</file>

<file path=xl/sharedStrings.xml><?xml version="1.0" encoding="utf-8"?>
<sst xmlns="http://schemas.openxmlformats.org/spreadsheetml/2006/main" count="220" uniqueCount="63">
  <si>
    <t xml:space="preserve">Unidad </t>
  </si>
  <si>
    <t xml:space="preserve">Cantidad </t>
  </si>
  <si>
    <t xml:space="preserve">Item </t>
  </si>
  <si>
    <t>Valor total 
Pesos COL$</t>
  </si>
  <si>
    <t xml:space="preserve">Valor unitario
Pesos COL$ </t>
  </si>
  <si>
    <t>1.Personal (Laboral)</t>
  </si>
  <si>
    <t xml:space="preserve">2.Prestaciones Sociales </t>
  </si>
  <si>
    <t>3.Viajes y transportes</t>
  </si>
  <si>
    <t>4. Servicios profesionales (consultores)</t>
  </si>
  <si>
    <t>Mes 1</t>
  </si>
  <si>
    <t>Mes 2</t>
  </si>
  <si>
    <t>TOTAL</t>
  </si>
  <si>
    <t>Subtotal</t>
  </si>
  <si>
    <t>Contador</t>
  </si>
  <si>
    <t>Director</t>
  </si>
  <si>
    <t>Asesores jurídicos</t>
  </si>
  <si>
    <t>Papelería</t>
  </si>
  <si>
    <t xml:space="preserve">Mes </t>
  </si>
  <si>
    <t>Salud</t>
  </si>
  <si>
    <t>Pensión</t>
  </si>
  <si>
    <t>Sena</t>
  </si>
  <si>
    <t>ICBF</t>
  </si>
  <si>
    <t>Caja de compesación</t>
  </si>
  <si>
    <t>Prima</t>
  </si>
  <si>
    <t>Cesantias</t>
  </si>
  <si>
    <t>Intereses Cesantias</t>
  </si>
  <si>
    <t>Vacaciones</t>
  </si>
  <si>
    <t>Viajes para gestión donaciones</t>
  </si>
  <si>
    <t>Total Prestaciones</t>
  </si>
  <si>
    <t>ARL Riesgo I</t>
  </si>
  <si>
    <t xml:space="preserve">Total </t>
  </si>
  <si>
    <t xml:space="preserve">Detalle </t>
  </si>
  <si>
    <t>Presupuesto Fundación Partners of the Americas Colombia
Vigencia: Año Fiscal 2024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</si>
  <si>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</si>
  <si>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</si>
  <si>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</si>
  <si>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</si>
  <si>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</si>
  <si>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</si>
  <si>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</si>
  <si>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</si>
  <si>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</si>
  <si>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</si>
  <si>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Aportes iniciales de fundadores</t>
  </si>
  <si>
    <t>Donaciones recibidas de terceros</t>
  </si>
  <si>
    <t>Ingresos por servicios prestados</t>
  </si>
  <si>
    <t>Total ingresos</t>
  </si>
  <si>
    <t>Ingresos</t>
  </si>
  <si>
    <t>Monto en Cop $</t>
  </si>
  <si>
    <t>Gastos</t>
  </si>
  <si>
    <t xml:space="preserve">5. Materiales y suministros </t>
  </si>
  <si>
    <t>Alquiler equipo de computo</t>
  </si>
  <si>
    <t>Asesores fiscal</t>
  </si>
  <si>
    <t xml:space="preserve">Puestos de trabajo </t>
  </si>
  <si>
    <t xml:space="preserve">Comunicación </t>
  </si>
  <si>
    <t>6. Costos Directos</t>
  </si>
  <si>
    <t>Convenios de colaboración con Partners of the Americas</t>
  </si>
  <si>
    <t>Subvenciones privadas</t>
  </si>
  <si>
    <t>Presupuesto Gastos Fundación Partners of the Americas Colombia 
NIT 901.802.108-7
Vigencia: Año Fiscal 2024</t>
  </si>
  <si>
    <t>Presupuesto de Ingresos Fundación Partners of the Americas Colombia 
NIT 901.802.108-7
Vigencia: Año Fiscal 2024</t>
  </si>
  <si>
    <t>Fundación Partners of the Americas Colombia 
NIT 901.802.108-7
Vigencia: Año Fiscal 2024</t>
  </si>
  <si>
    <t>Disponibilidad final **</t>
  </si>
  <si>
    <t>**Los excedentes que se generen serán reinvertidos en la vigencia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</si>
</sst>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164" fontId="0" fillId="0" borderId="1" xfId="1" applyNumberFormat="1" applyFont="1" applyBorder="1" applyAlignment="1">
      <alignment horizontal="center" wrapText="1"/>
    </xf>
    <xf numFmtId="164" fontId="0" fillId="3" borderId="1" xfId="1" applyNumberFormat="1" applyFont="1" applyFill="1" applyBorder="1"/>
    <xf numFmtId="164" fontId="0" fillId="0" borderId="1" xfId="1" applyNumberFormat="1" applyFont="1" applyBorder="1"/>
    <xf numFmtId="164" fontId="1" fillId="3" borderId="1" xfId="1" applyNumberFormat="1" applyFont="1" applyFill="1" applyBorder="1"/>
    <xf numFmtId="164" fontId="1" fillId="2" borderId="1" xfId="1" applyNumberFormat="1" applyFont="1" applyFill="1" applyBorder="1"/>
    <xf numFmtId="164" fontId="0" fillId="2" borderId="1" xfId="1" applyNumberFormat="1" applyFont="1" applyFill="1" applyBorder="1"/>
    <xf numFmtId="164" fontId="2" fillId="0" borderId="1" xfId="1" applyNumberFormat="1" applyFont="1" applyBorder="1"/>
    <xf numFmtId="0" fontId="0" fillId="0" borderId="1" xfId="0" applyBorder="1" applyAlignment="1">
      <alignment horizontal="left"/>
    </xf>
    <xf numFmtId="3" fontId="1" fillId="0" borderId="1" xfId="0" applyNumberFormat="1" applyFont="1" applyBorder="1"/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/>
    <xf numFmtId="165" fontId="0" fillId="0" borderId="1" xfId="1" applyNumberFormat="1" applyFont="1" applyBorder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43" fontId="0" fillId="0" borderId="1" xfId="1" applyFont="1" applyBorder="1"/>
    <xf numFmtId="0" fontId="6" fillId="0" borderId="1" xfId="0" applyFont="1" applyBorder="1" applyAlignment="1">
      <alignment vertical="center" wrapText="1"/>
    </xf>
    <xf numFmtId="43" fontId="1" fillId="0" borderId="1" xfId="1" applyFont="1" applyBorder="1"/>
    <xf numFmtId="0" fontId="0" fillId="0" borderId="8" xfId="0" applyBorder="1" applyAlignment="1">
      <alignment horizontal="left"/>
    </xf>
    <xf numFmtId="3" fontId="1" fillId="0" borderId="8" xfId="0" applyNumberFormat="1" applyFont="1" applyBorder="1"/>
    <xf numFmtId="0" fontId="1" fillId="4" borderId="6" xfId="0" applyFont="1" applyFill="1" applyBorder="1" applyAlignment="1">
      <alignment horizontal="left"/>
    </xf>
    <xf numFmtId="3" fontId="1" fillId="4" borderId="3" xfId="0" applyNumberFormat="1" applyFont="1" applyFill="1" applyBorder="1"/>
    <xf numFmtId="0" fontId="1" fillId="4" borderId="3" xfId="0" applyFont="1" applyFill="1" applyBorder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3" fontId="1" fillId="4" borderId="6" xfId="0" applyNumberFormat="1" applyFont="1" applyFill="1" applyBorder="1" applyAlignment="1">
      <alignment horizontal="center"/>
    </xf>
    <xf numFmtId="3" fontId="1" fillId="4" borderId="7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64" fontId="1" fillId="3" borderId="1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6A76-9BA3-4F69-9A52-6502450AFF7C}">
  <dimension ref="A1:D13"/>
  <sheetViews>
    <sheetView tabSelected="1" workbookViewId="0">
      <selection activeCell="A25" sqref="A25"/>
    </sheetView>
  </sheetViews>
  <sheetFormatPr baseColWidth="10" defaultRowHeight="14.5" x14ac:dyDescent="0.35"/>
  <cols>
    <col min="1" max="1" width="48.54296875" customWidth="1"/>
    <col min="2" max="2" width="25.7265625" customWidth="1"/>
    <col min="3" max="3" width="48.54296875" customWidth="1"/>
    <col min="4" max="4" width="25.7265625" customWidth="1"/>
  </cols>
  <sheetData>
    <row r="1" spans="1:4" ht="81.5" customHeight="1" thickBot="1" x14ac:dyDescent="0.55000000000000004">
      <c r="A1" s="32" t="s">
        <v>60</v>
      </c>
      <c r="B1" s="32"/>
      <c r="C1" s="32"/>
      <c r="D1" s="33"/>
    </row>
    <row r="2" spans="1:4" ht="15" thickBot="1" x14ac:dyDescent="0.4">
      <c r="A2" s="20" t="s">
        <v>47</v>
      </c>
      <c r="B2" s="21" t="s">
        <v>48</v>
      </c>
      <c r="C2" s="20" t="s">
        <v>49</v>
      </c>
      <c r="D2" s="21" t="s">
        <v>48</v>
      </c>
    </row>
    <row r="3" spans="1:4" x14ac:dyDescent="0.35">
      <c r="A3" s="15"/>
      <c r="B3" s="15"/>
      <c r="C3" s="15" t="s">
        <v>31</v>
      </c>
      <c r="D3" s="15" t="s">
        <v>30</v>
      </c>
    </row>
    <row r="4" spans="1:4" x14ac:dyDescent="0.35">
      <c r="A4" s="13" t="str">
        <f>+'Ingresos Fundación POA'!A2</f>
        <v>Aportes iniciales de fundadores</v>
      </c>
      <c r="B4" s="14">
        <f>+'Ingresos Fundación POA'!B2</f>
        <v>12000000</v>
      </c>
      <c r="C4" s="13" t="s">
        <v>5</v>
      </c>
      <c r="D4" s="14">
        <f>+'Budget Fundación POA'!AX8</f>
        <v>36000000</v>
      </c>
    </row>
    <row r="5" spans="1:4" x14ac:dyDescent="0.35">
      <c r="A5" s="13" t="str">
        <f>+'Ingresos Fundación POA'!A3</f>
        <v>Donaciones recibidas de terceros</v>
      </c>
      <c r="B5" s="14">
        <f>+'Ingresos Fundación POA'!B3</f>
        <v>18000000</v>
      </c>
      <c r="C5" s="13" t="s">
        <v>6</v>
      </c>
      <c r="D5" s="14">
        <f>+'Budget Fundación POA'!AX13</f>
        <v>18665279.999999996</v>
      </c>
    </row>
    <row r="6" spans="1:4" x14ac:dyDescent="0.35">
      <c r="A6" s="13" t="str">
        <f>+'Ingresos Fundación POA'!A4</f>
        <v>Subvenciones privadas</v>
      </c>
      <c r="B6" s="14">
        <f>+'Ingresos Fundación POA'!B4</f>
        <v>20000000</v>
      </c>
      <c r="C6" s="13" t="s">
        <v>7</v>
      </c>
      <c r="D6" s="14">
        <f>+'Budget Fundación POA'!AX18</f>
        <v>8000000</v>
      </c>
    </row>
    <row r="7" spans="1:4" x14ac:dyDescent="0.35">
      <c r="A7" s="13" t="str">
        <f>+'Ingresos Fundación POA'!A5</f>
        <v>Convenios de colaboración con Partners of the Americas</v>
      </c>
      <c r="B7" s="14">
        <f>+'Ingresos Fundación POA'!B5</f>
        <v>32000000</v>
      </c>
      <c r="C7" s="13" t="s">
        <v>8</v>
      </c>
      <c r="D7" s="14">
        <f>+'Budget Fundación POA'!AX23</f>
        <v>33350000</v>
      </c>
    </row>
    <row r="8" spans="1:4" x14ac:dyDescent="0.35">
      <c r="A8" s="13" t="str">
        <f>+'Ingresos Fundación POA'!A6</f>
        <v>Ingresos por servicios prestados</v>
      </c>
      <c r="B8" s="14">
        <f>+'Ingresos Fundación POA'!B6</f>
        <v>28000000</v>
      </c>
      <c r="C8" s="13" t="str">
        <f>+'Budget Fundación POA'!A24</f>
        <v xml:space="preserve">5. Materiales y suministros </v>
      </c>
      <c r="D8" s="14">
        <f>+'Budget Fundación POA'!AX28</f>
        <v>4480000</v>
      </c>
    </row>
    <row r="9" spans="1:4" ht="15" thickBot="1" x14ac:dyDescent="0.4">
      <c r="A9" s="26"/>
      <c r="B9" s="27"/>
      <c r="C9" s="26" t="str">
        <f>+'Budget Fundación POA'!A29</f>
        <v>6. Costos Directos</v>
      </c>
      <c r="D9" s="27">
        <f>+'Budget Fundación POA'!AX32</f>
        <v>3040000</v>
      </c>
    </row>
    <row r="10" spans="1:4" ht="15" thickBot="1" x14ac:dyDescent="0.4">
      <c r="A10" s="28" t="s">
        <v>30</v>
      </c>
      <c r="B10" s="29">
        <f>SUM(B4:B8)</f>
        <v>110000000</v>
      </c>
      <c r="C10" s="30" t="s">
        <v>30</v>
      </c>
      <c r="D10" s="29">
        <f>SUM(D4:D9)</f>
        <v>103535280</v>
      </c>
    </row>
    <row r="11" spans="1:4" ht="15" thickBot="1" x14ac:dyDescent="0.4"/>
    <row r="12" spans="1:4" ht="15" thickBot="1" x14ac:dyDescent="0.4">
      <c r="A12" s="30" t="s">
        <v>61</v>
      </c>
      <c r="B12" s="34">
        <f>+B10-D10</f>
        <v>6464720</v>
      </c>
      <c r="C12" s="35"/>
      <c r="D12" s="36"/>
    </row>
    <row r="13" spans="1:4" x14ac:dyDescent="0.35">
      <c r="A13" s="31" t="s">
        <v>62</v>
      </c>
    </row>
  </sheetData>
  <mergeCells count="2">
    <mergeCell ref="A1:D1"/>
    <mergeCell ref="B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E576-CA1C-4816-AEF5-91F0A9EF535A}">
  <sheetPr>
    <tabColor theme="6" tint="-0.249977111117893"/>
    <pageSetUpPr fitToPage="1"/>
  </sheetPr>
  <dimension ref="A1:AX16"/>
  <sheetViews>
    <sheetView workbookViewId="0">
      <selection activeCell="B7" sqref="B7"/>
    </sheetView>
  </sheetViews>
  <sheetFormatPr baseColWidth="10" defaultRowHeight="14.5" x14ac:dyDescent="0.35"/>
  <cols>
    <col min="1" max="1" width="72.36328125" customWidth="1"/>
    <col min="2" max="2" width="43.54296875" customWidth="1"/>
    <col min="3" max="3" width="8.453125" customWidth="1"/>
    <col min="4" max="4" width="13.6328125" bestFit="1" customWidth="1"/>
    <col min="5" max="5" width="11.1796875" customWidth="1"/>
    <col min="6" max="6" width="7.08984375" customWidth="1"/>
    <col min="7" max="7" width="8.453125" customWidth="1"/>
    <col min="8" max="8" width="10.453125" customWidth="1"/>
    <col min="9" max="9" width="11.1796875" customWidth="1"/>
    <col min="10" max="10" width="7.08984375" bestFit="1" customWidth="1"/>
    <col min="11" max="11" width="8.453125" bestFit="1" customWidth="1"/>
    <col min="12" max="12" width="10.453125" bestFit="1" customWidth="1"/>
    <col min="13" max="13" width="11.1796875" bestFit="1" customWidth="1"/>
    <col min="14" max="14" width="7.08984375" bestFit="1" customWidth="1"/>
    <col min="15" max="15" width="8.453125" bestFit="1" customWidth="1"/>
    <col min="16" max="16" width="10.453125" bestFit="1" customWidth="1"/>
    <col min="17" max="17" width="11.1796875" bestFit="1" customWidth="1"/>
    <col min="18" max="18" width="7.08984375" bestFit="1" customWidth="1"/>
    <col min="19" max="19" width="8.453125" bestFit="1" customWidth="1"/>
    <col min="20" max="20" width="10.453125" bestFit="1" customWidth="1"/>
    <col min="21" max="21" width="11.1796875" bestFit="1" customWidth="1"/>
    <col min="22" max="22" width="7.08984375" bestFit="1" customWidth="1"/>
    <col min="23" max="23" width="8.453125" bestFit="1" customWidth="1"/>
    <col min="24" max="24" width="10.453125" bestFit="1" customWidth="1"/>
    <col min="25" max="25" width="11.1796875" bestFit="1" customWidth="1"/>
    <col min="26" max="26" width="7.08984375" bestFit="1" customWidth="1"/>
    <col min="27" max="27" width="8.453125" bestFit="1" customWidth="1"/>
    <col min="28" max="28" width="10.453125" bestFit="1" customWidth="1"/>
    <col min="29" max="29" width="11.1796875" bestFit="1" customWidth="1"/>
    <col min="30" max="30" width="7.08984375" bestFit="1" customWidth="1"/>
    <col min="31" max="31" width="8.453125" bestFit="1" customWidth="1"/>
    <col min="32" max="32" width="10.453125" bestFit="1" customWidth="1"/>
    <col min="33" max="33" width="11.1796875" bestFit="1" customWidth="1"/>
    <col min="34" max="34" width="7.08984375" bestFit="1" customWidth="1"/>
    <col min="35" max="35" width="8.453125" bestFit="1" customWidth="1"/>
    <col min="36" max="36" width="10.453125" bestFit="1" customWidth="1"/>
    <col min="37" max="37" width="11.1796875" bestFit="1" customWidth="1"/>
    <col min="38" max="38" width="7.08984375" bestFit="1" customWidth="1"/>
    <col min="39" max="39" width="8.453125" bestFit="1" customWidth="1"/>
    <col min="40" max="40" width="10.453125" bestFit="1" customWidth="1"/>
    <col min="41" max="41" width="11.1796875" bestFit="1" customWidth="1"/>
    <col min="42" max="42" width="7.08984375" bestFit="1" customWidth="1"/>
    <col min="43" max="43" width="8.453125" bestFit="1" customWidth="1"/>
    <col min="44" max="44" width="10.453125" bestFit="1" customWidth="1"/>
    <col min="45" max="45" width="11.1796875" bestFit="1" customWidth="1"/>
    <col min="46" max="46" width="7.08984375" bestFit="1" customWidth="1"/>
    <col min="47" max="47" width="8.453125" bestFit="1" customWidth="1"/>
    <col min="48" max="48" width="10.453125" bestFit="1" customWidth="1"/>
    <col min="49" max="49" width="11.1796875" bestFit="1" customWidth="1"/>
    <col min="50" max="50" width="12.1796875" bestFit="1" customWidth="1"/>
  </cols>
  <sheetData>
    <row r="1" spans="1:50" ht="85" customHeight="1" x14ac:dyDescent="0.6">
      <c r="A1" s="37" t="s">
        <v>59</v>
      </c>
      <c r="B1" s="37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</row>
    <row r="2" spans="1:50" x14ac:dyDescent="0.35">
      <c r="A2" s="22" t="s">
        <v>43</v>
      </c>
      <c r="B2" s="23">
        <v>12000000</v>
      </c>
    </row>
    <row r="3" spans="1:50" x14ac:dyDescent="0.35">
      <c r="A3" s="22" t="s">
        <v>44</v>
      </c>
      <c r="B3" s="23">
        <v>18000000</v>
      </c>
      <c r="D3" s="44"/>
    </row>
    <row r="4" spans="1:50" x14ac:dyDescent="0.35">
      <c r="A4" t="s">
        <v>57</v>
      </c>
      <c r="B4" s="23">
        <v>20000000</v>
      </c>
    </row>
    <row r="5" spans="1:50" x14ac:dyDescent="0.35">
      <c r="A5" s="22" t="s">
        <v>56</v>
      </c>
      <c r="B5" s="23">
        <f>4000000*8</f>
        <v>32000000</v>
      </c>
    </row>
    <row r="6" spans="1:50" x14ac:dyDescent="0.35">
      <c r="A6" s="22" t="s">
        <v>45</v>
      </c>
      <c r="B6" s="23">
        <f>3500000*8</f>
        <v>28000000</v>
      </c>
    </row>
    <row r="7" spans="1:50" x14ac:dyDescent="0.35">
      <c r="A7" s="24" t="s">
        <v>46</v>
      </c>
      <c r="B7" s="25">
        <f>SUM(B2:B6)</f>
        <v>110000000</v>
      </c>
    </row>
    <row r="16" spans="1:50" x14ac:dyDescent="0.35">
      <c r="A16" s="19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scale="86" orientation="landscape" r:id="rId1"/>
  <headerFooter>
    <oddHeader>&amp;C&amp;"-,Negrita"&amp;14FORMATO PRESUPUESTO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0C07-B1A5-4DA4-AA89-C3D67BA97A63}">
  <sheetPr>
    <tabColor theme="6" tint="-0.249977111117893"/>
    <pageSetUpPr fitToPage="1"/>
  </sheetPr>
  <dimension ref="A1:AX33"/>
  <sheetViews>
    <sheetView topLeftCell="T1" zoomScale="85" zoomScaleNormal="85" workbookViewId="0">
      <selection activeCell="AX33" sqref="AX33"/>
    </sheetView>
  </sheetViews>
  <sheetFormatPr baseColWidth="10" defaultRowHeight="14.5" x14ac:dyDescent="0.35"/>
  <cols>
    <col min="1" max="1" width="36" bestFit="1" customWidth="1"/>
    <col min="2" max="2" width="7.08984375" hidden="1" customWidth="1"/>
    <col min="3" max="3" width="8.453125" hidden="1" customWidth="1"/>
    <col min="4" max="4" width="12.54296875" hidden="1" customWidth="1"/>
    <col min="5" max="5" width="11.1796875" hidden="1" customWidth="1"/>
    <col min="6" max="6" width="7.08984375" hidden="1" customWidth="1"/>
    <col min="7" max="7" width="8.453125" hidden="1" customWidth="1"/>
    <col min="8" max="8" width="10.453125" hidden="1" customWidth="1"/>
    <col min="9" max="9" width="11.1796875" hidden="1" customWidth="1"/>
    <col min="10" max="10" width="7.08984375" bestFit="1" customWidth="1"/>
    <col min="11" max="11" width="8.453125" bestFit="1" customWidth="1"/>
    <col min="12" max="12" width="10.453125" bestFit="1" customWidth="1"/>
    <col min="13" max="13" width="11.1796875" bestFit="1" customWidth="1"/>
    <col min="14" max="14" width="7.08984375" bestFit="1" customWidth="1"/>
    <col min="15" max="15" width="8.453125" bestFit="1" customWidth="1"/>
    <col min="16" max="16" width="10.453125" bestFit="1" customWidth="1"/>
    <col min="17" max="17" width="11.1796875" bestFit="1" customWidth="1"/>
    <col min="18" max="18" width="7.08984375" bestFit="1" customWidth="1"/>
    <col min="19" max="19" width="8.453125" bestFit="1" customWidth="1"/>
    <col min="20" max="20" width="10.453125" bestFit="1" customWidth="1"/>
    <col min="21" max="21" width="11.1796875" bestFit="1" customWidth="1"/>
    <col min="22" max="22" width="7.08984375" bestFit="1" customWidth="1"/>
    <col min="23" max="23" width="8.453125" bestFit="1" customWidth="1"/>
    <col min="24" max="24" width="10.453125" bestFit="1" customWidth="1"/>
    <col min="25" max="25" width="11.1796875" bestFit="1" customWidth="1"/>
    <col min="26" max="26" width="7.08984375" bestFit="1" customWidth="1"/>
    <col min="27" max="27" width="8.453125" bestFit="1" customWidth="1"/>
    <col min="28" max="28" width="10.453125" bestFit="1" customWidth="1"/>
    <col min="29" max="29" width="11.1796875" bestFit="1" customWidth="1"/>
    <col min="30" max="30" width="7.08984375" bestFit="1" customWidth="1"/>
    <col min="31" max="31" width="8.453125" bestFit="1" customWidth="1"/>
    <col min="32" max="32" width="10.453125" bestFit="1" customWidth="1"/>
    <col min="33" max="33" width="11.1796875" bestFit="1" customWidth="1"/>
    <col min="34" max="34" width="7.08984375" bestFit="1" customWidth="1"/>
    <col min="35" max="35" width="8.453125" bestFit="1" customWidth="1"/>
    <col min="36" max="36" width="10.453125" bestFit="1" customWidth="1"/>
    <col min="37" max="37" width="11.1796875" bestFit="1" customWidth="1"/>
    <col min="38" max="38" width="7.08984375" bestFit="1" customWidth="1"/>
    <col min="39" max="39" width="8.453125" bestFit="1" customWidth="1"/>
    <col min="40" max="40" width="10.453125" bestFit="1" customWidth="1"/>
    <col min="41" max="41" width="11.1796875" bestFit="1" customWidth="1"/>
    <col min="42" max="42" width="7.08984375" bestFit="1" customWidth="1"/>
    <col min="43" max="43" width="8.453125" bestFit="1" customWidth="1"/>
    <col min="44" max="44" width="10.453125" bestFit="1" customWidth="1"/>
    <col min="45" max="45" width="11.1796875" bestFit="1" customWidth="1"/>
    <col min="46" max="46" width="7.08984375" bestFit="1" customWidth="1"/>
    <col min="47" max="47" width="8.453125" bestFit="1" customWidth="1"/>
    <col min="48" max="48" width="10.453125" bestFit="1" customWidth="1"/>
    <col min="49" max="49" width="11.1796875" bestFit="1" customWidth="1"/>
    <col min="50" max="50" width="12.1796875" bestFit="1" customWidth="1"/>
  </cols>
  <sheetData>
    <row r="1" spans="1:50" ht="90.5" customHeight="1" x14ac:dyDescent="0.6">
      <c r="A1" s="38" t="s">
        <v>58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</row>
    <row r="2" spans="1:50" x14ac:dyDescent="0.35">
      <c r="A2" s="16"/>
      <c r="B2" s="41" t="s">
        <v>9</v>
      </c>
      <c r="C2" s="41"/>
      <c r="D2" s="41"/>
      <c r="E2" s="41"/>
      <c r="F2" s="41" t="s">
        <v>10</v>
      </c>
      <c r="G2" s="41"/>
      <c r="H2" s="41"/>
      <c r="I2" s="41"/>
      <c r="J2" s="41" t="s">
        <v>33</v>
      </c>
      <c r="K2" s="41"/>
      <c r="L2" s="41"/>
      <c r="M2" s="41"/>
      <c r="N2" s="41" t="s">
        <v>34</v>
      </c>
      <c r="O2" s="41"/>
      <c r="P2" s="41"/>
      <c r="Q2" s="41"/>
      <c r="R2" s="41" t="s">
        <v>35</v>
      </c>
      <c r="S2" s="41"/>
      <c r="T2" s="41"/>
      <c r="U2" s="41"/>
      <c r="V2" s="41" t="s">
        <v>36</v>
      </c>
      <c r="W2" s="41"/>
      <c r="X2" s="41"/>
      <c r="Y2" s="41"/>
      <c r="Z2" s="41" t="s">
        <v>37</v>
      </c>
      <c r="AA2" s="41"/>
      <c r="AB2" s="41"/>
      <c r="AC2" s="41"/>
      <c r="AD2" s="41" t="s">
        <v>38</v>
      </c>
      <c r="AE2" s="41"/>
      <c r="AF2" s="41"/>
      <c r="AG2" s="41"/>
      <c r="AH2" s="41" t="s">
        <v>39</v>
      </c>
      <c r="AI2" s="41"/>
      <c r="AJ2" s="41"/>
      <c r="AK2" s="41"/>
      <c r="AL2" s="41" t="s">
        <v>40</v>
      </c>
      <c r="AM2" s="41"/>
      <c r="AN2" s="41"/>
      <c r="AO2" s="41"/>
      <c r="AP2" s="41" t="s">
        <v>41</v>
      </c>
      <c r="AQ2" s="41"/>
      <c r="AR2" s="41"/>
      <c r="AS2" s="41"/>
      <c r="AT2" s="41" t="s">
        <v>42</v>
      </c>
      <c r="AU2" s="41"/>
      <c r="AV2" s="41"/>
      <c r="AW2" s="41"/>
      <c r="AX2" s="2"/>
    </row>
    <row r="3" spans="1:50" ht="73.150000000000006" customHeight="1" x14ac:dyDescent="0.35">
      <c r="A3" s="4" t="s">
        <v>2</v>
      </c>
      <c r="B3" s="4" t="s">
        <v>0</v>
      </c>
      <c r="C3" s="4" t="s">
        <v>1</v>
      </c>
      <c r="D3" s="4" t="s">
        <v>4</v>
      </c>
      <c r="E3" s="4" t="s">
        <v>3</v>
      </c>
      <c r="F3" s="4" t="s">
        <v>0</v>
      </c>
      <c r="G3" s="4" t="s">
        <v>1</v>
      </c>
      <c r="H3" s="4" t="s">
        <v>4</v>
      </c>
      <c r="I3" s="4" t="s">
        <v>3</v>
      </c>
      <c r="J3" s="4" t="s">
        <v>0</v>
      </c>
      <c r="K3" s="4" t="s">
        <v>1</v>
      </c>
      <c r="L3" s="4" t="s">
        <v>4</v>
      </c>
      <c r="M3" s="4" t="s">
        <v>3</v>
      </c>
      <c r="N3" s="4" t="s">
        <v>0</v>
      </c>
      <c r="O3" s="4" t="s">
        <v>1</v>
      </c>
      <c r="P3" s="4" t="s">
        <v>4</v>
      </c>
      <c r="Q3" s="4" t="s">
        <v>3</v>
      </c>
      <c r="R3" s="4" t="s">
        <v>0</v>
      </c>
      <c r="S3" s="4" t="s">
        <v>1</v>
      </c>
      <c r="T3" s="4" t="s">
        <v>4</v>
      </c>
      <c r="U3" s="4" t="s">
        <v>3</v>
      </c>
      <c r="V3" s="4" t="s">
        <v>0</v>
      </c>
      <c r="W3" s="4" t="s">
        <v>1</v>
      </c>
      <c r="X3" s="4" t="s">
        <v>4</v>
      </c>
      <c r="Y3" s="4" t="s">
        <v>3</v>
      </c>
      <c r="Z3" s="4" t="s">
        <v>0</v>
      </c>
      <c r="AA3" s="4" t="s">
        <v>1</v>
      </c>
      <c r="AB3" s="4" t="s">
        <v>4</v>
      </c>
      <c r="AC3" s="4" t="s">
        <v>3</v>
      </c>
      <c r="AD3" s="4" t="s">
        <v>0</v>
      </c>
      <c r="AE3" s="4" t="s">
        <v>1</v>
      </c>
      <c r="AF3" s="4" t="s">
        <v>4</v>
      </c>
      <c r="AG3" s="4" t="s">
        <v>3</v>
      </c>
      <c r="AH3" s="4" t="s">
        <v>0</v>
      </c>
      <c r="AI3" s="4" t="s">
        <v>1</v>
      </c>
      <c r="AJ3" s="4" t="s">
        <v>4</v>
      </c>
      <c r="AK3" s="4" t="s">
        <v>3</v>
      </c>
      <c r="AL3" s="4" t="s">
        <v>0</v>
      </c>
      <c r="AM3" s="4" t="s">
        <v>1</v>
      </c>
      <c r="AN3" s="4" t="s">
        <v>4</v>
      </c>
      <c r="AO3" s="4" t="s">
        <v>3</v>
      </c>
      <c r="AP3" s="4" t="s">
        <v>0</v>
      </c>
      <c r="AQ3" s="4" t="s">
        <v>1</v>
      </c>
      <c r="AR3" s="4" t="s">
        <v>4</v>
      </c>
      <c r="AS3" s="4" t="s">
        <v>3</v>
      </c>
      <c r="AT3" s="4" t="s">
        <v>0</v>
      </c>
      <c r="AU3" s="4" t="s">
        <v>1</v>
      </c>
      <c r="AV3" s="4" t="s">
        <v>4</v>
      </c>
      <c r="AW3" s="4" t="s">
        <v>3</v>
      </c>
      <c r="AX3" s="4" t="s">
        <v>30</v>
      </c>
    </row>
    <row r="4" spans="1:50" x14ac:dyDescent="0.35">
      <c r="A4" s="3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5">
      <c r="A5" s="8" t="s">
        <v>14</v>
      </c>
      <c r="B5" s="8"/>
      <c r="C5" s="8"/>
      <c r="D5" s="6"/>
      <c r="E5" s="8"/>
      <c r="F5" s="8"/>
      <c r="G5" s="8"/>
      <c r="H5" s="6"/>
      <c r="I5" s="8"/>
      <c r="J5" s="8"/>
      <c r="K5" s="8"/>
      <c r="L5" s="6"/>
      <c r="M5" s="8"/>
      <c r="N5" s="8" t="s">
        <v>17</v>
      </c>
      <c r="O5" s="8">
        <v>0</v>
      </c>
      <c r="P5" s="6">
        <v>3000000</v>
      </c>
      <c r="Q5" s="8">
        <f>O5*P5</f>
        <v>0</v>
      </c>
      <c r="R5" s="8" t="s">
        <v>17</v>
      </c>
      <c r="S5" s="8">
        <v>1</v>
      </c>
      <c r="T5" s="6">
        <v>3000000</v>
      </c>
      <c r="U5" s="8">
        <f>S5*T5</f>
        <v>3000000</v>
      </c>
      <c r="V5" s="8" t="s">
        <v>17</v>
      </c>
      <c r="W5" s="8">
        <v>1</v>
      </c>
      <c r="X5" s="6">
        <v>3000000</v>
      </c>
      <c r="Y5" s="8">
        <f>W5*X5</f>
        <v>3000000</v>
      </c>
      <c r="Z5" s="8" t="s">
        <v>17</v>
      </c>
      <c r="AA5" s="8">
        <v>1</v>
      </c>
      <c r="AB5" s="6">
        <v>3000000</v>
      </c>
      <c r="AC5" s="8">
        <f>AA5*AB5</f>
        <v>3000000</v>
      </c>
      <c r="AD5" s="8" t="s">
        <v>17</v>
      </c>
      <c r="AE5" s="8">
        <v>1</v>
      </c>
      <c r="AF5" s="6">
        <v>3000000</v>
      </c>
      <c r="AG5" s="8">
        <f>AE5*AF5</f>
        <v>3000000</v>
      </c>
      <c r="AH5" s="8" t="s">
        <v>17</v>
      </c>
      <c r="AI5" s="8">
        <v>1</v>
      </c>
      <c r="AJ5" s="6">
        <v>3000000</v>
      </c>
      <c r="AK5" s="8">
        <f>AI5*AJ5</f>
        <v>3000000</v>
      </c>
      <c r="AL5" s="8" t="s">
        <v>17</v>
      </c>
      <c r="AM5" s="8">
        <v>1</v>
      </c>
      <c r="AN5" s="6">
        <v>3000000</v>
      </c>
      <c r="AO5" s="8">
        <f>AM5*AN5</f>
        <v>3000000</v>
      </c>
      <c r="AP5" s="8" t="s">
        <v>17</v>
      </c>
      <c r="AQ5" s="8">
        <v>1</v>
      </c>
      <c r="AR5" s="6">
        <v>3000000</v>
      </c>
      <c r="AS5" s="8">
        <f>AQ5*AR5</f>
        <v>3000000</v>
      </c>
      <c r="AT5" s="8" t="s">
        <v>17</v>
      </c>
      <c r="AU5" s="8">
        <v>1</v>
      </c>
      <c r="AV5" s="6">
        <v>3000000</v>
      </c>
      <c r="AW5" s="8">
        <f>AU5*AV5</f>
        <v>3000000</v>
      </c>
      <c r="AX5" s="8">
        <f>+AW5+AS5+AO5+AK5+AG5+AC5+Y5+U5+Q5+M5+I5+E5+D5</f>
        <v>24000000</v>
      </c>
    </row>
    <row r="6" spans="1:50" x14ac:dyDescent="0.35">
      <c r="A6" s="8" t="s">
        <v>13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 t="s">
        <v>17</v>
      </c>
      <c r="O6" s="8">
        <v>0</v>
      </c>
      <c r="P6" s="8">
        <v>1500000</v>
      </c>
      <c r="Q6" s="8">
        <f>O6*P6</f>
        <v>0</v>
      </c>
      <c r="R6" s="8" t="s">
        <v>17</v>
      </c>
      <c r="S6" s="8">
        <v>1</v>
      </c>
      <c r="T6" s="8">
        <v>1500000</v>
      </c>
      <c r="U6" s="8">
        <f>S6*T6</f>
        <v>1500000</v>
      </c>
      <c r="V6" s="8" t="s">
        <v>17</v>
      </c>
      <c r="W6" s="8">
        <v>1</v>
      </c>
      <c r="X6" s="8">
        <v>1500000</v>
      </c>
      <c r="Y6" s="8">
        <f>W6*X6</f>
        <v>1500000</v>
      </c>
      <c r="Z6" s="8" t="s">
        <v>17</v>
      </c>
      <c r="AA6" s="8">
        <v>1</v>
      </c>
      <c r="AB6" s="8">
        <v>1500000</v>
      </c>
      <c r="AC6" s="8">
        <f>AA6*AB6</f>
        <v>1500000</v>
      </c>
      <c r="AD6" s="8" t="s">
        <v>17</v>
      </c>
      <c r="AE6" s="8">
        <v>1</v>
      </c>
      <c r="AF6" s="8">
        <v>1500000</v>
      </c>
      <c r="AG6" s="8">
        <f>AE6*AF6</f>
        <v>1500000</v>
      </c>
      <c r="AH6" s="8" t="s">
        <v>17</v>
      </c>
      <c r="AI6" s="8">
        <v>1</v>
      </c>
      <c r="AJ6" s="8">
        <v>1500000</v>
      </c>
      <c r="AK6" s="8">
        <f>AI6*AJ6</f>
        <v>1500000</v>
      </c>
      <c r="AL6" s="8" t="s">
        <v>17</v>
      </c>
      <c r="AM6" s="8">
        <v>1</v>
      </c>
      <c r="AN6" s="8">
        <v>1500000</v>
      </c>
      <c r="AO6" s="8">
        <f>AM6*AN6</f>
        <v>1500000</v>
      </c>
      <c r="AP6" s="8" t="s">
        <v>17</v>
      </c>
      <c r="AQ6" s="8">
        <v>1</v>
      </c>
      <c r="AR6" s="8">
        <v>1500000</v>
      </c>
      <c r="AS6" s="8">
        <f>AQ6*AR6</f>
        <v>1500000</v>
      </c>
      <c r="AT6" s="8" t="s">
        <v>17</v>
      </c>
      <c r="AU6" s="8">
        <v>1</v>
      </c>
      <c r="AV6" s="8">
        <v>1500000</v>
      </c>
      <c r="AW6" s="8">
        <f>AU6*AV6</f>
        <v>1500000</v>
      </c>
      <c r="AX6" s="8">
        <f>+AW6+AS6+AO6+AK6+AG6+AC6+Y6+U6+Q6+M6+I6+E6+D6</f>
        <v>12000000</v>
      </c>
    </row>
    <row r="7" spans="1:50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35">
      <c r="A8" s="9" t="s">
        <v>12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>
        <f>SUM(M5:M7)</f>
        <v>0</v>
      </c>
      <c r="N8" s="7"/>
      <c r="O8" s="7"/>
      <c r="P8" s="7"/>
      <c r="Q8" s="7">
        <f>SUM(Q5:Q7)</f>
        <v>0</v>
      </c>
      <c r="R8" s="7"/>
      <c r="S8" s="7"/>
      <c r="T8" s="7"/>
      <c r="U8" s="7">
        <f>SUM(U5:U7)</f>
        <v>4500000</v>
      </c>
      <c r="V8" s="7"/>
      <c r="W8" s="7"/>
      <c r="X8" s="7"/>
      <c r="Y8" s="7">
        <f>SUM(Y5:Y7)</f>
        <v>4500000</v>
      </c>
      <c r="Z8" s="7"/>
      <c r="AA8" s="7"/>
      <c r="AB8" s="7"/>
      <c r="AC8" s="7">
        <f>SUM(AC5:AC7)</f>
        <v>4500000</v>
      </c>
      <c r="AD8" s="7"/>
      <c r="AE8" s="7"/>
      <c r="AF8" s="7"/>
      <c r="AG8" s="7">
        <f>SUM(AG5:AG7)</f>
        <v>4500000</v>
      </c>
      <c r="AH8" s="7"/>
      <c r="AI8" s="7"/>
      <c r="AJ8" s="7"/>
      <c r="AK8" s="7">
        <f>SUM(AK5:AK7)</f>
        <v>4500000</v>
      </c>
      <c r="AL8" s="7"/>
      <c r="AM8" s="7"/>
      <c r="AN8" s="7"/>
      <c r="AO8" s="7">
        <f>SUM(AO5:AO7)</f>
        <v>4500000</v>
      </c>
      <c r="AP8" s="7"/>
      <c r="AQ8" s="7"/>
      <c r="AR8" s="7"/>
      <c r="AS8" s="7">
        <f>SUM(AS5:AS7)</f>
        <v>4500000</v>
      </c>
      <c r="AT8" s="7"/>
      <c r="AU8" s="7"/>
      <c r="AV8" s="7"/>
      <c r="AW8" s="7">
        <f>SUM(AW5:AW7)</f>
        <v>4500000</v>
      </c>
      <c r="AX8" s="7">
        <f>+AW8+AS8+AO8+AK8+AG8+AC8+Y8+U8+Q8+M8+I8+E8+D8</f>
        <v>36000000</v>
      </c>
    </row>
    <row r="9" spans="1:50" x14ac:dyDescent="0.35">
      <c r="A9" s="10" t="s">
        <v>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x14ac:dyDescent="0.35">
      <c r="A10" s="8" t="s">
        <v>14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 t="s">
        <v>17</v>
      </c>
      <c r="O10" s="8">
        <v>0</v>
      </c>
      <c r="P10" s="8">
        <v>1555439.9999999998</v>
      </c>
      <c r="Q10" s="8">
        <f>O10*P10</f>
        <v>0</v>
      </c>
      <c r="R10" s="8" t="s">
        <v>17</v>
      </c>
      <c r="S10" s="8">
        <v>1</v>
      </c>
      <c r="T10" s="8">
        <v>1555439.9999999998</v>
      </c>
      <c r="U10" s="8">
        <f>S10*T10</f>
        <v>1555439.9999999998</v>
      </c>
      <c r="V10" s="8" t="s">
        <v>17</v>
      </c>
      <c r="W10" s="8">
        <v>1</v>
      </c>
      <c r="X10" s="8">
        <v>1555439.9999999998</v>
      </c>
      <c r="Y10" s="8">
        <f>W10*X10</f>
        <v>1555439.9999999998</v>
      </c>
      <c r="Z10" s="8" t="s">
        <v>17</v>
      </c>
      <c r="AA10" s="8">
        <v>1</v>
      </c>
      <c r="AB10" s="8">
        <v>1555439.9999999998</v>
      </c>
      <c r="AC10" s="8">
        <f>AA10*AB10</f>
        <v>1555439.9999999998</v>
      </c>
      <c r="AD10" s="8" t="s">
        <v>17</v>
      </c>
      <c r="AE10" s="8">
        <v>1</v>
      </c>
      <c r="AF10" s="8">
        <v>1555439.9999999998</v>
      </c>
      <c r="AG10" s="8">
        <f>AE10*AF10</f>
        <v>1555439.9999999998</v>
      </c>
      <c r="AH10" s="8" t="s">
        <v>17</v>
      </c>
      <c r="AI10" s="8">
        <v>1</v>
      </c>
      <c r="AJ10" s="8">
        <v>1555439.9999999998</v>
      </c>
      <c r="AK10" s="8">
        <f>AI10*AJ10</f>
        <v>1555439.9999999998</v>
      </c>
      <c r="AL10" s="8" t="s">
        <v>17</v>
      </c>
      <c r="AM10" s="8">
        <v>1</v>
      </c>
      <c r="AN10" s="8">
        <v>1555439.9999999998</v>
      </c>
      <c r="AO10" s="8">
        <f>AM10*AN10</f>
        <v>1555439.9999999998</v>
      </c>
      <c r="AP10" s="8" t="s">
        <v>17</v>
      </c>
      <c r="AQ10" s="8">
        <v>1</v>
      </c>
      <c r="AR10" s="8">
        <v>1555439.9999999998</v>
      </c>
      <c r="AS10" s="8">
        <f>AQ10*AR10</f>
        <v>1555439.9999999998</v>
      </c>
      <c r="AT10" s="8" t="s">
        <v>17</v>
      </c>
      <c r="AU10" s="8">
        <v>1</v>
      </c>
      <c r="AV10" s="8">
        <v>1555439.9999999998</v>
      </c>
      <c r="AW10" s="8">
        <f>AU10*AV10</f>
        <v>1555439.9999999998</v>
      </c>
      <c r="AX10" s="8">
        <f t="shared" ref="AX10:AX15" si="0">+AW10+AS10+AO10+AK10+AG10+AC10+Y10+U10+Q10+M10+I10+E10+D10</f>
        <v>12443519.999999998</v>
      </c>
    </row>
    <row r="11" spans="1:50" x14ac:dyDescent="0.35">
      <c r="A11" s="8" t="s">
        <v>13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 t="s">
        <v>17</v>
      </c>
      <c r="O11" s="8">
        <v>0</v>
      </c>
      <c r="P11" s="8">
        <v>777719.99999999988</v>
      </c>
      <c r="Q11" s="8">
        <f>O11*P11</f>
        <v>0</v>
      </c>
      <c r="R11" s="8" t="s">
        <v>17</v>
      </c>
      <c r="S11" s="8">
        <v>1</v>
      </c>
      <c r="T11" s="8">
        <v>777719.99999999988</v>
      </c>
      <c r="U11" s="8">
        <f>S11*T11</f>
        <v>777719.99999999988</v>
      </c>
      <c r="V11" s="8" t="s">
        <v>17</v>
      </c>
      <c r="W11" s="8">
        <v>1</v>
      </c>
      <c r="X11" s="8">
        <v>777719.99999999988</v>
      </c>
      <c r="Y11" s="8">
        <f>W11*X11</f>
        <v>777719.99999999988</v>
      </c>
      <c r="Z11" s="8" t="s">
        <v>17</v>
      </c>
      <c r="AA11" s="8">
        <v>1</v>
      </c>
      <c r="AB11" s="8">
        <v>777719.99999999988</v>
      </c>
      <c r="AC11" s="8">
        <f>AA11*AB11</f>
        <v>777719.99999999988</v>
      </c>
      <c r="AD11" s="8" t="s">
        <v>17</v>
      </c>
      <c r="AE11" s="8">
        <v>1</v>
      </c>
      <c r="AF11" s="8">
        <v>777719.99999999988</v>
      </c>
      <c r="AG11" s="8">
        <f>AE11*AF11</f>
        <v>777719.99999999988</v>
      </c>
      <c r="AH11" s="8" t="s">
        <v>17</v>
      </c>
      <c r="AI11" s="8">
        <v>1</v>
      </c>
      <c r="AJ11" s="8">
        <v>777719.99999999988</v>
      </c>
      <c r="AK11" s="8">
        <f>AI11*AJ11</f>
        <v>777719.99999999988</v>
      </c>
      <c r="AL11" s="8" t="s">
        <v>17</v>
      </c>
      <c r="AM11" s="8">
        <v>1</v>
      </c>
      <c r="AN11" s="8">
        <v>777719.99999999988</v>
      </c>
      <c r="AO11" s="8">
        <f>AM11*AN11</f>
        <v>777719.99999999988</v>
      </c>
      <c r="AP11" s="8" t="s">
        <v>17</v>
      </c>
      <c r="AQ11" s="8">
        <v>1</v>
      </c>
      <c r="AR11" s="8">
        <v>777719.99999999988</v>
      </c>
      <c r="AS11" s="8">
        <f>AQ11*AR11</f>
        <v>777719.99999999988</v>
      </c>
      <c r="AT11" s="8" t="s">
        <v>17</v>
      </c>
      <c r="AU11" s="8">
        <v>1</v>
      </c>
      <c r="AV11" s="8">
        <v>777719.99999999988</v>
      </c>
      <c r="AW11" s="8">
        <f>AU11*AV11</f>
        <v>777719.99999999988</v>
      </c>
      <c r="AX11" s="8">
        <f t="shared" si="0"/>
        <v>6221759.9999999991</v>
      </c>
    </row>
    <row r="12" spans="1:50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35">
      <c r="A13" s="9" t="s">
        <v>12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>
        <f>SUM(M9:M11)</f>
        <v>0</v>
      </c>
      <c r="N13" s="7"/>
      <c r="O13" s="7"/>
      <c r="P13" s="7"/>
      <c r="Q13" s="7">
        <f>SUM(Q9:Q11)</f>
        <v>0</v>
      </c>
      <c r="R13" s="7"/>
      <c r="S13" s="7"/>
      <c r="T13" s="7"/>
      <c r="U13" s="7">
        <f>SUM(U9:U11)</f>
        <v>2333159.9999999995</v>
      </c>
      <c r="V13" s="7"/>
      <c r="W13" s="7"/>
      <c r="X13" s="7"/>
      <c r="Y13" s="7">
        <f>SUM(Y9:Y11)</f>
        <v>2333159.9999999995</v>
      </c>
      <c r="Z13" s="7"/>
      <c r="AA13" s="7"/>
      <c r="AB13" s="7"/>
      <c r="AC13" s="7">
        <f>SUM(AC9:AC11)</f>
        <v>2333159.9999999995</v>
      </c>
      <c r="AD13" s="7"/>
      <c r="AE13" s="7"/>
      <c r="AF13" s="7"/>
      <c r="AG13" s="7">
        <f>SUM(AG9:AG11)</f>
        <v>2333159.9999999995</v>
      </c>
      <c r="AH13" s="7"/>
      <c r="AI13" s="7"/>
      <c r="AJ13" s="7"/>
      <c r="AK13" s="7">
        <f>SUM(AK9:AK11)</f>
        <v>2333159.9999999995</v>
      </c>
      <c r="AL13" s="7"/>
      <c r="AM13" s="7"/>
      <c r="AN13" s="7"/>
      <c r="AO13" s="7">
        <f>SUM(AO9:AO11)</f>
        <v>2333159.9999999995</v>
      </c>
      <c r="AP13" s="7"/>
      <c r="AQ13" s="7"/>
      <c r="AR13" s="7"/>
      <c r="AS13" s="7">
        <f>SUM(AS9:AS11)</f>
        <v>2333159.9999999995</v>
      </c>
      <c r="AT13" s="7"/>
      <c r="AU13" s="7"/>
      <c r="AV13" s="7"/>
      <c r="AW13" s="7">
        <f>SUM(AW9:AW11)</f>
        <v>2333159.9999999995</v>
      </c>
      <c r="AX13" s="7">
        <f t="shared" si="0"/>
        <v>18665279.999999996</v>
      </c>
    </row>
    <row r="14" spans="1:50" x14ac:dyDescent="0.35">
      <c r="A14" s="10" t="s">
        <v>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x14ac:dyDescent="0.35">
      <c r="A15" s="8" t="s">
        <v>27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 t="s">
        <v>17</v>
      </c>
      <c r="O15" s="8">
        <v>0</v>
      </c>
      <c r="P15" s="8">
        <v>1000000</v>
      </c>
      <c r="Q15" s="8">
        <f>O15*P15</f>
        <v>0</v>
      </c>
      <c r="R15" s="8" t="s">
        <v>17</v>
      </c>
      <c r="S15" s="8">
        <v>1</v>
      </c>
      <c r="T15" s="8">
        <v>1000000</v>
      </c>
      <c r="U15" s="8">
        <f>S15*T15</f>
        <v>1000000</v>
      </c>
      <c r="V15" s="8" t="s">
        <v>17</v>
      </c>
      <c r="W15" s="8">
        <v>1</v>
      </c>
      <c r="X15" s="8">
        <v>1000000</v>
      </c>
      <c r="Y15" s="8">
        <f>W15*X15</f>
        <v>1000000</v>
      </c>
      <c r="Z15" s="8" t="s">
        <v>17</v>
      </c>
      <c r="AA15" s="8">
        <v>1</v>
      </c>
      <c r="AB15" s="8">
        <v>1000000</v>
      </c>
      <c r="AC15" s="8">
        <f>AA15*AB15</f>
        <v>1000000</v>
      </c>
      <c r="AD15" s="8" t="s">
        <v>17</v>
      </c>
      <c r="AE15" s="8">
        <v>1</v>
      </c>
      <c r="AF15" s="8">
        <v>1000000</v>
      </c>
      <c r="AG15" s="8">
        <f>AE15*AF15</f>
        <v>1000000</v>
      </c>
      <c r="AH15" s="8" t="s">
        <v>17</v>
      </c>
      <c r="AI15" s="8">
        <v>1</v>
      </c>
      <c r="AJ15" s="8">
        <v>1000000</v>
      </c>
      <c r="AK15" s="8">
        <f>AI15*AJ15</f>
        <v>1000000</v>
      </c>
      <c r="AL15" s="8" t="s">
        <v>17</v>
      </c>
      <c r="AM15" s="8">
        <v>1</v>
      </c>
      <c r="AN15" s="8">
        <v>1000000</v>
      </c>
      <c r="AO15" s="8">
        <f>AM15*AN15</f>
        <v>1000000</v>
      </c>
      <c r="AP15" s="8" t="s">
        <v>17</v>
      </c>
      <c r="AQ15" s="8">
        <v>1</v>
      </c>
      <c r="AR15" s="8">
        <v>1000000</v>
      </c>
      <c r="AS15" s="8">
        <f>AQ15*AR15</f>
        <v>1000000</v>
      </c>
      <c r="AT15" s="8" t="s">
        <v>17</v>
      </c>
      <c r="AU15" s="8">
        <v>1</v>
      </c>
      <c r="AV15" s="8">
        <v>1000000</v>
      </c>
      <c r="AW15" s="8">
        <f>AU15*AV15</f>
        <v>1000000</v>
      </c>
      <c r="AX15" s="8">
        <f t="shared" si="0"/>
        <v>8000000</v>
      </c>
    </row>
    <row r="16" spans="1:50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35">
      <c r="A18" s="9" t="s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>
        <f>SUM(M15:M17)</f>
        <v>0</v>
      </c>
      <c r="N18" s="7"/>
      <c r="O18" s="7"/>
      <c r="P18" s="7"/>
      <c r="Q18" s="7">
        <f>SUM(Q15:Q17)</f>
        <v>0</v>
      </c>
      <c r="R18" s="7"/>
      <c r="S18" s="7"/>
      <c r="T18" s="7"/>
      <c r="U18" s="7">
        <f>SUM(U15:U17)</f>
        <v>1000000</v>
      </c>
      <c r="V18" s="7"/>
      <c r="W18" s="7"/>
      <c r="X18" s="7"/>
      <c r="Y18" s="7">
        <f>SUM(Y15:Y17)</f>
        <v>1000000</v>
      </c>
      <c r="Z18" s="7"/>
      <c r="AA18" s="7"/>
      <c r="AB18" s="7"/>
      <c r="AC18" s="7">
        <f>SUM(AC15:AC17)</f>
        <v>1000000</v>
      </c>
      <c r="AD18" s="7"/>
      <c r="AE18" s="7"/>
      <c r="AF18" s="7"/>
      <c r="AG18" s="7">
        <f>SUM(AG15:AG17)</f>
        <v>1000000</v>
      </c>
      <c r="AH18" s="7"/>
      <c r="AI18" s="7"/>
      <c r="AJ18" s="7"/>
      <c r="AK18" s="7">
        <f>SUM(AK15:AK17)</f>
        <v>1000000</v>
      </c>
      <c r="AL18" s="7"/>
      <c r="AM18" s="7"/>
      <c r="AN18" s="7"/>
      <c r="AO18" s="7">
        <f>SUM(AO15:AO17)</f>
        <v>1000000</v>
      </c>
      <c r="AP18" s="7"/>
      <c r="AQ18" s="7"/>
      <c r="AR18" s="7"/>
      <c r="AS18" s="7">
        <f>SUM(AS15:AS17)</f>
        <v>1000000</v>
      </c>
      <c r="AT18" s="7"/>
      <c r="AU18" s="7"/>
      <c r="AV18" s="7"/>
      <c r="AW18" s="7">
        <f>SUM(AW15:AW17)</f>
        <v>1000000</v>
      </c>
      <c r="AX18" s="7">
        <f t="shared" ref="AX18:AX21" si="1">+AW18+AS18+AO18+AK18+AG18+AC18+Y18+U18+Q18+M18+I18+E18+D18</f>
        <v>8000000</v>
      </c>
    </row>
    <row r="19" spans="1:50" x14ac:dyDescent="0.35">
      <c r="A19" s="10" t="s">
        <v>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x14ac:dyDescent="0.35">
      <c r="A20" s="8" t="s">
        <v>15</v>
      </c>
      <c r="B20" s="8"/>
      <c r="C20" s="8"/>
      <c r="D20" s="8"/>
      <c r="E20" s="8"/>
      <c r="F20" s="8"/>
      <c r="G20" s="8"/>
      <c r="H20" s="8"/>
      <c r="I20" s="8"/>
      <c r="J20" s="8" t="s">
        <v>17</v>
      </c>
      <c r="K20" s="17">
        <v>0.5</v>
      </c>
      <c r="L20" s="8">
        <v>2500000</v>
      </c>
      <c r="M20" s="8">
        <f>K20*L20</f>
        <v>1250000</v>
      </c>
      <c r="N20" s="8" t="s">
        <v>17</v>
      </c>
      <c r="O20" s="8">
        <v>1</v>
      </c>
      <c r="P20" s="8">
        <v>2500000</v>
      </c>
      <c r="Q20" s="8">
        <f>O20*P20</f>
        <v>2500000</v>
      </c>
      <c r="R20" s="8" t="s">
        <v>17</v>
      </c>
      <c r="S20" s="8">
        <v>1</v>
      </c>
      <c r="T20" s="8">
        <v>2500000</v>
      </c>
      <c r="U20" s="8">
        <f>S20*T20</f>
        <v>2500000</v>
      </c>
      <c r="V20" s="8" t="s">
        <v>17</v>
      </c>
      <c r="W20" s="8">
        <v>1</v>
      </c>
      <c r="X20" s="8">
        <v>2500000</v>
      </c>
      <c r="Y20" s="8">
        <f>W20*X20</f>
        <v>2500000</v>
      </c>
      <c r="Z20" s="8" t="s">
        <v>17</v>
      </c>
      <c r="AA20" s="8">
        <v>1</v>
      </c>
      <c r="AB20" s="8">
        <v>2500000</v>
      </c>
      <c r="AC20" s="8">
        <f>AA20*AB20</f>
        <v>2500000</v>
      </c>
      <c r="AD20" s="8" t="s">
        <v>17</v>
      </c>
      <c r="AE20" s="8">
        <v>1</v>
      </c>
      <c r="AF20" s="8">
        <v>2500000</v>
      </c>
      <c r="AG20" s="8">
        <f>AE20*AF20</f>
        <v>2500000</v>
      </c>
      <c r="AH20" s="8" t="s">
        <v>17</v>
      </c>
      <c r="AI20" s="8">
        <v>1</v>
      </c>
      <c r="AJ20" s="8">
        <v>2500000</v>
      </c>
      <c r="AK20" s="8">
        <f>AI20*AJ20</f>
        <v>2500000</v>
      </c>
      <c r="AL20" s="8" t="s">
        <v>17</v>
      </c>
      <c r="AM20" s="8">
        <v>1</v>
      </c>
      <c r="AN20" s="8">
        <v>2500000</v>
      </c>
      <c r="AO20" s="8">
        <f>AM20*AN20</f>
        <v>2500000</v>
      </c>
      <c r="AP20" s="8" t="s">
        <v>17</v>
      </c>
      <c r="AQ20" s="8">
        <v>1</v>
      </c>
      <c r="AR20" s="8">
        <v>2500000</v>
      </c>
      <c r="AS20" s="8">
        <f>AQ20*AR20</f>
        <v>2500000</v>
      </c>
      <c r="AT20" s="8" t="s">
        <v>17</v>
      </c>
      <c r="AU20" s="8">
        <v>1</v>
      </c>
      <c r="AV20" s="8">
        <v>2500000</v>
      </c>
      <c r="AW20" s="8">
        <f>AU20*AV20</f>
        <v>2500000</v>
      </c>
      <c r="AX20" s="8">
        <f t="shared" si="1"/>
        <v>23750000</v>
      </c>
    </row>
    <row r="21" spans="1:50" x14ac:dyDescent="0.35">
      <c r="A21" s="8" t="s">
        <v>52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 t="s">
        <v>17</v>
      </c>
      <c r="O21" s="8">
        <v>0</v>
      </c>
      <c r="P21" s="8">
        <v>1200000</v>
      </c>
      <c r="Q21" s="8">
        <f>O21*P21</f>
        <v>0</v>
      </c>
      <c r="R21" s="8" t="s">
        <v>17</v>
      </c>
      <c r="S21" s="8">
        <v>1</v>
      </c>
      <c r="T21" s="8">
        <v>1200000</v>
      </c>
      <c r="U21" s="8">
        <f>S21*T21</f>
        <v>1200000</v>
      </c>
      <c r="V21" s="8" t="s">
        <v>17</v>
      </c>
      <c r="W21" s="8">
        <v>1</v>
      </c>
      <c r="X21" s="8">
        <v>1200000</v>
      </c>
      <c r="Y21" s="8">
        <f>W21*X21</f>
        <v>1200000</v>
      </c>
      <c r="Z21" s="8" t="s">
        <v>17</v>
      </c>
      <c r="AA21" s="8">
        <v>1</v>
      </c>
      <c r="AB21" s="8">
        <v>1200000</v>
      </c>
      <c r="AC21" s="8">
        <f>AA21*AB21</f>
        <v>1200000</v>
      </c>
      <c r="AD21" s="8" t="s">
        <v>17</v>
      </c>
      <c r="AE21" s="8">
        <v>1</v>
      </c>
      <c r="AF21" s="8">
        <v>1200000</v>
      </c>
      <c r="AG21" s="8">
        <f>AE21*AF21</f>
        <v>1200000</v>
      </c>
      <c r="AH21" s="8" t="s">
        <v>17</v>
      </c>
      <c r="AI21" s="8">
        <v>1</v>
      </c>
      <c r="AJ21" s="8">
        <v>1200000</v>
      </c>
      <c r="AK21" s="8">
        <f>AI21*AJ21</f>
        <v>1200000</v>
      </c>
      <c r="AL21" s="8" t="s">
        <v>17</v>
      </c>
      <c r="AM21" s="8">
        <v>1</v>
      </c>
      <c r="AN21" s="8">
        <v>1200000</v>
      </c>
      <c r="AO21" s="8">
        <f>AM21*AN21</f>
        <v>1200000</v>
      </c>
      <c r="AP21" s="8" t="s">
        <v>17</v>
      </c>
      <c r="AQ21" s="8">
        <v>1</v>
      </c>
      <c r="AR21" s="8">
        <v>1200000</v>
      </c>
      <c r="AS21" s="8">
        <f>AQ21*AR21</f>
        <v>1200000</v>
      </c>
      <c r="AT21" s="8" t="s">
        <v>17</v>
      </c>
      <c r="AU21" s="8">
        <v>1</v>
      </c>
      <c r="AV21" s="8">
        <v>1200000</v>
      </c>
      <c r="AW21" s="8">
        <f>AU21*AV21</f>
        <v>1200000</v>
      </c>
      <c r="AX21" s="8">
        <f t="shared" si="1"/>
        <v>9600000</v>
      </c>
    </row>
    <row r="22" spans="1:5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35">
      <c r="A23" s="9" t="s">
        <v>12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>
        <f>SUM(M20:M22)</f>
        <v>1250000</v>
      </c>
      <c r="N23" s="7"/>
      <c r="O23" s="7"/>
      <c r="P23" s="7"/>
      <c r="Q23" s="7">
        <f>SUM(Q20:Q22)</f>
        <v>2500000</v>
      </c>
      <c r="R23" s="7"/>
      <c r="S23" s="7"/>
      <c r="T23" s="7"/>
      <c r="U23" s="7">
        <f>SUM(U20:U22)</f>
        <v>3700000</v>
      </c>
      <c r="V23" s="7"/>
      <c r="W23" s="7"/>
      <c r="X23" s="7"/>
      <c r="Y23" s="7">
        <f>SUM(Y20:Y22)</f>
        <v>3700000</v>
      </c>
      <c r="Z23" s="7"/>
      <c r="AA23" s="7"/>
      <c r="AB23" s="7"/>
      <c r="AC23" s="7">
        <f>SUM(AC20:AC22)</f>
        <v>3700000</v>
      </c>
      <c r="AD23" s="7"/>
      <c r="AE23" s="7"/>
      <c r="AF23" s="7"/>
      <c r="AG23" s="7">
        <f>SUM(AG20:AG22)</f>
        <v>3700000</v>
      </c>
      <c r="AH23" s="7"/>
      <c r="AI23" s="7"/>
      <c r="AJ23" s="7"/>
      <c r="AK23" s="7">
        <f>SUM(AK20:AK22)</f>
        <v>3700000</v>
      </c>
      <c r="AL23" s="7"/>
      <c r="AM23" s="7"/>
      <c r="AN23" s="7"/>
      <c r="AO23" s="7">
        <f>SUM(AO20:AO22)</f>
        <v>3700000</v>
      </c>
      <c r="AP23" s="7"/>
      <c r="AQ23" s="7"/>
      <c r="AR23" s="7"/>
      <c r="AS23" s="7">
        <f>SUM(AS20:AS22)</f>
        <v>3700000</v>
      </c>
      <c r="AT23" s="7"/>
      <c r="AU23" s="7"/>
      <c r="AV23" s="7"/>
      <c r="AW23" s="7">
        <f>SUM(AW20:AW22)</f>
        <v>3700000</v>
      </c>
      <c r="AX23" s="7">
        <f t="shared" ref="AX23:AX26" si="2">+AW23+AS23+AO23+AK23+AG23+AC23+Y23+U23+Q23+M23+I23+E23+D23</f>
        <v>33350000</v>
      </c>
    </row>
    <row r="24" spans="1:50" x14ac:dyDescent="0.35">
      <c r="A24" s="10" t="s">
        <v>50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>
        <f t="shared" si="2"/>
        <v>0</v>
      </c>
    </row>
    <row r="25" spans="1:50" x14ac:dyDescent="0.35">
      <c r="A25" s="8" t="s">
        <v>16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>
        <f>K25*L25</f>
        <v>0</v>
      </c>
      <c r="N25" s="8" t="s">
        <v>17</v>
      </c>
      <c r="O25" s="8">
        <v>0</v>
      </c>
      <c r="P25" s="8">
        <v>100000</v>
      </c>
      <c r="Q25" s="8">
        <f>O25*P25</f>
        <v>0</v>
      </c>
      <c r="R25" s="8" t="s">
        <v>17</v>
      </c>
      <c r="S25" s="8">
        <v>1</v>
      </c>
      <c r="T25" s="8">
        <v>100000</v>
      </c>
      <c r="U25" s="8">
        <f>S25*T25</f>
        <v>100000</v>
      </c>
      <c r="V25" s="8" t="s">
        <v>17</v>
      </c>
      <c r="W25" s="8">
        <v>1</v>
      </c>
      <c r="X25" s="8">
        <v>100000</v>
      </c>
      <c r="Y25" s="8">
        <f>W25*X25</f>
        <v>100000</v>
      </c>
      <c r="Z25" s="8" t="s">
        <v>17</v>
      </c>
      <c r="AA25" s="8">
        <v>1</v>
      </c>
      <c r="AB25" s="8">
        <v>100000</v>
      </c>
      <c r="AC25" s="8">
        <f>AA25*AB25</f>
        <v>100000</v>
      </c>
      <c r="AD25" s="8" t="s">
        <v>17</v>
      </c>
      <c r="AE25" s="8">
        <v>1</v>
      </c>
      <c r="AF25" s="8">
        <v>100000</v>
      </c>
      <c r="AG25" s="8">
        <f>AE25*AF25</f>
        <v>100000</v>
      </c>
      <c r="AH25" s="8" t="s">
        <v>17</v>
      </c>
      <c r="AI25" s="8">
        <v>1</v>
      </c>
      <c r="AJ25" s="8">
        <v>100000</v>
      </c>
      <c r="AK25" s="8">
        <f>AI25*AJ25</f>
        <v>100000</v>
      </c>
      <c r="AL25" s="8" t="s">
        <v>17</v>
      </c>
      <c r="AM25" s="8">
        <v>1</v>
      </c>
      <c r="AN25" s="8">
        <v>100000</v>
      </c>
      <c r="AO25" s="8">
        <f>AM25*AN25</f>
        <v>100000</v>
      </c>
      <c r="AP25" s="8" t="s">
        <v>17</v>
      </c>
      <c r="AQ25" s="8">
        <v>1</v>
      </c>
      <c r="AR25" s="8">
        <v>100000</v>
      </c>
      <c r="AS25" s="8">
        <f>AQ25*AR25</f>
        <v>100000</v>
      </c>
      <c r="AT25" s="8" t="s">
        <v>17</v>
      </c>
      <c r="AU25" s="8">
        <v>1</v>
      </c>
      <c r="AV25" s="8">
        <v>100000</v>
      </c>
      <c r="AW25" s="8">
        <f>AU25*AV25</f>
        <v>100000</v>
      </c>
      <c r="AX25" s="8">
        <f t="shared" si="2"/>
        <v>800000</v>
      </c>
    </row>
    <row r="26" spans="1:50" x14ac:dyDescent="0.35">
      <c r="A26" s="8" t="s">
        <v>51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 t="s">
        <v>17</v>
      </c>
      <c r="S26" s="8">
        <v>2</v>
      </c>
      <c r="T26" s="8">
        <v>230000</v>
      </c>
      <c r="U26" s="8">
        <f>S26*T26</f>
        <v>460000</v>
      </c>
      <c r="V26" s="8" t="s">
        <v>17</v>
      </c>
      <c r="W26" s="8">
        <v>2</v>
      </c>
      <c r="X26" s="8">
        <v>230000</v>
      </c>
      <c r="Y26" s="8">
        <f>W26*X26</f>
        <v>460000</v>
      </c>
      <c r="Z26" s="8" t="s">
        <v>17</v>
      </c>
      <c r="AA26" s="8">
        <v>2</v>
      </c>
      <c r="AB26" s="8">
        <v>230000</v>
      </c>
      <c r="AC26" s="8">
        <f>AA26*AB26</f>
        <v>460000</v>
      </c>
      <c r="AD26" s="8" t="s">
        <v>17</v>
      </c>
      <c r="AE26" s="8">
        <v>2</v>
      </c>
      <c r="AF26" s="8">
        <v>230000</v>
      </c>
      <c r="AG26" s="8">
        <f>AE26*AF26</f>
        <v>460000</v>
      </c>
      <c r="AH26" s="8" t="s">
        <v>17</v>
      </c>
      <c r="AI26" s="8">
        <v>2</v>
      </c>
      <c r="AJ26" s="8">
        <v>230000</v>
      </c>
      <c r="AK26" s="8">
        <f>AI26*AJ26</f>
        <v>460000</v>
      </c>
      <c r="AL26" s="8" t="s">
        <v>17</v>
      </c>
      <c r="AM26" s="8">
        <v>2</v>
      </c>
      <c r="AN26" s="8">
        <v>230000</v>
      </c>
      <c r="AO26" s="8">
        <f>AM26*AN26</f>
        <v>460000</v>
      </c>
      <c r="AP26" s="8" t="s">
        <v>17</v>
      </c>
      <c r="AQ26" s="8">
        <v>2</v>
      </c>
      <c r="AR26" s="8">
        <v>230000</v>
      </c>
      <c r="AS26" s="8">
        <f>AQ26*AR26</f>
        <v>460000</v>
      </c>
      <c r="AT26" s="8" t="s">
        <v>17</v>
      </c>
      <c r="AU26" s="8">
        <v>2</v>
      </c>
      <c r="AV26" s="8">
        <v>230000</v>
      </c>
      <c r="AW26" s="8">
        <f>AU26*AV26</f>
        <v>460000</v>
      </c>
      <c r="AX26" s="8">
        <f t="shared" si="2"/>
        <v>3680000</v>
      </c>
    </row>
    <row r="27" spans="1:5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35">
      <c r="A28" s="9" t="s">
        <v>12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>
        <f>SUM(M25:M27)</f>
        <v>0</v>
      </c>
      <c r="N28" s="7"/>
      <c r="O28" s="7"/>
      <c r="P28" s="7"/>
      <c r="Q28" s="7">
        <f>SUM(Q25:Q27)</f>
        <v>0</v>
      </c>
      <c r="R28" s="7"/>
      <c r="S28" s="7"/>
      <c r="T28" s="7"/>
      <c r="U28" s="7">
        <f>SUM(U25:U27)</f>
        <v>560000</v>
      </c>
      <c r="V28" s="7"/>
      <c r="W28" s="7"/>
      <c r="X28" s="7"/>
      <c r="Y28" s="7">
        <f>SUM(Y25:Y27)</f>
        <v>560000</v>
      </c>
      <c r="Z28" s="7"/>
      <c r="AA28" s="7"/>
      <c r="AB28" s="7"/>
      <c r="AC28" s="7">
        <f>SUM(AC25:AC27)</f>
        <v>560000</v>
      </c>
      <c r="AD28" s="7"/>
      <c r="AE28" s="7"/>
      <c r="AF28" s="7"/>
      <c r="AG28" s="7">
        <f>SUM(AG25:AG27)</f>
        <v>560000</v>
      </c>
      <c r="AH28" s="7"/>
      <c r="AI28" s="7"/>
      <c r="AJ28" s="7"/>
      <c r="AK28" s="7">
        <f>SUM(AK25:AK27)</f>
        <v>560000</v>
      </c>
      <c r="AL28" s="7"/>
      <c r="AM28" s="7"/>
      <c r="AN28" s="7"/>
      <c r="AO28" s="7">
        <f>SUM(AO25:AO27)</f>
        <v>560000</v>
      </c>
      <c r="AP28" s="7"/>
      <c r="AQ28" s="7"/>
      <c r="AR28" s="7"/>
      <c r="AS28" s="7">
        <f>SUM(AS25:AS27)</f>
        <v>560000</v>
      </c>
      <c r="AT28" s="7"/>
      <c r="AU28" s="7"/>
      <c r="AV28" s="7"/>
      <c r="AW28" s="7">
        <f>SUM(AW25:AW27)</f>
        <v>560000</v>
      </c>
      <c r="AX28" s="7">
        <f t="shared" ref="AX28" si="3">+AW28+AS28+AO28+AK28+AG28+AC28+Y28+U28+Q28+M28+I28+E28+D28</f>
        <v>4480000</v>
      </c>
    </row>
    <row r="29" spans="1:50" x14ac:dyDescent="0.35">
      <c r="A29" s="10" t="s">
        <v>55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x14ac:dyDescent="0.35">
      <c r="A30" s="8" t="s">
        <v>54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>
        <f>K30*L30</f>
        <v>0</v>
      </c>
      <c r="N30" s="8" t="s">
        <v>17</v>
      </c>
      <c r="O30" s="8">
        <v>0</v>
      </c>
      <c r="P30" s="8">
        <v>100000</v>
      </c>
      <c r="Q30" s="8">
        <f>O30*P30</f>
        <v>0</v>
      </c>
      <c r="R30" s="8" t="s">
        <v>17</v>
      </c>
      <c r="S30" s="8">
        <v>1</v>
      </c>
      <c r="T30" s="8">
        <v>150000</v>
      </c>
      <c r="U30" s="8">
        <f>S30*T30</f>
        <v>150000</v>
      </c>
      <c r="V30" s="8" t="s">
        <v>17</v>
      </c>
      <c r="W30" s="8">
        <v>1</v>
      </c>
      <c r="X30" s="8">
        <v>150000</v>
      </c>
      <c r="Y30" s="8">
        <f>W30*X30</f>
        <v>150000</v>
      </c>
      <c r="Z30" s="8" t="s">
        <v>17</v>
      </c>
      <c r="AA30" s="8">
        <v>1</v>
      </c>
      <c r="AB30" s="8">
        <v>150000</v>
      </c>
      <c r="AC30" s="8">
        <f>AA30*AB30</f>
        <v>150000</v>
      </c>
      <c r="AD30" s="8" t="s">
        <v>17</v>
      </c>
      <c r="AE30" s="8">
        <v>1</v>
      </c>
      <c r="AF30" s="8">
        <v>150000</v>
      </c>
      <c r="AG30" s="8">
        <f>AE30*AF30</f>
        <v>150000</v>
      </c>
      <c r="AH30" s="8" t="s">
        <v>17</v>
      </c>
      <c r="AI30" s="8">
        <v>1</v>
      </c>
      <c r="AJ30" s="8">
        <v>150000</v>
      </c>
      <c r="AK30" s="8">
        <f>AI30*AJ30</f>
        <v>150000</v>
      </c>
      <c r="AL30" s="8" t="s">
        <v>17</v>
      </c>
      <c r="AM30" s="8">
        <v>1</v>
      </c>
      <c r="AN30" s="8">
        <v>150000</v>
      </c>
      <c r="AO30" s="8">
        <f>AM30*AN30</f>
        <v>150000</v>
      </c>
      <c r="AP30" s="8" t="s">
        <v>17</v>
      </c>
      <c r="AQ30" s="8">
        <v>1</v>
      </c>
      <c r="AR30" s="8">
        <v>150000</v>
      </c>
      <c r="AS30" s="8">
        <f>AQ30*AR30</f>
        <v>150000</v>
      </c>
      <c r="AT30" s="8" t="s">
        <v>17</v>
      </c>
      <c r="AU30" s="8">
        <v>1</v>
      </c>
      <c r="AV30" s="8">
        <v>150000</v>
      </c>
      <c r="AW30" s="8">
        <f>AU30*AV30</f>
        <v>150000</v>
      </c>
      <c r="AX30" s="8">
        <f t="shared" ref="AX30" si="4">+AW30+AS30+AO30+AK30+AG30+AC30+Y30+U30+Q30+M30+I30+E30+D30</f>
        <v>1200000</v>
      </c>
    </row>
    <row r="31" spans="1:50" x14ac:dyDescent="0.35">
      <c r="A31" s="12" t="s">
        <v>53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>
        <f>K31*L31</f>
        <v>0</v>
      </c>
      <c r="N31" s="8" t="s">
        <v>17</v>
      </c>
      <c r="O31" s="8">
        <v>0</v>
      </c>
      <c r="P31" s="8">
        <v>100000</v>
      </c>
      <c r="Q31" s="8">
        <f>O31*P31</f>
        <v>0</v>
      </c>
      <c r="R31" s="8" t="s">
        <v>17</v>
      </c>
      <c r="S31" s="8">
        <v>2</v>
      </c>
      <c r="T31" s="8">
        <v>115000</v>
      </c>
      <c r="U31" s="8">
        <f>S31*T31</f>
        <v>230000</v>
      </c>
      <c r="V31" s="8" t="s">
        <v>17</v>
      </c>
      <c r="W31" s="8">
        <v>2</v>
      </c>
      <c r="X31" s="8">
        <v>115000</v>
      </c>
      <c r="Y31" s="8">
        <f>W31*X31</f>
        <v>230000</v>
      </c>
      <c r="Z31" s="8" t="s">
        <v>17</v>
      </c>
      <c r="AA31" s="8">
        <v>2</v>
      </c>
      <c r="AB31" s="8">
        <v>115000</v>
      </c>
      <c r="AC31" s="8">
        <f>AA31*AB31</f>
        <v>230000</v>
      </c>
      <c r="AD31" s="8" t="s">
        <v>17</v>
      </c>
      <c r="AE31" s="8">
        <v>2</v>
      </c>
      <c r="AF31" s="8">
        <v>115000</v>
      </c>
      <c r="AG31" s="8">
        <f>AE31*AF31</f>
        <v>230000</v>
      </c>
      <c r="AH31" s="8" t="s">
        <v>17</v>
      </c>
      <c r="AI31" s="8">
        <v>2</v>
      </c>
      <c r="AJ31" s="8">
        <v>115000</v>
      </c>
      <c r="AK31" s="8">
        <f>AI31*AJ31</f>
        <v>230000</v>
      </c>
      <c r="AL31" s="8" t="s">
        <v>17</v>
      </c>
      <c r="AM31" s="8">
        <v>2</v>
      </c>
      <c r="AN31" s="8">
        <v>115000</v>
      </c>
      <c r="AO31" s="8">
        <f>AM31*AN31</f>
        <v>230000</v>
      </c>
      <c r="AP31" s="8" t="s">
        <v>17</v>
      </c>
      <c r="AQ31" s="8">
        <v>2</v>
      </c>
      <c r="AR31" s="8">
        <v>115000</v>
      </c>
      <c r="AS31" s="8">
        <f>AQ31*AR31</f>
        <v>230000</v>
      </c>
      <c r="AT31" s="8" t="s">
        <v>17</v>
      </c>
      <c r="AU31" s="8">
        <v>2</v>
      </c>
      <c r="AV31" s="8">
        <v>115000</v>
      </c>
      <c r="AW31" s="8">
        <f>AU31*AV31</f>
        <v>230000</v>
      </c>
      <c r="AX31" s="8">
        <f t="shared" ref="AX31:AX32" si="5">+AW31+AS31+AO31+AK31+AG31+AC31+Y31+U31+Q31+M31+I31+E31+D31</f>
        <v>1840000</v>
      </c>
    </row>
    <row r="32" spans="1:50" x14ac:dyDescent="0.35">
      <c r="A32" s="9" t="s">
        <v>12</v>
      </c>
      <c r="B32" s="7"/>
      <c r="C32" s="7"/>
      <c r="D32" s="7"/>
      <c r="E32" s="7">
        <f>SUM(E30:E31)</f>
        <v>0</v>
      </c>
      <c r="F32" s="7"/>
      <c r="G32" s="7"/>
      <c r="H32" s="7"/>
      <c r="I32" s="7">
        <f>SUM(I30:I31)</f>
        <v>0</v>
      </c>
      <c r="J32" s="7"/>
      <c r="K32" s="7"/>
      <c r="L32" s="7"/>
      <c r="M32" s="7">
        <f>SUM(M30:M31)</f>
        <v>0</v>
      </c>
      <c r="N32" s="7"/>
      <c r="O32" s="7"/>
      <c r="P32" s="7"/>
      <c r="Q32" s="7">
        <f>SUM(Q30:Q31)</f>
        <v>0</v>
      </c>
      <c r="R32" s="7"/>
      <c r="S32" s="7"/>
      <c r="T32" s="7"/>
      <c r="U32" s="7">
        <f>SUM(U30:U31)</f>
        <v>380000</v>
      </c>
      <c r="V32" s="7"/>
      <c r="W32" s="7"/>
      <c r="X32" s="7"/>
      <c r="Y32" s="7">
        <f>SUM(Y30:Y31)</f>
        <v>380000</v>
      </c>
      <c r="Z32" s="7"/>
      <c r="AA32" s="7"/>
      <c r="AB32" s="7"/>
      <c r="AC32" s="7">
        <f>SUM(AC30:AC31)</f>
        <v>380000</v>
      </c>
      <c r="AD32" s="7"/>
      <c r="AE32" s="7"/>
      <c r="AF32" s="7"/>
      <c r="AG32" s="7">
        <f>SUM(AG30:AG31)</f>
        <v>380000</v>
      </c>
      <c r="AH32" s="7"/>
      <c r="AI32" s="7"/>
      <c r="AJ32" s="7"/>
      <c r="AK32" s="7">
        <f>SUM(AK30:AK31)</f>
        <v>380000</v>
      </c>
      <c r="AL32" s="7"/>
      <c r="AM32" s="7"/>
      <c r="AN32" s="7"/>
      <c r="AO32" s="7">
        <f>SUM(AO30:AO31)</f>
        <v>380000</v>
      </c>
      <c r="AP32" s="7"/>
      <c r="AQ32" s="7"/>
      <c r="AR32" s="7"/>
      <c r="AS32" s="7">
        <f>SUM(AS30:AS31)</f>
        <v>380000</v>
      </c>
      <c r="AT32" s="7"/>
      <c r="AU32" s="7"/>
      <c r="AV32" s="7"/>
      <c r="AW32" s="7">
        <f>SUM(AW30:AW31)</f>
        <v>380000</v>
      </c>
      <c r="AX32" s="7">
        <f t="shared" si="5"/>
        <v>3040000</v>
      </c>
    </row>
    <row r="33" spans="1:50" x14ac:dyDescent="0.35">
      <c r="A33" s="40" t="s">
        <v>11</v>
      </c>
      <c r="B33" s="40"/>
      <c r="C33" s="40"/>
      <c r="D33" s="40"/>
      <c r="E33" s="9">
        <f>E8+E13+E18+E23+E28+E32</f>
        <v>0</v>
      </c>
      <c r="F33" s="7"/>
      <c r="G33" s="7"/>
      <c r="H33" s="7"/>
      <c r="I33" s="9">
        <f>I8+I13+I18+I23+I28+I32</f>
        <v>0</v>
      </c>
      <c r="J33" s="7"/>
      <c r="K33" s="7"/>
      <c r="L33" s="7"/>
      <c r="M33" s="9">
        <f>M8+M13+M18+M23+M28+M32</f>
        <v>1250000</v>
      </c>
      <c r="N33" s="7"/>
      <c r="O33" s="7"/>
      <c r="P33" s="7"/>
      <c r="Q33" s="9">
        <f>Q8+Q13+Q18+Q23+Q28+Q32</f>
        <v>2500000</v>
      </c>
      <c r="R33" s="7"/>
      <c r="S33" s="7"/>
      <c r="T33" s="7"/>
      <c r="U33" s="9">
        <f>U8+U13+U18+U23+U28+U32</f>
        <v>12473160</v>
      </c>
      <c r="V33" s="7"/>
      <c r="W33" s="7"/>
      <c r="X33" s="7"/>
      <c r="Y33" s="9">
        <f>Y8+Y13+Y18+Y23+Y28+Y32</f>
        <v>12473160</v>
      </c>
      <c r="Z33" s="7"/>
      <c r="AA33" s="7"/>
      <c r="AB33" s="7"/>
      <c r="AC33" s="9">
        <f>AC8+AC13+AC18+AC23+AC28+AC32</f>
        <v>12473160</v>
      </c>
      <c r="AD33" s="7"/>
      <c r="AE33" s="7"/>
      <c r="AF33" s="7"/>
      <c r="AG33" s="9">
        <f>AG8+AG13+AG18+AG23+AG28+AG32</f>
        <v>12473160</v>
      </c>
      <c r="AH33" s="7"/>
      <c r="AI33" s="7"/>
      <c r="AJ33" s="7"/>
      <c r="AK33" s="9">
        <f>AK8+AK13+AK18+AK23+AK28+AK32</f>
        <v>12473160</v>
      </c>
      <c r="AL33" s="7"/>
      <c r="AM33" s="7"/>
      <c r="AN33" s="7"/>
      <c r="AO33" s="9">
        <f>AO8+AO13+AO18+AO23+AO28+AO32</f>
        <v>12473160</v>
      </c>
      <c r="AP33" s="7"/>
      <c r="AQ33" s="7"/>
      <c r="AR33" s="7"/>
      <c r="AS33" s="9">
        <f>AS8+AS13+AS18+AS23+AS28+AS32</f>
        <v>12473160</v>
      </c>
      <c r="AT33" s="7"/>
      <c r="AU33" s="7"/>
      <c r="AV33" s="7"/>
      <c r="AW33" s="9">
        <f>AW8+AW13+AW18+AW23+AW28+AW32</f>
        <v>12473160</v>
      </c>
      <c r="AX33" s="9">
        <f t="shared" ref="AX33" si="6">+AW33+AS33+AO33+AK33+AG33+AC33+Y33+U33+Q33+M33+I33+E33+D33</f>
        <v>103535280</v>
      </c>
    </row>
  </sheetData>
  <mergeCells count="14">
    <mergeCell ref="A1:AX1"/>
    <mergeCell ref="A33:D33"/>
    <mergeCell ref="B2:E2"/>
    <mergeCell ref="F2:I2"/>
    <mergeCell ref="J2:M2"/>
    <mergeCell ref="N2:Q2"/>
    <mergeCell ref="AL2:AO2"/>
    <mergeCell ref="AP2:AS2"/>
    <mergeCell ref="AT2:AW2"/>
    <mergeCell ref="R2:U2"/>
    <mergeCell ref="V2:Y2"/>
    <mergeCell ref="Z2:AC2"/>
    <mergeCell ref="AD2:AG2"/>
    <mergeCell ref="AH2:AK2"/>
  </mergeCells>
  <pageMargins left="0.70866141732283472" right="0.70866141732283472" top="0.74803149606299213" bottom="0.74803149606299213" header="0.31496062992125984" footer="0.31496062992125984"/>
  <pageSetup scale="86" orientation="landscape" r:id="rId1"/>
  <headerFooter>
    <oddHeader>&amp;C&amp;"-,Negrita"&amp;14FORMATO PRESUPUESTO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98A6-0E77-481A-8709-96E20C57D171}">
  <dimension ref="B1:C13"/>
  <sheetViews>
    <sheetView workbookViewId="0">
      <selection activeCell="H27" sqref="H27"/>
    </sheetView>
  </sheetViews>
  <sheetFormatPr baseColWidth="10" defaultRowHeight="14.5" x14ac:dyDescent="0.35"/>
  <cols>
    <col min="2" max="2" width="18.6328125" bestFit="1" customWidth="1"/>
  </cols>
  <sheetData>
    <row r="1" spans="2:3" x14ac:dyDescent="0.35">
      <c r="B1" s="42" t="s">
        <v>32</v>
      </c>
      <c r="C1" s="43"/>
    </row>
    <row r="2" spans="2:3" ht="53" customHeight="1" x14ac:dyDescent="0.35">
      <c r="B2" s="43"/>
      <c r="C2" s="43"/>
    </row>
    <row r="3" spans="2:3" x14ac:dyDescent="0.35">
      <c r="B3" s="2" t="s">
        <v>18</v>
      </c>
      <c r="C3" s="2">
        <v>8.5</v>
      </c>
    </row>
    <row r="4" spans="2:3" x14ac:dyDescent="0.35">
      <c r="B4" s="2" t="s">
        <v>19</v>
      </c>
      <c r="C4" s="2">
        <v>12</v>
      </c>
    </row>
    <row r="5" spans="2:3" x14ac:dyDescent="0.35">
      <c r="B5" s="2" t="s">
        <v>20</v>
      </c>
      <c r="C5" s="2">
        <v>2</v>
      </c>
    </row>
    <row r="6" spans="2:3" x14ac:dyDescent="0.35">
      <c r="B6" s="2" t="s">
        <v>21</v>
      </c>
      <c r="C6" s="2">
        <v>3</v>
      </c>
    </row>
    <row r="7" spans="2:3" x14ac:dyDescent="0.35">
      <c r="B7" s="2" t="s">
        <v>22</v>
      </c>
      <c r="C7" s="2">
        <v>4</v>
      </c>
    </row>
    <row r="8" spans="2:3" x14ac:dyDescent="0.35">
      <c r="B8" s="2" t="s">
        <v>23</v>
      </c>
      <c r="C8" s="2">
        <v>8.33</v>
      </c>
    </row>
    <row r="9" spans="2:3" x14ac:dyDescent="0.35">
      <c r="B9" s="2" t="s">
        <v>24</v>
      </c>
      <c r="C9" s="2">
        <v>8.33</v>
      </c>
    </row>
    <row r="10" spans="2:3" x14ac:dyDescent="0.35">
      <c r="B10" s="2" t="s">
        <v>25</v>
      </c>
      <c r="C10" s="2">
        <v>1</v>
      </c>
    </row>
    <row r="11" spans="2:3" x14ac:dyDescent="0.35">
      <c r="B11" s="2" t="s">
        <v>26</v>
      </c>
      <c r="C11" s="2">
        <v>4.1660000000000004</v>
      </c>
    </row>
    <row r="12" spans="2:3" x14ac:dyDescent="0.35">
      <c r="B12" s="2" t="s">
        <v>29</v>
      </c>
      <c r="C12" s="2">
        <v>0.52200000000000002</v>
      </c>
    </row>
    <row r="13" spans="2:3" x14ac:dyDescent="0.35">
      <c r="B13" s="2" t="s">
        <v>28</v>
      </c>
      <c r="C13" s="5">
        <f>SUM(C3:C12)</f>
        <v>51.847999999999992</v>
      </c>
    </row>
  </sheetData>
  <mergeCells count="1">
    <mergeCell ref="B1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  <SharedWithUsers xmlns="dc808d36-874f-4b27-aec2-2fd649817929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F2EAEC-2353-49B3-95E4-566A612C72FA}">
  <ds:schemaRefs>
    <ds:schemaRef ds:uri="http://schemas.microsoft.com/office/2006/metadata/properties"/>
    <ds:schemaRef ds:uri="http://schemas.microsoft.com/office/infopath/2007/PartnerControls"/>
    <ds:schemaRef ds:uri="ba2e8617-29ee-40b9-b822-c9e0f853d80d"/>
    <ds:schemaRef ds:uri="dc808d36-874f-4b27-aec2-2fd649817929"/>
  </ds:schemaRefs>
</ds:datastoreItem>
</file>

<file path=customXml/itemProps2.xml><?xml version="1.0" encoding="utf-8"?>
<ds:datastoreItem xmlns:ds="http://schemas.openxmlformats.org/officeDocument/2006/customXml" ds:itemID="{DE8B5039-BAE2-40FB-8B16-1ABE7D87CABA}"/>
</file>

<file path=customXml/itemProps3.xml><?xml version="1.0" encoding="utf-8"?>
<ds:datastoreItem xmlns:ds="http://schemas.openxmlformats.org/officeDocument/2006/customXml" ds:itemID="{5920F190-1BEA-4FC6-AA70-28DAF6EB59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Ingresos Fundación POA</vt:lpstr>
      <vt:lpstr>Budget Fundación POA</vt:lpstr>
      <vt:lpstr>Prestaciones</vt:lpstr>
      <vt:lpstr>'Budget Fundación POA'!Área_de_impresión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Gloria Ortiz</dc:creator>
  <cp:lastModifiedBy>Leonardo Torres</cp:lastModifiedBy>
  <cp:lastPrinted>2022-11-21T14:21:33Z</cp:lastPrinted>
  <dcterms:created xsi:type="dcterms:W3CDTF">2021-10-27T16:04:30Z</dcterms:created>
  <dcterms:modified xsi:type="dcterms:W3CDTF">2024-05-02T21:54:04Z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  <property fmtid="{D5CDD505-2E9C-101B-9397-08002B2CF9AE}" pid="4" name="Order">
    <vt:r8>66033000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