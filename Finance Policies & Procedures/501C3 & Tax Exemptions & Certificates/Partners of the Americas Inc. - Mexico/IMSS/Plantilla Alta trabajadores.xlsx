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CPU/_General/_Field Offices/Mexico FO/Mexico FO- Field Staff Access/03 REGISTRATION/05.02 IMSS/"/>
    </mc:Choice>
  </mc:AlternateContent>
  <xr:revisionPtr revIDLastSave="461" documentId="13_ncr:1_{A9F2724C-FC56-4A08-82DB-D906A9E55CF6}" xr6:coauthVersionLast="47" xr6:coauthVersionMax="47" xr10:uidLastSave="{EC6F439B-C31E-49CB-9748-35B68259B417}"/>
  <bookViews>
    <workbookView xWindow="-108" yWindow="-108" windowWidth="23256" windowHeight="12456" activeTab="1" xr2:uid="{391EF7D0-1079-42BD-8FFE-628860382ED8}"/>
  </bookViews>
  <sheets>
    <sheet name="Datos Alta" sheetId="1" r:id="rId1"/>
    <sheet name="Salarios" sheetId="2" r:id="rId2"/>
    <sheet name="Factor de integració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3" i="2" l="1"/>
  <c r="C6" i="3"/>
  <c r="C5" i="3"/>
  <c r="L5" i="2"/>
  <c r="H5" i="2"/>
  <c r="G11" i="2"/>
  <c r="G7" i="2"/>
  <c r="G20" i="2"/>
  <c r="G16" i="2"/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I5" i="2" l="1"/>
  <c r="I6" i="2" l="1"/>
  <c r="K5" i="2"/>
  <c r="M5" i="2" s="1"/>
  <c r="D4" i="3"/>
  <c r="C4" i="3"/>
  <c r="C13" i="3"/>
  <c r="D13" i="3" s="1"/>
  <c r="C12" i="3"/>
  <c r="C11" i="3"/>
  <c r="D11" i="3" s="1"/>
  <c r="C10" i="3"/>
  <c r="D10" i="3" s="1"/>
  <c r="C9" i="3"/>
  <c r="C8" i="3"/>
  <c r="C7" i="3"/>
  <c r="D6" i="3"/>
  <c r="I7" i="2" l="1"/>
  <c r="K6" i="2"/>
  <c r="D5" i="3"/>
  <c r="D7" i="3"/>
  <c r="D9" i="3"/>
  <c r="D8" i="3"/>
  <c r="D12" i="3"/>
  <c r="I8" i="2" l="1"/>
  <c r="K7" i="2"/>
  <c r="L6" i="2"/>
  <c r="M6" i="2" s="1"/>
  <c r="O6" i="2" s="1"/>
  <c r="Q6" i="2" s="1"/>
  <c r="J6" i="1" s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O5" i="2"/>
  <c r="M7" i="2" l="1"/>
  <c r="O7" i="2" s="1"/>
  <c r="Q7" i="2" s="1"/>
  <c r="J7" i="1" s="1"/>
  <c r="I9" i="2"/>
  <c r="K8" i="2"/>
  <c r="M8" i="2" s="1"/>
  <c r="O8" i="2" s="1"/>
  <c r="Q8" i="2" s="1"/>
  <c r="J8" i="1" s="1"/>
  <c r="Q5" i="2"/>
  <c r="J5" i="1" s="1"/>
  <c r="D20" i="2"/>
  <c r="C20" i="2"/>
  <c r="B20" i="2"/>
  <c r="D19" i="2"/>
  <c r="C19" i="2"/>
  <c r="B19" i="2"/>
  <c r="D18" i="2"/>
  <c r="C18" i="2"/>
  <c r="B18" i="2"/>
  <c r="D17" i="2"/>
  <c r="C17" i="2"/>
  <c r="B17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I10" i="2" l="1"/>
  <c r="K10" i="2" s="1"/>
  <c r="M10" i="2" s="1"/>
  <c r="O10" i="2" s="1"/>
  <c r="Q10" i="2" s="1"/>
  <c r="J10" i="1" s="1"/>
  <c r="K9" i="2"/>
  <c r="M9" i="2" s="1"/>
  <c r="O9" i="2" s="1"/>
  <c r="Q9" i="2" s="1"/>
  <c r="J9" i="1" s="1"/>
  <c r="I11" i="2" l="1"/>
  <c r="I12" i="2" l="1"/>
  <c r="K11" i="2"/>
  <c r="M11" i="2" s="1"/>
  <c r="O11" i="2" s="1"/>
  <c r="Q11" i="2" s="1"/>
  <c r="J11" i="1" s="1"/>
  <c r="I13" i="2" l="1"/>
  <c r="K12" i="2"/>
  <c r="M12" i="2" s="1"/>
  <c r="O12" i="2" s="1"/>
  <c r="Q12" i="2" s="1"/>
  <c r="J12" i="1" s="1"/>
  <c r="I14" i="2" l="1"/>
  <c r="K13" i="2"/>
  <c r="M13" i="2" s="1"/>
  <c r="O13" i="2" s="1"/>
  <c r="Q13" i="2" s="1"/>
  <c r="J13" i="1" s="1"/>
  <c r="I15" i="2" l="1"/>
  <c r="K14" i="2"/>
  <c r="M14" i="2" s="1"/>
  <c r="O14" i="2" s="1"/>
  <c r="Q14" i="2" s="1"/>
  <c r="J14" i="1" s="1"/>
  <c r="I16" i="2" l="1"/>
  <c r="K15" i="2"/>
  <c r="M15" i="2" s="1"/>
  <c r="O15" i="2" s="1"/>
  <c r="Q15" i="2" s="1"/>
  <c r="J15" i="1" s="1"/>
  <c r="I17" i="2" l="1"/>
  <c r="K16" i="2"/>
  <c r="M16" i="2" s="1"/>
  <c r="O16" i="2" s="1"/>
  <c r="Q16" i="2" s="1"/>
  <c r="J16" i="1" s="1"/>
  <c r="I18" i="2" l="1"/>
  <c r="K17" i="2"/>
  <c r="M17" i="2" s="1"/>
  <c r="O17" i="2" s="1"/>
  <c r="Q17" i="2" s="1"/>
  <c r="J17" i="1" s="1"/>
  <c r="I19" i="2" l="1"/>
  <c r="K18" i="2"/>
  <c r="M18" i="2" s="1"/>
  <c r="O18" i="2" s="1"/>
  <c r="Q18" i="2" s="1"/>
  <c r="J18" i="1" s="1"/>
  <c r="I20" i="2" l="1"/>
  <c r="K20" i="2" s="1"/>
  <c r="M20" i="2" s="1"/>
  <c r="O20" i="2" s="1"/>
  <c r="Q20" i="2" s="1"/>
  <c r="J20" i="1" s="1"/>
  <c r="K19" i="2"/>
  <c r="M19" i="2" s="1"/>
  <c r="O19" i="2" s="1"/>
  <c r="Q19" i="2" s="1"/>
  <c r="J19" i="1" s="1"/>
</calcChain>
</file>

<file path=xl/sharedStrings.xml><?xml version="1.0" encoding="utf-8"?>
<sst xmlns="http://schemas.openxmlformats.org/spreadsheetml/2006/main" count="184" uniqueCount="148">
  <si>
    <t>LISTA DE PERSONAL PARA ASEGURAR ANTE EL IMSS</t>
  </si>
  <si>
    <t>No.</t>
  </si>
  <si>
    <t>Proyecto</t>
  </si>
  <si>
    <t>NSS</t>
  </si>
  <si>
    <t>Digito verificador</t>
  </si>
  <si>
    <t>Nombre</t>
  </si>
  <si>
    <t>Apellido paterno</t>
  </si>
  <si>
    <t>Apellido materno</t>
  </si>
  <si>
    <t>RFC</t>
  </si>
  <si>
    <t>CURP</t>
  </si>
  <si>
    <t>SDI</t>
  </si>
  <si>
    <t>Tipo de salario</t>
  </si>
  <si>
    <t>Fecha de movimiento</t>
  </si>
  <si>
    <t>DOL423</t>
  </si>
  <si>
    <t>0322921956</t>
  </si>
  <si>
    <t>ALECK FEDERICO</t>
  </si>
  <si>
    <t>SABAH</t>
  </si>
  <si>
    <t>MÁRQUEZ MEES</t>
  </si>
  <si>
    <t>SAMA921026IDA</t>
  </si>
  <si>
    <t>SAMA921026HDFBRL01</t>
  </si>
  <si>
    <t>Fijo</t>
  </si>
  <si>
    <t>DOL425</t>
  </si>
  <si>
    <t>ALMA CLARISA</t>
  </si>
  <si>
    <t>RICO</t>
  </si>
  <si>
    <t>DIAZ</t>
  </si>
  <si>
    <t>RIDA5903273Q8</t>
  </si>
  <si>
    <t>RIDA590327MSRCZL05</t>
  </si>
  <si>
    <t>0220845574</t>
  </si>
  <si>
    <t>ALONSO</t>
  </si>
  <si>
    <t>SANTIBAÑEZ</t>
  </si>
  <si>
    <t>COBOS</t>
  </si>
  <si>
    <t>SACA8403029S2</t>
  </si>
  <si>
    <t>SACA840302HDFNBL02</t>
  </si>
  <si>
    <t>AZUCENA</t>
  </si>
  <si>
    <t>AGUIRRE</t>
  </si>
  <si>
    <t>CRESPO</t>
  </si>
  <si>
    <t>AUCA840406B72</t>
  </si>
  <si>
    <t>AUCA840406MMSGRZ05</t>
  </si>
  <si>
    <t>DOL423  DOL425  DOS452</t>
  </si>
  <si>
    <t>0316831851</t>
  </si>
  <si>
    <t>SANDOVAL</t>
  </si>
  <si>
    <t>ALCIBAR</t>
  </si>
  <si>
    <t>SAAA8311277K9</t>
  </si>
  <si>
    <t>SAAA831127MDFNLZ07</t>
  </si>
  <si>
    <t>0101850937</t>
  </si>
  <si>
    <t>DIEGO ORLANDO</t>
  </si>
  <si>
    <t xml:space="preserve">MONROY </t>
  </si>
  <si>
    <t>HERNANDEZ</t>
  </si>
  <si>
    <t>MOHD851108TV7</t>
  </si>
  <si>
    <t>MOHD851108HDFNRG08</t>
  </si>
  <si>
    <t>4386663484</t>
  </si>
  <si>
    <t>GABRIEL ORLANDO</t>
  </si>
  <si>
    <t>VELAZQUEZ</t>
  </si>
  <si>
    <t>CHAVEZ</t>
  </si>
  <si>
    <t>VECG660726UJ3</t>
  </si>
  <si>
    <t>VECG660726HDFLHB08</t>
  </si>
  <si>
    <t>0222705961</t>
  </si>
  <si>
    <t>GRACIELA</t>
  </si>
  <si>
    <t>VARGAS</t>
  </si>
  <si>
    <t>GARCIA</t>
  </si>
  <si>
    <t>VAGG700323462</t>
  </si>
  <si>
    <t>VAGG700323MDFRRR07</t>
  </si>
  <si>
    <t>6510820076</t>
  </si>
  <si>
    <t>LIZET</t>
  </si>
  <si>
    <t>GUEVARA</t>
  </si>
  <si>
    <t>ALCÁNTARA</t>
  </si>
  <si>
    <t>GUAL820504N91</t>
  </si>
  <si>
    <t>GUAL820504MVZVLZ03</t>
  </si>
  <si>
    <t>0218891660</t>
  </si>
  <si>
    <t>MARTHA ISABEL</t>
  </si>
  <si>
    <t>LOPEZ</t>
  </si>
  <si>
    <t>ESCOBAR</t>
  </si>
  <si>
    <t>LOEM890911672</t>
  </si>
  <si>
    <t>LOEM890911MTCPSR08</t>
  </si>
  <si>
    <t>3007750058</t>
  </si>
  <si>
    <t>ROMAN ALBERTO</t>
  </si>
  <si>
    <t>ROJAS</t>
  </si>
  <si>
    <t>ROHR750807263</t>
  </si>
  <si>
    <t>ROHR750807HDFJRM05</t>
  </si>
  <si>
    <t>DOS452</t>
  </si>
  <si>
    <t>SASKIA</t>
  </si>
  <si>
    <t>CABRERA</t>
  </si>
  <si>
    <t>PADILLA</t>
  </si>
  <si>
    <t>CAPS861227JG4</t>
  </si>
  <si>
    <t>CAPS861227MGRBDS06</t>
  </si>
  <si>
    <t>0816918397</t>
  </si>
  <si>
    <t>VERÓNICA</t>
  </si>
  <si>
    <t>ROMERO</t>
  </si>
  <si>
    <t>GUERRERO</t>
  </si>
  <si>
    <t>ROGV910414HY4</t>
  </si>
  <si>
    <t>ROGV910414MDFMRR03</t>
  </si>
  <si>
    <t>0322921546</t>
  </si>
  <si>
    <t>VICTORIA</t>
  </si>
  <si>
    <t>LÓPEZ</t>
  </si>
  <si>
    <t>CARMONA</t>
  </si>
  <si>
    <t>LOCV9206101F3</t>
  </si>
  <si>
    <t>LOCV920610MNEPRC08</t>
  </si>
  <si>
    <t>XANNY</t>
  </si>
  <si>
    <t>HEHX820730P48</t>
  </si>
  <si>
    <t>HEHX820730MDFRRN01</t>
  </si>
  <si>
    <t>YAEL IVONNE</t>
  </si>
  <si>
    <t>CAYETANO</t>
  </si>
  <si>
    <t>FIGUEROA</t>
  </si>
  <si>
    <t>CAFY8901267T0</t>
  </si>
  <si>
    <t>CAFY890126MDFYGL06</t>
  </si>
  <si>
    <t>Determinación del Salario Diario Integrado</t>
  </si>
  <si>
    <t>Appellido paterno</t>
  </si>
  <si>
    <t>Fecha de ingreso (Consultoría)</t>
  </si>
  <si>
    <t>Factor</t>
  </si>
  <si>
    <t xml:space="preserve"> Salario diario</t>
  </si>
  <si>
    <t>Factor de integración</t>
  </si>
  <si>
    <t xml:space="preserve"> Salario diario integrado</t>
  </si>
  <si>
    <t>Promedio de TC</t>
  </si>
  <si>
    <t>Mes</t>
  </si>
  <si>
    <t>Tipo de cambio</t>
  </si>
  <si>
    <t>Enero</t>
  </si>
  <si>
    <t>Febrero</t>
  </si>
  <si>
    <t>Marzo</t>
  </si>
  <si>
    <t>Abril</t>
  </si>
  <si>
    <t>Mayo</t>
  </si>
  <si>
    <t>Junio</t>
  </si>
  <si>
    <t>Julio</t>
  </si>
  <si>
    <t>Promedio</t>
  </si>
  <si>
    <t>Factores de integración</t>
  </si>
  <si>
    <t>Factores</t>
  </si>
  <si>
    <t>Años de servicio</t>
  </si>
  <si>
    <t>Dias vacaiones</t>
  </si>
  <si>
    <t>Prima vacacional</t>
  </si>
  <si>
    <t>Aguinaldo 15 días</t>
  </si>
  <si>
    <t>5 a 9</t>
  </si>
  <si>
    <t>10 a 14</t>
  </si>
  <si>
    <t>15 a 19</t>
  </si>
  <si>
    <t>20 a 24</t>
  </si>
  <si>
    <t>25 a 29</t>
  </si>
  <si>
    <t>30 a 34</t>
  </si>
  <si>
    <t>Prestaciones Partners</t>
  </si>
  <si>
    <t>•	Aguinaldo conforme a Ley, equivalente a 15 días de sueldo diario.</t>
  </si>
  <si>
    <t>•	Vacaciones superiores a Ley, iniciando en 10 días por año, y a partir del 3er aniversario de empleo 15 días. Las vacaciones podrán disfrutarse desde el primer mes de empleo conforme a devengo de la proporción por mes trabajado.</t>
  </si>
  <si>
    <t>•	Prima vacacional del 25 %, sobre la base de los días de vacaciones otorgados por POA superiores a Ley.</t>
  </si>
  <si>
    <t>•	Cuotas patronales sobre el 100% de su salario hasta el límite cotizable ante el IMSS.</t>
  </si>
  <si>
    <t>•	Opcional. 80% del costo de Póliza de Seguro de Gastos Médicos Mayores individual que será contratada por POA. Las personas colaboradoras, asumiendo el costo, podrán agregar dependientes en la póliza</t>
  </si>
  <si>
    <t xml:space="preserve"> Salario mensual</t>
  </si>
  <si>
    <t>Fringe mensual</t>
  </si>
  <si>
    <t xml:space="preserve"> Salario + Fringe mensual</t>
  </si>
  <si>
    <t>USD</t>
  </si>
  <si>
    <t>Salario diario MXN</t>
  </si>
  <si>
    <t>Salario base de cotización MXN</t>
  </si>
  <si>
    <t>Tipo de cambio promedio a Ago/2022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</si>
</sst>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\ _P_t_s_-;\-* #,##0\ _P_t_s_-;_-* &quot;-&quot;\ _P_t_s_-;_-@_-"/>
    <numFmt numFmtId="165" formatCode="_-* #,##0.0000_-;\-* #,##0.0000_-;_-* &quot;-&quot;??_-;_-@_-"/>
    <numFmt numFmtId="166" formatCode="_-* #,##0.000000_-;\-* #,##0.000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51">
    <xf numFmtId="0" fontId="0" fillId="0" borderId="0" xfId="0"/>
    <xf numFmtId="0" fontId="3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43" fontId="0" fillId="0" borderId="0" xfId="0" applyNumberFormat="1"/>
    <xf numFmtId="43" fontId="0" fillId="0" borderId="0" xfId="2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7" fillId="0" borderId="0" xfId="0" applyFont="1"/>
    <xf numFmtId="43" fontId="7" fillId="0" borderId="0" xfId="2" applyFont="1"/>
    <xf numFmtId="165" fontId="7" fillId="0" borderId="0" xfId="0" applyNumberFormat="1" applyFont="1"/>
    <xf numFmtId="0" fontId="8" fillId="0" borderId="0" xfId="0" applyFont="1"/>
    <xf numFmtId="43" fontId="0" fillId="0" borderId="0" xfId="2" applyFont="1" applyFill="1"/>
    <xf numFmtId="14" fontId="0" fillId="0" borderId="0" xfId="0" applyNumberFormat="1"/>
    <xf numFmtId="43" fontId="0" fillId="0" borderId="0" xfId="0" applyNumberFormat="1" applyAlignment="1">
      <alignment vertical="center"/>
    </xf>
    <xf numFmtId="0" fontId="10" fillId="0" borderId="0" xfId="0" applyFont="1" applyAlignment="1">
      <alignment horizontal="left"/>
    </xf>
    <xf numFmtId="166" fontId="3" fillId="0" borderId="8" xfId="1" applyNumberFormat="1" applyFont="1" applyBorder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43" fontId="0" fillId="0" borderId="0" xfId="0" applyNumberFormat="1" applyAlignment="1">
      <alignment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" fontId="0" fillId="2" borderId="0" xfId="1" applyNumberFormat="1" applyFont="1" applyFill="1"/>
    <xf numFmtId="4" fontId="0" fillId="2" borderId="0" xfId="1" applyNumberFormat="1" applyFont="1" applyFill="1" applyAlignment="1">
      <alignment horizontal="center" vertical="center"/>
    </xf>
    <xf numFmtId="4" fontId="0" fillId="0" borderId="0" xfId="0" applyNumberFormat="1"/>
    <xf numFmtId="4" fontId="0" fillId="0" borderId="0" xfId="1" applyNumberFormat="1" applyFont="1"/>
    <xf numFmtId="4" fontId="0" fillId="4" borderId="0" xfId="0" applyNumberFormat="1" applyFill="1"/>
    <xf numFmtId="4" fontId="0" fillId="0" borderId="0" xfId="0" applyNumberFormat="1" applyAlignment="1">
      <alignment horizontal="center"/>
    </xf>
    <xf numFmtId="43" fontId="0" fillId="0" borderId="0" xfId="1" applyFont="1"/>
    <xf numFmtId="0" fontId="4" fillId="3" borderId="0" xfId="0" applyFont="1" applyFill="1" applyAlignment="1">
      <alignment horizontal="center" vertical="top"/>
    </xf>
    <xf numFmtId="0" fontId="2" fillId="3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</cellXfs>
  <cellStyles count="13">
    <cellStyle name="Millares" xfId="1" builtinId="3"/>
    <cellStyle name="Millares [0] 2" xfId="3" xr:uid="{4816BC5E-9D03-4CD7-A6DF-B04E76F33592}"/>
    <cellStyle name="Millares [0] 3" xfId="4" xr:uid="{BDD9C7D3-467A-4E72-8E45-796C7EACE10F}"/>
    <cellStyle name="Millares [0] 4" xfId="5" xr:uid="{B82D4CFF-5678-43D0-A723-DFF4EDBC2097}"/>
    <cellStyle name="Millares 2" xfId="6" xr:uid="{0122C3C4-6EA5-4CD6-95A8-509E7D839978}"/>
    <cellStyle name="Millares 3" xfId="7" xr:uid="{00AB47D8-E3C2-478A-8231-20AAF52F3D16}"/>
    <cellStyle name="Millares 4" xfId="2" xr:uid="{EE1A7B3B-0E9D-46F6-8748-22F4D0660962}"/>
    <cellStyle name="Normal" xfId="0" builtinId="0"/>
    <cellStyle name="Normal 2" xfId="8" xr:uid="{41478110-9B36-4A61-86D8-1EA022BD9024}"/>
    <cellStyle name="Normal 3" xfId="9" xr:uid="{73A4B7FD-F10A-48BA-8404-3BA0E1EDBC6B}"/>
    <cellStyle name="Normal 4" xfId="10" xr:uid="{88442179-EE1F-43C5-B688-00BB09A1FF37}"/>
    <cellStyle name="Normal 5" xfId="12" xr:uid="{E937BBC9-0986-4849-AED5-0054B54B9275}"/>
    <cellStyle name="Porcentual 2" xfId="11" xr:uid="{F6BE77BB-1A5B-4D55-9B96-D067BB0BCEB5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-* #,##0.0000_-;\-* #,##0.0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6F980-5F4F-45C6-99EB-9AD4ED5DD537}" name="Tabla1" displayName="Tabla1" ref="A4:L20" totalsRowShown="0" headerRowDxfId="18" dataDxfId="17">
  <autoFilter ref="A4:L20" xr:uid="{29A6F980-5F4F-45C6-99EB-9AD4ED5DD537}"/>
  <tableColumns count="12">
    <tableColumn id="1" xr3:uid="{ABDF5B67-0B2C-49D4-BA91-D583ED0F351F}" name="No." dataDxfId="16"/>
    <tableColumn id="13" xr3:uid="{ACDD5AA1-2835-4C37-A5E0-960571EBA73C}" name="Proyecto" dataDxfId="15"/>
    <tableColumn id="2" xr3:uid="{83E0855E-ADB7-417E-8D6C-E6FF9C7444BA}" name="NSS" dataDxfId="14"/>
    <tableColumn id="3" xr3:uid="{DFC82AE9-63D8-451E-AE04-97E64F9ADFE6}" name="Digito verificador" dataDxfId="13"/>
    <tableColumn id="4" xr3:uid="{BE644367-00F7-491D-9988-4E0098B49213}" name="Nombre" dataDxfId="12"/>
    <tableColumn id="5" xr3:uid="{F11A53B2-905D-434E-9622-375F0CFBED98}" name="Apellido paterno" dataDxfId="11"/>
    <tableColumn id="6" xr3:uid="{FF556D2E-F53A-485A-BC2E-8C4A7F511A31}" name="Apellido materno" dataDxfId="10"/>
    <tableColumn id="9" xr3:uid="{E3D49273-FF0E-434C-AFDA-3FD71AF681BA}" name="RFC" dataDxfId="9"/>
    <tableColumn id="7" xr3:uid="{B445131D-570C-45A0-BE9B-EC5C8E69F9AF}" name="CURP" dataDxfId="8"/>
    <tableColumn id="8" xr3:uid="{A66999CE-A418-41E7-B776-BBAA6C366207}" name="SDI" dataDxfId="7">
      <calculatedColumnFormula>Salarios!Q5</calculatedColumnFormula>
    </tableColumn>
    <tableColumn id="11" xr3:uid="{FF3B3259-D6B7-452F-8F7D-76FAC561A46E}" name="Tipo de salario"/>
    <tableColumn id="12" xr3:uid="{0788732D-AFDC-49B4-9E3F-541EB102425B}" name="Fecha de movimiento" dataDxfId="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7D6B4B-EA93-449F-B18F-64703EF86709}" name="Tabla2" displayName="Tabla2" ref="A3:D13" totalsRowShown="0" headerRowDxfId="5" dataDxfId="4">
  <tableColumns count="4">
    <tableColumn id="1" xr3:uid="{3D5FA3FF-B2D9-4653-9FFB-2C9814510827}" name="Años de servicio" dataDxfId="3"/>
    <tableColumn id="2" xr3:uid="{08BC425B-A5F9-4464-8EE9-335BB681BC30}" name="Dias vacaiones" dataDxfId="2"/>
    <tableColumn id="3" xr3:uid="{564E857C-A26B-492C-98AD-014476D10908}" name="Prima vacacional" dataDxfId="1" dataCellStyle="Millares 4">
      <calculatedColumnFormula>TRUNC(B4*0.25,2)</calculatedColumnFormula>
    </tableColumn>
    <tableColumn id="4" xr3:uid="{4AA8FAB8-E55C-403A-9DC3-5F699D419545}" name="Aguinaldo 15 días" dataDxfId="0">
      <calculatedColumnFormula>TRUNC(((365+15+C4)/365),4)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3E79-74FC-4D52-8451-D9A2F7F23592}">
  <sheetPr codeName="Hoja1"/>
  <dimension ref="A1:L20"/>
  <sheetViews>
    <sheetView showGridLines="0" topLeftCell="A3" zoomScale="80" zoomScaleNormal="80" workbookViewId="0">
      <selection sqref="A1:L1"/>
    </sheetView>
  </sheetViews>
  <sheetFormatPr baseColWidth="10" defaultColWidth="11.44140625" defaultRowHeight="14.4" x14ac:dyDescent="0.3"/>
  <cols>
    <col min="1" max="1" width="3.88671875" bestFit="1" customWidth="1"/>
    <col min="3" max="3" width="12" bestFit="1" customWidth="1"/>
    <col min="4" max="4" width="10.88671875" customWidth="1"/>
    <col min="5" max="5" width="21.109375" bestFit="1" customWidth="1"/>
    <col min="6" max="6" width="13.88671875" customWidth="1"/>
    <col min="7" max="7" width="14.44140625" bestFit="1" customWidth="1"/>
    <col min="8" max="8" width="15.5546875" bestFit="1" customWidth="1"/>
    <col min="9" max="9" width="21.88671875" bestFit="1" customWidth="1"/>
    <col min="11" max="11" width="9.109375" customWidth="1"/>
    <col min="12" max="12" width="16.88671875" customWidth="1"/>
  </cols>
  <sheetData>
    <row r="1" spans="1:12" ht="19.8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 x14ac:dyDescent="0.3">
      <c r="I3" s="1"/>
    </row>
    <row r="4" spans="1:12" ht="28.8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x14ac:dyDescent="0.3">
      <c r="A5" s="7">
        <v>1</v>
      </c>
      <c r="B5" s="5" t="s">
        <v>13</v>
      </c>
      <c r="C5" s="9" t="s">
        <v>14</v>
      </c>
      <c r="D5" s="7">
        <v>7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21">
        <f>Salarios!Q5</f>
        <v>2096.9946060000002</v>
      </c>
      <c r="K5" t="s">
        <v>20</v>
      </c>
      <c r="L5" s="2">
        <v>44774</v>
      </c>
    </row>
    <row r="6" spans="1:12" x14ac:dyDescent="0.3">
      <c r="A6" s="7">
        <v>2</v>
      </c>
      <c r="B6" s="5" t="s">
        <v>21</v>
      </c>
      <c r="C6" s="24"/>
      <c r="D6" s="25"/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21">
        <f>Salarios!Q6</f>
        <v>5591.9926020000003</v>
      </c>
      <c r="K6" t="s">
        <v>20</v>
      </c>
      <c r="L6" s="2">
        <v>44774</v>
      </c>
    </row>
    <row r="7" spans="1:12" x14ac:dyDescent="0.3">
      <c r="A7" s="7">
        <v>3</v>
      </c>
      <c r="B7" s="5" t="s">
        <v>13</v>
      </c>
      <c r="C7" s="9" t="s">
        <v>27</v>
      </c>
      <c r="D7" s="7">
        <v>7</v>
      </c>
      <c r="E7" s="5" t="s">
        <v>28</v>
      </c>
      <c r="F7" s="5" t="s">
        <v>29</v>
      </c>
      <c r="G7" s="5" t="s">
        <v>30</v>
      </c>
      <c r="H7" s="5" t="s">
        <v>31</v>
      </c>
      <c r="I7" s="5" t="s">
        <v>32</v>
      </c>
      <c r="J7" s="21">
        <f>Salarios!Q7</f>
        <v>4193.999691</v>
      </c>
      <c r="K7" t="s">
        <v>20</v>
      </c>
      <c r="L7" s="2">
        <v>44774</v>
      </c>
    </row>
    <row r="8" spans="1:12" x14ac:dyDescent="0.3">
      <c r="A8" s="7">
        <v>4</v>
      </c>
      <c r="B8" s="5" t="s">
        <v>21</v>
      </c>
      <c r="C8" s="26">
        <v>3711840238</v>
      </c>
      <c r="D8" s="7">
        <v>9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37</v>
      </c>
      <c r="J8" s="21">
        <f>Salarios!Q8</f>
        <v>3075.5969790000004</v>
      </c>
      <c r="K8" t="s">
        <v>20</v>
      </c>
      <c r="L8" s="2">
        <v>44774</v>
      </c>
    </row>
    <row r="9" spans="1:12" ht="43.2" x14ac:dyDescent="0.3">
      <c r="A9" s="7">
        <v>5</v>
      </c>
      <c r="B9" s="6" t="s">
        <v>38</v>
      </c>
      <c r="C9" s="9" t="s">
        <v>39</v>
      </c>
      <c r="D9" s="7">
        <v>1</v>
      </c>
      <c r="E9" s="5" t="s">
        <v>33</v>
      </c>
      <c r="F9" s="5" t="s">
        <v>40</v>
      </c>
      <c r="G9" s="5" t="s">
        <v>41</v>
      </c>
      <c r="H9" s="5" t="s">
        <v>42</v>
      </c>
      <c r="I9" s="5" t="s">
        <v>43</v>
      </c>
      <c r="J9" s="21">
        <f>Salarios!Q9</f>
        <v>1404.9928830000001</v>
      </c>
      <c r="K9" s="5" t="s">
        <v>20</v>
      </c>
      <c r="L9" s="8">
        <v>44774</v>
      </c>
    </row>
    <row r="10" spans="1:12" x14ac:dyDescent="0.3">
      <c r="A10" s="7">
        <v>6</v>
      </c>
      <c r="B10" s="5" t="s">
        <v>13</v>
      </c>
      <c r="C10" s="9" t="s">
        <v>44</v>
      </c>
      <c r="D10" s="7">
        <v>0</v>
      </c>
      <c r="E10" s="5" t="s">
        <v>45</v>
      </c>
      <c r="F10" s="5" t="s">
        <v>46</v>
      </c>
      <c r="G10" s="5" t="s">
        <v>47</v>
      </c>
      <c r="H10" s="5" t="s">
        <v>48</v>
      </c>
      <c r="I10" s="5" t="s">
        <v>49</v>
      </c>
      <c r="J10" s="21">
        <f>Salarios!Q10</f>
        <v>1328.0979810000001</v>
      </c>
      <c r="K10" t="s">
        <v>20</v>
      </c>
      <c r="L10" s="2">
        <v>44774</v>
      </c>
    </row>
    <row r="11" spans="1:12" x14ac:dyDescent="0.3">
      <c r="A11" s="7">
        <v>7</v>
      </c>
      <c r="B11" s="5" t="s">
        <v>13</v>
      </c>
      <c r="C11" s="9" t="s">
        <v>50</v>
      </c>
      <c r="D11" s="7">
        <v>3</v>
      </c>
      <c r="E11" s="5" t="s">
        <v>51</v>
      </c>
      <c r="F11" s="5" t="s">
        <v>52</v>
      </c>
      <c r="G11" s="5" t="s">
        <v>53</v>
      </c>
      <c r="H11" s="5" t="s">
        <v>54</v>
      </c>
      <c r="I11" s="5" t="s">
        <v>55</v>
      </c>
      <c r="J11" s="21">
        <f>Salarios!Q11</f>
        <v>3075.5969790000004</v>
      </c>
      <c r="K11" t="s">
        <v>20</v>
      </c>
      <c r="L11" s="2">
        <v>44774</v>
      </c>
    </row>
    <row r="12" spans="1:12" x14ac:dyDescent="0.3">
      <c r="A12" s="7">
        <v>8</v>
      </c>
      <c r="B12" s="5" t="s">
        <v>21</v>
      </c>
      <c r="C12" s="26" t="s">
        <v>56</v>
      </c>
      <c r="D12" s="7">
        <v>1</v>
      </c>
      <c r="E12" s="5" t="s">
        <v>57</v>
      </c>
      <c r="F12" s="5" t="s">
        <v>58</v>
      </c>
      <c r="G12" s="5" t="s">
        <v>59</v>
      </c>
      <c r="H12" s="5" t="s">
        <v>60</v>
      </c>
      <c r="I12" s="5" t="s">
        <v>61</v>
      </c>
      <c r="J12" s="21">
        <f>Salarios!Q12</f>
        <v>2446.5006930000004</v>
      </c>
      <c r="K12" t="s">
        <v>20</v>
      </c>
      <c r="L12" s="2">
        <v>44774</v>
      </c>
    </row>
    <row r="13" spans="1:12" x14ac:dyDescent="0.3">
      <c r="A13" s="7">
        <v>9</v>
      </c>
      <c r="B13" s="5" t="s">
        <v>21</v>
      </c>
      <c r="C13" s="9" t="s">
        <v>62</v>
      </c>
      <c r="D13" s="7">
        <v>0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67</v>
      </c>
      <c r="J13" s="21">
        <f>Salarios!Q13</f>
        <v>1328.0979810000001</v>
      </c>
      <c r="K13" t="s">
        <v>20</v>
      </c>
      <c r="L13" s="2">
        <v>44774</v>
      </c>
    </row>
    <row r="14" spans="1:12" x14ac:dyDescent="0.3">
      <c r="A14" s="7">
        <v>10</v>
      </c>
      <c r="B14" s="5" t="s">
        <v>13</v>
      </c>
      <c r="C14" s="9" t="s">
        <v>68</v>
      </c>
      <c r="D14" s="7">
        <v>1</v>
      </c>
      <c r="E14" s="5" t="s">
        <v>69</v>
      </c>
      <c r="F14" s="5" t="s">
        <v>70</v>
      </c>
      <c r="G14" s="5" t="s">
        <v>71</v>
      </c>
      <c r="H14" s="5" t="s">
        <v>72</v>
      </c>
      <c r="I14" s="5" t="s">
        <v>73</v>
      </c>
      <c r="J14" s="21">
        <f>Salarios!Q14</f>
        <v>2995.2125700000001</v>
      </c>
      <c r="K14" t="s">
        <v>20</v>
      </c>
      <c r="L14" s="2">
        <v>44774</v>
      </c>
    </row>
    <row r="15" spans="1:12" ht="43.2" x14ac:dyDescent="0.3">
      <c r="A15" s="7">
        <v>11</v>
      </c>
      <c r="B15" s="6" t="s">
        <v>38</v>
      </c>
      <c r="C15" s="9" t="s">
        <v>74</v>
      </c>
      <c r="D15" s="7">
        <v>2</v>
      </c>
      <c r="E15" s="5" t="s">
        <v>75</v>
      </c>
      <c r="F15" s="5" t="s">
        <v>76</v>
      </c>
      <c r="G15" s="5" t="s">
        <v>47</v>
      </c>
      <c r="H15" s="5" t="s">
        <v>77</v>
      </c>
      <c r="I15" s="5" t="s">
        <v>78</v>
      </c>
      <c r="J15" s="21">
        <f>Salarios!Q15</f>
        <v>4718.2431029999998</v>
      </c>
      <c r="K15" s="5" t="s">
        <v>20</v>
      </c>
      <c r="L15" s="8">
        <v>44774</v>
      </c>
    </row>
    <row r="16" spans="1:12" x14ac:dyDescent="0.3">
      <c r="A16" s="7">
        <v>12</v>
      </c>
      <c r="B16" s="6" t="s">
        <v>79</v>
      </c>
      <c r="C16" s="26">
        <v>7206861046</v>
      </c>
      <c r="D16" s="4">
        <v>7</v>
      </c>
      <c r="E16" t="s">
        <v>80</v>
      </c>
      <c r="F16" s="5" t="s">
        <v>81</v>
      </c>
      <c r="G16" s="5" t="s">
        <v>82</v>
      </c>
      <c r="H16" s="5" t="s">
        <v>83</v>
      </c>
      <c r="I16" t="s">
        <v>84</v>
      </c>
      <c r="J16" s="10">
        <f>Salarios!Q16</f>
        <v>2621.248497</v>
      </c>
      <c r="K16" t="s">
        <v>20</v>
      </c>
      <c r="L16" s="2">
        <v>44774</v>
      </c>
    </row>
    <row r="17" spans="1:12" x14ac:dyDescent="0.3">
      <c r="A17" s="7">
        <v>13</v>
      </c>
      <c r="B17" s="5" t="s">
        <v>21</v>
      </c>
      <c r="C17" s="9" t="s">
        <v>85</v>
      </c>
      <c r="D17" s="7">
        <v>0</v>
      </c>
      <c r="E17" s="5" t="s">
        <v>86</v>
      </c>
      <c r="F17" s="5" t="s">
        <v>87</v>
      </c>
      <c r="G17" s="5" t="s">
        <v>88</v>
      </c>
      <c r="H17" s="5" t="s">
        <v>89</v>
      </c>
      <c r="I17" s="5" t="s">
        <v>90</v>
      </c>
      <c r="J17" s="21">
        <f>Salarios!Q17</f>
        <v>1957.1942670000001</v>
      </c>
      <c r="K17" t="s">
        <v>20</v>
      </c>
      <c r="L17" s="2">
        <v>44774</v>
      </c>
    </row>
    <row r="18" spans="1:12" x14ac:dyDescent="0.3">
      <c r="A18" s="7">
        <v>14</v>
      </c>
      <c r="B18" s="5" t="s">
        <v>21</v>
      </c>
      <c r="C18" s="26" t="s">
        <v>91</v>
      </c>
      <c r="D18" s="7">
        <v>6</v>
      </c>
      <c r="E18" s="5" t="s">
        <v>92</v>
      </c>
      <c r="F18" s="5" t="s">
        <v>93</v>
      </c>
      <c r="G18" s="5" t="s">
        <v>94</v>
      </c>
      <c r="H18" s="5" t="s">
        <v>95</v>
      </c>
      <c r="I18" s="5" t="s">
        <v>96</v>
      </c>
      <c r="J18" s="21">
        <f>Salarios!Q18</f>
        <v>1404.9928830000001</v>
      </c>
      <c r="K18" t="s">
        <v>20</v>
      </c>
      <c r="L18" s="2">
        <v>44774</v>
      </c>
    </row>
    <row r="19" spans="1:12" ht="47.25" customHeight="1" x14ac:dyDescent="0.3">
      <c r="A19" s="27">
        <v>15</v>
      </c>
      <c r="B19" s="28" t="s">
        <v>21</v>
      </c>
      <c r="C19" s="31">
        <v>3997822075</v>
      </c>
      <c r="D19" s="27">
        <v>2</v>
      </c>
      <c r="E19" s="28" t="s">
        <v>97</v>
      </c>
      <c r="F19" s="28" t="s">
        <v>47</v>
      </c>
      <c r="G19" s="28" t="s">
        <v>47</v>
      </c>
      <c r="H19" s="28" t="s">
        <v>98</v>
      </c>
      <c r="I19" s="28" t="s">
        <v>99</v>
      </c>
      <c r="J19" s="29">
        <f>Salarios!Q19</f>
        <v>2096.9946060000002</v>
      </c>
      <c r="K19" s="28" t="s">
        <v>20</v>
      </c>
      <c r="L19" s="30">
        <v>44774</v>
      </c>
    </row>
    <row r="20" spans="1:12" x14ac:dyDescent="0.3">
      <c r="A20" s="7">
        <v>16</v>
      </c>
      <c r="B20" s="6" t="s">
        <v>79</v>
      </c>
      <c r="C20" s="32">
        <v>2007890769</v>
      </c>
      <c r="D20" s="4">
        <v>6</v>
      </c>
      <c r="E20" s="5" t="s">
        <v>100</v>
      </c>
      <c r="F20" t="s">
        <v>101</v>
      </c>
      <c r="G20" t="s">
        <v>102</v>
      </c>
      <c r="H20" t="s">
        <v>103</v>
      </c>
      <c r="I20" t="s">
        <v>104</v>
      </c>
      <c r="J20" s="10">
        <f>Salarios!Q20</f>
        <v>1177.8186420000002</v>
      </c>
      <c r="K20" t="s">
        <v>20</v>
      </c>
      <c r="L20" s="2">
        <v>44774</v>
      </c>
    </row>
  </sheetData>
  <sortState xmlns:xlrd2="http://schemas.microsoft.com/office/spreadsheetml/2017/richdata2" ref="A5:L20">
    <sortCondition ref="E5:E20"/>
  </sortState>
  <mergeCells count="1">
    <mergeCell ref="A1:L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E128-407A-44A9-B310-4546057F1382}">
  <dimension ref="A1:T24"/>
  <sheetViews>
    <sheetView tabSelected="1" zoomScale="60" zoomScaleNormal="60" workbookViewId="0">
      <selection activeCell="E5" sqref="E5:E20"/>
    </sheetView>
  </sheetViews>
  <sheetFormatPr baseColWidth="10" defaultColWidth="11.44140625" defaultRowHeight="14.4" x14ac:dyDescent="0.3"/>
  <cols>
    <col min="1" max="1" width="3.88671875" style="4" bestFit="1" customWidth="1"/>
    <col min="2" max="4" width="19.5546875" customWidth="1"/>
    <col min="5" max="5" width="16.44140625" bestFit="1" customWidth="1"/>
    <col min="6" max="8" width="12.5546875" customWidth="1"/>
    <col min="9" max="9" width="14" customWidth="1"/>
    <col min="10" max="10" width="2" customWidth="1"/>
    <col min="11" max="11" width="11.109375" bestFit="1" customWidth="1"/>
    <col min="14" max="14" width="3.88671875" customWidth="1"/>
    <col min="15" max="15" width="11.44140625" bestFit="1" customWidth="1"/>
    <col min="20" max="20" width="17.5546875" bestFit="1" customWidth="1"/>
  </cols>
  <sheetData>
    <row r="1" spans="1:20" ht="19.8" x14ac:dyDescent="0.3">
      <c r="A1" s="43" t="s">
        <v>105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3" spans="1:20" x14ac:dyDescent="0.3">
      <c r="F3" s="47" t="s">
        <v>144</v>
      </c>
      <c r="G3" s="47"/>
      <c r="H3" s="48"/>
      <c r="K3" s="44" t="s">
        <v>145</v>
      </c>
      <c r="L3" s="45"/>
      <c r="M3" s="45"/>
      <c r="O3" s="44" t="s">
        <v>146</v>
      </c>
      <c r="P3" s="45"/>
      <c r="Q3" s="45"/>
    </row>
    <row r="4" spans="1:20" s="5" customFormat="1" ht="44.25" customHeight="1" thickBot="1" x14ac:dyDescent="0.35">
      <c r="A4" s="33" t="s">
        <v>1</v>
      </c>
      <c r="B4" s="34" t="s">
        <v>5</v>
      </c>
      <c r="C4" s="34" t="s">
        <v>106</v>
      </c>
      <c r="D4" s="34" t="s">
        <v>7</v>
      </c>
      <c r="E4" s="35" t="s">
        <v>107</v>
      </c>
      <c r="F4" s="35" t="s">
        <v>141</v>
      </c>
      <c r="G4" s="35" t="s">
        <v>142</v>
      </c>
      <c r="H4" s="35" t="s">
        <v>143</v>
      </c>
      <c r="I4" s="35" t="s">
        <v>147</v>
      </c>
      <c r="K4" s="35" t="s">
        <v>141</v>
      </c>
      <c r="L4" s="35" t="s">
        <v>108</v>
      </c>
      <c r="M4" s="35" t="s">
        <v>109</v>
      </c>
      <c r="O4" s="35" t="s">
        <v>141</v>
      </c>
      <c r="P4" s="35" t="s">
        <v>110</v>
      </c>
      <c r="Q4" s="35" t="s">
        <v>111</v>
      </c>
      <c r="S4" s="46" t="s">
        <v>112</v>
      </c>
      <c r="T4" s="46"/>
    </row>
    <row r="5" spans="1:20" ht="15" thickTop="1" x14ac:dyDescent="0.3">
      <c r="A5" s="4">
        <f>'Datos Alta'!A5</f>
        <v>1</v>
      </c>
      <c r="B5" t="str">
        <f>'Datos Alta'!E5</f>
        <v>ALECK FEDERICO</v>
      </c>
      <c r="C5" t="str">
        <f>'Datos Alta'!F5</f>
        <v>SABAH</v>
      </c>
      <c r="D5" t="str">
        <f>'Datos Alta'!G5</f>
        <v>MÁRQUEZ MEES</v>
      </c>
      <c r="E5" s="8">
        <v>44287</v>
      </c>
      <c r="F5" s="36">
        <v>3000</v>
      </c>
      <c r="G5" s="36">
        <v>746.45</v>
      </c>
      <c r="H5" s="36">
        <f t="shared" ref="H5:H20" si="0">F5+G5</f>
        <v>3746.45</v>
      </c>
      <c r="I5" s="37">
        <f>T13</f>
        <v>20.291594</v>
      </c>
      <c r="J5" s="38"/>
      <c r="K5" s="39">
        <f>F5*I5</f>
        <v>60874.781999999999</v>
      </c>
      <c r="L5" s="41">
        <f>ROUND((365/12),2)</f>
        <v>30.42</v>
      </c>
      <c r="M5" s="38">
        <f>ROUND((K5/L5),2)</f>
        <v>2001.14</v>
      </c>
      <c r="N5" s="38"/>
      <c r="O5" s="38">
        <f>M5</f>
        <v>2001.14</v>
      </c>
      <c r="P5" s="41">
        <v>1.0479000000000001</v>
      </c>
      <c r="Q5" s="40">
        <f>O5*P5</f>
        <v>2096.9946060000002</v>
      </c>
      <c r="S5" s="1" t="s">
        <v>113</v>
      </c>
      <c r="T5" s="1" t="s">
        <v>114</v>
      </c>
    </row>
    <row r="6" spans="1:20" x14ac:dyDescent="0.3">
      <c r="A6" s="4">
        <f>'Datos Alta'!A6</f>
        <v>2</v>
      </c>
      <c r="B6" t="str">
        <f>'Datos Alta'!E6</f>
        <v>ALMA CLARISA</v>
      </c>
      <c r="C6" t="str">
        <f>'Datos Alta'!F6</f>
        <v>RICO</v>
      </c>
      <c r="D6" t="str">
        <f>'Datos Alta'!G6</f>
        <v>DIAZ</v>
      </c>
      <c r="E6" s="8">
        <v>44211</v>
      </c>
      <c r="F6" s="36">
        <v>8000</v>
      </c>
      <c r="G6" s="36">
        <v>1341.99</v>
      </c>
      <c r="H6" s="36">
        <f t="shared" si="0"/>
        <v>9341.99</v>
      </c>
      <c r="I6" s="37">
        <f t="shared" ref="I6:I20" si="1">+I5</f>
        <v>20.291594</v>
      </c>
      <c r="J6" s="38"/>
      <c r="K6" s="39">
        <f>F6*I6</f>
        <v>162332.75200000001</v>
      </c>
      <c r="L6" s="41">
        <f t="shared" ref="L6:L20" si="2">ROUND((365/12),2)</f>
        <v>30.42</v>
      </c>
      <c r="M6" s="38">
        <f t="shared" ref="M6:M20" si="3">ROUND((K6/L6),2)</f>
        <v>5336.38</v>
      </c>
      <c r="N6" s="38"/>
      <c r="O6" s="38">
        <f t="shared" ref="O6:O20" si="4">M6</f>
        <v>5336.38</v>
      </c>
      <c r="P6" s="41">
        <v>1.0479000000000001</v>
      </c>
      <c r="Q6" s="40">
        <f t="shared" ref="Q6:Q20" si="5">O6*P6</f>
        <v>5591.9926020000003</v>
      </c>
      <c r="S6" t="s">
        <v>115</v>
      </c>
      <c r="T6">
        <v>20.491508</v>
      </c>
    </row>
    <row r="7" spans="1:20" x14ac:dyDescent="0.3">
      <c r="A7" s="4">
        <f>'Datos Alta'!A7</f>
        <v>3</v>
      </c>
      <c r="B7" t="str">
        <f>'Datos Alta'!E7</f>
        <v>ALONSO</v>
      </c>
      <c r="C7" t="str">
        <f>'Datos Alta'!F7</f>
        <v>SANTIBAÑEZ</v>
      </c>
      <c r="D7" t="str">
        <f>'Datos Alta'!G7</f>
        <v>COBOS</v>
      </c>
      <c r="E7" s="8">
        <v>44579</v>
      </c>
      <c r="F7" s="36">
        <v>6000</v>
      </c>
      <c r="G7" s="36">
        <f>7133.66-F7</f>
        <v>1133.6599999999999</v>
      </c>
      <c r="H7" s="36">
        <f t="shared" si="0"/>
        <v>7133.66</v>
      </c>
      <c r="I7" s="37">
        <f t="shared" si="1"/>
        <v>20.291594</v>
      </c>
      <c r="J7" s="38"/>
      <c r="K7" s="39">
        <f t="shared" ref="K7:K20" si="6">F7*I7</f>
        <v>121749.564</v>
      </c>
      <c r="L7" s="41">
        <f t="shared" si="2"/>
        <v>30.42</v>
      </c>
      <c r="M7" s="38">
        <f t="shared" si="3"/>
        <v>4002.29</v>
      </c>
      <c r="N7" s="38"/>
      <c r="O7" s="38">
        <f t="shared" si="4"/>
        <v>4002.29</v>
      </c>
      <c r="P7" s="41">
        <v>1.0479000000000001</v>
      </c>
      <c r="Q7" s="40">
        <f t="shared" si="5"/>
        <v>4193.999691</v>
      </c>
      <c r="S7" t="s">
        <v>116</v>
      </c>
      <c r="T7">
        <v>20.457671000000001</v>
      </c>
    </row>
    <row r="8" spans="1:20" x14ac:dyDescent="0.3">
      <c r="A8" s="4">
        <f>'Datos Alta'!A8</f>
        <v>4</v>
      </c>
      <c r="B8" t="str">
        <f>'Datos Alta'!E8</f>
        <v>AZUCENA</v>
      </c>
      <c r="C8" t="str">
        <f>'Datos Alta'!F8</f>
        <v>AGUIRRE</v>
      </c>
      <c r="D8" t="str">
        <f>'Datos Alta'!G8</f>
        <v>CRESPO</v>
      </c>
      <c r="E8" s="8">
        <v>44720</v>
      </c>
      <c r="F8" s="36">
        <v>4400</v>
      </c>
      <c r="G8" s="36">
        <v>967</v>
      </c>
      <c r="H8" s="36">
        <f t="shared" si="0"/>
        <v>5367</v>
      </c>
      <c r="I8" s="37">
        <f t="shared" si="1"/>
        <v>20.291594</v>
      </c>
      <c r="J8" s="38"/>
      <c r="K8" s="39">
        <f t="shared" si="6"/>
        <v>89283.013600000006</v>
      </c>
      <c r="L8" s="41">
        <f t="shared" si="2"/>
        <v>30.42</v>
      </c>
      <c r="M8" s="38">
        <f t="shared" si="3"/>
        <v>2935.01</v>
      </c>
      <c r="N8" s="38"/>
      <c r="O8" s="38">
        <f t="shared" si="4"/>
        <v>2935.01</v>
      </c>
      <c r="P8" s="41">
        <v>1.0479000000000001</v>
      </c>
      <c r="Q8" s="40">
        <f t="shared" si="5"/>
        <v>3075.5969790000004</v>
      </c>
      <c r="S8" t="s">
        <v>117</v>
      </c>
      <c r="T8">
        <v>20.552674</v>
      </c>
    </row>
    <row r="9" spans="1:20" x14ac:dyDescent="0.3">
      <c r="A9" s="4">
        <f>'Datos Alta'!A9</f>
        <v>5</v>
      </c>
      <c r="B9" t="str">
        <f>'Datos Alta'!E9</f>
        <v>AZUCENA</v>
      </c>
      <c r="C9" t="str">
        <f>'Datos Alta'!F9</f>
        <v>SANDOVAL</v>
      </c>
      <c r="D9" t="str">
        <f>'Datos Alta'!G9</f>
        <v>ALCIBAR</v>
      </c>
      <c r="E9" s="8">
        <v>44531</v>
      </c>
      <c r="F9" s="36">
        <v>2010</v>
      </c>
      <c r="G9" s="36">
        <v>505.95</v>
      </c>
      <c r="H9" s="36">
        <f t="shared" si="0"/>
        <v>2515.9499999999998</v>
      </c>
      <c r="I9" s="37">
        <f t="shared" si="1"/>
        <v>20.291594</v>
      </c>
      <c r="J9" s="38"/>
      <c r="K9" s="39">
        <f t="shared" si="6"/>
        <v>40786.103940000001</v>
      </c>
      <c r="L9" s="41">
        <f t="shared" si="2"/>
        <v>30.42</v>
      </c>
      <c r="M9" s="38">
        <f t="shared" si="3"/>
        <v>1340.77</v>
      </c>
      <c r="N9" s="38"/>
      <c r="O9" s="38">
        <f t="shared" si="4"/>
        <v>1340.77</v>
      </c>
      <c r="P9" s="41">
        <v>1.0479000000000001</v>
      </c>
      <c r="Q9" s="40">
        <f t="shared" si="5"/>
        <v>1404.9928830000001</v>
      </c>
      <c r="S9" t="s">
        <v>118</v>
      </c>
      <c r="T9">
        <v>20.058980999999999</v>
      </c>
    </row>
    <row r="10" spans="1:20" x14ac:dyDescent="0.3">
      <c r="A10" s="4">
        <f>'Datos Alta'!A10</f>
        <v>6</v>
      </c>
      <c r="B10" t="str">
        <f>'Datos Alta'!E10</f>
        <v>DIEGO ORLANDO</v>
      </c>
      <c r="C10" t="str">
        <f>'Datos Alta'!F10</f>
        <v xml:space="preserve">MONROY </v>
      </c>
      <c r="D10" t="str">
        <f>'Datos Alta'!G10</f>
        <v>HERNANDEZ</v>
      </c>
      <c r="E10" s="8">
        <v>44683</v>
      </c>
      <c r="F10" s="36">
        <v>1900</v>
      </c>
      <c r="G10" s="36">
        <v>478.96</v>
      </c>
      <c r="H10" s="36">
        <f t="shared" si="0"/>
        <v>2378.96</v>
      </c>
      <c r="I10" s="37">
        <f>+I9</f>
        <v>20.291594</v>
      </c>
      <c r="J10" s="38"/>
      <c r="K10" s="39">
        <f>F10*I10</f>
        <v>38554.028599999998</v>
      </c>
      <c r="L10" s="41">
        <f t="shared" si="2"/>
        <v>30.42</v>
      </c>
      <c r="M10" s="38">
        <f>ROUND((K10/L10),2)</f>
        <v>1267.3900000000001</v>
      </c>
      <c r="N10" s="38"/>
      <c r="O10" s="38">
        <f t="shared" si="4"/>
        <v>1267.3900000000001</v>
      </c>
      <c r="P10" s="41">
        <v>1.0479000000000001</v>
      </c>
      <c r="Q10" s="40">
        <f t="shared" si="5"/>
        <v>1328.0979810000001</v>
      </c>
      <c r="S10" t="s">
        <v>119</v>
      </c>
      <c r="T10">
        <v>20.017672000000001</v>
      </c>
    </row>
    <row r="11" spans="1:20" x14ac:dyDescent="0.3">
      <c r="A11" s="4">
        <f>'Datos Alta'!A11</f>
        <v>7</v>
      </c>
      <c r="B11" t="str">
        <f>'Datos Alta'!E11</f>
        <v>GABRIEL ORLANDO</v>
      </c>
      <c r="C11" t="str">
        <f>'Datos Alta'!F11</f>
        <v>VELAZQUEZ</v>
      </c>
      <c r="D11" t="str">
        <f>'Datos Alta'!G11</f>
        <v>CHAVEZ</v>
      </c>
      <c r="E11" s="8">
        <v>44683</v>
      </c>
      <c r="F11" s="36">
        <v>4400</v>
      </c>
      <c r="G11" s="36">
        <f>5367-F11</f>
        <v>967</v>
      </c>
      <c r="H11" s="36">
        <f t="shared" si="0"/>
        <v>5367</v>
      </c>
      <c r="I11" s="37">
        <f t="shared" si="1"/>
        <v>20.291594</v>
      </c>
      <c r="J11" s="38"/>
      <c r="K11" s="39">
        <f>F11*I11</f>
        <v>89283.013600000006</v>
      </c>
      <c r="L11" s="41">
        <f t="shared" si="2"/>
        <v>30.42</v>
      </c>
      <c r="M11" s="38">
        <f t="shared" si="3"/>
        <v>2935.01</v>
      </c>
      <c r="N11" s="38"/>
      <c r="O11" s="38">
        <f t="shared" si="4"/>
        <v>2935.01</v>
      </c>
      <c r="P11" s="41">
        <v>1.0479000000000001</v>
      </c>
      <c r="Q11" s="40">
        <f t="shared" si="5"/>
        <v>3075.5969790000004</v>
      </c>
      <c r="S11" t="s">
        <v>120</v>
      </c>
      <c r="T11">
        <v>19.972968999999999</v>
      </c>
    </row>
    <row r="12" spans="1:20" x14ac:dyDescent="0.3">
      <c r="A12" s="4">
        <f>'Datos Alta'!A12</f>
        <v>8</v>
      </c>
      <c r="B12" t="str">
        <f>'Datos Alta'!E12</f>
        <v>GRACIELA</v>
      </c>
      <c r="C12" t="str">
        <f>'Datos Alta'!F12</f>
        <v>VARGAS</v>
      </c>
      <c r="D12" t="str">
        <f>'Datos Alta'!G12</f>
        <v>GARCIA</v>
      </c>
      <c r="E12" s="8">
        <v>44739</v>
      </c>
      <c r="F12" s="36">
        <v>3500</v>
      </c>
      <c r="G12" s="36">
        <v>868.03</v>
      </c>
      <c r="H12" s="36">
        <f t="shared" si="0"/>
        <v>4368.03</v>
      </c>
      <c r="I12" s="37">
        <f t="shared" si="1"/>
        <v>20.291594</v>
      </c>
      <c r="J12" s="38"/>
      <c r="K12" s="39">
        <f t="shared" si="6"/>
        <v>71020.578999999998</v>
      </c>
      <c r="L12" s="41">
        <f t="shared" si="2"/>
        <v>30.42</v>
      </c>
      <c r="M12" s="38">
        <f t="shared" si="3"/>
        <v>2334.67</v>
      </c>
      <c r="N12" s="38"/>
      <c r="O12" s="38">
        <f t="shared" si="4"/>
        <v>2334.67</v>
      </c>
      <c r="P12" s="41">
        <v>1.0479000000000001</v>
      </c>
      <c r="Q12" s="40">
        <f t="shared" si="5"/>
        <v>2446.5006930000004</v>
      </c>
      <c r="S12" t="s">
        <v>121</v>
      </c>
      <c r="T12">
        <v>20.489682999999999</v>
      </c>
    </row>
    <row r="13" spans="1:20" ht="15" thickBot="1" x14ac:dyDescent="0.35">
      <c r="A13" s="4">
        <f>'Datos Alta'!A13</f>
        <v>9</v>
      </c>
      <c r="B13" t="str">
        <f>'Datos Alta'!E13</f>
        <v>LIZET</v>
      </c>
      <c r="C13" t="str">
        <f>'Datos Alta'!F13</f>
        <v>GUEVARA</v>
      </c>
      <c r="D13" t="str">
        <f>'Datos Alta'!G13</f>
        <v>ALCÁNTARA</v>
      </c>
      <c r="E13" s="8">
        <v>44683</v>
      </c>
      <c r="F13" s="36">
        <v>1900</v>
      </c>
      <c r="G13" s="36">
        <v>478.96</v>
      </c>
      <c r="H13" s="36">
        <f t="shared" si="0"/>
        <v>2378.96</v>
      </c>
      <c r="I13" s="37">
        <f t="shared" si="1"/>
        <v>20.291594</v>
      </c>
      <c r="J13" s="38"/>
      <c r="K13" s="39">
        <f t="shared" si="6"/>
        <v>38554.028599999998</v>
      </c>
      <c r="L13" s="41">
        <f t="shared" si="2"/>
        <v>30.42</v>
      </c>
      <c r="M13" s="38">
        <f t="shared" si="3"/>
        <v>1267.3900000000001</v>
      </c>
      <c r="N13" s="38"/>
      <c r="O13" s="38">
        <f>M13</f>
        <v>1267.3900000000001</v>
      </c>
      <c r="P13" s="41">
        <v>1.0479000000000001</v>
      </c>
      <c r="Q13" s="40">
        <f t="shared" si="5"/>
        <v>1328.0979810000001</v>
      </c>
      <c r="S13" s="1" t="s">
        <v>122</v>
      </c>
      <c r="T13" s="23">
        <f>AVERAGE(T6:T12)</f>
        <v>20.291594</v>
      </c>
    </row>
    <row r="14" spans="1:20" ht="15" thickTop="1" x14ac:dyDescent="0.3">
      <c r="A14" s="4">
        <f>'Datos Alta'!A14</f>
        <v>10</v>
      </c>
      <c r="B14" t="str">
        <f>'Datos Alta'!E14</f>
        <v>MARTHA ISABEL</v>
      </c>
      <c r="C14" t="str">
        <f>'Datos Alta'!F14</f>
        <v>LOPEZ</v>
      </c>
      <c r="D14" t="str">
        <f>'Datos Alta'!G14</f>
        <v>ESCOBAR</v>
      </c>
      <c r="E14" s="8">
        <v>44645</v>
      </c>
      <c r="F14" s="36">
        <v>4285</v>
      </c>
      <c r="G14" s="36">
        <v>955.02</v>
      </c>
      <c r="H14" s="36">
        <f t="shared" si="0"/>
        <v>5240.0200000000004</v>
      </c>
      <c r="I14" s="37">
        <f t="shared" si="1"/>
        <v>20.291594</v>
      </c>
      <c r="J14" s="38"/>
      <c r="K14" s="39">
        <f t="shared" si="6"/>
        <v>86949.480290000007</v>
      </c>
      <c r="L14" s="41">
        <f t="shared" si="2"/>
        <v>30.42</v>
      </c>
      <c r="M14" s="38">
        <f t="shared" si="3"/>
        <v>2858.3</v>
      </c>
      <c r="N14" s="38"/>
      <c r="O14" s="38">
        <f t="shared" si="4"/>
        <v>2858.3</v>
      </c>
      <c r="P14" s="41">
        <v>1.0479000000000001</v>
      </c>
      <c r="Q14" s="40">
        <f t="shared" si="5"/>
        <v>2995.2125700000001</v>
      </c>
    </row>
    <row r="15" spans="1:20" x14ac:dyDescent="0.3">
      <c r="A15" s="4">
        <f>'Datos Alta'!A15</f>
        <v>11</v>
      </c>
      <c r="B15" t="str">
        <f>'Datos Alta'!E15</f>
        <v>ROMAN ALBERTO</v>
      </c>
      <c r="C15" t="str">
        <f>'Datos Alta'!F15</f>
        <v>ROJAS</v>
      </c>
      <c r="D15" t="str">
        <f>'Datos Alta'!G15</f>
        <v>HERNANDEZ</v>
      </c>
      <c r="E15" s="8">
        <v>44362</v>
      </c>
      <c r="F15" s="36">
        <v>6750</v>
      </c>
      <c r="G15" s="36">
        <v>1211.79</v>
      </c>
      <c r="H15" s="36">
        <f t="shared" si="0"/>
        <v>7961.79</v>
      </c>
      <c r="I15" s="37">
        <f t="shared" si="1"/>
        <v>20.291594</v>
      </c>
      <c r="J15" s="38"/>
      <c r="K15" s="39">
        <f t="shared" si="6"/>
        <v>136968.25949999999</v>
      </c>
      <c r="L15" s="41">
        <f t="shared" si="2"/>
        <v>30.42</v>
      </c>
      <c r="M15" s="38">
        <f t="shared" si="3"/>
        <v>4502.57</v>
      </c>
      <c r="N15" s="38"/>
      <c r="O15" s="38">
        <f t="shared" si="4"/>
        <v>4502.57</v>
      </c>
      <c r="P15" s="41">
        <v>1.0479000000000001</v>
      </c>
      <c r="Q15" s="40">
        <f t="shared" si="5"/>
        <v>4718.2431029999998</v>
      </c>
    </row>
    <row r="16" spans="1:20" x14ac:dyDescent="0.3">
      <c r="A16" s="4">
        <f>'Datos Alta'!A16</f>
        <v>12</v>
      </c>
      <c r="B16" t="str">
        <f>'Datos Alta'!E16</f>
        <v>SASKIA</v>
      </c>
      <c r="C16" t="str">
        <f>'Datos Alta'!F16</f>
        <v>CABRERA</v>
      </c>
      <c r="D16" t="str">
        <f>'Datos Alta'!G16</f>
        <v>PADILLA</v>
      </c>
      <c r="E16" s="8">
        <v>44378</v>
      </c>
      <c r="F16" s="36">
        <v>3750</v>
      </c>
      <c r="G16" s="36">
        <f>4649.29-F16</f>
        <v>899.29</v>
      </c>
      <c r="H16" s="36">
        <f t="shared" si="0"/>
        <v>4649.29</v>
      </c>
      <c r="I16" s="37">
        <f t="shared" si="1"/>
        <v>20.291594</v>
      </c>
      <c r="J16" s="38"/>
      <c r="K16" s="39">
        <f t="shared" si="6"/>
        <v>76093.477499999994</v>
      </c>
      <c r="L16" s="41">
        <f t="shared" si="2"/>
        <v>30.42</v>
      </c>
      <c r="M16" s="38">
        <f t="shared" si="3"/>
        <v>2501.4299999999998</v>
      </c>
      <c r="N16" s="38"/>
      <c r="O16" s="38">
        <f t="shared" si="4"/>
        <v>2501.4299999999998</v>
      </c>
      <c r="P16" s="41">
        <v>1.0479000000000001</v>
      </c>
      <c r="Q16" s="40">
        <f t="shared" si="5"/>
        <v>2621.248497</v>
      </c>
    </row>
    <row r="17" spans="1:20" x14ac:dyDescent="0.3">
      <c r="A17" s="4">
        <f>'Datos Alta'!A17</f>
        <v>13</v>
      </c>
      <c r="B17" t="str">
        <f>'Datos Alta'!E17</f>
        <v>VERÓNICA</v>
      </c>
      <c r="C17" t="str">
        <f>'Datos Alta'!F17</f>
        <v>ROMERO</v>
      </c>
      <c r="D17" t="str">
        <f>'Datos Alta'!G17</f>
        <v>GUERRERO</v>
      </c>
      <c r="E17" s="8">
        <v>44728</v>
      </c>
      <c r="F17" s="36">
        <v>2800</v>
      </c>
      <c r="G17" s="36">
        <v>697.81</v>
      </c>
      <c r="H17" s="36">
        <f t="shared" si="0"/>
        <v>3497.81</v>
      </c>
      <c r="I17" s="37">
        <f t="shared" si="1"/>
        <v>20.291594</v>
      </c>
      <c r="J17" s="38"/>
      <c r="K17" s="39">
        <f>F17*I17</f>
        <v>56816.463199999998</v>
      </c>
      <c r="L17" s="41">
        <f t="shared" si="2"/>
        <v>30.42</v>
      </c>
      <c r="M17" s="38">
        <f t="shared" si="3"/>
        <v>1867.73</v>
      </c>
      <c r="N17" s="38"/>
      <c r="O17" s="38">
        <f t="shared" si="4"/>
        <v>1867.73</v>
      </c>
      <c r="P17" s="41">
        <v>1.0479000000000001</v>
      </c>
      <c r="Q17" s="40">
        <f t="shared" si="5"/>
        <v>1957.1942670000001</v>
      </c>
      <c r="T17" s="42"/>
    </row>
    <row r="18" spans="1:20" x14ac:dyDescent="0.3">
      <c r="A18" s="4">
        <f>'Datos Alta'!A18</f>
        <v>14</v>
      </c>
      <c r="B18" t="str">
        <f>'Datos Alta'!E18</f>
        <v>VICTORIA</v>
      </c>
      <c r="C18" t="str">
        <f>'Datos Alta'!F18</f>
        <v>LÓPEZ</v>
      </c>
      <c r="D18" t="str">
        <f>'Datos Alta'!G18</f>
        <v>CARMONA</v>
      </c>
      <c r="E18" s="8">
        <v>44725</v>
      </c>
      <c r="F18" s="36">
        <v>2010</v>
      </c>
      <c r="G18" s="36">
        <v>505.71</v>
      </c>
      <c r="H18" s="36">
        <f t="shared" si="0"/>
        <v>2515.71</v>
      </c>
      <c r="I18" s="37">
        <f t="shared" si="1"/>
        <v>20.291594</v>
      </c>
      <c r="J18" s="38"/>
      <c r="K18" s="39">
        <f t="shared" si="6"/>
        <v>40786.103940000001</v>
      </c>
      <c r="L18" s="41">
        <f t="shared" si="2"/>
        <v>30.42</v>
      </c>
      <c r="M18" s="38">
        <f t="shared" si="3"/>
        <v>1340.77</v>
      </c>
      <c r="N18" s="38"/>
      <c r="O18" s="38">
        <f t="shared" si="4"/>
        <v>1340.77</v>
      </c>
      <c r="P18" s="41">
        <v>1.0479000000000001</v>
      </c>
      <c r="Q18" s="40">
        <f t="shared" si="5"/>
        <v>1404.9928830000001</v>
      </c>
      <c r="T18" s="42"/>
    </row>
    <row r="19" spans="1:20" x14ac:dyDescent="0.3">
      <c r="A19" s="4">
        <f>'Datos Alta'!A19</f>
        <v>15</v>
      </c>
      <c r="B19" t="str">
        <f>'Datos Alta'!E19</f>
        <v>XANNY</v>
      </c>
      <c r="C19" t="str">
        <f>'Datos Alta'!F19</f>
        <v>HERNANDEZ</v>
      </c>
      <c r="D19" t="str">
        <f>'Datos Alta'!G19</f>
        <v>HERNANDEZ</v>
      </c>
      <c r="E19" s="8">
        <v>44655</v>
      </c>
      <c r="F19" s="36">
        <v>3000</v>
      </c>
      <c r="G19" s="36">
        <v>746.45</v>
      </c>
      <c r="H19" s="36">
        <f t="shared" si="0"/>
        <v>3746.45</v>
      </c>
      <c r="I19" s="37">
        <f t="shared" si="1"/>
        <v>20.291594</v>
      </c>
      <c r="J19" s="38"/>
      <c r="K19" s="39">
        <f t="shared" si="6"/>
        <v>60874.781999999999</v>
      </c>
      <c r="L19" s="41">
        <f t="shared" si="2"/>
        <v>30.42</v>
      </c>
      <c r="M19" s="38">
        <f t="shared" si="3"/>
        <v>2001.14</v>
      </c>
      <c r="N19" s="38"/>
      <c r="O19" s="38">
        <f t="shared" si="4"/>
        <v>2001.14</v>
      </c>
      <c r="P19" s="41">
        <v>1.0479000000000001</v>
      </c>
      <c r="Q19" s="40">
        <f t="shared" si="5"/>
        <v>2096.9946060000002</v>
      </c>
      <c r="T19" s="42"/>
    </row>
    <row r="20" spans="1:20" x14ac:dyDescent="0.3">
      <c r="A20" s="4">
        <f>'Datos Alta'!A20</f>
        <v>16</v>
      </c>
      <c r="B20" t="str">
        <f>'Datos Alta'!E20</f>
        <v>YAEL IVONNE</v>
      </c>
      <c r="C20" t="str">
        <f>'Datos Alta'!F20</f>
        <v>CAYETANO</v>
      </c>
      <c r="D20" t="str">
        <f>'Datos Alta'!G20</f>
        <v>FIGUEROA</v>
      </c>
      <c r="E20" s="8">
        <v>44636</v>
      </c>
      <c r="F20" s="36">
        <v>1685</v>
      </c>
      <c r="G20" s="36">
        <f>2111.68-F20</f>
        <v>426.67999999999984</v>
      </c>
      <c r="H20" s="36">
        <f t="shared" si="0"/>
        <v>2111.6799999999998</v>
      </c>
      <c r="I20" s="37">
        <f t="shared" si="1"/>
        <v>20.291594</v>
      </c>
      <c r="J20" s="38"/>
      <c r="K20" s="39">
        <f t="shared" si="6"/>
        <v>34191.335890000002</v>
      </c>
      <c r="L20" s="41">
        <f t="shared" si="2"/>
        <v>30.42</v>
      </c>
      <c r="M20" s="38">
        <f t="shared" si="3"/>
        <v>1123.98</v>
      </c>
      <c r="N20" s="38"/>
      <c r="O20" s="38">
        <f t="shared" si="4"/>
        <v>1123.98</v>
      </c>
      <c r="P20" s="41">
        <v>1.0479000000000001</v>
      </c>
      <c r="Q20" s="40">
        <f t="shared" si="5"/>
        <v>1177.8186420000002</v>
      </c>
    </row>
    <row r="23" spans="1:20" x14ac:dyDescent="0.3">
      <c r="A23" s="22"/>
    </row>
    <row r="24" spans="1:20" x14ac:dyDescent="0.3">
      <c r="A24" s="22"/>
    </row>
  </sheetData>
  <mergeCells count="5">
    <mergeCell ref="K3:M3"/>
    <mergeCell ref="O3:Q3"/>
    <mergeCell ref="A1:Q1"/>
    <mergeCell ref="S4:T4"/>
    <mergeCell ref="F3:H3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8A1A-E07F-462D-B857-CAF2E075F368}">
  <dimension ref="A1:L34"/>
  <sheetViews>
    <sheetView zoomScale="70" zoomScaleNormal="70" workbookViewId="0">
      <selection activeCell="D4" sqref="D4"/>
    </sheetView>
  </sheetViews>
  <sheetFormatPr baseColWidth="10" defaultColWidth="11.44140625" defaultRowHeight="14.4" x14ac:dyDescent="0.3"/>
  <cols>
    <col min="1" max="1" width="19.44140625" customWidth="1"/>
    <col min="2" max="2" width="18.88671875" customWidth="1"/>
    <col min="3" max="3" width="20.88671875" customWidth="1"/>
    <col min="4" max="4" width="22" customWidth="1"/>
  </cols>
  <sheetData>
    <row r="1" spans="1:12" ht="19.5" customHeight="1" thickBot="1" x14ac:dyDescent="0.4">
      <c r="A1" s="49" t="s">
        <v>123</v>
      </c>
      <c r="B1" s="49"/>
      <c r="C1" s="49"/>
      <c r="D1" s="49"/>
    </row>
    <row r="2" spans="1:12" ht="18.600000000000001" thickTop="1" x14ac:dyDescent="0.35">
      <c r="A2" s="50" t="s">
        <v>124</v>
      </c>
      <c r="B2" s="50"/>
      <c r="C2" s="50"/>
      <c r="D2" s="50"/>
    </row>
    <row r="3" spans="1:12" ht="18" x14ac:dyDescent="0.35">
      <c r="A3" s="13" t="s">
        <v>125</v>
      </c>
      <c r="B3" s="13" t="s">
        <v>126</v>
      </c>
      <c r="C3" s="13" t="s">
        <v>127</v>
      </c>
      <c r="D3" s="13" t="s">
        <v>128</v>
      </c>
      <c r="E3" s="12"/>
      <c r="F3" s="12"/>
      <c r="G3" s="12"/>
      <c r="H3" s="12"/>
      <c r="I3" s="12"/>
      <c r="J3" s="12"/>
      <c r="K3" s="12"/>
      <c r="L3" s="12"/>
    </row>
    <row r="4" spans="1:12" ht="18" x14ac:dyDescent="0.35">
      <c r="A4" s="14">
        <v>1</v>
      </c>
      <c r="B4" s="15">
        <v>10</v>
      </c>
      <c r="C4" s="16">
        <f>TRUNC(B4*0.25,2)</f>
        <v>2.5</v>
      </c>
      <c r="D4" s="17">
        <f>TRUNC(((365+15+C4)/365),4)</f>
        <v>1.0479000000000001</v>
      </c>
      <c r="F4" s="11"/>
      <c r="G4" s="11"/>
    </row>
    <row r="5" spans="1:12" ht="18" x14ac:dyDescent="0.35">
      <c r="A5" s="14">
        <v>2</v>
      </c>
      <c r="B5" s="15">
        <v>10</v>
      </c>
      <c r="C5" s="16">
        <f>TRUNC(B5*0.25,2)</f>
        <v>2.5</v>
      </c>
      <c r="D5" s="17">
        <f t="shared" ref="D5:D13" si="0">TRUNC(((365+15+C5)/365),4)</f>
        <v>1.0479000000000001</v>
      </c>
      <c r="G5" s="11"/>
      <c r="H5" s="10"/>
    </row>
    <row r="6" spans="1:12" ht="18" x14ac:dyDescent="0.35">
      <c r="A6" s="14">
        <v>3</v>
      </c>
      <c r="B6" s="15">
        <v>15</v>
      </c>
      <c r="C6" s="16">
        <f>TRUNC(B6*0.25,2)</f>
        <v>3.75</v>
      </c>
      <c r="D6" s="17">
        <f t="shared" si="0"/>
        <v>1.0512999999999999</v>
      </c>
      <c r="G6" s="11"/>
    </row>
    <row r="7" spans="1:12" ht="18" x14ac:dyDescent="0.35">
      <c r="A7" s="14">
        <v>4</v>
      </c>
      <c r="B7" s="15">
        <v>15</v>
      </c>
      <c r="C7" s="16">
        <f t="shared" ref="C7:C13" si="1">TRUNC(B7*0.25,2)</f>
        <v>3.75</v>
      </c>
      <c r="D7" s="17">
        <f>TRUNC(((365+15+C7)/365),4)</f>
        <v>1.0512999999999999</v>
      </c>
      <c r="G7" s="11"/>
    </row>
    <row r="8" spans="1:12" ht="18" x14ac:dyDescent="0.35">
      <c r="A8" s="14" t="s">
        <v>129</v>
      </c>
      <c r="B8" s="15">
        <v>15</v>
      </c>
      <c r="C8" s="16">
        <f t="shared" si="1"/>
        <v>3.75</v>
      </c>
      <c r="D8" s="17">
        <f t="shared" si="0"/>
        <v>1.0512999999999999</v>
      </c>
      <c r="I8" s="11"/>
      <c r="J8" s="11"/>
      <c r="K8" s="11"/>
      <c r="L8" s="10"/>
    </row>
    <row r="9" spans="1:12" ht="18" x14ac:dyDescent="0.35">
      <c r="A9" s="14" t="s">
        <v>130</v>
      </c>
      <c r="B9" s="15">
        <v>16</v>
      </c>
      <c r="C9" s="16">
        <f t="shared" si="1"/>
        <v>4</v>
      </c>
      <c r="D9" s="17">
        <f t="shared" si="0"/>
        <v>1.052</v>
      </c>
      <c r="I9" s="11"/>
      <c r="J9" s="11"/>
      <c r="K9" s="11"/>
    </row>
    <row r="10" spans="1:12" ht="18" x14ac:dyDescent="0.35">
      <c r="A10" s="14" t="s">
        <v>131</v>
      </c>
      <c r="B10" s="15">
        <v>18</v>
      </c>
      <c r="C10" s="16">
        <f t="shared" si="1"/>
        <v>4.5</v>
      </c>
      <c r="D10" s="17">
        <f t="shared" si="0"/>
        <v>1.0533999999999999</v>
      </c>
      <c r="F10" s="18"/>
    </row>
    <row r="11" spans="1:12" ht="18" x14ac:dyDescent="0.35">
      <c r="A11" s="14" t="s">
        <v>132</v>
      </c>
      <c r="B11" s="15">
        <v>20</v>
      </c>
      <c r="C11" s="16">
        <f t="shared" si="1"/>
        <v>5</v>
      </c>
      <c r="D11" s="17">
        <f t="shared" si="0"/>
        <v>1.0547</v>
      </c>
    </row>
    <row r="12" spans="1:12" ht="18" x14ac:dyDescent="0.35">
      <c r="A12" s="14" t="s">
        <v>133</v>
      </c>
      <c r="B12" s="15">
        <v>22</v>
      </c>
      <c r="C12" s="16">
        <f t="shared" si="1"/>
        <v>5.5</v>
      </c>
      <c r="D12" s="17">
        <f t="shared" si="0"/>
        <v>1.0561</v>
      </c>
    </row>
    <row r="13" spans="1:12" ht="18" x14ac:dyDescent="0.35">
      <c r="A13" s="14" t="s">
        <v>134</v>
      </c>
      <c r="B13" s="15">
        <v>24</v>
      </c>
      <c r="C13" s="16">
        <f t="shared" si="1"/>
        <v>6</v>
      </c>
      <c r="D13" s="17">
        <f t="shared" si="0"/>
        <v>1.0575000000000001</v>
      </c>
    </row>
    <row r="17" spans="1:6" x14ac:dyDescent="0.3">
      <c r="A17" s="1" t="s">
        <v>135</v>
      </c>
    </row>
    <row r="18" spans="1:6" x14ac:dyDescent="0.3">
      <c r="E18" s="19"/>
      <c r="F18" s="19"/>
    </row>
    <row r="19" spans="1:6" x14ac:dyDescent="0.3">
      <c r="A19" t="s">
        <v>136</v>
      </c>
      <c r="B19" s="20"/>
      <c r="C19" s="19"/>
      <c r="D19" s="19"/>
    </row>
    <row r="20" spans="1:6" x14ac:dyDescent="0.3">
      <c r="A20" t="s">
        <v>137</v>
      </c>
      <c r="B20" s="20"/>
      <c r="C20" s="19"/>
      <c r="D20" s="19"/>
      <c r="E20" s="19"/>
    </row>
    <row r="21" spans="1:6" x14ac:dyDescent="0.3">
      <c r="A21" t="s">
        <v>138</v>
      </c>
      <c r="B21" s="20"/>
      <c r="C21" s="19"/>
      <c r="D21" s="19"/>
    </row>
    <row r="22" spans="1:6" x14ac:dyDescent="0.3">
      <c r="A22" t="s">
        <v>139</v>
      </c>
      <c r="C22" s="19"/>
      <c r="E22" s="19"/>
    </row>
    <row r="23" spans="1:6" x14ac:dyDescent="0.3">
      <c r="A23" t="s">
        <v>140</v>
      </c>
      <c r="C23" s="19"/>
    </row>
    <row r="24" spans="1:6" x14ac:dyDescent="0.3">
      <c r="C24" s="10"/>
    </row>
    <row r="25" spans="1:6" x14ac:dyDescent="0.3">
      <c r="E25" s="19"/>
    </row>
    <row r="33" spans="4:4" x14ac:dyDescent="0.3">
      <c r="D33" s="19"/>
    </row>
    <row r="34" spans="4:4" x14ac:dyDescent="0.3">
      <c r="D34" s="19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C75CD-DDA7-4529-AEEA-EA99247543EE}"/>
</file>

<file path=customXml/itemProps2.xml><?xml version="1.0" encoding="utf-8"?>
<ds:datastoreItem xmlns:ds="http://schemas.openxmlformats.org/officeDocument/2006/customXml" ds:itemID="{DDFECFA4-76D9-4B45-80E3-2C5D3AE7DC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6137A5-1376-4AAD-9511-9BB6380D0FC6}">
  <ds:schemaRefs>
    <ds:schemaRef ds:uri="http://schemas.microsoft.com/office/2006/metadata/properties"/>
    <ds:schemaRef ds:uri="http://schemas.microsoft.com/office/infopath/2007/PartnerControls"/>
    <ds:schemaRef ds:uri="3a684b84-d35d-4ed0-9b62-b4a83786fd0e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Alta</vt:lpstr>
      <vt:lpstr>Salarios</vt:lpstr>
      <vt:lpstr>Factor de integración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Orlando Monroy Herández</dc:creator>
  <cp:keywords/>
  <dc:description/>
  <cp:lastModifiedBy>Román Alberto Rojas Hernández</cp:lastModifiedBy>
  <cp:revision/>
  <dcterms:created xsi:type="dcterms:W3CDTF">2022-07-07T18:51:17Z</dcterms:created>
  <dcterms:modified xsi:type="dcterms:W3CDTF">2022-09-21T15:14:31Z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