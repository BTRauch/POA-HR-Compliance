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0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artnersnet107.sharepoint.com/sites/FA/Organizational FA/Finance Policies &amp; Procedures/F&amp;A Mexico/Edna/DOL425/"/>
    </mc:Choice>
  </mc:AlternateContent>
  <xr:revisionPtr revIDLastSave="403" documentId="8_{D535902D-EDC5-4538-8792-D92BBA4DAB52}" xr6:coauthVersionLast="47" xr6:coauthVersionMax="47" xr10:uidLastSave="{C550D856-553B-4B2F-B66B-B032FC9F1AAB}"/>
  <bookViews>
    <workbookView xWindow="-28920" yWindow="-870" windowWidth="29040" windowHeight="15720" xr2:uid="{E0F3A26B-BEEE-462E-B024-9D082CE7D1EB}"/>
  </bookViews>
  <sheets>
    <sheet name="Noviembre" sheetId="1" r:id="rId1"/>
    <sheet name="diciembre" sheetId="2" r:id="rId2"/>
    <sheet name="enero" sheetId="3" r:id="rId3"/>
    <sheet name="febrero" sheetId="5" r:id="rId4"/>
    <sheet name="marzo" sheetId="6" r:id="rId5"/>
    <sheet name="abril" sheetId="7" r:id="rId6"/>
    <sheet name="mayo" sheetId="8" r:id="rId7"/>
    <sheet name="junio" sheetId="9" r:id="rId8"/>
    <sheet name="julio" sheetId="10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5" i="5" l="1"/>
  <c r="G44" i="5"/>
  <c r="G48" i="2" l="1"/>
  <c r="H47" i="2"/>
  <c r="F47" i="2"/>
  <c r="G43" i="2"/>
  <c r="H25" i="10"/>
  <c r="G25" i="10"/>
  <c r="F25" i="10"/>
  <c r="E25" i="10"/>
  <c r="D25" i="10"/>
  <c r="C25" i="10"/>
  <c r="Z24" i="10"/>
  <c r="Y24" i="10"/>
  <c r="W24" i="10"/>
  <c r="N24" i="10"/>
  <c r="K24" i="10"/>
  <c r="S24" i="10" s="1"/>
  <c r="J24" i="10"/>
  <c r="I24" i="10"/>
  <c r="Z23" i="10"/>
  <c r="Y23" i="10"/>
  <c r="X23" i="10"/>
  <c r="R23" i="10"/>
  <c r="K23" i="10"/>
  <c r="J23" i="10"/>
  <c r="M23" i="10" s="1"/>
  <c r="W23" i="10" s="1"/>
  <c r="I23" i="10"/>
  <c r="Z22" i="10"/>
  <c r="Y22" i="10"/>
  <c r="K22" i="10"/>
  <c r="S22" i="10" s="1"/>
  <c r="J22" i="10"/>
  <c r="N22" i="10" s="1"/>
  <c r="X22" i="10" s="1"/>
  <c r="I22" i="10"/>
  <c r="Z21" i="10"/>
  <c r="Y21" i="10"/>
  <c r="W21" i="10"/>
  <c r="N21" i="10"/>
  <c r="K21" i="10"/>
  <c r="S21" i="10" s="1"/>
  <c r="J21" i="10"/>
  <c r="I21" i="10"/>
  <c r="Z20" i="10"/>
  <c r="Y20" i="10"/>
  <c r="W20" i="10"/>
  <c r="S20" i="10"/>
  <c r="N20" i="10"/>
  <c r="X20" i="10" s="1"/>
  <c r="K20" i="10"/>
  <c r="J20" i="10"/>
  <c r="I20" i="10"/>
  <c r="Z19" i="10"/>
  <c r="Y19" i="10"/>
  <c r="X19" i="10"/>
  <c r="R19" i="10"/>
  <c r="W19" i="10" s="1"/>
  <c r="M19" i="10"/>
  <c r="K19" i="10"/>
  <c r="J19" i="10"/>
  <c r="I19" i="10"/>
  <c r="Z18" i="10"/>
  <c r="Y18" i="10"/>
  <c r="R18" i="10"/>
  <c r="K18" i="10"/>
  <c r="S18" i="10" s="1"/>
  <c r="J18" i="10"/>
  <c r="N18" i="10" s="1"/>
  <c r="X18" i="10" s="1"/>
  <c r="I18" i="10"/>
  <c r="Z17" i="10"/>
  <c r="Y17" i="10"/>
  <c r="W17" i="10"/>
  <c r="K17" i="10"/>
  <c r="S17" i="10" s="1"/>
  <c r="J17" i="10"/>
  <c r="N17" i="10" s="1"/>
  <c r="X17" i="10" s="1"/>
  <c r="I17" i="10"/>
  <c r="Z16" i="10"/>
  <c r="Y16" i="10"/>
  <c r="X16" i="10"/>
  <c r="K16" i="10"/>
  <c r="R16" i="10" s="1"/>
  <c r="J16" i="10"/>
  <c r="M16" i="10" s="1"/>
  <c r="I16" i="10"/>
  <c r="Z15" i="10"/>
  <c r="S15" i="10"/>
  <c r="R15" i="10"/>
  <c r="N15" i="10"/>
  <c r="X15" i="10" s="1"/>
  <c r="K15" i="10"/>
  <c r="T15" i="10" s="1"/>
  <c r="J15" i="10"/>
  <c r="O15" i="10" s="1"/>
  <c r="Y15" i="10" s="1"/>
  <c r="I15" i="10"/>
  <c r="Z14" i="10"/>
  <c r="Y14" i="10"/>
  <c r="X14" i="10"/>
  <c r="K14" i="10"/>
  <c r="R14" i="10" s="1"/>
  <c r="J14" i="10"/>
  <c r="M14" i="10" s="1"/>
  <c r="W14" i="10" s="1"/>
  <c r="I14" i="10"/>
  <c r="T13" i="10"/>
  <c r="S13" i="10"/>
  <c r="R13" i="10"/>
  <c r="P13" i="10"/>
  <c r="N13" i="10"/>
  <c r="X13" i="10" s="1"/>
  <c r="K13" i="10"/>
  <c r="U13" i="10" s="1"/>
  <c r="U25" i="10" s="1"/>
  <c r="J13" i="10"/>
  <c r="O13" i="10" s="1"/>
  <c r="Y13" i="10" s="1"/>
  <c r="I13" i="10"/>
  <c r="Z12" i="10"/>
  <c r="Y12" i="10"/>
  <c r="W12" i="10"/>
  <c r="K12" i="10"/>
  <c r="S12" i="10" s="1"/>
  <c r="J12" i="10"/>
  <c r="N12" i="10" s="1"/>
  <c r="I12" i="10"/>
  <c r="Z11" i="10"/>
  <c r="Y11" i="10"/>
  <c r="W11" i="10"/>
  <c r="K11" i="10"/>
  <c r="S11" i="10" s="1"/>
  <c r="J11" i="10"/>
  <c r="N11" i="10" s="1"/>
  <c r="I11" i="10"/>
  <c r="Z10" i="10"/>
  <c r="Y10" i="10"/>
  <c r="X10" i="10"/>
  <c r="K10" i="10"/>
  <c r="R10" i="10" s="1"/>
  <c r="J10" i="10"/>
  <c r="M10" i="10" s="1"/>
  <c r="W10" i="10" s="1"/>
  <c r="I10" i="10"/>
  <c r="Z9" i="10"/>
  <c r="Y9" i="10"/>
  <c r="X9" i="10"/>
  <c r="M9" i="10"/>
  <c r="K9" i="10"/>
  <c r="R9" i="10" s="1"/>
  <c r="J9" i="10"/>
  <c r="I9" i="10"/>
  <c r="Z8" i="10"/>
  <c r="W8" i="10"/>
  <c r="T8" i="10"/>
  <c r="S8" i="10"/>
  <c r="O8" i="10"/>
  <c r="N8" i="10"/>
  <c r="X8" i="10" s="1"/>
  <c r="K8" i="10"/>
  <c r="J8" i="10"/>
  <c r="I8" i="10"/>
  <c r="Z7" i="10"/>
  <c r="Y7" i="10"/>
  <c r="W7" i="10"/>
  <c r="S7" i="10"/>
  <c r="K7" i="10"/>
  <c r="J7" i="10"/>
  <c r="N7" i="10" s="1"/>
  <c r="X7" i="10" s="1"/>
  <c r="I7" i="10"/>
  <c r="Z6" i="10"/>
  <c r="Y6" i="10"/>
  <c r="W6" i="10"/>
  <c r="K6" i="10"/>
  <c r="S6" i="10" s="1"/>
  <c r="J6" i="10"/>
  <c r="N6" i="10" s="1"/>
  <c r="X6" i="10" s="1"/>
  <c r="I6" i="10"/>
  <c r="Z5" i="10"/>
  <c r="Y5" i="10"/>
  <c r="X5" i="10"/>
  <c r="K5" i="10"/>
  <c r="R5" i="10" s="1"/>
  <c r="J5" i="10"/>
  <c r="M5" i="10" s="1"/>
  <c r="W5" i="10" s="1"/>
  <c r="I5" i="10"/>
  <c r="Z4" i="10"/>
  <c r="Y4" i="10"/>
  <c r="X4" i="10"/>
  <c r="K4" i="10"/>
  <c r="R4" i="10" s="1"/>
  <c r="J4" i="10"/>
  <c r="J25" i="10" s="1"/>
  <c r="I4" i="10"/>
  <c r="Z3" i="10"/>
  <c r="Y3" i="10"/>
  <c r="W3" i="10"/>
  <c r="N3" i="10"/>
  <c r="K3" i="10"/>
  <c r="K25" i="10" s="1"/>
  <c r="J3" i="10"/>
  <c r="I3" i="10"/>
  <c r="I25" i="10" s="1"/>
  <c r="N25" i="10" l="1"/>
  <c r="O25" i="10"/>
  <c r="X21" i="10"/>
  <c r="Y25" i="10"/>
  <c r="X12" i="10"/>
  <c r="R25" i="10"/>
  <c r="T25" i="10"/>
  <c r="Z13" i="10"/>
  <c r="Z25" i="10"/>
  <c r="W9" i="10"/>
  <c r="X11" i="10"/>
  <c r="X24" i="10"/>
  <c r="W16" i="10"/>
  <c r="P25" i="10"/>
  <c r="S3" i="10"/>
  <c r="S25" i="10" s="1"/>
  <c r="M4" i="10"/>
  <c r="M22" i="10"/>
  <c r="Y8" i="10"/>
  <c r="M18" i="10"/>
  <c r="W18" i="10" s="1"/>
  <c r="R22" i="10"/>
  <c r="M13" i="10"/>
  <c r="W13" i="10" s="1"/>
  <c r="M15" i="10"/>
  <c r="W15" i="10" s="1"/>
  <c r="X3" i="10" l="1"/>
  <c r="X25" i="10" s="1"/>
  <c r="W22" i="10"/>
  <c r="M25" i="10"/>
  <c r="W4" i="10"/>
  <c r="W25" i="10" s="1"/>
  <c r="H18" i="9" l="1"/>
  <c r="G18" i="9"/>
  <c r="F18" i="9"/>
  <c r="E18" i="9"/>
  <c r="D18" i="9"/>
  <c r="C18" i="9"/>
  <c r="O17" i="9"/>
  <c r="Q17" i="9" s="1"/>
  <c r="M17" i="9"/>
  <c r="K17" i="9"/>
  <c r="J17" i="9"/>
  <c r="I17" i="9"/>
  <c r="M16" i="9"/>
  <c r="K16" i="9"/>
  <c r="O16" i="9" s="1"/>
  <c r="J16" i="9"/>
  <c r="I16" i="9"/>
  <c r="K15" i="9"/>
  <c r="O15" i="9" s="1"/>
  <c r="J15" i="9"/>
  <c r="M15" i="9" s="1"/>
  <c r="I15" i="9"/>
  <c r="K14" i="9"/>
  <c r="O14" i="9" s="1"/>
  <c r="J14" i="9"/>
  <c r="M14" i="9" s="1"/>
  <c r="Q14" i="9" s="1"/>
  <c r="I14" i="9"/>
  <c r="O13" i="9"/>
  <c r="Q13" i="9" s="1"/>
  <c r="M13" i="9"/>
  <c r="K13" i="9"/>
  <c r="J13" i="9"/>
  <c r="I13" i="9"/>
  <c r="K12" i="9"/>
  <c r="O12" i="9" s="1"/>
  <c r="J12" i="9"/>
  <c r="M12" i="9" s="1"/>
  <c r="Q12" i="9" s="1"/>
  <c r="I12" i="9"/>
  <c r="K11" i="9"/>
  <c r="O11" i="9" s="1"/>
  <c r="J11" i="9"/>
  <c r="M11" i="9" s="1"/>
  <c r="Q11" i="9" s="1"/>
  <c r="I11" i="9"/>
  <c r="K10" i="9"/>
  <c r="O10" i="9" s="1"/>
  <c r="J10" i="9"/>
  <c r="M10" i="9" s="1"/>
  <c r="Q10" i="9" s="1"/>
  <c r="I10" i="9"/>
  <c r="O9" i="9"/>
  <c r="M9" i="9"/>
  <c r="Q9" i="9" s="1"/>
  <c r="K9" i="9"/>
  <c r="J9" i="9"/>
  <c r="I9" i="9"/>
  <c r="K8" i="9"/>
  <c r="O8" i="9" s="1"/>
  <c r="J8" i="9"/>
  <c r="M8" i="9" s="1"/>
  <c r="Q8" i="9" s="1"/>
  <c r="I8" i="9"/>
  <c r="K7" i="9"/>
  <c r="O7" i="9" s="1"/>
  <c r="J7" i="9"/>
  <c r="J18" i="9" s="1"/>
  <c r="I7" i="9"/>
  <c r="I18" i="9" s="1"/>
  <c r="M6" i="9"/>
  <c r="K6" i="9"/>
  <c r="O6" i="9" s="1"/>
  <c r="Q6" i="9" s="1"/>
  <c r="J6" i="9"/>
  <c r="I6" i="9"/>
  <c r="O5" i="9"/>
  <c r="M5" i="9"/>
  <c r="K5" i="9"/>
  <c r="K18" i="9" s="1"/>
  <c r="J5" i="9"/>
  <c r="I5" i="9"/>
  <c r="Q16" i="9" l="1"/>
  <c r="O18" i="9"/>
  <c r="Q15" i="9"/>
  <c r="Q5" i="9"/>
  <c r="M7" i="9"/>
  <c r="Q7" i="9" s="1"/>
  <c r="I18" i="8"/>
  <c r="H18" i="8"/>
  <c r="G18" i="8"/>
  <c r="F18" i="8"/>
  <c r="E18" i="8"/>
  <c r="D18" i="8"/>
  <c r="C18" i="8"/>
  <c r="K17" i="8"/>
  <c r="J17" i="8"/>
  <c r="I17" i="8"/>
  <c r="M16" i="8"/>
  <c r="K16" i="8"/>
  <c r="O16" i="8" s="1"/>
  <c r="Q16" i="8" s="1"/>
  <c r="J16" i="8"/>
  <c r="I16" i="8"/>
  <c r="M15" i="8"/>
  <c r="K15" i="8"/>
  <c r="O15" i="8" s="1"/>
  <c r="J15" i="8"/>
  <c r="I15" i="8"/>
  <c r="K14" i="8"/>
  <c r="O14" i="8" s="1"/>
  <c r="J14" i="8"/>
  <c r="M14" i="8" s="1"/>
  <c r="Q14" i="8" s="1"/>
  <c r="I14" i="8"/>
  <c r="K13" i="8"/>
  <c r="O13" i="8" s="1"/>
  <c r="J13" i="8"/>
  <c r="M13" i="8" s="1"/>
  <c r="Q13" i="8" s="1"/>
  <c r="I13" i="8"/>
  <c r="M12" i="8"/>
  <c r="K12" i="8"/>
  <c r="O12" i="8" s="1"/>
  <c r="Q12" i="8" s="1"/>
  <c r="J12" i="8"/>
  <c r="I12" i="8"/>
  <c r="M11" i="8"/>
  <c r="K11" i="8"/>
  <c r="O11" i="8" s="1"/>
  <c r="J11" i="8"/>
  <c r="I11" i="8"/>
  <c r="O10" i="8"/>
  <c r="K10" i="8"/>
  <c r="J10" i="8"/>
  <c r="M10" i="8" s="1"/>
  <c r="Q10" i="8" s="1"/>
  <c r="I10" i="8"/>
  <c r="Q9" i="8"/>
  <c r="K9" i="8"/>
  <c r="J9" i="8"/>
  <c r="I9" i="8"/>
  <c r="M8" i="8"/>
  <c r="K8" i="8"/>
  <c r="O8" i="8" s="1"/>
  <c r="J8" i="8"/>
  <c r="I8" i="8"/>
  <c r="O7" i="8"/>
  <c r="K7" i="8"/>
  <c r="J7" i="8"/>
  <c r="M7" i="8" s="1"/>
  <c r="Q7" i="8" s="1"/>
  <c r="I7" i="8"/>
  <c r="K6" i="8"/>
  <c r="O6" i="8" s="1"/>
  <c r="J6" i="8"/>
  <c r="M6" i="8" s="1"/>
  <c r="Q6" i="8" s="1"/>
  <c r="I6" i="8"/>
  <c r="M5" i="8"/>
  <c r="K5" i="8"/>
  <c r="O5" i="8" s="1"/>
  <c r="Q5" i="8" s="1"/>
  <c r="J5" i="8"/>
  <c r="I5" i="8"/>
  <c r="K4" i="8"/>
  <c r="K18" i="8" s="1"/>
  <c r="J4" i="8"/>
  <c r="J18" i="8" s="1"/>
  <c r="I4" i="8"/>
  <c r="G34" i="7"/>
  <c r="E34" i="7"/>
  <c r="F33" i="7"/>
  <c r="H33" i="7" s="1"/>
  <c r="G29" i="7"/>
  <c r="G19" i="7"/>
  <c r="F19" i="7"/>
  <c r="E19" i="7"/>
  <c r="D19" i="7"/>
  <c r="C19" i="7"/>
  <c r="M18" i="7"/>
  <c r="K18" i="7"/>
  <c r="O18" i="7" s="1"/>
  <c r="J18" i="7"/>
  <c r="I18" i="7"/>
  <c r="O17" i="7"/>
  <c r="K17" i="7"/>
  <c r="J17" i="7"/>
  <c r="M17" i="7" s="1"/>
  <c r="I17" i="7"/>
  <c r="K16" i="7"/>
  <c r="O16" i="7" s="1"/>
  <c r="J16" i="7"/>
  <c r="M16" i="7" s="1"/>
  <c r="I16" i="7"/>
  <c r="M15" i="7"/>
  <c r="K15" i="7"/>
  <c r="O15" i="7" s="1"/>
  <c r="J15" i="7"/>
  <c r="I15" i="7"/>
  <c r="O14" i="7"/>
  <c r="M14" i="7"/>
  <c r="K14" i="7"/>
  <c r="J14" i="7"/>
  <c r="I14" i="7"/>
  <c r="O13" i="7"/>
  <c r="M13" i="7"/>
  <c r="K13" i="7"/>
  <c r="J13" i="7"/>
  <c r="I13" i="7"/>
  <c r="M12" i="7"/>
  <c r="K12" i="7"/>
  <c r="O12" i="7" s="1"/>
  <c r="J12" i="7"/>
  <c r="I12" i="7"/>
  <c r="O11" i="7"/>
  <c r="M11" i="7"/>
  <c r="Q11" i="7" s="1"/>
  <c r="K11" i="7"/>
  <c r="J11" i="7"/>
  <c r="I11" i="7"/>
  <c r="Q10" i="7"/>
  <c r="O10" i="7"/>
  <c r="M10" i="7"/>
  <c r="K10" i="7"/>
  <c r="J10" i="7"/>
  <c r="I10" i="7"/>
  <c r="O9" i="7"/>
  <c r="K9" i="7"/>
  <c r="J9" i="7"/>
  <c r="M9" i="7" s="1"/>
  <c r="I9" i="7"/>
  <c r="K8" i="7"/>
  <c r="O8" i="7" s="1"/>
  <c r="J8" i="7"/>
  <c r="M8" i="7" s="1"/>
  <c r="I8" i="7"/>
  <c r="M7" i="7"/>
  <c r="K7" i="7"/>
  <c r="O7" i="7" s="1"/>
  <c r="J7" i="7"/>
  <c r="I7" i="7"/>
  <c r="I19" i="7" s="1"/>
  <c r="H7" i="7"/>
  <c r="H19" i="7" s="1"/>
  <c r="O6" i="7"/>
  <c r="K6" i="7"/>
  <c r="K19" i="7" s="1"/>
  <c r="J6" i="7"/>
  <c r="M6" i="7" s="1"/>
  <c r="I6" i="7"/>
  <c r="E33" i="6"/>
  <c r="G33" i="6" s="1"/>
  <c r="F32" i="6"/>
  <c r="H32" i="6" s="1"/>
  <c r="G28" i="6"/>
  <c r="H17" i="6"/>
  <c r="G17" i="6"/>
  <c r="F17" i="6"/>
  <c r="E17" i="6"/>
  <c r="K16" i="6"/>
  <c r="J16" i="6"/>
  <c r="I16" i="6"/>
  <c r="O15" i="6"/>
  <c r="K15" i="6"/>
  <c r="J15" i="6"/>
  <c r="M15" i="6" s="1"/>
  <c r="Q15" i="6" s="1"/>
  <c r="I15" i="6"/>
  <c r="K14" i="6"/>
  <c r="O14" i="6" s="1"/>
  <c r="I14" i="6"/>
  <c r="D14" i="6"/>
  <c r="C14" i="6"/>
  <c r="J14" i="6" s="1"/>
  <c r="M14" i="6" s="1"/>
  <c r="Q14" i="6" s="1"/>
  <c r="K13" i="6"/>
  <c r="O13" i="6" s="1"/>
  <c r="I13" i="6"/>
  <c r="D13" i="6"/>
  <c r="C13" i="6"/>
  <c r="J13" i="6" s="1"/>
  <c r="M13" i="6" s="1"/>
  <c r="Q13" i="6" s="1"/>
  <c r="M12" i="6"/>
  <c r="K12" i="6"/>
  <c r="O12" i="6" s="1"/>
  <c r="J12" i="6"/>
  <c r="I12" i="6"/>
  <c r="O11" i="6"/>
  <c r="K11" i="6"/>
  <c r="J11" i="6"/>
  <c r="M11" i="6" s="1"/>
  <c r="Q11" i="6" s="1"/>
  <c r="I11" i="6"/>
  <c r="O10" i="6"/>
  <c r="K10" i="6"/>
  <c r="J10" i="6"/>
  <c r="M10" i="6" s="1"/>
  <c r="Q10" i="6" s="1"/>
  <c r="I10" i="6"/>
  <c r="O9" i="6"/>
  <c r="K9" i="6"/>
  <c r="J9" i="6"/>
  <c r="M9" i="6" s="1"/>
  <c r="Q9" i="6" s="1"/>
  <c r="I9" i="6"/>
  <c r="K8" i="6"/>
  <c r="O8" i="6" s="1"/>
  <c r="I8" i="6"/>
  <c r="D8" i="6"/>
  <c r="C8" i="6"/>
  <c r="J8" i="6" s="1"/>
  <c r="M8" i="6" s="1"/>
  <c r="Q8" i="6" s="1"/>
  <c r="M7" i="6"/>
  <c r="Q7" i="6" s="1"/>
  <c r="K7" i="6"/>
  <c r="O7" i="6" s="1"/>
  <c r="J7" i="6"/>
  <c r="I7" i="6"/>
  <c r="O6" i="6"/>
  <c r="K6" i="6"/>
  <c r="J6" i="6"/>
  <c r="M6" i="6" s="1"/>
  <c r="Q6" i="6" s="1"/>
  <c r="I6" i="6"/>
  <c r="D5" i="6"/>
  <c r="D17" i="6" s="1"/>
  <c r="C5" i="6"/>
  <c r="C17" i="6" s="1"/>
  <c r="O4" i="6"/>
  <c r="K4" i="6"/>
  <c r="J4" i="6"/>
  <c r="M4" i="6" s="1"/>
  <c r="I4" i="6"/>
  <c r="E32" i="5"/>
  <c r="F31" i="5"/>
  <c r="G27" i="5"/>
  <c r="G32" i="5"/>
  <c r="H31" i="5"/>
  <c r="S16" i="5"/>
  <c r="Q16" i="5"/>
  <c r="K16" i="5"/>
  <c r="H16" i="5"/>
  <c r="G16" i="5"/>
  <c r="F16" i="5"/>
  <c r="E16" i="5"/>
  <c r="D16" i="5"/>
  <c r="C16" i="5"/>
  <c r="W15" i="5"/>
  <c r="U15" i="5"/>
  <c r="K15" i="5"/>
  <c r="R15" i="5" s="1"/>
  <c r="J15" i="5"/>
  <c r="N15" i="5" s="1"/>
  <c r="I15" i="5"/>
  <c r="W14" i="5"/>
  <c r="U14" i="5"/>
  <c r="K14" i="5"/>
  <c r="R14" i="5" s="1"/>
  <c r="J14" i="5"/>
  <c r="N14" i="5" s="1"/>
  <c r="V14" i="5" s="1"/>
  <c r="I14" i="5"/>
  <c r="W13" i="5"/>
  <c r="U13" i="5"/>
  <c r="K13" i="5"/>
  <c r="R13" i="5" s="1"/>
  <c r="J13" i="5"/>
  <c r="N13" i="5" s="1"/>
  <c r="V13" i="5" s="1"/>
  <c r="I13" i="5"/>
  <c r="W12" i="5"/>
  <c r="U12" i="5"/>
  <c r="K12" i="5"/>
  <c r="R12" i="5" s="1"/>
  <c r="J12" i="5"/>
  <c r="N12" i="5" s="1"/>
  <c r="V12" i="5" s="1"/>
  <c r="I12" i="5"/>
  <c r="W11" i="5"/>
  <c r="U11" i="5"/>
  <c r="K11" i="5"/>
  <c r="R11" i="5" s="1"/>
  <c r="J11" i="5"/>
  <c r="N11" i="5" s="1"/>
  <c r="I11" i="5"/>
  <c r="W10" i="5"/>
  <c r="U10" i="5"/>
  <c r="K10" i="5"/>
  <c r="R10" i="5" s="1"/>
  <c r="J10" i="5"/>
  <c r="N10" i="5" s="1"/>
  <c r="V10" i="5" s="1"/>
  <c r="I10" i="5"/>
  <c r="W9" i="5"/>
  <c r="U9" i="5"/>
  <c r="K9" i="5"/>
  <c r="R9" i="5" s="1"/>
  <c r="J9" i="5"/>
  <c r="N9" i="5" s="1"/>
  <c r="I9" i="5"/>
  <c r="W8" i="5"/>
  <c r="U8" i="5"/>
  <c r="K8" i="5"/>
  <c r="R8" i="5" s="1"/>
  <c r="J8" i="5"/>
  <c r="N8" i="5" s="1"/>
  <c r="V8" i="5" s="1"/>
  <c r="I8" i="5"/>
  <c r="W7" i="5"/>
  <c r="U7" i="5"/>
  <c r="K7" i="5"/>
  <c r="R7" i="5" s="1"/>
  <c r="J7" i="5"/>
  <c r="N7" i="5" s="1"/>
  <c r="I7" i="5"/>
  <c r="W6" i="5"/>
  <c r="U6" i="5"/>
  <c r="K6" i="5"/>
  <c r="R6" i="5" s="1"/>
  <c r="J6" i="5"/>
  <c r="N6" i="5" s="1"/>
  <c r="V6" i="5" s="1"/>
  <c r="I6" i="5"/>
  <c r="W5" i="5"/>
  <c r="U5" i="5"/>
  <c r="K5" i="5"/>
  <c r="R5" i="5" s="1"/>
  <c r="J5" i="5"/>
  <c r="N5" i="5" s="1"/>
  <c r="V5" i="5" s="1"/>
  <c r="I5" i="5"/>
  <c r="W4" i="5"/>
  <c r="W16" i="5" s="1"/>
  <c r="U4" i="5"/>
  <c r="U16" i="5" s="1"/>
  <c r="K4" i="5"/>
  <c r="R4" i="5" s="1"/>
  <c r="J4" i="5"/>
  <c r="J16" i="5" s="1"/>
  <c r="I4" i="5"/>
  <c r="I16" i="5" s="1"/>
  <c r="H14" i="3"/>
  <c r="G14" i="3"/>
  <c r="F14" i="3"/>
  <c r="E14" i="3"/>
  <c r="D14" i="3"/>
  <c r="C14" i="3"/>
  <c r="K13" i="3"/>
  <c r="O13" i="3" s="1"/>
  <c r="J13" i="3"/>
  <c r="M13" i="3" s="1"/>
  <c r="I13" i="3"/>
  <c r="K12" i="3"/>
  <c r="O12" i="3" s="1"/>
  <c r="J12" i="3"/>
  <c r="M12" i="3" s="1"/>
  <c r="I12" i="3"/>
  <c r="K11" i="3"/>
  <c r="O11" i="3" s="1"/>
  <c r="J11" i="3"/>
  <c r="M11" i="3" s="1"/>
  <c r="Q11" i="3" s="1"/>
  <c r="I11" i="3"/>
  <c r="K10" i="3"/>
  <c r="O10" i="3" s="1"/>
  <c r="J10" i="3"/>
  <c r="M10" i="3" s="1"/>
  <c r="I10" i="3"/>
  <c r="K9" i="3"/>
  <c r="O9" i="3" s="1"/>
  <c r="J9" i="3"/>
  <c r="M9" i="3" s="1"/>
  <c r="Q9" i="3" s="1"/>
  <c r="I9" i="3"/>
  <c r="K8" i="3"/>
  <c r="O8" i="3" s="1"/>
  <c r="J8" i="3"/>
  <c r="M8" i="3" s="1"/>
  <c r="Q8" i="3" s="1"/>
  <c r="I8" i="3"/>
  <c r="K7" i="3"/>
  <c r="O7" i="3" s="1"/>
  <c r="J7" i="3"/>
  <c r="M7" i="3" s="1"/>
  <c r="Q7" i="3" s="1"/>
  <c r="I7" i="3"/>
  <c r="O6" i="3"/>
  <c r="K6" i="3"/>
  <c r="J6" i="3"/>
  <c r="M6" i="3" s="1"/>
  <c r="Q6" i="3" s="1"/>
  <c r="I6" i="3"/>
  <c r="K5" i="3"/>
  <c r="O5" i="3" s="1"/>
  <c r="J5" i="3"/>
  <c r="M5" i="3" s="1"/>
  <c r="Q5" i="3" s="1"/>
  <c r="I5" i="3"/>
  <c r="M4" i="3"/>
  <c r="K4" i="3"/>
  <c r="O4" i="3" s="1"/>
  <c r="J4" i="3"/>
  <c r="I4" i="3"/>
  <c r="K3" i="3"/>
  <c r="O3" i="3" s="1"/>
  <c r="J3" i="3"/>
  <c r="M3" i="3" s="1"/>
  <c r="I3" i="3"/>
  <c r="G34" i="2"/>
  <c r="F33" i="2"/>
  <c r="H33" i="2" s="1"/>
  <c r="G29" i="2"/>
  <c r="Q18" i="9" l="1"/>
  <c r="M18" i="9"/>
  <c r="Q15" i="8"/>
  <c r="Q11" i="8"/>
  <c r="Q8" i="8"/>
  <c r="M4" i="8"/>
  <c r="O4" i="8"/>
  <c r="O18" i="8" s="1"/>
  <c r="Q9" i="7"/>
  <c r="Q12" i="7"/>
  <c r="Q16" i="7"/>
  <c r="Q18" i="7"/>
  <c r="Q8" i="7"/>
  <c r="O19" i="7"/>
  <c r="Q17" i="7"/>
  <c r="M19" i="7"/>
  <c r="Q6" i="7"/>
  <c r="Q13" i="7"/>
  <c r="J19" i="7"/>
  <c r="Q14" i="7"/>
  <c r="Q7" i="7"/>
  <c r="Q15" i="7"/>
  <c r="Q4" i="6"/>
  <c r="Q12" i="6"/>
  <c r="I5" i="6"/>
  <c r="I17" i="6" s="1"/>
  <c r="J5" i="6"/>
  <c r="M5" i="6" s="1"/>
  <c r="Q5" i="6" s="1"/>
  <c r="K5" i="6"/>
  <c r="O5" i="6" s="1"/>
  <c r="O17" i="6" s="1"/>
  <c r="V7" i="5"/>
  <c r="V15" i="5"/>
  <c r="R16" i="5"/>
  <c r="V9" i="5"/>
  <c r="V11" i="5"/>
  <c r="N4" i="5"/>
  <c r="I14" i="3"/>
  <c r="Q10" i="3"/>
  <c r="Q13" i="3"/>
  <c r="O14" i="3"/>
  <c r="Q4" i="3"/>
  <c r="Q3" i="3"/>
  <c r="M14" i="3"/>
  <c r="Q12" i="3"/>
  <c r="J14" i="3"/>
  <c r="K14" i="3"/>
  <c r="V22" i="2"/>
  <c r="H20" i="2"/>
  <c r="G20" i="2"/>
  <c r="F20" i="2"/>
  <c r="E20" i="2"/>
  <c r="D20" i="2"/>
  <c r="C20" i="2"/>
  <c r="V19" i="2"/>
  <c r="U19" i="2"/>
  <c r="S19" i="2"/>
  <c r="K19" i="2"/>
  <c r="J19" i="2"/>
  <c r="O19" i="2" s="1"/>
  <c r="W19" i="2" s="1"/>
  <c r="I19" i="2"/>
  <c r="W18" i="2"/>
  <c r="U18" i="2"/>
  <c r="R18" i="2"/>
  <c r="K18" i="2"/>
  <c r="J18" i="2"/>
  <c r="V18" i="2" s="1"/>
  <c r="I18" i="2"/>
  <c r="W17" i="2"/>
  <c r="U17" i="2"/>
  <c r="R17" i="2"/>
  <c r="K17" i="2"/>
  <c r="J17" i="2"/>
  <c r="V17" i="2" s="1"/>
  <c r="I17" i="2"/>
  <c r="W16" i="2"/>
  <c r="V16" i="2"/>
  <c r="Q16" i="2"/>
  <c r="K16" i="2"/>
  <c r="J16" i="2"/>
  <c r="M16" i="2" s="1"/>
  <c r="U16" i="2" s="1"/>
  <c r="I16" i="2"/>
  <c r="S15" i="2"/>
  <c r="K15" i="2"/>
  <c r="R15" i="2" s="1"/>
  <c r="J15" i="2"/>
  <c r="O15" i="2" s="1"/>
  <c r="W15" i="2" s="1"/>
  <c r="I15" i="2"/>
  <c r="W14" i="2"/>
  <c r="V14" i="2"/>
  <c r="K14" i="2"/>
  <c r="Q14" i="2" s="1"/>
  <c r="J14" i="2"/>
  <c r="M14" i="2" s="1"/>
  <c r="I14" i="2"/>
  <c r="W13" i="2"/>
  <c r="U13" i="2"/>
  <c r="K13" i="2"/>
  <c r="R13" i="2" s="1"/>
  <c r="J13" i="2"/>
  <c r="V13" i="2" s="1"/>
  <c r="I13" i="2"/>
  <c r="W12" i="2"/>
  <c r="U12" i="2"/>
  <c r="K12" i="2"/>
  <c r="R12" i="2" s="1"/>
  <c r="J12" i="2"/>
  <c r="V12" i="2" s="1"/>
  <c r="I12" i="2"/>
  <c r="V11" i="2"/>
  <c r="U11" i="2"/>
  <c r="K11" i="2"/>
  <c r="S11" i="2" s="1"/>
  <c r="S20" i="2" s="1"/>
  <c r="J11" i="2"/>
  <c r="O11" i="2" s="1"/>
  <c r="I11" i="2"/>
  <c r="W10" i="2"/>
  <c r="V10" i="2"/>
  <c r="K10" i="2"/>
  <c r="Q10" i="2" s="1"/>
  <c r="J10" i="2"/>
  <c r="M10" i="2" s="1"/>
  <c r="U10" i="2" s="1"/>
  <c r="I10" i="2"/>
  <c r="W9" i="2"/>
  <c r="U9" i="2"/>
  <c r="K9" i="2"/>
  <c r="R9" i="2" s="1"/>
  <c r="J9" i="2"/>
  <c r="V9" i="2" s="1"/>
  <c r="I9" i="2"/>
  <c r="W8" i="2"/>
  <c r="V8" i="2"/>
  <c r="K8" i="2"/>
  <c r="Q8" i="2" s="1"/>
  <c r="J8" i="2"/>
  <c r="M8" i="2" s="1"/>
  <c r="I8" i="2"/>
  <c r="I20" i="2" s="1"/>
  <c r="W7" i="2"/>
  <c r="M7" i="2"/>
  <c r="K7" i="2"/>
  <c r="Q7" i="2" s="1"/>
  <c r="J7" i="2"/>
  <c r="I7" i="2"/>
  <c r="W6" i="2"/>
  <c r="U6" i="2"/>
  <c r="K6" i="2"/>
  <c r="R6" i="2" s="1"/>
  <c r="J6" i="2"/>
  <c r="I6" i="2"/>
  <c r="W5" i="2"/>
  <c r="V5" i="2"/>
  <c r="M5" i="2"/>
  <c r="K5" i="2"/>
  <c r="Q5" i="2" s="1"/>
  <c r="J5" i="2"/>
  <c r="I5" i="2"/>
  <c r="W4" i="2"/>
  <c r="U4" i="2"/>
  <c r="K4" i="2"/>
  <c r="R4" i="2" s="1"/>
  <c r="J4" i="2"/>
  <c r="I4" i="2"/>
  <c r="W3" i="2"/>
  <c r="V3" i="2"/>
  <c r="M3" i="2"/>
  <c r="K3" i="2"/>
  <c r="Q3" i="2" s="1"/>
  <c r="J3" i="2"/>
  <c r="J20" i="2" s="1"/>
  <c r="I3" i="2"/>
  <c r="M18" i="8" l="1"/>
  <c r="Q4" i="8"/>
  <c r="Q18" i="8" s="1"/>
  <c r="Q19" i="7"/>
  <c r="M17" i="6"/>
  <c r="K17" i="6"/>
  <c r="J17" i="6"/>
  <c r="Q17" i="6"/>
  <c r="V4" i="5"/>
  <c r="V16" i="5" s="1"/>
  <c r="N16" i="5"/>
  <c r="Q14" i="3"/>
  <c r="U7" i="2"/>
  <c r="V7" i="2"/>
  <c r="V6" i="2"/>
  <c r="U14" i="2"/>
  <c r="O20" i="2"/>
  <c r="W11" i="2"/>
  <c r="W20" i="2" s="1"/>
  <c r="U5" i="2"/>
  <c r="U8" i="2"/>
  <c r="U3" i="2"/>
  <c r="V4" i="2"/>
  <c r="R7" i="2"/>
  <c r="R20" i="2" s="1"/>
  <c r="V15" i="2"/>
  <c r="K20" i="2"/>
  <c r="M15" i="2"/>
  <c r="M20" i="2" s="1"/>
  <c r="Q15" i="2"/>
  <c r="Q20" i="2" s="1"/>
  <c r="V20" i="2" l="1"/>
  <c r="N20" i="2"/>
  <c r="U15" i="2"/>
  <c r="U20" i="2" s="1"/>
  <c r="I33" i="1" l="1"/>
  <c r="G33" i="1"/>
  <c r="H29" i="1"/>
  <c r="E20" i="1"/>
  <c r="D20" i="1"/>
  <c r="C20" i="1"/>
  <c r="M19" i="1"/>
  <c r="Q19" i="1" s="1"/>
  <c r="E19" i="1"/>
  <c r="L18" i="1"/>
  <c r="H18" i="1"/>
  <c r="P18" i="1" s="1"/>
  <c r="E18" i="1"/>
  <c r="L17" i="1"/>
  <c r="H17" i="1"/>
  <c r="P17" i="1" s="1"/>
  <c r="E17" i="1"/>
  <c r="K16" i="1"/>
  <c r="G16" i="1"/>
  <c r="O16" i="1" s="1"/>
  <c r="E16" i="1"/>
  <c r="M15" i="1"/>
  <c r="L15" i="1"/>
  <c r="P15" i="1" s="1"/>
  <c r="K15" i="1"/>
  <c r="O15" i="1" s="1"/>
  <c r="I15" i="1"/>
  <c r="Q15" i="1" s="1"/>
  <c r="H15" i="1"/>
  <c r="G15" i="1"/>
  <c r="E15" i="1"/>
  <c r="O14" i="1"/>
  <c r="K14" i="1"/>
  <c r="G14" i="1"/>
  <c r="E14" i="1"/>
  <c r="P13" i="1"/>
  <c r="L13" i="1"/>
  <c r="H13" i="1"/>
  <c r="E13" i="1"/>
  <c r="P12" i="1"/>
  <c r="L12" i="1"/>
  <c r="H12" i="1"/>
  <c r="E12" i="1"/>
  <c r="Q11" i="1"/>
  <c r="M11" i="1"/>
  <c r="M20" i="1" s="1"/>
  <c r="I11" i="1"/>
  <c r="I20" i="1" s="1"/>
  <c r="E11" i="1"/>
  <c r="O10" i="1"/>
  <c r="K10" i="1"/>
  <c r="G10" i="1"/>
  <c r="E10" i="1"/>
  <c r="P9" i="1"/>
  <c r="L9" i="1"/>
  <c r="H9" i="1"/>
  <c r="E9" i="1"/>
  <c r="O8" i="1"/>
  <c r="K8" i="1"/>
  <c r="G8" i="1"/>
  <c r="E8" i="1"/>
  <c r="P7" i="1"/>
  <c r="L7" i="1"/>
  <c r="K7" i="1"/>
  <c r="O7" i="1" s="1"/>
  <c r="H7" i="1"/>
  <c r="G7" i="1"/>
  <c r="E7" i="1"/>
  <c r="L6" i="1"/>
  <c r="P6" i="1" s="1"/>
  <c r="H6" i="1"/>
  <c r="E6" i="1"/>
  <c r="K5" i="1"/>
  <c r="O5" i="1" s="1"/>
  <c r="G5" i="1"/>
  <c r="E5" i="1"/>
  <c r="L4" i="1"/>
  <c r="L20" i="1" s="1"/>
  <c r="H4" i="1"/>
  <c r="H20" i="1" s="1"/>
  <c r="E4" i="1"/>
  <c r="K3" i="1"/>
  <c r="O3" i="1" s="1"/>
  <c r="O20" i="1" s="1"/>
  <c r="G3" i="1"/>
  <c r="E3" i="1"/>
  <c r="Q20" i="1" l="1"/>
  <c r="G20" i="1"/>
  <c r="P4" i="1"/>
  <c r="P20" i="1" s="1"/>
  <c r="K20" i="1"/>
</calcChain>
</file>

<file path=xl/sharedStrings.xml><?xml version="1.0" encoding="utf-8"?>
<sst xmlns="http://schemas.openxmlformats.org/spreadsheetml/2006/main" count="517" uniqueCount="108">
  <si>
    <t>IMSS NOVIEMBRE</t>
  </si>
  <si>
    <t>Cuota obrera</t>
  </si>
  <si>
    <t>Cuota Patronal</t>
  </si>
  <si>
    <t>Total de cuotas</t>
  </si>
  <si>
    <t>No.</t>
  </si>
  <si>
    <t>Nombre</t>
  </si>
  <si>
    <t>Aportacion patronal</t>
  </si>
  <si>
    <t>Aportacion Obrera</t>
  </si>
  <si>
    <t>SubTotal</t>
  </si>
  <si>
    <t>DOL423</t>
  </si>
  <si>
    <t>DOL425</t>
  </si>
  <si>
    <t>DOS452</t>
  </si>
  <si>
    <t>ALECK FEDERICO SABAH MÁRQUEZ MEES</t>
  </si>
  <si>
    <t>ALMA CLARISA RICO DIAZ</t>
  </si>
  <si>
    <t>ALONSO SANTIBAÑEZ COBOS</t>
  </si>
  <si>
    <t>AZUCENA AGUIRRE CRESPO</t>
  </si>
  <si>
    <t>AZUCENA SANDOVAL ALCIBAR</t>
  </si>
  <si>
    <t>DIEGO ORLANDO MONROY  HERNANDEZ</t>
  </si>
  <si>
    <t>GRACIELA VARGAS GARCIA</t>
  </si>
  <si>
    <t>MARTHA ISABEL LOPEZ ESCOBAR</t>
  </si>
  <si>
    <t>SASKIA CABRERA PADILLA</t>
  </si>
  <si>
    <t>VERÓNICA ROMERO GUERRERO</t>
  </si>
  <si>
    <t>VICTORIA ISABEL LÓPEZ CARMONA</t>
  </si>
  <si>
    <t>MARIA DE LA LUZ  CARO  VARELA</t>
  </si>
  <si>
    <t>JUAN CARLOS MENDOZA  CASTRO</t>
  </si>
  <si>
    <t>INGRID AMALIA CEBALLOS  GAYSTARDO</t>
  </si>
  <si>
    <t>ANGELICA GONZALEZ VEGA</t>
  </si>
  <si>
    <t>VIOLETA MAGDALENA AZCONA REYES</t>
  </si>
  <si>
    <t>YAEL IVONNE CAYETANO FIGUEROA</t>
  </si>
  <si>
    <t>Total</t>
  </si>
  <si>
    <t>Provision</t>
  </si>
  <si>
    <t>Registrado en Sage</t>
  </si>
  <si>
    <t>Boudget code</t>
  </si>
  <si>
    <t>account</t>
  </si>
  <si>
    <t>line description</t>
  </si>
  <si>
    <t>debito moneda local</t>
  </si>
  <si>
    <t>credito moneda local</t>
  </si>
  <si>
    <t>debito dollars</t>
  </si>
  <si>
    <t>credito dollars</t>
  </si>
  <si>
    <t>Exchange rate</t>
  </si>
  <si>
    <t>fringe-MX</t>
  </si>
  <si>
    <t>Instituto Mexicano del Seguro Social Noviembre 2022 PR ending 11/30/22</t>
  </si>
  <si>
    <t>20200(20212)</t>
  </si>
  <si>
    <t>Debería ser registrado</t>
  </si>
  <si>
    <t>Fringe-MX</t>
  </si>
  <si>
    <t>Ajustes</t>
  </si>
  <si>
    <t>IMSS DICIEMBRE / DECEMBER</t>
  </si>
  <si>
    <t>Cuota Patronal / Employer Contribution</t>
  </si>
  <si>
    <t>Cuota obrera / worker quota</t>
  </si>
  <si>
    <t>Nombre / Name</t>
  </si>
  <si>
    <t>Retiro</t>
  </si>
  <si>
    <t>Cesantía y Vejez patronal</t>
  </si>
  <si>
    <t>Cesantía y Vejez obrera</t>
  </si>
  <si>
    <t>Infonavit</t>
  </si>
  <si>
    <t>SubTotal Patronal</t>
  </si>
  <si>
    <t>SubTotal Obrera</t>
  </si>
  <si>
    <t>Se realiza ajuste en el pago de contribuciones de IMSS de diciembre realizado en enero 2023, ya que en el pago de noviembre existio una diferencia en el pago realizado por $3,758.21 entre los proyectos de DOL423 y DOL425.</t>
  </si>
  <si>
    <t>Instituto Mexicano del Seguro Social Diciembre 2022 PR ending 12/31/22</t>
  </si>
  <si>
    <t>Pago de IMSS empleador más empleado</t>
  </si>
  <si>
    <t>Debería haberse registrado</t>
  </si>
  <si>
    <t>IMSS ENERO / JANUARY</t>
  </si>
  <si>
    <t>AZCONA REYES VIOLETA MAGDALENA</t>
  </si>
  <si>
    <t>BELTRAN BELTRAN BERTHA MARISSA</t>
  </si>
  <si>
    <t>GONZALEZ MARIN ADELINA</t>
  </si>
  <si>
    <t>GONZALEZ VEGA ANGELICA</t>
  </si>
  <si>
    <t>MENDOZA CASTRO JUAN CARLOS</t>
  </si>
  <si>
    <t>PEREZ PONCE EDNA GIOMARA</t>
  </si>
  <si>
    <t>RICO DIAZ ALMA CLARISA</t>
  </si>
  <si>
    <t>ROMERO GUERRERO VERONICA</t>
  </si>
  <si>
    <t>SANDOVAL ALCIBAR AZUCENA</t>
  </si>
  <si>
    <t>VARGAS GARCIA GRACIELA</t>
  </si>
  <si>
    <t>Instituto Mexicano del Seguro Social enero 2023PR ending 01/31/23</t>
  </si>
  <si>
    <t>Correctamente registrado  el pasivo en enero</t>
  </si>
  <si>
    <t>IMSS FEBRERO / FEBRUARY</t>
  </si>
  <si>
    <t>PORTILLA MONTERO LUIS ALFREDO</t>
  </si>
  <si>
    <t>Total a pagar</t>
  </si>
  <si>
    <t>Instituto Mexicano del Seguro Social Febrero 2023 PR ending 02/28/23</t>
  </si>
  <si>
    <t>Medical Expenses Insurence MetLife 02 January to 01 January 2024 20 %</t>
  </si>
  <si>
    <t>IMSS MARZO / MARCH</t>
  </si>
  <si>
    <t>Instituto Mexicano del Seguro Social Marzo 2023 PR ending 03/31/23</t>
  </si>
  <si>
    <t>Se pago el importe correcto provisionado en febrero</t>
  </si>
  <si>
    <t>IMSS ABRIL / APRIL</t>
  </si>
  <si>
    <t>GONZALEZ VILLALOBOS ALONSO</t>
  </si>
  <si>
    <t>Instituto Mexicano del Seguro Social Abril 2023 PR ending 04/30/23</t>
  </si>
  <si>
    <t>Se pago el importe correcto provisionado en marzo</t>
  </si>
  <si>
    <t>IMSS MAYO / MAY</t>
  </si>
  <si>
    <t>a junio</t>
  </si>
  <si>
    <t>Instituto Mexicano del Seguro Social Mayo 2023 PR ending 05/31/23</t>
  </si>
  <si>
    <t>Correctamente registrado  el pasivo en mayo</t>
  </si>
  <si>
    <t>Se pago el importe correcto provisionado en abril</t>
  </si>
  <si>
    <t>IMSS JUNIO / JUNE</t>
  </si>
  <si>
    <t>Instituto Mexicano del Seguro Social Junio 2023 PR ending 06/30/23</t>
  </si>
  <si>
    <t>Correctamente registrado  el pasivo en junio</t>
  </si>
  <si>
    <t>Se pago el importe correcto provisionado en mayo</t>
  </si>
  <si>
    <t>IMSS JULIO / JULY</t>
  </si>
  <si>
    <t>Business Development</t>
  </si>
  <si>
    <t>AGUIRRE NORIEGA SEBASTIAN</t>
  </si>
  <si>
    <t>AGUIRRE ROBLES LUIS ENRIQUE</t>
  </si>
  <si>
    <t>CABRERA PADILLA SASKIA</t>
  </si>
  <si>
    <t>CARO VARELA MARIA DE LA LUZ</t>
  </si>
  <si>
    <t>CEBALLOS GAYSTARDO INGRID AMALIA</t>
  </si>
  <si>
    <t>HERNANDEZ ROMERO CARLOS ALEJANDRO</t>
  </si>
  <si>
    <t>MONROY HERNANDEZ DIEGO ORLANDO</t>
  </si>
  <si>
    <t>RAMIREZ MIRAMONTES PABLO EDUARDO</t>
  </si>
  <si>
    <t>SANTIBAÑEZ COBOS ALONSO</t>
  </si>
  <si>
    <t>Instituto Mexicano del Seguro Social Julio 2023 PR ending 07/31/23</t>
  </si>
  <si>
    <t>Correctamente registrado  el pasivo en julio</t>
  </si>
  <si>
    <t>Se pago el importe correcto provisionado en junio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</si>
</sst>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#,##0.00;[Red]\(#,##0.00\)"/>
    <numFmt numFmtId="166" formatCode="#,##0.00;[Red]#,##0.00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3">
    <xf numFmtId="0" fontId="0" fillId="0" borderId="0" xfId="0"/>
    <xf numFmtId="164" fontId="2" fillId="2" borderId="1" xfId="1" applyFont="1" applyFill="1" applyBorder="1" applyAlignment="1">
      <alignment horizontal="center" vertical="center" wrapText="1"/>
    </xf>
    <xf numFmtId="164" fontId="2" fillId="2" borderId="2" xfId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top" wrapText="1"/>
    </xf>
    <xf numFmtId="164" fontId="2" fillId="0" borderId="0" xfId="1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64" fontId="0" fillId="0" borderId="0" xfId="1" applyFont="1" applyAlignment="1">
      <alignment vertical="center"/>
    </xf>
    <xf numFmtId="164" fontId="0" fillId="0" borderId="0" xfId="1" quotePrefix="1" applyFont="1" applyAlignment="1">
      <alignment vertical="center"/>
    </xf>
    <xf numFmtId="0" fontId="3" fillId="0" borderId="0" xfId="0" applyFont="1" applyAlignment="1">
      <alignment vertical="center"/>
    </xf>
    <xf numFmtId="164" fontId="3" fillId="0" borderId="3" xfId="1" applyFont="1" applyBorder="1" applyAlignment="1">
      <alignment vertical="center"/>
    </xf>
    <xf numFmtId="164" fontId="0" fillId="0" borderId="0" xfId="1" applyFont="1"/>
    <xf numFmtId="0" fontId="2" fillId="3" borderId="4" xfId="0" applyFont="1" applyFill="1" applyBorder="1" applyAlignment="1">
      <alignment horizontal="center"/>
    </xf>
    <xf numFmtId="164" fontId="0" fillId="0" borderId="0" xfId="0" applyNumberFormat="1"/>
    <xf numFmtId="0" fontId="3" fillId="0" borderId="0" xfId="0" applyFont="1"/>
    <xf numFmtId="0" fontId="0" fillId="0" borderId="0" xfId="1" applyNumberFormat="1" applyFont="1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164" fontId="0" fillId="0" borderId="0" xfId="1" applyFont="1" applyAlignment="1">
      <alignment vertical="center" wrapText="1"/>
    </xf>
    <xf numFmtId="164" fontId="0" fillId="0" borderId="0" xfId="1" applyFont="1" applyAlignment="1">
      <alignment horizontal="center" vertical="center"/>
    </xf>
    <xf numFmtId="164" fontId="0" fillId="0" borderId="0" xfId="1" applyFont="1" applyAlignment="1">
      <alignment horizontal="center"/>
    </xf>
    <xf numFmtId="0" fontId="0" fillId="0" borderId="0" xfId="1" applyNumberFormat="1" applyFont="1" applyAlignment="1">
      <alignment horizontal="center"/>
    </xf>
    <xf numFmtId="2" fontId="0" fillId="0" borderId="0" xfId="0" applyNumberFormat="1"/>
    <xf numFmtId="164" fontId="0" fillId="0" borderId="0" xfId="0" applyNumberFormat="1" applyAlignment="1">
      <alignment vertical="center"/>
    </xf>
    <xf numFmtId="164" fontId="0" fillId="0" borderId="0" xfId="0" applyNumberFormat="1" applyAlignment="1">
      <alignment vertical="top" wrapText="1"/>
    </xf>
    <xf numFmtId="0" fontId="0" fillId="0" borderId="0" xfId="0" applyAlignment="1">
      <alignment vertical="top" wrapText="1"/>
    </xf>
    <xf numFmtId="165" fontId="0" fillId="0" borderId="0" xfId="0" applyNumberFormat="1" applyAlignment="1">
      <alignment vertical="center"/>
    </xf>
    <xf numFmtId="164" fontId="3" fillId="0" borderId="0" xfId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164" fontId="2" fillId="2" borderId="5" xfId="1" applyFont="1" applyFill="1" applyBorder="1" applyAlignment="1">
      <alignment horizontal="center" vertical="center" wrapText="1"/>
    </xf>
    <xf numFmtId="164" fontId="0" fillId="4" borderId="0" xfId="1" applyFont="1" applyFill="1" applyAlignment="1">
      <alignment vertical="center"/>
    </xf>
    <xf numFmtId="164" fontId="0" fillId="0" borderId="9" xfId="0" applyNumberFormat="1" applyBorder="1"/>
    <xf numFmtId="4" fontId="0" fillId="0" borderId="0" xfId="1" applyNumberFormat="1" applyFont="1"/>
    <xf numFmtId="4" fontId="0" fillId="0" borderId="0" xfId="0" applyNumberFormat="1"/>
    <xf numFmtId="164" fontId="2" fillId="2" borderId="1" xfId="1" applyFont="1" applyFill="1" applyBorder="1" applyAlignment="1">
      <alignment vertical="center" wrapText="1"/>
    </xf>
    <xf numFmtId="164" fontId="2" fillId="0" borderId="1" xfId="1" applyFont="1" applyFill="1" applyBorder="1" applyAlignment="1">
      <alignment horizontal="center" vertical="center" wrapText="1"/>
    </xf>
    <xf numFmtId="164" fontId="2" fillId="0" borderId="5" xfId="1" applyFont="1" applyFill="1" applyBorder="1" applyAlignment="1">
      <alignment horizontal="center" vertical="center" wrapText="1"/>
    </xf>
    <xf numFmtId="164" fontId="3" fillId="0" borderId="3" xfId="0" applyNumberFormat="1" applyFont="1" applyBorder="1"/>
    <xf numFmtId="0" fontId="2" fillId="3" borderId="4" xfId="0" applyFont="1" applyFill="1" applyBorder="1"/>
    <xf numFmtId="164" fontId="2" fillId="0" borderId="2" xfId="1" applyFont="1" applyFill="1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164" fontId="0" fillId="0" borderId="0" xfId="1" quotePrefix="1" applyFont="1" applyAlignment="1">
      <alignment vertical="center" wrapText="1"/>
    </xf>
    <xf numFmtId="164" fontId="0" fillId="0" borderId="0" xfId="1" applyFont="1" applyFill="1" applyAlignment="1">
      <alignment vertical="center" wrapText="1"/>
    </xf>
    <xf numFmtId="166" fontId="0" fillId="0" borderId="0" xfId="0" applyNumberFormat="1"/>
    <xf numFmtId="0" fontId="2" fillId="2" borderId="0" xfId="0" applyFont="1" applyFill="1" applyAlignment="1">
      <alignment horizontal="center" vertical="top" wrapText="1"/>
    </xf>
    <xf numFmtId="164" fontId="2" fillId="2" borderId="1" xfId="1" applyFont="1" applyFill="1" applyBorder="1" applyAlignment="1">
      <alignment horizontal="center" vertical="center" wrapText="1"/>
    </xf>
    <xf numFmtId="164" fontId="2" fillId="2" borderId="2" xfId="1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/>
    </xf>
    <xf numFmtId="0" fontId="0" fillId="0" borderId="0" xfId="0" applyAlignment="1">
      <alignment horizontal="right" vertical="top" wrapText="1"/>
    </xf>
    <xf numFmtId="0" fontId="2" fillId="2" borderId="6" xfId="0" applyFont="1" applyFill="1" applyBorder="1" applyAlignment="1">
      <alignment horizontal="center" vertical="top" wrapText="1"/>
    </xf>
    <xf numFmtId="0" fontId="2" fillId="2" borderId="7" xfId="0" applyFont="1" applyFill="1" applyBorder="1" applyAlignment="1">
      <alignment horizontal="center" vertical="top" wrapText="1"/>
    </xf>
    <xf numFmtId="0" fontId="2" fillId="2" borderId="8" xfId="0" applyFont="1" applyFill="1" applyBorder="1" applyAlignment="1">
      <alignment horizontal="center" vertical="top" wrapText="1"/>
    </xf>
  </cellXfs>
  <cellStyles count="2">
    <cellStyle name="Comma" xfId="1" builtinId="3"/>
    <cellStyle name="Normal" xfId="0" builtinId="0"/>
  </cellStyles>
  <dxfs count="204">
    <dxf>
      <numFmt numFmtId="164" formatCode="_-* #,##0.00_-;\-* #,##0.00_-;_-* &quot;-&quot;??_-;_-@_-"/>
      <alignment horizontal="general" vertical="center" textRotation="0" wrapText="1" indent="0" justifyLastLine="0" shrinkToFit="0" readingOrder="0"/>
    </dxf>
    <dxf>
      <numFmt numFmtId="164" formatCode="_-* #,##0.00_-;\-* #,##0.0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;\-* #,##0.00_-;_-* &quot;-&quot;??_-;_-@_-"/>
      <alignment horizontal="general" vertical="center" textRotation="0" wrapText="1" indent="0" justifyLastLine="0" shrinkToFit="0" readingOrder="0"/>
    </dxf>
    <dxf>
      <numFmt numFmtId="164" formatCode="_-* #,##0.00_-;\-* #,##0.0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;\-* #,##0.00_-;_-* &quot;-&quot;??_-;_-@_-"/>
      <alignment horizontal="general" vertical="center" textRotation="0" wrapText="1" indent="0" justifyLastLine="0" shrinkToFit="0" readingOrder="0"/>
    </dxf>
    <dxf>
      <numFmt numFmtId="164" formatCode="_-* #,##0.00_-;\-* #,##0.0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numFmt numFmtId="164" formatCode="_-* #,##0.00_-;\-* #,##0.0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numFmt numFmtId="164" formatCode="_-* #,##0.00_-;\-* #,##0.0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numFmt numFmtId="164" formatCode="_-* #,##0.00_-;\-* #,##0.0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numFmt numFmtId="164" formatCode="_-* #,##0.00_-;\-* #,##0.00_-;_-* &quot;-&quot;??_-;_-@_-"/>
      <alignment horizontal="general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64" formatCode="_-* #,##0.00_-;\-* #,##0.00_-;_-* &quot;-&quot;??_-;_-@_-"/>
      <alignment horizontal="general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64" formatCode="_-* #,##0.00_-;\-* #,##0.00_-;_-* &quot;-&quot;??_-;_-@_-"/>
      <alignment horizontal="general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top" textRotation="0" wrapText="1" indent="0" justifyLastLine="0" shrinkToFit="0" readingOrder="0"/>
    </dxf>
    <dxf>
      <numFmt numFmtId="164" formatCode="_-* #,##0.00_-;\-* #,##0.00_-;_-* &quot;-&quot;??_-;_-@_-"/>
      <alignment horizontal="general" vertical="center" textRotation="0" wrapText="1" indent="0" justifyLastLine="0" shrinkToFit="0" readingOrder="0"/>
    </dxf>
    <dxf>
      <numFmt numFmtId="164" formatCode="_-* #,##0.00_-;\-* #,##0.0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;\-* #,##0.00_-;_-* &quot;-&quot;??_-;_-@_-"/>
      <alignment horizontal="general" vertical="center" textRotation="0" wrapText="1" indent="0" justifyLastLine="0" shrinkToFit="0" readingOrder="0"/>
    </dxf>
    <dxf>
      <numFmt numFmtId="164" formatCode="_-* #,##0.00_-;\-* #,##0.0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;\-* #,##0.00_-;_-* &quot;-&quot;??_-;_-@_-"/>
      <alignment horizontal="general" vertical="center" textRotation="0" wrapText="1" indent="0" justifyLastLine="0" shrinkToFit="0" readingOrder="0"/>
    </dxf>
    <dxf>
      <numFmt numFmtId="164" formatCode="_-* #,##0.00_-;\-* #,##0.0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numFmt numFmtId="164" formatCode="_-* #,##0.00_-;\-* #,##0.0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numFmt numFmtId="164" formatCode="_-* #,##0.00_-;\-* #,##0.0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numFmt numFmtId="164" formatCode="_-* #,##0.00_-;\-* #,##0.0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numFmt numFmtId="164" formatCode="_-* #,##0.00_-;\-* #,##0.00_-;_-* &quot;-&quot;??_-;_-@_-"/>
      <alignment horizontal="general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64" formatCode="_-* #,##0.00_-;\-* #,##0.00_-;_-* &quot;-&quot;??_-;_-@_-"/>
      <alignment horizontal="general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64" formatCode="_-* #,##0.00_-;\-* #,##0.00_-;_-* &quot;-&quot;??_-;_-@_-"/>
      <alignment horizontal="general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top" textRotation="0" wrapText="1" indent="0" justifyLastLine="0" shrinkToFit="0" readingOrder="0"/>
    </dxf>
    <dxf>
      <numFmt numFmtId="164" formatCode="_-* #,##0.00_-;\-* #,##0.00_-;_-* &quot;-&quot;??_-;_-@_-"/>
      <alignment horizontal="general" vertical="center" textRotation="0" wrapText="0" indent="0" justifyLastLine="0" shrinkToFit="0" readingOrder="0"/>
    </dxf>
    <dxf>
      <numFmt numFmtId="164" formatCode="_-* #,##0.00_-;\-* #,##0.0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;\-* #,##0.00_-;_-* &quot;-&quot;??_-;_-@_-"/>
      <alignment horizontal="general" vertical="center" textRotation="0" wrapText="0" indent="0" justifyLastLine="0" shrinkToFit="0" readingOrder="0"/>
    </dxf>
    <dxf>
      <numFmt numFmtId="164" formatCode="_-* #,##0.00_-;\-* #,##0.0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;\-* #,##0.00_-;_-* &quot;-&quot;??_-;_-@_-"/>
      <alignment horizontal="general" vertical="center" textRotation="0" wrapText="0" indent="0" justifyLastLine="0" shrinkToFit="0" readingOrder="0"/>
    </dxf>
    <dxf>
      <numFmt numFmtId="164" formatCode="_-* #,##0.00_-;\-* #,##0.0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numFmt numFmtId="164" formatCode="_-* #,##0.00_-;\-* #,##0.0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numFmt numFmtId="164" formatCode="_-* #,##0.00_-;\-* #,##0.0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numFmt numFmtId="164" formatCode="_-* #,##0.00_-;\-* #,##0.0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numFmt numFmtId="164" formatCode="_-* #,##0.00_-;\-* #,##0.00_-;_-* &quot;-&quot;??_-;_-@_-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164" formatCode="_-* #,##0.00_-;\-* #,##0.00_-;_-* &quot;-&quot;??_-;_-@_-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164" formatCode="_-* #,##0.00_-;\-* #,##0.00_-;_-* &quot;-&quot;??_-;_-@_-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top" textRotation="0" wrapText="1" indent="0" justifyLastLine="0" shrinkToFit="0" readingOrder="0"/>
    </dxf>
    <dxf>
      <numFmt numFmtId="164" formatCode="_-* #,##0.00_-;\-* #,##0.00_-;_-* &quot;-&quot;??_-;_-@_-"/>
      <alignment horizontal="general" vertical="center" textRotation="0" wrapText="0" indent="0" justifyLastLine="0" shrinkToFit="0" readingOrder="0"/>
    </dxf>
    <dxf>
      <numFmt numFmtId="164" formatCode="_-* #,##0.00_-;\-* #,##0.0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;\-* #,##0.00_-;_-* &quot;-&quot;??_-;_-@_-"/>
      <alignment horizontal="general" vertical="center" textRotation="0" wrapText="0" indent="0" justifyLastLine="0" shrinkToFit="0" readingOrder="0"/>
    </dxf>
    <dxf>
      <numFmt numFmtId="164" formatCode="_-* #,##0.00_-;\-* #,##0.0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;\-* #,##0.00_-;_-* &quot;-&quot;??_-;_-@_-"/>
      <alignment horizontal="general" vertical="center" textRotation="0" wrapText="0" indent="0" justifyLastLine="0" shrinkToFit="0" readingOrder="0"/>
    </dxf>
    <dxf>
      <numFmt numFmtId="164" formatCode="_-* #,##0.00_-;\-* #,##0.0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numFmt numFmtId="164" formatCode="_-* #,##0.00_-;\-* #,##0.0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numFmt numFmtId="164" formatCode="_-* #,##0.00_-;\-* #,##0.0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numFmt numFmtId="164" formatCode="_-* #,##0.00_-;\-* #,##0.0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numFmt numFmtId="164" formatCode="_-* #,##0.00_-;\-* #,##0.00_-;_-* &quot;-&quot;??_-;_-@_-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164" formatCode="_-* #,##0.00_-;\-* #,##0.00_-;_-* &quot;-&quot;??_-;_-@_-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164" formatCode="_-* #,##0.00_-;\-* #,##0.00_-;_-* &quot;-&quot;??_-;_-@_-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top" textRotation="0" wrapText="1" indent="0" justifyLastLine="0" shrinkToFit="0" readingOrder="0"/>
    </dxf>
    <dxf>
      <numFmt numFmtId="164" formatCode="_-* #,##0.00_-;\-* #,##0.00_-;_-* &quot;-&quot;??_-;_-@_-"/>
      <alignment horizontal="general" vertical="center" textRotation="0" wrapText="0" indent="0" justifyLastLine="0" shrinkToFit="0" readingOrder="0"/>
    </dxf>
    <dxf>
      <numFmt numFmtId="164" formatCode="_-* #,##0.00_-;\-* #,##0.0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;\-* #,##0.00_-;_-* &quot;-&quot;??_-;_-@_-"/>
      <alignment horizontal="general" vertical="center" textRotation="0" wrapText="0" indent="0" justifyLastLine="0" shrinkToFit="0" readingOrder="0"/>
    </dxf>
    <dxf>
      <numFmt numFmtId="164" formatCode="_-* #,##0.00_-;\-* #,##0.0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;\-* #,##0.00_-;_-* &quot;-&quot;??_-;_-@_-"/>
      <alignment horizontal="general" vertical="center" textRotation="0" wrapText="0" indent="0" justifyLastLine="0" shrinkToFit="0" readingOrder="0"/>
    </dxf>
    <dxf>
      <numFmt numFmtId="164" formatCode="_-* #,##0.00_-;\-* #,##0.0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numFmt numFmtId="164" formatCode="_-* #,##0.00_-;\-* #,##0.0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numFmt numFmtId="164" formatCode="_-* #,##0.00_-;\-* #,##0.0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numFmt numFmtId="164" formatCode="_-* #,##0.00_-;\-* #,##0.0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numFmt numFmtId="164" formatCode="_-* #,##0.00_-;\-* #,##0.00_-;_-* &quot;-&quot;??_-;_-@_-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164" formatCode="_-* #,##0.00_-;\-* #,##0.00_-;_-* &quot;-&quot;??_-;_-@_-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164" formatCode="_-* #,##0.00_-;\-* #,##0.00_-;_-* &quot;-&quot;??_-;_-@_-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top" textRotation="0" wrapText="1" indent="0" justifyLastLine="0" shrinkToFit="0" readingOrder="0"/>
    </dxf>
    <dxf>
      <numFmt numFmtId="164" formatCode="_-* #,##0.00_-;\-* #,##0.00_-;_-* &quot;-&quot;??_-;_-@_-"/>
      <alignment horizontal="general" vertical="center" textRotation="0" wrapText="0" indent="0" justifyLastLine="0" shrinkToFit="0" readingOrder="0"/>
    </dxf>
    <dxf>
      <numFmt numFmtId="164" formatCode="_-* #,##0.00_-;\-* #,##0.0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;\-* #,##0.00_-;_-* &quot;-&quot;??_-;_-@_-"/>
      <alignment horizontal="general" vertical="center" textRotation="0" wrapText="0" indent="0" justifyLastLine="0" shrinkToFit="0" readingOrder="0"/>
    </dxf>
    <dxf>
      <numFmt numFmtId="164" formatCode="_-* #,##0.00_-;\-* #,##0.0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;\-* #,##0.00_-;_-* &quot;-&quot;??_-;_-@_-"/>
      <alignment horizontal="general" vertical="center" textRotation="0" wrapText="0" indent="0" justifyLastLine="0" shrinkToFit="0" readingOrder="0"/>
    </dxf>
    <dxf>
      <numFmt numFmtId="164" formatCode="_-* #,##0.00_-;\-* #,##0.0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numFmt numFmtId="164" formatCode="_-* #,##0.00_-;\-* #,##0.0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numFmt numFmtId="164" formatCode="_-* #,##0.00_-;\-* #,##0.0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numFmt numFmtId="164" formatCode="_-* #,##0.00_-;\-* #,##0.0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numFmt numFmtId="164" formatCode="_-* #,##0.00_-;\-* #,##0.00_-;_-* &quot;-&quot;??_-;_-@_-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164" formatCode="_-* #,##0.00_-;\-* #,##0.00_-;_-* &quot;-&quot;??_-;_-@_-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164" formatCode="_-* #,##0.00_-;\-* #,##0.00_-;_-* &quot;-&quot;??_-;_-@_-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top" textRotation="0" wrapText="1" indent="0" justifyLastLine="0" shrinkToFit="0" readingOrder="0"/>
    </dxf>
    <dxf>
      <numFmt numFmtId="164" formatCode="_-* #,##0.00_-;\-* #,##0.00_-;_-* &quot;-&quot;??_-;_-@_-"/>
      <alignment horizontal="general" vertical="center" textRotation="0" wrapText="0" indent="0" justifyLastLine="0" shrinkToFit="0" readingOrder="0"/>
    </dxf>
    <dxf>
      <numFmt numFmtId="164" formatCode="_-* #,##0.00_-;\-* #,##0.0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;\-* #,##0.00_-;_-* &quot;-&quot;??_-;_-@_-"/>
      <alignment horizontal="general" vertical="center" textRotation="0" wrapText="0" indent="0" justifyLastLine="0" shrinkToFit="0" readingOrder="0"/>
    </dxf>
    <dxf>
      <numFmt numFmtId="164" formatCode="_-* #,##0.00_-;\-* #,##0.0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;\-* #,##0.00_-;_-* &quot;-&quot;??_-;_-@_-"/>
      <alignment horizontal="general" vertical="center" textRotation="0" wrapText="0" indent="0" justifyLastLine="0" shrinkToFit="0" readingOrder="0"/>
    </dxf>
    <dxf>
      <numFmt numFmtId="164" formatCode="_-* #,##0.00_-;\-* #,##0.0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numFmt numFmtId="164" formatCode="_-* #,##0.00_-;\-* #,##0.0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numFmt numFmtId="164" formatCode="_-* #,##0.00_-;\-* #,##0.0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numFmt numFmtId="164" formatCode="_-* #,##0.00_-;\-* #,##0.0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numFmt numFmtId="164" formatCode="_-* #,##0.00_-;\-* #,##0.00_-;_-* &quot;-&quot;??_-;_-@_-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164" formatCode="_-* #,##0.00_-;\-* #,##0.00_-;_-* &quot;-&quot;??_-;_-@_-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164" formatCode="_-* #,##0.00_-;\-* #,##0.00_-;_-* &quot;-&quot;??_-;_-@_-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top" textRotation="0" wrapText="1" indent="0" justifyLastLine="0" shrinkToFit="0" readingOrder="0"/>
    </dxf>
    <dxf>
      <numFmt numFmtId="164" formatCode="_-* #,##0.00_-;\-* #,##0.00_-;_-* &quot;-&quot;??_-;_-@_-"/>
      <alignment horizontal="general" vertical="center" textRotation="0" wrapText="0" indent="0" justifyLastLine="0" shrinkToFit="0" readingOrder="0"/>
    </dxf>
    <dxf>
      <numFmt numFmtId="164" formatCode="_-* #,##0.00_-;\-* #,##0.0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;\-* #,##0.00_-;_-* &quot;-&quot;??_-;_-@_-"/>
      <alignment horizontal="general" vertical="center" textRotation="0" wrapText="0" indent="0" justifyLastLine="0" shrinkToFit="0" readingOrder="0"/>
    </dxf>
    <dxf>
      <numFmt numFmtId="164" formatCode="_-* #,##0.00_-;\-* #,##0.0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;\-* #,##0.00_-;_-* &quot;-&quot;??_-;_-@_-"/>
      <alignment horizontal="general" vertical="center" textRotation="0" wrapText="0" indent="0" justifyLastLine="0" shrinkToFit="0" readingOrder="0"/>
    </dxf>
    <dxf>
      <numFmt numFmtId="164" formatCode="_-* #,##0.00_-;\-* #,##0.0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numFmt numFmtId="164" formatCode="_-* #,##0.00_-;\-* #,##0.0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numFmt numFmtId="164" formatCode="_-* #,##0.00_-;\-* #,##0.0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numFmt numFmtId="164" formatCode="_-* #,##0.00_-;\-* #,##0.0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numFmt numFmtId="164" formatCode="_-* #,##0.00_-;\-* #,##0.00_-;_-* &quot;-&quot;??_-;_-@_-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164" formatCode="_-* #,##0.00_-;\-* #,##0.00_-;_-* &quot;-&quot;??_-;_-@_-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164" formatCode="_-* #,##0.00_-;\-* #,##0.00_-;_-* &quot;-&quot;??_-;_-@_-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top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BEF87F-F528-44A5-916B-4EAA5FA19A77}" name="Tabla1" displayName="Tabla1" ref="A2:E20" totalsRowCount="1" headerRowDxfId="203" dataDxfId="202">
  <tableColumns count="5">
    <tableColumn id="1" xr3:uid="{0718B20A-5827-4565-AF15-3A4A93F121B2}" name="No." totalsRowLabel="Total" dataDxfId="200" totalsRowDxfId="201"/>
    <tableColumn id="4" xr3:uid="{31A89B71-15F4-499E-BB99-59CFF37E0AC0}" name="Nombre" dataDxfId="198" totalsRowDxfId="199"/>
    <tableColumn id="5" xr3:uid="{3B3B697B-1A49-49DB-8DC8-03580820C0FE}" name="Aportacion patronal" totalsRowFunction="sum" dataDxfId="196" totalsRowDxfId="197"/>
    <tableColumn id="6" xr3:uid="{72CCFACD-EBDF-4F37-BE6C-7F46C91716FD}" name="Aportacion Obrera" totalsRowFunction="sum" dataDxfId="194" totalsRowDxfId="195"/>
    <tableColumn id="2" xr3:uid="{4472831A-7434-4C93-ABA9-60720C1184AA}" name="SubTotal" totalsRowFunction="sum" dataDxfId="192" totalsRowDxfId="193">
      <calculatedColumnFormula>SUM(Tabla1[[#This Row],[Aportacion patronal]:[Aportacion Obrera]])</calculatedColumnFormula>
    </tableColumn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70C0DA6-39CE-4A9D-887D-98370242DE35}" name="Tabla13" displayName="Tabla13" ref="A2:K20" totalsRowCount="1" headerRowDxfId="191" dataDxfId="190">
  <tableColumns count="11">
    <tableColumn id="1" xr3:uid="{8A849BDB-AFF8-4411-9EC4-252D89C0BCB9}" name="No." totalsRowLabel="Total" dataDxfId="188" totalsRowDxfId="189"/>
    <tableColumn id="4" xr3:uid="{94371A60-379F-4F96-80F0-28CDF1C6314D}" name="Nombre / Name" dataDxfId="186" totalsRowDxfId="187"/>
    <tableColumn id="5" xr3:uid="{4E8F11D3-D9FA-4BBF-91CD-9F5DFC45E379}" name="Aportacion patronal" totalsRowFunction="sum" dataDxfId="184" totalsRowDxfId="185"/>
    <tableColumn id="6" xr3:uid="{E7427F5E-2559-4B1C-B655-486D9729DF9A}" name="Aportacion Obrera" totalsRowFunction="sum" dataDxfId="182" totalsRowDxfId="183"/>
    <tableColumn id="7" xr3:uid="{BECF0D9F-2352-43F2-8F50-F4C56771DE0E}" name="Retiro" totalsRowFunction="sum" dataDxfId="180" totalsRowDxfId="181"/>
    <tableColumn id="8" xr3:uid="{D8C90389-9959-4928-AD72-EC04206AE3D2}" name="Cesantía y Vejez patronal" totalsRowFunction="sum" dataDxfId="178" totalsRowDxfId="179"/>
    <tableColumn id="9" xr3:uid="{A5B4F960-AEEE-4117-93C4-51633316A5F3}" name="Cesantía y Vejez obrera" totalsRowFunction="sum" dataDxfId="176" totalsRowDxfId="177"/>
    <tableColumn id="3" xr3:uid="{38C53050-305F-48BC-B998-7A4058953A94}" name="Infonavit" totalsRowFunction="sum" dataDxfId="174" totalsRowDxfId="175"/>
    <tableColumn id="11" xr3:uid="{F9DEF355-AF2C-4797-9D13-D9DCD93D8755}" name="SubTotal" totalsRowFunction="sum" dataDxfId="172" totalsRowDxfId="173">
      <calculatedColumnFormula>SUM(Tabla13[[#This Row],[Aportacion patronal]:[Infonavit]])</calculatedColumnFormula>
    </tableColumn>
    <tableColumn id="10" xr3:uid="{B0EA3CC7-ADD9-423A-8443-61741EC3C2B7}" name="SubTotal Patronal" totalsRowFunction="sum" dataDxfId="170" totalsRowDxfId="171">
      <calculatedColumnFormula>Tabla13[[#This Row],[Aportacion patronal]]+Tabla13[[#This Row],[Retiro]]+Tabla13[[#This Row],[Cesantía y Vejez patronal]]+Tabla13[[#This Row],[Infonavit]]</calculatedColumnFormula>
    </tableColumn>
    <tableColumn id="2" xr3:uid="{5D59244A-7E77-4764-A9E5-483CBF058DB7}" name="SubTotal Obrera" totalsRowFunction="sum" dataDxfId="168" totalsRowDxfId="169">
      <calculatedColumnFormula>+Tabla13[[#This Row],[Aportacion Obrera]]+Tabla13[[#This Row],[Cesantía y Vejez obrera]]</calculatedColumnFormula>
    </tableColumn>
  </tableColumns>
  <tableStyleInfo name="TableStyleMedium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4B3F0B9-9163-49A7-92AA-F6ED1C4ACD8D}" name="Tabla18" displayName="Tabla18" ref="A2:K14" totalsRowCount="1" headerRowDxfId="167" dataDxfId="166">
  <tableColumns count="11">
    <tableColumn id="1" xr3:uid="{95A26599-3E3C-48D8-A7A3-931641626CA3}" name="No." totalsRowLabel="Total" dataDxfId="164" totalsRowDxfId="165"/>
    <tableColumn id="4" xr3:uid="{31C26C89-B7ED-4072-806B-564AA75902E2}" name="Nombre / Name" dataDxfId="162" totalsRowDxfId="163"/>
    <tableColumn id="5" xr3:uid="{C2ACD8F5-35B7-4591-8A5E-F89FB225300D}" name="Aportacion patronal" totalsRowFunction="sum" dataDxfId="160" totalsRowDxfId="161"/>
    <tableColumn id="6" xr3:uid="{9E934EA6-1171-4768-B002-1A628156C024}" name="Aportacion Obrera" totalsRowFunction="sum" dataDxfId="158" totalsRowDxfId="159"/>
    <tableColumn id="7" xr3:uid="{94F71534-6CB6-4486-BD67-168446D1A6D2}" name="Retiro" totalsRowFunction="sum" dataDxfId="156" totalsRowDxfId="157"/>
    <tableColumn id="8" xr3:uid="{E6BB57CF-5581-4EED-AE63-EE756953D22F}" name="Cesantía y Vejez patronal" totalsRowFunction="sum" dataDxfId="154" totalsRowDxfId="155"/>
    <tableColumn id="9" xr3:uid="{FF030EE4-25E8-42B1-9A9E-CFEAE91A0D63}" name="Cesantía y Vejez obrera" totalsRowFunction="sum" dataDxfId="152" totalsRowDxfId="153"/>
    <tableColumn id="3" xr3:uid="{6BF3462B-46AC-4D78-8A75-C7ABBE87DD0D}" name="Infonavit" totalsRowFunction="sum" dataDxfId="150" totalsRowDxfId="151"/>
    <tableColumn id="11" xr3:uid="{EBF1F15C-78E2-4D6E-9AD3-365BE23ABB38}" name="SubTotal" totalsRowFunction="sum" dataDxfId="148" totalsRowDxfId="149">
      <calculatedColumnFormula>SUM(Tabla18[[#This Row],[Aportacion patronal]:[Infonavit]])</calculatedColumnFormula>
    </tableColumn>
    <tableColumn id="10" xr3:uid="{377EB7D8-5417-41D3-9F8B-6AADADFB6BFC}" name="SubTotal Patronal" totalsRowFunction="sum" dataDxfId="146" totalsRowDxfId="147">
      <calculatedColumnFormula>Tabla18[[#This Row],[Aportacion patronal]]+Tabla18[[#This Row],[Retiro]]+Tabla18[[#This Row],[Cesantía y Vejez patronal]]+Tabla18[[#This Row],[Infonavit]]</calculatedColumnFormula>
    </tableColumn>
    <tableColumn id="2" xr3:uid="{B7680BB8-FEE8-427A-BE8E-4EED887FD6BF}" name="SubTotal Obrera" totalsRowFunction="sum" dataDxfId="144" totalsRowDxfId="145">
      <calculatedColumnFormula>+Tabla18[[#This Row],[Aportacion Obrera]]+Tabla18[[#This Row],[Cesantía y Vejez obrera]]</calculatedColumnFormula>
    </tableColumn>
  </tableColumns>
  <tableStyleInfo name="TableStyleMedium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E3DDBFB-A59A-4D0E-B2EC-58D954503D1E}" name="Tabla11415" displayName="Tabla11415" ref="A3:K16" totalsRowCount="1" headerRowDxfId="143" dataDxfId="142">
  <autoFilter ref="A3:K15" xr:uid="{6E3DDBFB-A59A-4D0E-B2EC-58D954503D1E}"/>
  <tableColumns count="11">
    <tableColumn id="1" xr3:uid="{17EBC50D-CA99-4892-881B-CFB2BD7270CA}" name="No." totalsRowLabel="Total" dataDxfId="140" totalsRowDxfId="141"/>
    <tableColumn id="4" xr3:uid="{152369BC-7856-408D-BC96-CFCC21632198}" name="Nombre / Name" dataDxfId="138" totalsRowDxfId="139"/>
    <tableColumn id="5" xr3:uid="{2ECC5B3D-E9FD-4225-9A4E-7352B36FC06C}" name="Aportacion patronal" totalsRowFunction="sum" dataDxfId="136" totalsRowDxfId="137"/>
    <tableColumn id="6" xr3:uid="{DF7C0BBD-FA88-4D4D-8123-D994CEC01773}" name="Aportacion Obrera" totalsRowFunction="sum" dataDxfId="134" totalsRowDxfId="135"/>
    <tableColumn id="7" xr3:uid="{DBCD359A-F79D-48A2-8847-4473154D9451}" name="Retiro" totalsRowFunction="sum" dataDxfId="132" totalsRowDxfId="133"/>
    <tableColumn id="8" xr3:uid="{B4682892-26BC-4441-AC9D-B7A231C21A78}" name="Cesantía y Vejez patronal" totalsRowFunction="sum" dataDxfId="130" totalsRowDxfId="131"/>
    <tableColumn id="9" xr3:uid="{35ED398B-597F-4A04-B6A1-D8C4E188E41A}" name="Cesantía y Vejez obrera" totalsRowFunction="sum" dataDxfId="128" totalsRowDxfId="129"/>
    <tableColumn id="3" xr3:uid="{C62D3A6D-B37E-4B94-9D18-690575459794}" name="Infonavit" totalsRowFunction="sum" dataDxfId="126" totalsRowDxfId="127"/>
    <tableColumn id="11" xr3:uid="{63609EEE-FD8B-4ADD-A5DC-63136EDF6E41}" name="SubTotal" totalsRowFunction="sum" dataDxfId="124" totalsRowDxfId="125">
      <calculatedColumnFormula>SUM(Tabla11415[[#This Row],[Aportacion patronal]:[Infonavit]])</calculatedColumnFormula>
    </tableColumn>
    <tableColumn id="10" xr3:uid="{65663414-F101-4AE7-87D2-E9E1EBBAAAA9}" name="SubTotal Patronal" totalsRowFunction="sum" dataDxfId="122" totalsRowDxfId="123">
      <calculatedColumnFormula>Tabla11415[[#This Row],[Aportacion patronal]]+Tabla11415[[#This Row],[Retiro]]+Tabla11415[[#This Row],[Cesantía y Vejez patronal]]+Tabla11415[[#This Row],[Infonavit]]</calculatedColumnFormula>
    </tableColumn>
    <tableColumn id="2" xr3:uid="{DC4A0B26-DF61-4689-BABB-87B4E50FD027}" name="SubTotal Obrera" totalsRowFunction="sum" dataDxfId="120" totalsRowDxfId="121">
      <calculatedColumnFormula>+Tabla11415[[#This Row],[Aportacion Obrera]]+Tabla11415[[#This Row],[Cesantía y Vejez obrera]]</calculatedColumnFormula>
    </tableColumn>
  </tableColumns>
  <tableStyleInfo name="TableStyleMedium1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8CB511D-5984-4A22-B998-127D9D28B1AF}" name="Tabla14" displayName="Tabla14" ref="A3:K17" totalsRowCount="1" headerRowDxfId="119" dataDxfId="118">
  <autoFilter ref="A3:K16" xr:uid="{A8CB511D-5984-4A22-B998-127D9D28B1AF}"/>
  <tableColumns count="11">
    <tableColumn id="1" xr3:uid="{92B9BE17-51B4-405E-941F-47B365A7D91C}" name="No." totalsRowLabel="Total" dataDxfId="116" totalsRowDxfId="117"/>
    <tableColumn id="4" xr3:uid="{7567D9B3-58E0-4CD7-B5D9-C682E657B047}" name="Nombre / Name" dataDxfId="114" totalsRowDxfId="115"/>
    <tableColumn id="5" xr3:uid="{BE67050B-876E-419C-8E86-46629D8B2E6C}" name="Aportacion patronal" totalsRowFunction="sum" dataDxfId="112" totalsRowDxfId="113"/>
    <tableColumn id="6" xr3:uid="{57B00D09-8A72-4EDF-9107-759C03E1C13B}" name="Aportacion Obrera" totalsRowFunction="sum" dataDxfId="110" totalsRowDxfId="111"/>
    <tableColumn id="7" xr3:uid="{48E8D69E-0667-4C94-AA44-020990290771}" name="Retiro" totalsRowFunction="sum" dataDxfId="108" totalsRowDxfId="109"/>
    <tableColumn id="8" xr3:uid="{730702B6-DD83-481C-B444-9682EC27C597}" name="Cesantía y Vejez patronal" totalsRowFunction="sum" dataDxfId="106" totalsRowDxfId="107"/>
    <tableColumn id="9" xr3:uid="{756F3303-CDB6-4D1D-A8DB-1AF4EE2EF775}" name="Cesantía y Vejez obrera" totalsRowFunction="sum" dataDxfId="104" totalsRowDxfId="105"/>
    <tableColumn id="3" xr3:uid="{390C8FF7-7283-41EB-AD68-0603DF0091C9}" name="Infonavit" totalsRowFunction="sum" dataDxfId="102" totalsRowDxfId="103"/>
    <tableColumn id="11" xr3:uid="{01FD04AA-6BA7-476B-8AFB-89130C97F337}" name="SubTotal" totalsRowFunction="sum" dataDxfId="100" totalsRowDxfId="101">
      <calculatedColumnFormula>+Tabla14[[#This Row],[Aportacion patronal]]+Tabla14[[#This Row],[Aportacion Obrera]]</calculatedColumnFormula>
    </tableColumn>
    <tableColumn id="10" xr3:uid="{B82AA177-998D-45B6-8C6C-CB27BBE6A54E}" name="SubTotal Patronal" totalsRowFunction="sum" dataDxfId="98" totalsRowDxfId="99">
      <calculatedColumnFormula>+Tabla14[[#This Row],[Aportacion patronal]]</calculatedColumnFormula>
    </tableColumn>
    <tableColumn id="2" xr3:uid="{2198BDBE-A786-488F-BBC1-A9BB8B04EE03}" name="SubTotal Obrera" totalsRowFunction="sum" dataDxfId="96" totalsRowDxfId="97">
      <calculatedColumnFormula>+Tabla14[[#This Row],[Aportacion Obrera]]</calculatedColumnFormula>
    </tableColumn>
  </tableColumns>
  <tableStyleInfo name="TableStyleMedium1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A1B3D31-197A-4BE9-BA5D-6E7215C68C7E}" name="Tabla19" displayName="Tabla19" ref="A5:K19" totalsRowCount="1" headerRowDxfId="95" dataDxfId="94">
  <autoFilter ref="A5:K18" xr:uid="{AA1B3D31-197A-4BE9-BA5D-6E7215C68C7E}"/>
  <tableColumns count="11">
    <tableColumn id="1" xr3:uid="{731ADEF5-7F0F-44D6-B699-DBDBB5BE6796}" name="No." totalsRowLabel="Total" dataDxfId="92" totalsRowDxfId="93"/>
    <tableColumn id="4" xr3:uid="{0CD1C9DF-F699-4D06-B288-BE3FBDE9C3DC}" name="Nombre / Name" dataDxfId="90" totalsRowDxfId="91"/>
    <tableColumn id="5" xr3:uid="{0A1D17E3-7221-4042-AE55-D2B67C3625C9}" name="Aportacion patronal" totalsRowFunction="sum" dataDxfId="88" totalsRowDxfId="89"/>
    <tableColumn id="6" xr3:uid="{886E9425-9D71-4B44-A61B-E1ACB59D61D1}" name="Aportacion Obrera" totalsRowFunction="sum" dataDxfId="86" totalsRowDxfId="87"/>
    <tableColumn id="7" xr3:uid="{EC440335-348E-40FD-8290-BBF14DDBD5F4}" name="Retiro" totalsRowFunction="sum" dataDxfId="84" totalsRowDxfId="85"/>
    <tableColumn id="8" xr3:uid="{C18BFDAB-2EF1-49FE-A73F-E9DA4DD87BF3}" name="Cesantía y Vejez patronal" totalsRowFunction="sum" dataDxfId="82" totalsRowDxfId="83"/>
    <tableColumn id="9" xr3:uid="{FCCDED91-88CB-401D-A3D4-4B731A9AECC2}" name="Cesantía y Vejez obrera" totalsRowFunction="sum" dataDxfId="80" totalsRowDxfId="81"/>
    <tableColumn id="3" xr3:uid="{A46152CE-4BB6-4532-ADD6-3795DCE2EFC0}" name="Infonavit" totalsRowFunction="sum" dataDxfId="78" totalsRowDxfId="79"/>
    <tableColumn id="11" xr3:uid="{2BDC5FA7-9DB4-43FE-B90D-8B769533F78E}" name="SubTotal" totalsRowFunction="sum" dataDxfId="76" totalsRowDxfId="77">
      <calculatedColumnFormula>SUM(Tabla19[[#This Row],[Aportacion patronal]:[Infonavit]])</calculatedColumnFormula>
    </tableColumn>
    <tableColumn id="10" xr3:uid="{5A6D9858-9103-454E-AACC-693B3C34ED22}" name="SubTotal Patronal" totalsRowFunction="sum" dataDxfId="74" totalsRowDxfId="75">
      <calculatedColumnFormula>Tabla19[[#This Row],[Aportacion patronal]]+Tabla19[[#This Row],[Retiro]]+Tabla19[[#This Row],[Cesantía y Vejez patronal]]+Tabla19[[#This Row],[Infonavit]]</calculatedColumnFormula>
    </tableColumn>
    <tableColumn id="2" xr3:uid="{437B32E6-0D9B-41B9-8CCF-480E5F22D653}" name="SubTotal Obrera" totalsRowFunction="sum" dataDxfId="72" totalsRowDxfId="73">
      <calculatedColumnFormula>+Tabla19[[#This Row],[Aportacion Obrera]]+Tabla19[[#This Row],[Cesantía y Vejez obrera]]</calculatedColumnFormula>
    </tableColumn>
  </tableColumns>
  <tableStyleInfo name="TableStyleMedium1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A60EF6A-E64D-4B82-9C3E-C045618E8029}" name="Tabla112" displayName="Tabla112" ref="A3:K18" totalsRowCount="1" headerRowDxfId="71" dataDxfId="70">
  <autoFilter ref="A3:K17" xr:uid="{AA60EF6A-E64D-4B82-9C3E-C045618E8029}"/>
  <tableColumns count="11">
    <tableColumn id="1" xr3:uid="{E745B3D4-B7EE-4724-A580-1C9E4DFB62D3}" name="No." totalsRowLabel="Total" dataDxfId="68" totalsRowDxfId="69"/>
    <tableColumn id="4" xr3:uid="{EFC110E4-95BD-4C77-A3E6-FF5DC1DBE774}" name="Nombre / Name" dataDxfId="66" totalsRowDxfId="67"/>
    <tableColumn id="5" xr3:uid="{22C63745-CB3E-4F8A-97E6-5F2CE84B063D}" name="Aportacion patronal" totalsRowFunction="sum" dataDxfId="64" totalsRowDxfId="65"/>
    <tableColumn id="6" xr3:uid="{A16171D1-D8ED-475B-8701-8D043BE4808B}" name="Aportacion Obrera" totalsRowFunction="sum" dataDxfId="62" totalsRowDxfId="63"/>
    <tableColumn id="7" xr3:uid="{445083C1-8F4D-4E82-B702-78D449F48714}" name="Retiro" totalsRowFunction="sum" dataDxfId="60" totalsRowDxfId="61"/>
    <tableColumn id="8" xr3:uid="{E4D1FF84-5A74-43A1-AF63-4B7ABF615D59}" name="Cesantía y Vejez patronal" totalsRowFunction="sum" dataDxfId="58" totalsRowDxfId="59"/>
    <tableColumn id="9" xr3:uid="{DBF6B3D5-244F-453A-8FE2-B3556A14D25C}" name="Cesantía y Vejez obrera" totalsRowFunction="sum" dataDxfId="56" totalsRowDxfId="57"/>
    <tableColumn id="3" xr3:uid="{8BC6B683-791B-4DC2-94E8-0845BC694AA9}" name="Infonavit" totalsRowFunction="sum" dataDxfId="54" totalsRowDxfId="55"/>
    <tableColumn id="11" xr3:uid="{9465768D-CF3A-410F-AF8A-361F495854EF}" name="SubTotal" totalsRowFunction="sum" dataDxfId="52" totalsRowDxfId="53">
      <calculatedColumnFormula>SUM(Tabla112[[#This Row],[Aportacion patronal]:[Infonavit]])</calculatedColumnFormula>
    </tableColumn>
    <tableColumn id="10" xr3:uid="{08F61B0A-1911-4CE7-A602-F90BDF28EF56}" name="SubTotal Patronal" totalsRowFunction="sum" dataDxfId="50" totalsRowDxfId="51">
      <calculatedColumnFormula>Tabla112[[#This Row],[Aportacion patronal]]+Tabla112[[#This Row],[Retiro]]+Tabla112[[#This Row],[Cesantía y Vejez patronal]]+Tabla112[[#This Row],[Infonavit]]</calculatedColumnFormula>
    </tableColumn>
    <tableColumn id="2" xr3:uid="{E655E259-21B1-40EB-8160-283A5BE65735}" name="SubTotal Obrera" totalsRowFunction="sum" dataDxfId="48" totalsRowDxfId="49">
      <calculatedColumnFormula>+Tabla112[[#This Row],[Aportacion Obrera]]+Tabla112[[#This Row],[Cesantía y Vejez obrera]]</calculatedColumnFormula>
    </tableColumn>
  </tableColumns>
  <tableStyleInfo name="TableStyleMedium14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A93ED6E-98B9-46D7-8BEE-59CA880FDE85}" name="Tabla114" displayName="Tabla114" ref="A4:K18" totalsRowCount="1" headerRowDxfId="47" dataDxfId="46">
  <autoFilter ref="A4:K17" xr:uid="{5A93ED6E-98B9-46D7-8BEE-59CA880FDE85}"/>
  <tableColumns count="11">
    <tableColumn id="1" xr3:uid="{21A97EDB-A60F-4F3F-A678-C61614550ECA}" name="No." totalsRowLabel="Total" dataDxfId="44" totalsRowDxfId="45"/>
    <tableColumn id="4" xr3:uid="{827A2FBE-1D0A-4F05-A95A-20EDA247033E}" name="Nombre / Name" dataDxfId="42" totalsRowDxfId="43"/>
    <tableColumn id="5" xr3:uid="{4EAFB384-8352-43A7-B93B-EA107241EE79}" name="Aportacion patronal" totalsRowFunction="sum" dataDxfId="40" totalsRowDxfId="41"/>
    <tableColumn id="6" xr3:uid="{BE4A7FC0-070B-48F8-8A88-28E578387301}" name="Aportacion Obrera" totalsRowFunction="sum" dataDxfId="38" totalsRowDxfId="39"/>
    <tableColumn id="7" xr3:uid="{504EFBFC-EB99-48D5-BD51-B8EF0B46ABAC}" name="Retiro" totalsRowFunction="sum" dataDxfId="36" totalsRowDxfId="37"/>
    <tableColumn id="8" xr3:uid="{10203992-17FC-46E2-B8EC-7702BED41603}" name="Cesantía y Vejez patronal" totalsRowFunction="sum" dataDxfId="34" totalsRowDxfId="35"/>
    <tableColumn id="9" xr3:uid="{851B1023-4AA7-4D27-A69B-CF3A1EA1451A}" name="Cesantía y Vejez obrera" totalsRowFunction="sum" dataDxfId="32" totalsRowDxfId="33"/>
    <tableColumn id="3" xr3:uid="{7A992D5A-AF25-4A46-9CDA-C3680E389857}" name="Infonavit" totalsRowFunction="sum" dataDxfId="30" totalsRowDxfId="31"/>
    <tableColumn id="11" xr3:uid="{7C9FAD8C-F8C9-4492-B302-6F03D7AA9986}" name="SubTotal" totalsRowFunction="sum" dataDxfId="28" totalsRowDxfId="29">
      <calculatedColumnFormula>SUM(Tabla114[[#This Row],[Aportacion patronal]:[Infonavit]])</calculatedColumnFormula>
    </tableColumn>
    <tableColumn id="10" xr3:uid="{23122EAD-9327-456C-9BDA-53132F83905D}" name="SubTotal Patronal" totalsRowFunction="sum" dataDxfId="26" totalsRowDxfId="27">
      <calculatedColumnFormula>Tabla114[[#This Row],[Aportacion patronal]]+Tabla114[[#This Row],[Retiro]]+Tabla114[[#This Row],[Cesantía y Vejez patronal]]+Tabla114[[#This Row],[Infonavit]]</calculatedColumnFormula>
    </tableColumn>
    <tableColumn id="2" xr3:uid="{6F747FBF-8A01-4087-BE97-BF815CCF34BA}" name="SubTotal Obrera" totalsRowFunction="sum" dataDxfId="24" totalsRowDxfId="25">
      <calculatedColumnFormula>+Tabla114[[#This Row],[Aportacion Obrera]]+Tabla114[[#This Row],[Cesantía y Vejez obrera]]</calculatedColumnFormula>
    </tableColumn>
  </tableColumns>
  <tableStyleInfo name="TableStyleMedium14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2676EBD-A0D2-45C5-A7D4-D4FC5B31EC02}" name="Tabla110" displayName="Tabla110" ref="A2:K25" totalsRowCount="1" headerRowDxfId="23" dataDxfId="22">
  <autoFilter ref="A2:K24" xr:uid="{C2676EBD-A0D2-45C5-A7D4-D4FC5B31EC02}"/>
  <tableColumns count="11">
    <tableColumn id="1" xr3:uid="{5D33CC77-2932-448B-A4BE-744C48EAF4DE}" name="No." totalsRowLabel="Total" dataDxfId="20" totalsRowDxfId="21"/>
    <tableColumn id="4" xr3:uid="{F5B22796-67DD-469C-87AA-C690FC8309EB}" name="Nombre / Name" dataDxfId="18" totalsRowDxfId="19"/>
    <tableColumn id="5" xr3:uid="{BC7DD635-B85B-4323-9E8F-BD443189487A}" name="Aportacion patronal" totalsRowFunction="sum" dataDxfId="16" totalsRowDxfId="17"/>
    <tableColumn id="6" xr3:uid="{5EA72663-67AE-4990-AD5B-942D6C417A92}" name="Aportacion Obrera" totalsRowFunction="sum" dataDxfId="14" totalsRowDxfId="15"/>
    <tableColumn id="7" xr3:uid="{738C4885-C10E-461C-A6C8-17E12FFAC3D4}" name="Retiro" totalsRowFunction="sum" dataDxfId="12" totalsRowDxfId="13"/>
    <tableColumn id="8" xr3:uid="{A8A27FA2-B5DC-4DDD-9C0B-8F1C3F0CCA74}" name="Cesantía y Vejez patronal" totalsRowFunction="sum" dataDxfId="10" totalsRowDxfId="11"/>
    <tableColumn id="9" xr3:uid="{7E215E71-13DC-4F0D-9E65-7E8B0EA78C00}" name="Cesantía y Vejez obrera" totalsRowFunction="sum" dataDxfId="8" totalsRowDxfId="9"/>
    <tableColumn id="3" xr3:uid="{051EAAC5-1466-42DA-9497-D723F062F708}" name="Infonavit" totalsRowFunction="sum" dataDxfId="6" totalsRowDxfId="7"/>
    <tableColumn id="11" xr3:uid="{7164E81B-8B0F-4853-A292-85BD642F8D4E}" name="SubTotal" totalsRowFunction="sum" dataDxfId="4" totalsRowDxfId="5">
      <calculatedColumnFormula>SUM(Tabla110[[#This Row],[Aportacion patronal]:[Infonavit]])</calculatedColumnFormula>
    </tableColumn>
    <tableColumn id="10" xr3:uid="{43BCB7DE-3B62-46DC-AC0F-FED9271AB0FB}" name="SubTotal Patronal" totalsRowFunction="sum" dataDxfId="2" totalsRowDxfId="3">
      <calculatedColumnFormula>Tabla110[[#This Row],[Aportacion patronal]]+Tabla110[[#This Row],[Retiro]]+Tabla110[[#This Row],[Cesantía y Vejez patronal]]+Tabla110[[#This Row],[Infonavit]]</calculatedColumnFormula>
    </tableColumn>
    <tableColumn id="2" xr3:uid="{2DEA8D32-0105-489C-8263-99A9FE4AC59A}" name="SubTotal Obrera" totalsRowFunction="sum" dataDxfId="0" totalsRowDxfId="1">
      <calculatedColumnFormula>+Tabla110[[#This Row],[Aportacion Obrera]]+Tabla110[[#This Row],[Cesantía y Vejez obrera]]</calculatedColumnFormula>
    </tableColumn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5682D-EE17-4475-B8C3-79402365CA62}">
  <dimension ref="A1:Q68"/>
  <sheetViews>
    <sheetView tabSelected="1" topLeftCell="D6" workbookViewId="0">
      <selection activeCell="Q36" sqref="Q36"/>
    </sheetView>
  </sheetViews>
  <sheetFormatPr defaultColWidth="11.42578125" defaultRowHeight="14.45" outlineLevelCol="1"/>
  <cols>
    <col min="1" max="1" width="5.28515625" bestFit="1" customWidth="1"/>
    <col min="2" max="2" width="35.28515625" bestFit="1" customWidth="1"/>
    <col min="3" max="3" width="22.7109375" style="20" customWidth="1" outlineLevel="1"/>
    <col min="4" max="4" width="67.85546875" style="11" customWidth="1" outlineLevel="1"/>
    <col min="5" max="5" width="12.7109375" style="11" bestFit="1" customWidth="1"/>
    <col min="6" max="6" width="1.7109375" customWidth="1"/>
    <col min="10" max="10" width="1.7109375" customWidth="1"/>
    <col min="14" max="14" width="1.7109375" customWidth="1"/>
  </cols>
  <sheetData>
    <row r="1" spans="1:17" ht="15" thickBot="1">
      <c r="A1" s="45" t="s">
        <v>0</v>
      </c>
      <c r="B1" s="45"/>
      <c r="C1" s="45"/>
      <c r="D1" s="45"/>
      <c r="E1" s="45"/>
      <c r="G1" s="46" t="s">
        <v>1</v>
      </c>
      <c r="H1" s="47"/>
      <c r="I1" s="47"/>
      <c r="K1" s="46" t="s">
        <v>2</v>
      </c>
      <c r="L1" s="47"/>
      <c r="M1" s="47"/>
      <c r="O1" s="46" t="s">
        <v>3</v>
      </c>
      <c r="P1" s="47"/>
      <c r="Q1" s="47"/>
    </row>
    <row r="2" spans="1:17" ht="15.6" thickTop="1" thickBot="1">
      <c r="A2" s="3" t="s">
        <v>4</v>
      </c>
      <c r="B2" s="3" t="s">
        <v>5</v>
      </c>
      <c r="C2" s="4" t="s">
        <v>6</v>
      </c>
      <c r="D2" s="4" t="s">
        <v>7</v>
      </c>
      <c r="E2" s="4" t="s">
        <v>8</v>
      </c>
      <c r="G2" s="1" t="s">
        <v>9</v>
      </c>
      <c r="H2" s="1" t="s">
        <v>10</v>
      </c>
      <c r="I2" s="1" t="s">
        <v>11</v>
      </c>
      <c r="K2" s="1" t="s">
        <v>9</v>
      </c>
      <c r="L2" s="1" t="s">
        <v>10</v>
      </c>
      <c r="M2" s="1" t="s">
        <v>11</v>
      </c>
      <c r="O2" s="1" t="s">
        <v>9</v>
      </c>
      <c r="P2" s="1" t="s">
        <v>10</v>
      </c>
      <c r="Q2" s="1" t="s">
        <v>11</v>
      </c>
    </row>
    <row r="3" spans="1:17" ht="15" thickTop="1">
      <c r="A3" s="5">
        <v>1</v>
      </c>
      <c r="B3" s="6" t="s">
        <v>12</v>
      </c>
      <c r="C3" s="19">
        <v>4323.54</v>
      </c>
      <c r="D3" s="7">
        <v>993.98</v>
      </c>
      <c r="E3" s="8">
        <f>SUM(Tabla1[[#This Row],[Aportacion patronal]:[Aportacion Obrera]])</f>
        <v>5317.52</v>
      </c>
      <c r="F3" s="7"/>
      <c r="G3" s="7">
        <f>+Tabla1[[#This Row],[Aportacion Obrera]]</f>
        <v>993.98</v>
      </c>
      <c r="H3" s="7"/>
      <c r="I3" s="7"/>
      <c r="K3" s="7">
        <f>+Tabla1[[#This Row],[Aportacion patronal]]</f>
        <v>4323.54</v>
      </c>
      <c r="L3" s="7"/>
      <c r="M3" s="7"/>
      <c r="O3" s="7">
        <f>+G3+K3</f>
        <v>5317.52</v>
      </c>
      <c r="P3" s="7"/>
      <c r="Q3" s="7"/>
    </row>
    <row r="4" spans="1:17">
      <c r="A4" s="5">
        <v>2</v>
      </c>
      <c r="B4" s="9" t="s">
        <v>13</v>
      </c>
      <c r="C4" s="19">
        <v>4927.1099999999997</v>
      </c>
      <c r="D4" s="7">
        <v>1156.08</v>
      </c>
      <c r="E4" s="8">
        <f>SUM(Tabla1[[#This Row],[Aportacion patronal]:[Aportacion Obrera]])</f>
        <v>6083.19</v>
      </c>
      <c r="F4" s="7"/>
      <c r="G4" s="7"/>
      <c r="H4" s="7">
        <f>+Tabla1[[#This Row],[Aportacion Obrera]]</f>
        <v>1156.08</v>
      </c>
      <c r="I4" s="7"/>
      <c r="K4" s="7"/>
      <c r="L4" s="7">
        <f>+Tabla1[[#This Row],[Aportacion patronal]]</f>
        <v>4927.1099999999997</v>
      </c>
      <c r="M4" s="7"/>
      <c r="O4" s="7"/>
      <c r="P4" s="7">
        <f>+H4+L4</f>
        <v>6083.19</v>
      </c>
      <c r="Q4" s="7"/>
    </row>
    <row r="5" spans="1:17">
      <c r="A5" s="5">
        <v>3</v>
      </c>
      <c r="B5" s="6" t="s">
        <v>14</v>
      </c>
      <c r="C5" s="19">
        <v>4927.1099999999997</v>
      </c>
      <c r="D5" s="7">
        <v>1156.08</v>
      </c>
      <c r="E5" s="8">
        <f>SUM(Tabla1[[#This Row],[Aportacion patronal]:[Aportacion Obrera]])</f>
        <v>6083.19</v>
      </c>
      <c r="F5" s="7"/>
      <c r="G5" s="7">
        <f>+Tabla1[[#This Row],[Aportacion Obrera]]</f>
        <v>1156.08</v>
      </c>
      <c r="H5" s="7"/>
      <c r="I5" s="7"/>
      <c r="K5" s="7">
        <f>+Tabla1[[#This Row],[Aportacion patronal]]</f>
        <v>4927.1099999999997</v>
      </c>
      <c r="L5" s="7"/>
      <c r="M5" s="7"/>
      <c r="O5" s="7">
        <f>+G5+K5</f>
        <v>6083.19</v>
      </c>
      <c r="P5" s="7"/>
      <c r="Q5" s="7"/>
    </row>
    <row r="6" spans="1:17">
      <c r="A6" s="5">
        <v>4</v>
      </c>
      <c r="B6" s="6" t="s">
        <v>15</v>
      </c>
      <c r="C6" s="19">
        <v>4927.1099999999997</v>
      </c>
      <c r="D6" s="7">
        <v>1156.08</v>
      </c>
      <c r="E6" s="8">
        <f>SUM(Tabla1[[#This Row],[Aportacion patronal]:[Aportacion Obrera]])</f>
        <v>6083.19</v>
      </c>
      <c r="F6" s="7"/>
      <c r="G6" s="7"/>
      <c r="H6" s="7">
        <f>+Tabla1[[#This Row],[Aportacion Obrera]]</f>
        <v>1156.08</v>
      </c>
      <c r="I6" s="7"/>
      <c r="K6" s="7"/>
      <c r="L6" s="7">
        <f>+Tabla1[[#This Row],[Aportacion patronal]]</f>
        <v>4927.1099999999997</v>
      </c>
      <c r="M6" s="7"/>
      <c r="O6" s="7"/>
      <c r="P6" s="7">
        <f>+H6+L6</f>
        <v>6083.19</v>
      </c>
      <c r="Q6" s="7"/>
    </row>
    <row r="7" spans="1:17">
      <c r="A7" s="5">
        <v>5</v>
      </c>
      <c r="B7" s="6" t="s">
        <v>16</v>
      </c>
      <c r="C7" s="19">
        <v>3059.66</v>
      </c>
      <c r="D7" s="7">
        <v>654.53</v>
      </c>
      <c r="E7" s="8">
        <f>SUM(Tabla1[[#This Row],[Aportacion patronal]:[Aportacion Obrera]])</f>
        <v>3714.1899999999996</v>
      </c>
      <c r="F7" s="7"/>
      <c r="G7" s="7">
        <f>+Tabla1[[#This Row],[Aportacion Obrera]]*0.5</f>
        <v>327.26499999999999</v>
      </c>
      <c r="H7" s="7">
        <f>+Tabla1[[#This Row],[Aportacion Obrera]]*0.5</f>
        <v>327.26499999999999</v>
      </c>
      <c r="I7" s="7"/>
      <c r="K7" s="7">
        <f>+Tabla1[[#This Row],[Aportacion patronal]]*0.5</f>
        <v>1529.83</v>
      </c>
      <c r="L7" s="7">
        <f>+Tabla1[[#This Row],[Aportacion patronal]]*0.5</f>
        <v>1529.83</v>
      </c>
      <c r="M7" s="7"/>
      <c r="O7" s="7">
        <f>+G7+K7</f>
        <v>1857.0949999999998</v>
      </c>
      <c r="P7" s="7">
        <f>+H7+L7</f>
        <v>1857.0949999999998</v>
      </c>
      <c r="Q7" s="7"/>
    </row>
    <row r="8" spans="1:17">
      <c r="A8" s="5">
        <v>6</v>
      </c>
      <c r="B8" s="6" t="s">
        <v>17</v>
      </c>
      <c r="C8" s="19">
        <v>2919.24</v>
      </c>
      <c r="D8" s="7">
        <v>616.83000000000004</v>
      </c>
      <c r="E8" s="8">
        <f>SUM(Tabla1[[#This Row],[Aportacion patronal]:[Aportacion Obrera]])</f>
        <v>3536.0699999999997</v>
      </c>
      <c r="F8" s="7"/>
      <c r="G8" s="7">
        <f>+Tabla1[[#This Row],[Aportacion Obrera]]</f>
        <v>616.83000000000004</v>
      </c>
      <c r="H8" s="7"/>
      <c r="I8" s="7"/>
      <c r="K8" s="7">
        <f>+Tabla1[[#This Row],[Aportacion patronal]]</f>
        <v>2919.24</v>
      </c>
      <c r="L8" s="7"/>
      <c r="M8" s="7"/>
      <c r="O8" s="7">
        <f>+G8+K8</f>
        <v>3536.0699999999997</v>
      </c>
      <c r="P8" s="7"/>
      <c r="Q8" s="7"/>
    </row>
    <row r="9" spans="1:17">
      <c r="A9" s="5">
        <v>7</v>
      </c>
      <c r="B9" s="6" t="s">
        <v>18</v>
      </c>
      <c r="C9" s="19">
        <v>4927.1099999999997</v>
      </c>
      <c r="D9" s="7">
        <v>1156.08</v>
      </c>
      <c r="E9" s="8">
        <f>SUM(Tabla1[[#This Row],[Aportacion patronal]:[Aportacion Obrera]])</f>
        <v>6083.19</v>
      </c>
      <c r="F9" s="7"/>
      <c r="G9" s="7"/>
      <c r="H9" s="7">
        <f>+Tabla1[[#This Row],[Aportacion Obrera]]</f>
        <v>1156.08</v>
      </c>
      <c r="I9" s="7"/>
      <c r="K9" s="7"/>
      <c r="L9" s="7">
        <f>+Tabla1[[#This Row],[Aportacion patronal]]</f>
        <v>4927.1099999999997</v>
      </c>
      <c r="M9" s="7"/>
      <c r="O9" s="7"/>
      <c r="P9" s="7">
        <f>+H9+L9</f>
        <v>6083.19</v>
      </c>
      <c r="Q9" s="7"/>
    </row>
    <row r="10" spans="1:17">
      <c r="A10" s="5">
        <v>8</v>
      </c>
      <c r="B10" s="6" t="s">
        <v>19</v>
      </c>
      <c r="C10" s="19">
        <v>4927.1099999999997</v>
      </c>
      <c r="D10" s="7">
        <v>1156.08</v>
      </c>
      <c r="E10" s="8">
        <f>SUM(Tabla1[[#This Row],[Aportacion patronal]:[Aportacion Obrera]])</f>
        <v>6083.19</v>
      </c>
      <c r="F10" s="7"/>
      <c r="G10" s="7">
        <f>+Tabla1[[#This Row],[Aportacion Obrera]]</f>
        <v>1156.08</v>
      </c>
      <c r="H10" s="7"/>
      <c r="I10" s="7"/>
      <c r="K10" s="7">
        <f>+Tabla1[[#This Row],[Aportacion patronal]]</f>
        <v>4927.1099999999997</v>
      </c>
      <c r="L10" s="7"/>
      <c r="M10" s="7"/>
      <c r="O10" s="7">
        <f>+G10+K10</f>
        <v>6083.19</v>
      </c>
      <c r="P10" s="7"/>
      <c r="Q10" s="7"/>
    </row>
    <row r="11" spans="1:17">
      <c r="A11" s="5">
        <v>9</v>
      </c>
      <c r="B11" t="s">
        <v>20</v>
      </c>
      <c r="C11" s="19">
        <v>4927.1099999999997</v>
      </c>
      <c r="D11" s="7">
        <v>1156.08</v>
      </c>
      <c r="E11" s="8">
        <f>SUM(Tabla1[[#This Row],[Aportacion patronal]:[Aportacion Obrera]])</f>
        <v>6083.19</v>
      </c>
      <c r="F11" s="7"/>
      <c r="G11" s="7"/>
      <c r="H11" s="7"/>
      <c r="I11" s="7">
        <f>+Tabla1[[#This Row],[Aportacion Obrera]]</f>
        <v>1156.08</v>
      </c>
      <c r="K11" s="7"/>
      <c r="L11" s="7"/>
      <c r="M11" s="7">
        <f>+Tabla1[[#This Row],[Aportacion patronal]]</f>
        <v>4927.1099999999997</v>
      </c>
      <c r="O11" s="7"/>
      <c r="P11" s="7"/>
      <c r="Q11" s="7">
        <f>+I11+M11</f>
        <v>6083.19</v>
      </c>
    </row>
    <row r="12" spans="1:17">
      <c r="A12" s="5">
        <v>10</v>
      </c>
      <c r="B12" s="6" t="s">
        <v>21</v>
      </c>
      <c r="C12" s="19">
        <v>4068.2</v>
      </c>
      <c r="D12" s="7">
        <v>925.4</v>
      </c>
      <c r="E12" s="8">
        <f>SUM(Tabla1[[#This Row],[Aportacion patronal]:[Aportacion Obrera]])</f>
        <v>4993.5999999999995</v>
      </c>
      <c r="F12" s="7"/>
      <c r="G12" s="7"/>
      <c r="H12" s="7">
        <f>+Tabla1[[#This Row],[Aportacion Obrera]]</f>
        <v>925.4</v>
      </c>
      <c r="I12" s="7"/>
      <c r="K12" s="7"/>
      <c r="L12" s="7">
        <f>+Tabla1[[#This Row],[Aportacion patronal]]</f>
        <v>4068.2</v>
      </c>
      <c r="M12" s="7"/>
      <c r="O12" s="7"/>
      <c r="P12" s="7">
        <f>+H12+L12</f>
        <v>4993.5999999999995</v>
      </c>
      <c r="Q12" s="7"/>
    </row>
    <row r="13" spans="1:17">
      <c r="A13" s="5">
        <v>11</v>
      </c>
      <c r="B13" s="6" t="s">
        <v>22</v>
      </c>
      <c r="C13" s="19">
        <v>3059.66</v>
      </c>
      <c r="D13" s="7">
        <v>654.53</v>
      </c>
      <c r="E13" s="8">
        <f>SUM(Tabla1[[#This Row],[Aportacion patronal]:[Aportacion Obrera]])</f>
        <v>3714.1899999999996</v>
      </c>
      <c r="F13" s="7"/>
      <c r="G13" s="7"/>
      <c r="H13" s="7">
        <f>+Tabla1[[#This Row],[Aportacion Obrera]]</f>
        <v>654.53</v>
      </c>
      <c r="I13" s="7"/>
      <c r="K13" s="7"/>
      <c r="L13" s="7">
        <f>+Tabla1[[#This Row],[Aportacion patronal]]</f>
        <v>3059.66</v>
      </c>
      <c r="M13" s="7"/>
      <c r="O13" s="7"/>
      <c r="P13" s="7">
        <f>+H13+L13</f>
        <v>3714.1899999999996</v>
      </c>
      <c r="Q13" s="7"/>
    </row>
    <row r="14" spans="1:17">
      <c r="A14" s="5">
        <v>12</v>
      </c>
      <c r="B14" s="6" t="s">
        <v>23</v>
      </c>
      <c r="C14" s="19">
        <v>4927.1099999999997</v>
      </c>
      <c r="D14" s="7">
        <v>1156.08</v>
      </c>
      <c r="E14" s="8">
        <f>SUM(Tabla1[[#This Row],[Aportacion patronal]:[Aportacion Obrera]])</f>
        <v>6083.19</v>
      </c>
      <c r="F14" s="7"/>
      <c r="G14" s="7">
        <f>+Tabla1[[#This Row],[Aportacion Obrera]]</f>
        <v>1156.08</v>
      </c>
      <c r="H14" s="7"/>
      <c r="I14" s="7"/>
      <c r="K14" s="7">
        <f>+Tabla1[[#This Row],[Aportacion patronal]]</f>
        <v>4927.1099999999997</v>
      </c>
      <c r="L14" s="7"/>
      <c r="M14" s="7"/>
      <c r="O14" s="7">
        <f>+G14+K14</f>
        <v>6083.19</v>
      </c>
      <c r="P14" s="7"/>
      <c r="Q14" s="7"/>
    </row>
    <row r="15" spans="1:17">
      <c r="A15" s="5">
        <v>13</v>
      </c>
      <c r="B15" s="6" t="s">
        <v>24</v>
      </c>
      <c r="C15" s="19">
        <v>4598.6400000000003</v>
      </c>
      <c r="D15" s="7">
        <v>1079.02</v>
      </c>
      <c r="E15" s="8">
        <f>SUM(Tabla1[[#This Row],[Aportacion patronal]:[Aportacion Obrera]])</f>
        <v>5677.66</v>
      </c>
      <c r="F15" s="7"/>
      <c r="G15" s="7">
        <f>+Tabla1[[#This Row],[Aportacion Obrera]]*0.45</f>
        <v>485.55900000000003</v>
      </c>
      <c r="H15" s="7">
        <f>+Tabla1[[#This Row],[Aportacion Obrera]]*0.45</f>
        <v>485.55900000000003</v>
      </c>
      <c r="I15" s="7">
        <f>+Tabla1[[#This Row],[Aportacion Obrera]]*0.1</f>
        <v>107.902</v>
      </c>
      <c r="K15" s="7">
        <f>+Tabla1[[#This Row],[Aportacion patronal]]*0.45</f>
        <v>2069.3880000000004</v>
      </c>
      <c r="L15" s="7">
        <f>+Tabla1[[#This Row],[Aportacion patronal]]*0.45</f>
        <v>2069.3880000000004</v>
      </c>
      <c r="M15" s="7">
        <f>+Tabla1[[#This Row],[Aportacion patronal]]*0.1</f>
        <v>459.86400000000003</v>
      </c>
      <c r="O15" s="7">
        <f>+G15+K15</f>
        <v>2554.9470000000006</v>
      </c>
      <c r="P15" s="7">
        <f>+H15+L15</f>
        <v>2554.9470000000006</v>
      </c>
      <c r="Q15" s="7">
        <f>+I15+M15</f>
        <v>567.76600000000008</v>
      </c>
    </row>
    <row r="16" spans="1:17">
      <c r="A16" s="5">
        <v>14</v>
      </c>
      <c r="B16" s="6" t="s">
        <v>25</v>
      </c>
      <c r="C16" s="19">
        <v>4927.1099999999997</v>
      </c>
      <c r="D16" s="7">
        <v>1156.08</v>
      </c>
      <c r="E16" s="8">
        <f>SUM(Tabla1[[#This Row],[Aportacion patronal]:[Aportacion Obrera]])</f>
        <v>6083.19</v>
      </c>
      <c r="F16" s="7"/>
      <c r="G16" s="7">
        <f>+Tabla1[[#This Row],[Aportacion Obrera]]</f>
        <v>1156.08</v>
      </c>
      <c r="H16" s="7"/>
      <c r="I16" s="7"/>
      <c r="K16" s="7">
        <f>+Tabla1[[#This Row],[Aportacion patronal]]</f>
        <v>4927.1099999999997</v>
      </c>
      <c r="L16" s="7"/>
      <c r="M16" s="7"/>
      <c r="O16" s="7">
        <f>+G16+K16</f>
        <v>6083.19</v>
      </c>
      <c r="P16" s="7"/>
      <c r="Q16" s="7"/>
    </row>
    <row r="17" spans="1:17">
      <c r="A17" s="5">
        <v>15</v>
      </c>
      <c r="B17" s="6" t="s">
        <v>26</v>
      </c>
      <c r="C17" s="19">
        <v>4068.2</v>
      </c>
      <c r="D17" s="7">
        <v>925.4</v>
      </c>
      <c r="E17" s="8">
        <f>SUM(Tabla1[[#This Row],[Aportacion patronal]:[Aportacion Obrera]])</f>
        <v>4993.5999999999995</v>
      </c>
      <c r="F17" s="7"/>
      <c r="G17" s="7"/>
      <c r="H17" s="7">
        <f>+Tabla1[[#This Row],[Aportacion Obrera]]</f>
        <v>925.4</v>
      </c>
      <c r="I17" s="7"/>
      <c r="K17" s="7"/>
      <c r="L17" s="7">
        <f>+Tabla1[[#This Row],[Aportacion patronal]]</f>
        <v>4068.2</v>
      </c>
      <c r="M17" s="7"/>
      <c r="O17" s="7"/>
      <c r="P17" s="7">
        <f>+H17+L17</f>
        <v>4993.5999999999995</v>
      </c>
      <c r="Q17" s="7"/>
    </row>
    <row r="18" spans="1:17">
      <c r="A18" s="5">
        <v>16</v>
      </c>
      <c r="B18" s="6" t="s">
        <v>27</v>
      </c>
      <c r="C18" s="19">
        <v>4068.2000000000003</v>
      </c>
      <c r="D18" s="7">
        <v>925.4</v>
      </c>
      <c r="E18" s="8">
        <f>SUM(Tabla1[[#This Row],[Aportacion patronal]:[Aportacion Obrera]])</f>
        <v>4993.6000000000004</v>
      </c>
      <c r="F18" s="7"/>
      <c r="G18" s="7"/>
      <c r="H18" s="7">
        <f>+Tabla1[[#This Row],[Aportacion Obrera]]</f>
        <v>925.4</v>
      </c>
      <c r="I18" s="7"/>
      <c r="K18" s="7"/>
      <c r="L18" s="7">
        <f>+Tabla1[[#This Row],[Aportacion patronal]]</f>
        <v>4068.2000000000003</v>
      </c>
      <c r="M18" s="7"/>
      <c r="O18" s="7"/>
      <c r="P18" s="7">
        <f>+H18+L18</f>
        <v>4993.6000000000004</v>
      </c>
      <c r="Q18" s="7"/>
    </row>
    <row r="19" spans="1:17">
      <c r="A19" s="5">
        <v>17</v>
      </c>
      <c r="B19" s="6" t="s">
        <v>28</v>
      </c>
      <c r="C19" s="19">
        <v>176.32</v>
      </c>
      <c r="D19" s="7">
        <v>36.21</v>
      </c>
      <c r="E19" s="7">
        <f>SUM(Tabla1[[#This Row],[Aportacion patronal]:[Aportacion Obrera]])</f>
        <v>212.53</v>
      </c>
      <c r="F19" s="7"/>
      <c r="G19" s="7"/>
      <c r="H19" s="7"/>
      <c r="I19" s="7">
        <v>0</v>
      </c>
      <c r="K19" s="7"/>
      <c r="L19" s="7"/>
      <c r="M19" s="7">
        <f>+Tabla1[[#This Row],[SubTotal]]</f>
        <v>212.53</v>
      </c>
      <c r="O19" s="7"/>
      <c r="P19" s="7"/>
      <c r="Q19" s="7">
        <f>+I19+M19</f>
        <v>212.53</v>
      </c>
    </row>
    <row r="20" spans="1:17" ht="15" thickBot="1">
      <c r="A20" s="5" t="s">
        <v>29</v>
      </c>
      <c r="B20" s="6"/>
      <c r="C20" s="19">
        <f>SUBTOTAL(109,Tabla1[Aportacion patronal])</f>
        <v>69758.539999999994</v>
      </c>
      <c r="D20" s="7">
        <f>SUBTOTAL(109,Tabla1[Aportacion Obrera])</f>
        <v>16059.939999999999</v>
      </c>
      <c r="E20" s="7">
        <f>SUBTOTAL(109,Tabla1[SubTotal])</f>
        <v>85818.48000000001</v>
      </c>
      <c r="F20" s="7"/>
      <c r="G20" s="10">
        <f>SUM(G3:G19)</f>
        <v>7047.9539999999997</v>
      </c>
      <c r="H20" s="10">
        <f>SUM(H3:H19)</f>
        <v>7711.793999999999</v>
      </c>
      <c r="I20" s="10">
        <f>SUM(I3:I19)</f>
        <v>1263.982</v>
      </c>
      <c r="K20" s="10">
        <f>SUM(K3:K19)</f>
        <v>30550.437999999998</v>
      </c>
      <c r="L20" s="10">
        <f>SUM(L3:L19)</f>
        <v>33644.807999999997</v>
      </c>
      <c r="M20" s="10">
        <f>SUM(M3:M19)</f>
        <v>5599.5039999999999</v>
      </c>
      <c r="O20" s="10">
        <f>SUM(O3:O19)</f>
        <v>37598.392</v>
      </c>
      <c r="P20" s="10">
        <f t="shared" ref="P20:Q20" si="0">SUM(P3:P19)</f>
        <v>41356.601999999992</v>
      </c>
      <c r="Q20" s="10">
        <f t="shared" si="0"/>
        <v>6863.4859999999999</v>
      </c>
    </row>
    <row r="21" spans="1:17" ht="15" thickTop="1">
      <c r="K21" s="48" t="s">
        <v>30</v>
      </c>
      <c r="L21" s="48"/>
      <c r="M21" s="48"/>
      <c r="N21" s="13"/>
    </row>
    <row r="23" spans="1:17">
      <c r="B23" s="14" t="s">
        <v>31</v>
      </c>
      <c r="P23" s="13"/>
    </row>
    <row r="24" spans="1:17" ht="43.15">
      <c r="B24" s="28" t="s">
        <v>32</v>
      </c>
      <c r="C24" s="27" t="s">
        <v>33</v>
      </c>
      <c r="D24" s="27" t="s">
        <v>34</v>
      </c>
      <c r="E24" s="27" t="s">
        <v>35</v>
      </c>
      <c r="F24" s="28"/>
      <c r="G24" s="27" t="s">
        <v>36</v>
      </c>
      <c r="H24" s="27" t="s">
        <v>37</v>
      </c>
      <c r="I24" s="27" t="s">
        <v>38</v>
      </c>
      <c r="J24" s="29"/>
      <c r="K24" s="27" t="s">
        <v>39</v>
      </c>
    </row>
    <row r="25" spans="1:17">
      <c r="B25" t="s">
        <v>40</v>
      </c>
      <c r="C25" s="21">
        <v>70015</v>
      </c>
      <c r="D25" s="15" t="s">
        <v>41</v>
      </c>
      <c r="E25" s="15">
        <v>41350.6</v>
      </c>
      <c r="H25">
        <v>2126.04</v>
      </c>
      <c r="K25">
        <v>19.45</v>
      </c>
    </row>
    <row r="26" spans="1:17">
      <c r="B26">
        <v>99999</v>
      </c>
      <c r="C26" s="21" t="s">
        <v>42</v>
      </c>
      <c r="D26" s="15" t="s">
        <v>41</v>
      </c>
      <c r="E26" s="15"/>
      <c r="G26">
        <v>41350.6</v>
      </c>
      <c r="I26">
        <v>2126.04</v>
      </c>
      <c r="K26">
        <v>19.45</v>
      </c>
    </row>
    <row r="27" spans="1:17">
      <c r="C27" s="21"/>
      <c r="D27" s="15"/>
      <c r="E27" s="15"/>
    </row>
    <row r="28" spans="1:17">
      <c r="B28" s="14" t="s">
        <v>43</v>
      </c>
      <c r="C28" s="21"/>
      <c r="D28" s="15"/>
      <c r="E28" s="15"/>
    </row>
    <row r="29" spans="1:17">
      <c r="B29" t="s">
        <v>44</v>
      </c>
      <c r="C29" s="21">
        <v>70015</v>
      </c>
      <c r="D29" s="15" t="s">
        <v>41</v>
      </c>
      <c r="E29" s="15">
        <v>33644.81</v>
      </c>
      <c r="H29" s="22">
        <f>+E29/K29</f>
        <v>1729.8102827763496</v>
      </c>
      <c r="K29">
        <v>19.45</v>
      </c>
    </row>
    <row r="30" spans="1:17">
      <c r="C30" s="21"/>
      <c r="D30" s="15"/>
      <c r="E30" s="15"/>
    </row>
    <row r="31" spans="1:17">
      <c r="C31" s="21"/>
      <c r="D31" s="15"/>
      <c r="E31" s="15"/>
    </row>
    <row r="32" spans="1:17">
      <c r="B32" s="14" t="s">
        <v>45</v>
      </c>
      <c r="C32" s="21"/>
      <c r="D32" s="15"/>
      <c r="E32" s="15"/>
    </row>
    <row r="33" spans="2:11">
      <c r="B33" t="s">
        <v>44</v>
      </c>
      <c r="C33" s="21">
        <v>70015</v>
      </c>
      <c r="D33" s="15" t="s">
        <v>41</v>
      </c>
      <c r="E33" s="15"/>
      <c r="G33">
        <f>+E25-E29</f>
        <v>7705.7900000000009</v>
      </c>
      <c r="I33" s="22">
        <f>+G33/K33</f>
        <v>396.18457583547564</v>
      </c>
      <c r="K33">
        <v>19.45</v>
      </c>
    </row>
    <row r="34" spans="2:11">
      <c r="B34">
        <v>99999</v>
      </c>
      <c r="C34" s="21" t="s">
        <v>42</v>
      </c>
      <c r="D34" s="15" t="s">
        <v>41</v>
      </c>
      <c r="E34" s="15">
        <v>7705.79</v>
      </c>
      <c r="H34">
        <v>396.18</v>
      </c>
      <c r="K34">
        <v>19.45</v>
      </c>
    </row>
    <row r="35" spans="2:11">
      <c r="C35" s="21"/>
      <c r="D35" s="15"/>
      <c r="E35" s="15"/>
    </row>
    <row r="36" spans="2:11">
      <c r="C36" s="21"/>
      <c r="D36" s="15"/>
      <c r="E36" s="15"/>
    </row>
    <row r="37" spans="2:11">
      <c r="C37" s="21"/>
      <c r="D37" s="15"/>
      <c r="E37" s="15"/>
    </row>
    <row r="38" spans="2:11">
      <c r="C38" s="21"/>
      <c r="D38" s="15"/>
      <c r="E38" s="15"/>
    </row>
    <row r="39" spans="2:11">
      <c r="C39" s="21"/>
      <c r="D39" s="15"/>
      <c r="E39" s="15"/>
    </row>
    <row r="40" spans="2:11">
      <c r="C40" s="21"/>
      <c r="D40" s="15"/>
      <c r="E40" s="15"/>
    </row>
    <row r="41" spans="2:11">
      <c r="C41" s="21"/>
      <c r="D41" s="15"/>
      <c r="E41" s="15"/>
    </row>
    <row r="42" spans="2:11">
      <c r="C42" s="21"/>
      <c r="D42" s="15"/>
      <c r="E42" s="15"/>
    </row>
    <row r="43" spans="2:11">
      <c r="C43" s="21"/>
      <c r="D43" s="15"/>
      <c r="E43" s="15"/>
    </row>
    <row r="44" spans="2:11">
      <c r="C44" s="21"/>
      <c r="D44" s="15"/>
      <c r="E44" s="15"/>
    </row>
    <row r="45" spans="2:11">
      <c r="C45" s="21"/>
      <c r="D45" s="15"/>
      <c r="E45" s="15"/>
    </row>
    <row r="46" spans="2:11">
      <c r="C46" s="21"/>
      <c r="D46" s="15"/>
      <c r="E46" s="15"/>
    </row>
    <row r="47" spans="2:11">
      <c r="C47" s="21"/>
      <c r="D47" s="15"/>
      <c r="E47" s="15"/>
    </row>
    <row r="48" spans="2:11">
      <c r="C48" s="21"/>
      <c r="D48" s="15"/>
      <c r="E48" s="15"/>
    </row>
    <row r="49" spans="3:5">
      <c r="C49" s="21"/>
      <c r="D49" s="15"/>
      <c r="E49" s="15"/>
    </row>
    <row r="50" spans="3:5">
      <c r="C50" s="21"/>
      <c r="D50" s="15"/>
      <c r="E50" s="15"/>
    </row>
    <row r="51" spans="3:5">
      <c r="C51" s="21"/>
      <c r="D51" s="15"/>
      <c r="E51" s="15"/>
    </row>
    <row r="52" spans="3:5">
      <c r="C52" s="21"/>
      <c r="D52" s="15"/>
      <c r="E52" s="15"/>
    </row>
    <row r="53" spans="3:5">
      <c r="C53" s="21"/>
      <c r="D53" s="15"/>
      <c r="E53" s="15"/>
    </row>
    <row r="54" spans="3:5">
      <c r="C54" s="21"/>
      <c r="D54" s="15"/>
      <c r="E54" s="15"/>
    </row>
    <row r="55" spans="3:5">
      <c r="C55" s="21"/>
      <c r="D55" s="15"/>
      <c r="E55" s="15"/>
    </row>
    <row r="56" spans="3:5">
      <c r="C56" s="21"/>
      <c r="D56" s="15"/>
      <c r="E56" s="15"/>
    </row>
    <row r="57" spans="3:5">
      <c r="C57" s="21"/>
      <c r="D57" s="15"/>
      <c r="E57" s="15"/>
    </row>
    <row r="58" spans="3:5">
      <c r="C58" s="21"/>
      <c r="D58" s="15"/>
      <c r="E58" s="15"/>
    </row>
    <row r="59" spans="3:5">
      <c r="C59" s="21"/>
      <c r="D59" s="15"/>
      <c r="E59" s="15"/>
    </row>
    <row r="60" spans="3:5">
      <c r="C60" s="21"/>
      <c r="D60" s="15"/>
      <c r="E60" s="15"/>
    </row>
    <row r="61" spans="3:5">
      <c r="C61" s="21"/>
      <c r="D61" s="15"/>
      <c r="E61" s="15"/>
    </row>
    <row r="62" spans="3:5">
      <c r="C62" s="21"/>
      <c r="D62" s="15"/>
      <c r="E62" s="15"/>
    </row>
    <row r="63" spans="3:5">
      <c r="C63" s="21"/>
      <c r="D63" s="15"/>
      <c r="E63" s="15"/>
    </row>
    <row r="64" spans="3:5">
      <c r="C64" s="21"/>
      <c r="D64" s="15"/>
      <c r="E64" s="15"/>
    </row>
    <row r="65" spans="3:5">
      <c r="C65" s="21"/>
      <c r="D65" s="15"/>
      <c r="E65" s="15"/>
    </row>
    <row r="66" spans="3:5">
      <c r="C66" s="21"/>
      <c r="D66" s="15"/>
      <c r="E66" s="15"/>
    </row>
    <row r="67" spans="3:5">
      <c r="C67" s="21"/>
      <c r="D67" s="15"/>
      <c r="E67" s="15"/>
    </row>
    <row r="68" spans="3:5">
      <c r="C68" s="21"/>
      <c r="D68" s="15"/>
      <c r="E68" s="15"/>
    </row>
  </sheetData>
  <mergeCells count="5">
    <mergeCell ref="A1:E1"/>
    <mergeCell ref="G1:I1"/>
    <mergeCell ref="K1:M1"/>
    <mergeCell ref="O1:Q1"/>
    <mergeCell ref="K21:M2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E69B5-28B0-4B17-B0A1-BC45C0AA6B5C}">
  <dimension ref="A1:W60"/>
  <sheetViews>
    <sheetView topLeftCell="A7" workbookViewId="0">
      <selection activeCell="E52" sqref="E52"/>
    </sheetView>
  </sheetViews>
  <sheetFormatPr defaultColWidth="11.42578125" defaultRowHeight="14.45" outlineLevelCol="1"/>
  <cols>
    <col min="1" max="1" width="5.140625" bestFit="1" customWidth="1"/>
    <col min="2" max="2" width="35.28515625" bestFit="1" customWidth="1"/>
    <col min="3" max="3" width="18.42578125" style="11" customWidth="1" outlineLevel="1"/>
    <col min="4" max="4" width="73.42578125" style="11" customWidth="1" outlineLevel="1"/>
    <col min="5" max="10" width="14.42578125" style="11" customWidth="1" outlineLevel="1"/>
    <col min="11" max="11" width="12.7109375" style="11" bestFit="1" customWidth="1"/>
    <col min="12" max="12" width="1.7109375" customWidth="1"/>
    <col min="13" max="13" width="13.7109375" customWidth="1"/>
    <col min="14" max="14" width="15" customWidth="1"/>
    <col min="16" max="16" width="1.7109375" customWidth="1"/>
    <col min="20" max="20" width="1.7109375" customWidth="1"/>
    <col min="21" max="21" width="15.42578125" customWidth="1"/>
    <col min="22" max="22" width="14.85546875" customWidth="1"/>
  </cols>
  <sheetData>
    <row r="1" spans="1:23" ht="15" thickBot="1">
      <c r="A1" s="45" t="s">
        <v>46</v>
      </c>
      <c r="B1" s="45"/>
      <c r="C1" s="45"/>
      <c r="D1" s="45"/>
      <c r="E1" s="45"/>
      <c r="F1" s="45"/>
      <c r="G1" s="45"/>
      <c r="H1" s="45"/>
      <c r="I1" s="45"/>
      <c r="J1" s="45"/>
      <c r="K1" s="45"/>
      <c r="M1" s="46" t="s">
        <v>47</v>
      </c>
      <c r="N1" s="47"/>
      <c r="O1" s="47"/>
      <c r="Q1" s="46" t="s">
        <v>48</v>
      </c>
      <c r="R1" s="47"/>
      <c r="S1" s="47"/>
      <c r="U1" s="46" t="s">
        <v>3</v>
      </c>
      <c r="V1" s="47"/>
      <c r="W1" s="47"/>
    </row>
    <row r="2" spans="1:23" ht="30" thickTop="1" thickBot="1">
      <c r="A2" s="3" t="s">
        <v>4</v>
      </c>
      <c r="B2" s="3" t="s">
        <v>49</v>
      </c>
      <c r="C2" s="4" t="s">
        <v>6</v>
      </c>
      <c r="D2" s="4" t="s">
        <v>7</v>
      </c>
      <c r="E2" s="4" t="s">
        <v>50</v>
      </c>
      <c r="F2" s="4" t="s">
        <v>51</v>
      </c>
      <c r="G2" s="4" t="s">
        <v>52</v>
      </c>
      <c r="H2" s="4" t="s">
        <v>53</v>
      </c>
      <c r="I2" s="4" t="s">
        <v>8</v>
      </c>
      <c r="J2" s="4" t="s">
        <v>54</v>
      </c>
      <c r="K2" s="4" t="s">
        <v>55</v>
      </c>
      <c r="M2" s="1" t="s">
        <v>9</v>
      </c>
      <c r="N2" s="1" t="s">
        <v>10</v>
      </c>
      <c r="O2" s="1" t="s">
        <v>11</v>
      </c>
      <c r="Q2" s="1" t="s">
        <v>9</v>
      </c>
      <c r="R2" s="1" t="s">
        <v>10</v>
      </c>
      <c r="S2" s="1" t="s">
        <v>11</v>
      </c>
      <c r="U2" s="1" t="s">
        <v>9</v>
      </c>
      <c r="V2" s="1" t="s">
        <v>10</v>
      </c>
      <c r="W2" s="1" t="s">
        <v>11</v>
      </c>
    </row>
    <row r="3" spans="1:23" ht="15" thickTop="1">
      <c r="A3" s="5">
        <v>1</v>
      </c>
      <c r="B3" s="6" t="s">
        <v>12</v>
      </c>
      <c r="C3" s="7">
        <v>4467.67</v>
      </c>
      <c r="D3" s="7">
        <v>1027.1199999999999</v>
      </c>
      <c r="E3" s="7">
        <v>2535.1799999999998</v>
      </c>
      <c r="F3" s="7">
        <v>3992.92</v>
      </c>
      <c r="G3" s="7">
        <v>1426.04</v>
      </c>
      <c r="H3" s="7">
        <v>6337.96</v>
      </c>
      <c r="I3" s="7">
        <f>SUM(Tabla13[[#This Row],[Aportacion patronal]:[Infonavit]])</f>
        <v>19786.89</v>
      </c>
      <c r="J3" s="7">
        <f>Tabla13[[#This Row],[Aportacion patronal]]+Tabla13[[#This Row],[Retiro]]+Tabla13[[#This Row],[Cesantía y Vejez patronal]]+Tabla13[[#This Row],[Infonavit]]</f>
        <v>17333.73</v>
      </c>
      <c r="K3" s="8">
        <f>+Tabla13[[#This Row],[Aportacion Obrera]]+Tabla13[[#This Row],[Cesantía y Vejez obrera]]</f>
        <v>2453.16</v>
      </c>
      <c r="L3" s="7"/>
      <c r="M3" s="7">
        <f>Tabla13[[#This Row],[SubTotal Patronal]]</f>
        <v>17333.73</v>
      </c>
      <c r="N3" s="7"/>
      <c r="O3" s="7"/>
      <c r="Q3" s="7">
        <f>+Tabla13[[#This Row],[SubTotal Obrera]]</f>
        <v>2453.16</v>
      </c>
      <c r="R3" s="7"/>
      <c r="S3" s="7"/>
      <c r="U3" s="7">
        <f>+M3+Q3</f>
        <v>19786.89</v>
      </c>
      <c r="V3" s="7">
        <f t="shared" ref="V3:W19" si="0">+N3+R3</f>
        <v>0</v>
      </c>
      <c r="W3" s="7">
        <f t="shared" si="0"/>
        <v>0</v>
      </c>
    </row>
    <row r="4" spans="1:23">
      <c r="A4" s="5">
        <v>2</v>
      </c>
      <c r="B4" s="6" t="s">
        <v>13</v>
      </c>
      <c r="C4" s="7">
        <v>5091.34</v>
      </c>
      <c r="D4" s="7">
        <v>1194.6300000000001</v>
      </c>
      <c r="E4" s="7">
        <v>2934.71</v>
      </c>
      <c r="F4" s="7">
        <v>4622.17</v>
      </c>
      <c r="G4" s="7">
        <v>1650.77</v>
      </c>
      <c r="H4" s="7">
        <v>7336.78</v>
      </c>
      <c r="I4" s="7">
        <f>SUM(Tabla13[[#This Row],[Aportacion patronal]:[Infonavit]])</f>
        <v>22830.400000000001</v>
      </c>
      <c r="J4" s="7">
        <f>Tabla13[[#This Row],[Aportacion patronal]]+Tabla13[[#This Row],[Retiro]]+Tabla13[[#This Row],[Cesantía y Vejez patronal]]+Tabla13[[#This Row],[Infonavit]]</f>
        <v>19985</v>
      </c>
      <c r="K4" s="8">
        <f>+Tabla13[[#This Row],[Aportacion Obrera]]+Tabla13[[#This Row],[Cesantía y Vejez obrera]]</f>
        <v>2845.4</v>
      </c>
      <c r="L4" s="7"/>
      <c r="M4" s="7"/>
      <c r="N4" s="7">
        <v>20320.61</v>
      </c>
      <c r="O4" s="7"/>
      <c r="Q4" s="7"/>
      <c r="R4" s="7">
        <f>+Tabla13[[#This Row],[SubTotal Obrera]]</f>
        <v>2845.4</v>
      </c>
      <c r="S4" s="7"/>
      <c r="U4" s="7">
        <f t="shared" ref="U4:U19" si="1">+M4+Q4</f>
        <v>0</v>
      </c>
      <c r="V4" s="7">
        <f t="shared" si="0"/>
        <v>23166.010000000002</v>
      </c>
      <c r="W4" s="7">
        <f t="shared" si="0"/>
        <v>0</v>
      </c>
    </row>
    <row r="5" spans="1:23">
      <c r="A5" s="5">
        <v>3</v>
      </c>
      <c r="B5" s="6" t="s">
        <v>14</v>
      </c>
      <c r="C5" s="7">
        <v>5091.34</v>
      </c>
      <c r="D5" s="7">
        <v>1194.6300000000001</v>
      </c>
      <c r="E5" s="7">
        <v>2934.71</v>
      </c>
      <c r="F5" s="7">
        <v>4622.17</v>
      </c>
      <c r="G5" s="7">
        <v>1650.77</v>
      </c>
      <c r="H5" s="7">
        <v>7336.78</v>
      </c>
      <c r="I5" s="7">
        <f>SUM(Tabla13[[#This Row],[Aportacion patronal]:[Infonavit]])</f>
        <v>22830.400000000001</v>
      </c>
      <c r="J5" s="7">
        <f>Tabla13[[#This Row],[Aportacion patronal]]+Tabla13[[#This Row],[Retiro]]+Tabla13[[#This Row],[Cesantía y Vejez patronal]]+Tabla13[[#This Row],[Infonavit]]</f>
        <v>19985</v>
      </c>
      <c r="K5" s="8">
        <f>+Tabla13[[#This Row],[Aportacion Obrera]]+Tabla13[[#This Row],[Cesantía y Vejez obrera]]</f>
        <v>2845.4</v>
      </c>
      <c r="L5" s="7"/>
      <c r="M5" s="7">
        <f>Tabla13[[#This Row],[SubTotal Patronal]]</f>
        <v>19985</v>
      </c>
      <c r="N5" s="7"/>
      <c r="O5" s="7"/>
      <c r="Q5" s="7">
        <f>+Tabla13[[#This Row],[SubTotal Obrera]]</f>
        <v>2845.4</v>
      </c>
      <c r="R5" s="7"/>
      <c r="S5" s="7"/>
      <c r="U5" s="7">
        <f t="shared" si="1"/>
        <v>22830.400000000001</v>
      </c>
      <c r="V5" s="7">
        <f t="shared" si="0"/>
        <v>0</v>
      </c>
      <c r="W5" s="7">
        <f t="shared" si="0"/>
        <v>0</v>
      </c>
    </row>
    <row r="6" spans="1:23">
      <c r="A6" s="5">
        <v>4</v>
      </c>
      <c r="B6" s="6" t="s">
        <v>15</v>
      </c>
      <c r="C6" s="7">
        <v>5091.34</v>
      </c>
      <c r="D6" s="7">
        <v>1194.6300000000001</v>
      </c>
      <c r="E6" s="7">
        <v>2934.71</v>
      </c>
      <c r="F6" s="7">
        <v>4622.17</v>
      </c>
      <c r="G6" s="7">
        <v>1650.77</v>
      </c>
      <c r="H6" s="7">
        <v>7336.78</v>
      </c>
      <c r="I6" s="7">
        <f>SUM(Tabla13[[#This Row],[Aportacion patronal]:[Infonavit]])</f>
        <v>22830.400000000001</v>
      </c>
      <c r="J6" s="7">
        <f>Tabla13[[#This Row],[Aportacion patronal]]+Tabla13[[#This Row],[Retiro]]+Tabla13[[#This Row],[Cesantía y Vejez patronal]]+Tabla13[[#This Row],[Infonavit]]</f>
        <v>19985</v>
      </c>
      <c r="K6" s="8">
        <f>+Tabla13[[#This Row],[Aportacion Obrera]]+Tabla13[[#This Row],[Cesantía y Vejez obrera]]</f>
        <v>2845.4</v>
      </c>
      <c r="L6" s="7"/>
      <c r="M6" s="7"/>
      <c r="N6" s="7">
        <v>20320.61</v>
      </c>
      <c r="O6" s="7"/>
      <c r="Q6" s="7"/>
      <c r="R6" s="7">
        <f>+Tabla13[[#This Row],[SubTotal Obrera]]</f>
        <v>2845.4</v>
      </c>
      <c r="S6" s="7"/>
      <c r="U6" s="7">
        <f t="shared" si="1"/>
        <v>0</v>
      </c>
      <c r="V6" s="7">
        <f t="shared" si="0"/>
        <v>23166.010000000002</v>
      </c>
      <c r="W6" s="7">
        <f t="shared" si="0"/>
        <v>0</v>
      </c>
    </row>
    <row r="7" spans="1:23">
      <c r="A7" s="5">
        <v>5</v>
      </c>
      <c r="B7" s="6" t="s">
        <v>16</v>
      </c>
      <c r="C7" s="7">
        <v>3161.64</v>
      </c>
      <c r="D7" s="7">
        <v>676.35</v>
      </c>
      <c r="E7" s="7">
        <v>1698.57</v>
      </c>
      <c r="F7" s="7">
        <v>2675.25</v>
      </c>
      <c r="G7" s="7">
        <v>955.45</v>
      </c>
      <c r="H7" s="7">
        <v>4246.42</v>
      </c>
      <c r="I7" s="7">
        <f>SUM(Tabla13[[#This Row],[Aportacion patronal]:[Infonavit]])</f>
        <v>13413.68</v>
      </c>
      <c r="J7" s="7">
        <f>Tabla13[[#This Row],[Aportacion patronal]]+Tabla13[[#This Row],[Retiro]]+Tabla13[[#This Row],[Cesantía y Vejez patronal]]+Tabla13[[#This Row],[Infonavit]]</f>
        <v>11781.880000000001</v>
      </c>
      <c r="K7" s="8">
        <f>+Tabla13[[#This Row],[Aportacion Obrera]]+Tabla13[[#This Row],[Cesantía y Vejez obrera]]</f>
        <v>1631.8000000000002</v>
      </c>
      <c r="L7" s="7"/>
      <c r="M7" s="7">
        <f>Tabla13[[#This Row],[SubTotal Patronal]]*0.5</f>
        <v>5890.9400000000005</v>
      </c>
      <c r="N7" s="7">
        <v>5989.54</v>
      </c>
      <c r="O7" s="7"/>
      <c r="Q7" s="7">
        <f>+Tabla13[[#This Row],[SubTotal Obrera]]*0.5</f>
        <v>815.90000000000009</v>
      </c>
      <c r="R7" s="7">
        <f>+Tabla13[[#This Row],[SubTotal Obrera]]*0.5</f>
        <v>815.90000000000009</v>
      </c>
      <c r="S7" s="7"/>
      <c r="U7" s="7">
        <f t="shared" si="1"/>
        <v>6706.84</v>
      </c>
      <c r="V7" s="7">
        <f t="shared" si="0"/>
        <v>6805.4400000000005</v>
      </c>
      <c r="W7" s="7">
        <f t="shared" si="0"/>
        <v>0</v>
      </c>
    </row>
    <row r="8" spans="1:23">
      <c r="A8" s="5">
        <v>6</v>
      </c>
      <c r="B8" s="6" t="s">
        <v>17</v>
      </c>
      <c r="C8" s="7">
        <v>3016.53</v>
      </c>
      <c r="D8" s="7">
        <v>637.38</v>
      </c>
      <c r="E8" s="7">
        <v>1605.62</v>
      </c>
      <c r="F8" s="7">
        <v>2528.85</v>
      </c>
      <c r="G8" s="7">
        <v>903.16</v>
      </c>
      <c r="H8" s="7">
        <v>4014.04</v>
      </c>
      <c r="I8" s="7">
        <f>SUM(Tabla13[[#This Row],[Aportacion patronal]:[Infonavit]])</f>
        <v>12705.580000000002</v>
      </c>
      <c r="J8" s="7">
        <f>Tabla13[[#This Row],[Aportacion patronal]]+Tabla13[[#This Row],[Retiro]]+Tabla13[[#This Row],[Cesantía y Vejez patronal]]+Tabla13[[#This Row],[Infonavit]]</f>
        <v>11165.04</v>
      </c>
      <c r="K8" s="8">
        <f>+Tabla13[[#This Row],[Aportacion Obrera]]+Tabla13[[#This Row],[Cesantía y Vejez obrera]]</f>
        <v>1540.54</v>
      </c>
      <c r="L8" s="7"/>
      <c r="M8" s="7">
        <f>Tabla13[[#This Row],[SubTotal Patronal]]</f>
        <v>11165.04</v>
      </c>
      <c r="N8" s="7"/>
      <c r="O8" s="7"/>
      <c r="Q8" s="7">
        <f>+Tabla13[[#This Row],[SubTotal Obrera]]</f>
        <v>1540.54</v>
      </c>
      <c r="R8" s="7"/>
      <c r="S8" s="7"/>
      <c r="U8" s="7">
        <f t="shared" si="1"/>
        <v>12705.580000000002</v>
      </c>
      <c r="V8" s="7">
        <f t="shared" si="0"/>
        <v>0</v>
      </c>
      <c r="W8" s="7">
        <f t="shared" si="0"/>
        <v>0</v>
      </c>
    </row>
    <row r="9" spans="1:23">
      <c r="A9" s="5">
        <v>7</v>
      </c>
      <c r="B9" s="6" t="s">
        <v>18</v>
      </c>
      <c r="C9" s="7">
        <v>5091.34</v>
      </c>
      <c r="D9" s="7">
        <v>1194.6300000000001</v>
      </c>
      <c r="E9" s="7">
        <v>2934.71</v>
      </c>
      <c r="F9" s="7">
        <v>4622.17</v>
      </c>
      <c r="G9" s="7">
        <v>1650.77</v>
      </c>
      <c r="H9" s="7">
        <v>7336.78</v>
      </c>
      <c r="I9" s="7">
        <f>SUM(Tabla13[[#This Row],[Aportacion patronal]:[Infonavit]])</f>
        <v>22830.400000000001</v>
      </c>
      <c r="J9" s="7">
        <f>Tabla13[[#This Row],[Aportacion patronal]]+Tabla13[[#This Row],[Retiro]]+Tabla13[[#This Row],[Cesantía y Vejez patronal]]+Tabla13[[#This Row],[Infonavit]]</f>
        <v>19985</v>
      </c>
      <c r="K9" s="8">
        <f>+Tabla13[[#This Row],[Aportacion Obrera]]+Tabla13[[#This Row],[Cesantía y Vejez obrera]]</f>
        <v>2845.4</v>
      </c>
      <c r="L9" s="7"/>
      <c r="M9" s="7"/>
      <c r="N9" s="7">
        <v>20320.61</v>
      </c>
      <c r="O9" s="7"/>
      <c r="Q9" s="7"/>
      <c r="R9" s="7">
        <f>+Tabla13[[#This Row],[SubTotal Obrera]]</f>
        <v>2845.4</v>
      </c>
      <c r="S9" s="7"/>
      <c r="U9" s="7">
        <f t="shared" si="1"/>
        <v>0</v>
      </c>
      <c r="V9" s="7">
        <f t="shared" si="0"/>
        <v>23166.010000000002</v>
      </c>
      <c r="W9" s="7">
        <f t="shared" si="0"/>
        <v>0</v>
      </c>
    </row>
    <row r="10" spans="1:23">
      <c r="A10" s="5">
        <v>8</v>
      </c>
      <c r="B10" s="6" t="s">
        <v>19</v>
      </c>
      <c r="C10" s="7">
        <v>5091.34</v>
      </c>
      <c r="D10" s="7">
        <v>1194.6300000000001</v>
      </c>
      <c r="E10" s="7">
        <v>2934.71</v>
      </c>
      <c r="F10" s="7">
        <v>4622.17</v>
      </c>
      <c r="G10" s="7">
        <v>1650.77</v>
      </c>
      <c r="H10" s="7">
        <v>7336.78</v>
      </c>
      <c r="I10" s="7">
        <f>SUM(Tabla13[[#This Row],[Aportacion patronal]:[Infonavit]])</f>
        <v>22830.400000000001</v>
      </c>
      <c r="J10" s="7">
        <f>Tabla13[[#This Row],[Aportacion patronal]]+Tabla13[[#This Row],[Retiro]]+Tabla13[[#This Row],[Cesantía y Vejez patronal]]+Tabla13[[#This Row],[Infonavit]]</f>
        <v>19985</v>
      </c>
      <c r="K10" s="8">
        <f>+Tabla13[[#This Row],[Aportacion Obrera]]+Tabla13[[#This Row],[Cesantía y Vejez obrera]]</f>
        <v>2845.4</v>
      </c>
      <c r="L10" s="7"/>
      <c r="M10" s="7">
        <f>Tabla13[[#This Row],[SubTotal Patronal]]</f>
        <v>19985</v>
      </c>
      <c r="N10" s="7"/>
      <c r="O10" s="7"/>
      <c r="Q10" s="7">
        <f>+Tabla13[[#This Row],[SubTotal Obrera]]</f>
        <v>2845.4</v>
      </c>
      <c r="R10" s="7"/>
      <c r="S10" s="7"/>
      <c r="U10" s="7">
        <f t="shared" si="1"/>
        <v>22830.400000000001</v>
      </c>
      <c r="V10" s="7">
        <f t="shared" si="0"/>
        <v>0</v>
      </c>
      <c r="W10" s="7">
        <f t="shared" si="0"/>
        <v>0</v>
      </c>
    </row>
    <row r="11" spans="1:23">
      <c r="A11" s="5">
        <v>9</v>
      </c>
      <c r="B11" t="s">
        <v>20</v>
      </c>
      <c r="C11" s="7">
        <v>5091.34</v>
      </c>
      <c r="D11" s="7">
        <v>1194.6300000000001</v>
      </c>
      <c r="E11" s="7">
        <v>2934.71</v>
      </c>
      <c r="F11" s="7">
        <v>4622.17</v>
      </c>
      <c r="G11" s="7">
        <v>1650.77</v>
      </c>
      <c r="H11" s="7">
        <v>7336.78</v>
      </c>
      <c r="I11" s="7">
        <f>SUM(Tabla13[[#This Row],[Aportacion patronal]:[Infonavit]])</f>
        <v>22830.400000000001</v>
      </c>
      <c r="J11" s="7">
        <f>Tabla13[[#This Row],[Aportacion patronal]]+Tabla13[[#This Row],[Retiro]]+Tabla13[[#This Row],[Cesantía y Vejez patronal]]+Tabla13[[#This Row],[Infonavit]]</f>
        <v>19985</v>
      </c>
      <c r="K11" s="8">
        <f>+Tabla13[[#This Row],[Aportacion Obrera]]+Tabla13[[#This Row],[Cesantía y Vejez obrera]]</f>
        <v>2845.4</v>
      </c>
      <c r="L11" s="7"/>
      <c r="M11" s="7"/>
      <c r="N11" s="7"/>
      <c r="O11" s="7">
        <f>Tabla13[[#This Row],[SubTotal Patronal]]</f>
        <v>19985</v>
      </c>
      <c r="Q11" s="7"/>
      <c r="R11" s="7"/>
      <c r="S11" s="7">
        <f>+Tabla13[[#This Row],[SubTotal Obrera]]</f>
        <v>2845.4</v>
      </c>
      <c r="U11" s="7">
        <f t="shared" si="1"/>
        <v>0</v>
      </c>
      <c r="V11" s="7">
        <f t="shared" si="0"/>
        <v>0</v>
      </c>
      <c r="W11" s="7">
        <f t="shared" si="0"/>
        <v>22830.400000000001</v>
      </c>
    </row>
    <row r="12" spans="1:23">
      <c r="A12" s="5">
        <v>10</v>
      </c>
      <c r="B12" s="6" t="s">
        <v>21</v>
      </c>
      <c r="C12" s="7">
        <v>3661.37</v>
      </c>
      <c r="D12" s="7">
        <v>832.86</v>
      </c>
      <c r="E12" s="7">
        <v>2366.17</v>
      </c>
      <c r="F12" s="7">
        <v>3482.34</v>
      </c>
      <c r="G12" s="7">
        <v>1243.69</v>
      </c>
      <c r="H12" s="7">
        <v>5915.41</v>
      </c>
      <c r="I12" s="7">
        <f>SUM(Tabla13[[#This Row],[Aportacion patronal]:[Infonavit]])</f>
        <v>17501.84</v>
      </c>
      <c r="J12" s="7">
        <f>Tabla13[[#This Row],[Aportacion patronal]]+Tabla13[[#This Row],[Retiro]]+Tabla13[[#This Row],[Cesantía y Vejez patronal]]+Tabla13[[#This Row],[Infonavit]]</f>
        <v>15425.29</v>
      </c>
      <c r="K12" s="8">
        <f>+Tabla13[[#This Row],[Aportacion Obrera]]+Tabla13[[#This Row],[Cesantía y Vejez obrera]]</f>
        <v>2076.5500000000002</v>
      </c>
      <c r="L12" s="7"/>
      <c r="M12" s="7"/>
      <c r="N12" s="7">
        <v>15682.56</v>
      </c>
      <c r="O12" s="7"/>
      <c r="Q12" s="7"/>
      <c r="R12" s="7">
        <f>+Tabla13[[#This Row],[SubTotal Obrera]]</f>
        <v>2076.5500000000002</v>
      </c>
      <c r="S12" s="7"/>
      <c r="U12" s="7">
        <f t="shared" si="1"/>
        <v>0</v>
      </c>
      <c r="V12" s="7">
        <f t="shared" si="0"/>
        <v>17759.11</v>
      </c>
      <c r="W12" s="7">
        <f t="shared" si="0"/>
        <v>0</v>
      </c>
    </row>
    <row r="13" spans="1:23">
      <c r="A13" s="5">
        <v>11</v>
      </c>
      <c r="B13" s="6" t="s">
        <v>22</v>
      </c>
      <c r="C13" s="7">
        <v>3161.64</v>
      </c>
      <c r="D13" s="7">
        <v>676.35</v>
      </c>
      <c r="E13" s="7">
        <v>1698.57</v>
      </c>
      <c r="F13" s="7">
        <v>2675.25</v>
      </c>
      <c r="G13" s="7">
        <v>955.45</v>
      </c>
      <c r="H13" s="7">
        <v>4246.42</v>
      </c>
      <c r="I13" s="7">
        <f>SUM(Tabla13[[#This Row],[Aportacion patronal]:[Infonavit]])</f>
        <v>13413.68</v>
      </c>
      <c r="J13" s="7">
        <f>Tabla13[[#This Row],[Aportacion patronal]]+Tabla13[[#This Row],[Retiro]]+Tabla13[[#This Row],[Cesantía y Vejez patronal]]+Tabla13[[#This Row],[Infonavit]]</f>
        <v>11781.880000000001</v>
      </c>
      <c r="K13" s="8">
        <f>+Tabla13[[#This Row],[Aportacion Obrera]]+Tabla13[[#This Row],[Cesantía y Vejez obrera]]</f>
        <v>1631.8000000000002</v>
      </c>
      <c r="L13" s="7"/>
      <c r="M13" s="7"/>
      <c r="N13" s="7">
        <v>11979.07</v>
      </c>
      <c r="O13" s="7"/>
      <c r="Q13" s="7"/>
      <c r="R13" s="7">
        <f>+Tabla13[[#This Row],[SubTotal Obrera]]</f>
        <v>1631.8000000000002</v>
      </c>
      <c r="S13" s="7"/>
      <c r="U13" s="7">
        <f t="shared" si="1"/>
        <v>0</v>
      </c>
      <c r="V13" s="7">
        <f t="shared" si="0"/>
        <v>13610.869999999999</v>
      </c>
      <c r="W13" s="7">
        <f t="shared" si="0"/>
        <v>0</v>
      </c>
    </row>
    <row r="14" spans="1:23">
      <c r="A14" s="5">
        <v>12</v>
      </c>
      <c r="B14" s="6" t="s">
        <v>23</v>
      </c>
      <c r="C14" s="7">
        <v>5091.34</v>
      </c>
      <c r="D14" s="7">
        <v>1194.6300000000001</v>
      </c>
      <c r="E14" s="7">
        <v>2934.71</v>
      </c>
      <c r="F14" s="7">
        <v>4622.17</v>
      </c>
      <c r="G14" s="7">
        <v>1650.77</v>
      </c>
      <c r="H14" s="7">
        <v>7336.78</v>
      </c>
      <c r="I14" s="7">
        <f>SUM(Tabla13[[#This Row],[Aportacion patronal]:[Infonavit]])</f>
        <v>22830.400000000001</v>
      </c>
      <c r="J14" s="7">
        <f>Tabla13[[#This Row],[Aportacion patronal]]+Tabla13[[#This Row],[Retiro]]+Tabla13[[#This Row],[Cesantía y Vejez patronal]]+Tabla13[[#This Row],[Infonavit]]</f>
        <v>19985</v>
      </c>
      <c r="K14" s="8">
        <f>+Tabla13[[#This Row],[Aportacion Obrera]]+Tabla13[[#This Row],[Cesantía y Vejez obrera]]</f>
        <v>2845.4</v>
      </c>
      <c r="L14" s="7"/>
      <c r="M14" s="7">
        <f>Tabla13[[#This Row],[SubTotal Patronal]]</f>
        <v>19985</v>
      </c>
      <c r="N14" s="7"/>
      <c r="O14" s="7"/>
      <c r="Q14" s="7">
        <f>+Tabla13[[#This Row],[SubTotal Obrera]]</f>
        <v>2845.4</v>
      </c>
      <c r="R14" s="7"/>
      <c r="S14" s="7"/>
      <c r="U14" s="7">
        <f t="shared" si="1"/>
        <v>22830.400000000001</v>
      </c>
      <c r="V14" s="7">
        <f t="shared" si="0"/>
        <v>0</v>
      </c>
      <c r="W14" s="7">
        <f t="shared" si="0"/>
        <v>0</v>
      </c>
    </row>
    <row r="15" spans="1:23">
      <c r="A15" s="5">
        <v>13</v>
      </c>
      <c r="B15" s="6" t="s">
        <v>24</v>
      </c>
      <c r="C15" s="7">
        <v>5091.34</v>
      </c>
      <c r="D15" s="7">
        <v>1194.6300000000001</v>
      </c>
      <c r="E15" s="7">
        <v>2838.49</v>
      </c>
      <c r="F15" s="7">
        <v>4470.62</v>
      </c>
      <c r="G15" s="7">
        <v>1596.65</v>
      </c>
      <c r="H15" s="7">
        <v>7096.23</v>
      </c>
      <c r="I15" s="7">
        <f>SUM(Tabla13[[#This Row],[Aportacion patronal]:[Infonavit]])</f>
        <v>22287.96</v>
      </c>
      <c r="J15" s="7">
        <f>Tabla13[[#This Row],[Aportacion patronal]]+Tabla13[[#This Row],[Retiro]]+Tabla13[[#This Row],[Cesantía y Vejez patronal]]+Tabla13[[#This Row],[Infonavit]]</f>
        <v>19496.68</v>
      </c>
      <c r="K15" s="8">
        <f>+Tabla13[[#This Row],[Aportacion Obrera]]+Tabla13[[#This Row],[Cesantía y Vejez obrera]]</f>
        <v>2791.28</v>
      </c>
      <c r="L15" s="7"/>
      <c r="M15" s="7">
        <f>Tabla13[[#This Row],[SubTotal Patronal]]*0.45</f>
        <v>8773.5060000000012</v>
      </c>
      <c r="N15" s="7">
        <v>8920.94</v>
      </c>
      <c r="O15" s="7">
        <f>Tabla13[[#This Row],[SubTotal Patronal]]*0.1</f>
        <v>1949.6680000000001</v>
      </c>
      <c r="Q15" s="7">
        <f>+Tabla13[[#This Row],[SubTotal Obrera]]*0.45</f>
        <v>1256.076</v>
      </c>
      <c r="R15" s="7">
        <f>+Tabla13[[#This Row],[SubTotal Obrera]]*0.45</f>
        <v>1256.076</v>
      </c>
      <c r="S15" s="7">
        <f>+Tabla13[[#This Row],[SubTotal Obrera]]*0.1</f>
        <v>279.12800000000004</v>
      </c>
      <c r="U15" s="7">
        <f t="shared" si="1"/>
        <v>10029.582000000002</v>
      </c>
      <c r="V15" s="7">
        <f t="shared" si="0"/>
        <v>10177.016</v>
      </c>
      <c r="W15" s="7">
        <f t="shared" si="0"/>
        <v>2228.7960000000003</v>
      </c>
    </row>
    <row r="16" spans="1:23">
      <c r="A16" s="5">
        <v>14</v>
      </c>
      <c r="B16" s="6" t="s">
        <v>25</v>
      </c>
      <c r="C16" s="7">
        <v>5091.34</v>
      </c>
      <c r="D16" s="7">
        <v>1194.6300000000001</v>
      </c>
      <c r="E16" s="7">
        <v>2934.71</v>
      </c>
      <c r="F16" s="7">
        <v>4622.17</v>
      </c>
      <c r="G16" s="7">
        <v>1650.77</v>
      </c>
      <c r="H16" s="7">
        <v>7336.78</v>
      </c>
      <c r="I16" s="7">
        <f>SUM(Tabla13[[#This Row],[Aportacion patronal]:[Infonavit]])</f>
        <v>22830.400000000001</v>
      </c>
      <c r="J16" s="7">
        <f>Tabla13[[#This Row],[Aportacion patronal]]+Tabla13[[#This Row],[Retiro]]+Tabla13[[#This Row],[Cesantía y Vejez patronal]]+Tabla13[[#This Row],[Infonavit]]</f>
        <v>19985</v>
      </c>
      <c r="K16" s="8">
        <f>+Tabla13[[#This Row],[Aportacion Obrera]]+Tabla13[[#This Row],[Cesantía y Vejez obrera]]</f>
        <v>2845.4</v>
      </c>
      <c r="L16" s="7"/>
      <c r="M16" s="7">
        <f>Tabla13[[#This Row],[SubTotal Patronal]]</f>
        <v>19985</v>
      </c>
      <c r="N16" s="7"/>
      <c r="O16" s="7"/>
      <c r="Q16" s="7">
        <f>+Tabla13[[#This Row],[SubTotal Obrera]]</f>
        <v>2845.4</v>
      </c>
      <c r="R16" s="7"/>
      <c r="S16" s="7"/>
      <c r="U16" s="7">
        <f t="shared" si="1"/>
        <v>22830.400000000001</v>
      </c>
      <c r="V16" s="7">
        <f t="shared" si="0"/>
        <v>0</v>
      </c>
      <c r="W16" s="7">
        <f t="shared" si="0"/>
        <v>0</v>
      </c>
    </row>
    <row r="17" spans="1:23">
      <c r="A17" s="5">
        <v>15</v>
      </c>
      <c r="B17" s="6" t="s">
        <v>26</v>
      </c>
      <c r="C17" s="7">
        <v>4203.8100000000004</v>
      </c>
      <c r="D17" s="7">
        <v>956.24</v>
      </c>
      <c r="E17" s="7">
        <v>2366.17</v>
      </c>
      <c r="F17" s="7">
        <v>3726.71</v>
      </c>
      <c r="G17" s="7">
        <v>1330.97</v>
      </c>
      <c r="H17" s="7">
        <v>5915.41</v>
      </c>
      <c r="I17" s="7">
        <f>SUM(Tabla13[[#This Row],[Aportacion patronal]:[Infonavit]])</f>
        <v>18499.309999999998</v>
      </c>
      <c r="J17" s="7">
        <f>Tabla13[[#This Row],[Aportacion patronal]]+Tabla13[[#This Row],[Retiro]]+Tabla13[[#This Row],[Cesantía y Vejez patronal]]+Tabla13[[#This Row],[Infonavit]]</f>
        <v>16212.1</v>
      </c>
      <c r="K17" s="8">
        <f>+Tabla13[[#This Row],[Aportacion Obrera]]+Tabla13[[#This Row],[Cesantía y Vejez obrera]]</f>
        <v>2287.21</v>
      </c>
      <c r="L17" s="7"/>
      <c r="M17" s="7"/>
      <c r="N17" s="7">
        <v>16484.05</v>
      </c>
      <c r="O17" s="7"/>
      <c r="Q17" s="7"/>
      <c r="R17" s="7">
        <f>+Tabla13[[#This Row],[SubTotal Obrera]]</f>
        <v>2287.21</v>
      </c>
      <c r="S17" s="7"/>
      <c r="U17" s="7">
        <f t="shared" si="1"/>
        <v>0</v>
      </c>
      <c r="V17" s="7">
        <f t="shared" si="0"/>
        <v>18771.259999999998</v>
      </c>
      <c r="W17" s="7">
        <f t="shared" si="0"/>
        <v>0</v>
      </c>
    </row>
    <row r="18" spans="1:23">
      <c r="A18" s="5">
        <v>16</v>
      </c>
      <c r="B18" s="6" t="s">
        <v>27</v>
      </c>
      <c r="C18" s="7">
        <v>4203.8100000000004</v>
      </c>
      <c r="D18" s="7">
        <v>956.24</v>
      </c>
      <c r="E18" s="7">
        <v>2366.17</v>
      </c>
      <c r="F18" s="7">
        <v>3726.71</v>
      </c>
      <c r="G18" s="7">
        <v>1330.97</v>
      </c>
      <c r="H18" s="7">
        <v>5915.41</v>
      </c>
      <c r="I18" s="7">
        <f>SUM(Tabla13[[#This Row],[Aportacion patronal]:[Infonavit]])</f>
        <v>18499.309999999998</v>
      </c>
      <c r="J18" s="7">
        <f>Tabla13[[#This Row],[Aportacion patronal]]+Tabla13[[#This Row],[Retiro]]+Tabla13[[#This Row],[Cesantía y Vejez patronal]]+Tabla13[[#This Row],[Infonavit]]</f>
        <v>16212.1</v>
      </c>
      <c r="K18" s="8">
        <f>+Tabla13[[#This Row],[Aportacion Obrera]]+Tabla13[[#This Row],[Cesantía y Vejez obrera]]</f>
        <v>2287.21</v>
      </c>
      <c r="L18" s="7"/>
      <c r="M18" s="7"/>
      <c r="N18" s="7">
        <v>16484.05</v>
      </c>
      <c r="O18" s="7"/>
      <c r="Q18" s="7"/>
      <c r="R18" s="7">
        <f>+Tabla13[[#This Row],[SubTotal Obrera]]</f>
        <v>2287.21</v>
      </c>
      <c r="S18" s="7"/>
      <c r="U18" s="7">
        <f t="shared" si="1"/>
        <v>0</v>
      </c>
      <c r="V18" s="7">
        <f t="shared" si="0"/>
        <v>18771.259999999998</v>
      </c>
      <c r="W18" s="7">
        <f t="shared" si="0"/>
        <v>0</v>
      </c>
    </row>
    <row r="19" spans="1:23">
      <c r="A19" s="5">
        <v>17</v>
      </c>
      <c r="B19" s="6" t="s">
        <v>28</v>
      </c>
      <c r="C19" s="7">
        <v>0</v>
      </c>
      <c r="D19" s="7">
        <v>0</v>
      </c>
      <c r="E19" s="7">
        <v>46.69</v>
      </c>
      <c r="F19" s="7">
        <v>73.53</v>
      </c>
      <c r="G19" s="7">
        <v>26.26</v>
      </c>
      <c r="H19" s="7">
        <v>116.72</v>
      </c>
      <c r="I19" s="7">
        <f>SUM(Tabla13[[#This Row],[Aportacion patronal]:[Infonavit]])</f>
        <v>263.2</v>
      </c>
      <c r="J19" s="7">
        <f>Tabla13[[#This Row],[Aportacion patronal]]+Tabla13[[#This Row],[Retiro]]+Tabla13[[#This Row],[Cesantía y Vejez patronal]]+Tabla13[[#This Row],[Infonavit]]</f>
        <v>236.94</v>
      </c>
      <c r="K19" s="7">
        <f>+Tabla13[[#This Row],[Aportacion Obrera]]+Tabla13[[#This Row],[Cesantía y Vejez obrera]]</f>
        <v>26.26</v>
      </c>
      <c r="L19" s="7"/>
      <c r="M19" s="7"/>
      <c r="N19" s="7"/>
      <c r="O19" s="7">
        <f>+Tabla13[[#This Row],[SubTotal Patronal]]</f>
        <v>236.94</v>
      </c>
      <c r="Q19" s="7"/>
      <c r="R19" s="7"/>
      <c r="S19" s="7">
        <f>+Tabla13[[#This Row],[SubTotal Obrera]]</f>
        <v>26.26</v>
      </c>
      <c r="U19" s="7">
        <f t="shared" si="1"/>
        <v>0</v>
      </c>
      <c r="V19" s="7">
        <f t="shared" si="0"/>
        <v>0</v>
      </c>
      <c r="W19" s="7">
        <f t="shared" si="0"/>
        <v>263.2</v>
      </c>
    </row>
    <row r="20" spans="1:23" ht="15" thickBot="1">
      <c r="A20" s="5" t="s">
        <v>29</v>
      </c>
      <c r="B20" s="6"/>
      <c r="C20" s="23">
        <f>SUBTOTAL(109,Tabla13[Aportacion patronal])</f>
        <v>71698.53</v>
      </c>
      <c r="D20" s="23">
        <f>SUBTOTAL(109,Tabla13[Aportacion Obrera])</f>
        <v>16514.210000000003</v>
      </c>
      <c r="E20" s="23">
        <f>SUBTOTAL(109,Tabla13[Retiro])</f>
        <v>40999.30999999999</v>
      </c>
      <c r="F20" s="23">
        <f>SUBTOTAL(109,Tabla13[Cesantía y Vejez patronal])</f>
        <v>64329.539999999986</v>
      </c>
      <c r="G20" s="23">
        <f>SUBTOTAL(109,Tabla13[Cesantía y Vejez obrera])</f>
        <v>22974.800000000007</v>
      </c>
      <c r="H20" s="23">
        <f>SUBTOTAL(109,Tabla13[Infonavit])</f>
        <v>102498.26</v>
      </c>
      <c r="I20" s="23">
        <f>SUBTOTAL(109,Tabla13[SubTotal])</f>
        <v>319014.64999999997</v>
      </c>
      <c r="J20" s="23">
        <f>SUBTOTAL(109,Tabla13[SubTotal Patronal])</f>
        <v>279525.63999999996</v>
      </c>
      <c r="K20" s="23">
        <f>SUBTOTAL(109,Tabla13[SubTotal Obrera])</f>
        <v>39489.01</v>
      </c>
      <c r="L20" s="7"/>
      <c r="M20" s="10">
        <f>SUM(M3:M19)</f>
        <v>123103.21599999999</v>
      </c>
      <c r="N20" s="10">
        <f>SUM(N3:N19)</f>
        <v>136502.04</v>
      </c>
      <c r="O20" s="10">
        <f>SUM(O3:O19)</f>
        <v>22171.608</v>
      </c>
      <c r="Q20" s="10">
        <f>SUM(Q3:Q19)</f>
        <v>17447.276000000002</v>
      </c>
      <c r="R20" s="10">
        <f>SUM(R3:R19)</f>
        <v>18890.946</v>
      </c>
      <c r="S20" s="10">
        <f>SUM(S3:S19)</f>
        <v>3150.7880000000005</v>
      </c>
      <c r="U20" s="10">
        <f t="shared" ref="U20:W20" si="2">SUM(U3:U19)</f>
        <v>140550.492</v>
      </c>
      <c r="V20" s="10">
        <f t="shared" si="2"/>
        <v>155392.986</v>
      </c>
      <c r="W20" s="10">
        <f t="shared" si="2"/>
        <v>25322.396000000004</v>
      </c>
    </row>
    <row r="21" spans="1:23" ht="15" thickTop="1">
      <c r="M21" s="48" t="s">
        <v>30</v>
      </c>
      <c r="N21" s="48"/>
      <c r="O21" s="48"/>
      <c r="P21" s="13"/>
    </row>
    <row r="22" spans="1:23" ht="54" customHeight="1">
      <c r="D22" s="24"/>
      <c r="E22" s="25"/>
      <c r="F22" s="25"/>
      <c r="G22" s="25"/>
      <c r="H22" s="25"/>
      <c r="I22" s="25"/>
      <c r="M22" s="49" t="s">
        <v>56</v>
      </c>
      <c r="N22" s="49"/>
      <c r="O22" s="49"/>
      <c r="P22" s="49"/>
      <c r="Q22" s="49"/>
      <c r="R22" s="49"/>
      <c r="S22" s="49"/>
      <c r="U22" s="26">
        <v>-3758.21</v>
      </c>
      <c r="V22" s="26">
        <f>-U22</f>
        <v>3758.21</v>
      </c>
      <c r="W22" s="26">
        <v>0</v>
      </c>
    </row>
    <row r="23" spans="1:23">
      <c r="B23" s="14" t="s">
        <v>31</v>
      </c>
      <c r="C23" s="20"/>
      <c r="F23"/>
      <c r="G23"/>
      <c r="H23"/>
      <c r="I23"/>
      <c r="J23"/>
      <c r="K23"/>
    </row>
    <row r="24" spans="1:23" ht="28.9">
      <c r="B24" s="28" t="s">
        <v>32</v>
      </c>
      <c r="C24" s="27" t="s">
        <v>33</v>
      </c>
      <c r="D24" s="27" t="s">
        <v>34</v>
      </c>
      <c r="E24" s="27" t="s">
        <v>35</v>
      </c>
      <c r="F24" s="27" t="s">
        <v>36</v>
      </c>
      <c r="G24" s="27" t="s">
        <v>37</v>
      </c>
      <c r="H24" s="27" t="s">
        <v>38</v>
      </c>
      <c r="I24"/>
      <c r="J24" s="18" t="s">
        <v>39</v>
      </c>
      <c r="N24" s="13"/>
    </row>
    <row r="25" spans="1:23">
      <c r="B25" t="s">
        <v>40</v>
      </c>
      <c r="C25" s="21">
        <v>70015</v>
      </c>
      <c r="D25" s="15" t="s">
        <v>57</v>
      </c>
      <c r="E25" s="33">
        <v>153141.75</v>
      </c>
      <c r="F25" s="34"/>
      <c r="G25" s="34">
        <v>7820.92</v>
      </c>
      <c r="H25" s="34"/>
      <c r="I25"/>
      <c r="J25">
        <v>19.579999999999998</v>
      </c>
      <c r="V25" s="44"/>
    </row>
    <row r="26" spans="1:23">
      <c r="B26">
        <v>99999</v>
      </c>
      <c r="C26" s="21" t="s">
        <v>42</v>
      </c>
      <c r="D26" s="15" t="s">
        <v>57</v>
      </c>
      <c r="E26" s="33"/>
      <c r="F26" s="34">
        <v>153141.75</v>
      </c>
      <c r="G26" s="34"/>
      <c r="H26" s="34">
        <v>7820.92</v>
      </c>
      <c r="I26"/>
      <c r="J26">
        <v>19.579999999999998</v>
      </c>
    </row>
    <row r="27" spans="1:23">
      <c r="C27" s="21"/>
      <c r="D27" s="15"/>
      <c r="E27" s="33"/>
      <c r="F27" s="34"/>
      <c r="G27" s="34"/>
      <c r="H27" s="34"/>
      <c r="I27"/>
      <c r="J27"/>
    </row>
    <row r="28" spans="1:23">
      <c r="B28" s="14" t="s">
        <v>43</v>
      </c>
      <c r="C28" s="21"/>
      <c r="D28" s="15"/>
      <c r="E28" s="33"/>
      <c r="F28" s="34"/>
      <c r="G28" s="34"/>
      <c r="H28" s="34"/>
      <c r="I28"/>
      <c r="J28"/>
    </row>
    <row r="29" spans="1:23">
      <c r="B29" t="s">
        <v>44</v>
      </c>
      <c r="C29" s="21">
        <v>70015</v>
      </c>
      <c r="D29" s="15" t="s">
        <v>57</v>
      </c>
      <c r="E29" s="33">
        <v>136502.04</v>
      </c>
      <c r="F29" s="34"/>
      <c r="G29" s="34">
        <f>+E29/J26</f>
        <v>6971.5035750766101</v>
      </c>
      <c r="H29" s="34"/>
      <c r="I29"/>
      <c r="J29"/>
    </row>
    <row r="30" spans="1:23">
      <c r="C30" s="21"/>
      <c r="D30" s="15"/>
      <c r="E30" s="33"/>
      <c r="F30" s="34"/>
      <c r="G30" s="34"/>
      <c r="H30" s="34"/>
      <c r="I30"/>
      <c r="J30"/>
    </row>
    <row r="31" spans="1:23">
      <c r="C31" s="21"/>
      <c r="D31" s="15"/>
      <c r="E31" s="33"/>
      <c r="F31" s="34"/>
      <c r="G31" s="34"/>
      <c r="H31" s="34"/>
      <c r="I31"/>
      <c r="J31"/>
    </row>
    <row r="32" spans="1:23">
      <c r="B32" s="14" t="s">
        <v>45</v>
      </c>
      <c r="C32" s="21"/>
      <c r="D32" s="15"/>
      <c r="E32" s="33"/>
      <c r="F32" s="34"/>
      <c r="G32" s="34"/>
      <c r="H32" s="34"/>
      <c r="I32"/>
      <c r="J32"/>
    </row>
    <row r="33" spans="2:10">
      <c r="B33" t="s">
        <v>44</v>
      </c>
      <c r="C33" s="21">
        <v>70015</v>
      </c>
      <c r="D33" s="15" t="s">
        <v>57</v>
      </c>
      <c r="E33" s="34"/>
      <c r="F33" s="34">
        <f>+E25-E29</f>
        <v>16639.709999999992</v>
      </c>
      <c r="G33" s="33"/>
      <c r="H33" s="34">
        <f>+F33/J33</f>
        <v>849.83197139938682</v>
      </c>
      <c r="I33"/>
      <c r="J33">
        <v>19.579999999999998</v>
      </c>
    </row>
    <row r="34" spans="2:10">
      <c r="B34">
        <v>99999</v>
      </c>
      <c r="C34" s="21" t="s">
        <v>42</v>
      </c>
      <c r="D34" s="15" t="s">
        <v>57</v>
      </c>
      <c r="E34" s="34">
        <v>16639.71</v>
      </c>
      <c r="F34" s="34"/>
      <c r="G34" s="33">
        <f>+E34/J34</f>
        <v>849.83197139938716</v>
      </c>
      <c r="H34" s="34"/>
      <c r="I34"/>
      <c r="J34">
        <v>19.579999999999998</v>
      </c>
    </row>
    <row r="38" spans="2:10">
      <c r="B38" t="s">
        <v>58</v>
      </c>
    </row>
    <row r="39" spans="2:10">
      <c r="B39">
        <v>99999</v>
      </c>
      <c r="C39" s="15">
        <v>20212</v>
      </c>
      <c r="D39" s="15" t="s">
        <v>41</v>
      </c>
      <c r="E39" s="11">
        <v>37598.39</v>
      </c>
      <c r="G39" s="11">
        <v>1920.14</v>
      </c>
      <c r="J39" s="11">
        <v>19.579999999999998</v>
      </c>
    </row>
    <row r="40" spans="2:10">
      <c r="C40" s="15"/>
    </row>
    <row r="41" spans="2:10">
      <c r="C41" s="15"/>
    </row>
    <row r="42" spans="2:10">
      <c r="B42" s="14" t="s">
        <v>59</v>
      </c>
      <c r="C42" s="15"/>
    </row>
    <row r="43" spans="2:10">
      <c r="B43">
        <v>99999</v>
      </c>
      <c r="C43" s="15">
        <v>20212</v>
      </c>
      <c r="D43" s="15" t="s">
        <v>41</v>
      </c>
      <c r="E43" s="11">
        <v>41356.6</v>
      </c>
      <c r="G43" s="11">
        <f>+E43/J43</f>
        <v>2126.3033419023136</v>
      </c>
      <c r="J43" s="11">
        <v>19.45</v>
      </c>
    </row>
    <row r="44" spans="2:10">
      <c r="C44" s="15"/>
    </row>
    <row r="46" spans="2:10">
      <c r="B46" s="14" t="s">
        <v>45</v>
      </c>
    </row>
    <row r="47" spans="2:10">
      <c r="B47">
        <v>99999</v>
      </c>
      <c r="C47" s="15">
        <v>20212</v>
      </c>
      <c r="D47" s="15" t="s">
        <v>41</v>
      </c>
      <c r="F47" s="11">
        <f>+E43-E39</f>
        <v>3758.2099999999991</v>
      </c>
      <c r="H47" s="11">
        <f>+F47/J47</f>
        <v>193.22416452442155</v>
      </c>
      <c r="J47" s="11">
        <v>19.45</v>
      </c>
    </row>
    <row r="48" spans="2:10">
      <c r="B48">
        <v>99999</v>
      </c>
      <c r="C48" s="15">
        <v>20211</v>
      </c>
      <c r="D48" s="15" t="s">
        <v>41</v>
      </c>
      <c r="E48" s="11">
        <v>3758.21</v>
      </c>
      <c r="G48" s="11">
        <f>+E48/J48</f>
        <v>193.22416452442161</v>
      </c>
      <c r="J48" s="11">
        <v>19.45</v>
      </c>
    </row>
    <row r="49" spans="3:3">
      <c r="C49" s="15"/>
    </row>
    <row r="50" spans="3:3">
      <c r="C50" s="15"/>
    </row>
    <row r="51" spans="3:3">
      <c r="C51" s="15"/>
    </row>
    <row r="52" spans="3:3">
      <c r="C52" s="15"/>
    </row>
    <row r="53" spans="3:3">
      <c r="C53" s="15"/>
    </row>
    <row r="54" spans="3:3">
      <c r="C54" s="15"/>
    </row>
    <row r="55" spans="3:3">
      <c r="C55" s="15"/>
    </row>
    <row r="56" spans="3:3">
      <c r="C56" s="15"/>
    </row>
    <row r="57" spans="3:3">
      <c r="C57" s="15"/>
    </row>
    <row r="58" spans="3:3">
      <c r="C58" s="15"/>
    </row>
    <row r="59" spans="3:3">
      <c r="C59" s="15"/>
    </row>
    <row r="60" spans="3:3">
      <c r="C60" s="15"/>
    </row>
  </sheetData>
  <mergeCells count="6">
    <mergeCell ref="M22:S22"/>
    <mergeCell ref="A1:K1"/>
    <mergeCell ref="M1:O1"/>
    <mergeCell ref="Q1:S1"/>
    <mergeCell ref="U1:W1"/>
    <mergeCell ref="M21:O2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85DFA-3DFA-4CA1-9820-306380A5778B}">
  <dimension ref="A1:Q28"/>
  <sheetViews>
    <sheetView workbookViewId="0">
      <selection activeCell="A23" sqref="A23"/>
    </sheetView>
  </sheetViews>
  <sheetFormatPr defaultColWidth="11.42578125" defaultRowHeight="14.45"/>
  <cols>
    <col min="2" max="2" width="30.42578125" customWidth="1"/>
    <col min="3" max="3" width="63.85546875" customWidth="1"/>
  </cols>
  <sheetData>
    <row r="1" spans="1:17" ht="29.45" thickBot="1">
      <c r="A1" s="45" t="s">
        <v>60</v>
      </c>
      <c r="B1" s="45"/>
      <c r="C1" s="45"/>
      <c r="D1" s="45"/>
      <c r="E1" s="45"/>
      <c r="F1" s="45"/>
      <c r="G1" s="45"/>
      <c r="H1" s="45"/>
      <c r="I1" s="45"/>
      <c r="J1" s="45"/>
      <c r="K1" s="45"/>
      <c r="M1" s="30" t="s">
        <v>54</v>
      </c>
      <c r="O1" s="1" t="s">
        <v>55</v>
      </c>
      <c r="Q1" s="2" t="s">
        <v>29</v>
      </c>
    </row>
    <row r="2" spans="1:17" ht="44.45" thickTop="1" thickBot="1">
      <c r="A2" s="3" t="s">
        <v>4</v>
      </c>
      <c r="B2" s="3" t="s">
        <v>49</v>
      </c>
      <c r="C2" s="4" t="s">
        <v>6</v>
      </c>
      <c r="D2" s="4" t="s">
        <v>7</v>
      </c>
      <c r="E2" s="4" t="s">
        <v>50</v>
      </c>
      <c r="F2" s="4" t="s">
        <v>51</v>
      </c>
      <c r="G2" s="4" t="s">
        <v>52</v>
      </c>
      <c r="H2" s="4" t="s">
        <v>53</v>
      </c>
      <c r="I2" s="4" t="s">
        <v>8</v>
      </c>
      <c r="J2" s="4" t="s">
        <v>54</v>
      </c>
      <c r="K2" s="4" t="s">
        <v>55</v>
      </c>
      <c r="M2" s="1" t="s">
        <v>10</v>
      </c>
      <c r="O2" s="1" t="s">
        <v>10</v>
      </c>
      <c r="Q2" s="1" t="s">
        <v>10</v>
      </c>
    </row>
    <row r="3" spans="1:17" ht="15" thickTop="1">
      <c r="A3" s="5">
        <v>1</v>
      </c>
      <c r="B3" s="9" t="s">
        <v>15</v>
      </c>
      <c r="C3" s="7">
        <v>5091.34</v>
      </c>
      <c r="D3" s="7">
        <v>1194.6300000000001</v>
      </c>
      <c r="E3" s="7"/>
      <c r="F3" s="7"/>
      <c r="G3" s="7"/>
      <c r="H3" s="7"/>
      <c r="I3" s="7">
        <f>SUM(Tabla18[[#This Row],[Aportacion patronal]:[Infonavit]])</f>
        <v>6285.97</v>
      </c>
      <c r="J3" s="7">
        <f>Tabla18[[#This Row],[Aportacion patronal]]+Tabla18[[#This Row],[Retiro]]+Tabla18[[#This Row],[Cesantía y Vejez patronal]]+Tabla18[[#This Row],[Infonavit]]</f>
        <v>5091.34</v>
      </c>
      <c r="K3" s="8">
        <f>+Tabla18[[#This Row],[Aportacion Obrera]]+Tabla18[[#This Row],[Cesantía y Vejez obrera]]</f>
        <v>1194.6300000000001</v>
      </c>
      <c r="L3" s="7"/>
      <c r="M3" s="7">
        <f>+Tabla18[[#This Row],[SubTotal Patronal]]</f>
        <v>5091.34</v>
      </c>
      <c r="O3" s="7">
        <f>+Tabla18[[#This Row],[SubTotal Obrera]]</f>
        <v>1194.6300000000001</v>
      </c>
      <c r="Q3" s="7">
        <f t="shared" ref="Q3:Q13" si="0">+M3+O3</f>
        <v>6285.97</v>
      </c>
    </row>
    <row r="4" spans="1:17">
      <c r="A4" s="5">
        <v>2</v>
      </c>
      <c r="B4" s="6" t="s">
        <v>61</v>
      </c>
      <c r="C4" s="7">
        <v>4758.88</v>
      </c>
      <c r="D4" s="7">
        <v>1105.33</v>
      </c>
      <c r="E4" s="7"/>
      <c r="F4" s="7"/>
      <c r="G4" s="7"/>
      <c r="H4" s="7"/>
      <c r="I4" s="7">
        <f>SUM(Tabla18[[#This Row],[Aportacion patronal]:[Infonavit]])</f>
        <v>5864.21</v>
      </c>
      <c r="J4" s="7">
        <f>Tabla18[[#This Row],[Aportacion patronal]]+Tabla18[[#This Row],[Retiro]]+Tabla18[[#This Row],[Cesantía y Vejez patronal]]+Tabla18[[#This Row],[Infonavit]]</f>
        <v>4758.88</v>
      </c>
      <c r="K4" s="8">
        <f>+Tabla18[[#This Row],[Aportacion Obrera]]+Tabla18[[#This Row],[Cesantía y Vejez obrera]]</f>
        <v>1105.33</v>
      </c>
      <c r="L4" s="7"/>
      <c r="M4" s="7">
        <f>+Tabla18[[#This Row],[SubTotal Patronal]]</f>
        <v>4758.88</v>
      </c>
      <c r="O4" s="7">
        <f>+Tabla18[[#This Row],[SubTotal Obrera]]</f>
        <v>1105.33</v>
      </c>
      <c r="Q4" s="7">
        <f t="shared" si="0"/>
        <v>5864.21</v>
      </c>
    </row>
    <row r="5" spans="1:17">
      <c r="A5" s="5">
        <v>3</v>
      </c>
      <c r="B5" s="6" t="s">
        <v>62</v>
      </c>
      <c r="C5" s="7">
        <v>3988.36</v>
      </c>
      <c r="D5" s="7">
        <v>903.96</v>
      </c>
      <c r="E5" s="7"/>
      <c r="F5" s="7"/>
      <c r="G5" s="7"/>
      <c r="H5" s="7"/>
      <c r="I5" s="7">
        <f>SUM(Tabla18[[#This Row],[Aportacion patronal]:[Infonavit]])</f>
        <v>4892.32</v>
      </c>
      <c r="J5" s="7">
        <f>Tabla18[[#This Row],[Aportacion patronal]]+Tabla18[[#This Row],[Retiro]]+Tabla18[[#This Row],[Cesantía y Vejez patronal]]+Tabla18[[#This Row],[Infonavit]]</f>
        <v>3988.36</v>
      </c>
      <c r="K5" s="8">
        <f>+Tabla18[[#This Row],[Aportacion Obrera]]+Tabla18[[#This Row],[Cesantía y Vejez obrera]]</f>
        <v>903.96</v>
      </c>
      <c r="L5" s="7"/>
      <c r="M5" s="7">
        <f>+Tabla18[[#This Row],[SubTotal Patronal]]</f>
        <v>3988.36</v>
      </c>
      <c r="O5" s="7">
        <f>+Tabla18[[#This Row],[SubTotal Obrera]]</f>
        <v>903.96</v>
      </c>
      <c r="Q5" s="7">
        <f t="shared" si="0"/>
        <v>4892.32</v>
      </c>
    </row>
    <row r="6" spans="1:17">
      <c r="A6" s="5">
        <v>4</v>
      </c>
      <c r="B6" s="6" t="s">
        <v>63</v>
      </c>
      <c r="C6" s="7">
        <v>2209.92</v>
      </c>
      <c r="D6" s="7">
        <v>504.35</v>
      </c>
      <c r="E6" s="7"/>
      <c r="F6" s="7"/>
      <c r="G6" s="7"/>
      <c r="H6" s="7"/>
      <c r="I6" s="7">
        <f>SUM(Tabla18[[#This Row],[Aportacion patronal]:[Infonavit]])</f>
        <v>2714.27</v>
      </c>
      <c r="J6" s="7">
        <f>Tabla18[[#This Row],[Aportacion patronal]]+Tabla18[[#This Row],[Retiro]]+Tabla18[[#This Row],[Cesantía y Vejez patronal]]+Tabla18[[#This Row],[Infonavit]]</f>
        <v>2209.92</v>
      </c>
      <c r="K6" s="8">
        <f>+Tabla18[[#This Row],[Aportacion Obrera]]+Tabla18[[#This Row],[Cesantía y Vejez obrera]]</f>
        <v>504.35</v>
      </c>
      <c r="L6" s="7"/>
      <c r="M6" s="7">
        <f>+Tabla18[[#This Row],[SubTotal Patronal]]</f>
        <v>2209.92</v>
      </c>
      <c r="O6" s="7">
        <f>+Tabla18[[#This Row],[SubTotal Obrera]]</f>
        <v>504.35</v>
      </c>
      <c r="Q6" s="7">
        <f t="shared" si="0"/>
        <v>2714.27</v>
      </c>
    </row>
    <row r="7" spans="1:17">
      <c r="A7" s="5">
        <v>5</v>
      </c>
      <c r="B7" s="9" t="s">
        <v>64</v>
      </c>
      <c r="C7" s="7">
        <v>4758.88</v>
      </c>
      <c r="D7" s="7">
        <v>1105.33</v>
      </c>
      <c r="E7" s="7"/>
      <c r="F7" s="7"/>
      <c r="G7" s="7"/>
      <c r="H7" s="7"/>
      <c r="I7" s="7">
        <f>SUM(Tabla18[[#This Row],[Aportacion patronal]:[Infonavit]])</f>
        <v>5864.21</v>
      </c>
      <c r="J7" s="7">
        <f>Tabla18[[#This Row],[Aportacion patronal]]+Tabla18[[#This Row],[Retiro]]+Tabla18[[#This Row],[Cesantía y Vejez patronal]]+Tabla18[[#This Row],[Infonavit]]</f>
        <v>4758.88</v>
      </c>
      <c r="K7" s="8">
        <f>+Tabla18[[#This Row],[Aportacion Obrera]]+Tabla18[[#This Row],[Cesantía y Vejez obrera]]</f>
        <v>1105.33</v>
      </c>
      <c r="L7" s="7"/>
      <c r="M7" s="7">
        <f>+Tabla18[[#This Row],[SubTotal Patronal]]</f>
        <v>4758.88</v>
      </c>
      <c r="O7" s="7">
        <f>+Tabla18[[#This Row],[SubTotal Obrera]]</f>
        <v>1105.33</v>
      </c>
      <c r="Q7" s="7">
        <f t="shared" si="0"/>
        <v>5864.21</v>
      </c>
    </row>
    <row r="8" spans="1:17">
      <c r="A8" s="5">
        <v>6</v>
      </c>
      <c r="B8" s="9" t="s">
        <v>65</v>
      </c>
      <c r="C8" s="7">
        <v>5091.34</v>
      </c>
      <c r="D8" s="7">
        <v>1194.6300000000001</v>
      </c>
      <c r="E8" s="7"/>
      <c r="F8" s="7"/>
      <c r="G8" s="7"/>
      <c r="H8" s="7"/>
      <c r="I8" s="7">
        <f>SUM(Tabla18[[#This Row],[Aportacion patronal]:[Infonavit]])</f>
        <v>6285.97</v>
      </c>
      <c r="J8" s="7">
        <f>Tabla18[[#This Row],[Aportacion patronal]]+Tabla18[[#This Row],[Retiro]]+Tabla18[[#This Row],[Cesantía y Vejez patronal]]+Tabla18[[#This Row],[Infonavit]]</f>
        <v>5091.34</v>
      </c>
      <c r="K8" s="8">
        <f>+Tabla18[[#This Row],[Aportacion Obrera]]+Tabla18[[#This Row],[Cesantía y Vejez obrera]]</f>
        <v>1194.6300000000001</v>
      </c>
      <c r="L8" s="7"/>
      <c r="M8" s="7">
        <f>+Tabla18[[#This Row],[SubTotal Patronal]]*0.45</f>
        <v>2291.1030000000001</v>
      </c>
      <c r="O8" s="7">
        <f>+Tabla18[[#This Row],[SubTotal Obrera]]*0.45</f>
        <v>537.58350000000007</v>
      </c>
      <c r="Q8" s="7">
        <f t="shared" si="0"/>
        <v>2828.6865000000003</v>
      </c>
    </row>
    <row r="9" spans="1:17">
      <c r="A9" s="5">
        <v>7</v>
      </c>
      <c r="B9" s="6" t="s">
        <v>66</v>
      </c>
      <c r="C9" s="7">
        <v>186.71</v>
      </c>
      <c r="D9" s="7">
        <v>39</v>
      </c>
      <c r="E9" s="7"/>
      <c r="F9" s="7"/>
      <c r="G9" s="7"/>
      <c r="H9" s="7"/>
      <c r="I9" s="7">
        <f>SUM(Tabla18[[#This Row],[Aportacion patronal]:[Infonavit]])</f>
        <v>225.71</v>
      </c>
      <c r="J9" s="7">
        <f>Tabla18[[#This Row],[Aportacion patronal]]+Tabla18[[#This Row],[Retiro]]+Tabla18[[#This Row],[Cesantía y Vejez patronal]]+Tabla18[[#This Row],[Infonavit]]</f>
        <v>186.71</v>
      </c>
      <c r="K9" s="8">
        <f>+Tabla18[[#This Row],[Aportacion Obrera]]+Tabla18[[#This Row],[Cesantía y Vejez obrera]]</f>
        <v>39</v>
      </c>
      <c r="L9" s="7"/>
      <c r="M9" s="7">
        <f>+Tabla18[[#This Row],[SubTotal Patronal]]</f>
        <v>186.71</v>
      </c>
      <c r="O9" s="7">
        <f>+Tabla18[[#This Row],[SubTotal Obrera]]</f>
        <v>39</v>
      </c>
      <c r="Q9" s="7">
        <f t="shared" si="0"/>
        <v>225.71</v>
      </c>
    </row>
    <row r="10" spans="1:17">
      <c r="A10" s="5">
        <v>8</v>
      </c>
      <c r="B10" s="9" t="s">
        <v>67</v>
      </c>
      <c r="C10" s="7">
        <v>5091.34</v>
      </c>
      <c r="D10" s="7">
        <v>1194.6300000000001</v>
      </c>
      <c r="E10" s="7"/>
      <c r="F10" s="7"/>
      <c r="G10" s="7"/>
      <c r="H10" s="7"/>
      <c r="I10" s="7">
        <f>SUM(Tabla18[[#This Row],[Aportacion patronal]:[Infonavit]])</f>
        <v>6285.97</v>
      </c>
      <c r="J10" s="7">
        <f>Tabla18[[#This Row],[Aportacion patronal]]+Tabla18[[#This Row],[Retiro]]+Tabla18[[#This Row],[Cesantía y Vejez patronal]]+Tabla18[[#This Row],[Infonavit]]</f>
        <v>5091.34</v>
      </c>
      <c r="K10" s="8">
        <f>+Tabla18[[#This Row],[Aportacion Obrera]]+Tabla18[[#This Row],[Cesantía y Vejez obrera]]</f>
        <v>1194.6300000000001</v>
      </c>
      <c r="L10" s="7"/>
      <c r="M10" s="7">
        <f>+Tabla18[[#This Row],[SubTotal Patronal]]</f>
        <v>5091.34</v>
      </c>
      <c r="O10" s="7">
        <f>+Tabla18[[#This Row],[SubTotal Obrera]]</f>
        <v>1194.6300000000001</v>
      </c>
      <c r="Q10" s="7">
        <f t="shared" si="0"/>
        <v>6285.97</v>
      </c>
    </row>
    <row r="11" spans="1:17">
      <c r="A11" s="5">
        <v>9</v>
      </c>
      <c r="B11" s="6" t="s">
        <v>68</v>
      </c>
      <c r="C11" s="7">
        <v>4758.88</v>
      </c>
      <c r="D11" s="7">
        <v>1105.33</v>
      </c>
      <c r="E11" s="7"/>
      <c r="F11" s="7"/>
      <c r="G11" s="7"/>
      <c r="H11" s="7"/>
      <c r="I11" s="7">
        <f>SUM(Tabla18[[#This Row],[Aportacion patronal]:[Infonavit]])</f>
        <v>5864.21</v>
      </c>
      <c r="J11" s="7">
        <f>Tabla18[[#This Row],[Aportacion patronal]]+Tabla18[[#This Row],[Retiro]]+Tabla18[[#This Row],[Cesantía y Vejez patronal]]+Tabla18[[#This Row],[Infonavit]]</f>
        <v>4758.88</v>
      </c>
      <c r="K11" s="8">
        <f>+Tabla18[[#This Row],[Aportacion Obrera]]+Tabla18[[#This Row],[Cesantía y Vejez obrera]]</f>
        <v>1105.33</v>
      </c>
      <c r="L11" s="7"/>
      <c r="M11" s="7">
        <f>+Tabla18[[#This Row],[SubTotal Patronal]]</f>
        <v>4758.88</v>
      </c>
      <c r="O11" s="7">
        <f>+Tabla18[[#This Row],[SubTotal Obrera]]</f>
        <v>1105.33</v>
      </c>
      <c r="Q11" s="7">
        <f t="shared" si="0"/>
        <v>5864.21</v>
      </c>
    </row>
    <row r="12" spans="1:17">
      <c r="A12" s="5">
        <v>10</v>
      </c>
      <c r="B12" s="9" t="s">
        <v>69</v>
      </c>
      <c r="C12" s="7">
        <v>3477.93</v>
      </c>
      <c r="D12" s="7">
        <v>761.3</v>
      </c>
      <c r="E12" s="7"/>
      <c r="F12" s="7"/>
      <c r="G12" s="7"/>
      <c r="H12" s="7"/>
      <c r="I12" s="7">
        <f>SUM(Tabla18[[#This Row],[Aportacion patronal]:[Infonavit]])</f>
        <v>4239.2299999999996</v>
      </c>
      <c r="J12" s="7">
        <f>Tabla18[[#This Row],[Aportacion patronal]]+Tabla18[[#This Row],[Retiro]]+Tabla18[[#This Row],[Cesantía y Vejez patronal]]+Tabla18[[#This Row],[Infonavit]]</f>
        <v>3477.93</v>
      </c>
      <c r="K12" s="7">
        <f>+Tabla18[[#This Row],[Aportacion Obrera]]+Tabla18[[#This Row],[Cesantía y Vejez obrera]]</f>
        <v>761.3</v>
      </c>
      <c r="L12" s="7"/>
      <c r="M12" s="7">
        <f>+Tabla18[[#This Row],[SubTotal Patronal]]*0.5</f>
        <v>1738.9649999999999</v>
      </c>
      <c r="O12" s="7">
        <f>+Tabla18[[#This Row],[SubTotal Obrera]]*0.5</f>
        <v>380.65</v>
      </c>
      <c r="Q12" s="7">
        <f t="shared" si="0"/>
        <v>2119.6149999999998</v>
      </c>
    </row>
    <row r="13" spans="1:17">
      <c r="A13" s="5">
        <v>11</v>
      </c>
      <c r="B13" s="6" t="s">
        <v>70</v>
      </c>
      <c r="C13" s="7">
        <v>5091.34</v>
      </c>
      <c r="D13" s="7">
        <v>1194.6300000000001</v>
      </c>
      <c r="E13" s="7"/>
      <c r="F13" s="7"/>
      <c r="G13" s="7"/>
      <c r="H13" s="7"/>
      <c r="I13" s="7">
        <f>SUM(Tabla18[[#This Row],[Aportacion patronal]:[Infonavit]])</f>
        <v>6285.97</v>
      </c>
      <c r="J13" s="7">
        <f>Tabla18[[#This Row],[Aportacion patronal]]+Tabla18[[#This Row],[Retiro]]+Tabla18[[#This Row],[Cesantía y Vejez patronal]]+Tabla18[[#This Row],[Infonavit]]</f>
        <v>5091.34</v>
      </c>
      <c r="K13" s="7">
        <f>+Tabla18[[#This Row],[Aportacion Obrera]]+Tabla18[[#This Row],[Cesantía y Vejez obrera]]</f>
        <v>1194.6300000000001</v>
      </c>
      <c r="L13" s="7"/>
      <c r="M13" s="7">
        <f>+Tabla18[[#This Row],[SubTotal Patronal]]</f>
        <v>5091.34</v>
      </c>
      <c r="O13" s="7">
        <f>+Tabla18[[#This Row],[SubTotal Obrera]]</f>
        <v>1194.6300000000001</v>
      </c>
      <c r="Q13" s="7">
        <f t="shared" si="0"/>
        <v>6285.97</v>
      </c>
    </row>
    <row r="14" spans="1:17" ht="15" thickBot="1">
      <c r="A14" s="5" t="s">
        <v>29</v>
      </c>
      <c r="B14" s="6"/>
      <c r="C14" s="23">
        <f>SUBTOTAL(109,Tabla18[Aportacion patronal])</f>
        <v>44504.92</v>
      </c>
      <c r="D14" s="23">
        <f>SUBTOTAL(109,Tabla18[Aportacion Obrera])</f>
        <v>10303.119999999999</v>
      </c>
      <c r="E14" s="23">
        <f>SUBTOTAL(109,Tabla18[Retiro])</f>
        <v>0</v>
      </c>
      <c r="F14" s="23">
        <f>SUBTOTAL(109,Tabla18[Cesantía y Vejez patronal])</f>
        <v>0</v>
      </c>
      <c r="G14" s="23">
        <f>SUBTOTAL(109,Tabla18[Cesantía y Vejez obrera])</f>
        <v>0</v>
      </c>
      <c r="H14" s="23">
        <f>SUBTOTAL(109,Tabla18[Infonavit])</f>
        <v>0</v>
      </c>
      <c r="I14" s="23">
        <f>SUBTOTAL(109,Tabla18[SubTotal])</f>
        <v>54808.039999999994</v>
      </c>
      <c r="J14" s="23">
        <f>SUBTOTAL(109,Tabla18[SubTotal Patronal])</f>
        <v>44504.92</v>
      </c>
      <c r="K14" s="23">
        <f>SUBTOTAL(109,Tabla18[SubTotal Obrera])</f>
        <v>10303.119999999999</v>
      </c>
      <c r="L14" s="7"/>
      <c r="M14" s="10">
        <f>SUM(M3:M13)</f>
        <v>39965.717999999993</v>
      </c>
      <c r="O14" s="10">
        <f>SUM(O3:O13)</f>
        <v>9265.4235000000008</v>
      </c>
      <c r="Q14" s="10">
        <f>SUM(Q3:Q13)</f>
        <v>49231.141499999998</v>
      </c>
    </row>
    <row r="15" spans="1:17" ht="15" thickTop="1">
      <c r="C15" s="11"/>
      <c r="D15" s="11"/>
      <c r="E15" s="11"/>
      <c r="F15" s="11"/>
      <c r="G15" s="11"/>
      <c r="H15" s="11"/>
      <c r="I15" s="11"/>
      <c r="J15" s="11"/>
      <c r="K15" s="11"/>
      <c r="M15" s="12"/>
      <c r="N15" s="13"/>
      <c r="Q15" s="12"/>
    </row>
    <row r="18" spans="1:9">
      <c r="A18" s="14" t="s">
        <v>31</v>
      </c>
      <c r="B18" s="20"/>
      <c r="C18" s="11"/>
      <c r="D18" s="11"/>
    </row>
    <row r="19" spans="1:9" ht="43.15">
      <c r="A19" s="28" t="s">
        <v>32</v>
      </c>
      <c r="B19" s="27" t="s">
        <v>33</v>
      </c>
      <c r="C19" s="27" t="s">
        <v>34</v>
      </c>
      <c r="D19" s="27" t="s">
        <v>35</v>
      </c>
      <c r="E19" s="27" t="s">
        <v>36</v>
      </c>
      <c r="F19" s="27" t="s">
        <v>37</v>
      </c>
      <c r="G19" s="27" t="s">
        <v>38</v>
      </c>
      <c r="I19" s="18" t="s">
        <v>39</v>
      </c>
    </row>
    <row r="20" spans="1:9">
      <c r="A20" t="s">
        <v>40</v>
      </c>
      <c r="B20" s="21">
        <v>70015</v>
      </c>
      <c r="C20" s="15" t="s">
        <v>71</v>
      </c>
      <c r="D20" s="15">
        <v>39965.72</v>
      </c>
      <c r="F20">
        <v>7820.92</v>
      </c>
      <c r="I20">
        <v>18.97</v>
      </c>
    </row>
    <row r="21" spans="1:9">
      <c r="A21">
        <v>99999</v>
      </c>
      <c r="B21" s="21" t="s">
        <v>42</v>
      </c>
      <c r="C21" s="15" t="s">
        <v>71</v>
      </c>
      <c r="D21" s="15"/>
      <c r="E21">
        <v>39965.75</v>
      </c>
      <c r="G21">
        <v>7820.92</v>
      </c>
      <c r="I21">
        <v>18.97</v>
      </c>
    </row>
    <row r="22" spans="1:9">
      <c r="B22" s="21"/>
      <c r="C22" s="15"/>
      <c r="D22" s="15"/>
    </row>
    <row r="23" spans="1:9">
      <c r="A23" s="14" t="s">
        <v>72</v>
      </c>
      <c r="B23" s="21"/>
      <c r="C23" s="15"/>
      <c r="D23" s="15"/>
    </row>
    <row r="24" spans="1:9">
      <c r="B24" s="21"/>
      <c r="C24" s="15"/>
      <c r="D24" s="15"/>
    </row>
    <row r="25" spans="1:9">
      <c r="B25" s="21"/>
      <c r="C25" s="15"/>
      <c r="D25" s="15"/>
    </row>
    <row r="26" spans="1:9">
      <c r="B26" s="21"/>
      <c r="C26" s="15"/>
      <c r="F26" s="11"/>
      <c r="G26" s="22"/>
    </row>
    <row r="27" spans="1:9">
      <c r="B27" s="21"/>
      <c r="C27" s="15"/>
      <c r="F27" s="11"/>
    </row>
    <row r="28" spans="1:9">
      <c r="B28" s="11"/>
      <c r="C28" s="11"/>
      <c r="D28" s="11"/>
      <c r="E28" s="11"/>
      <c r="F28" s="11"/>
      <c r="G28" s="11"/>
      <c r="H28" s="11"/>
      <c r="I28" s="11"/>
    </row>
  </sheetData>
  <mergeCells count="1">
    <mergeCell ref="A1:K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4AD6B-54A3-4A70-995E-062463EED826}">
  <dimension ref="A1:W45"/>
  <sheetViews>
    <sheetView topLeftCell="A12" workbookViewId="0">
      <selection activeCell="B42" sqref="B42"/>
    </sheetView>
  </sheetViews>
  <sheetFormatPr defaultColWidth="11.42578125" defaultRowHeight="14.45"/>
  <cols>
    <col min="3" max="3" width="16.42578125" customWidth="1"/>
    <col min="4" max="4" width="65.28515625" customWidth="1"/>
  </cols>
  <sheetData>
    <row r="1" spans="1:23" ht="15" thickBot="1"/>
    <row r="2" spans="1:23" ht="15" thickBot="1">
      <c r="A2" s="50" t="s">
        <v>73</v>
      </c>
      <c r="B2" s="51"/>
      <c r="C2" s="51"/>
      <c r="D2" s="51"/>
      <c r="E2" s="51"/>
      <c r="F2" s="51"/>
      <c r="G2" s="51"/>
      <c r="H2" s="51"/>
      <c r="I2" s="51"/>
      <c r="J2" s="51"/>
      <c r="K2" s="52"/>
      <c r="M2" s="46" t="s">
        <v>47</v>
      </c>
      <c r="N2" s="47"/>
      <c r="O2" s="47"/>
      <c r="Q2" s="46" t="s">
        <v>48</v>
      </c>
      <c r="R2" s="47"/>
      <c r="S2" s="47"/>
      <c r="U2" s="46" t="s">
        <v>3</v>
      </c>
      <c r="V2" s="47"/>
      <c r="W2" s="47"/>
    </row>
    <row r="3" spans="1:23" ht="43.9" thickBot="1">
      <c r="A3" s="3" t="s">
        <v>4</v>
      </c>
      <c r="B3" s="3" t="s">
        <v>49</v>
      </c>
      <c r="C3" s="4" t="s">
        <v>6</v>
      </c>
      <c r="D3" s="4" t="s">
        <v>7</v>
      </c>
      <c r="E3" s="4" t="s">
        <v>50</v>
      </c>
      <c r="F3" s="4" t="s">
        <v>51</v>
      </c>
      <c r="G3" s="4" t="s">
        <v>52</v>
      </c>
      <c r="H3" s="4" t="s">
        <v>53</v>
      </c>
      <c r="I3" s="4" t="s">
        <v>8</v>
      </c>
      <c r="J3" s="4" t="s">
        <v>54</v>
      </c>
      <c r="K3" s="4" t="s">
        <v>55</v>
      </c>
      <c r="M3" s="1"/>
      <c r="N3" s="1" t="s">
        <v>10</v>
      </c>
      <c r="O3" s="1"/>
      <c r="Q3" s="1"/>
      <c r="R3" s="1" t="s">
        <v>10</v>
      </c>
      <c r="S3" s="1"/>
      <c r="U3" s="1" t="s">
        <v>9</v>
      </c>
      <c r="V3" s="1" t="s">
        <v>10</v>
      </c>
      <c r="W3" s="1" t="s">
        <v>11</v>
      </c>
    </row>
    <row r="4" spans="1:23" ht="15" thickTop="1">
      <c r="A4" s="5">
        <v>1</v>
      </c>
      <c r="B4" s="6" t="s">
        <v>15</v>
      </c>
      <c r="C4" s="7">
        <v>4634.6400000000003</v>
      </c>
      <c r="D4" s="7">
        <v>1076.49</v>
      </c>
      <c r="E4" s="7">
        <v>2838.49</v>
      </c>
      <c r="F4" s="7">
        <v>6019.02</v>
      </c>
      <c r="G4" s="7">
        <v>1596.65</v>
      </c>
      <c r="H4" s="7">
        <v>7096.23</v>
      </c>
      <c r="I4" s="7">
        <f>SUM(Tabla11415[[#This Row],[Aportacion patronal]:[Infonavit]])</f>
        <v>23261.519999999997</v>
      </c>
      <c r="J4" s="7">
        <f>Tabla11415[[#This Row],[Aportacion patronal]]+Tabla11415[[#This Row],[Retiro]]+Tabla11415[[#This Row],[Cesantía y Vejez patronal]]+Tabla11415[[#This Row],[Infonavit]]</f>
        <v>20588.38</v>
      </c>
      <c r="K4" s="8">
        <f>+Tabla11415[[#This Row],[Aportacion Obrera]]+Tabla11415[[#This Row],[Cesantía y Vejez obrera]]</f>
        <v>2673.1400000000003</v>
      </c>
      <c r="L4" s="7"/>
      <c r="M4" s="7"/>
      <c r="N4" s="7">
        <f>+Tabla11415[[#This Row],[SubTotal Patronal]]</f>
        <v>20588.38</v>
      </c>
      <c r="O4" s="7"/>
      <c r="Q4" s="7"/>
      <c r="R4" s="31">
        <f>+Tabla11415[[#This Row],[SubTotal Obrera]]</f>
        <v>2673.1400000000003</v>
      </c>
      <c r="S4" s="7"/>
      <c r="U4" s="7">
        <f t="shared" ref="U4:W15" si="0">+M4+Q4</f>
        <v>0</v>
      </c>
      <c r="V4" s="7">
        <f t="shared" si="0"/>
        <v>23261.52</v>
      </c>
      <c r="W4" s="7">
        <f t="shared" si="0"/>
        <v>0</v>
      </c>
    </row>
    <row r="5" spans="1:23">
      <c r="A5" s="5">
        <v>2</v>
      </c>
      <c r="B5" s="6" t="s">
        <v>61</v>
      </c>
      <c r="C5" s="7">
        <v>4334.3500000000004</v>
      </c>
      <c r="D5" s="7">
        <v>995.84</v>
      </c>
      <c r="E5" s="7">
        <v>2632.51</v>
      </c>
      <c r="F5" s="7">
        <v>5582.24</v>
      </c>
      <c r="G5" s="7">
        <v>1480.79</v>
      </c>
      <c r="H5" s="7">
        <v>6581.27</v>
      </c>
      <c r="I5" s="7">
        <f>SUM(Tabla11415[[#This Row],[Aportacion patronal]:[Infonavit]])</f>
        <v>21607</v>
      </c>
      <c r="J5" s="7">
        <f>Tabla11415[[#This Row],[Aportacion patronal]]+Tabla11415[[#This Row],[Retiro]]+Tabla11415[[#This Row],[Cesantía y Vejez patronal]]+Tabla11415[[#This Row],[Infonavit]]</f>
        <v>19130.370000000003</v>
      </c>
      <c r="K5" s="8">
        <f>+Tabla11415[[#This Row],[Aportacion Obrera]]+Tabla11415[[#This Row],[Cesantía y Vejez obrera]]</f>
        <v>2476.63</v>
      </c>
      <c r="L5" s="7"/>
      <c r="M5" s="7"/>
      <c r="N5" s="7">
        <f>+Tabla11415[[#This Row],[SubTotal Patronal]]</f>
        <v>19130.370000000003</v>
      </c>
      <c r="O5" s="7"/>
      <c r="Q5" s="7"/>
      <c r="R5" s="31">
        <f>+Tabla11415[[#This Row],[SubTotal Obrera]]</f>
        <v>2476.63</v>
      </c>
      <c r="S5" s="7"/>
      <c r="U5" s="7">
        <f t="shared" si="0"/>
        <v>0</v>
      </c>
      <c r="V5" s="7">
        <f t="shared" si="0"/>
        <v>21607.000000000004</v>
      </c>
      <c r="W5" s="7">
        <f t="shared" si="0"/>
        <v>0</v>
      </c>
    </row>
    <row r="6" spans="1:23">
      <c r="A6" s="5">
        <v>3</v>
      </c>
      <c r="B6" s="6" t="s">
        <v>62</v>
      </c>
      <c r="C6" s="7">
        <v>3758.46</v>
      </c>
      <c r="D6" s="7">
        <v>841.17</v>
      </c>
      <c r="E6" s="7">
        <v>2199.5500000000002</v>
      </c>
      <c r="F6" s="7">
        <v>4664.1400000000003</v>
      </c>
      <c r="G6" s="7">
        <v>1237.24</v>
      </c>
      <c r="H6" s="7">
        <v>5498.86</v>
      </c>
      <c r="I6" s="7">
        <f>SUM(Tabla11415[[#This Row],[Aportacion patronal]:[Infonavit]])</f>
        <v>18199.419999999998</v>
      </c>
      <c r="J6" s="7">
        <f>Tabla11415[[#This Row],[Aportacion patronal]]+Tabla11415[[#This Row],[Retiro]]+Tabla11415[[#This Row],[Cesantía y Vejez patronal]]+Tabla11415[[#This Row],[Infonavit]]</f>
        <v>16121.010000000002</v>
      </c>
      <c r="K6" s="8">
        <f>+Tabla11415[[#This Row],[Aportacion Obrera]]+Tabla11415[[#This Row],[Cesantía y Vejez obrera]]</f>
        <v>2078.41</v>
      </c>
      <c r="L6" s="7"/>
      <c r="M6" s="7"/>
      <c r="N6" s="7">
        <f>+Tabla11415[[#This Row],[SubTotal Patronal]]</f>
        <v>16121.010000000002</v>
      </c>
      <c r="O6" s="7"/>
      <c r="Q6" s="7"/>
      <c r="R6" s="7">
        <f>+Tabla11415[[#This Row],[SubTotal Obrera]]</f>
        <v>2078.41</v>
      </c>
      <c r="S6" s="7"/>
      <c r="U6" s="7">
        <f t="shared" si="0"/>
        <v>0</v>
      </c>
      <c r="V6" s="7">
        <f t="shared" si="0"/>
        <v>18199.420000000002</v>
      </c>
      <c r="W6" s="7">
        <f t="shared" si="0"/>
        <v>0</v>
      </c>
    </row>
    <row r="7" spans="1:23">
      <c r="A7" s="5">
        <v>4</v>
      </c>
      <c r="B7" s="6" t="s">
        <v>63</v>
      </c>
      <c r="C7" s="7">
        <v>3903.38</v>
      </c>
      <c r="D7" s="7">
        <v>880.09</v>
      </c>
      <c r="E7" s="7">
        <v>1742.75</v>
      </c>
      <c r="F7" s="7">
        <v>3695.51</v>
      </c>
      <c r="G7" s="7">
        <v>980.3</v>
      </c>
      <c r="H7" s="7">
        <v>4356.88</v>
      </c>
      <c r="I7" s="7">
        <f>SUM(Tabla11415[[#This Row],[Aportacion patronal]:[Infonavit]])</f>
        <v>15558.91</v>
      </c>
      <c r="J7" s="7">
        <f>Tabla11415[[#This Row],[Aportacion patronal]]+Tabla11415[[#This Row],[Retiro]]+Tabla11415[[#This Row],[Cesantía y Vejez patronal]]+Tabla11415[[#This Row],[Infonavit]]</f>
        <v>13698.52</v>
      </c>
      <c r="K7" s="8">
        <f>+Tabla11415[[#This Row],[Aportacion Obrera]]+Tabla11415[[#This Row],[Cesantía y Vejez obrera]]</f>
        <v>1860.3899999999999</v>
      </c>
      <c r="L7" s="7"/>
      <c r="M7" s="7"/>
      <c r="N7" s="7">
        <f>+Tabla11415[[#This Row],[SubTotal Patronal]]</f>
        <v>13698.52</v>
      </c>
      <c r="O7" s="7"/>
      <c r="Q7" s="7"/>
      <c r="R7" s="7">
        <f>+Tabla11415[[#This Row],[SubTotal Obrera]]</f>
        <v>1860.3899999999999</v>
      </c>
      <c r="S7" s="7"/>
      <c r="U7" s="7">
        <f t="shared" si="0"/>
        <v>0</v>
      </c>
      <c r="V7" s="7">
        <f t="shared" si="0"/>
        <v>15558.91</v>
      </c>
      <c r="W7" s="7">
        <f t="shared" si="0"/>
        <v>0</v>
      </c>
    </row>
    <row r="8" spans="1:23">
      <c r="A8" s="5">
        <v>5</v>
      </c>
      <c r="B8" s="6" t="s">
        <v>64</v>
      </c>
      <c r="C8" s="7">
        <v>4334.3500000000004</v>
      </c>
      <c r="D8" s="7">
        <v>995.84</v>
      </c>
      <c r="E8" s="7">
        <v>2632.51</v>
      </c>
      <c r="F8" s="7">
        <v>5582.24</v>
      </c>
      <c r="G8" s="7">
        <v>1480.79</v>
      </c>
      <c r="H8" s="7">
        <v>6581.27</v>
      </c>
      <c r="I8" s="7">
        <f>SUM(Tabla11415[[#This Row],[Aportacion patronal]:[Infonavit]])</f>
        <v>21607</v>
      </c>
      <c r="J8" s="7">
        <f>Tabla11415[[#This Row],[Aportacion patronal]]+Tabla11415[[#This Row],[Retiro]]+Tabla11415[[#This Row],[Cesantía y Vejez patronal]]+Tabla11415[[#This Row],[Infonavit]]</f>
        <v>19130.370000000003</v>
      </c>
      <c r="K8" s="8">
        <f>+Tabla11415[[#This Row],[Aportacion Obrera]]+Tabla11415[[#This Row],[Cesantía y Vejez obrera]]</f>
        <v>2476.63</v>
      </c>
      <c r="L8" s="7"/>
      <c r="M8" s="7"/>
      <c r="N8" s="7">
        <f>+Tabla11415[[#This Row],[SubTotal Patronal]]</f>
        <v>19130.370000000003</v>
      </c>
      <c r="O8" s="7"/>
      <c r="Q8" s="7"/>
      <c r="R8" s="31">
        <f>+Tabla11415[[#This Row],[SubTotal Obrera]]</f>
        <v>2476.63</v>
      </c>
      <c r="S8" s="7"/>
      <c r="U8" s="7">
        <f t="shared" si="0"/>
        <v>0</v>
      </c>
      <c r="V8" s="7">
        <f t="shared" si="0"/>
        <v>21607.000000000004</v>
      </c>
      <c r="W8" s="7">
        <f t="shared" si="0"/>
        <v>0</v>
      </c>
    </row>
    <row r="9" spans="1:23">
      <c r="A9" s="5">
        <v>6</v>
      </c>
      <c r="B9" s="6" t="s">
        <v>65</v>
      </c>
      <c r="C9" s="7">
        <v>4634.6400000000003</v>
      </c>
      <c r="D9" s="7">
        <v>1076.49</v>
      </c>
      <c r="E9" s="7">
        <v>2838.49</v>
      </c>
      <c r="F9" s="7">
        <v>6019.02</v>
      </c>
      <c r="G9" s="7">
        <v>1596.65</v>
      </c>
      <c r="H9" s="7">
        <v>7096.23</v>
      </c>
      <c r="I9" s="7">
        <f>SUM(Tabla11415[[#This Row],[Aportacion patronal]:[Infonavit]])</f>
        <v>23261.519999999997</v>
      </c>
      <c r="J9" s="7">
        <f>Tabla11415[[#This Row],[Aportacion patronal]]+Tabla11415[[#This Row],[Retiro]]+Tabla11415[[#This Row],[Cesantía y Vejez patronal]]+Tabla11415[[#This Row],[Infonavit]]</f>
        <v>20588.38</v>
      </c>
      <c r="K9" s="8">
        <f>+Tabla11415[[#This Row],[Aportacion Obrera]]+Tabla11415[[#This Row],[Cesantía y Vejez obrera]]</f>
        <v>2673.1400000000003</v>
      </c>
      <c r="L9" s="7"/>
      <c r="M9" s="7"/>
      <c r="N9" s="7">
        <f>+Tabla11415[[#This Row],[SubTotal Patronal]]*0.45</f>
        <v>9264.7710000000006</v>
      </c>
      <c r="O9" s="7"/>
      <c r="Q9" s="7"/>
      <c r="R9" s="31">
        <f>+Tabla11415[[#This Row],[SubTotal Obrera]]*0.45</f>
        <v>1202.9130000000002</v>
      </c>
      <c r="S9" s="7"/>
      <c r="U9" s="7">
        <f t="shared" si="0"/>
        <v>0</v>
      </c>
      <c r="V9" s="7">
        <f t="shared" si="0"/>
        <v>10467.684000000001</v>
      </c>
      <c r="W9" s="7">
        <f t="shared" si="0"/>
        <v>0</v>
      </c>
    </row>
    <row r="10" spans="1:23">
      <c r="A10" s="5">
        <v>7</v>
      </c>
      <c r="B10" s="6" t="s">
        <v>66</v>
      </c>
      <c r="C10" s="7">
        <v>2649.93</v>
      </c>
      <c r="D10" s="7">
        <v>543.44000000000005</v>
      </c>
      <c r="E10" s="7">
        <v>751.04</v>
      </c>
      <c r="F10" s="7">
        <v>1592.58</v>
      </c>
      <c r="G10" s="7">
        <v>422.46</v>
      </c>
      <c r="H10" s="7">
        <v>1877.6</v>
      </c>
      <c r="I10" s="7">
        <f>SUM(Tabla11415[[#This Row],[Aportacion patronal]:[Infonavit]])</f>
        <v>7837.0499999999993</v>
      </c>
      <c r="J10" s="7">
        <f>Tabla11415[[#This Row],[Aportacion patronal]]+Tabla11415[[#This Row],[Retiro]]+Tabla11415[[#This Row],[Cesantía y Vejez patronal]]+Tabla11415[[#This Row],[Infonavit]]</f>
        <v>6871.15</v>
      </c>
      <c r="K10" s="8">
        <f>+Tabla11415[[#This Row],[Aportacion Obrera]]+Tabla11415[[#This Row],[Cesantía y Vejez obrera]]</f>
        <v>965.90000000000009</v>
      </c>
      <c r="L10" s="7"/>
      <c r="M10" s="7"/>
      <c r="N10" s="7">
        <f>+Tabla11415[[#This Row],[SubTotal Patronal]]</f>
        <v>6871.15</v>
      </c>
      <c r="O10" s="7"/>
      <c r="Q10" s="7"/>
      <c r="R10" s="7">
        <f>+Tabla11415[[#This Row],[SubTotal Obrera]]</f>
        <v>965.90000000000009</v>
      </c>
      <c r="S10" s="7"/>
      <c r="U10" s="7">
        <f t="shared" si="0"/>
        <v>0</v>
      </c>
      <c r="V10" s="7">
        <f t="shared" si="0"/>
        <v>7837.0499999999993</v>
      </c>
      <c r="W10" s="7">
        <f t="shared" si="0"/>
        <v>0</v>
      </c>
    </row>
    <row r="11" spans="1:23">
      <c r="A11" s="5">
        <v>8</v>
      </c>
      <c r="B11" s="6" t="s">
        <v>74</v>
      </c>
      <c r="C11" s="7">
        <v>2833.16</v>
      </c>
      <c r="D11" s="7">
        <v>664.77</v>
      </c>
      <c r="E11" s="7">
        <v>829.92</v>
      </c>
      <c r="F11" s="7">
        <v>1759.85</v>
      </c>
      <c r="G11" s="7">
        <v>466.83</v>
      </c>
      <c r="H11" s="7">
        <v>2074.8000000000002</v>
      </c>
      <c r="I11" s="7">
        <f>SUM(Tabla11415[[#This Row],[Aportacion patronal]:[Infonavit]])</f>
        <v>8629.3299999999981</v>
      </c>
      <c r="J11" s="7">
        <f>Tabla11415[[#This Row],[Aportacion patronal]]+Tabla11415[[#This Row],[Retiro]]+Tabla11415[[#This Row],[Cesantía y Vejez patronal]]+Tabla11415[[#This Row],[Infonavit]]</f>
        <v>7497.7300000000005</v>
      </c>
      <c r="K11" s="8">
        <f>+Tabla11415[[#This Row],[Aportacion Obrera]]+Tabla11415[[#This Row],[Cesantía y Vejez obrera]]</f>
        <v>1131.5999999999999</v>
      </c>
      <c r="L11" s="7"/>
      <c r="M11" s="7"/>
      <c r="N11" s="7">
        <f>+Tabla11415[[#This Row],[SubTotal Patronal]]*0.5</f>
        <v>3748.8650000000002</v>
      </c>
      <c r="O11" s="7"/>
      <c r="Q11" s="7"/>
      <c r="R11" s="7">
        <f>+Tabla11415[[#This Row],[SubTotal Obrera]]*0.5</f>
        <v>565.79999999999995</v>
      </c>
      <c r="S11" s="7"/>
      <c r="U11" s="7">
        <f t="shared" si="0"/>
        <v>0</v>
      </c>
      <c r="V11" s="7">
        <f t="shared" si="0"/>
        <v>4314.665</v>
      </c>
      <c r="W11" s="7">
        <f t="shared" si="0"/>
        <v>0</v>
      </c>
    </row>
    <row r="12" spans="1:23">
      <c r="A12" s="5">
        <v>9</v>
      </c>
      <c r="B12" s="6" t="s">
        <v>67</v>
      </c>
      <c r="C12" s="7">
        <v>4634.6400000000003</v>
      </c>
      <c r="D12" s="7">
        <v>1076.49</v>
      </c>
      <c r="E12" s="7">
        <v>2838.49</v>
      </c>
      <c r="F12" s="7">
        <v>6019.02</v>
      </c>
      <c r="G12" s="7">
        <v>1596.65</v>
      </c>
      <c r="H12" s="7">
        <v>7096.23</v>
      </c>
      <c r="I12" s="7">
        <f>SUM(Tabla11415[[#This Row],[Aportacion patronal]:[Infonavit]])</f>
        <v>23261.519999999997</v>
      </c>
      <c r="J12" s="7">
        <f>Tabla11415[[#This Row],[Aportacion patronal]]+Tabla11415[[#This Row],[Retiro]]+Tabla11415[[#This Row],[Cesantía y Vejez patronal]]+Tabla11415[[#This Row],[Infonavit]]</f>
        <v>20588.38</v>
      </c>
      <c r="K12" s="8">
        <f>+Tabla11415[[#This Row],[Aportacion Obrera]]+Tabla11415[[#This Row],[Cesantía y Vejez obrera]]</f>
        <v>2673.1400000000003</v>
      </c>
      <c r="L12" s="7"/>
      <c r="M12" s="7"/>
      <c r="N12" s="7">
        <f>+Tabla11415[[#This Row],[SubTotal Patronal]]</f>
        <v>20588.38</v>
      </c>
      <c r="O12" s="7"/>
      <c r="Q12" s="7"/>
      <c r="R12" s="31">
        <f>+Tabla11415[[#This Row],[SubTotal Obrera]]</f>
        <v>2673.1400000000003</v>
      </c>
      <c r="S12" s="7"/>
      <c r="U12" s="7">
        <f t="shared" si="0"/>
        <v>0</v>
      </c>
      <c r="V12" s="7">
        <f t="shared" si="0"/>
        <v>23261.52</v>
      </c>
      <c r="W12" s="7">
        <f t="shared" si="0"/>
        <v>0</v>
      </c>
    </row>
    <row r="13" spans="1:23">
      <c r="A13" s="5">
        <v>10</v>
      </c>
      <c r="B13" s="6" t="s">
        <v>68</v>
      </c>
      <c r="C13" s="7">
        <v>4334.3500000000004</v>
      </c>
      <c r="D13" s="7">
        <v>995.84</v>
      </c>
      <c r="E13" s="7">
        <v>2632.51</v>
      </c>
      <c r="F13" s="7">
        <v>5582.24</v>
      </c>
      <c r="G13" s="7">
        <v>1480.79</v>
      </c>
      <c r="H13" s="7">
        <v>6581.27</v>
      </c>
      <c r="I13" s="7">
        <f>SUM(Tabla11415[[#This Row],[Aportacion patronal]:[Infonavit]])</f>
        <v>21607</v>
      </c>
      <c r="J13" s="7">
        <f>Tabla11415[[#This Row],[Aportacion patronal]]+Tabla11415[[#This Row],[Retiro]]+Tabla11415[[#This Row],[Cesantía y Vejez patronal]]+Tabla11415[[#This Row],[Infonavit]]</f>
        <v>19130.370000000003</v>
      </c>
      <c r="K13" s="8">
        <f>+Tabla11415[[#This Row],[Aportacion Obrera]]+Tabla11415[[#This Row],[Cesantía y Vejez obrera]]</f>
        <v>2476.63</v>
      </c>
      <c r="L13" s="7"/>
      <c r="M13" s="7"/>
      <c r="N13" s="7">
        <f>+Tabla11415[[#This Row],[SubTotal Patronal]]</f>
        <v>19130.370000000003</v>
      </c>
      <c r="O13" s="7"/>
      <c r="Q13" s="7"/>
      <c r="R13" s="31">
        <f>+Tabla11415[[#This Row],[SubTotal Obrera]]</f>
        <v>2476.63</v>
      </c>
      <c r="S13" s="7"/>
      <c r="U13" s="7">
        <f t="shared" si="0"/>
        <v>0</v>
      </c>
      <c r="V13" s="7">
        <f t="shared" si="0"/>
        <v>21607.000000000004</v>
      </c>
      <c r="W13" s="7">
        <f t="shared" si="0"/>
        <v>0</v>
      </c>
    </row>
    <row r="14" spans="1:23">
      <c r="A14" s="5">
        <v>11</v>
      </c>
      <c r="B14" s="6" t="s">
        <v>69</v>
      </c>
      <c r="C14" s="7">
        <v>3177.37</v>
      </c>
      <c r="D14" s="7">
        <v>685.1</v>
      </c>
      <c r="E14" s="7">
        <v>1838.85</v>
      </c>
      <c r="F14" s="7">
        <v>3899.29</v>
      </c>
      <c r="G14" s="7">
        <v>1034.3499999999999</v>
      </c>
      <c r="H14" s="7">
        <v>4597.13</v>
      </c>
      <c r="I14" s="7">
        <f>SUM(Tabla11415[[#This Row],[Aportacion patronal]:[Infonavit]])</f>
        <v>15232.09</v>
      </c>
      <c r="J14" s="7">
        <f>Tabla11415[[#This Row],[Aportacion patronal]]+Tabla11415[[#This Row],[Retiro]]+Tabla11415[[#This Row],[Cesantía y Vejez patronal]]+Tabla11415[[#This Row],[Infonavit]]</f>
        <v>13512.64</v>
      </c>
      <c r="K14" s="7">
        <f>+Tabla11415[[#This Row],[Aportacion Obrera]]+Tabla11415[[#This Row],[Cesantía y Vejez obrera]]</f>
        <v>1719.4499999999998</v>
      </c>
      <c r="L14" s="7"/>
      <c r="M14" s="7"/>
      <c r="N14" s="7">
        <f>+Tabla11415[[#This Row],[SubTotal Patronal]]*0.5</f>
        <v>6756.32</v>
      </c>
      <c r="O14" s="7"/>
      <c r="Q14" s="7"/>
      <c r="R14" s="31">
        <f>+Tabla11415[[#This Row],[SubTotal Obrera]]*0.5</f>
        <v>859.72499999999991</v>
      </c>
      <c r="S14" s="7"/>
      <c r="U14" s="7">
        <f t="shared" si="0"/>
        <v>0</v>
      </c>
      <c r="V14" s="7">
        <f t="shared" si="0"/>
        <v>7616.0450000000001</v>
      </c>
      <c r="W14" s="7">
        <f t="shared" si="0"/>
        <v>0</v>
      </c>
    </row>
    <row r="15" spans="1:23">
      <c r="A15" s="5">
        <v>12</v>
      </c>
      <c r="B15" s="6" t="s">
        <v>70</v>
      </c>
      <c r="C15" s="7">
        <v>4634.6400000000003</v>
      </c>
      <c r="D15" s="7">
        <v>1076.49</v>
      </c>
      <c r="E15" s="7">
        <v>2838.49</v>
      </c>
      <c r="F15" s="7">
        <v>6019.02</v>
      </c>
      <c r="G15" s="7">
        <v>1596.65</v>
      </c>
      <c r="H15" s="7">
        <v>7096.23</v>
      </c>
      <c r="I15" s="7">
        <f>SUM(Tabla11415[[#This Row],[Aportacion patronal]:[Infonavit]])</f>
        <v>23261.519999999997</v>
      </c>
      <c r="J15" s="7">
        <f>Tabla11415[[#This Row],[Aportacion patronal]]+Tabla11415[[#This Row],[Retiro]]+Tabla11415[[#This Row],[Cesantía y Vejez patronal]]+Tabla11415[[#This Row],[Infonavit]]</f>
        <v>20588.38</v>
      </c>
      <c r="K15" s="7">
        <f>+Tabla11415[[#This Row],[Aportacion Obrera]]+Tabla11415[[#This Row],[Cesantía y Vejez obrera]]</f>
        <v>2673.1400000000003</v>
      </c>
      <c r="L15" s="7"/>
      <c r="M15" s="7"/>
      <c r="N15" s="7">
        <f>+Tabla11415[[#This Row],[SubTotal Patronal]]</f>
        <v>20588.38</v>
      </c>
      <c r="O15" s="7"/>
      <c r="Q15" s="7"/>
      <c r="R15" s="31">
        <f>+Tabla11415[[#This Row],[SubTotal Obrera]]</f>
        <v>2673.1400000000003</v>
      </c>
      <c r="S15" s="7"/>
      <c r="U15" s="7">
        <f t="shared" si="0"/>
        <v>0</v>
      </c>
      <c r="V15" s="7">
        <f t="shared" si="0"/>
        <v>23261.52</v>
      </c>
      <c r="W15" s="7">
        <f t="shared" si="0"/>
        <v>0</v>
      </c>
    </row>
    <row r="16" spans="1:23" ht="15" thickBot="1">
      <c r="A16" s="5" t="s">
        <v>29</v>
      </c>
      <c r="B16" s="6"/>
      <c r="C16" s="23">
        <f>SUBTOTAL(109,Tabla11415[Aportacion patronal])</f>
        <v>47863.91</v>
      </c>
      <c r="D16" s="23">
        <f>SUBTOTAL(109,Tabla11415[Aportacion Obrera])</f>
        <v>10908.050000000001</v>
      </c>
      <c r="E16" s="23">
        <f>SUBTOTAL(109,Tabla11415[Retiro])</f>
        <v>26613.599999999999</v>
      </c>
      <c r="F16" s="23">
        <f>SUBTOTAL(109,Tabla11415[Cesantía y Vejez patronal])</f>
        <v>56434.17</v>
      </c>
      <c r="G16" s="23">
        <f>SUBTOTAL(109,Tabla11415[Cesantía y Vejez obrera])</f>
        <v>14970.149999999998</v>
      </c>
      <c r="H16" s="23">
        <f>SUBTOTAL(109,Tabla11415[Infonavit])</f>
        <v>66534.000000000015</v>
      </c>
      <c r="I16" s="23">
        <f>SUBTOTAL(109,Tabla11415[SubTotal])</f>
        <v>223323.87999999995</v>
      </c>
      <c r="J16" s="23">
        <f>SUBTOTAL(109,Tabla11415[SubTotal Patronal])</f>
        <v>197445.68</v>
      </c>
      <c r="K16" s="23">
        <f>SUBTOTAL(109,Tabla11415[SubTotal Obrera])</f>
        <v>25878.2</v>
      </c>
      <c r="L16" s="7"/>
      <c r="M16" s="10"/>
      <c r="N16" s="10">
        <f>SUM(N4:N15)</f>
        <v>175616.88600000003</v>
      </c>
      <c r="O16" s="10"/>
      <c r="Q16" s="10">
        <f>SUM(Q4:Q15)</f>
        <v>0</v>
      </c>
      <c r="R16" s="10">
        <f>SUM(R4:R15)</f>
        <v>22982.448</v>
      </c>
      <c r="S16" s="10">
        <f>SUM(S4:S15)</f>
        <v>0</v>
      </c>
      <c r="U16" s="10">
        <f>SUM(U4:U15)</f>
        <v>0</v>
      </c>
      <c r="V16" s="10">
        <f>SUM(V4:V15)</f>
        <v>198599.334</v>
      </c>
      <c r="W16" s="10">
        <f>SUM(W4:W15)</f>
        <v>0</v>
      </c>
    </row>
    <row r="17" spans="2:23" ht="15" thickTop="1">
      <c r="C17" s="11"/>
      <c r="D17" s="11"/>
      <c r="E17" s="11"/>
      <c r="F17" s="11"/>
      <c r="G17" s="11"/>
      <c r="H17" s="11"/>
      <c r="I17" s="11"/>
      <c r="J17" s="11"/>
      <c r="K17" s="11"/>
      <c r="M17" s="48" t="s">
        <v>30</v>
      </c>
      <c r="N17" s="48"/>
      <c r="O17" s="48"/>
      <c r="P17" s="13"/>
      <c r="U17" s="48" t="s">
        <v>75</v>
      </c>
      <c r="V17" s="48"/>
      <c r="W17" s="48"/>
    </row>
    <row r="21" spans="2:23">
      <c r="B21" s="14" t="s">
        <v>31</v>
      </c>
      <c r="C21" s="20"/>
      <c r="D21" s="11"/>
      <c r="E21" s="11"/>
    </row>
    <row r="22" spans="2:23" ht="43.15">
      <c r="B22" s="28" t="s">
        <v>32</v>
      </c>
      <c r="C22" s="27" t="s">
        <v>33</v>
      </c>
      <c r="D22" s="27" t="s">
        <v>34</v>
      </c>
      <c r="E22" s="27" t="s">
        <v>35</v>
      </c>
      <c r="F22" s="27" t="s">
        <v>36</v>
      </c>
      <c r="G22" s="27" t="s">
        <v>37</v>
      </c>
      <c r="H22" s="27" t="s">
        <v>38</v>
      </c>
      <c r="J22" s="18" t="s">
        <v>39</v>
      </c>
      <c r="K22" s="11"/>
    </row>
    <row r="23" spans="2:23">
      <c r="B23" t="s">
        <v>40</v>
      </c>
      <c r="C23" s="21">
        <v>70015</v>
      </c>
      <c r="D23" s="15" t="s">
        <v>76</v>
      </c>
      <c r="E23" s="33">
        <v>198599.33</v>
      </c>
      <c r="F23" s="34"/>
      <c r="G23" s="34">
        <v>10672.17</v>
      </c>
      <c r="H23" s="34"/>
      <c r="J23">
        <v>18.61</v>
      </c>
      <c r="K23" s="11"/>
    </row>
    <row r="24" spans="2:23">
      <c r="B24">
        <v>99999</v>
      </c>
      <c r="C24" s="21" t="s">
        <v>42</v>
      </c>
      <c r="D24" s="15" t="s">
        <v>76</v>
      </c>
      <c r="E24" s="33"/>
      <c r="F24" s="34">
        <v>198599.33</v>
      </c>
      <c r="G24" s="34"/>
      <c r="H24" s="34">
        <v>16672.169999999998</v>
      </c>
      <c r="J24">
        <v>18.61</v>
      </c>
      <c r="K24" s="11"/>
    </row>
    <row r="25" spans="2:23">
      <c r="C25" s="21"/>
      <c r="D25" s="15"/>
      <c r="E25" s="33"/>
      <c r="F25" s="34"/>
      <c r="G25" s="34"/>
      <c r="H25" s="34"/>
      <c r="K25" s="11"/>
    </row>
    <row r="26" spans="2:23">
      <c r="B26" s="14" t="s">
        <v>43</v>
      </c>
      <c r="C26" s="21"/>
      <c r="D26" s="15"/>
      <c r="E26" s="33"/>
      <c r="F26" s="34"/>
      <c r="G26" s="34"/>
      <c r="H26" s="34"/>
      <c r="K26" s="11"/>
    </row>
    <row r="27" spans="2:23">
      <c r="B27" t="s">
        <v>44</v>
      </c>
      <c r="C27" s="21">
        <v>70015</v>
      </c>
      <c r="D27" s="15" t="s">
        <v>76</v>
      </c>
      <c r="E27" s="33">
        <v>175616.89</v>
      </c>
      <c r="F27" s="34"/>
      <c r="G27" s="34">
        <f>+E27/J24</f>
        <v>9436.6947877485236</v>
      </c>
      <c r="H27" s="34"/>
      <c r="J27">
        <v>18.61</v>
      </c>
      <c r="K27" s="11"/>
    </row>
    <row r="28" spans="2:23">
      <c r="C28" s="21"/>
      <c r="D28" s="15"/>
      <c r="E28" s="33"/>
      <c r="F28" s="34"/>
      <c r="G28" s="34"/>
      <c r="H28" s="34"/>
      <c r="K28" s="11"/>
    </row>
    <row r="29" spans="2:23">
      <c r="C29" s="21"/>
      <c r="D29" s="15"/>
      <c r="E29" s="33"/>
      <c r="F29" s="34"/>
      <c r="G29" s="34"/>
      <c r="H29" s="34"/>
      <c r="K29" s="11"/>
    </row>
    <row r="30" spans="2:23">
      <c r="B30" s="14" t="s">
        <v>45</v>
      </c>
      <c r="C30" s="21"/>
      <c r="D30" s="15"/>
      <c r="E30" s="33"/>
      <c r="F30" s="34"/>
      <c r="G30" s="34"/>
      <c r="H30" s="34"/>
      <c r="K30" s="11"/>
    </row>
    <row r="31" spans="2:23">
      <c r="B31" t="s">
        <v>44</v>
      </c>
      <c r="C31" s="21">
        <v>70015</v>
      </c>
      <c r="D31" s="15" t="s">
        <v>76</v>
      </c>
      <c r="E31" s="34"/>
      <c r="F31" s="34">
        <f>+E23-E27</f>
        <v>22982.439999999973</v>
      </c>
      <c r="G31" s="33"/>
      <c r="H31" s="34">
        <f>+F31/J31</f>
        <v>1234.9511015583005</v>
      </c>
      <c r="J31">
        <v>18.61</v>
      </c>
      <c r="K31" s="11"/>
    </row>
    <row r="32" spans="2:23">
      <c r="B32">
        <v>99999</v>
      </c>
      <c r="C32" s="21" t="s">
        <v>42</v>
      </c>
      <c r="D32" s="15" t="s">
        <v>76</v>
      </c>
      <c r="E32" s="34">
        <f>+E23-E27</f>
        <v>22982.439999999973</v>
      </c>
      <c r="F32" s="34"/>
      <c r="G32" s="33">
        <f>+E32/J32</f>
        <v>1234.9511015583005</v>
      </c>
      <c r="H32" s="34"/>
      <c r="J32">
        <v>18.61</v>
      </c>
      <c r="K32" s="11"/>
    </row>
    <row r="33" spans="2:11">
      <c r="C33" s="11"/>
      <c r="D33" s="11"/>
      <c r="E33" s="11"/>
      <c r="F33" s="11"/>
      <c r="G33" s="11"/>
      <c r="H33" s="11"/>
      <c r="I33" s="11"/>
      <c r="J33" s="11"/>
      <c r="K33" s="11"/>
    </row>
    <row r="37" spans="2:11">
      <c r="B37" s="14" t="s">
        <v>31</v>
      </c>
    </row>
    <row r="38" spans="2:11">
      <c r="B38">
        <v>99999</v>
      </c>
      <c r="C38">
        <v>20212</v>
      </c>
      <c r="D38" s="15" t="s">
        <v>57</v>
      </c>
      <c r="E38">
        <v>159151.19</v>
      </c>
      <c r="G38">
        <v>8552.34</v>
      </c>
      <c r="J38">
        <v>18.61</v>
      </c>
    </row>
    <row r="40" spans="2:11">
      <c r="B40">
        <v>99999</v>
      </c>
      <c r="C40">
        <v>20212</v>
      </c>
      <c r="D40" s="15" t="s">
        <v>71</v>
      </c>
      <c r="E40">
        <v>65139.15</v>
      </c>
      <c r="G40">
        <v>3500.39</v>
      </c>
      <c r="J40">
        <v>18.61</v>
      </c>
    </row>
    <row r="42" spans="2:11">
      <c r="B42" s="14" t="s">
        <v>45</v>
      </c>
    </row>
    <row r="43" spans="2:11">
      <c r="B43">
        <v>99999</v>
      </c>
      <c r="C43">
        <v>20212</v>
      </c>
      <c r="D43" s="15" t="s">
        <v>71</v>
      </c>
      <c r="F43">
        <v>65139.15</v>
      </c>
      <c r="H43">
        <v>3500.39</v>
      </c>
      <c r="J43">
        <v>18.61</v>
      </c>
    </row>
    <row r="44" spans="2:11">
      <c r="B44">
        <v>99999</v>
      </c>
      <c r="C44">
        <v>20212</v>
      </c>
      <c r="D44" s="15" t="s">
        <v>71</v>
      </c>
      <c r="E44">
        <v>49231.14</v>
      </c>
      <c r="G44" s="22">
        <f>+E44/J43</f>
        <v>2645.4132186996239</v>
      </c>
    </row>
    <row r="45" spans="2:11">
      <c r="B45">
        <v>99999</v>
      </c>
      <c r="C45">
        <v>20212</v>
      </c>
      <c r="D45" t="s">
        <v>77</v>
      </c>
      <c r="E45">
        <v>15908.01</v>
      </c>
      <c r="G45" s="22">
        <f>+H43-G44</f>
        <v>854.97678130037593</v>
      </c>
    </row>
  </sheetData>
  <mergeCells count="6">
    <mergeCell ref="A2:K2"/>
    <mergeCell ref="M2:O2"/>
    <mergeCell ref="Q2:S2"/>
    <mergeCell ref="U2:W2"/>
    <mergeCell ref="M17:O17"/>
    <mergeCell ref="U17:W17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2C7A7-3472-4067-B0B4-C26DE842D0C4}">
  <dimension ref="A1:Q41"/>
  <sheetViews>
    <sheetView topLeftCell="A9" workbookViewId="0">
      <selection activeCell="B41" sqref="B41"/>
    </sheetView>
  </sheetViews>
  <sheetFormatPr defaultColWidth="11.42578125" defaultRowHeight="14.45"/>
  <cols>
    <col min="3" max="3" width="19.42578125" customWidth="1"/>
    <col min="4" max="4" width="64.28515625" customWidth="1"/>
  </cols>
  <sheetData>
    <row r="1" spans="1:17" ht="15" thickBot="1"/>
    <row r="2" spans="1:17" ht="72.599999999999994" thickBot="1">
      <c r="A2" s="50" t="s">
        <v>78</v>
      </c>
      <c r="B2" s="51"/>
      <c r="C2" s="51"/>
      <c r="D2" s="51"/>
      <c r="E2" s="51"/>
      <c r="F2" s="51"/>
      <c r="G2" s="51"/>
      <c r="H2" s="51"/>
      <c r="I2" s="51"/>
      <c r="J2" s="51"/>
      <c r="K2" s="52"/>
      <c r="M2" s="1" t="s">
        <v>47</v>
      </c>
      <c r="O2" s="1" t="s">
        <v>48</v>
      </c>
      <c r="Q2" s="35" t="s">
        <v>3</v>
      </c>
    </row>
    <row r="3" spans="1:17" ht="43.9" thickBot="1">
      <c r="A3" s="3" t="s">
        <v>4</v>
      </c>
      <c r="B3" s="3" t="s">
        <v>49</v>
      </c>
      <c r="C3" s="4" t="s">
        <v>6</v>
      </c>
      <c r="D3" s="4" t="s">
        <v>7</v>
      </c>
      <c r="E3" s="4" t="s">
        <v>50</v>
      </c>
      <c r="F3" s="4" t="s">
        <v>51</v>
      </c>
      <c r="G3" s="4" t="s">
        <v>52</v>
      </c>
      <c r="H3" s="4" t="s">
        <v>53</v>
      </c>
      <c r="I3" s="4" t="s">
        <v>8</v>
      </c>
      <c r="J3" s="4" t="s">
        <v>54</v>
      </c>
      <c r="K3" s="4" t="s">
        <v>55</v>
      </c>
      <c r="M3" s="1" t="s">
        <v>10</v>
      </c>
      <c r="O3" s="1" t="s">
        <v>10</v>
      </c>
      <c r="Q3" s="1" t="s">
        <v>10</v>
      </c>
    </row>
    <row r="4" spans="1:17" ht="15" thickTop="1">
      <c r="A4" s="5">
        <v>1</v>
      </c>
      <c r="B4" s="6" t="s">
        <v>15</v>
      </c>
      <c r="C4" s="7">
        <v>5489.25</v>
      </c>
      <c r="D4" s="7">
        <v>1287.98</v>
      </c>
      <c r="E4" s="7">
        <v>0</v>
      </c>
      <c r="F4" s="7">
        <v>0</v>
      </c>
      <c r="G4" s="7">
        <v>0</v>
      </c>
      <c r="H4" s="7">
        <v>0</v>
      </c>
      <c r="I4" s="7">
        <f>+Tabla14[[#This Row],[Aportacion patronal]]+Tabla14[[#This Row],[Aportacion Obrera]]</f>
        <v>6777.23</v>
      </c>
      <c r="J4" s="7">
        <f>+Tabla14[[#This Row],[Aportacion patronal]]</f>
        <v>5489.25</v>
      </c>
      <c r="K4" s="8">
        <f>+Tabla14[[#This Row],[Aportacion Obrera]]</f>
        <v>1287.98</v>
      </c>
      <c r="L4" s="7"/>
      <c r="M4" s="7">
        <f>+Tabla14[[#This Row],[SubTotal Patronal]]</f>
        <v>5489.25</v>
      </c>
      <c r="O4" s="7">
        <f>+Tabla14[[#This Row],[SubTotal Obrera]]</f>
        <v>1287.98</v>
      </c>
      <c r="Q4" s="7">
        <f t="shared" ref="Q4:Q15" si="0">+M4+O4</f>
        <v>6777.23</v>
      </c>
    </row>
    <row r="5" spans="1:17">
      <c r="A5" s="5">
        <v>2</v>
      </c>
      <c r="B5" s="6" t="s">
        <v>61</v>
      </c>
      <c r="C5" s="7">
        <f>2941.18+1656.55</f>
        <v>4597.7299999999996</v>
      </c>
      <c r="D5" s="7">
        <f>675.74+372.8</f>
        <v>1048.54</v>
      </c>
      <c r="E5" s="7">
        <v>0</v>
      </c>
      <c r="F5" s="7">
        <v>0</v>
      </c>
      <c r="G5" s="7">
        <v>0</v>
      </c>
      <c r="H5" s="7">
        <v>0</v>
      </c>
      <c r="I5" s="7">
        <f>+Tabla14[[#This Row],[Aportacion patronal]]+Tabla14[[#This Row],[Aportacion Obrera]]</f>
        <v>5646.2699999999995</v>
      </c>
      <c r="J5" s="7">
        <f>+Tabla14[[#This Row],[Aportacion patronal]]</f>
        <v>4597.7299999999996</v>
      </c>
      <c r="K5" s="8">
        <f>+Tabla14[[#This Row],[Aportacion Obrera]]</f>
        <v>1048.54</v>
      </c>
      <c r="L5" s="7"/>
      <c r="M5" s="7">
        <f>+Tabla14[[#This Row],[SubTotal Patronal]]</f>
        <v>4597.7299999999996</v>
      </c>
      <c r="O5" s="7">
        <f>+Tabla14[[#This Row],[SubTotal Obrera]]</f>
        <v>1048.54</v>
      </c>
      <c r="Q5" s="7">
        <f t="shared" si="0"/>
        <v>5646.2699999999995</v>
      </c>
    </row>
    <row r="6" spans="1:17">
      <c r="A6" s="5">
        <v>3</v>
      </c>
      <c r="B6" s="6" t="s">
        <v>62</v>
      </c>
      <c r="C6" s="7">
        <v>4161.16</v>
      </c>
      <c r="D6" s="7">
        <v>931.29</v>
      </c>
      <c r="E6" s="7">
        <v>0</v>
      </c>
      <c r="F6" s="7">
        <v>0</v>
      </c>
      <c r="G6" s="7">
        <v>0</v>
      </c>
      <c r="H6" s="7">
        <v>0</v>
      </c>
      <c r="I6" s="7">
        <f>+Tabla14[[#This Row],[Aportacion patronal]]+Tabla14[[#This Row],[Aportacion Obrera]]</f>
        <v>5092.45</v>
      </c>
      <c r="J6" s="7">
        <f>+Tabla14[[#This Row],[Aportacion patronal]]</f>
        <v>4161.16</v>
      </c>
      <c r="K6" s="8">
        <f>+Tabla14[[#This Row],[Aportacion Obrera]]</f>
        <v>931.29</v>
      </c>
      <c r="L6" s="7"/>
      <c r="M6" s="7">
        <f>+Tabla14[[#This Row],[SubTotal Patronal]]</f>
        <v>4161.16</v>
      </c>
      <c r="O6" s="7">
        <f>+Tabla14[[#This Row],[SubTotal Obrera]]</f>
        <v>931.29</v>
      </c>
      <c r="Q6" s="7">
        <f t="shared" si="0"/>
        <v>5092.45</v>
      </c>
    </row>
    <row r="7" spans="1:17">
      <c r="A7" s="5">
        <v>4</v>
      </c>
      <c r="B7" s="6" t="s">
        <v>63</v>
      </c>
      <c r="C7" s="7">
        <v>4321.6000000000004</v>
      </c>
      <c r="D7" s="7">
        <v>974.38</v>
      </c>
      <c r="E7" s="7">
        <v>0</v>
      </c>
      <c r="F7" s="7">
        <v>0</v>
      </c>
      <c r="G7" s="7">
        <v>0</v>
      </c>
      <c r="H7" s="7">
        <v>0</v>
      </c>
      <c r="I7" s="7">
        <f>+Tabla14[[#This Row],[Aportacion patronal]]+Tabla14[[#This Row],[Aportacion Obrera]]</f>
        <v>5295.9800000000005</v>
      </c>
      <c r="J7" s="7">
        <f>+Tabla14[[#This Row],[Aportacion patronal]]</f>
        <v>4321.6000000000004</v>
      </c>
      <c r="K7" s="8">
        <f>+Tabla14[[#This Row],[Aportacion Obrera]]</f>
        <v>974.38</v>
      </c>
      <c r="L7" s="7"/>
      <c r="M7" s="7">
        <f>+Tabla14[[#This Row],[SubTotal Patronal]]</f>
        <v>4321.6000000000004</v>
      </c>
      <c r="O7" s="7">
        <f>+Tabla14[[#This Row],[SubTotal Obrera]]</f>
        <v>974.38</v>
      </c>
      <c r="Q7" s="7">
        <f t="shared" si="0"/>
        <v>5295.9800000000005</v>
      </c>
    </row>
    <row r="8" spans="1:17">
      <c r="A8" s="5">
        <v>5</v>
      </c>
      <c r="B8" s="6" t="s">
        <v>64</v>
      </c>
      <c r="C8" s="7">
        <f>2941.18+1656.55</f>
        <v>4597.7299999999996</v>
      </c>
      <c r="D8" s="7">
        <f>675.74+372.8</f>
        <v>1048.54</v>
      </c>
      <c r="E8" s="7">
        <v>0</v>
      </c>
      <c r="F8" s="7">
        <v>0</v>
      </c>
      <c r="G8" s="7">
        <v>0</v>
      </c>
      <c r="H8" s="7">
        <v>0</v>
      </c>
      <c r="I8" s="7">
        <f>+Tabla14[[#This Row],[Aportacion patronal]]+Tabla14[[#This Row],[Aportacion Obrera]]</f>
        <v>5646.2699999999995</v>
      </c>
      <c r="J8" s="7">
        <f>+Tabla14[[#This Row],[Aportacion patronal]]</f>
        <v>4597.7299999999996</v>
      </c>
      <c r="K8" s="8">
        <f>+Tabla14[[#This Row],[Aportacion Obrera]]</f>
        <v>1048.54</v>
      </c>
      <c r="L8" s="7"/>
      <c r="M8" s="7">
        <f>+Tabla14[[#This Row],[SubTotal Patronal]]</f>
        <v>4597.7299999999996</v>
      </c>
      <c r="O8" s="7">
        <f>+Tabla14[[#This Row],[SubTotal Obrera]]</f>
        <v>1048.54</v>
      </c>
      <c r="Q8" s="7">
        <f t="shared" si="0"/>
        <v>5646.2699999999995</v>
      </c>
    </row>
    <row r="9" spans="1:17">
      <c r="A9" s="5">
        <v>6</v>
      </c>
      <c r="B9" s="6" t="s">
        <v>65</v>
      </c>
      <c r="C9" s="7">
        <v>5489.25</v>
      </c>
      <c r="D9" s="7">
        <v>1287.98</v>
      </c>
      <c r="E9" s="7">
        <v>0</v>
      </c>
      <c r="F9" s="7">
        <v>0</v>
      </c>
      <c r="G9" s="7">
        <v>0</v>
      </c>
      <c r="H9" s="7">
        <v>0</v>
      </c>
      <c r="I9" s="7">
        <f>+Tabla14[[#This Row],[Aportacion patronal]]+Tabla14[[#This Row],[Aportacion Obrera]]</f>
        <v>6777.23</v>
      </c>
      <c r="J9" s="7">
        <f>+Tabla14[[#This Row],[Aportacion patronal]]</f>
        <v>5489.25</v>
      </c>
      <c r="K9" s="8">
        <f>+Tabla14[[#This Row],[Aportacion Obrera]]</f>
        <v>1287.98</v>
      </c>
      <c r="L9" s="7"/>
      <c r="M9" s="7">
        <f>+Tabla14[[#This Row],[SubTotal Patronal]]*0.45</f>
        <v>2470.1624999999999</v>
      </c>
      <c r="O9" s="7">
        <f>+Tabla14[[#This Row],[SubTotal Obrera]]*0.45</f>
        <v>579.59100000000001</v>
      </c>
      <c r="Q9" s="7">
        <f t="shared" si="0"/>
        <v>3049.7534999999998</v>
      </c>
    </row>
    <row r="10" spans="1:17">
      <c r="A10" s="5">
        <v>7</v>
      </c>
      <c r="B10" s="6" t="s">
        <v>66</v>
      </c>
      <c r="C10" s="7">
        <v>2933.85</v>
      </c>
      <c r="D10" s="7">
        <v>601.66</v>
      </c>
      <c r="E10" s="7">
        <v>0</v>
      </c>
      <c r="F10" s="7">
        <v>0</v>
      </c>
      <c r="G10" s="7">
        <v>0</v>
      </c>
      <c r="H10" s="7">
        <v>0</v>
      </c>
      <c r="I10" s="7">
        <f>+Tabla14[[#This Row],[Aportacion patronal]]+Tabla14[[#This Row],[Aportacion Obrera]]</f>
        <v>3535.5099999999998</v>
      </c>
      <c r="J10" s="7">
        <f>+Tabla14[[#This Row],[Aportacion patronal]]</f>
        <v>2933.85</v>
      </c>
      <c r="K10" s="8">
        <f>+Tabla14[[#This Row],[Aportacion Obrera]]</f>
        <v>601.66</v>
      </c>
      <c r="L10" s="7"/>
      <c r="M10" s="7">
        <f>+Tabla14[[#This Row],[SubTotal Patronal]]</f>
        <v>2933.85</v>
      </c>
      <c r="O10" s="7">
        <f>+Tabla14[[#This Row],[SubTotal Obrera]]</f>
        <v>601.66</v>
      </c>
      <c r="Q10" s="7">
        <f t="shared" si="0"/>
        <v>3535.5099999999998</v>
      </c>
    </row>
    <row r="11" spans="1:17">
      <c r="A11" s="5">
        <v>8</v>
      </c>
      <c r="B11" s="6" t="s">
        <v>74</v>
      </c>
      <c r="C11" s="7">
        <v>5489.25</v>
      </c>
      <c r="D11" s="7">
        <v>1287.98</v>
      </c>
      <c r="E11" s="7">
        <v>0</v>
      </c>
      <c r="F11" s="7">
        <v>0</v>
      </c>
      <c r="G11" s="7">
        <v>0</v>
      </c>
      <c r="H11" s="7">
        <v>0</v>
      </c>
      <c r="I11" s="7">
        <f>+Tabla14[[#This Row],[Aportacion patronal]]+Tabla14[[#This Row],[Aportacion Obrera]]</f>
        <v>6777.23</v>
      </c>
      <c r="J11" s="7">
        <f>+Tabla14[[#This Row],[Aportacion patronal]]</f>
        <v>5489.25</v>
      </c>
      <c r="K11" s="8">
        <f>+Tabla14[[#This Row],[Aportacion Obrera]]</f>
        <v>1287.98</v>
      </c>
      <c r="L11" s="7"/>
      <c r="M11" s="7">
        <f>+Tabla14[[#This Row],[SubTotal Patronal]]*0.5</f>
        <v>2744.625</v>
      </c>
      <c r="O11" s="7">
        <f>+Tabla14[[#This Row],[SubTotal Obrera]]*0.5</f>
        <v>643.99</v>
      </c>
      <c r="Q11" s="7">
        <f t="shared" si="0"/>
        <v>3388.6149999999998</v>
      </c>
    </row>
    <row r="12" spans="1:17">
      <c r="A12" s="5">
        <v>9</v>
      </c>
      <c r="B12" s="6" t="s">
        <v>67</v>
      </c>
      <c r="C12" s="7">
        <v>5489.25</v>
      </c>
      <c r="D12" s="7">
        <v>1287.98</v>
      </c>
      <c r="E12" s="7">
        <v>0</v>
      </c>
      <c r="F12" s="7">
        <v>0</v>
      </c>
      <c r="G12" s="7">
        <v>0</v>
      </c>
      <c r="H12" s="7">
        <v>0</v>
      </c>
      <c r="I12" s="7">
        <f>+Tabla14[[#This Row],[Aportacion patronal]]+Tabla14[[#This Row],[Aportacion Obrera]]</f>
        <v>6777.23</v>
      </c>
      <c r="J12" s="7">
        <f>+Tabla14[[#This Row],[Aportacion patronal]]</f>
        <v>5489.25</v>
      </c>
      <c r="K12" s="8">
        <f>+Tabla14[[#This Row],[Aportacion Obrera]]</f>
        <v>1287.98</v>
      </c>
      <c r="L12" s="7"/>
      <c r="M12" s="7">
        <f>+Tabla14[[#This Row],[SubTotal Patronal]]</f>
        <v>5489.25</v>
      </c>
      <c r="O12" s="7">
        <f>+Tabla14[[#This Row],[SubTotal Obrera]]</f>
        <v>1287.98</v>
      </c>
      <c r="Q12" s="7">
        <f t="shared" si="0"/>
        <v>6777.23</v>
      </c>
    </row>
    <row r="13" spans="1:17">
      <c r="A13" s="5">
        <v>10</v>
      </c>
      <c r="B13" s="6" t="s">
        <v>68</v>
      </c>
      <c r="C13" s="7">
        <f>2941.18+1683.65</f>
        <v>4624.83</v>
      </c>
      <c r="D13" s="7">
        <f>675.74+380.08</f>
        <v>1055.82</v>
      </c>
      <c r="E13" s="7">
        <v>0</v>
      </c>
      <c r="F13" s="7">
        <v>0</v>
      </c>
      <c r="G13" s="7">
        <v>0</v>
      </c>
      <c r="H13" s="7">
        <v>0</v>
      </c>
      <c r="I13" s="7">
        <f>+Tabla14[[#This Row],[Aportacion patronal]]+Tabla14[[#This Row],[Aportacion Obrera]]</f>
        <v>5680.65</v>
      </c>
      <c r="J13" s="7">
        <f>+Tabla14[[#This Row],[Aportacion patronal]]</f>
        <v>4624.83</v>
      </c>
      <c r="K13" s="8">
        <f>+Tabla14[[#This Row],[Aportacion Obrera]]</f>
        <v>1055.82</v>
      </c>
      <c r="L13" s="7"/>
      <c r="M13" s="7">
        <f>+Tabla14[[#This Row],[SubTotal Patronal]]</f>
        <v>4624.83</v>
      </c>
      <c r="O13" s="7">
        <f>+Tabla14[[#This Row],[SubTotal Obrera]]</f>
        <v>1055.82</v>
      </c>
      <c r="Q13" s="7">
        <f t="shared" si="0"/>
        <v>5680.65</v>
      </c>
    </row>
    <row r="14" spans="1:17">
      <c r="A14" s="5">
        <v>11</v>
      </c>
      <c r="B14" s="6" t="s">
        <v>69</v>
      </c>
      <c r="C14" s="7">
        <f>2156.08+1292.16</f>
        <v>3448.24</v>
      </c>
      <c r="D14" s="7">
        <f>464.88+274.93</f>
        <v>739.81</v>
      </c>
      <c r="E14" s="7">
        <v>0</v>
      </c>
      <c r="F14" s="7">
        <v>0</v>
      </c>
      <c r="G14" s="7">
        <v>0</v>
      </c>
      <c r="H14" s="7">
        <v>0</v>
      </c>
      <c r="I14" s="7">
        <f>+Tabla14[[#This Row],[Aportacion patronal]]+Tabla14[[#This Row],[Aportacion Obrera]]</f>
        <v>4188.0499999999993</v>
      </c>
      <c r="J14" s="7">
        <f>+Tabla14[[#This Row],[Aportacion patronal]]</f>
        <v>3448.24</v>
      </c>
      <c r="K14" s="8">
        <f>+Tabla14[[#This Row],[Aportacion Obrera]]</f>
        <v>739.81</v>
      </c>
      <c r="L14" s="7"/>
      <c r="M14" s="7">
        <f>+Tabla14[[#This Row],[SubTotal Patronal]]*0.5</f>
        <v>1724.12</v>
      </c>
      <c r="O14" s="7">
        <f>+Tabla14[[#This Row],[SubTotal Obrera]]*0.5</f>
        <v>369.90499999999997</v>
      </c>
      <c r="Q14" s="7">
        <f t="shared" si="0"/>
        <v>2094.0249999999996</v>
      </c>
    </row>
    <row r="15" spans="1:17">
      <c r="A15" s="5">
        <v>12</v>
      </c>
      <c r="B15" s="6" t="s">
        <v>70</v>
      </c>
      <c r="C15" s="7">
        <v>5290.78</v>
      </c>
      <c r="D15" s="7">
        <v>1234.68</v>
      </c>
      <c r="E15" s="7">
        <v>0</v>
      </c>
      <c r="F15" s="7">
        <v>0</v>
      </c>
      <c r="G15" s="7">
        <v>0</v>
      </c>
      <c r="H15" s="7">
        <v>0</v>
      </c>
      <c r="I15" s="7">
        <f>+Tabla14[[#This Row],[Aportacion patronal]]+Tabla14[[#This Row],[Aportacion Obrera]]</f>
        <v>6525.46</v>
      </c>
      <c r="J15" s="7">
        <f>+Tabla14[[#This Row],[Aportacion patronal]]</f>
        <v>5290.78</v>
      </c>
      <c r="K15" s="8">
        <f>+Tabla14[[#This Row],[Aportacion Obrera]]</f>
        <v>1234.68</v>
      </c>
      <c r="L15" s="7"/>
      <c r="M15" s="7">
        <f>+Tabla14[[#This Row],[SubTotal Patronal]]</f>
        <v>5290.78</v>
      </c>
      <c r="O15" s="7">
        <f>+Tabla14[[#This Row],[SubTotal Obrera]]</f>
        <v>1234.68</v>
      </c>
      <c r="Q15" s="7">
        <f t="shared" si="0"/>
        <v>6525.46</v>
      </c>
    </row>
    <row r="16" spans="1:17">
      <c r="A16" s="5">
        <v>13</v>
      </c>
      <c r="B16" s="6"/>
      <c r="C16" s="7"/>
      <c r="D16" s="7"/>
      <c r="E16" s="7"/>
      <c r="F16" s="7"/>
      <c r="G16" s="7"/>
      <c r="H16" s="7"/>
      <c r="I16" s="7">
        <f>+Tabla14[[#This Row],[Aportacion patronal]]+Tabla14[[#This Row],[Aportacion Obrera]]</f>
        <v>0</v>
      </c>
      <c r="J16" s="7">
        <f>+Tabla14[[#This Row],[Aportacion patronal]]</f>
        <v>0</v>
      </c>
      <c r="K16" s="7">
        <f>+Tabla14[[#This Row],[Aportacion Obrera]]</f>
        <v>0</v>
      </c>
      <c r="L16" s="7"/>
      <c r="M16" s="7"/>
      <c r="O16" s="7"/>
      <c r="Q16" s="7"/>
    </row>
    <row r="17" spans="1:17" ht="15" thickBot="1">
      <c r="A17" s="5" t="s">
        <v>29</v>
      </c>
      <c r="B17" s="6"/>
      <c r="C17" s="23">
        <f>SUBTOTAL(109,Tabla14[Aportacion patronal])</f>
        <v>55932.919999999991</v>
      </c>
      <c r="D17" s="23">
        <f>SUBTOTAL(109,Tabla14[Aportacion Obrera])</f>
        <v>12786.639999999998</v>
      </c>
      <c r="E17" s="23">
        <f>SUBTOTAL(109,Tabla14[Retiro])</f>
        <v>0</v>
      </c>
      <c r="F17" s="23">
        <f>SUBTOTAL(109,Tabla14[Cesantía y Vejez patronal])</f>
        <v>0</v>
      </c>
      <c r="G17" s="23">
        <f>SUBTOTAL(109,Tabla14[Cesantía y Vejez obrera])</f>
        <v>0</v>
      </c>
      <c r="H17" s="23">
        <f>SUBTOTAL(109,Tabla14[Infonavit])</f>
        <v>0</v>
      </c>
      <c r="I17" s="23">
        <f>SUBTOTAL(109,Tabla14[SubTotal])</f>
        <v>68719.56</v>
      </c>
      <c r="J17" s="23">
        <f>SUBTOTAL(109,Tabla14[SubTotal Patronal])</f>
        <v>55932.919999999991</v>
      </c>
      <c r="K17" s="23">
        <f>SUBTOTAL(109,Tabla14[SubTotal Obrera])</f>
        <v>12786.639999999998</v>
      </c>
      <c r="L17" s="7"/>
      <c r="M17" s="10">
        <f>SUM(M4:M15)</f>
        <v>48445.087500000001</v>
      </c>
      <c r="O17" s="10">
        <f>SUM(O4:O15)</f>
        <v>11064.356</v>
      </c>
      <c r="Q17" s="10">
        <f>SUM(Q4:Q15)</f>
        <v>59509.443500000001</v>
      </c>
    </row>
    <row r="18" spans="1:17" ht="15" thickTop="1">
      <c r="C18" s="11"/>
      <c r="D18" s="11"/>
      <c r="E18" s="11"/>
      <c r="F18" s="11"/>
      <c r="G18" s="11"/>
      <c r="H18" s="11"/>
      <c r="I18" s="11"/>
      <c r="J18" s="11"/>
      <c r="K18" s="11"/>
      <c r="M18" s="12"/>
      <c r="N18" s="13"/>
      <c r="Q18" s="12"/>
    </row>
    <row r="22" spans="1:17">
      <c r="B22" s="14" t="s">
        <v>31</v>
      </c>
      <c r="C22" s="20"/>
      <c r="D22" s="11"/>
      <c r="E22" s="11"/>
    </row>
    <row r="23" spans="1:17" ht="43.15">
      <c r="B23" s="28" t="s">
        <v>32</v>
      </c>
      <c r="C23" s="27" t="s">
        <v>33</v>
      </c>
      <c r="D23" s="27" t="s">
        <v>34</v>
      </c>
      <c r="E23" s="27" t="s">
        <v>35</v>
      </c>
      <c r="F23" s="27" t="s">
        <v>36</v>
      </c>
      <c r="G23" s="27" t="s">
        <v>37</v>
      </c>
      <c r="H23" s="27" t="s">
        <v>38</v>
      </c>
      <c r="J23" s="18" t="s">
        <v>39</v>
      </c>
    </row>
    <row r="24" spans="1:17">
      <c r="B24" t="s">
        <v>40</v>
      </c>
      <c r="C24" s="21">
        <v>70015</v>
      </c>
      <c r="D24" s="15" t="s">
        <v>79</v>
      </c>
      <c r="E24" s="33">
        <v>59509.440000000002</v>
      </c>
      <c r="F24" s="34"/>
      <c r="G24" s="34">
        <v>3232.94</v>
      </c>
      <c r="H24" s="34"/>
      <c r="J24">
        <v>18.41</v>
      </c>
    </row>
    <row r="25" spans="1:17">
      <c r="B25">
        <v>99999</v>
      </c>
      <c r="C25" s="21" t="s">
        <v>42</v>
      </c>
      <c r="D25" s="15" t="s">
        <v>79</v>
      </c>
      <c r="E25" s="33"/>
      <c r="F25" s="34">
        <v>59509.440000000002</v>
      </c>
      <c r="G25" s="34"/>
      <c r="H25" s="34">
        <v>3232.94</v>
      </c>
      <c r="J25">
        <v>18.41</v>
      </c>
    </row>
    <row r="26" spans="1:17">
      <c r="C26" s="21"/>
      <c r="D26" s="15"/>
      <c r="E26" s="33"/>
      <c r="F26" s="34"/>
      <c r="G26" s="34"/>
      <c r="H26" s="34"/>
    </row>
    <row r="27" spans="1:17">
      <c r="B27" s="14" t="s">
        <v>43</v>
      </c>
      <c r="C27" s="21"/>
      <c r="D27" s="15"/>
      <c r="E27" s="33"/>
      <c r="F27" s="34"/>
      <c r="G27" s="34"/>
      <c r="H27" s="34"/>
    </row>
    <row r="28" spans="1:17">
      <c r="B28" t="s">
        <v>44</v>
      </c>
      <c r="C28" s="21">
        <v>70015</v>
      </c>
      <c r="D28" s="15" t="s">
        <v>79</v>
      </c>
      <c r="E28" s="33">
        <v>48445.09</v>
      </c>
      <c r="F28" s="34"/>
      <c r="G28" s="34">
        <f>+E28/J25</f>
        <v>2631.4551873981532</v>
      </c>
      <c r="H28" s="34"/>
      <c r="J28">
        <v>18.41</v>
      </c>
    </row>
    <row r="29" spans="1:17">
      <c r="C29" s="21"/>
      <c r="D29" s="15"/>
      <c r="E29" s="33"/>
      <c r="F29" s="34"/>
      <c r="G29" s="34"/>
      <c r="H29" s="34"/>
    </row>
    <row r="30" spans="1:17">
      <c r="C30" s="21"/>
      <c r="D30" s="15"/>
      <c r="E30" s="33"/>
      <c r="F30" s="34"/>
      <c r="G30" s="34"/>
      <c r="H30" s="34"/>
    </row>
    <row r="31" spans="1:17">
      <c r="B31" s="14" t="s">
        <v>45</v>
      </c>
      <c r="C31" s="21"/>
      <c r="D31" s="15"/>
      <c r="E31" s="33"/>
      <c r="F31" s="34"/>
      <c r="G31" s="34"/>
      <c r="H31" s="34"/>
    </row>
    <row r="32" spans="1:17">
      <c r="B32" t="s">
        <v>44</v>
      </c>
      <c r="C32" s="21">
        <v>70015</v>
      </c>
      <c r="D32" s="15" t="s">
        <v>79</v>
      </c>
      <c r="E32" s="34"/>
      <c r="F32" s="34">
        <f>+E24-E28</f>
        <v>11064.350000000006</v>
      </c>
      <c r="G32" s="33"/>
      <c r="H32" s="34">
        <f>+F32/J32</f>
        <v>600.99674090168423</v>
      </c>
      <c r="J32">
        <v>18.41</v>
      </c>
    </row>
    <row r="33" spans="2:10">
      <c r="B33">
        <v>99999</v>
      </c>
      <c r="C33" s="21" t="s">
        <v>42</v>
      </c>
      <c r="D33" s="15" t="s">
        <v>79</v>
      </c>
      <c r="E33" s="34">
        <f>+E24-E28</f>
        <v>11064.350000000006</v>
      </c>
      <c r="F33" s="34"/>
      <c r="G33" s="33">
        <f>+E33/J33</f>
        <v>600.99674090168423</v>
      </c>
      <c r="H33" s="34"/>
      <c r="J33">
        <v>18.41</v>
      </c>
    </row>
    <row r="34" spans="2:10">
      <c r="C34" s="11"/>
      <c r="D34" s="11"/>
      <c r="E34" s="11"/>
      <c r="F34" s="11"/>
      <c r="G34" s="11"/>
      <c r="H34" s="11"/>
      <c r="I34" s="11"/>
      <c r="J34" s="11"/>
    </row>
    <row r="37" spans="2:10">
      <c r="B37" s="14" t="s">
        <v>31</v>
      </c>
    </row>
    <row r="38" spans="2:10">
      <c r="B38">
        <v>99999</v>
      </c>
      <c r="C38">
        <v>20212</v>
      </c>
      <c r="D38" s="15" t="s">
        <v>76</v>
      </c>
      <c r="E38">
        <v>198599.33</v>
      </c>
      <c r="G38">
        <v>10789.22</v>
      </c>
      <c r="J38">
        <v>18.414100000000001</v>
      </c>
    </row>
    <row r="41" spans="2:10">
      <c r="B41" s="14" t="s">
        <v>80</v>
      </c>
    </row>
  </sheetData>
  <mergeCells count="1">
    <mergeCell ref="A2:K2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AC3BB-DD0F-40BC-8E5D-4C0B1627B72D}">
  <dimension ref="A2:U41"/>
  <sheetViews>
    <sheetView topLeftCell="A18" workbookViewId="0">
      <selection activeCell="B41" sqref="B41"/>
    </sheetView>
  </sheetViews>
  <sheetFormatPr defaultColWidth="11.42578125" defaultRowHeight="14.45"/>
  <cols>
    <col min="2" max="2" width="15.28515625" customWidth="1"/>
    <col min="3" max="3" width="15.42578125" customWidth="1"/>
    <col min="4" max="4" width="67.140625" customWidth="1"/>
  </cols>
  <sheetData>
    <row r="2" spans="1:21" ht="15" thickBot="1">
      <c r="C2" s="11"/>
      <c r="D2" s="11"/>
      <c r="E2" s="11"/>
      <c r="F2" s="11"/>
      <c r="G2" s="11"/>
      <c r="H2" s="11"/>
      <c r="I2" s="11"/>
      <c r="J2" s="11"/>
      <c r="K2" s="11"/>
      <c r="S2" s="46"/>
      <c r="T2" s="47"/>
      <c r="U2" s="47"/>
    </row>
    <row r="3" spans="1:21" ht="15.6" thickTop="1" thickBot="1">
      <c r="C3" s="11"/>
      <c r="D3" s="11"/>
      <c r="E3" s="11"/>
      <c r="F3" s="11"/>
      <c r="G3" s="11"/>
      <c r="H3" s="11"/>
      <c r="I3" s="11"/>
      <c r="J3" s="11"/>
      <c r="K3" s="11"/>
      <c r="S3" s="36"/>
      <c r="T3" s="37"/>
    </row>
    <row r="4" spans="1:21" ht="73.150000000000006" thickTop="1" thickBot="1">
      <c r="A4" s="50" t="s">
        <v>81</v>
      </c>
      <c r="B4" s="51"/>
      <c r="C4" s="51"/>
      <c r="D4" s="51"/>
      <c r="E4" s="51"/>
      <c r="F4" s="51"/>
      <c r="G4" s="51"/>
      <c r="H4" s="51"/>
      <c r="I4" s="51"/>
      <c r="J4" s="51"/>
      <c r="K4" s="52"/>
      <c r="M4" s="1" t="s">
        <v>47</v>
      </c>
      <c r="O4" s="1" t="s">
        <v>48</v>
      </c>
      <c r="Q4" s="35" t="s">
        <v>3</v>
      </c>
      <c r="S4" s="30"/>
      <c r="T4" s="1"/>
      <c r="U4" s="2"/>
    </row>
    <row r="5" spans="1:21" ht="43.9" thickBot="1">
      <c r="A5" s="3" t="s">
        <v>4</v>
      </c>
      <c r="B5" s="3" t="s">
        <v>49</v>
      </c>
      <c r="C5" s="4" t="s">
        <v>6</v>
      </c>
      <c r="D5" s="4" t="s">
        <v>7</v>
      </c>
      <c r="E5" s="4" t="s">
        <v>50</v>
      </c>
      <c r="F5" s="4" t="s">
        <v>51</v>
      </c>
      <c r="G5" s="4" t="s">
        <v>52</v>
      </c>
      <c r="H5" s="4" t="s">
        <v>53</v>
      </c>
      <c r="I5" s="4" t="s">
        <v>8</v>
      </c>
      <c r="J5" s="4" t="s">
        <v>54</v>
      </c>
      <c r="K5" s="4" t="s">
        <v>55</v>
      </c>
      <c r="M5" s="1" t="s">
        <v>10</v>
      </c>
      <c r="O5" s="1" t="s">
        <v>10</v>
      </c>
      <c r="Q5" s="1" t="s">
        <v>10</v>
      </c>
      <c r="S5" s="1"/>
      <c r="T5" s="1"/>
      <c r="U5" s="1"/>
    </row>
    <row r="6" spans="1:21" ht="15" thickTop="1">
      <c r="A6" s="5">
        <v>1</v>
      </c>
      <c r="B6" s="6" t="s">
        <v>15</v>
      </c>
      <c r="C6" s="7">
        <v>5312.18</v>
      </c>
      <c r="D6" s="7">
        <v>1246.43</v>
      </c>
      <c r="E6" s="7">
        <v>3164.07</v>
      </c>
      <c r="F6" s="7">
        <v>6709.41</v>
      </c>
      <c r="G6" s="7">
        <v>1779.79</v>
      </c>
      <c r="H6" s="7">
        <v>7910.18</v>
      </c>
      <c r="I6" s="7">
        <f>SUM(Tabla19[[#This Row],[Aportacion patronal]:[Infonavit]])</f>
        <v>26122.06</v>
      </c>
      <c r="J6" s="7">
        <f>Tabla19[[#This Row],[Aportacion patronal]]+Tabla19[[#This Row],[Retiro]]+Tabla19[[#This Row],[Cesantía y Vejez patronal]]+Tabla19[[#This Row],[Infonavit]]</f>
        <v>23095.84</v>
      </c>
      <c r="K6" s="8">
        <f>+Tabla19[[#This Row],[Aportacion Obrera]]+Tabla19[[#This Row],[Cesantía y Vejez obrera]]</f>
        <v>3026.2200000000003</v>
      </c>
      <c r="L6" s="7"/>
      <c r="M6" s="7">
        <f>+Tabla19[[#This Row],[SubTotal Patronal]]</f>
        <v>23095.84</v>
      </c>
      <c r="O6" s="31">
        <f>+Tabla19[[#This Row],[SubTotal Obrera]]</f>
        <v>3026.2200000000003</v>
      </c>
      <c r="Q6" s="7">
        <f t="shared" ref="Q6:Q18" si="0">+M6+O6</f>
        <v>26122.06</v>
      </c>
      <c r="S6" s="13"/>
      <c r="T6" s="13"/>
      <c r="U6" s="13"/>
    </row>
    <row r="7" spans="1:21">
      <c r="A7" s="5">
        <v>2</v>
      </c>
      <c r="B7" s="6" t="s">
        <v>61</v>
      </c>
      <c r="C7" s="7">
        <v>4141.38</v>
      </c>
      <c r="D7" s="7">
        <v>931.98</v>
      </c>
      <c r="E7" s="7">
        <v>2492.6999999999998</v>
      </c>
      <c r="F7" s="7">
        <v>5285.76</v>
      </c>
      <c r="G7" s="7">
        <v>1402.1399999999999</v>
      </c>
      <c r="H7" s="7">
        <f>2119.39+4112.35</f>
        <v>6231.74</v>
      </c>
      <c r="I7" s="7">
        <f>SUM(Tabla19[[#This Row],[Aportacion patronal]:[Infonavit]])</f>
        <v>20485.699999999997</v>
      </c>
      <c r="J7" s="7">
        <f>Tabla19[[#This Row],[Aportacion patronal]]+Tabla19[[#This Row],[Retiro]]+Tabla19[[#This Row],[Cesantía y Vejez patronal]]+Tabla19[[#This Row],[Infonavit]]</f>
        <v>18151.580000000002</v>
      </c>
      <c r="K7" s="8">
        <f>+Tabla19[[#This Row],[Aportacion Obrera]]+Tabla19[[#This Row],[Cesantía y Vejez obrera]]</f>
        <v>2334.12</v>
      </c>
      <c r="L7" s="7"/>
      <c r="M7" s="7">
        <f>+Tabla19[[#This Row],[SubTotal Patronal]]</f>
        <v>18151.580000000002</v>
      </c>
      <c r="O7" s="7">
        <f>+Tabla19[[#This Row],[SubTotal Obrera]]</f>
        <v>2334.12</v>
      </c>
      <c r="Q7" s="7">
        <f t="shared" si="0"/>
        <v>20485.7</v>
      </c>
      <c r="S7" s="13"/>
      <c r="T7" s="13"/>
      <c r="U7" s="13"/>
    </row>
    <row r="8" spans="1:21">
      <c r="A8" s="5">
        <v>3</v>
      </c>
      <c r="B8" s="6" t="s">
        <v>62</v>
      </c>
      <c r="C8" s="7">
        <v>4026.93</v>
      </c>
      <c r="D8" s="7">
        <v>901.25</v>
      </c>
      <c r="E8" s="7">
        <v>2313.3200000000002</v>
      </c>
      <c r="F8" s="7">
        <v>4905.38</v>
      </c>
      <c r="G8" s="7">
        <v>1301.24</v>
      </c>
      <c r="H8" s="7">
        <v>5783.29</v>
      </c>
      <c r="I8" s="7">
        <f>SUM(Tabla19[[#This Row],[Aportacion patronal]:[Infonavit]])</f>
        <v>19231.41</v>
      </c>
      <c r="J8" s="7">
        <f>Tabla19[[#This Row],[Aportacion patronal]]+Tabla19[[#This Row],[Retiro]]+Tabla19[[#This Row],[Cesantía y Vejez patronal]]+Tabla19[[#This Row],[Infonavit]]</f>
        <v>17028.920000000002</v>
      </c>
      <c r="K8" s="8">
        <f>+Tabla19[[#This Row],[Aportacion Obrera]]+Tabla19[[#This Row],[Cesantía y Vejez obrera]]</f>
        <v>2202.4899999999998</v>
      </c>
      <c r="L8" s="7"/>
      <c r="M8" s="7">
        <f>+Tabla19[[#This Row],[SubTotal Patronal]]</f>
        <v>17028.920000000002</v>
      </c>
      <c r="O8" s="7">
        <f>+Tabla19[[#This Row],[SubTotal Obrera]]</f>
        <v>2202.4899999999998</v>
      </c>
      <c r="Q8" s="7">
        <f t="shared" si="0"/>
        <v>19231.410000000003</v>
      </c>
      <c r="S8" s="13"/>
      <c r="T8" s="13"/>
      <c r="U8" s="13"/>
    </row>
    <row r="9" spans="1:21">
      <c r="A9" s="5">
        <v>4</v>
      </c>
      <c r="B9" s="6" t="s">
        <v>63</v>
      </c>
      <c r="C9" s="7">
        <v>4182.1899999999996</v>
      </c>
      <c r="D9" s="7">
        <v>942.96</v>
      </c>
      <c r="E9" s="7">
        <v>2416.09</v>
      </c>
      <c r="F9" s="7">
        <v>5123.3100000000004</v>
      </c>
      <c r="G9" s="7">
        <v>1359.05</v>
      </c>
      <c r="H9" s="7">
        <v>6040.22</v>
      </c>
      <c r="I9" s="7">
        <f>SUM(Tabla19[[#This Row],[Aportacion patronal]:[Infonavit]])</f>
        <v>20063.82</v>
      </c>
      <c r="J9" s="7">
        <f>Tabla19[[#This Row],[Aportacion patronal]]+Tabla19[[#This Row],[Retiro]]+Tabla19[[#This Row],[Cesantía y Vejez patronal]]+Tabla19[[#This Row],[Infonavit]]</f>
        <v>17761.810000000001</v>
      </c>
      <c r="K9" s="8">
        <f>+Tabla19[[#This Row],[Aportacion Obrera]]+Tabla19[[#This Row],[Cesantía y Vejez obrera]]</f>
        <v>2302.0100000000002</v>
      </c>
      <c r="L9" s="7"/>
      <c r="M9" s="7">
        <f>+Tabla19[[#This Row],[SubTotal Patronal]]</f>
        <v>17761.810000000001</v>
      </c>
      <c r="O9" s="7">
        <f>+Tabla19[[#This Row],[SubTotal Obrera]]</f>
        <v>2302.0100000000002</v>
      </c>
      <c r="Q9" s="7">
        <f t="shared" si="0"/>
        <v>20063.82</v>
      </c>
      <c r="S9" s="13"/>
      <c r="T9" s="13"/>
      <c r="U9" s="13"/>
    </row>
    <row r="10" spans="1:21">
      <c r="A10" s="5">
        <v>5</v>
      </c>
      <c r="B10" s="6" t="s">
        <v>64</v>
      </c>
      <c r="C10" s="7">
        <v>4141.38</v>
      </c>
      <c r="D10" s="7">
        <v>931.98</v>
      </c>
      <c r="E10" s="7">
        <v>2492.6999999999998</v>
      </c>
      <c r="F10" s="7">
        <v>5285.76</v>
      </c>
      <c r="G10" s="7">
        <v>1402.1399999999999</v>
      </c>
      <c r="H10" s="7">
        <v>6231.74</v>
      </c>
      <c r="I10" s="7">
        <f>SUM(Tabla19[[#This Row],[Aportacion patronal]:[Infonavit]])</f>
        <v>20485.699999999997</v>
      </c>
      <c r="J10" s="7">
        <f>Tabla19[[#This Row],[Aportacion patronal]]+Tabla19[[#This Row],[Retiro]]+Tabla19[[#This Row],[Cesantía y Vejez patronal]]+Tabla19[[#This Row],[Infonavit]]</f>
        <v>18151.580000000002</v>
      </c>
      <c r="K10" s="8">
        <f>+Tabla19[[#This Row],[Aportacion Obrera]]+Tabla19[[#This Row],[Cesantía y Vejez obrera]]</f>
        <v>2334.12</v>
      </c>
      <c r="L10" s="7"/>
      <c r="M10" s="7">
        <f>+Tabla19[[#This Row],[SubTotal Patronal]]</f>
        <v>18151.580000000002</v>
      </c>
      <c r="O10" s="7">
        <f>+Tabla19[[#This Row],[SubTotal Obrera]]</f>
        <v>2334.12</v>
      </c>
      <c r="Q10" s="7">
        <f t="shared" si="0"/>
        <v>20485.7</v>
      </c>
      <c r="S10" s="13"/>
      <c r="T10" s="13"/>
      <c r="U10" s="13"/>
    </row>
    <row r="11" spans="1:21">
      <c r="A11" s="5">
        <v>6</v>
      </c>
      <c r="B11" s="6" t="s">
        <v>82</v>
      </c>
      <c r="C11" s="7">
        <v>5312.18</v>
      </c>
      <c r="D11" s="7">
        <v>1246.43</v>
      </c>
      <c r="E11" s="7">
        <v>1556.1</v>
      </c>
      <c r="F11" s="7">
        <v>3299.71</v>
      </c>
      <c r="G11" s="7">
        <v>875.31</v>
      </c>
      <c r="H11" s="7">
        <v>3890.25</v>
      </c>
      <c r="I11" s="7">
        <f>SUM(Tabla19[[#This Row],[Aportacion patronal]:[Infonavit]])</f>
        <v>16179.980000000001</v>
      </c>
      <c r="J11" s="7">
        <f>Tabla19[[#This Row],[Aportacion patronal]]+Tabla19[[#This Row],[Retiro]]+Tabla19[[#This Row],[Cesantía y Vejez patronal]]+Tabla19[[#This Row],[Infonavit]]</f>
        <v>14058.240000000002</v>
      </c>
      <c r="K11" s="8">
        <f>+Tabla19[[#This Row],[Aportacion Obrera]]+Tabla19[[#This Row],[Cesantía y Vejez obrera]]</f>
        <v>2121.7399999999998</v>
      </c>
      <c r="L11" s="7"/>
      <c r="M11" s="7">
        <f>+Tabla19[[#This Row],[SubTotal Patronal]]*0.45</f>
        <v>6326.2080000000005</v>
      </c>
      <c r="O11" s="7">
        <f>+Tabla19[[#This Row],[SubTotal Obrera]]*0.45</f>
        <v>954.7829999999999</v>
      </c>
      <c r="Q11" s="7">
        <f t="shared" si="0"/>
        <v>7280.991</v>
      </c>
      <c r="S11" s="13"/>
      <c r="T11" s="13"/>
      <c r="U11" s="13"/>
    </row>
    <row r="12" spans="1:21">
      <c r="A12" s="5">
        <v>7</v>
      </c>
      <c r="B12" s="6" t="s">
        <v>65</v>
      </c>
      <c r="C12" s="7">
        <v>5312.18</v>
      </c>
      <c r="D12" s="7">
        <v>1246.43</v>
      </c>
      <c r="E12" s="7">
        <v>3164.07</v>
      </c>
      <c r="F12" s="7">
        <v>6709.41</v>
      </c>
      <c r="G12" s="7">
        <v>1779.79</v>
      </c>
      <c r="H12" s="7">
        <v>7910.18</v>
      </c>
      <c r="I12" s="7">
        <f>SUM(Tabla19[[#This Row],[Aportacion patronal]:[Infonavit]])</f>
        <v>26122.06</v>
      </c>
      <c r="J12" s="7">
        <f>Tabla19[[#This Row],[Aportacion patronal]]+Tabla19[[#This Row],[Retiro]]+Tabla19[[#This Row],[Cesantía y Vejez patronal]]+Tabla19[[#This Row],[Infonavit]]</f>
        <v>23095.84</v>
      </c>
      <c r="K12" s="8">
        <f>+Tabla19[[#This Row],[Aportacion Obrera]]+Tabla19[[#This Row],[Cesantía y Vejez obrera]]</f>
        <v>3026.2200000000003</v>
      </c>
      <c r="L12" s="7"/>
      <c r="M12" s="7">
        <f>+Tabla19[[#This Row],[SubTotal Patronal]]*0.45</f>
        <v>10393.128000000001</v>
      </c>
      <c r="O12" s="7">
        <f>+Tabla19[[#This Row],[SubTotal Obrera]]*0.45</f>
        <v>1361.7990000000002</v>
      </c>
      <c r="Q12" s="7">
        <f t="shared" si="0"/>
        <v>11754.927000000001</v>
      </c>
      <c r="S12" s="13"/>
      <c r="T12" s="13"/>
      <c r="U12" s="13"/>
    </row>
    <row r="13" spans="1:21">
      <c r="A13" s="5">
        <v>8</v>
      </c>
      <c r="B13" s="6" t="s">
        <v>66</v>
      </c>
      <c r="C13" s="7">
        <v>2839.2</v>
      </c>
      <c r="D13" s="7">
        <v>582.26</v>
      </c>
      <c r="E13" s="7">
        <v>1527.11</v>
      </c>
      <c r="F13" s="7">
        <v>3238.24</v>
      </c>
      <c r="G13" s="7">
        <v>859</v>
      </c>
      <c r="H13" s="7">
        <v>3817.78</v>
      </c>
      <c r="I13" s="7">
        <f>SUM(Tabla19[[#This Row],[Aportacion patronal]:[Infonavit]])</f>
        <v>12863.59</v>
      </c>
      <c r="J13" s="7">
        <f>Tabla19[[#This Row],[Aportacion patronal]]+Tabla19[[#This Row],[Retiro]]+Tabla19[[#This Row],[Cesantía y Vejez patronal]]+Tabla19[[#This Row],[Infonavit]]</f>
        <v>11422.33</v>
      </c>
      <c r="K13" s="8">
        <f>+Tabla19[[#This Row],[Aportacion Obrera]]+Tabla19[[#This Row],[Cesantía y Vejez obrera]]</f>
        <v>1441.26</v>
      </c>
      <c r="L13" s="7"/>
      <c r="M13" s="7">
        <f>+Tabla19[[#This Row],[SubTotal Patronal]]</f>
        <v>11422.33</v>
      </c>
      <c r="O13" s="7">
        <f>+Tabla19[[#This Row],[SubTotal Obrera]]</f>
        <v>1441.26</v>
      </c>
      <c r="Q13" s="7">
        <f t="shared" si="0"/>
        <v>12863.59</v>
      </c>
      <c r="S13" s="13"/>
      <c r="T13" s="13"/>
      <c r="U13" s="13"/>
    </row>
    <row r="14" spans="1:21">
      <c r="A14" s="5">
        <v>9</v>
      </c>
      <c r="B14" s="6" t="s">
        <v>74</v>
      </c>
      <c r="C14" s="7">
        <v>5312.18</v>
      </c>
      <c r="D14" s="7">
        <v>1246.43</v>
      </c>
      <c r="E14" s="7">
        <v>3164.07</v>
      </c>
      <c r="F14" s="7">
        <v>6709.41</v>
      </c>
      <c r="G14" s="7">
        <v>1779.79</v>
      </c>
      <c r="H14" s="7">
        <v>7910.18</v>
      </c>
      <c r="I14" s="7">
        <f>SUM(Tabla19[[#This Row],[Aportacion patronal]:[Infonavit]])</f>
        <v>26122.06</v>
      </c>
      <c r="J14" s="7">
        <f>Tabla19[[#This Row],[Aportacion patronal]]+Tabla19[[#This Row],[Retiro]]+Tabla19[[#This Row],[Cesantía y Vejez patronal]]+Tabla19[[#This Row],[Infonavit]]</f>
        <v>23095.84</v>
      </c>
      <c r="K14" s="8">
        <f>+Tabla19[[#This Row],[Aportacion Obrera]]+Tabla19[[#This Row],[Cesantía y Vejez obrera]]</f>
        <v>3026.2200000000003</v>
      </c>
      <c r="L14" s="7"/>
      <c r="M14" s="7">
        <f>+Tabla19[[#This Row],[SubTotal Patronal]]*0.5</f>
        <v>11547.92</v>
      </c>
      <c r="O14" s="7">
        <f>+Tabla19[[#This Row],[SubTotal Obrera]]*0.5</f>
        <v>1513.1100000000001</v>
      </c>
      <c r="Q14" s="7">
        <f t="shared" si="0"/>
        <v>13061.03</v>
      </c>
      <c r="S14" s="13"/>
      <c r="T14" s="13"/>
      <c r="U14" s="13"/>
    </row>
    <row r="15" spans="1:21">
      <c r="A15" s="5">
        <v>10</v>
      </c>
      <c r="B15" s="6" t="s">
        <v>67</v>
      </c>
      <c r="C15" s="7">
        <v>5312.18</v>
      </c>
      <c r="D15" s="7">
        <v>1246.43</v>
      </c>
      <c r="E15" s="7">
        <v>3164.07</v>
      </c>
      <c r="F15" s="7">
        <v>6709.41</v>
      </c>
      <c r="G15" s="7">
        <v>1779.79</v>
      </c>
      <c r="H15" s="7">
        <v>7910.18</v>
      </c>
      <c r="I15" s="7">
        <f>SUM(Tabla19[[#This Row],[Aportacion patronal]:[Infonavit]])</f>
        <v>26122.06</v>
      </c>
      <c r="J15" s="7">
        <f>Tabla19[[#This Row],[Aportacion patronal]]+Tabla19[[#This Row],[Retiro]]+Tabla19[[#This Row],[Cesantía y Vejez patronal]]+Tabla19[[#This Row],[Infonavit]]</f>
        <v>23095.84</v>
      </c>
      <c r="K15" s="8">
        <f>+Tabla19[[#This Row],[Aportacion Obrera]]+Tabla19[[#This Row],[Cesantía y Vejez obrera]]</f>
        <v>3026.2200000000003</v>
      </c>
      <c r="L15" s="7"/>
      <c r="M15" s="7">
        <f>+Tabla19[[#This Row],[SubTotal Patronal]]</f>
        <v>23095.84</v>
      </c>
      <c r="O15" s="7">
        <f>+Tabla19[[#This Row],[SubTotal Obrera]]</f>
        <v>3026.2200000000003</v>
      </c>
      <c r="Q15" s="7">
        <f t="shared" si="0"/>
        <v>26122.06</v>
      </c>
      <c r="S15" s="13"/>
      <c r="T15" s="13"/>
      <c r="U15" s="13"/>
    </row>
    <row r="16" spans="1:21">
      <c r="A16" s="5">
        <v>11</v>
      </c>
      <c r="B16" s="6" t="s">
        <v>68</v>
      </c>
      <c r="C16" s="7">
        <v>4209.1099999999997</v>
      </c>
      <c r="D16" s="7">
        <v>950.18</v>
      </c>
      <c r="E16" s="7">
        <v>2523.56</v>
      </c>
      <c r="F16" s="7">
        <v>5351.2000000000007</v>
      </c>
      <c r="G16" s="7">
        <v>1419.5</v>
      </c>
      <c r="H16" s="7">
        <v>6308.8899999999994</v>
      </c>
      <c r="I16" s="7">
        <f>SUM(Tabla19[[#This Row],[Aportacion patronal]:[Infonavit]])</f>
        <v>20762.440000000002</v>
      </c>
      <c r="J16" s="7">
        <f>Tabla19[[#This Row],[Aportacion patronal]]+Tabla19[[#This Row],[Retiro]]+Tabla19[[#This Row],[Cesantía y Vejez patronal]]+Tabla19[[#This Row],[Infonavit]]</f>
        <v>18392.760000000002</v>
      </c>
      <c r="K16" s="8">
        <f>+Tabla19[[#This Row],[Aportacion Obrera]]+Tabla19[[#This Row],[Cesantía y Vejez obrera]]</f>
        <v>2369.6799999999998</v>
      </c>
      <c r="L16" s="7"/>
      <c r="M16" s="7">
        <f>+Tabla19[[#This Row],[SubTotal Patronal]]</f>
        <v>18392.760000000002</v>
      </c>
      <c r="O16" s="7">
        <f>+Tabla19[[#This Row],[SubTotal Obrera]]</f>
        <v>2369.6799999999998</v>
      </c>
      <c r="Q16" s="7">
        <f t="shared" si="0"/>
        <v>20762.440000000002</v>
      </c>
      <c r="S16" s="13"/>
      <c r="T16" s="13"/>
      <c r="U16" s="13"/>
    </row>
    <row r="17" spans="1:21">
      <c r="A17" s="5">
        <v>12</v>
      </c>
      <c r="B17" s="6" t="s">
        <v>69</v>
      </c>
      <c r="C17" s="7">
        <v>3230.39</v>
      </c>
      <c r="D17" s="7">
        <v>687.33</v>
      </c>
      <c r="E17" s="7">
        <v>1821.9099999999999</v>
      </c>
      <c r="F17" s="7">
        <v>3863.37</v>
      </c>
      <c r="G17" s="7">
        <v>1024.83</v>
      </c>
      <c r="H17" s="7">
        <v>4554.79</v>
      </c>
      <c r="I17" s="7">
        <f>SUM(Tabla19[[#This Row],[Aportacion patronal]:[Infonavit]])</f>
        <v>15182.619999999999</v>
      </c>
      <c r="J17" s="7">
        <f>Tabla19[[#This Row],[Aportacion patronal]]+Tabla19[[#This Row],[Retiro]]+Tabla19[[#This Row],[Cesantía y Vejez patronal]]+Tabla19[[#This Row],[Infonavit]]</f>
        <v>13470.46</v>
      </c>
      <c r="K17" s="7">
        <f>+Tabla19[[#This Row],[Aportacion Obrera]]+Tabla19[[#This Row],[Cesantía y Vejez obrera]]</f>
        <v>1712.1599999999999</v>
      </c>
      <c r="L17" s="7"/>
      <c r="M17" s="7">
        <f>+Tabla19[[#This Row],[SubTotal Patronal]]*0.5</f>
        <v>6735.23</v>
      </c>
      <c r="O17" s="7">
        <f>+Tabla19[[#This Row],[SubTotal Obrera]]*0.5</f>
        <v>856.07999999999993</v>
      </c>
      <c r="Q17" s="7">
        <f t="shared" si="0"/>
        <v>7591.3099999999995</v>
      </c>
      <c r="S17" s="13"/>
      <c r="T17" s="13"/>
      <c r="U17" s="13"/>
    </row>
    <row r="18" spans="1:21">
      <c r="A18" s="5">
        <v>13</v>
      </c>
      <c r="B18" s="6" t="s">
        <v>70</v>
      </c>
      <c r="C18" s="7">
        <v>5120.12</v>
      </c>
      <c r="D18" s="7">
        <v>1194.8599999999999</v>
      </c>
      <c r="E18" s="7">
        <v>3036.93</v>
      </c>
      <c r="F18" s="7">
        <v>6439.82</v>
      </c>
      <c r="G18" s="7">
        <v>1708.28</v>
      </c>
      <c r="H18" s="7">
        <v>7592.33</v>
      </c>
      <c r="I18" s="7">
        <f>SUM(Tabla19[[#This Row],[Aportacion patronal]:[Infonavit]])</f>
        <v>25092.339999999997</v>
      </c>
      <c r="J18" s="7">
        <f>Tabla19[[#This Row],[Aportacion patronal]]+Tabla19[[#This Row],[Retiro]]+Tabla19[[#This Row],[Cesantía y Vejez patronal]]+Tabla19[[#This Row],[Infonavit]]</f>
        <v>22189.199999999997</v>
      </c>
      <c r="K18" s="7">
        <f>+Tabla19[[#This Row],[Aportacion Obrera]]+Tabla19[[#This Row],[Cesantía y Vejez obrera]]</f>
        <v>2903.14</v>
      </c>
      <c r="L18" s="7"/>
      <c r="M18" s="7">
        <f>+Tabla19[[#This Row],[SubTotal Patronal]]</f>
        <v>22189.199999999997</v>
      </c>
      <c r="O18" s="7">
        <f>+Tabla19[[#This Row],[SubTotal Obrera]]</f>
        <v>2903.14</v>
      </c>
      <c r="Q18" s="7">
        <f t="shared" si="0"/>
        <v>25092.339999999997</v>
      </c>
      <c r="S18" s="32"/>
      <c r="T18" s="32"/>
      <c r="U18" s="32"/>
    </row>
    <row r="19" spans="1:21" ht="15" thickBot="1">
      <c r="A19" s="5" t="s">
        <v>29</v>
      </c>
      <c r="B19" s="6"/>
      <c r="C19" s="23">
        <f>SUBTOTAL(109,Tabla19[Aportacion patronal])</f>
        <v>58451.600000000006</v>
      </c>
      <c r="D19" s="23">
        <f>SUBTOTAL(109,Tabla19[Aportacion Obrera])</f>
        <v>13354.950000000003</v>
      </c>
      <c r="E19" s="23">
        <f>SUBTOTAL(109,Tabla19[Retiro])</f>
        <v>32836.700000000004</v>
      </c>
      <c r="F19" s="23">
        <f>SUBTOTAL(109,Tabla19[Cesantía y Vejez patronal])</f>
        <v>69630.19</v>
      </c>
      <c r="G19" s="23">
        <f>SUBTOTAL(109,Tabla19[Cesantía y Vejez obrera])</f>
        <v>18470.650000000001</v>
      </c>
      <c r="H19" s="23">
        <f>SUBTOTAL(109,Tabla19[Infonavit])</f>
        <v>82091.75</v>
      </c>
      <c r="I19" s="23">
        <f>SUBTOTAL(109,Tabla19[SubTotal])</f>
        <v>274835.83999999997</v>
      </c>
      <c r="J19" s="23">
        <f>SUBTOTAL(109,Tabla19[SubTotal Patronal])</f>
        <v>243010.24</v>
      </c>
      <c r="K19" s="23">
        <f>SUBTOTAL(109,Tabla19[SubTotal Obrera])</f>
        <v>31825.599999999999</v>
      </c>
      <c r="M19" s="10">
        <f>SUM(M6:M18)</f>
        <v>204292.34600000002</v>
      </c>
      <c r="O19" s="10">
        <f>SUM(O6:O18)</f>
        <v>26625.031999999999</v>
      </c>
      <c r="Q19" s="10">
        <f>SUM(Q6:Q18)</f>
        <v>230917.378</v>
      </c>
      <c r="S19" s="38"/>
      <c r="T19" s="38"/>
      <c r="U19" s="38"/>
    </row>
    <row r="20" spans="1:21" ht="15" thickTop="1"/>
    <row r="23" spans="1:21">
      <c r="B23" s="14" t="s">
        <v>31</v>
      </c>
      <c r="C23" s="20"/>
      <c r="D23" s="11"/>
      <c r="E23" s="11"/>
    </row>
    <row r="24" spans="1:21" ht="43.15">
      <c r="B24" s="28" t="s">
        <v>32</v>
      </c>
      <c r="C24" s="27" t="s">
        <v>33</v>
      </c>
      <c r="D24" s="27" t="s">
        <v>34</v>
      </c>
      <c r="E24" s="27" t="s">
        <v>35</v>
      </c>
      <c r="F24" s="27" t="s">
        <v>36</v>
      </c>
      <c r="G24" s="27" t="s">
        <v>37</v>
      </c>
      <c r="H24" s="27" t="s">
        <v>38</v>
      </c>
      <c r="J24" s="18" t="s">
        <v>39</v>
      </c>
    </row>
    <row r="25" spans="1:21">
      <c r="B25" t="s">
        <v>40</v>
      </c>
      <c r="C25" s="21">
        <v>70015</v>
      </c>
      <c r="D25" s="15" t="s">
        <v>83</v>
      </c>
      <c r="E25" s="33">
        <v>230917.38</v>
      </c>
      <c r="F25" s="34"/>
      <c r="G25" s="34">
        <v>12783.05</v>
      </c>
      <c r="H25" s="34"/>
      <c r="J25">
        <v>18.059999999999999</v>
      </c>
    </row>
    <row r="26" spans="1:21">
      <c r="B26">
        <v>99999</v>
      </c>
      <c r="C26" s="21" t="s">
        <v>42</v>
      </c>
      <c r="D26" s="15" t="s">
        <v>83</v>
      </c>
      <c r="E26" s="33"/>
      <c r="F26" s="34">
        <v>230917.38</v>
      </c>
      <c r="G26" s="34"/>
      <c r="H26" s="34">
        <v>12783.05</v>
      </c>
      <c r="J26">
        <v>18.059999999999999</v>
      </c>
    </row>
    <row r="27" spans="1:21">
      <c r="C27" s="21"/>
      <c r="D27" s="15"/>
      <c r="E27" s="33"/>
      <c r="F27" s="34"/>
      <c r="G27" s="34"/>
      <c r="H27" s="34"/>
    </row>
    <row r="28" spans="1:21">
      <c r="B28" s="14" t="s">
        <v>43</v>
      </c>
      <c r="C28" s="21"/>
      <c r="D28" s="15"/>
      <c r="E28" s="33"/>
      <c r="F28" s="34"/>
      <c r="G28" s="34"/>
      <c r="H28" s="34"/>
    </row>
    <row r="29" spans="1:21">
      <c r="B29" t="s">
        <v>44</v>
      </c>
      <c r="C29" s="21">
        <v>70015</v>
      </c>
      <c r="D29" s="15" t="s">
        <v>83</v>
      </c>
      <c r="E29" s="33">
        <v>204292.35</v>
      </c>
      <c r="F29" s="34"/>
      <c r="G29" s="34">
        <f>+E29/J26</f>
        <v>11311.86877076412</v>
      </c>
      <c r="H29" s="34"/>
      <c r="J29">
        <v>18.059999999999999</v>
      </c>
    </row>
    <row r="30" spans="1:21">
      <c r="C30" s="21"/>
      <c r="D30" s="15"/>
      <c r="E30" s="33"/>
      <c r="F30" s="34"/>
      <c r="G30" s="34"/>
      <c r="H30" s="34"/>
    </row>
    <row r="31" spans="1:21">
      <c r="C31" s="21"/>
      <c r="D31" s="15"/>
      <c r="E31" s="33"/>
      <c r="F31" s="34"/>
      <c r="G31" s="34"/>
      <c r="H31" s="34"/>
    </row>
    <row r="32" spans="1:21">
      <c r="B32" s="14" t="s">
        <v>45</v>
      </c>
      <c r="C32" s="21"/>
      <c r="D32" s="15"/>
      <c r="E32" s="33"/>
      <c r="F32" s="34"/>
      <c r="G32" s="34"/>
      <c r="H32" s="34"/>
    </row>
    <row r="33" spans="2:10">
      <c r="B33" t="s">
        <v>44</v>
      </c>
      <c r="C33" s="21">
        <v>70015</v>
      </c>
      <c r="D33" s="15" t="s">
        <v>83</v>
      </c>
      <c r="E33" s="34"/>
      <c r="F33" s="34">
        <f>+E25-E29</f>
        <v>26625.03</v>
      </c>
      <c r="G33" s="33"/>
      <c r="H33" s="34">
        <f>+F33/J33</f>
        <v>1474.2541528239203</v>
      </c>
      <c r="J33">
        <v>18.059999999999999</v>
      </c>
    </row>
    <row r="34" spans="2:10">
      <c r="B34">
        <v>99999</v>
      </c>
      <c r="C34" s="21" t="s">
        <v>42</v>
      </c>
      <c r="D34" s="15" t="s">
        <v>83</v>
      </c>
      <c r="E34" s="34">
        <f>+E25-E29</f>
        <v>26625.03</v>
      </c>
      <c r="F34" s="34"/>
      <c r="G34" s="33">
        <f>+E34/J34</f>
        <v>1474.2541528239203</v>
      </c>
      <c r="H34" s="34"/>
      <c r="J34">
        <v>18.059999999999999</v>
      </c>
    </row>
    <row r="37" spans="2:10">
      <c r="B37" s="14" t="s">
        <v>31</v>
      </c>
    </row>
    <row r="38" spans="2:10">
      <c r="B38">
        <v>99999</v>
      </c>
      <c r="C38">
        <v>20212</v>
      </c>
      <c r="D38" s="15" t="s">
        <v>79</v>
      </c>
      <c r="E38">
        <v>59509.440000000002</v>
      </c>
      <c r="G38">
        <v>3294.3</v>
      </c>
      <c r="J38">
        <v>18.059999999999999</v>
      </c>
    </row>
    <row r="41" spans="2:10">
      <c r="B41" s="14" t="s">
        <v>84</v>
      </c>
    </row>
  </sheetData>
  <mergeCells count="2">
    <mergeCell ref="S2:U2"/>
    <mergeCell ref="A4:K4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82711-1716-4142-8F4C-2BBA9AA55E5A}">
  <dimension ref="A1:Q35"/>
  <sheetViews>
    <sheetView topLeftCell="A9" workbookViewId="0">
      <selection activeCell="A31" sqref="A31"/>
    </sheetView>
  </sheetViews>
  <sheetFormatPr defaultColWidth="11.42578125" defaultRowHeight="14.45"/>
  <cols>
    <col min="2" max="2" width="32" customWidth="1"/>
    <col min="3" max="3" width="64" customWidth="1"/>
  </cols>
  <sheetData>
    <row r="1" spans="1:17" ht="15" thickBot="1"/>
    <row r="2" spans="1:17" ht="72.599999999999994" thickBot="1">
      <c r="A2" s="50" t="s">
        <v>85</v>
      </c>
      <c r="B2" s="51"/>
      <c r="C2" s="51"/>
      <c r="D2" s="51"/>
      <c r="E2" s="51"/>
      <c r="F2" s="51"/>
      <c r="G2" s="51"/>
      <c r="H2" s="51"/>
      <c r="I2" s="51"/>
      <c r="J2" s="51"/>
      <c r="K2" s="52"/>
      <c r="M2" s="35" t="s">
        <v>47</v>
      </c>
      <c r="O2" s="35" t="s">
        <v>48</v>
      </c>
      <c r="Q2" s="35" t="s">
        <v>3</v>
      </c>
    </row>
    <row r="3" spans="1:17" ht="43.9" thickBot="1">
      <c r="A3" s="3" t="s">
        <v>4</v>
      </c>
      <c r="B3" s="3" t="s">
        <v>49</v>
      </c>
      <c r="C3" s="4" t="s">
        <v>6</v>
      </c>
      <c r="D3" s="4" t="s">
        <v>7</v>
      </c>
      <c r="E3" s="4" t="s">
        <v>50</v>
      </c>
      <c r="F3" s="4" t="s">
        <v>51</v>
      </c>
      <c r="G3" s="4" t="s">
        <v>52</v>
      </c>
      <c r="H3" s="4" t="s">
        <v>53</v>
      </c>
      <c r="I3" s="4" t="s">
        <v>8</v>
      </c>
      <c r="J3" s="4" t="s">
        <v>54</v>
      </c>
      <c r="K3" s="4" t="s">
        <v>55</v>
      </c>
      <c r="M3" s="1" t="s">
        <v>10</v>
      </c>
      <c r="O3" s="1" t="s">
        <v>10</v>
      </c>
      <c r="Q3" s="1" t="s">
        <v>10</v>
      </c>
    </row>
    <row r="4" spans="1:17" ht="15" thickTop="1">
      <c r="A4" s="5">
        <v>1</v>
      </c>
      <c r="B4" s="6" t="s">
        <v>15</v>
      </c>
      <c r="C4" s="7">
        <v>5489.25</v>
      </c>
      <c r="D4" s="7">
        <v>1287.98</v>
      </c>
      <c r="E4" s="7"/>
      <c r="F4" s="7"/>
      <c r="G4" s="7"/>
      <c r="H4" s="7"/>
      <c r="I4" s="7">
        <f>SUM(Tabla112[[#This Row],[Aportacion patronal]:[Infonavit]])</f>
        <v>6777.23</v>
      </c>
      <c r="J4" s="7">
        <f>Tabla112[[#This Row],[Aportacion patronal]]+Tabla112[[#This Row],[Retiro]]+Tabla112[[#This Row],[Cesantía y Vejez patronal]]+Tabla112[[#This Row],[Infonavit]]</f>
        <v>5489.25</v>
      </c>
      <c r="K4" s="8">
        <f>+Tabla112[[#This Row],[Aportacion Obrera]]+Tabla112[[#This Row],[Cesantía y Vejez obrera]]</f>
        <v>1287.98</v>
      </c>
      <c r="L4" s="7"/>
      <c r="M4" s="7">
        <f>+Tabla112[[#This Row],[SubTotal Patronal]]</f>
        <v>5489.25</v>
      </c>
      <c r="O4" s="7">
        <f>+Tabla112[[#This Row],[SubTotal Obrera]]</f>
        <v>1287.98</v>
      </c>
      <c r="Q4" s="7">
        <f t="shared" ref="Q4:Q16" si="0">+M4+O4</f>
        <v>6777.23</v>
      </c>
    </row>
    <row r="5" spans="1:17">
      <c r="A5" s="5">
        <v>2</v>
      </c>
      <c r="B5" s="6" t="s">
        <v>61</v>
      </c>
      <c r="C5" s="7">
        <v>4279.43</v>
      </c>
      <c r="D5" s="7">
        <v>963.06</v>
      </c>
      <c r="E5" s="7"/>
      <c r="F5" s="7"/>
      <c r="G5" s="7"/>
      <c r="H5" s="7"/>
      <c r="I5" s="7">
        <f>SUM(Tabla112[[#This Row],[Aportacion patronal]:[Infonavit]])</f>
        <v>5242.49</v>
      </c>
      <c r="J5" s="7">
        <f>Tabla112[[#This Row],[Aportacion patronal]]+Tabla112[[#This Row],[Retiro]]+Tabla112[[#This Row],[Cesantía y Vejez patronal]]+Tabla112[[#This Row],[Infonavit]]</f>
        <v>4279.43</v>
      </c>
      <c r="K5" s="8">
        <f>+Tabla112[[#This Row],[Aportacion Obrera]]+Tabla112[[#This Row],[Cesantía y Vejez obrera]]</f>
        <v>963.06</v>
      </c>
      <c r="L5" s="7"/>
      <c r="M5" s="7">
        <f>+Tabla112[[#This Row],[SubTotal Patronal]]</f>
        <v>4279.43</v>
      </c>
      <c r="O5" s="7">
        <f>+Tabla112[[#This Row],[SubTotal Obrera]]</f>
        <v>963.06</v>
      </c>
      <c r="Q5" s="7">
        <f t="shared" si="0"/>
        <v>5242.49</v>
      </c>
    </row>
    <row r="6" spans="1:17">
      <c r="A6" s="5">
        <v>3</v>
      </c>
      <c r="B6" s="6" t="s">
        <v>62</v>
      </c>
      <c r="C6" s="7">
        <v>4161.16</v>
      </c>
      <c r="D6" s="7">
        <v>931.29</v>
      </c>
      <c r="E6" s="7"/>
      <c r="F6" s="7"/>
      <c r="G6" s="7"/>
      <c r="H6" s="7"/>
      <c r="I6" s="7">
        <f>SUM(Tabla112[[#This Row],[Aportacion patronal]:[Infonavit]])</f>
        <v>5092.45</v>
      </c>
      <c r="J6" s="7">
        <f>Tabla112[[#This Row],[Aportacion patronal]]+Tabla112[[#This Row],[Retiro]]+Tabla112[[#This Row],[Cesantía y Vejez patronal]]+Tabla112[[#This Row],[Infonavit]]</f>
        <v>4161.16</v>
      </c>
      <c r="K6" s="8">
        <f>+Tabla112[[#This Row],[Aportacion Obrera]]+Tabla112[[#This Row],[Cesantía y Vejez obrera]]</f>
        <v>931.29</v>
      </c>
      <c r="L6" s="7"/>
      <c r="M6" s="7">
        <f>+Tabla112[[#This Row],[SubTotal Patronal]]</f>
        <v>4161.16</v>
      </c>
      <c r="O6" s="7">
        <f>+Tabla112[[#This Row],[SubTotal Obrera]]</f>
        <v>931.29</v>
      </c>
      <c r="Q6" s="7">
        <f t="shared" si="0"/>
        <v>5092.45</v>
      </c>
    </row>
    <row r="7" spans="1:17">
      <c r="A7" s="5">
        <v>4</v>
      </c>
      <c r="B7" s="6" t="s">
        <v>63</v>
      </c>
      <c r="C7" s="7">
        <v>4321.6000000000004</v>
      </c>
      <c r="D7" s="7">
        <v>974.38</v>
      </c>
      <c r="E7" s="7"/>
      <c r="F7" s="7"/>
      <c r="G7" s="7"/>
      <c r="H7" s="7"/>
      <c r="I7" s="7">
        <f>SUM(Tabla112[[#This Row],[Aportacion patronal]:[Infonavit]])</f>
        <v>5295.9800000000005</v>
      </c>
      <c r="J7" s="7">
        <f>Tabla112[[#This Row],[Aportacion patronal]]+Tabla112[[#This Row],[Retiro]]+Tabla112[[#This Row],[Cesantía y Vejez patronal]]+Tabla112[[#This Row],[Infonavit]]</f>
        <v>4321.6000000000004</v>
      </c>
      <c r="K7" s="8">
        <f>+Tabla112[[#This Row],[Aportacion Obrera]]+Tabla112[[#This Row],[Cesantía y Vejez obrera]]</f>
        <v>974.38</v>
      </c>
      <c r="L7" s="7"/>
      <c r="M7" s="7">
        <f>+Tabla112[[#This Row],[SubTotal Patronal]]</f>
        <v>4321.6000000000004</v>
      </c>
      <c r="O7" s="7">
        <f>+Tabla112[[#This Row],[SubTotal Obrera]]</f>
        <v>974.38</v>
      </c>
      <c r="Q7" s="7">
        <f t="shared" si="0"/>
        <v>5295.9800000000005</v>
      </c>
    </row>
    <row r="8" spans="1:17">
      <c r="A8" s="5">
        <v>5</v>
      </c>
      <c r="B8" s="6" t="s">
        <v>64</v>
      </c>
      <c r="C8" s="7">
        <v>4279.43</v>
      </c>
      <c r="D8" s="7">
        <v>963.06</v>
      </c>
      <c r="E8" s="7"/>
      <c r="F8" s="7"/>
      <c r="G8" s="7"/>
      <c r="H8" s="7"/>
      <c r="I8" s="7">
        <f>SUM(Tabla112[[#This Row],[Aportacion patronal]:[Infonavit]])</f>
        <v>5242.49</v>
      </c>
      <c r="J8" s="7">
        <f>Tabla112[[#This Row],[Aportacion patronal]]+Tabla112[[#This Row],[Retiro]]+Tabla112[[#This Row],[Cesantía y Vejez patronal]]+Tabla112[[#This Row],[Infonavit]]</f>
        <v>4279.43</v>
      </c>
      <c r="K8" s="8">
        <f>+Tabla112[[#This Row],[Aportacion Obrera]]+Tabla112[[#This Row],[Cesantía y Vejez obrera]]</f>
        <v>963.06</v>
      </c>
      <c r="L8" s="7"/>
      <c r="M8" s="7">
        <f>+Tabla112[[#This Row],[SubTotal Patronal]]</f>
        <v>4279.43</v>
      </c>
      <c r="O8" s="7">
        <f>+Tabla112[[#This Row],[SubTotal Obrera]]</f>
        <v>963.06</v>
      </c>
      <c r="Q8" s="7">
        <f t="shared" si="0"/>
        <v>5242.49</v>
      </c>
    </row>
    <row r="9" spans="1:17">
      <c r="A9" s="5">
        <v>6</v>
      </c>
      <c r="B9" s="6" t="s">
        <v>82</v>
      </c>
      <c r="C9" s="7">
        <v>5489.25</v>
      </c>
      <c r="D9" s="7">
        <v>1287.98</v>
      </c>
      <c r="E9" s="7"/>
      <c r="F9" s="7"/>
      <c r="G9" s="7"/>
      <c r="H9" s="7"/>
      <c r="I9" s="7">
        <f>SUM(Tabla112[[#This Row],[Aportacion patronal]:[Infonavit]])</f>
        <v>6777.23</v>
      </c>
      <c r="J9" s="7">
        <f>Tabla112[[#This Row],[Aportacion patronal]]+Tabla112[[#This Row],[Retiro]]+Tabla112[[#This Row],[Cesantía y Vejez patronal]]+Tabla112[[#This Row],[Infonavit]]</f>
        <v>5489.25</v>
      </c>
      <c r="K9" s="8">
        <f>+Tabla112[[#This Row],[Aportacion Obrera]]+Tabla112[[#This Row],[Cesantía y Vejez obrera]]</f>
        <v>1287.98</v>
      </c>
      <c r="L9" s="7"/>
      <c r="M9" s="7">
        <v>2470.16</v>
      </c>
      <c r="O9" s="7">
        <v>579.59</v>
      </c>
      <c r="Q9" s="7">
        <f t="shared" si="0"/>
        <v>3049.75</v>
      </c>
    </row>
    <row r="10" spans="1:17">
      <c r="A10" s="5">
        <v>7</v>
      </c>
      <c r="B10" s="6" t="s">
        <v>65</v>
      </c>
      <c r="C10" s="7">
        <v>5489.25</v>
      </c>
      <c r="D10" s="7">
        <v>1287.98</v>
      </c>
      <c r="E10" s="7"/>
      <c r="F10" s="7"/>
      <c r="G10" s="7"/>
      <c r="H10" s="7"/>
      <c r="I10" s="7">
        <f>SUM(Tabla112[[#This Row],[Aportacion patronal]:[Infonavit]])</f>
        <v>6777.23</v>
      </c>
      <c r="J10" s="7">
        <f>Tabla112[[#This Row],[Aportacion patronal]]+Tabla112[[#This Row],[Retiro]]+Tabla112[[#This Row],[Cesantía y Vejez patronal]]+Tabla112[[#This Row],[Infonavit]]</f>
        <v>5489.25</v>
      </c>
      <c r="K10" s="8">
        <f>+Tabla112[[#This Row],[Aportacion Obrera]]+Tabla112[[#This Row],[Cesantía y Vejez obrera]]</f>
        <v>1287.98</v>
      </c>
      <c r="L10" s="7"/>
      <c r="M10" s="7">
        <f>+Tabla112[[#This Row],[SubTotal Patronal]]*0.45</f>
        <v>2470.1624999999999</v>
      </c>
      <c r="O10" s="7">
        <f>+Tabla112[[#This Row],[SubTotal Obrera]]*0.45</f>
        <v>579.59100000000001</v>
      </c>
      <c r="Q10" s="7">
        <f t="shared" si="0"/>
        <v>3049.7534999999998</v>
      </c>
    </row>
    <row r="11" spans="1:17">
      <c r="A11" s="5">
        <v>8</v>
      </c>
      <c r="B11" s="6" t="s">
        <v>66</v>
      </c>
      <c r="C11" s="7">
        <v>2933.85</v>
      </c>
      <c r="D11" s="7">
        <v>601.66</v>
      </c>
      <c r="E11" s="7"/>
      <c r="F11" s="7"/>
      <c r="G11" s="7"/>
      <c r="H11" s="7"/>
      <c r="I11" s="7">
        <f>SUM(Tabla112[[#This Row],[Aportacion patronal]:[Infonavit]])</f>
        <v>3535.5099999999998</v>
      </c>
      <c r="J11" s="7">
        <f>Tabla112[[#This Row],[Aportacion patronal]]+Tabla112[[#This Row],[Retiro]]+Tabla112[[#This Row],[Cesantía y Vejez patronal]]+Tabla112[[#This Row],[Infonavit]]</f>
        <v>2933.85</v>
      </c>
      <c r="K11" s="8">
        <f>+Tabla112[[#This Row],[Aportacion Obrera]]+Tabla112[[#This Row],[Cesantía y Vejez obrera]]</f>
        <v>601.66</v>
      </c>
      <c r="L11" s="7"/>
      <c r="M11" s="7">
        <f>+Tabla112[[#This Row],[SubTotal Patronal]]</f>
        <v>2933.85</v>
      </c>
      <c r="O11" s="7">
        <f>+Tabla112[[#This Row],[SubTotal Obrera]]</f>
        <v>601.66</v>
      </c>
      <c r="Q11" s="7">
        <f t="shared" si="0"/>
        <v>3535.5099999999998</v>
      </c>
    </row>
    <row r="12" spans="1:17">
      <c r="A12" s="5">
        <v>9</v>
      </c>
      <c r="B12" s="6" t="s">
        <v>74</v>
      </c>
      <c r="C12" s="7">
        <v>5489.25</v>
      </c>
      <c r="D12" s="7">
        <v>1287.98</v>
      </c>
      <c r="E12" s="7"/>
      <c r="F12" s="7"/>
      <c r="G12" s="7"/>
      <c r="H12" s="7"/>
      <c r="I12" s="7">
        <f>SUM(Tabla112[[#This Row],[Aportacion patronal]:[Infonavit]])</f>
        <v>6777.23</v>
      </c>
      <c r="J12" s="7">
        <f>Tabla112[[#This Row],[Aportacion patronal]]+Tabla112[[#This Row],[Retiro]]+Tabla112[[#This Row],[Cesantía y Vejez patronal]]+Tabla112[[#This Row],[Infonavit]]</f>
        <v>5489.25</v>
      </c>
      <c r="K12" s="8">
        <f>+Tabla112[[#This Row],[Aportacion Obrera]]+Tabla112[[#This Row],[Cesantía y Vejez obrera]]</f>
        <v>1287.98</v>
      </c>
      <c r="L12" s="7"/>
      <c r="M12" s="7">
        <f>+Tabla112[[#This Row],[SubTotal Patronal]]*0.5</f>
        <v>2744.625</v>
      </c>
      <c r="O12" s="7">
        <f>+Tabla112[[#This Row],[SubTotal Obrera]]*0.5</f>
        <v>643.99</v>
      </c>
      <c r="Q12" s="7">
        <f t="shared" si="0"/>
        <v>3388.6149999999998</v>
      </c>
    </row>
    <row r="13" spans="1:17">
      <c r="A13" s="5">
        <v>10</v>
      </c>
      <c r="B13" s="6" t="s">
        <v>67</v>
      </c>
      <c r="C13" s="7">
        <v>5489.25</v>
      </c>
      <c r="D13" s="7">
        <v>1287.98</v>
      </c>
      <c r="E13" s="7"/>
      <c r="F13" s="7"/>
      <c r="G13" s="7"/>
      <c r="H13" s="7"/>
      <c r="I13" s="7">
        <f>SUM(Tabla112[[#This Row],[Aportacion patronal]:[Infonavit]])</f>
        <v>6777.23</v>
      </c>
      <c r="J13" s="7">
        <f>Tabla112[[#This Row],[Aportacion patronal]]+Tabla112[[#This Row],[Retiro]]+Tabla112[[#This Row],[Cesantía y Vejez patronal]]+Tabla112[[#This Row],[Infonavit]]</f>
        <v>5489.25</v>
      </c>
      <c r="K13" s="8">
        <f>+Tabla112[[#This Row],[Aportacion Obrera]]+Tabla112[[#This Row],[Cesantía y Vejez obrera]]</f>
        <v>1287.98</v>
      </c>
      <c r="L13" s="7"/>
      <c r="M13" s="7">
        <f>+Tabla112[[#This Row],[SubTotal Patronal]]</f>
        <v>5489.25</v>
      </c>
      <c r="O13" s="7">
        <f>+Tabla112[[#This Row],[SubTotal Obrera]]</f>
        <v>1287.98</v>
      </c>
      <c r="Q13" s="7">
        <f t="shared" si="0"/>
        <v>6777.23</v>
      </c>
    </row>
    <row r="14" spans="1:17">
      <c r="A14" s="5">
        <v>11</v>
      </c>
      <c r="B14" s="6" t="s">
        <v>68</v>
      </c>
      <c r="C14" s="7">
        <v>4349.41</v>
      </c>
      <c r="D14" s="7">
        <v>981.85</v>
      </c>
      <c r="E14" s="7"/>
      <c r="F14" s="7"/>
      <c r="G14" s="7"/>
      <c r="H14" s="7"/>
      <c r="I14" s="7">
        <f>SUM(Tabla112[[#This Row],[Aportacion patronal]:[Infonavit]])</f>
        <v>5331.26</v>
      </c>
      <c r="J14" s="7">
        <f>Tabla112[[#This Row],[Aportacion patronal]]+Tabla112[[#This Row],[Retiro]]+Tabla112[[#This Row],[Cesantía y Vejez patronal]]+Tabla112[[#This Row],[Infonavit]]</f>
        <v>4349.41</v>
      </c>
      <c r="K14" s="8">
        <f>+Tabla112[[#This Row],[Aportacion Obrera]]+Tabla112[[#This Row],[Cesantía y Vejez obrera]]</f>
        <v>981.85</v>
      </c>
      <c r="L14" s="7"/>
      <c r="M14" s="7">
        <f>+Tabla112[[#This Row],[SubTotal Patronal]]</f>
        <v>4349.41</v>
      </c>
      <c r="O14" s="7">
        <f>+Tabla112[[#This Row],[SubTotal Obrera]]</f>
        <v>981.85</v>
      </c>
      <c r="Q14" s="7">
        <f t="shared" si="0"/>
        <v>5331.26</v>
      </c>
    </row>
    <row r="15" spans="1:17">
      <c r="A15" s="5">
        <v>12</v>
      </c>
      <c r="B15" s="6" t="s">
        <v>69</v>
      </c>
      <c r="C15" s="7">
        <v>3338.07</v>
      </c>
      <c r="D15" s="7">
        <v>710.24</v>
      </c>
      <c r="E15" s="7"/>
      <c r="F15" s="7"/>
      <c r="G15" s="7"/>
      <c r="H15" s="7"/>
      <c r="I15" s="7">
        <f>SUM(Tabla112[[#This Row],[Aportacion patronal]:[Infonavit]])</f>
        <v>4048.3100000000004</v>
      </c>
      <c r="J15" s="7">
        <f>Tabla112[[#This Row],[Aportacion patronal]]+Tabla112[[#This Row],[Retiro]]+Tabla112[[#This Row],[Cesantía y Vejez patronal]]+Tabla112[[#This Row],[Infonavit]]</f>
        <v>3338.07</v>
      </c>
      <c r="K15" s="7">
        <f>+Tabla112[[#This Row],[Aportacion Obrera]]+Tabla112[[#This Row],[Cesantía y Vejez obrera]]</f>
        <v>710.24</v>
      </c>
      <c r="L15" s="7"/>
      <c r="M15" s="7">
        <f>+Tabla112[[#This Row],[SubTotal Patronal]]*0.5</f>
        <v>1669.0350000000001</v>
      </c>
      <c r="O15" s="7">
        <f>+Tabla112[[#This Row],[SubTotal Obrera]]*0.5</f>
        <v>355.12</v>
      </c>
      <c r="Q15" s="7">
        <f t="shared" si="0"/>
        <v>2024.1550000000002</v>
      </c>
    </row>
    <row r="16" spans="1:17">
      <c r="A16" s="5">
        <v>13</v>
      </c>
      <c r="B16" s="6" t="s">
        <v>70</v>
      </c>
      <c r="C16" s="7">
        <v>5290.78</v>
      </c>
      <c r="D16" s="7">
        <v>1234.68</v>
      </c>
      <c r="E16" s="7"/>
      <c r="F16" s="7"/>
      <c r="G16" s="7"/>
      <c r="H16" s="7"/>
      <c r="I16" s="7">
        <f>SUM(Tabla112[[#This Row],[Aportacion patronal]:[Infonavit]])</f>
        <v>6525.46</v>
      </c>
      <c r="J16" s="7">
        <f>Tabla112[[#This Row],[Aportacion patronal]]+Tabla112[[#This Row],[Retiro]]+Tabla112[[#This Row],[Cesantía y Vejez patronal]]+Tabla112[[#This Row],[Infonavit]]</f>
        <v>5290.78</v>
      </c>
      <c r="K16" s="7">
        <f>+Tabla112[[#This Row],[Aportacion Obrera]]+Tabla112[[#This Row],[Cesantía y Vejez obrera]]</f>
        <v>1234.68</v>
      </c>
      <c r="L16" s="7"/>
      <c r="M16" s="7">
        <f>+Tabla112[[#This Row],[SubTotal Patronal]]</f>
        <v>5290.78</v>
      </c>
      <c r="O16" s="7">
        <f>+Tabla112[[#This Row],[SubTotal Obrera]]</f>
        <v>1234.68</v>
      </c>
      <c r="Q16" s="7">
        <f t="shared" si="0"/>
        <v>6525.46</v>
      </c>
    </row>
    <row r="17" spans="1:17">
      <c r="A17" s="5">
        <v>14</v>
      </c>
      <c r="B17" s="6"/>
      <c r="C17" s="7"/>
      <c r="D17" s="7"/>
      <c r="E17" s="7"/>
      <c r="F17" s="7"/>
      <c r="G17" s="7"/>
      <c r="H17" s="7"/>
      <c r="I17" s="7">
        <f>SUM(Tabla112[[#This Row],[Aportacion patronal]:[Infonavit]])</f>
        <v>0</v>
      </c>
      <c r="J17" s="7">
        <f>Tabla112[[#This Row],[Aportacion patronal]]+Tabla112[[#This Row],[Retiro]]+Tabla112[[#This Row],[Cesantía y Vejez patronal]]+Tabla112[[#This Row],[Infonavit]]</f>
        <v>0</v>
      </c>
      <c r="K17" s="7">
        <f>+Tabla112[[#This Row],[Aportacion Obrera]]+Tabla112[[#This Row],[Cesantía y Vejez obrera]]</f>
        <v>0</v>
      </c>
      <c r="L17" s="7"/>
      <c r="M17" s="7"/>
      <c r="O17" s="7"/>
      <c r="Q17" s="7"/>
    </row>
    <row r="18" spans="1:17" ht="15" thickBot="1">
      <c r="A18" s="5" t="s">
        <v>29</v>
      </c>
      <c r="B18" s="6"/>
      <c r="C18" s="23">
        <f>SUBTOTAL(109,Tabla112[Aportacion patronal])</f>
        <v>60399.98</v>
      </c>
      <c r="D18" s="23">
        <f>SUBTOTAL(109,Tabla112[Aportacion Obrera])</f>
        <v>13800.119999999999</v>
      </c>
      <c r="E18" s="23">
        <f>SUBTOTAL(109,Tabla112[Retiro])</f>
        <v>0</v>
      </c>
      <c r="F18" s="23">
        <f>SUBTOTAL(109,Tabla112[Cesantía y Vejez patronal])</f>
        <v>0</v>
      </c>
      <c r="G18" s="23">
        <f>SUBTOTAL(109,Tabla112[Cesantía y Vejez obrera])</f>
        <v>0</v>
      </c>
      <c r="H18" s="23">
        <f>SUBTOTAL(109,Tabla112[Infonavit])</f>
        <v>0</v>
      </c>
      <c r="I18" s="23">
        <f>SUBTOTAL(109,Tabla112[SubTotal])</f>
        <v>74200.100000000006</v>
      </c>
      <c r="J18" s="23">
        <f>SUBTOTAL(109,Tabla112[SubTotal Patronal])</f>
        <v>60399.98</v>
      </c>
      <c r="K18" s="23">
        <f>SUBTOTAL(109,Tabla112[SubTotal Obrera])</f>
        <v>13800.119999999999</v>
      </c>
      <c r="M18" s="10">
        <f>SUM(M4:M16)</f>
        <v>49948.142500000002</v>
      </c>
      <c r="O18" s="10">
        <f>SUM(O4:O16)</f>
        <v>11384.231000000002</v>
      </c>
      <c r="Q18" s="10">
        <f>SUM(Q4:Q16)</f>
        <v>61332.373500000002</v>
      </c>
    </row>
    <row r="19" spans="1:17" ht="15.6" thickTop="1" thickBot="1">
      <c r="C19" s="11"/>
      <c r="D19" s="11"/>
      <c r="E19" s="11"/>
      <c r="F19" s="11"/>
      <c r="G19" s="11"/>
      <c r="H19" s="11"/>
      <c r="I19" s="11"/>
      <c r="J19" s="11"/>
      <c r="K19" s="11"/>
      <c r="M19" s="39" t="s">
        <v>30</v>
      </c>
      <c r="N19" s="13"/>
      <c r="Q19" s="39" t="s">
        <v>75</v>
      </c>
    </row>
    <row r="20" spans="1:17" ht="15" thickTop="1">
      <c r="C20" s="11"/>
      <c r="D20" s="11"/>
      <c r="E20" s="11"/>
      <c r="F20" s="11"/>
      <c r="G20" s="11"/>
      <c r="H20" s="11"/>
      <c r="I20" s="11"/>
      <c r="J20" s="11"/>
      <c r="K20" s="11"/>
      <c r="Q20" s="12" t="s">
        <v>86</v>
      </c>
    </row>
    <row r="21" spans="1:17">
      <c r="A21" s="14" t="s">
        <v>31</v>
      </c>
      <c r="B21" s="20"/>
      <c r="C21" s="11"/>
      <c r="D21" s="11"/>
    </row>
    <row r="22" spans="1:17" ht="43.15">
      <c r="A22" s="28" t="s">
        <v>32</v>
      </c>
      <c r="B22" s="27" t="s">
        <v>33</v>
      </c>
      <c r="C22" s="27" t="s">
        <v>34</v>
      </c>
      <c r="D22" s="27" t="s">
        <v>35</v>
      </c>
      <c r="E22" s="27" t="s">
        <v>36</v>
      </c>
      <c r="F22" s="27" t="s">
        <v>37</v>
      </c>
      <c r="G22" s="27" t="s">
        <v>38</v>
      </c>
      <c r="I22" s="18" t="s">
        <v>39</v>
      </c>
    </row>
    <row r="23" spans="1:17">
      <c r="A23" t="s">
        <v>40</v>
      </c>
      <c r="B23" s="21">
        <v>70015</v>
      </c>
      <c r="C23" s="15" t="s">
        <v>87</v>
      </c>
      <c r="D23" s="33">
        <v>49948.15</v>
      </c>
      <c r="E23" s="34"/>
      <c r="F23" s="34">
        <v>2817.82</v>
      </c>
      <c r="G23" s="34"/>
      <c r="I23">
        <v>17.73</v>
      </c>
    </row>
    <row r="24" spans="1:17">
      <c r="A24">
        <v>99999</v>
      </c>
      <c r="B24" s="21" t="s">
        <v>42</v>
      </c>
      <c r="C24" s="15" t="s">
        <v>87</v>
      </c>
      <c r="D24" s="33"/>
      <c r="E24" s="34">
        <v>49948.15</v>
      </c>
      <c r="F24" s="34"/>
      <c r="G24" s="34">
        <v>2817.82</v>
      </c>
      <c r="I24">
        <v>17.73</v>
      </c>
    </row>
    <row r="25" spans="1:17">
      <c r="B25" s="21"/>
      <c r="C25" s="15"/>
      <c r="D25" s="33"/>
      <c r="E25" s="34"/>
      <c r="F25" s="34"/>
      <c r="G25" s="34"/>
    </row>
    <row r="26" spans="1:17">
      <c r="B26" s="21"/>
      <c r="C26" s="15"/>
      <c r="D26" s="33"/>
      <c r="E26" s="34"/>
      <c r="F26" s="34"/>
      <c r="G26" s="34"/>
    </row>
    <row r="27" spans="1:17">
      <c r="B27" s="21"/>
      <c r="C27" s="15"/>
      <c r="D27" s="33"/>
      <c r="E27" s="34"/>
      <c r="F27" s="34"/>
      <c r="G27" s="34"/>
    </row>
    <row r="28" spans="1:17">
      <c r="A28" s="14" t="s">
        <v>88</v>
      </c>
      <c r="B28" s="21"/>
      <c r="C28" s="15"/>
      <c r="D28" s="33"/>
      <c r="E28" s="34"/>
      <c r="F28" s="34"/>
      <c r="G28" s="34"/>
    </row>
    <row r="29" spans="1:17">
      <c r="B29" s="21"/>
      <c r="C29" s="15"/>
      <c r="D29" s="33"/>
      <c r="E29" s="34"/>
      <c r="F29" s="34"/>
      <c r="G29" s="34"/>
    </row>
    <row r="30" spans="1:17">
      <c r="B30" s="21"/>
      <c r="C30" s="15"/>
      <c r="D30" s="33"/>
      <c r="E30" s="34"/>
      <c r="F30" s="34"/>
      <c r="G30" s="34"/>
    </row>
    <row r="31" spans="1:17">
      <c r="A31" s="14" t="s">
        <v>31</v>
      </c>
    </row>
    <row r="32" spans="1:17">
      <c r="A32">
        <v>99999</v>
      </c>
      <c r="B32">
        <v>20212</v>
      </c>
      <c r="C32" s="15" t="s">
        <v>83</v>
      </c>
      <c r="D32">
        <v>230917.38</v>
      </c>
      <c r="F32">
        <v>13027.17</v>
      </c>
      <c r="I32">
        <v>17.73</v>
      </c>
    </row>
    <row r="35" spans="1:1">
      <c r="A35" s="14" t="s">
        <v>89</v>
      </c>
    </row>
  </sheetData>
  <mergeCells count="1">
    <mergeCell ref="A2:K2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62CE9-0BCF-456C-9C03-72291A5BDA7E}">
  <dimension ref="A2:Q34"/>
  <sheetViews>
    <sheetView topLeftCell="A7" workbookViewId="0">
      <selection activeCell="B29" sqref="B29"/>
    </sheetView>
  </sheetViews>
  <sheetFormatPr defaultColWidth="11.42578125" defaultRowHeight="14.45"/>
  <cols>
    <col min="2" max="2" width="28.85546875" customWidth="1"/>
    <col min="3" max="3" width="15.85546875" customWidth="1"/>
    <col min="4" max="4" width="56.7109375" customWidth="1"/>
  </cols>
  <sheetData>
    <row r="2" spans="1:17" ht="15" thickBot="1"/>
    <row r="3" spans="1:17" ht="72.599999999999994" thickBot="1">
      <c r="A3" s="50" t="s">
        <v>90</v>
      </c>
      <c r="B3" s="51"/>
      <c r="C3" s="51"/>
      <c r="D3" s="51"/>
      <c r="E3" s="51"/>
      <c r="F3" s="51"/>
      <c r="G3" s="51"/>
      <c r="H3" s="51"/>
      <c r="I3" s="51"/>
      <c r="J3" s="51"/>
      <c r="K3" s="52"/>
      <c r="M3" s="35" t="s">
        <v>47</v>
      </c>
      <c r="O3" s="35" t="s">
        <v>48</v>
      </c>
      <c r="P3" s="40"/>
    </row>
    <row r="4" spans="1:17" ht="43.9" thickBot="1">
      <c r="A4" s="3" t="s">
        <v>4</v>
      </c>
      <c r="B4" s="3" t="s">
        <v>49</v>
      </c>
      <c r="C4" s="4" t="s">
        <v>6</v>
      </c>
      <c r="D4" s="4" t="s">
        <v>7</v>
      </c>
      <c r="E4" s="4" t="s">
        <v>50</v>
      </c>
      <c r="F4" s="4" t="s">
        <v>51</v>
      </c>
      <c r="G4" s="4" t="s">
        <v>52</v>
      </c>
      <c r="H4" s="4" t="s">
        <v>53</v>
      </c>
      <c r="I4" s="4" t="s">
        <v>8</v>
      </c>
      <c r="J4" s="4" t="s">
        <v>54</v>
      </c>
      <c r="K4" s="4" t="s">
        <v>55</v>
      </c>
      <c r="M4" s="1" t="s">
        <v>10</v>
      </c>
      <c r="O4" s="1" t="s">
        <v>10</v>
      </c>
      <c r="P4" s="36"/>
      <c r="Q4" s="1" t="s">
        <v>10</v>
      </c>
    </row>
    <row r="5" spans="1:17" ht="19.899999999999999" customHeight="1" thickTop="1">
      <c r="A5" s="41">
        <v>1</v>
      </c>
      <c r="B5" s="17" t="s">
        <v>15</v>
      </c>
      <c r="C5" s="18">
        <v>5312.18</v>
      </c>
      <c r="D5" s="18">
        <v>1246.43</v>
      </c>
      <c r="E5" s="18">
        <v>3164.07</v>
      </c>
      <c r="F5" s="18">
        <v>6709.41</v>
      </c>
      <c r="G5" s="18">
        <v>1779.79</v>
      </c>
      <c r="H5" s="18">
        <v>7910.18</v>
      </c>
      <c r="I5" s="18">
        <f>SUM(Tabla114[[#This Row],[Aportacion patronal]:[Infonavit]])</f>
        <v>26122.06</v>
      </c>
      <c r="J5" s="18">
        <f>Tabla114[[#This Row],[Aportacion patronal]]+Tabla114[[#This Row],[Retiro]]+Tabla114[[#This Row],[Cesantía y Vejez patronal]]+Tabla114[[#This Row],[Infonavit]]</f>
        <v>23095.84</v>
      </c>
      <c r="K5" s="42">
        <f>+Tabla114[[#This Row],[Aportacion Obrera]]+Tabla114[[#This Row],[Cesantía y Vejez obrera]]</f>
        <v>3026.2200000000003</v>
      </c>
      <c r="L5" s="18"/>
      <c r="M5" s="18">
        <f>+Tabla114[[#This Row],[SubTotal Patronal]]</f>
        <v>23095.84</v>
      </c>
      <c r="N5" s="16"/>
      <c r="O5" s="18">
        <f>+Tabla114[[#This Row],[SubTotal Obrera]]</f>
        <v>3026.2200000000003</v>
      </c>
      <c r="P5" s="18"/>
      <c r="Q5" s="18">
        <f t="shared" ref="Q5:Q17" si="0">+M5+O5</f>
        <v>26122.06</v>
      </c>
    </row>
    <row r="6" spans="1:17" ht="19.899999999999999" customHeight="1">
      <c r="A6" s="41">
        <v>2</v>
      </c>
      <c r="B6" s="17" t="s">
        <v>61</v>
      </c>
      <c r="C6" s="18">
        <v>4141.38</v>
      </c>
      <c r="D6" s="18">
        <v>931.98</v>
      </c>
      <c r="E6" s="18">
        <v>2389.08</v>
      </c>
      <c r="F6" s="18">
        <v>5066.04</v>
      </c>
      <c r="G6" s="18">
        <v>1343.86</v>
      </c>
      <c r="H6" s="18">
        <v>5972.69</v>
      </c>
      <c r="I6" s="18">
        <f>SUM(Tabla114[[#This Row],[Aportacion patronal]:[Infonavit]])</f>
        <v>19845.03</v>
      </c>
      <c r="J6" s="18">
        <f>Tabla114[[#This Row],[Aportacion patronal]]+Tabla114[[#This Row],[Retiro]]+Tabla114[[#This Row],[Cesantía y Vejez patronal]]+Tabla114[[#This Row],[Infonavit]]</f>
        <v>17569.189999999999</v>
      </c>
      <c r="K6" s="42">
        <f>+Tabla114[[#This Row],[Aportacion Obrera]]+Tabla114[[#This Row],[Cesantía y Vejez obrera]]</f>
        <v>2275.84</v>
      </c>
      <c r="L6" s="18"/>
      <c r="M6" s="18">
        <f>+Tabla114[[#This Row],[SubTotal Patronal]]</f>
        <v>17569.189999999999</v>
      </c>
      <c r="N6" s="16"/>
      <c r="O6" s="18">
        <f>+Tabla114[[#This Row],[SubTotal Obrera]]</f>
        <v>2275.84</v>
      </c>
      <c r="P6" s="18"/>
      <c r="Q6" s="18">
        <f t="shared" si="0"/>
        <v>19845.03</v>
      </c>
    </row>
    <row r="7" spans="1:17" ht="19.899999999999999" customHeight="1">
      <c r="A7" s="41">
        <v>3</v>
      </c>
      <c r="B7" s="17" t="s">
        <v>62</v>
      </c>
      <c r="C7" s="18">
        <v>4026.93</v>
      </c>
      <c r="D7" s="18">
        <v>901.25</v>
      </c>
      <c r="E7" s="18">
        <v>2313.3200000000002</v>
      </c>
      <c r="F7" s="18">
        <v>4905.38</v>
      </c>
      <c r="G7" s="18">
        <v>1301.24</v>
      </c>
      <c r="H7" s="18">
        <v>5783.29</v>
      </c>
      <c r="I7" s="18">
        <f>SUM(Tabla114[[#This Row],[Aportacion patronal]:[Infonavit]])</f>
        <v>19231.41</v>
      </c>
      <c r="J7" s="18">
        <f>Tabla114[[#This Row],[Aportacion patronal]]+Tabla114[[#This Row],[Retiro]]+Tabla114[[#This Row],[Cesantía y Vejez patronal]]+Tabla114[[#This Row],[Infonavit]]</f>
        <v>17028.920000000002</v>
      </c>
      <c r="K7" s="42">
        <f>+Tabla114[[#This Row],[Aportacion Obrera]]+Tabla114[[#This Row],[Cesantía y Vejez obrera]]</f>
        <v>2202.4899999999998</v>
      </c>
      <c r="L7" s="18"/>
      <c r="M7" s="18">
        <f>+Tabla114[[#This Row],[SubTotal Patronal]]</f>
        <v>17028.920000000002</v>
      </c>
      <c r="N7" s="16"/>
      <c r="O7" s="18">
        <f>+Tabla114[[#This Row],[SubTotal Obrera]]</f>
        <v>2202.4899999999998</v>
      </c>
      <c r="P7" s="18"/>
      <c r="Q7" s="18">
        <f t="shared" si="0"/>
        <v>19231.410000000003</v>
      </c>
    </row>
    <row r="8" spans="1:17" ht="19.899999999999999" customHeight="1">
      <c r="A8" s="41">
        <v>4</v>
      </c>
      <c r="B8" s="17" t="s">
        <v>63</v>
      </c>
      <c r="C8" s="18">
        <v>4182.1899999999996</v>
      </c>
      <c r="D8" s="18">
        <v>942.96</v>
      </c>
      <c r="E8" s="18">
        <v>2416.09</v>
      </c>
      <c r="F8" s="18">
        <v>5123.3100000000004</v>
      </c>
      <c r="G8" s="18">
        <v>1359.05</v>
      </c>
      <c r="H8" s="18">
        <v>6040.22</v>
      </c>
      <c r="I8" s="18">
        <f>SUM(Tabla114[[#This Row],[Aportacion patronal]:[Infonavit]])</f>
        <v>20063.82</v>
      </c>
      <c r="J8" s="18">
        <f>Tabla114[[#This Row],[Aportacion patronal]]+Tabla114[[#This Row],[Retiro]]+Tabla114[[#This Row],[Cesantía y Vejez patronal]]+Tabla114[[#This Row],[Infonavit]]</f>
        <v>17761.810000000001</v>
      </c>
      <c r="K8" s="42">
        <f>+Tabla114[[#This Row],[Aportacion Obrera]]+Tabla114[[#This Row],[Cesantía y Vejez obrera]]</f>
        <v>2302.0100000000002</v>
      </c>
      <c r="L8" s="18"/>
      <c r="M8" s="18">
        <f>+Tabla114[[#This Row],[SubTotal Patronal]]</f>
        <v>17761.810000000001</v>
      </c>
      <c r="N8" s="16"/>
      <c r="O8" s="18">
        <f>+Tabla114[[#This Row],[SubTotal Obrera]]</f>
        <v>2302.0100000000002</v>
      </c>
      <c r="P8" s="18"/>
      <c r="Q8" s="18">
        <f t="shared" si="0"/>
        <v>20063.82</v>
      </c>
    </row>
    <row r="9" spans="1:17" ht="19.899999999999999" customHeight="1">
      <c r="A9" s="41">
        <v>5</v>
      </c>
      <c r="B9" s="17" t="s">
        <v>64</v>
      </c>
      <c r="C9" s="18">
        <v>4141.38</v>
      </c>
      <c r="D9" s="18">
        <v>931.98</v>
      </c>
      <c r="E9" s="18">
        <v>2389.08</v>
      </c>
      <c r="F9" s="18">
        <v>5066.04</v>
      </c>
      <c r="G9" s="18">
        <v>1343.86</v>
      </c>
      <c r="H9" s="18">
        <v>5972.69</v>
      </c>
      <c r="I9" s="18">
        <f>SUM(Tabla114[[#This Row],[Aportacion patronal]:[Infonavit]])</f>
        <v>19845.03</v>
      </c>
      <c r="J9" s="18">
        <f>Tabla114[[#This Row],[Aportacion patronal]]+Tabla114[[#This Row],[Retiro]]+Tabla114[[#This Row],[Cesantía y Vejez patronal]]+Tabla114[[#This Row],[Infonavit]]</f>
        <v>17569.189999999999</v>
      </c>
      <c r="K9" s="42">
        <f>+Tabla114[[#This Row],[Aportacion Obrera]]+Tabla114[[#This Row],[Cesantía y Vejez obrera]]</f>
        <v>2275.84</v>
      </c>
      <c r="L9" s="18"/>
      <c r="M9" s="18">
        <f>+Tabla114[[#This Row],[SubTotal Patronal]]</f>
        <v>17569.189999999999</v>
      </c>
      <c r="N9" s="16"/>
      <c r="O9" s="18">
        <f>+Tabla114[[#This Row],[SubTotal Obrera]]</f>
        <v>2275.84</v>
      </c>
      <c r="P9" s="18"/>
      <c r="Q9" s="18">
        <f t="shared" si="0"/>
        <v>19845.03</v>
      </c>
    </row>
    <row r="10" spans="1:17" ht="19.899999999999999" customHeight="1">
      <c r="A10" s="41">
        <v>6</v>
      </c>
      <c r="B10" s="17" t="s">
        <v>82</v>
      </c>
      <c r="C10" s="18">
        <v>5312.18</v>
      </c>
      <c r="D10" s="18">
        <v>1246.43</v>
      </c>
      <c r="E10" s="18">
        <v>3164.07</v>
      </c>
      <c r="F10" s="18">
        <v>6709.41</v>
      </c>
      <c r="G10" s="18">
        <v>1779.79</v>
      </c>
      <c r="H10" s="18">
        <v>7910.18</v>
      </c>
      <c r="I10" s="18">
        <f>SUM(Tabla114[[#This Row],[Aportacion patronal]:[Infonavit]])</f>
        <v>26122.06</v>
      </c>
      <c r="J10" s="18">
        <f>Tabla114[[#This Row],[Aportacion patronal]]+Tabla114[[#This Row],[Retiro]]+Tabla114[[#This Row],[Cesantía y Vejez patronal]]+Tabla114[[#This Row],[Infonavit]]</f>
        <v>23095.84</v>
      </c>
      <c r="K10" s="42">
        <f>+Tabla114[[#This Row],[Aportacion Obrera]]+Tabla114[[#This Row],[Cesantía y Vejez obrera]]</f>
        <v>3026.2200000000003</v>
      </c>
      <c r="L10" s="18"/>
      <c r="M10" s="18">
        <f>+Tabla114[[#This Row],[SubTotal Patronal]]*0.3375</f>
        <v>7794.8460000000005</v>
      </c>
      <c r="N10" s="16"/>
      <c r="O10" s="18">
        <f>+Tabla114[[#This Row],[SubTotal Obrera]]*0.3375</f>
        <v>1021.3492500000001</v>
      </c>
      <c r="P10" s="18"/>
      <c r="Q10" s="18">
        <f t="shared" si="0"/>
        <v>8816.1952500000007</v>
      </c>
    </row>
    <row r="11" spans="1:17" ht="19.899999999999999" customHeight="1">
      <c r="A11" s="41">
        <v>7</v>
      </c>
      <c r="B11" s="17" t="s">
        <v>65</v>
      </c>
      <c r="C11" s="18">
        <v>5312.18</v>
      </c>
      <c r="D11" s="18">
        <v>1246.43</v>
      </c>
      <c r="E11" s="18">
        <v>3164.07</v>
      </c>
      <c r="F11" s="18">
        <v>6709.41</v>
      </c>
      <c r="G11" s="18">
        <v>1779.79</v>
      </c>
      <c r="H11" s="18">
        <v>7910.18</v>
      </c>
      <c r="I11" s="18">
        <f>SUM(Tabla114[[#This Row],[Aportacion patronal]:[Infonavit]])</f>
        <v>26122.06</v>
      </c>
      <c r="J11" s="18">
        <f>Tabla114[[#This Row],[Aportacion patronal]]+Tabla114[[#This Row],[Retiro]]+Tabla114[[#This Row],[Cesantía y Vejez patronal]]+Tabla114[[#This Row],[Infonavit]]</f>
        <v>23095.84</v>
      </c>
      <c r="K11" s="42">
        <f>+Tabla114[[#This Row],[Aportacion Obrera]]+Tabla114[[#This Row],[Cesantía y Vejez obrera]]</f>
        <v>3026.2200000000003</v>
      </c>
      <c r="L11" s="18"/>
      <c r="M11" s="18">
        <f>+Tabla114[[#This Row],[SubTotal Patronal]]*0.45</f>
        <v>10393.128000000001</v>
      </c>
      <c r="N11" s="16"/>
      <c r="O11" s="18">
        <f>+Tabla114[[#This Row],[SubTotal Obrera]]*0.45</f>
        <v>1361.7990000000002</v>
      </c>
      <c r="P11" s="18"/>
      <c r="Q11" s="18">
        <f t="shared" si="0"/>
        <v>11754.927000000001</v>
      </c>
    </row>
    <row r="12" spans="1:17" ht="19.899999999999999" customHeight="1">
      <c r="A12" s="41">
        <v>8</v>
      </c>
      <c r="B12" s="17" t="s">
        <v>66</v>
      </c>
      <c r="C12" s="18">
        <v>2839.2</v>
      </c>
      <c r="D12" s="18">
        <v>582.26</v>
      </c>
      <c r="E12" s="18">
        <v>1527.11</v>
      </c>
      <c r="F12" s="18">
        <v>3238.24</v>
      </c>
      <c r="G12" s="18">
        <v>859</v>
      </c>
      <c r="H12" s="18">
        <v>3817.78</v>
      </c>
      <c r="I12" s="18">
        <f>SUM(Tabla114[[#This Row],[Aportacion patronal]:[Infonavit]])</f>
        <v>12863.59</v>
      </c>
      <c r="J12" s="18">
        <f>Tabla114[[#This Row],[Aportacion patronal]]+Tabla114[[#This Row],[Retiro]]+Tabla114[[#This Row],[Cesantía y Vejez patronal]]+Tabla114[[#This Row],[Infonavit]]</f>
        <v>11422.33</v>
      </c>
      <c r="K12" s="42">
        <f>+Tabla114[[#This Row],[Aportacion Obrera]]+Tabla114[[#This Row],[Cesantía y Vejez obrera]]</f>
        <v>1441.26</v>
      </c>
      <c r="L12" s="18"/>
      <c r="M12" s="18">
        <f>+Tabla114[[#This Row],[SubTotal Patronal]]</f>
        <v>11422.33</v>
      </c>
      <c r="N12" s="16"/>
      <c r="O12" s="18">
        <f>+Tabla114[[#This Row],[SubTotal Obrera]]</f>
        <v>1441.26</v>
      </c>
      <c r="P12" s="18"/>
      <c r="Q12" s="18">
        <f t="shared" si="0"/>
        <v>12863.59</v>
      </c>
    </row>
    <row r="13" spans="1:17" ht="19.899999999999999" customHeight="1">
      <c r="A13" s="41">
        <v>9</v>
      </c>
      <c r="B13" s="17" t="s">
        <v>74</v>
      </c>
      <c r="C13" s="18">
        <v>5312.18</v>
      </c>
      <c r="D13" s="18">
        <v>1246.43</v>
      </c>
      <c r="E13" s="18">
        <v>3164.07</v>
      </c>
      <c r="F13" s="18">
        <v>6709.41</v>
      </c>
      <c r="G13" s="18">
        <v>1779.79</v>
      </c>
      <c r="H13" s="18">
        <v>7910.18</v>
      </c>
      <c r="I13" s="18">
        <f>SUM(Tabla114[[#This Row],[Aportacion patronal]:[Infonavit]])</f>
        <v>26122.06</v>
      </c>
      <c r="J13" s="18">
        <f>Tabla114[[#This Row],[Aportacion patronal]]+Tabla114[[#This Row],[Retiro]]+Tabla114[[#This Row],[Cesantía y Vejez patronal]]+Tabla114[[#This Row],[Infonavit]]</f>
        <v>23095.84</v>
      </c>
      <c r="K13" s="42">
        <f>+Tabla114[[#This Row],[Aportacion Obrera]]+Tabla114[[#This Row],[Cesantía y Vejez obrera]]</f>
        <v>3026.2200000000003</v>
      </c>
      <c r="L13" s="18"/>
      <c r="M13" s="18">
        <f>+Tabla114[[#This Row],[SubTotal Patronal]]*0.5</f>
        <v>11547.92</v>
      </c>
      <c r="N13" s="16"/>
      <c r="O13" s="18">
        <f>+Tabla114[[#This Row],[SubTotal Obrera]]*0.5</f>
        <v>1513.1100000000001</v>
      </c>
      <c r="P13" s="18"/>
      <c r="Q13" s="18">
        <f t="shared" si="0"/>
        <v>13061.03</v>
      </c>
    </row>
    <row r="14" spans="1:17" ht="19.899999999999999" customHeight="1">
      <c r="A14" s="41">
        <v>10</v>
      </c>
      <c r="B14" s="17" t="s">
        <v>67</v>
      </c>
      <c r="C14" s="18">
        <v>5312.18</v>
      </c>
      <c r="D14" s="18">
        <v>1246.43</v>
      </c>
      <c r="E14" s="18">
        <v>3164.07</v>
      </c>
      <c r="F14" s="18">
        <v>6709.41</v>
      </c>
      <c r="G14" s="18">
        <v>1779.79</v>
      </c>
      <c r="H14" s="18">
        <v>7910.18</v>
      </c>
      <c r="I14" s="18">
        <f>SUM(Tabla114[[#This Row],[Aportacion patronal]:[Infonavit]])</f>
        <v>26122.06</v>
      </c>
      <c r="J14" s="18">
        <f>Tabla114[[#This Row],[Aportacion patronal]]+Tabla114[[#This Row],[Retiro]]+Tabla114[[#This Row],[Cesantía y Vejez patronal]]+Tabla114[[#This Row],[Infonavit]]</f>
        <v>23095.84</v>
      </c>
      <c r="K14" s="42">
        <f>+Tabla114[[#This Row],[Aportacion Obrera]]+Tabla114[[#This Row],[Cesantía y Vejez obrera]]</f>
        <v>3026.2200000000003</v>
      </c>
      <c r="L14" s="18"/>
      <c r="M14" s="18">
        <f>+Tabla114[[#This Row],[SubTotal Patronal]]</f>
        <v>23095.84</v>
      </c>
      <c r="N14" s="16"/>
      <c r="O14" s="18">
        <f>+Tabla114[[#This Row],[SubTotal Obrera]]</f>
        <v>3026.2200000000003</v>
      </c>
      <c r="P14" s="18"/>
      <c r="Q14" s="18">
        <f t="shared" si="0"/>
        <v>26122.06</v>
      </c>
    </row>
    <row r="15" spans="1:17" ht="19.899999999999999" customHeight="1">
      <c r="A15" s="41">
        <v>11</v>
      </c>
      <c r="B15" s="17" t="s">
        <v>68</v>
      </c>
      <c r="C15" s="18">
        <v>4209.1099999999997</v>
      </c>
      <c r="D15" s="18">
        <v>950.18</v>
      </c>
      <c r="E15" s="18">
        <v>2433.9</v>
      </c>
      <c r="F15" s="18">
        <v>5161.08</v>
      </c>
      <c r="G15" s="18">
        <v>1369.07</v>
      </c>
      <c r="H15" s="18">
        <v>6084.75</v>
      </c>
      <c r="I15" s="18">
        <f>SUM(Tabla114[[#This Row],[Aportacion patronal]:[Infonavit]])</f>
        <v>20208.09</v>
      </c>
      <c r="J15" s="18">
        <f>Tabla114[[#This Row],[Aportacion patronal]]+Tabla114[[#This Row],[Retiro]]+Tabla114[[#This Row],[Cesantía y Vejez patronal]]+Tabla114[[#This Row],[Infonavit]]</f>
        <v>17888.84</v>
      </c>
      <c r="K15" s="42">
        <f>+Tabla114[[#This Row],[Aportacion Obrera]]+Tabla114[[#This Row],[Cesantía y Vejez obrera]]</f>
        <v>2319.25</v>
      </c>
      <c r="L15" s="18"/>
      <c r="M15" s="18">
        <f>+Tabla114[[#This Row],[SubTotal Patronal]]</f>
        <v>17888.84</v>
      </c>
      <c r="N15" s="16"/>
      <c r="O15" s="18">
        <f>+Tabla114[[#This Row],[SubTotal Obrera]]</f>
        <v>2319.25</v>
      </c>
      <c r="P15" s="18"/>
      <c r="Q15" s="18">
        <f t="shared" si="0"/>
        <v>20208.09</v>
      </c>
    </row>
    <row r="16" spans="1:17" ht="19.899999999999999" customHeight="1">
      <c r="A16" s="41">
        <v>12</v>
      </c>
      <c r="B16" s="17" t="s">
        <v>69</v>
      </c>
      <c r="C16" s="18">
        <v>3230.39</v>
      </c>
      <c r="D16" s="18">
        <v>687.33</v>
      </c>
      <c r="E16" s="18">
        <v>1786.06</v>
      </c>
      <c r="F16" s="18">
        <v>3787.33</v>
      </c>
      <c r="G16" s="18">
        <v>1004.66</v>
      </c>
      <c r="H16" s="18">
        <v>4465.1400000000003</v>
      </c>
      <c r="I16" s="18">
        <f>SUM(Tabla114[[#This Row],[Aportacion patronal]:[Infonavit]])</f>
        <v>14960.91</v>
      </c>
      <c r="J16" s="18">
        <f>Tabla114[[#This Row],[Aportacion patronal]]+Tabla114[[#This Row],[Retiro]]+Tabla114[[#This Row],[Cesantía y Vejez patronal]]+Tabla114[[#This Row],[Infonavit]]</f>
        <v>13268.919999999998</v>
      </c>
      <c r="K16" s="18">
        <f>+Tabla114[[#This Row],[Aportacion Obrera]]+Tabla114[[#This Row],[Cesantía y Vejez obrera]]</f>
        <v>1691.99</v>
      </c>
      <c r="L16" s="18"/>
      <c r="M16" s="18">
        <f>+Tabla114[[#This Row],[SubTotal Patronal]]*0.5</f>
        <v>6634.4599999999991</v>
      </c>
      <c r="N16" s="16"/>
      <c r="O16" s="18">
        <f>+Tabla114[[#This Row],[SubTotal Obrera]]*0.5</f>
        <v>845.995</v>
      </c>
      <c r="P16" s="18"/>
      <c r="Q16" s="18">
        <f t="shared" si="0"/>
        <v>7480.454999999999</v>
      </c>
    </row>
    <row r="17" spans="1:17" ht="19.899999999999999" customHeight="1">
      <c r="A17" s="41">
        <v>13</v>
      </c>
      <c r="B17" s="17" t="s">
        <v>70</v>
      </c>
      <c r="C17" s="18">
        <v>5120.12</v>
      </c>
      <c r="D17" s="18">
        <v>1194.8599999999999</v>
      </c>
      <c r="E17" s="18">
        <v>3036.93</v>
      </c>
      <c r="F17" s="18">
        <v>6439.82</v>
      </c>
      <c r="G17" s="18">
        <v>1708.28</v>
      </c>
      <c r="H17" s="18">
        <v>7592.33</v>
      </c>
      <c r="I17" s="18">
        <f>SUM(Tabla114[[#This Row],[Aportacion patronal]:[Infonavit]])</f>
        <v>25092.339999999997</v>
      </c>
      <c r="J17" s="18">
        <f>Tabla114[[#This Row],[Aportacion patronal]]+Tabla114[[#This Row],[Retiro]]+Tabla114[[#This Row],[Cesantía y Vejez patronal]]+Tabla114[[#This Row],[Infonavit]]</f>
        <v>22189.199999999997</v>
      </c>
      <c r="K17" s="18">
        <f>+Tabla114[[#This Row],[Aportacion Obrera]]+Tabla114[[#This Row],[Cesantía y Vejez obrera]]</f>
        <v>2903.14</v>
      </c>
      <c r="L17" s="18"/>
      <c r="M17" s="18">
        <f>+Tabla114[[#This Row],[SubTotal Patronal]]</f>
        <v>22189.199999999997</v>
      </c>
      <c r="N17" s="16"/>
      <c r="O17" s="18">
        <f>+Tabla114[[#This Row],[SubTotal Obrera]]</f>
        <v>2903.14</v>
      </c>
      <c r="P17" s="18"/>
      <c r="Q17" s="18">
        <f t="shared" si="0"/>
        <v>25092.339999999997</v>
      </c>
    </row>
    <row r="18" spans="1:17" ht="15" thickBot="1">
      <c r="A18" s="5" t="s">
        <v>29</v>
      </c>
      <c r="B18" s="6"/>
      <c r="C18" s="23">
        <f>SUBTOTAL(109,Tabla114[Aportacion patronal])</f>
        <v>58451.600000000006</v>
      </c>
      <c r="D18" s="23">
        <f>SUBTOTAL(109,Tabla114[Aportacion Obrera])</f>
        <v>13354.950000000003</v>
      </c>
      <c r="E18" s="23">
        <f>SUBTOTAL(109,Tabla114[Retiro])</f>
        <v>34111.919999999998</v>
      </c>
      <c r="F18" s="23">
        <f>SUBTOTAL(109,Tabla114[Cesantía y Vejez patronal])</f>
        <v>72334.290000000008</v>
      </c>
      <c r="G18" s="23">
        <f>SUBTOTAL(109,Tabla114[Cesantía y Vejez obrera])</f>
        <v>19187.97</v>
      </c>
      <c r="H18" s="23">
        <f>SUBTOTAL(109,Tabla114[Infonavit])</f>
        <v>85279.790000000008</v>
      </c>
      <c r="I18" s="23">
        <f>SUBTOTAL(109,Tabla114[SubTotal])</f>
        <v>282720.52</v>
      </c>
      <c r="J18" s="23">
        <f>SUBTOTAL(109,Tabla114[SubTotal Patronal])</f>
        <v>250177.59999999998</v>
      </c>
      <c r="K18" s="23">
        <f>SUBTOTAL(109,Tabla114[SubTotal Obrera])</f>
        <v>32542.920000000006</v>
      </c>
      <c r="M18" s="10">
        <f>SUM(M5:M17)</f>
        <v>203991.51399999997</v>
      </c>
      <c r="O18" s="10">
        <f>SUM(O5:O17)</f>
        <v>26514.523250000002</v>
      </c>
      <c r="P18" s="10"/>
      <c r="Q18" s="10">
        <f>SUM(Q5:Q17)</f>
        <v>230506.03724999999</v>
      </c>
    </row>
    <row r="19" spans="1:17" ht="15" thickTop="1"/>
    <row r="21" spans="1:17">
      <c r="B21" s="14" t="s">
        <v>31</v>
      </c>
      <c r="C21" s="20"/>
      <c r="D21" s="11"/>
      <c r="E21" s="11"/>
    </row>
    <row r="22" spans="1:17" ht="43.15">
      <c r="B22" s="28" t="s">
        <v>32</v>
      </c>
      <c r="C22" s="27" t="s">
        <v>33</v>
      </c>
      <c r="D22" s="27" t="s">
        <v>34</v>
      </c>
      <c r="E22" s="27" t="s">
        <v>35</v>
      </c>
      <c r="F22" s="27" t="s">
        <v>36</v>
      </c>
      <c r="G22" s="27" t="s">
        <v>37</v>
      </c>
      <c r="H22" s="27" t="s">
        <v>38</v>
      </c>
      <c r="J22" s="18" t="s">
        <v>39</v>
      </c>
    </row>
    <row r="23" spans="1:17">
      <c r="B23" t="s">
        <v>40</v>
      </c>
      <c r="C23" s="21">
        <v>70015</v>
      </c>
      <c r="D23" s="15" t="s">
        <v>91</v>
      </c>
      <c r="E23" s="33">
        <v>203991.51</v>
      </c>
      <c r="F23" s="34"/>
      <c r="G23" s="34">
        <v>11824.17</v>
      </c>
      <c r="H23" s="34"/>
      <c r="J23">
        <v>17.25</v>
      </c>
    </row>
    <row r="24" spans="1:17">
      <c r="B24">
        <v>99999</v>
      </c>
      <c r="C24" s="21" t="s">
        <v>42</v>
      </c>
      <c r="D24" s="15" t="s">
        <v>91</v>
      </c>
      <c r="E24" s="33"/>
      <c r="F24" s="34">
        <v>203991.51</v>
      </c>
      <c r="G24" s="34"/>
      <c r="H24" s="34">
        <v>11824.17</v>
      </c>
      <c r="J24">
        <v>17.25</v>
      </c>
    </row>
    <row r="25" spans="1:17">
      <c r="C25" s="21"/>
      <c r="D25" s="15"/>
      <c r="E25" s="33"/>
      <c r="F25" s="34"/>
      <c r="G25" s="34"/>
      <c r="H25" s="34"/>
    </row>
    <row r="26" spans="1:17">
      <c r="C26" s="21"/>
      <c r="D26" s="15"/>
      <c r="E26" s="33"/>
      <c r="F26" s="34"/>
      <c r="G26" s="34"/>
      <c r="H26" s="34"/>
    </row>
    <row r="27" spans="1:17">
      <c r="C27" s="21"/>
      <c r="D27" s="15"/>
      <c r="E27" s="33"/>
      <c r="F27" s="34"/>
      <c r="G27" s="34"/>
      <c r="H27" s="34"/>
    </row>
    <row r="28" spans="1:17">
      <c r="B28" s="14" t="s">
        <v>92</v>
      </c>
      <c r="C28" s="21"/>
      <c r="D28" s="15"/>
      <c r="E28" s="33"/>
      <c r="F28" s="34"/>
      <c r="G28" s="34"/>
      <c r="H28" s="34"/>
    </row>
    <row r="29" spans="1:17">
      <c r="C29" s="21"/>
      <c r="D29" s="15"/>
      <c r="E29" s="33"/>
      <c r="F29" s="34"/>
      <c r="G29" s="34"/>
      <c r="H29" s="34"/>
    </row>
    <row r="30" spans="1:17">
      <c r="B30" s="14" t="s">
        <v>31</v>
      </c>
    </row>
    <row r="31" spans="1:17">
      <c r="B31">
        <v>99999</v>
      </c>
      <c r="C31">
        <v>20212</v>
      </c>
      <c r="D31" s="15" t="s">
        <v>87</v>
      </c>
      <c r="E31">
        <v>61332.38</v>
      </c>
      <c r="G31">
        <v>3524.85</v>
      </c>
      <c r="J31">
        <v>17.399999999999999</v>
      </c>
    </row>
    <row r="34" spans="2:2">
      <c r="B34" s="14" t="s">
        <v>93</v>
      </c>
    </row>
  </sheetData>
  <mergeCells count="1">
    <mergeCell ref="A3:K3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09F6F-C3D6-411D-895B-802A6412AA9E}">
  <dimension ref="A1:Z46"/>
  <sheetViews>
    <sheetView topLeftCell="A27" workbookViewId="0">
      <selection activeCell="D51" sqref="D51"/>
    </sheetView>
  </sheetViews>
  <sheetFormatPr defaultColWidth="11.42578125" defaultRowHeight="14.45" outlineLevelCol="1"/>
  <cols>
    <col min="1" max="1" width="5.140625" bestFit="1" customWidth="1"/>
    <col min="2" max="2" width="23.85546875" customWidth="1"/>
    <col min="3" max="3" width="15.28515625" style="11" bestFit="1" customWidth="1"/>
    <col min="4" max="4" width="68.7109375" style="11" customWidth="1"/>
    <col min="5" max="5" width="11.42578125" style="11" customWidth="1" outlineLevel="1"/>
    <col min="6" max="6" width="11.85546875" style="11" customWidth="1" outlineLevel="1"/>
    <col min="7" max="7" width="11.42578125" style="11" customWidth="1" outlineLevel="1"/>
    <col min="8" max="8" width="15.5703125" style="11" customWidth="1" outlineLevel="1"/>
    <col min="9" max="9" width="12.7109375" style="11" customWidth="1"/>
    <col min="10" max="10" width="11.85546875" style="11" customWidth="1"/>
    <col min="11" max="11" width="11.28515625" style="11" customWidth="1"/>
    <col min="12" max="12" width="1.85546875" customWidth="1"/>
    <col min="15" max="15" width="10.5703125" bestFit="1" customWidth="1"/>
    <col min="16" max="16" width="13.140625" bestFit="1" customWidth="1"/>
    <col min="17" max="17" width="1.85546875" customWidth="1"/>
    <col min="18" max="19" width="10.5703125" bestFit="1" customWidth="1"/>
    <col min="20" max="20" width="9.5703125" bestFit="1" customWidth="1"/>
    <col min="21" max="21" width="13.140625" customWidth="1"/>
    <col min="22" max="22" width="1.85546875" customWidth="1"/>
    <col min="25" max="25" width="10.5703125" bestFit="1" customWidth="1"/>
    <col min="26" max="26" width="14.85546875" customWidth="1"/>
  </cols>
  <sheetData>
    <row r="1" spans="1:26" ht="15" thickBot="1">
      <c r="A1" s="50" t="s">
        <v>94</v>
      </c>
      <c r="B1" s="51"/>
      <c r="C1" s="51"/>
      <c r="D1" s="51"/>
      <c r="E1" s="51"/>
      <c r="F1" s="51"/>
      <c r="G1" s="51"/>
      <c r="H1" s="51"/>
      <c r="I1" s="51"/>
      <c r="J1" s="51"/>
      <c r="K1" s="52"/>
      <c r="M1" s="46" t="s">
        <v>47</v>
      </c>
      <c r="N1" s="47"/>
      <c r="O1" s="47"/>
      <c r="P1" s="47"/>
      <c r="R1" s="46" t="s">
        <v>48</v>
      </c>
      <c r="S1" s="47"/>
      <c r="T1" s="47"/>
      <c r="U1" s="47"/>
      <c r="W1" s="46" t="s">
        <v>3</v>
      </c>
      <c r="X1" s="47"/>
      <c r="Y1" s="47"/>
      <c r="Z1" s="47"/>
    </row>
    <row r="2" spans="1:26" ht="43.9" thickBot="1">
      <c r="A2" s="3" t="s">
        <v>4</v>
      </c>
      <c r="B2" s="3" t="s">
        <v>49</v>
      </c>
      <c r="C2" s="4" t="s">
        <v>6</v>
      </c>
      <c r="D2" s="4" t="s">
        <v>7</v>
      </c>
      <c r="E2" s="4" t="s">
        <v>50</v>
      </c>
      <c r="F2" s="4" t="s">
        <v>51</v>
      </c>
      <c r="G2" s="4" t="s">
        <v>52</v>
      </c>
      <c r="H2" s="4" t="s">
        <v>53</v>
      </c>
      <c r="I2" s="4" t="s">
        <v>8</v>
      </c>
      <c r="J2" s="4" t="s">
        <v>54</v>
      </c>
      <c r="K2" s="4" t="s">
        <v>55</v>
      </c>
      <c r="M2" s="1" t="s">
        <v>9</v>
      </c>
      <c r="N2" s="1" t="s">
        <v>10</v>
      </c>
      <c r="O2" s="1" t="s">
        <v>11</v>
      </c>
      <c r="P2" s="1" t="s">
        <v>95</v>
      </c>
      <c r="R2" s="1" t="s">
        <v>9</v>
      </c>
      <c r="S2" s="1" t="s">
        <v>10</v>
      </c>
      <c r="T2" s="1" t="s">
        <v>11</v>
      </c>
      <c r="U2" s="1" t="s">
        <v>95</v>
      </c>
      <c r="W2" s="1" t="s">
        <v>9</v>
      </c>
      <c r="X2" s="1" t="s">
        <v>10</v>
      </c>
      <c r="Y2" s="1" t="s">
        <v>11</v>
      </c>
      <c r="Z2" s="1" t="s">
        <v>95</v>
      </c>
    </row>
    <row r="3" spans="1:26" s="16" customFormat="1" ht="15" thickTop="1">
      <c r="A3" s="41">
        <v>1</v>
      </c>
      <c r="B3" s="17" t="s">
        <v>15</v>
      </c>
      <c r="C3" s="18">
        <v>5489.25</v>
      </c>
      <c r="D3" s="18">
        <v>1287.98</v>
      </c>
      <c r="E3" s="18"/>
      <c r="F3" s="18"/>
      <c r="G3" s="18"/>
      <c r="H3" s="18"/>
      <c r="I3" s="18">
        <f>SUM(Tabla110[[#This Row],[Aportacion patronal]:[Infonavit]])</f>
        <v>6777.23</v>
      </c>
      <c r="J3" s="18">
        <f>Tabla110[[#This Row],[Aportacion patronal]]+Tabla110[[#This Row],[Retiro]]+Tabla110[[#This Row],[Cesantía y Vejez patronal]]+Tabla110[[#This Row],[Infonavit]]</f>
        <v>5489.25</v>
      </c>
      <c r="K3" s="42">
        <f>+Tabla110[[#This Row],[Aportacion Obrera]]+Tabla110[[#This Row],[Cesantía y Vejez obrera]]</f>
        <v>1287.98</v>
      </c>
      <c r="L3" s="18"/>
      <c r="M3" s="18"/>
      <c r="N3" s="18">
        <f>+Tabla110[[#This Row],[SubTotal Patronal]]</f>
        <v>5489.25</v>
      </c>
      <c r="O3" s="18"/>
      <c r="P3" s="18"/>
      <c r="R3" s="18"/>
      <c r="S3" s="18">
        <f>+Tabla110[[#This Row],[SubTotal Obrera]]</f>
        <v>1287.98</v>
      </c>
      <c r="T3" s="18"/>
      <c r="U3" s="18"/>
      <c r="W3" s="18">
        <f>+M3+R3</f>
        <v>0</v>
      </c>
      <c r="X3" s="18">
        <f t="shared" ref="X3:Z23" si="0">+N3+S3</f>
        <v>6777.23</v>
      </c>
      <c r="Y3" s="18">
        <f t="shared" si="0"/>
        <v>0</v>
      </c>
      <c r="Z3" s="18">
        <f t="shared" si="0"/>
        <v>0</v>
      </c>
    </row>
    <row r="4" spans="1:26" s="16" customFormat="1" ht="28.9">
      <c r="A4" s="41">
        <v>2</v>
      </c>
      <c r="B4" s="17" t="s">
        <v>96</v>
      </c>
      <c r="C4" s="43">
        <v>4228.5</v>
      </c>
      <c r="D4" s="43">
        <v>949.38</v>
      </c>
      <c r="E4" s="18"/>
      <c r="F4" s="18"/>
      <c r="G4" s="18"/>
      <c r="H4" s="18"/>
      <c r="I4" s="18">
        <f>SUM(Tabla110[[#This Row],[Aportacion patronal]:[Infonavit]])</f>
        <v>5177.88</v>
      </c>
      <c r="J4" s="18">
        <f>Tabla110[[#This Row],[Aportacion patronal]]+Tabla110[[#This Row],[Retiro]]+Tabla110[[#This Row],[Cesantía y Vejez patronal]]+Tabla110[[#This Row],[Infonavit]]</f>
        <v>4228.5</v>
      </c>
      <c r="K4" s="42">
        <f>+Tabla110[[#This Row],[Aportacion Obrera]]+Tabla110[[#This Row],[Cesantía y Vejez obrera]]</f>
        <v>949.38</v>
      </c>
      <c r="L4" s="18"/>
      <c r="M4" s="18">
        <f>+Tabla110[[#This Row],[SubTotal Patronal]]</f>
        <v>4228.5</v>
      </c>
      <c r="N4" s="18"/>
      <c r="O4" s="18"/>
      <c r="P4" s="18"/>
      <c r="R4" s="18">
        <f>+Tabla110[[#This Row],[SubTotal Obrera]]</f>
        <v>949.38</v>
      </c>
      <c r="S4" s="18"/>
      <c r="T4" s="18"/>
      <c r="U4" s="18"/>
      <c r="W4" s="18">
        <f t="shared" ref="W4:Z24" si="1">+M4+R4</f>
        <v>5177.88</v>
      </c>
      <c r="X4" s="18">
        <f t="shared" si="0"/>
        <v>0</v>
      </c>
      <c r="Y4" s="18">
        <f t="shared" si="0"/>
        <v>0</v>
      </c>
      <c r="Z4" s="18">
        <f t="shared" si="0"/>
        <v>0</v>
      </c>
    </row>
    <row r="5" spans="1:26" s="16" customFormat="1" ht="28.9">
      <c r="A5" s="41">
        <v>3</v>
      </c>
      <c r="B5" s="17" t="s">
        <v>97</v>
      </c>
      <c r="C5" s="43">
        <v>3075.97</v>
      </c>
      <c r="D5" s="43">
        <v>639.84</v>
      </c>
      <c r="E5" s="18"/>
      <c r="F5" s="18"/>
      <c r="G5" s="18"/>
      <c r="H5" s="18"/>
      <c r="I5" s="18">
        <f>SUM(Tabla110[[#This Row],[Aportacion patronal]:[Infonavit]])</f>
        <v>3715.81</v>
      </c>
      <c r="J5" s="18">
        <f>Tabla110[[#This Row],[Aportacion patronal]]+Tabla110[[#This Row],[Retiro]]+Tabla110[[#This Row],[Cesantía y Vejez patronal]]+Tabla110[[#This Row],[Infonavit]]</f>
        <v>3075.97</v>
      </c>
      <c r="K5" s="42">
        <f>+Tabla110[[#This Row],[Aportacion Obrera]]+Tabla110[[#This Row],[Cesantía y Vejez obrera]]</f>
        <v>639.84</v>
      </c>
      <c r="L5" s="18"/>
      <c r="M5" s="18">
        <f>+Tabla110[[#This Row],[SubTotal Patronal]]</f>
        <v>3075.97</v>
      </c>
      <c r="N5" s="18"/>
      <c r="O5" s="18"/>
      <c r="P5" s="18"/>
      <c r="R5" s="18">
        <f>+Tabla110[[#This Row],[SubTotal Obrera]]</f>
        <v>639.84</v>
      </c>
      <c r="S5" s="18"/>
      <c r="T5" s="18"/>
      <c r="U5" s="18"/>
      <c r="W5" s="18">
        <f t="shared" si="1"/>
        <v>3715.81</v>
      </c>
      <c r="X5" s="18">
        <f t="shared" si="0"/>
        <v>0</v>
      </c>
      <c r="Y5" s="18">
        <f t="shared" si="0"/>
        <v>0</v>
      </c>
      <c r="Z5" s="18">
        <f t="shared" si="0"/>
        <v>0</v>
      </c>
    </row>
    <row r="6" spans="1:26" s="16" customFormat="1" ht="28.9">
      <c r="A6" s="41">
        <v>4</v>
      </c>
      <c r="B6" s="17" t="s">
        <v>61</v>
      </c>
      <c r="C6" s="18">
        <v>4279.43</v>
      </c>
      <c r="D6" s="18">
        <v>963.06</v>
      </c>
      <c r="E6" s="18"/>
      <c r="F6" s="18"/>
      <c r="G6" s="18"/>
      <c r="H6" s="18"/>
      <c r="I6" s="18">
        <f>SUM(Tabla110[[#This Row],[Aportacion patronal]:[Infonavit]])</f>
        <v>5242.49</v>
      </c>
      <c r="J6" s="18">
        <f>Tabla110[[#This Row],[Aportacion patronal]]+Tabla110[[#This Row],[Retiro]]+Tabla110[[#This Row],[Cesantía y Vejez patronal]]+Tabla110[[#This Row],[Infonavit]]</f>
        <v>4279.43</v>
      </c>
      <c r="K6" s="42">
        <f>+Tabla110[[#This Row],[Aportacion Obrera]]+Tabla110[[#This Row],[Cesantía y Vejez obrera]]</f>
        <v>963.06</v>
      </c>
      <c r="L6" s="18"/>
      <c r="M6" s="18"/>
      <c r="N6" s="18">
        <f>+Tabla110[[#This Row],[SubTotal Patronal]]</f>
        <v>4279.43</v>
      </c>
      <c r="O6" s="18"/>
      <c r="P6" s="18"/>
      <c r="R6" s="18"/>
      <c r="S6" s="18">
        <f>+Tabla110[[#This Row],[SubTotal Obrera]]</f>
        <v>963.06</v>
      </c>
      <c r="T6" s="18"/>
      <c r="U6" s="18"/>
      <c r="W6" s="18">
        <f t="shared" si="1"/>
        <v>0</v>
      </c>
      <c r="X6" s="18">
        <f t="shared" si="0"/>
        <v>5242.49</v>
      </c>
      <c r="Y6" s="18">
        <f t="shared" si="0"/>
        <v>0</v>
      </c>
      <c r="Z6" s="18">
        <f t="shared" si="0"/>
        <v>0</v>
      </c>
    </row>
    <row r="7" spans="1:26" s="16" customFormat="1" ht="28.9">
      <c r="A7" s="41">
        <v>5</v>
      </c>
      <c r="B7" s="17" t="s">
        <v>62</v>
      </c>
      <c r="C7" s="18">
        <v>4161.16</v>
      </c>
      <c r="D7" s="18">
        <v>931.29</v>
      </c>
      <c r="E7" s="18"/>
      <c r="F7" s="18"/>
      <c r="G7" s="18"/>
      <c r="H7" s="18"/>
      <c r="I7" s="18">
        <f>SUM(Tabla110[[#This Row],[Aportacion patronal]:[Infonavit]])</f>
        <v>5092.45</v>
      </c>
      <c r="J7" s="18">
        <f>Tabla110[[#This Row],[Aportacion patronal]]+Tabla110[[#This Row],[Retiro]]+Tabla110[[#This Row],[Cesantía y Vejez patronal]]+Tabla110[[#This Row],[Infonavit]]</f>
        <v>4161.16</v>
      </c>
      <c r="K7" s="42">
        <f>+Tabla110[[#This Row],[Aportacion Obrera]]+Tabla110[[#This Row],[Cesantía y Vejez obrera]]</f>
        <v>931.29</v>
      </c>
      <c r="L7" s="18"/>
      <c r="M7" s="18"/>
      <c r="N7" s="18">
        <f>+Tabla110[[#This Row],[SubTotal Patronal]]</f>
        <v>4161.16</v>
      </c>
      <c r="O7" s="18"/>
      <c r="P7" s="18"/>
      <c r="R7" s="18"/>
      <c r="S7" s="18">
        <f>+Tabla110[[#This Row],[SubTotal Obrera]]</f>
        <v>931.29</v>
      </c>
      <c r="T7" s="18"/>
      <c r="U7" s="18"/>
      <c r="W7" s="18">
        <f t="shared" si="1"/>
        <v>0</v>
      </c>
      <c r="X7" s="18">
        <f t="shared" si="0"/>
        <v>5092.45</v>
      </c>
      <c r="Y7" s="18">
        <f t="shared" si="0"/>
        <v>0</v>
      </c>
      <c r="Z7" s="18">
        <f t="shared" si="0"/>
        <v>0</v>
      </c>
    </row>
    <row r="8" spans="1:26" s="16" customFormat="1">
      <c r="A8" s="41">
        <v>6</v>
      </c>
      <c r="B8" s="17" t="s">
        <v>98</v>
      </c>
      <c r="C8" s="18">
        <v>5489.25</v>
      </c>
      <c r="D8" s="18">
        <v>1287.98</v>
      </c>
      <c r="E8" s="18"/>
      <c r="F8" s="18"/>
      <c r="G8" s="18"/>
      <c r="H8" s="18"/>
      <c r="I8" s="18">
        <f>SUM(Tabla110[[#This Row],[Aportacion patronal]:[Infonavit]])</f>
        <v>6777.23</v>
      </c>
      <c r="J8" s="18">
        <f>Tabla110[[#This Row],[Aportacion patronal]]+Tabla110[[#This Row],[Retiro]]+Tabla110[[#This Row],[Cesantía y Vejez patronal]]+Tabla110[[#This Row],[Infonavit]]</f>
        <v>5489.25</v>
      </c>
      <c r="K8" s="42">
        <f>+Tabla110[[#This Row],[Aportacion Obrera]]+Tabla110[[#This Row],[Cesantía y Vejez obrera]]</f>
        <v>1287.98</v>
      </c>
      <c r="L8" s="18"/>
      <c r="M8" s="18"/>
      <c r="N8" s="18">
        <f>+Tabla110[[#This Row],[SubTotal Patronal]]*0.7</f>
        <v>3842.4749999999999</v>
      </c>
      <c r="O8" s="18">
        <f>+Tabla110[[#This Row],[SubTotal Patronal]]*0.3</f>
        <v>1646.7749999999999</v>
      </c>
      <c r="P8" s="18"/>
      <c r="R8" s="18"/>
      <c r="S8" s="18">
        <f>+Tabla110[[#This Row],[SubTotal Obrera]]*0.7</f>
        <v>901.5859999999999</v>
      </c>
      <c r="T8" s="18">
        <f>+Tabla110[[#This Row],[SubTotal Obrera]]*0.3</f>
        <v>386.39400000000001</v>
      </c>
      <c r="U8" s="18"/>
      <c r="W8" s="18">
        <f t="shared" si="1"/>
        <v>0</v>
      </c>
      <c r="X8" s="18">
        <f t="shared" si="0"/>
        <v>4744.0609999999997</v>
      </c>
      <c r="Y8" s="18">
        <f t="shared" si="0"/>
        <v>2033.1689999999999</v>
      </c>
      <c r="Z8" s="18">
        <f t="shared" si="0"/>
        <v>0</v>
      </c>
    </row>
    <row r="9" spans="1:26" s="16" customFormat="1" ht="28.9">
      <c r="A9" s="41">
        <v>7</v>
      </c>
      <c r="B9" s="17" t="s">
        <v>99</v>
      </c>
      <c r="C9" s="18">
        <v>5266.52</v>
      </c>
      <c r="D9" s="18">
        <v>1228.1600000000001</v>
      </c>
      <c r="E9" s="18"/>
      <c r="F9" s="18"/>
      <c r="G9" s="18"/>
      <c r="H9" s="18"/>
      <c r="I9" s="18">
        <f>SUM(Tabla110[[#This Row],[Aportacion patronal]:[Infonavit]])</f>
        <v>6494.68</v>
      </c>
      <c r="J9" s="18">
        <f>Tabla110[[#This Row],[Aportacion patronal]]+Tabla110[[#This Row],[Retiro]]+Tabla110[[#This Row],[Cesantía y Vejez patronal]]+Tabla110[[#This Row],[Infonavit]]</f>
        <v>5266.52</v>
      </c>
      <c r="K9" s="42">
        <f>+Tabla110[[#This Row],[Aportacion Obrera]]+Tabla110[[#This Row],[Cesantía y Vejez obrera]]</f>
        <v>1228.1600000000001</v>
      </c>
      <c r="L9" s="18"/>
      <c r="M9" s="18">
        <f>+Tabla110[[#This Row],[SubTotal Patronal]]</f>
        <v>5266.52</v>
      </c>
      <c r="N9" s="18"/>
      <c r="O9" s="18"/>
      <c r="P9" s="18"/>
      <c r="R9" s="18">
        <f>+Tabla110[[#This Row],[SubTotal Obrera]]</f>
        <v>1228.1600000000001</v>
      </c>
      <c r="S9" s="18"/>
      <c r="T9" s="18"/>
      <c r="U9" s="18"/>
      <c r="W9" s="18">
        <f t="shared" si="1"/>
        <v>6494.68</v>
      </c>
      <c r="X9" s="18">
        <f t="shared" si="0"/>
        <v>0</v>
      </c>
      <c r="Y9" s="18">
        <f t="shared" si="0"/>
        <v>0</v>
      </c>
      <c r="Z9" s="18">
        <f t="shared" si="0"/>
        <v>0</v>
      </c>
    </row>
    <row r="10" spans="1:26" s="16" customFormat="1" ht="28.9">
      <c r="A10" s="41">
        <v>8</v>
      </c>
      <c r="B10" s="17" t="s">
        <v>100</v>
      </c>
      <c r="C10" s="18">
        <v>5489.25</v>
      </c>
      <c r="D10" s="18">
        <v>1287.98</v>
      </c>
      <c r="E10" s="18"/>
      <c r="F10" s="18"/>
      <c r="G10" s="18"/>
      <c r="H10" s="18"/>
      <c r="I10" s="18">
        <f>SUM(Tabla110[[#This Row],[Aportacion patronal]:[Infonavit]])</f>
        <v>6777.23</v>
      </c>
      <c r="J10" s="18">
        <f>Tabla110[[#This Row],[Aportacion patronal]]+Tabla110[[#This Row],[Retiro]]+Tabla110[[#This Row],[Cesantía y Vejez patronal]]+Tabla110[[#This Row],[Infonavit]]</f>
        <v>5489.25</v>
      </c>
      <c r="K10" s="42">
        <f>+Tabla110[[#This Row],[Aportacion Obrera]]+Tabla110[[#This Row],[Cesantía y Vejez obrera]]</f>
        <v>1287.98</v>
      </c>
      <c r="L10" s="18"/>
      <c r="M10" s="18">
        <f>+Tabla110[[#This Row],[SubTotal Patronal]]</f>
        <v>5489.25</v>
      </c>
      <c r="N10" s="18"/>
      <c r="O10" s="18"/>
      <c r="P10" s="18"/>
      <c r="R10" s="18">
        <f>+Tabla110[[#This Row],[SubTotal Obrera]]</f>
        <v>1287.98</v>
      </c>
      <c r="S10" s="18"/>
      <c r="T10" s="18"/>
      <c r="U10" s="18"/>
      <c r="W10" s="18">
        <f t="shared" si="1"/>
        <v>6777.23</v>
      </c>
      <c r="X10" s="18">
        <f t="shared" si="0"/>
        <v>0</v>
      </c>
      <c r="Y10" s="18">
        <f t="shared" si="0"/>
        <v>0</v>
      </c>
      <c r="Z10" s="18">
        <f t="shared" si="0"/>
        <v>0</v>
      </c>
    </row>
    <row r="11" spans="1:26" s="16" customFormat="1">
      <c r="A11" s="41">
        <v>9</v>
      </c>
      <c r="B11" s="17" t="s">
        <v>63</v>
      </c>
      <c r="C11" s="18">
        <v>4321.6000000000004</v>
      </c>
      <c r="D11" s="18">
        <v>974.38</v>
      </c>
      <c r="E11" s="18"/>
      <c r="F11" s="18"/>
      <c r="G11" s="18"/>
      <c r="H11" s="18"/>
      <c r="I11" s="18">
        <f>SUM(Tabla110[[#This Row],[Aportacion patronal]:[Infonavit]])</f>
        <v>5295.9800000000005</v>
      </c>
      <c r="J11" s="18">
        <f>Tabla110[[#This Row],[Aportacion patronal]]+Tabla110[[#This Row],[Retiro]]+Tabla110[[#This Row],[Cesantía y Vejez patronal]]+Tabla110[[#This Row],[Infonavit]]</f>
        <v>4321.6000000000004</v>
      </c>
      <c r="K11" s="42">
        <f>+Tabla110[[#This Row],[Aportacion Obrera]]+Tabla110[[#This Row],[Cesantía y Vejez obrera]]</f>
        <v>974.38</v>
      </c>
      <c r="L11" s="18"/>
      <c r="M11" s="18"/>
      <c r="N11" s="18">
        <f>+Tabla110[[#This Row],[SubTotal Patronal]]</f>
        <v>4321.6000000000004</v>
      </c>
      <c r="O11" s="18"/>
      <c r="P11" s="18"/>
      <c r="R11" s="18"/>
      <c r="S11" s="18">
        <f>+Tabla110[[#This Row],[SubTotal Obrera]]</f>
        <v>974.38</v>
      </c>
      <c r="T11" s="18"/>
      <c r="U11" s="18"/>
      <c r="W11" s="18">
        <f t="shared" si="1"/>
        <v>0</v>
      </c>
      <c r="X11" s="18">
        <f t="shared" si="0"/>
        <v>5295.9800000000005</v>
      </c>
      <c r="Y11" s="18">
        <f t="shared" si="0"/>
        <v>0</v>
      </c>
      <c r="Z11" s="18">
        <f t="shared" si="0"/>
        <v>0</v>
      </c>
    </row>
    <row r="12" spans="1:26" s="16" customFormat="1">
      <c r="A12" s="41">
        <v>10</v>
      </c>
      <c r="B12" s="17" t="s">
        <v>64</v>
      </c>
      <c r="C12" s="18">
        <v>4279.43</v>
      </c>
      <c r="D12" s="18">
        <v>963.06</v>
      </c>
      <c r="E12" s="18"/>
      <c r="F12" s="18"/>
      <c r="G12" s="18"/>
      <c r="H12" s="18"/>
      <c r="I12" s="18">
        <f>SUM(Tabla110[[#This Row],[Aportacion patronal]:[Infonavit]])</f>
        <v>5242.49</v>
      </c>
      <c r="J12" s="18">
        <f>Tabla110[[#This Row],[Aportacion patronal]]+Tabla110[[#This Row],[Retiro]]+Tabla110[[#This Row],[Cesantía y Vejez patronal]]+Tabla110[[#This Row],[Infonavit]]</f>
        <v>4279.43</v>
      </c>
      <c r="K12" s="42">
        <f>+Tabla110[[#This Row],[Aportacion Obrera]]+Tabla110[[#This Row],[Cesantía y Vejez obrera]]</f>
        <v>963.06</v>
      </c>
      <c r="L12" s="18"/>
      <c r="M12" s="18"/>
      <c r="N12" s="18">
        <f>+Tabla110[[#This Row],[SubTotal Patronal]]</f>
        <v>4279.43</v>
      </c>
      <c r="O12" s="18"/>
      <c r="P12" s="18"/>
      <c r="R12" s="18"/>
      <c r="S12" s="18">
        <f>+Tabla110[[#This Row],[SubTotal Obrera]]</f>
        <v>963.06</v>
      </c>
      <c r="T12" s="18"/>
      <c r="U12" s="18"/>
      <c r="W12" s="18">
        <f t="shared" si="1"/>
        <v>0</v>
      </c>
      <c r="X12" s="18">
        <f t="shared" si="0"/>
        <v>5242.49</v>
      </c>
      <c r="Y12" s="18">
        <f t="shared" si="0"/>
        <v>0</v>
      </c>
      <c r="Z12" s="18">
        <f t="shared" si="0"/>
        <v>0</v>
      </c>
    </row>
    <row r="13" spans="1:26" s="16" customFormat="1" ht="28.9">
      <c r="A13" s="41">
        <v>11</v>
      </c>
      <c r="B13" s="17" t="s">
        <v>82</v>
      </c>
      <c r="C13" s="18">
        <v>5489.25</v>
      </c>
      <c r="D13" s="18">
        <v>1287.98</v>
      </c>
      <c r="E13" s="18"/>
      <c r="F13" s="18"/>
      <c r="G13" s="18"/>
      <c r="H13" s="18"/>
      <c r="I13" s="18">
        <f>SUM(Tabla110[[#This Row],[Aportacion patronal]:[Infonavit]])</f>
        <v>6777.23</v>
      </c>
      <c r="J13" s="18">
        <f>Tabla110[[#This Row],[Aportacion patronal]]+Tabla110[[#This Row],[Retiro]]+Tabla110[[#This Row],[Cesantía y Vejez patronal]]+Tabla110[[#This Row],[Infonavit]]</f>
        <v>5489.25</v>
      </c>
      <c r="K13" s="42">
        <f>+Tabla110[[#This Row],[Aportacion Obrera]]+Tabla110[[#This Row],[Cesantía y Vejez obrera]]</f>
        <v>1287.98</v>
      </c>
      <c r="L13" s="18"/>
      <c r="M13" s="18">
        <f>+Tabla110[[#This Row],[SubTotal Patronal]]*0.3375</f>
        <v>1852.621875</v>
      </c>
      <c r="N13" s="18">
        <f>+Tabla110[[#This Row],[SubTotal Patronal]]*0.3375</f>
        <v>1852.621875</v>
      </c>
      <c r="O13" s="18">
        <f>+Tabla110[[#This Row],[SubTotal Patronal]]*0.075</f>
        <v>411.69374999999997</v>
      </c>
      <c r="P13" s="18">
        <f>+Tabla110[[#This Row],[SubTotal Patronal]]*0.25</f>
        <v>1372.3125</v>
      </c>
      <c r="R13" s="18">
        <f>+Tabla110[[#This Row],[SubTotal Obrera]]*0.3375</f>
        <v>434.69325000000003</v>
      </c>
      <c r="S13" s="18">
        <f>+Tabla110[[#This Row],[SubTotal Obrera]]*0.3375</f>
        <v>434.69325000000003</v>
      </c>
      <c r="T13" s="18">
        <f>+Tabla110[[#This Row],[SubTotal Obrera]]*0.075</f>
        <v>96.598500000000001</v>
      </c>
      <c r="U13" s="18">
        <f>+Tabla110[[#This Row],[SubTotal Obrera]]*0.25</f>
        <v>321.995</v>
      </c>
      <c r="W13" s="18">
        <f>+M13+R13</f>
        <v>2287.3151250000001</v>
      </c>
      <c r="X13" s="18">
        <f>+N13+S13</f>
        <v>2287.3151250000001</v>
      </c>
      <c r="Y13" s="18">
        <f t="shared" si="0"/>
        <v>508.29224999999997</v>
      </c>
      <c r="Z13" s="18">
        <f t="shared" si="0"/>
        <v>1694.3074999999999</v>
      </c>
    </row>
    <row r="14" spans="1:26" s="16" customFormat="1" ht="28.9">
      <c r="A14" s="41">
        <v>12</v>
      </c>
      <c r="B14" s="16" t="s">
        <v>101</v>
      </c>
      <c r="C14" s="18">
        <v>3130.14</v>
      </c>
      <c r="D14" s="18">
        <v>654.39</v>
      </c>
      <c r="E14" s="18"/>
      <c r="F14" s="18"/>
      <c r="G14" s="18"/>
      <c r="H14" s="18"/>
      <c r="I14" s="18">
        <f>SUM(Tabla110[[#This Row],[Aportacion patronal]:[Infonavit]])</f>
        <v>3784.5299999999997</v>
      </c>
      <c r="J14" s="18">
        <f>Tabla110[[#This Row],[Aportacion patronal]]+Tabla110[[#This Row],[Retiro]]+Tabla110[[#This Row],[Cesantía y Vejez patronal]]+Tabla110[[#This Row],[Infonavit]]</f>
        <v>3130.14</v>
      </c>
      <c r="K14" s="42">
        <f>+Tabla110[[#This Row],[Aportacion Obrera]]+Tabla110[[#This Row],[Cesantía y Vejez obrera]]</f>
        <v>654.39</v>
      </c>
      <c r="L14" s="18"/>
      <c r="M14" s="18">
        <f>+Tabla110[[#This Row],[SubTotal Patronal]]</f>
        <v>3130.14</v>
      </c>
      <c r="N14" s="18"/>
      <c r="O14" s="18"/>
      <c r="P14" s="18"/>
      <c r="R14" s="18">
        <f>+Tabla110[[#This Row],[SubTotal Obrera]]</f>
        <v>654.39</v>
      </c>
      <c r="S14" s="18"/>
      <c r="T14" s="18"/>
      <c r="U14" s="18"/>
      <c r="W14" s="18">
        <f t="shared" si="1"/>
        <v>3784.5299999999997</v>
      </c>
      <c r="X14" s="18">
        <f t="shared" si="0"/>
        <v>0</v>
      </c>
      <c r="Y14" s="18">
        <f t="shared" si="0"/>
        <v>0</v>
      </c>
      <c r="Z14" s="18">
        <f t="shared" si="0"/>
        <v>0</v>
      </c>
    </row>
    <row r="15" spans="1:26" s="16" customFormat="1" ht="28.9">
      <c r="A15" s="41">
        <v>13</v>
      </c>
      <c r="B15" s="17" t="s">
        <v>65</v>
      </c>
      <c r="C15" s="18">
        <v>5489.25</v>
      </c>
      <c r="D15" s="18">
        <v>1287.98</v>
      </c>
      <c r="E15" s="18"/>
      <c r="F15" s="18"/>
      <c r="G15" s="18"/>
      <c r="H15" s="18"/>
      <c r="I15" s="18">
        <f>SUM(Tabla110[[#This Row],[Aportacion patronal]:[Infonavit]])</f>
        <v>6777.23</v>
      </c>
      <c r="J15" s="18">
        <f>Tabla110[[#This Row],[Aportacion patronal]]+Tabla110[[#This Row],[Retiro]]+Tabla110[[#This Row],[Cesantía y Vejez patronal]]+Tabla110[[#This Row],[Infonavit]]</f>
        <v>5489.25</v>
      </c>
      <c r="K15" s="42">
        <f>+Tabla110[[#This Row],[Aportacion Obrera]]+Tabla110[[#This Row],[Cesantía y Vejez obrera]]</f>
        <v>1287.98</v>
      </c>
      <c r="L15" s="18"/>
      <c r="M15" s="18">
        <f>+Tabla110[[#This Row],[SubTotal Patronal]]*0.45</f>
        <v>2470.1624999999999</v>
      </c>
      <c r="N15" s="18">
        <f>+Tabla110[[#This Row],[SubTotal Patronal]]*0.45</f>
        <v>2470.1624999999999</v>
      </c>
      <c r="O15" s="18">
        <f>+Tabla110[[#This Row],[SubTotal Patronal]]*0.1</f>
        <v>548.92500000000007</v>
      </c>
      <c r="P15" s="18"/>
      <c r="R15" s="18">
        <f>+Tabla110[[#This Row],[SubTotal Obrera]]*0.45</f>
        <v>579.59100000000001</v>
      </c>
      <c r="S15" s="18">
        <f>+Tabla110[[#This Row],[SubTotal Obrera]]*0.45</f>
        <v>579.59100000000001</v>
      </c>
      <c r="T15" s="18">
        <f>+Tabla110[[#This Row],[SubTotal Obrera]]*0.1</f>
        <v>128.798</v>
      </c>
      <c r="U15" s="18"/>
      <c r="W15" s="18">
        <f t="shared" si="1"/>
        <v>3049.7534999999998</v>
      </c>
      <c r="X15" s="18">
        <f t="shared" si="0"/>
        <v>3049.7534999999998</v>
      </c>
      <c r="Y15" s="18">
        <f t="shared" si="0"/>
        <v>677.72300000000007</v>
      </c>
      <c r="Z15" s="18">
        <f t="shared" si="0"/>
        <v>0</v>
      </c>
    </row>
    <row r="16" spans="1:26" s="16" customFormat="1" ht="28.9">
      <c r="A16" s="41">
        <v>14</v>
      </c>
      <c r="B16" s="17" t="s">
        <v>102</v>
      </c>
      <c r="C16" s="18">
        <v>3143.61</v>
      </c>
      <c r="D16" s="18">
        <v>658</v>
      </c>
      <c r="E16" s="18"/>
      <c r="F16" s="18"/>
      <c r="G16" s="18"/>
      <c r="H16" s="18"/>
      <c r="I16" s="18">
        <f>SUM(Tabla110[[#This Row],[Aportacion patronal]:[Infonavit]])</f>
        <v>3801.61</v>
      </c>
      <c r="J16" s="18">
        <f>Tabla110[[#This Row],[Aportacion patronal]]+Tabla110[[#This Row],[Retiro]]+Tabla110[[#This Row],[Cesantía y Vejez patronal]]+Tabla110[[#This Row],[Infonavit]]</f>
        <v>3143.61</v>
      </c>
      <c r="K16" s="42">
        <f>+Tabla110[[#This Row],[Aportacion Obrera]]+Tabla110[[#This Row],[Cesantía y Vejez obrera]]</f>
        <v>658</v>
      </c>
      <c r="L16" s="18"/>
      <c r="M16" s="18">
        <f>+Tabla110[[#This Row],[SubTotal Patronal]]</f>
        <v>3143.61</v>
      </c>
      <c r="N16" s="18"/>
      <c r="O16" s="18"/>
      <c r="P16" s="18"/>
      <c r="R16" s="18">
        <f>+Tabla110[[#This Row],[SubTotal Obrera]]</f>
        <v>658</v>
      </c>
      <c r="S16" s="18"/>
      <c r="T16" s="18"/>
      <c r="U16" s="18"/>
      <c r="W16" s="18">
        <f t="shared" si="1"/>
        <v>3801.61</v>
      </c>
      <c r="X16" s="18">
        <f t="shared" si="0"/>
        <v>0</v>
      </c>
      <c r="Y16" s="18">
        <f t="shared" si="0"/>
        <v>0</v>
      </c>
      <c r="Z16" s="18">
        <f t="shared" si="0"/>
        <v>0</v>
      </c>
    </row>
    <row r="17" spans="1:26" s="16" customFormat="1" ht="28.9">
      <c r="A17" s="41">
        <v>15</v>
      </c>
      <c r="B17" s="17" t="s">
        <v>66</v>
      </c>
      <c r="C17" s="18">
        <v>2933.85</v>
      </c>
      <c r="D17" s="18">
        <v>601.66</v>
      </c>
      <c r="E17" s="18"/>
      <c r="F17" s="18"/>
      <c r="G17" s="18"/>
      <c r="H17" s="18"/>
      <c r="I17" s="18">
        <f>SUM(Tabla110[[#This Row],[Aportacion patronal]:[Infonavit]])</f>
        <v>3535.5099999999998</v>
      </c>
      <c r="J17" s="18">
        <f>Tabla110[[#This Row],[Aportacion patronal]]+Tabla110[[#This Row],[Retiro]]+Tabla110[[#This Row],[Cesantía y Vejez patronal]]+Tabla110[[#This Row],[Infonavit]]</f>
        <v>2933.85</v>
      </c>
      <c r="K17" s="42">
        <f>+Tabla110[[#This Row],[Aportacion Obrera]]+Tabla110[[#This Row],[Cesantía y Vejez obrera]]</f>
        <v>601.66</v>
      </c>
      <c r="L17" s="18"/>
      <c r="M17" s="18"/>
      <c r="N17" s="18">
        <f>+Tabla110[[#This Row],[SubTotal Patronal]]</f>
        <v>2933.85</v>
      </c>
      <c r="O17" s="18"/>
      <c r="P17" s="18"/>
      <c r="R17" s="18"/>
      <c r="S17" s="18">
        <f>+Tabla110[[#This Row],[SubTotal Obrera]]</f>
        <v>601.66</v>
      </c>
      <c r="T17" s="18"/>
      <c r="U17" s="18"/>
      <c r="W17" s="18">
        <f t="shared" si="1"/>
        <v>0</v>
      </c>
      <c r="X17" s="18">
        <f t="shared" si="0"/>
        <v>3535.5099999999998</v>
      </c>
      <c r="Y17" s="18">
        <f t="shared" si="0"/>
        <v>0</v>
      </c>
      <c r="Z17" s="18">
        <f t="shared" si="0"/>
        <v>0</v>
      </c>
    </row>
    <row r="18" spans="1:26" s="16" customFormat="1" ht="28.9">
      <c r="A18" s="41">
        <v>16</v>
      </c>
      <c r="B18" s="17" t="s">
        <v>74</v>
      </c>
      <c r="C18" s="18">
        <v>5489.25</v>
      </c>
      <c r="D18" s="18">
        <v>1287.98</v>
      </c>
      <c r="E18" s="18"/>
      <c r="F18" s="18"/>
      <c r="G18" s="18"/>
      <c r="H18" s="18"/>
      <c r="I18" s="18">
        <f>SUM(Tabla110[[#This Row],[Aportacion patronal]:[Infonavit]])</f>
        <v>6777.23</v>
      </c>
      <c r="J18" s="18">
        <f>Tabla110[[#This Row],[Aportacion patronal]]+Tabla110[[#This Row],[Retiro]]+Tabla110[[#This Row],[Cesantía y Vejez patronal]]+Tabla110[[#This Row],[Infonavit]]</f>
        <v>5489.25</v>
      </c>
      <c r="K18" s="42">
        <f>+Tabla110[[#This Row],[Aportacion Obrera]]+Tabla110[[#This Row],[Cesantía y Vejez obrera]]</f>
        <v>1287.98</v>
      </c>
      <c r="L18" s="18"/>
      <c r="M18" s="18">
        <f>+Tabla110[[#This Row],[SubTotal Patronal]]*0.5</f>
        <v>2744.625</v>
      </c>
      <c r="N18" s="18">
        <f>+Tabla110[[#This Row],[SubTotal Patronal]]*0.5</f>
        <v>2744.625</v>
      </c>
      <c r="O18" s="18"/>
      <c r="P18" s="18"/>
      <c r="R18" s="18">
        <f>+Tabla110[[#This Row],[SubTotal Obrera]]*0.5</f>
        <v>643.99</v>
      </c>
      <c r="S18" s="18">
        <f>+Tabla110[[#This Row],[SubTotal Obrera]]*0.5</f>
        <v>643.99</v>
      </c>
      <c r="T18" s="18"/>
      <c r="U18" s="18"/>
      <c r="W18" s="18">
        <f t="shared" si="1"/>
        <v>3388.6149999999998</v>
      </c>
      <c r="X18" s="18">
        <f t="shared" si="0"/>
        <v>3388.6149999999998</v>
      </c>
      <c r="Y18" s="18">
        <f t="shared" si="0"/>
        <v>0</v>
      </c>
      <c r="Z18" s="18">
        <f t="shared" si="0"/>
        <v>0</v>
      </c>
    </row>
    <row r="19" spans="1:26" s="16" customFormat="1" ht="28.9">
      <c r="A19" s="41">
        <v>17</v>
      </c>
      <c r="B19" s="17" t="s">
        <v>103</v>
      </c>
      <c r="C19" s="18">
        <v>4542.4799999999996</v>
      </c>
      <c r="D19" s="18">
        <v>1033.7</v>
      </c>
      <c r="E19" s="18"/>
      <c r="F19" s="18"/>
      <c r="G19" s="18"/>
      <c r="H19" s="18"/>
      <c r="I19" s="18">
        <f>SUM(Tabla110[[#This Row],[Aportacion patronal]:[Infonavit]])</f>
        <v>5576.1799999999994</v>
      </c>
      <c r="J19" s="18">
        <f>Tabla110[[#This Row],[Aportacion patronal]]+Tabla110[[#This Row],[Retiro]]+Tabla110[[#This Row],[Cesantía y Vejez patronal]]+Tabla110[[#This Row],[Infonavit]]</f>
        <v>4542.4799999999996</v>
      </c>
      <c r="K19" s="42">
        <f>+Tabla110[[#This Row],[Aportacion Obrera]]+Tabla110[[#This Row],[Cesantía y Vejez obrera]]</f>
        <v>1033.7</v>
      </c>
      <c r="L19" s="18"/>
      <c r="M19" s="18">
        <f>+Tabla110[[#This Row],[SubTotal Patronal]]</f>
        <v>4542.4799999999996</v>
      </c>
      <c r="N19" s="18"/>
      <c r="O19" s="18"/>
      <c r="P19" s="18"/>
      <c r="R19" s="18">
        <f>+Tabla110[[#This Row],[SubTotal Obrera]]</f>
        <v>1033.7</v>
      </c>
      <c r="S19" s="18"/>
      <c r="T19" s="18"/>
      <c r="U19" s="18"/>
      <c r="W19" s="18">
        <f t="shared" si="1"/>
        <v>5576.1799999999994</v>
      </c>
      <c r="X19" s="18">
        <f t="shared" si="0"/>
        <v>0</v>
      </c>
      <c r="Y19" s="18">
        <f t="shared" si="0"/>
        <v>0</v>
      </c>
      <c r="Z19" s="18">
        <f t="shared" si="0"/>
        <v>0</v>
      </c>
    </row>
    <row r="20" spans="1:26" s="16" customFormat="1">
      <c r="A20" s="41">
        <v>18</v>
      </c>
      <c r="B20" s="17" t="s">
        <v>67</v>
      </c>
      <c r="C20" s="18">
        <v>5489.25</v>
      </c>
      <c r="D20" s="18">
        <v>1287.98</v>
      </c>
      <c r="E20" s="18"/>
      <c r="F20" s="18"/>
      <c r="G20" s="18"/>
      <c r="H20" s="18"/>
      <c r="I20" s="18">
        <f>SUM(Tabla110[[#This Row],[Aportacion patronal]:[Infonavit]])</f>
        <v>6777.23</v>
      </c>
      <c r="J20" s="18">
        <f>Tabla110[[#This Row],[Aportacion patronal]]+Tabla110[[#This Row],[Retiro]]+Tabla110[[#This Row],[Cesantía y Vejez patronal]]+Tabla110[[#This Row],[Infonavit]]</f>
        <v>5489.25</v>
      </c>
      <c r="K20" s="42">
        <f>+Tabla110[[#This Row],[Aportacion Obrera]]+Tabla110[[#This Row],[Cesantía y Vejez obrera]]</f>
        <v>1287.98</v>
      </c>
      <c r="L20" s="18"/>
      <c r="M20" s="18"/>
      <c r="N20" s="18">
        <f>+Tabla110[[#This Row],[SubTotal Patronal]]</f>
        <v>5489.25</v>
      </c>
      <c r="O20" s="18"/>
      <c r="P20" s="18"/>
      <c r="R20" s="18"/>
      <c r="S20" s="18">
        <f>+Tabla110[[#This Row],[SubTotal Obrera]]</f>
        <v>1287.98</v>
      </c>
      <c r="T20" s="18"/>
      <c r="U20" s="18"/>
      <c r="W20" s="18">
        <f t="shared" si="1"/>
        <v>0</v>
      </c>
      <c r="X20" s="18">
        <f t="shared" si="0"/>
        <v>6777.23</v>
      </c>
      <c r="Y20" s="18">
        <f t="shared" si="0"/>
        <v>0</v>
      </c>
      <c r="Z20" s="18">
        <f t="shared" si="0"/>
        <v>0</v>
      </c>
    </row>
    <row r="21" spans="1:26" s="16" customFormat="1" ht="28.9">
      <c r="A21" s="41">
        <v>19</v>
      </c>
      <c r="B21" s="17" t="s">
        <v>68</v>
      </c>
      <c r="C21" s="18">
        <v>4349.41</v>
      </c>
      <c r="D21" s="18">
        <v>981.85</v>
      </c>
      <c r="E21" s="18"/>
      <c r="F21" s="18"/>
      <c r="G21" s="18"/>
      <c r="H21" s="18"/>
      <c r="I21" s="18">
        <f>SUM(Tabla110[[#This Row],[Aportacion patronal]:[Infonavit]])</f>
        <v>5331.26</v>
      </c>
      <c r="J21" s="18">
        <f>Tabla110[[#This Row],[Aportacion patronal]]+Tabla110[[#This Row],[Retiro]]+Tabla110[[#This Row],[Cesantía y Vejez patronal]]+Tabla110[[#This Row],[Infonavit]]</f>
        <v>4349.41</v>
      </c>
      <c r="K21" s="42">
        <f>+Tabla110[[#This Row],[Aportacion Obrera]]+Tabla110[[#This Row],[Cesantía y Vejez obrera]]</f>
        <v>981.85</v>
      </c>
      <c r="L21" s="18"/>
      <c r="M21" s="18"/>
      <c r="N21" s="18">
        <f>+Tabla110[[#This Row],[SubTotal Patronal]]</f>
        <v>4349.41</v>
      </c>
      <c r="O21" s="18"/>
      <c r="P21" s="18"/>
      <c r="R21" s="18"/>
      <c r="S21" s="18">
        <f>+Tabla110[[#This Row],[SubTotal Obrera]]</f>
        <v>981.85</v>
      </c>
      <c r="T21" s="18"/>
      <c r="U21" s="18"/>
      <c r="W21" s="18">
        <f t="shared" si="1"/>
        <v>0</v>
      </c>
      <c r="X21" s="18">
        <f t="shared" si="0"/>
        <v>5331.26</v>
      </c>
      <c r="Y21" s="18">
        <f t="shared" si="0"/>
        <v>0</v>
      </c>
      <c r="Z21" s="18">
        <f t="shared" si="0"/>
        <v>0</v>
      </c>
    </row>
    <row r="22" spans="1:26" s="16" customFormat="1" ht="28.9">
      <c r="A22" s="41">
        <v>20</v>
      </c>
      <c r="B22" s="17" t="s">
        <v>69</v>
      </c>
      <c r="C22" s="18">
        <v>3338.07</v>
      </c>
      <c r="D22" s="18">
        <v>710.24</v>
      </c>
      <c r="E22" s="18"/>
      <c r="F22" s="18"/>
      <c r="G22" s="18"/>
      <c r="H22" s="18"/>
      <c r="I22" s="18">
        <f>SUM(Tabla110[[#This Row],[Aportacion patronal]:[Infonavit]])</f>
        <v>4048.3100000000004</v>
      </c>
      <c r="J22" s="18">
        <f>Tabla110[[#This Row],[Aportacion patronal]]+Tabla110[[#This Row],[Retiro]]+Tabla110[[#This Row],[Cesantía y Vejez patronal]]+Tabla110[[#This Row],[Infonavit]]</f>
        <v>3338.07</v>
      </c>
      <c r="K22" s="18">
        <f>+Tabla110[[#This Row],[Aportacion Obrera]]+Tabla110[[#This Row],[Cesantía y Vejez obrera]]</f>
        <v>710.24</v>
      </c>
      <c r="L22" s="18"/>
      <c r="M22" s="18">
        <f>+Tabla110[[#This Row],[SubTotal Patronal]]*0.5</f>
        <v>1669.0350000000001</v>
      </c>
      <c r="N22" s="18">
        <f>+Tabla110[[#This Row],[SubTotal Patronal]]*0.5</f>
        <v>1669.0350000000001</v>
      </c>
      <c r="O22" s="18"/>
      <c r="P22" s="18"/>
      <c r="R22" s="18">
        <f>+Tabla110[[#This Row],[SubTotal Obrera]]*0.5</f>
        <v>355.12</v>
      </c>
      <c r="S22" s="18">
        <f>+Tabla110[[#This Row],[SubTotal Obrera]]*0.5</f>
        <v>355.12</v>
      </c>
      <c r="T22" s="18"/>
      <c r="U22" s="18"/>
      <c r="W22" s="18">
        <f t="shared" si="1"/>
        <v>2024.1550000000002</v>
      </c>
      <c r="X22" s="18">
        <f t="shared" si="0"/>
        <v>2024.1550000000002</v>
      </c>
      <c r="Y22" s="18">
        <f t="shared" si="0"/>
        <v>0</v>
      </c>
      <c r="Z22" s="18">
        <f t="shared" si="0"/>
        <v>0</v>
      </c>
    </row>
    <row r="23" spans="1:26" s="16" customFormat="1" ht="28.9">
      <c r="A23" s="41">
        <v>21</v>
      </c>
      <c r="B23" s="17" t="s">
        <v>104</v>
      </c>
      <c r="C23" s="18">
        <v>5489.25</v>
      </c>
      <c r="D23" s="18">
        <v>1287.98</v>
      </c>
      <c r="E23" s="18"/>
      <c r="F23" s="18"/>
      <c r="G23" s="18"/>
      <c r="H23" s="18"/>
      <c r="I23" s="18">
        <f>SUM(Tabla110[[#This Row],[Aportacion patronal]:[Infonavit]])</f>
        <v>6777.23</v>
      </c>
      <c r="J23" s="18">
        <f>Tabla110[[#This Row],[Aportacion patronal]]+Tabla110[[#This Row],[Retiro]]+Tabla110[[#This Row],[Cesantía y Vejez patronal]]+Tabla110[[#This Row],[Infonavit]]</f>
        <v>5489.25</v>
      </c>
      <c r="K23" s="18">
        <f>+Tabla110[[#This Row],[Aportacion Obrera]]+Tabla110[[#This Row],[Cesantía y Vejez obrera]]</f>
        <v>1287.98</v>
      </c>
      <c r="L23" s="18"/>
      <c r="M23" s="18">
        <f>+Tabla110[[#This Row],[SubTotal Patronal]]</f>
        <v>5489.25</v>
      </c>
      <c r="N23" s="18"/>
      <c r="O23" s="18"/>
      <c r="P23" s="18"/>
      <c r="R23" s="18">
        <f>+Tabla110[[#This Row],[SubTotal Obrera]]</f>
        <v>1287.98</v>
      </c>
      <c r="S23" s="18"/>
      <c r="T23" s="18"/>
      <c r="U23" s="18"/>
      <c r="W23" s="18">
        <f t="shared" si="1"/>
        <v>6777.23</v>
      </c>
      <c r="X23" s="18">
        <f t="shared" si="0"/>
        <v>0</v>
      </c>
      <c r="Y23" s="18">
        <f t="shared" si="0"/>
        <v>0</v>
      </c>
      <c r="Z23" s="18">
        <f t="shared" si="0"/>
        <v>0</v>
      </c>
    </row>
    <row r="24" spans="1:26" s="16" customFormat="1">
      <c r="A24" s="41">
        <v>22</v>
      </c>
      <c r="B24" s="17" t="s">
        <v>70</v>
      </c>
      <c r="C24" s="18">
        <v>5290.78</v>
      </c>
      <c r="D24" s="18">
        <v>1234.68</v>
      </c>
      <c r="E24" s="18"/>
      <c r="F24" s="18"/>
      <c r="G24" s="18"/>
      <c r="H24" s="18"/>
      <c r="I24" s="18">
        <f>SUM(Tabla110[[#This Row],[Aportacion patronal]:[Infonavit]])</f>
        <v>6525.46</v>
      </c>
      <c r="J24" s="18">
        <f>Tabla110[[#This Row],[Aportacion patronal]]+Tabla110[[#This Row],[Retiro]]+Tabla110[[#This Row],[Cesantía y Vejez patronal]]+Tabla110[[#This Row],[Infonavit]]</f>
        <v>5290.78</v>
      </c>
      <c r="K24" s="18">
        <f>+Tabla110[[#This Row],[Aportacion Obrera]]+Tabla110[[#This Row],[Cesantía y Vejez obrera]]</f>
        <v>1234.68</v>
      </c>
      <c r="L24" s="18"/>
      <c r="M24" s="18"/>
      <c r="N24" s="18">
        <f>+Tabla110[[#This Row],[SubTotal Patronal]]</f>
        <v>5290.78</v>
      </c>
      <c r="O24" s="18"/>
      <c r="P24" s="18"/>
      <c r="R24" s="18"/>
      <c r="S24" s="18">
        <f>+Tabla110[[#This Row],[SubTotal Obrera]]</f>
        <v>1234.68</v>
      </c>
      <c r="T24" s="18"/>
      <c r="U24" s="18"/>
      <c r="W24" s="18">
        <f t="shared" si="1"/>
        <v>0</v>
      </c>
      <c r="X24" s="18">
        <f t="shared" si="1"/>
        <v>6525.46</v>
      </c>
      <c r="Y24" s="18">
        <f t="shared" si="1"/>
        <v>0</v>
      </c>
      <c r="Z24" s="18">
        <f t="shared" si="1"/>
        <v>0</v>
      </c>
    </row>
    <row r="25" spans="1:26" ht="15" thickBot="1">
      <c r="A25" s="5" t="s">
        <v>29</v>
      </c>
      <c r="B25" s="6"/>
      <c r="C25" s="23">
        <f>SUBTOTAL(109,Tabla110[Aportacion patronal])</f>
        <v>100254.95000000001</v>
      </c>
      <c r="D25" s="23">
        <f>SUBTOTAL(109,Tabla110[Aportacion Obrera])</f>
        <v>22827.529999999995</v>
      </c>
      <c r="E25" s="23">
        <f>SUBTOTAL(109,Tabla110[Retiro])</f>
        <v>0</v>
      </c>
      <c r="F25" s="23">
        <f>SUBTOTAL(109,Tabla110[Cesantía y Vejez patronal])</f>
        <v>0</v>
      </c>
      <c r="G25" s="23">
        <f>SUBTOTAL(109,Tabla110[Cesantía y Vejez obrera])</f>
        <v>0</v>
      </c>
      <c r="H25" s="23">
        <f>SUBTOTAL(109,Tabla110[Infonavit])</f>
        <v>0</v>
      </c>
      <c r="I25" s="23">
        <f>SUBTOTAL(109,Tabla110[SubTotal])</f>
        <v>123082.47999999997</v>
      </c>
      <c r="J25" s="23">
        <f>SUBTOTAL(109,Tabla110[SubTotal Patronal])</f>
        <v>100254.95000000001</v>
      </c>
      <c r="K25" s="23">
        <f>SUBTOTAL(109,Tabla110[SubTotal Obrera])</f>
        <v>22827.529999999995</v>
      </c>
      <c r="M25" s="10">
        <f>SUM(M3:M24)</f>
        <v>43102.164375</v>
      </c>
      <c r="N25" s="10">
        <f>SUM(N3:N24)</f>
        <v>53173.079375000001</v>
      </c>
      <c r="O25" s="10">
        <f>SUM(O3:O24)</f>
        <v>2607.3937500000002</v>
      </c>
      <c r="P25" s="10">
        <f>SUM(P3:P24)</f>
        <v>1372.3125</v>
      </c>
      <c r="R25" s="10">
        <f>SUM(R3:R24)</f>
        <v>9752.8242500000015</v>
      </c>
      <c r="S25" s="10">
        <f>SUM(S3:S24)</f>
        <v>12140.920250000001</v>
      </c>
      <c r="T25" s="10">
        <f>SUM(T3:T24)</f>
        <v>611.79050000000007</v>
      </c>
      <c r="U25" s="10">
        <f>SUM(U3:U24)</f>
        <v>321.995</v>
      </c>
      <c r="W25" s="10">
        <f>SUM(W3:W24)</f>
        <v>52854.988624999998</v>
      </c>
      <c r="X25" s="10">
        <f>SUM(X3:X24)</f>
        <v>65313.999624999997</v>
      </c>
      <c r="Y25" s="10">
        <f>SUM(Y3:Y24)</f>
        <v>3219.1842499999998</v>
      </c>
      <c r="Z25" s="10">
        <f>SUM(Z3:Z24)</f>
        <v>1694.3074999999999</v>
      </c>
    </row>
    <row r="26" spans="1:26" ht="15" thickTop="1">
      <c r="M26" s="48" t="s">
        <v>30</v>
      </c>
      <c r="N26" s="48"/>
      <c r="O26" s="48"/>
      <c r="P26" s="48"/>
      <c r="Q26" s="13"/>
      <c r="W26" s="48" t="s">
        <v>75</v>
      </c>
      <c r="X26" s="48"/>
      <c r="Y26" s="48"/>
      <c r="Z26" s="48"/>
    </row>
    <row r="29" spans="1:26">
      <c r="B29" s="14" t="s">
        <v>31</v>
      </c>
      <c r="C29" s="20"/>
      <c r="F29"/>
      <c r="G29"/>
      <c r="H29"/>
      <c r="I29"/>
      <c r="J29"/>
      <c r="K29"/>
    </row>
    <row r="30" spans="1:26" ht="43.15">
      <c r="B30" s="28" t="s">
        <v>32</v>
      </c>
      <c r="C30" s="27" t="s">
        <v>33</v>
      </c>
      <c r="D30" s="27" t="s">
        <v>34</v>
      </c>
      <c r="E30" s="27" t="s">
        <v>35</v>
      </c>
      <c r="F30" s="27" t="s">
        <v>36</v>
      </c>
      <c r="G30" s="27" t="s">
        <v>37</v>
      </c>
      <c r="H30" s="27" t="s">
        <v>38</v>
      </c>
      <c r="I30"/>
      <c r="J30" s="18" t="s">
        <v>39</v>
      </c>
      <c r="K30"/>
    </row>
    <row r="31" spans="1:26">
      <c r="B31" t="s">
        <v>40</v>
      </c>
      <c r="C31" s="21">
        <v>70015</v>
      </c>
      <c r="D31" s="15" t="s">
        <v>105</v>
      </c>
      <c r="E31" s="33">
        <v>53173.08</v>
      </c>
      <c r="F31" s="34"/>
      <c r="G31" s="34">
        <v>3142.56</v>
      </c>
      <c r="H31" s="34"/>
      <c r="I31"/>
      <c r="J31">
        <v>16.920000000000002</v>
      </c>
      <c r="K31"/>
    </row>
    <row r="32" spans="1:26">
      <c r="B32">
        <v>99999</v>
      </c>
      <c r="C32" s="21" t="s">
        <v>42</v>
      </c>
      <c r="D32" s="15" t="s">
        <v>105</v>
      </c>
      <c r="E32" s="33"/>
      <c r="F32" s="34">
        <v>53173.08</v>
      </c>
      <c r="G32" s="34"/>
      <c r="H32" s="34">
        <v>3142.56</v>
      </c>
      <c r="I32"/>
      <c r="J32">
        <v>16.920000000000002</v>
      </c>
      <c r="K32"/>
    </row>
    <row r="33" spans="2:11">
      <c r="C33" s="21"/>
      <c r="D33" s="15"/>
      <c r="E33" s="33"/>
      <c r="F33" s="34"/>
      <c r="G33" s="34"/>
      <c r="H33" s="34"/>
      <c r="I33"/>
      <c r="J33"/>
      <c r="K33"/>
    </row>
    <row r="34" spans="2:11">
      <c r="C34" s="21"/>
      <c r="D34" s="15"/>
      <c r="E34" s="33"/>
      <c r="F34" s="34"/>
      <c r="G34" s="34"/>
      <c r="H34" s="34"/>
      <c r="I34"/>
      <c r="J34"/>
      <c r="K34"/>
    </row>
    <row r="35" spans="2:11">
      <c r="C35" s="21"/>
      <c r="D35" s="15"/>
      <c r="E35" s="33"/>
      <c r="F35" s="34"/>
      <c r="G35" s="34"/>
      <c r="H35" s="34"/>
      <c r="I35"/>
      <c r="J35"/>
      <c r="K35"/>
    </row>
    <row r="36" spans="2:11">
      <c r="B36" s="14"/>
      <c r="C36" s="21"/>
      <c r="D36" s="15"/>
      <c r="E36" s="33"/>
      <c r="F36" s="34"/>
      <c r="G36" s="34"/>
      <c r="H36" s="34"/>
      <c r="I36"/>
      <c r="J36"/>
      <c r="K36"/>
    </row>
    <row r="37" spans="2:11">
      <c r="C37" s="21"/>
      <c r="D37" s="15"/>
      <c r="E37" s="33"/>
      <c r="F37" s="34"/>
      <c r="G37" s="34"/>
      <c r="H37" s="34"/>
      <c r="I37"/>
      <c r="J37"/>
      <c r="K37"/>
    </row>
    <row r="38" spans="2:11">
      <c r="C38" s="21"/>
      <c r="D38" s="15"/>
      <c r="E38" s="33"/>
      <c r="F38" s="34"/>
      <c r="G38" s="34"/>
      <c r="H38" s="34"/>
      <c r="I38"/>
      <c r="J38"/>
      <c r="K38"/>
    </row>
    <row r="39" spans="2:11">
      <c r="B39" s="14" t="s">
        <v>106</v>
      </c>
      <c r="C39" s="21"/>
      <c r="D39" s="15"/>
      <c r="E39" s="33"/>
      <c r="F39" s="34"/>
      <c r="G39" s="34"/>
      <c r="H39" s="34"/>
      <c r="I39"/>
      <c r="J39"/>
    </row>
    <row r="40" spans="2:11">
      <c r="C40" s="21"/>
      <c r="D40" s="15"/>
      <c r="E40" s="33"/>
      <c r="F40" s="34"/>
      <c r="G40" s="34"/>
      <c r="H40" s="34"/>
      <c r="I40"/>
      <c r="J40"/>
    </row>
    <row r="41" spans="2:11">
      <c r="B41" s="14" t="s">
        <v>31</v>
      </c>
      <c r="C41"/>
      <c r="D41"/>
      <c r="E41"/>
      <c r="F41"/>
      <c r="G41"/>
      <c r="H41"/>
      <c r="I41"/>
      <c r="J41"/>
    </row>
    <row r="42" spans="2:11">
      <c r="B42">
        <v>99999</v>
      </c>
      <c r="C42">
        <v>20212</v>
      </c>
      <c r="D42" s="15" t="s">
        <v>91</v>
      </c>
      <c r="E42">
        <v>230506.04</v>
      </c>
      <c r="F42"/>
      <c r="G42">
        <v>13362.67</v>
      </c>
      <c r="H42"/>
      <c r="I42"/>
      <c r="J42">
        <v>17.25</v>
      </c>
    </row>
    <row r="43" spans="2:11">
      <c r="C43"/>
      <c r="D43"/>
      <c r="E43"/>
      <c r="F43"/>
      <c r="G43"/>
      <c r="H43"/>
      <c r="I43"/>
      <c r="J43"/>
    </row>
    <row r="44" spans="2:11">
      <c r="C44"/>
      <c r="D44"/>
      <c r="E44"/>
      <c r="F44"/>
      <c r="G44"/>
      <c r="H44"/>
      <c r="I44"/>
      <c r="J44"/>
    </row>
    <row r="45" spans="2:11">
      <c r="B45" s="14" t="s">
        <v>107</v>
      </c>
      <c r="C45"/>
      <c r="D45"/>
      <c r="E45"/>
      <c r="F45"/>
      <c r="G45"/>
      <c r="H45"/>
      <c r="I45"/>
      <c r="J45"/>
    </row>
    <row r="46" spans="2:11">
      <c r="C46"/>
      <c r="D46"/>
      <c r="E46"/>
      <c r="F46"/>
      <c r="G46"/>
      <c r="H46"/>
      <c r="I46"/>
      <c r="J46"/>
    </row>
  </sheetData>
  <mergeCells count="6">
    <mergeCell ref="A1:K1"/>
    <mergeCell ref="M1:P1"/>
    <mergeCell ref="R1:U1"/>
    <mergeCell ref="W1:Z1"/>
    <mergeCell ref="M26:P26"/>
    <mergeCell ref="W26:Z26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466082-b6bf-4153-98c3-3c41e85fda18">
      <Terms xmlns="http://schemas.microsoft.com/office/infopath/2007/PartnerControls"/>
    </lcf76f155ced4ddcb4097134ff3c332f>
    <TaxCatchAll xmlns="dc808d36-874f-4b27-aec2-2fd64981792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8" ma:contentTypeDescription="Create a new document." ma:contentTypeScope="" ma:versionID="efd9b4af885478ed0a3e84c6362c6fb3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3b6abc503e38a49174dd9e5072c65339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8028E8A-F64D-4A16-A62D-89F138E23509}"/>
</file>

<file path=customXml/itemProps2.xml><?xml version="1.0" encoding="utf-8"?>
<ds:datastoreItem xmlns:ds="http://schemas.openxmlformats.org/officeDocument/2006/customXml" ds:itemID="{2C3C2410-6C39-4D0D-99D0-246F1A886815}"/>
</file>

<file path=customXml/itemProps3.xml><?xml version="1.0" encoding="utf-8"?>
<ds:datastoreItem xmlns:ds="http://schemas.openxmlformats.org/officeDocument/2006/customXml" ds:itemID="{0D30FBE2-AA62-46A0-A173-6AEC980161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Román Alberto Rojas Hernández</dc:creator>
  <cp:keywords/>
  <dc:description/>
  <cp:lastModifiedBy>Pablo Marcelo Gonzalez</cp:lastModifiedBy>
  <cp:revision/>
  <dcterms:created xsi:type="dcterms:W3CDTF">2023-08-31T21:10:40Z</dcterms:created>
  <dcterms:modified xsi:type="dcterms:W3CDTF">2023-10-05T17:37:46Z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MediaServiceImageTags">
    <vt:lpwstr/>
  </property>
</Properties>
</file>