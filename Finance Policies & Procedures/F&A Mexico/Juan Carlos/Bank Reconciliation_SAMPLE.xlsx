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821"/>
  <workbookPr showInkAnnotation="0" autoCompressPictures="0"/>
  <mc:AlternateContent xmlns:mc="http://schemas.openxmlformats.org/markup-compatibility/2006">
    <mc:Choice Requires="x15">
      <x15ac:absPath xmlns:x15ac="http://schemas.microsoft.com/office/spreadsheetml/2010/11/ac" url="https://partnersnet107.sharepoint.com/sites/FA/Finance  Operational/_Teams/Pablo/MEX Training August 2023/_Shared &amp; Exp Report_Thursday_August 31/"/>
    </mc:Choice>
  </mc:AlternateContent>
  <xr:revisionPtr revIDLastSave="386" documentId="8_{DD9B7339-049C-47DC-9579-485CA4EDE287}" xr6:coauthVersionLast="47" xr6:coauthVersionMax="47" xr10:uidLastSave="{327AF1A9-DFD1-4758-9906-06680678425A}"/>
  <bookViews>
    <workbookView xWindow="-110" yWindow="-110" windowWidth="22780" windowHeight="14660" tabRatio="500" firstSheet="6" activeTab="6" xr2:uid="{00000000-000D-0000-FFFF-FFFF00000000}"/>
  </bookViews>
  <sheets>
    <sheet name="DOL415" sheetId="1" state="hidden" r:id="rId1"/>
    <sheet name="PN-Coding" sheetId="4" state="hidden" r:id="rId2"/>
    <sheet name="PARTNERS - ACCIDENTE" sheetId="38" state="hidden" r:id="rId3"/>
    <sheet name="PARTNERS - LIBROS" sheetId="39" state="hidden" r:id="rId4"/>
    <sheet name="codes" sheetId="34" state="hidden" r:id="rId5"/>
    <sheet name="CODES NEWS" sheetId="36" state="hidden" r:id="rId6"/>
    <sheet name="Bank Recon" sheetId="10" r:id="rId7"/>
    <sheet name="ACUMULADO" sheetId="15" state="hidden" r:id="rId8"/>
    <sheet name="budget anual" sheetId="28" state="hidden" r:id="rId9"/>
    <sheet name="Hoja1" sheetId="33" state="hidden" r:id="rId10"/>
  </sheets>
  <definedNames>
    <definedName name="_xlnm._FilterDatabase" localSheetId="7" hidden="1">ACUMULADO!$A$1:$CD$94</definedName>
    <definedName name="_xlnm._FilterDatabase" localSheetId="4" hidden="1">codes!$C$1:$C$147</definedName>
    <definedName name="_xlnm.Print_Area" localSheetId="6">'Bank Recon'!$A$1:$G$49</definedName>
    <definedName name="_xlnm.Print_Titles" localSheetId="7">ACUMULADO!$2:$3</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B27" i="10" l="1"/>
  <c r="F33" i="10" l="1"/>
  <c r="F22" i="10" l="1"/>
  <c r="C21" i="10"/>
  <c r="F34" i="10" l="1"/>
  <c r="F12" i="10" l="1"/>
  <c r="F21" i="10" s="1"/>
  <c r="F24" i="10" s="1"/>
  <c r="F36" i="10"/>
  <c r="F38" i="10" l="1"/>
  <c r="C33" i="10" l="1"/>
  <c r="C36" i="10" s="1"/>
  <c r="C38" i="10" s="1"/>
  <c r="C24" i="10"/>
  <c r="CA31" i="15" l="1"/>
  <c r="BW31" i="15"/>
  <c r="B92" i="15" l="1"/>
  <c r="B68" i="15"/>
  <c r="BK31" i="15"/>
  <c r="CB31" i="15"/>
  <c r="CD31" i="15" s="1"/>
  <c r="BH99" i="15" l="1"/>
  <c r="AN99" i="15"/>
  <c r="T99" i="15"/>
  <c r="BX77" i="15" l="1"/>
  <c r="BX22" i="15" l="1"/>
  <c r="CA74" i="15" l="1"/>
  <c r="BW74" i="15"/>
  <c r="BV34" i="15" l="1"/>
  <c r="BW34" i="15" s="1"/>
  <c r="BV88" i="15"/>
  <c r="BV90" i="15" s="1"/>
  <c r="BV15" i="15"/>
  <c r="BV26" i="15"/>
  <c r="BV50" i="15"/>
  <c r="BV36" i="15"/>
  <c r="BV58" i="15"/>
  <c r="BV54" i="15"/>
  <c r="BU10" i="15"/>
  <c r="BU49" i="15"/>
  <c r="BU50" i="15" s="1"/>
  <c r="BU73" i="15"/>
  <c r="BU25" i="15"/>
  <c r="BW25" i="15" s="1"/>
  <c r="BU99" i="15"/>
  <c r="CB99" i="15" s="1"/>
  <c r="CB100" i="15" s="1"/>
  <c r="BU88" i="15"/>
  <c r="BU4" i="15"/>
  <c r="BU15" i="15" s="1"/>
  <c r="BT10" i="15"/>
  <c r="BW10" i="15" s="1"/>
  <c r="BT49" i="15"/>
  <c r="BQ25" i="15"/>
  <c r="BP25" i="15"/>
  <c r="BP26" i="15" s="1"/>
  <c r="BF25" i="15"/>
  <c r="BE25" i="15"/>
  <c r="BD25" i="15"/>
  <c r="BB25" i="15"/>
  <c r="BA25" i="15"/>
  <c r="BA26" i="15" s="1"/>
  <c r="AZ25" i="15"/>
  <c r="AX25" i="15"/>
  <c r="AW25" i="15"/>
  <c r="AW26" i="15" s="1"/>
  <c r="AV25" i="15"/>
  <c r="AY25" i="15" s="1"/>
  <c r="AT25" i="15"/>
  <c r="BR22" i="15"/>
  <c r="BP79" i="15"/>
  <c r="BP90" i="15" s="1"/>
  <c r="BQ24" i="15"/>
  <c r="BS24" i="15" s="1"/>
  <c r="F19" i="39"/>
  <c r="F14" i="39"/>
  <c r="F140" i="39"/>
  <c r="F131" i="38"/>
  <c r="F13" i="38"/>
  <c r="BN80" i="15"/>
  <c r="BM22" i="15"/>
  <c r="BO22" i="15" s="1"/>
  <c r="BL56" i="15"/>
  <c r="BO74" i="15"/>
  <c r="CB74" i="15" s="1"/>
  <c r="BO75" i="15"/>
  <c r="B94" i="15"/>
  <c r="B69" i="15"/>
  <c r="B64" i="15"/>
  <c r="B53" i="15"/>
  <c r="BZ94" i="15"/>
  <c r="BY94" i="15"/>
  <c r="BX94" i="15"/>
  <c r="BZ90" i="15"/>
  <c r="BY90" i="15"/>
  <c r="BX90" i="15"/>
  <c r="BZ70" i="15"/>
  <c r="BY70" i="15"/>
  <c r="BX70" i="15"/>
  <c r="BZ65" i="15"/>
  <c r="BY65" i="15"/>
  <c r="BX65" i="15"/>
  <c r="BZ58" i="15"/>
  <c r="BY58" i="15"/>
  <c r="BX58" i="15"/>
  <c r="BZ54" i="15"/>
  <c r="BY54" i="15"/>
  <c r="BX54" i="15"/>
  <c r="BZ50" i="15"/>
  <c r="BY50" i="15"/>
  <c r="BX50" i="15"/>
  <c r="BZ43" i="15"/>
  <c r="BY43" i="15"/>
  <c r="BX43" i="15"/>
  <c r="BZ36" i="15"/>
  <c r="BY36" i="15"/>
  <c r="BX36" i="15"/>
  <c r="BZ26" i="15"/>
  <c r="BY26" i="15"/>
  <c r="BX26" i="15"/>
  <c r="BZ15" i="15"/>
  <c r="BY15" i="15"/>
  <c r="BX15" i="15"/>
  <c r="BV94" i="15"/>
  <c r="BU94" i="15"/>
  <c r="BT94" i="15"/>
  <c r="BT90" i="15"/>
  <c r="BV70" i="15"/>
  <c r="BU70" i="15"/>
  <c r="BT70" i="15"/>
  <c r="BV65" i="15"/>
  <c r="BU65" i="15"/>
  <c r="BT65" i="15"/>
  <c r="BU58" i="15"/>
  <c r="BT58" i="15"/>
  <c r="BU54" i="15"/>
  <c r="BT54" i="15"/>
  <c r="BT50" i="15"/>
  <c r="BV43" i="15"/>
  <c r="BU43" i="15"/>
  <c r="BT43" i="15"/>
  <c r="BU36" i="15"/>
  <c r="BT36" i="15"/>
  <c r="BU26" i="15"/>
  <c r="BT26" i="15"/>
  <c r="BR94" i="15"/>
  <c r="BQ94" i="15"/>
  <c r="BP94" i="15"/>
  <c r="BR90" i="15"/>
  <c r="BQ90" i="15"/>
  <c r="BR70" i="15"/>
  <c r="BQ70" i="15"/>
  <c r="BP70" i="15"/>
  <c r="BR65" i="15"/>
  <c r="BQ65" i="15"/>
  <c r="BP65" i="15"/>
  <c r="BR58" i="15"/>
  <c r="BQ58" i="15"/>
  <c r="BP58" i="15"/>
  <c r="BR54" i="15"/>
  <c r="BQ54" i="15"/>
  <c r="BP54" i="15"/>
  <c r="BR50" i="15"/>
  <c r="BQ50" i="15"/>
  <c r="BP50" i="15"/>
  <c r="BR43" i="15"/>
  <c r="BQ43" i="15"/>
  <c r="BP43" i="15"/>
  <c r="BR36" i="15"/>
  <c r="BQ36" i="15"/>
  <c r="BP36" i="15"/>
  <c r="BR15" i="15"/>
  <c r="BQ15" i="15"/>
  <c r="BP15" i="15"/>
  <c r="CB85" i="15"/>
  <c r="CA93" i="15"/>
  <c r="CA92" i="15"/>
  <c r="CA89" i="15"/>
  <c r="CA88" i="15"/>
  <c r="CA87" i="15"/>
  <c r="CA86" i="15"/>
  <c r="CB86" i="15" s="1"/>
  <c r="CA84" i="15"/>
  <c r="CA83" i="15"/>
  <c r="CA82" i="15"/>
  <c r="CA81" i="15"/>
  <c r="CA80" i="15"/>
  <c r="CA79" i="15"/>
  <c r="CA78" i="15"/>
  <c r="CA77" i="15"/>
  <c r="CA76" i="15"/>
  <c r="CA75" i="15"/>
  <c r="CA73" i="15"/>
  <c r="CA72" i="15"/>
  <c r="CA69" i="15"/>
  <c r="CA68" i="15"/>
  <c r="CA67" i="15"/>
  <c r="CA64" i="15"/>
  <c r="CA63" i="15"/>
  <c r="CA62" i="15"/>
  <c r="CA61" i="15"/>
  <c r="CA60" i="15"/>
  <c r="CA57" i="15"/>
  <c r="CA56" i="15"/>
  <c r="CA53" i="15"/>
  <c r="CA52" i="15"/>
  <c r="CA49" i="15"/>
  <c r="CA48" i="15"/>
  <c r="CA47" i="15"/>
  <c r="CA46" i="15"/>
  <c r="CA45" i="15"/>
  <c r="CA42" i="15"/>
  <c r="CA41" i="15"/>
  <c r="CA40" i="15"/>
  <c r="CA43" i="15" s="1"/>
  <c r="CA39" i="15"/>
  <c r="CA38" i="15"/>
  <c r="CA35" i="15"/>
  <c r="CA34" i="15"/>
  <c r="CA33" i="15"/>
  <c r="CA32" i="15"/>
  <c r="CA30" i="15"/>
  <c r="CA29" i="15"/>
  <c r="CA28" i="15"/>
  <c r="CA25" i="15"/>
  <c r="CA24" i="15"/>
  <c r="CA23" i="15"/>
  <c r="CA22" i="15"/>
  <c r="CA21" i="15"/>
  <c r="CA20" i="15"/>
  <c r="CA19" i="15"/>
  <c r="CA18" i="15"/>
  <c r="CA17" i="15"/>
  <c r="CA14" i="15"/>
  <c r="CA13" i="15"/>
  <c r="CA12" i="15"/>
  <c r="CA11" i="15"/>
  <c r="CA10" i="15"/>
  <c r="CA9" i="15"/>
  <c r="CA8" i="15"/>
  <c r="CA7" i="15"/>
  <c r="CA6" i="15"/>
  <c r="CA5" i="15"/>
  <c r="CA4" i="15"/>
  <c r="BW93" i="15"/>
  <c r="BW92" i="15"/>
  <c r="BW94" i="15" s="1"/>
  <c r="BW89" i="15"/>
  <c r="BW87" i="15"/>
  <c r="BW86" i="15"/>
  <c r="BW84" i="15"/>
  <c r="BW83" i="15"/>
  <c r="BW82" i="15"/>
  <c r="BW81" i="15"/>
  <c r="BW80" i="15"/>
  <c r="BW79" i="15"/>
  <c r="BW78" i="15"/>
  <c r="BW77" i="15"/>
  <c r="BW76" i="15"/>
  <c r="BW75" i="15"/>
  <c r="BW73" i="15"/>
  <c r="BW72" i="15"/>
  <c r="BW69" i="15"/>
  <c r="BW68" i="15"/>
  <c r="BW67" i="15"/>
  <c r="BW64" i="15"/>
  <c r="BW63" i="15"/>
  <c r="BW62" i="15"/>
  <c r="BW61" i="15"/>
  <c r="BW60" i="15"/>
  <c r="BW57" i="15"/>
  <c r="BW56" i="15"/>
  <c r="BW53" i="15"/>
  <c r="BW52" i="15"/>
  <c r="BW49" i="15"/>
  <c r="BW48" i="15"/>
  <c r="BW47" i="15"/>
  <c r="BW46" i="15"/>
  <c r="BW45" i="15"/>
  <c r="BW42" i="15"/>
  <c r="BW41" i="15"/>
  <c r="BW40" i="15"/>
  <c r="BW39" i="15"/>
  <c r="BW38" i="15"/>
  <c r="BW35" i="15"/>
  <c r="BW33" i="15"/>
  <c r="BW32" i="15"/>
  <c r="BW30" i="15"/>
  <c r="CB30" i="15" s="1"/>
  <c r="BW29" i="15"/>
  <c r="BW28" i="15"/>
  <c r="BW24" i="15"/>
  <c r="BW23" i="15"/>
  <c r="BW22" i="15"/>
  <c r="BW21" i="15"/>
  <c r="BW20" i="15"/>
  <c r="BW19" i="15"/>
  <c r="BW18" i="15"/>
  <c r="BW17" i="15"/>
  <c r="BW14" i="15"/>
  <c r="BW13" i="15"/>
  <c r="BW12" i="15"/>
  <c r="BW11" i="15"/>
  <c r="BW9" i="15"/>
  <c r="BW8" i="15"/>
  <c r="BW7" i="15"/>
  <c r="BW6" i="15"/>
  <c r="BW5" i="15"/>
  <c r="BW4" i="15"/>
  <c r="BS93" i="15"/>
  <c r="BS92" i="15"/>
  <c r="BS89" i="15"/>
  <c r="BS88" i="15"/>
  <c r="BS87" i="15"/>
  <c r="BS86" i="15"/>
  <c r="BS84" i="15"/>
  <c r="BS83" i="15"/>
  <c r="BS82" i="15"/>
  <c r="BS81" i="15"/>
  <c r="BS80" i="15"/>
  <c r="BS79" i="15"/>
  <c r="BS78" i="15"/>
  <c r="BS77" i="15"/>
  <c r="BS76" i="15"/>
  <c r="BS75" i="15"/>
  <c r="CB75" i="15" s="1"/>
  <c r="BS73" i="15"/>
  <c r="BS72" i="15"/>
  <c r="BS69" i="15"/>
  <c r="BS68" i="15"/>
  <c r="BS70" i="15" s="1"/>
  <c r="BS67" i="15"/>
  <c r="BS64" i="15"/>
  <c r="BS63" i="15"/>
  <c r="BS62" i="15"/>
  <c r="BS65" i="15" s="1"/>
  <c r="BS61" i="15"/>
  <c r="BS60" i="15"/>
  <c r="BS57" i="15"/>
  <c r="BS56" i="15"/>
  <c r="BS58" i="15" s="1"/>
  <c r="BS53" i="15"/>
  <c r="BS52" i="15"/>
  <c r="BS49" i="15"/>
  <c r="BS48" i="15"/>
  <c r="BS50" i="15" s="1"/>
  <c r="BS47" i="15"/>
  <c r="BS46" i="15"/>
  <c r="BS45" i="15"/>
  <c r="BS42" i="15"/>
  <c r="BS41" i="15"/>
  <c r="BS40" i="15"/>
  <c r="BS39" i="15"/>
  <c r="BS38" i="15"/>
  <c r="BS35" i="15"/>
  <c r="BS34" i="15"/>
  <c r="BS33" i="15"/>
  <c r="BS32" i="15"/>
  <c r="BS30" i="15"/>
  <c r="BS29" i="15"/>
  <c r="BS28" i="15"/>
  <c r="BS25" i="15"/>
  <c r="BS23" i="15"/>
  <c r="BS21" i="15"/>
  <c r="BS20" i="15"/>
  <c r="BS19" i="15"/>
  <c r="BS18" i="15"/>
  <c r="BS17" i="15"/>
  <c r="BS14" i="15"/>
  <c r="BS13" i="15"/>
  <c r="BS12" i="15"/>
  <c r="BS11" i="15"/>
  <c r="BS10" i="15"/>
  <c r="BS9" i="15"/>
  <c r="BS8" i="15"/>
  <c r="BS7" i="15"/>
  <c r="BS6" i="15"/>
  <c r="BS5" i="15"/>
  <c r="BS4" i="15"/>
  <c r="BO93" i="15"/>
  <c r="BO92" i="15"/>
  <c r="BO89" i="15"/>
  <c r="CB89" i="15" s="1"/>
  <c r="BO88" i="15"/>
  <c r="BO87" i="15"/>
  <c r="BO86" i="15"/>
  <c r="BO84" i="15"/>
  <c r="CB84" i="15" s="1"/>
  <c r="BO83" i="15"/>
  <c r="BO82" i="15"/>
  <c r="BO81" i="15"/>
  <c r="BO80" i="15"/>
  <c r="CB80" i="15" s="1"/>
  <c r="BO79" i="15"/>
  <c r="BO78" i="15"/>
  <c r="BO77" i="15"/>
  <c r="BO76" i="15"/>
  <c r="CB76" i="15" s="1"/>
  <c r="BO73" i="15"/>
  <c r="BO72" i="15"/>
  <c r="BO69" i="15"/>
  <c r="BO68" i="15"/>
  <c r="BO67" i="15"/>
  <c r="BO64" i="15"/>
  <c r="BO63" i="15"/>
  <c r="BO62" i="15"/>
  <c r="CB62" i="15" s="1"/>
  <c r="BO61" i="15"/>
  <c r="BO60" i="15"/>
  <c r="BO57" i="15"/>
  <c r="BO56" i="15"/>
  <c r="BO58" i="15" s="1"/>
  <c r="BO53" i="15"/>
  <c r="BO52" i="15"/>
  <c r="BO49" i="15"/>
  <c r="BO48" i="15"/>
  <c r="CB48" i="15" s="1"/>
  <c r="BO47" i="15"/>
  <c r="BO46" i="15"/>
  <c r="BO45" i="15"/>
  <c r="BO42" i="15"/>
  <c r="CB42" i="15" s="1"/>
  <c r="BO41" i="15"/>
  <c r="BO40" i="15"/>
  <c r="BO39" i="15"/>
  <c r="BO38" i="15"/>
  <c r="BO35" i="15"/>
  <c r="BO34" i="15"/>
  <c r="BO33" i="15"/>
  <c r="BO32" i="15"/>
  <c r="CB32" i="15" s="1"/>
  <c r="BO30" i="15"/>
  <c r="BO29" i="15"/>
  <c r="BO28" i="15"/>
  <c r="BO25" i="15"/>
  <c r="BO24" i="15"/>
  <c r="BO23" i="15"/>
  <c r="BO21" i="15"/>
  <c r="BO20" i="15"/>
  <c r="BO19" i="15"/>
  <c r="CB19" i="15" s="1"/>
  <c r="BO18" i="15"/>
  <c r="BO17" i="15"/>
  <c r="BO14" i="15"/>
  <c r="BO13" i="15"/>
  <c r="BO12" i="15"/>
  <c r="BO11" i="15"/>
  <c r="BO10" i="15"/>
  <c r="BO9" i="15"/>
  <c r="BO8" i="15"/>
  <c r="BO7" i="15"/>
  <c r="BO6" i="15"/>
  <c r="BO5" i="15"/>
  <c r="BO4" i="15"/>
  <c r="BN94" i="15"/>
  <c r="BN90" i="15"/>
  <c r="BN70" i="15"/>
  <c r="BN65" i="15"/>
  <c r="BN58" i="15"/>
  <c r="BN54" i="15"/>
  <c r="BN50" i="15"/>
  <c r="BN43" i="15"/>
  <c r="BN36" i="15"/>
  <c r="BN26" i="15"/>
  <c r="BN96" i="15" s="1"/>
  <c r="BN100" i="15" s="1"/>
  <c r="BN15" i="15"/>
  <c r="BM94" i="15"/>
  <c r="BM90" i="15"/>
  <c r="BM70" i="15"/>
  <c r="BM65" i="15"/>
  <c r="BM58" i="15"/>
  <c r="BM54" i="15"/>
  <c r="BM50" i="15"/>
  <c r="BM43" i="15"/>
  <c r="BM36" i="15"/>
  <c r="BM26" i="15"/>
  <c r="BM15" i="15"/>
  <c r="BL94" i="15"/>
  <c r="BL90" i="15"/>
  <c r="BL70" i="15"/>
  <c r="BL65" i="15"/>
  <c r="BL58" i="15"/>
  <c r="BL54" i="15"/>
  <c r="BL50" i="15"/>
  <c r="BL43" i="15"/>
  <c r="BL36" i="15"/>
  <c r="BL26" i="15"/>
  <c r="BL15" i="15"/>
  <c r="AQ89" i="15"/>
  <c r="AQ87" i="15"/>
  <c r="AQ84" i="15"/>
  <c r="AQ83" i="15"/>
  <c r="W84" i="15"/>
  <c r="C84" i="15"/>
  <c r="AQ82" i="15"/>
  <c r="AQ81" i="15"/>
  <c r="AQ77" i="15"/>
  <c r="W77" i="15"/>
  <c r="C78" i="15"/>
  <c r="AQ76" i="15"/>
  <c r="W76" i="15"/>
  <c r="C76" i="15"/>
  <c r="BH74" i="15"/>
  <c r="BJ74" i="15" s="1"/>
  <c r="W75" i="15"/>
  <c r="W74" i="15"/>
  <c r="C75" i="15"/>
  <c r="C74" i="15"/>
  <c r="AQ73" i="15"/>
  <c r="W73" i="15"/>
  <c r="C73" i="15"/>
  <c r="AQ72" i="15"/>
  <c r="C68" i="15"/>
  <c r="C70" i="15" s="1"/>
  <c r="C67" i="15"/>
  <c r="C63" i="15"/>
  <c r="C62" i="15"/>
  <c r="C61" i="15"/>
  <c r="C60" i="15"/>
  <c r="AQ57" i="15"/>
  <c r="W57" i="15"/>
  <c r="C57" i="15"/>
  <c r="C58" i="15" s="1"/>
  <c r="AQ56" i="15"/>
  <c r="W56" i="15"/>
  <c r="C56" i="15"/>
  <c r="AQ49" i="15"/>
  <c r="AQ46" i="15"/>
  <c r="W46" i="15"/>
  <c r="C46" i="15"/>
  <c r="AQ45" i="15"/>
  <c r="AQ50" i="15" s="1"/>
  <c r="AQ41" i="15"/>
  <c r="AQ40" i="15"/>
  <c r="AQ39" i="15"/>
  <c r="W41" i="15"/>
  <c r="W43" i="15" s="1"/>
  <c r="W40" i="15"/>
  <c r="W39" i="15"/>
  <c r="C41" i="15"/>
  <c r="C40" i="15"/>
  <c r="V40" i="15" s="1"/>
  <c r="AP40" i="15" s="1"/>
  <c r="BJ40" i="15" s="1"/>
  <c r="C39" i="15"/>
  <c r="AQ38" i="15"/>
  <c r="W38" i="15"/>
  <c r="C38" i="15"/>
  <c r="C43" i="15" s="1"/>
  <c r="AQ35" i="15"/>
  <c r="AQ34" i="15"/>
  <c r="AQ33" i="15"/>
  <c r="W34" i="15"/>
  <c r="W33" i="15"/>
  <c r="AQ32" i="15"/>
  <c r="W32" i="15"/>
  <c r="C34" i="15"/>
  <c r="C33" i="15"/>
  <c r="C32" i="15"/>
  <c r="AQ28" i="15"/>
  <c r="W28" i="15"/>
  <c r="C28" i="15"/>
  <c r="AQ25" i="15"/>
  <c r="AQ23" i="15"/>
  <c r="W23" i="15"/>
  <c r="C23" i="15"/>
  <c r="G23" i="15"/>
  <c r="K23" i="15"/>
  <c r="O23" i="15"/>
  <c r="T23" i="15" s="1"/>
  <c r="V23" i="15" s="1"/>
  <c r="S23" i="15"/>
  <c r="AA23" i="15"/>
  <c r="AE23" i="15"/>
  <c r="AI23" i="15"/>
  <c r="AM23" i="15"/>
  <c r="G24" i="15"/>
  <c r="K24" i="15"/>
  <c r="O24" i="15"/>
  <c r="S24" i="15"/>
  <c r="AA24" i="15"/>
  <c r="AE24" i="15"/>
  <c r="AI24" i="15"/>
  <c r="AM24" i="15"/>
  <c r="AQ20" i="15"/>
  <c r="W20" i="15"/>
  <c r="C20" i="15"/>
  <c r="AQ19" i="15"/>
  <c r="AQ18" i="15"/>
  <c r="AA4" i="15"/>
  <c r="AE4" i="15"/>
  <c r="AN4" i="15" s="1"/>
  <c r="AI4" i="15"/>
  <c r="AJ4" i="15"/>
  <c r="AM4" i="15"/>
  <c r="AQ4" i="15"/>
  <c r="AA5" i="15"/>
  <c r="AE5" i="15"/>
  <c r="AI5" i="15"/>
  <c r="AM5" i="15"/>
  <c r="AA6" i="15"/>
  <c r="AE6" i="15"/>
  <c r="AI6" i="15"/>
  <c r="AM6" i="15"/>
  <c r="AN6" i="15" s="1"/>
  <c r="C6" i="15"/>
  <c r="AQ14" i="15"/>
  <c r="W14" i="15"/>
  <c r="C14" i="15"/>
  <c r="AQ13" i="15"/>
  <c r="W13" i="15"/>
  <c r="C13" i="15"/>
  <c r="AQ12" i="15"/>
  <c r="W12" i="15"/>
  <c r="C12" i="15"/>
  <c r="AQ11" i="15"/>
  <c r="W11" i="15"/>
  <c r="C11" i="15"/>
  <c r="AQ10" i="15"/>
  <c r="W10" i="15"/>
  <c r="C10" i="15"/>
  <c r="AQ9" i="15"/>
  <c r="W9" i="15"/>
  <c r="C9" i="15"/>
  <c r="AQ8" i="15"/>
  <c r="W8" i="15"/>
  <c r="C8" i="15"/>
  <c r="AQ7" i="15"/>
  <c r="W7" i="15"/>
  <c r="C7" i="15"/>
  <c r="F11" i="28"/>
  <c r="G177" i="28"/>
  <c r="G25" i="28"/>
  <c r="C15" i="28"/>
  <c r="D15" i="28"/>
  <c r="E15" i="28"/>
  <c r="F15" i="28"/>
  <c r="D34" i="28"/>
  <c r="E34" i="28"/>
  <c r="F34" i="28"/>
  <c r="F70" i="28"/>
  <c r="F86" i="28"/>
  <c r="C96" i="28"/>
  <c r="D96" i="28"/>
  <c r="E96" i="28"/>
  <c r="F96" i="28"/>
  <c r="E108" i="28"/>
  <c r="F108" i="28"/>
  <c r="C116" i="28"/>
  <c r="D116" i="28"/>
  <c r="E116" i="28"/>
  <c r="F116" i="28"/>
  <c r="C121" i="28"/>
  <c r="D121" i="28"/>
  <c r="E121" i="28"/>
  <c r="F121" i="28"/>
  <c r="C132" i="28"/>
  <c r="D132" i="28"/>
  <c r="E132" i="28"/>
  <c r="F132" i="28"/>
  <c r="C142" i="28"/>
  <c r="F142" i="28"/>
  <c r="C150" i="28"/>
  <c r="D150" i="28"/>
  <c r="E150" i="28"/>
  <c r="F150" i="28"/>
  <c r="F183" i="28"/>
  <c r="C188" i="28"/>
  <c r="D188" i="28"/>
  <c r="E188" i="28"/>
  <c r="F188" i="28"/>
  <c r="G194" i="28"/>
  <c r="G193" i="28"/>
  <c r="G192" i="28"/>
  <c r="G191" i="28"/>
  <c r="G186" i="28"/>
  <c r="G185" i="28"/>
  <c r="G188" i="28" s="1"/>
  <c r="G180" i="28"/>
  <c r="G179" i="28"/>
  <c r="G178" i="28"/>
  <c r="G173" i="28"/>
  <c r="G172" i="28"/>
  <c r="G170" i="28"/>
  <c r="G168" i="28"/>
  <c r="G167" i="28"/>
  <c r="G161" i="28"/>
  <c r="G160" i="28"/>
  <c r="G159" i="28"/>
  <c r="G158" i="28"/>
  <c r="G157" i="28"/>
  <c r="G156" i="28"/>
  <c r="G155" i="28"/>
  <c r="G154" i="28"/>
  <c r="G152" i="28"/>
  <c r="G148" i="28"/>
  <c r="G147" i="28"/>
  <c r="G146" i="28"/>
  <c r="G150" i="28" s="1"/>
  <c r="G145" i="28"/>
  <c r="G144" i="28"/>
  <c r="G140" i="28"/>
  <c r="G139" i="28"/>
  <c r="G138" i="28"/>
  <c r="G130" i="28"/>
  <c r="G129" i="28"/>
  <c r="G128" i="28"/>
  <c r="G127" i="28"/>
  <c r="G126" i="28"/>
  <c r="G125" i="28"/>
  <c r="G124" i="28"/>
  <c r="G132" i="28" s="1"/>
  <c r="G123" i="28"/>
  <c r="G119" i="28"/>
  <c r="G118" i="28"/>
  <c r="G121" i="28" s="1"/>
  <c r="G114" i="28"/>
  <c r="G113" i="28"/>
  <c r="G112" i="28"/>
  <c r="G111" i="28"/>
  <c r="G110" i="28"/>
  <c r="G116" i="28" s="1"/>
  <c r="G107" i="28"/>
  <c r="G106" i="28"/>
  <c r="G105" i="28"/>
  <c r="G104" i="28"/>
  <c r="G103" i="28"/>
  <c r="G102" i="28"/>
  <c r="G101" i="28"/>
  <c r="G100" i="28"/>
  <c r="G99" i="28"/>
  <c r="G95" i="28"/>
  <c r="G94" i="28"/>
  <c r="G93" i="28"/>
  <c r="G92" i="28"/>
  <c r="G91" i="28"/>
  <c r="G90" i="28"/>
  <c r="G89" i="28"/>
  <c r="G96" i="28" s="1"/>
  <c r="G88" i="28"/>
  <c r="G85" i="28"/>
  <c r="G84" i="28"/>
  <c r="G83" i="28"/>
  <c r="G82" i="28"/>
  <c r="G81" i="28"/>
  <c r="G80" i="28"/>
  <c r="G79" i="28"/>
  <c r="G78" i="28"/>
  <c r="G77" i="28"/>
  <c r="G76" i="28"/>
  <c r="G75" i="28"/>
  <c r="G72" i="28"/>
  <c r="G69" i="28"/>
  <c r="G68" i="28"/>
  <c r="G67" i="28"/>
  <c r="G66" i="28"/>
  <c r="G65" i="28"/>
  <c r="G64" i="28"/>
  <c r="G63" i="28"/>
  <c r="G62" i="28"/>
  <c r="G61" i="28"/>
  <c r="G60" i="28"/>
  <c r="G59" i="28"/>
  <c r="G57" i="28"/>
  <c r="G55" i="28"/>
  <c r="G54" i="28"/>
  <c r="G53" i="28"/>
  <c r="G51" i="28"/>
  <c r="G50" i="28"/>
  <c r="G49" i="28"/>
  <c r="G47" i="28"/>
  <c r="G46" i="28"/>
  <c r="G45" i="28"/>
  <c r="G44" i="28"/>
  <c r="G43" i="28"/>
  <c r="G42" i="28"/>
  <c r="G41" i="28"/>
  <c r="G40" i="28"/>
  <c r="G39" i="28"/>
  <c r="G38" i="28"/>
  <c r="G37" i="28"/>
  <c r="G36" i="28"/>
  <c r="G32" i="28"/>
  <c r="G31" i="28"/>
  <c r="G30" i="28"/>
  <c r="G29" i="28"/>
  <c r="G28" i="28"/>
  <c r="G27" i="28"/>
  <c r="G26" i="28"/>
  <c r="G24" i="28"/>
  <c r="G23" i="28"/>
  <c r="G22" i="28"/>
  <c r="G21" i="28"/>
  <c r="G20" i="28"/>
  <c r="G19" i="28"/>
  <c r="G34" i="28" s="1"/>
  <c r="G17" i="28"/>
  <c r="G13" i="28"/>
  <c r="G15" i="28"/>
  <c r="B185" i="28"/>
  <c r="B188" i="28" s="1"/>
  <c r="B183" i="28"/>
  <c r="B150" i="28"/>
  <c r="B142" i="28"/>
  <c r="B132" i="28"/>
  <c r="B121" i="28"/>
  <c r="B116" i="28"/>
  <c r="B108" i="28"/>
  <c r="B96" i="28"/>
  <c r="B86" i="28"/>
  <c r="B70" i="28"/>
  <c r="B28" i="28"/>
  <c r="B34" i="28" s="1"/>
  <c r="B15" i="28"/>
  <c r="B11" i="28"/>
  <c r="BS54" i="15"/>
  <c r="CD85" i="15"/>
  <c r="BP96" i="15"/>
  <c r="BP100" i="15" s="1"/>
  <c r="BO54" i="15"/>
  <c r="CA54" i="15"/>
  <c r="CB33" i="15"/>
  <c r="CB81" i="15"/>
  <c r="CB17" i="15"/>
  <c r="CB39" i="15"/>
  <c r="BS94" i="15"/>
  <c r="C34" i="28"/>
  <c r="BF22" i="15"/>
  <c r="BF26" i="15" s="1"/>
  <c r="BG48" i="15"/>
  <c r="BH48" i="15" s="1"/>
  <c r="BG47" i="15"/>
  <c r="BH47" i="15" s="1"/>
  <c r="BJ47" i="15" s="1"/>
  <c r="BG53" i="15"/>
  <c r="BH53" i="15" s="1"/>
  <c r="BJ53" i="15" s="1"/>
  <c r="BG52" i="15"/>
  <c r="BG42" i="15"/>
  <c r="BG41" i="15"/>
  <c r="BH41" i="15" s="1"/>
  <c r="BG40" i="15"/>
  <c r="BG39" i="15"/>
  <c r="BF54" i="15"/>
  <c r="BE54" i="15"/>
  <c r="BD54" i="15"/>
  <c r="BC54" i="15"/>
  <c r="BB54" i="15"/>
  <c r="BA54" i="15"/>
  <c r="AZ54" i="15"/>
  <c r="AY54" i="15"/>
  <c r="AX54" i="15"/>
  <c r="AW54" i="15"/>
  <c r="AV54" i="15"/>
  <c r="AT54" i="15"/>
  <c r="AS54" i="15"/>
  <c r="AR54" i="15"/>
  <c r="AQ54" i="15"/>
  <c r="AL54" i="15"/>
  <c r="AK54" i="15"/>
  <c r="AJ54" i="15"/>
  <c r="AI54" i="15"/>
  <c r="AH54" i="15"/>
  <c r="AG54" i="15"/>
  <c r="AF54" i="15"/>
  <c r="AE54" i="15"/>
  <c r="AD54" i="15"/>
  <c r="AC54" i="15"/>
  <c r="AB54" i="15"/>
  <c r="Z54" i="15"/>
  <c r="Y54" i="15"/>
  <c r="X54" i="15"/>
  <c r="R54" i="15"/>
  <c r="Q54" i="15"/>
  <c r="P54" i="15"/>
  <c r="O54" i="15"/>
  <c r="N54" i="15"/>
  <c r="M54" i="15"/>
  <c r="L54" i="15"/>
  <c r="J54" i="15"/>
  <c r="H54" i="15"/>
  <c r="F54" i="15"/>
  <c r="E54" i="15"/>
  <c r="D54" i="15"/>
  <c r="C54" i="15"/>
  <c r="AA54" i="15"/>
  <c r="AU54" i="15"/>
  <c r="AM54" i="15"/>
  <c r="W54" i="15"/>
  <c r="S54" i="15"/>
  <c r="I54" i="15"/>
  <c r="K54" i="15"/>
  <c r="G54" i="15"/>
  <c r="AN54" i="15"/>
  <c r="AO54" i="15" s="1"/>
  <c r="T54" i="15"/>
  <c r="V54" i="15"/>
  <c r="BD80" i="15"/>
  <c r="BG49" i="15"/>
  <c r="AP54" i="15"/>
  <c r="I56" i="15"/>
  <c r="H13" i="15"/>
  <c r="BA15" i="15"/>
  <c r="BF50" i="15"/>
  <c r="BE50" i="15"/>
  <c r="BD50" i="15"/>
  <c r="BB50" i="15"/>
  <c r="BA50" i="15"/>
  <c r="AZ50" i="15"/>
  <c r="AX50" i="15"/>
  <c r="AW50" i="15"/>
  <c r="AV50" i="15"/>
  <c r="AS50" i="15"/>
  <c r="AT50" i="15"/>
  <c r="AR50" i="15"/>
  <c r="BH42" i="15"/>
  <c r="BF43" i="15"/>
  <c r="BE43" i="15"/>
  <c r="BD43" i="15"/>
  <c r="BB43" i="15"/>
  <c r="BA43" i="15"/>
  <c r="AZ43" i="15"/>
  <c r="AX43" i="15"/>
  <c r="AW43" i="15"/>
  <c r="AV43" i="15"/>
  <c r="AS43" i="15"/>
  <c r="AT43" i="15"/>
  <c r="AR43" i="15"/>
  <c r="BF36" i="15"/>
  <c r="BE36" i="15"/>
  <c r="BD36" i="15"/>
  <c r="BG30" i="15"/>
  <c r="BG32" i="15"/>
  <c r="BG33" i="15"/>
  <c r="BG34" i="15"/>
  <c r="BG35" i="15"/>
  <c r="BC30" i="15"/>
  <c r="BC32" i="15"/>
  <c r="BC33" i="15"/>
  <c r="BC34" i="15"/>
  <c r="BC35" i="15"/>
  <c r="BB36" i="15"/>
  <c r="D151" i="33"/>
  <c r="D154" i="33"/>
  <c r="D144" i="33"/>
  <c r="D143" i="33"/>
  <c r="D142" i="33"/>
  <c r="D140" i="33"/>
  <c r="D149" i="33" s="1"/>
  <c r="D139" i="33"/>
  <c r="D130" i="33"/>
  <c r="D123" i="33"/>
  <c r="D116" i="33"/>
  <c r="D107" i="33"/>
  <c r="D97" i="33"/>
  <c r="D91" i="33"/>
  <c r="D83" i="33"/>
  <c r="D76" i="33"/>
  <c r="D75" i="33"/>
  <c r="D69" i="33"/>
  <c r="D68" i="33"/>
  <c r="D71" i="33" s="1"/>
  <c r="D67" i="33"/>
  <c r="D59" i="33"/>
  <c r="D58" i="33"/>
  <c r="D54" i="33"/>
  <c r="D61" i="33" s="1"/>
  <c r="D45" i="33"/>
  <c r="D36" i="33"/>
  <c r="D32" i="33"/>
  <c r="D34" i="33" s="1"/>
  <c r="D31" i="33"/>
  <c r="D25" i="33"/>
  <c r="D14" i="33"/>
  <c r="D23" i="33" s="1"/>
  <c r="D28" i="33" s="1"/>
  <c r="D78" i="33"/>
  <c r="M72" i="15"/>
  <c r="AT80" i="15"/>
  <c r="AT90" i="15" s="1"/>
  <c r="AY30" i="15"/>
  <c r="AY32" i="15"/>
  <c r="AY33" i="15"/>
  <c r="AY34" i="15"/>
  <c r="AW14" i="15"/>
  <c r="AW15" i="15" s="1"/>
  <c r="AP25" i="15"/>
  <c r="AU25" i="15"/>
  <c r="AR26" i="15"/>
  <c r="AV14" i="15"/>
  <c r="AV15" i="15" s="1"/>
  <c r="AU33" i="15"/>
  <c r="AU32" i="15"/>
  <c r="AU30" i="15"/>
  <c r="BF90" i="15"/>
  <c r="BE90" i="15"/>
  <c r="BD90" i="15"/>
  <c r="BF70" i="15"/>
  <c r="BE70" i="15"/>
  <c r="BD70" i="15"/>
  <c r="BF65" i="15"/>
  <c r="BE65" i="15"/>
  <c r="BD65" i="15"/>
  <c r="BF58" i="15"/>
  <c r="BE58" i="15"/>
  <c r="BD58" i="15"/>
  <c r="BE26" i="15"/>
  <c r="BD26" i="15"/>
  <c r="BF15" i="15"/>
  <c r="BE15" i="15"/>
  <c r="BD15" i="15"/>
  <c r="BD96" i="15" s="1"/>
  <c r="BD100" i="15" s="1"/>
  <c r="BB90" i="15"/>
  <c r="BA90" i="15"/>
  <c r="AZ90" i="15"/>
  <c r="BB70" i="15"/>
  <c r="BB96" i="15" s="1"/>
  <c r="BB100" i="15" s="1"/>
  <c r="BA70" i="15"/>
  <c r="AZ70" i="15"/>
  <c r="BB65" i="15"/>
  <c r="BA65" i="15"/>
  <c r="AZ65" i="15"/>
  <c r="BB58" i="15"/>
  <c r="BA58" i="15"/>
  <c r="AZ58" i="15"/>
  <c r="BA36" i="15"/>
  <c r="AZ36" i="15"/>
  <c r="BB26" i="15"/>
  <c r="AZ26" i="15"/>
  <c r="BB15" i="15"/>
  <c r="AZ15" i="15"/>
  <c r="AX90" i="15"/>
  <c r="AW90" i="15"/>
  <c r="AV90" i="15"/>
  <c r="AX70" i="15"/>
  <c r="AW70" i="15"/>
  <c r="AV70" i="15"/>
  <c r="AX65" i="15"/>
  <c r="AW65" i="15"/>
  <c r="AV65" i="15"/>
  <c r="AX58" i="15"/>
  <c r="AW58" i="15"/>
  <c r="AV58" i="15"/>
  <c r="AX36" i="15"/>
  <c r="AW36" i="15"/>
  <c r="AV36" i="15"/>
  <c r="AX26" i="15"/>
  <c r="AV26" i="15"/>
  <c r="AX15" i="15"/>
  <c r="BF94" i="15"/>
  <c r="BE94" i="15"/>
  <c r="BD94" i="15"/>
  <c r="BB94" i="15"/>
  <c r="BA94" i="15"/>
  <c r="AZ94" i="15"/>
  <c r="AX94" i="15"/>
  <c r="AW94" i="15"/>
  <c r="AV94" i="15"/>
  <c r="AT94" i="15"/>
  <c r="AS94" i="15"/>
  <c r="AR94" i="15"/>
  <c r="BG93" i="15"/>
  <c r="BC93" i="15"/>
  <c r="AY93" i="15"/>
  <c r="AU93" i="15"/>
  <c r="BG92" i="15"/>
  <c r="BC92" i="15"/>
  <c r="AY92" i="15"/>
  <c r="AY94" i="15"/>
  <c r="AU92" i="15"/>
  <c r="AS90" i="15"/>
  <c r="AR90" i="15"/>
  <c r="BG89" i="15"/>
  <c r="BC89" i="15"/>
  <c r="AY89" i="15"/>
  <c r="AU89" i="15"/>
  <c r="BG88" i="15"/>
  <c r="BC88" i="15"/>
  <c r="AY88" i="15"/>
  <c r="AU88" i="15"/>
  <c r="BG87" i="15"/>
  <c r="BH87" i="15" s="1"/>
  <c r="BC87" i="15"/>
  <c r="AY87" i="15"/>
  <c r="AU87" i="15"/>
  <c r="BG86" i="15"/>
  <c r="BC86" i="15"/>
  <c r="AY86" i="15"/>
  <c r="AU86" i="15"/>
  <c r="BG84" i="15"/>
  <c r="BC84" i="15"/>
  <c r="AY84" i="15"/>
  <c r="AU84" i="15"/>
  <c r="BG83" i="15"/>
  <c r="BC83" i="15"/>
  <c r="BH83" i="15" s="1"/>
  <c r="AY83" i="15"/>
  <c r="AU83" i="15"/>
  <c r="BG82" i="15"/>
  <c r="BC82" i="15"/>
  <c r="AY82" i="15"/>
  <c r="AU82" i="15"/>
  <c r="BG81" i="15"/>
  <c r="BC81" i="15"/>
  <c r="AY81" i="15"/>
  <c r="AU81" i="15"/>
  <c r="BG80" i="15"/>
  <c r="BC80" i="15"/>
  <c r="AY80" i="15"/>
  <c r="AU80" i="15"/>
  <c r="BG79" i="15"/>
  <c r="BC79" i="15"/>
  <c r="AY79" i="15"/>
  <c r="AU79" i="15"/>
  <c r="BG78" i="15"/>
  <c r="BC78" i="15"/>
  <c r="AY78" i="15"/>
  <c r="AU78" i="15"/>
  <c r="BG77" i="15"/>
  <c r="BC77" i="15"/>
  <c r="AY77" i="15"/>
  <c r="AU77" i="15"/>
  <c r="BG76" i="15"/>
  <c r="BC76" i="15"/>
  <c r="BG75" i="15"/>
  <c r="BC75" i="15"/>
  <c r="AY75" i="15"/>
  <c r="AY90" i="15" s="1"/>
  <c r="BG73" i="15"/>
  <c r="BC73" i="15"/>
  <c r="AY73" i="15"/>
  <c r="AU73" i="15"/>
  <c r="BH73" i="15" s="1"/>
  <c r="BG72" i="15"/>
  <c r="BC72" i="15"/>
  <c r="AY72" i="15"/>
  <c r="AU72" i="15"/>
  <c r="AT70" i="15"/>
  <c r="AS70" i="15"/>
  <c r="AR70" i="15"/>
  <c r="BG69" i="15"/>
  <c r="BC69" i="15"/>
  <c r="BH69" i="15" s="1"/>
  <c r="BI69" i="15" s="1"/>
  <c r="AY69" i="15"/>
  <c r="AU69" i="15"/>
  <c r="BG68" i="15"/>
  <c r="BC68" i="15"/>
  <c r="AY68" i="15"/>
  <c r="AU68" i="15"/>
  <c r="BG67" i="15"/>
  <c r="BC67" i="15"/>
  <c r="BC70" i="15" s="1"/>
  <c r="AY67" i="15"/>
  <c r="AU67" i="15"/>
  <c r="AT65" i="15"/>
  <c r="AS65" i="15"/>
  <c r="AR65" i="15"/>
  <c r="BG64" i="15"/>
  <c r="BC64" i="15"/>
  <c r="AY64" i="15"/>
  <c r="AU64" i="15"/>
  <c r="BG63" i="15"/>
  <c r="BC63" i="15"/>
  <c r="AY63" i="15"/>
  <c r="AU63" i="15"/>
  <c r="BG62" i="15"/>
  <c r="BC62" i="15"/>
  <c r="AY62" i="15"/>
  <c r="AU62" i="15"/>
  <c r="BG61" i="15"/>
  <c r="BC61" i="15"/>
  <c r="AY61" i="15"/>
  <c r="AU61" i="15"/>
  <c r="BH61" i="15" s="1"/>
  <c r="BG60" i="15"/>
  <c r="BG65" i="15" s="1"/>
  <c r="BC60" i="15"/>
  <c r="BC65" i="15" s="1"/>
  <c r="AY60" i="15"/>
  <c r="AY65" i="15" s="1"/>
  <c r="AU60" i="15"/>
  <c r="AT58" i="15"/>
  <c r="AS58" i="15"/>
  <c r="AR58" i="15"/>
  <c r="BG57" i="15"/>
  <c r="BC57" i="15"/>
  <c r="AY57" i="15"/>
  <c r="BH57" i="15" s="1"/>
  <c r="BI57" i="15" s="1"/>
  <c r="AU57" i="15"/>
  <c r="BG56" i="15"/>
  <c r="BC56" i="15"/>
  <c r="AY56" i="15"/>
  <c r="AY58" i="15" s="1"/>
  <c r="AU56" i="15"/>
  <c r="BG46" i="15"/>
  <c r="BC46" i="15"/>
  <c r="AY46" i="15"/>
  <c r="AU46" i="15"/>
  <c r="BG45" i="15"/>
  <c r="BC45" i="15"/>
  <c r="AY45" i="15"/>
  <c r="AU45" i="15"/>
  <c r="AU50" i="15" s="1"/>
  <c r="BH40" i="15"/>
  <c r="BG38" i="15"/>
  <c r="BC38" i="15"/>
  <c r="BC43" i="15" s="1"/>
  <c r="AY38" i="15"/>
  <c r="AY43" i="15" s="1"/>
  <c r="AU38" i="15"/>
  <c r="AU43" i="15" s="1"/>
  <c r="AT36" i="15"/>
  <c r="AS36" i="15"/>
  <c r="AR36" i="15"/>
  <c r="AU34" i="15"/>
  <c r="BG29" i="15"/>
  <c r="BC29" i="15"/>
  <c r="AY29" i="15"/>
  <c r="AU29" i="15"/>
  <c r="BG28" i="15"/>
  <c r="BC28" i="15"/>
  <c r="AY28" i="15"/>
  <c r="AU28" i="15"/>
  <c r="AT26" i="15"/>
  <c r="AS26" i="15"/>
  <c r="BG24" i="15"/>
  <c r="BC24" i="15"/>
  <c r="AY24" i="15"/>
  <c r="AU24" i="15"/>
  <c r="BG23" i="15"/>
  <c r="BC23" i="15"/>
  <c r="AY23" i="15"/>
  <c r="AU23" i="15"/>
  <c r="BG22" i="15"/>
  <c r="BC22" i="15"/>
  <c r="AY22" i="15"/>
  <c r="AU22" i="15"/>
  <c r="BG21" i="15"/>
  <c r="BH21" i="15" s="1"/>
  <c r="BJ21" i="15" s="1"/>
  <c r="BG20" i="15"/>
  <c r="BC20" i="15"/>
  <c r="BG19" i="15"/>
  <c r="BC19" i="15"/>
  <c r="AY19" i="15"/>
  <c r="AU19" i="15"/>
  <c r="BG18" i="15"/>
  <c r="BC18" i="15"/>
  <c r="AY18" i="15"/>
  <c r="AU18" i="15"/>
  <c r="BG17" i="15"/>
  <c r="BC17" i="15"/>
  <c r="AY17" i="15"/>
  <c r="AU17" i="15"/>
  <c r="AT15" i="15"/>
  <c r="AS15" i="15"/>
  <c r="AR15" i="15"/>
  <c r="BG14" i="15"/>
  <c r="BC14" i="15"/>
  <c r="AU14" i="15"/>
  <c r="BG13" i="15"/>
  <c r="BC13" i="15"/>
  <c r="AY13" i="15"/>
  <c r="AU13" i="15"/>
  <c r="BG12" i="15"/>
  <c r="BC12" i="15"/>
  <c r="AY12" i="15"/>
  <c r="AU12" i="15"/>
  <c r="BG11" i="15"/>
  <c r="BC11" i="15"/>
  <c r="AY11" i="15"/>
  <c r="AU11" i="15"/>
  <c r="BG10" i="15"/>
  <c r="BC10" i="15"/>
  <c r="AY10" i="15"/>
  <c r="AU10" i="15"/>
  <c r="BG9" i="15"/>
  <c r="BC9" i="15"/>
  <c r="AY9" i="15"/>
  <c r="AU9" i="15"/>
  <c r="BG8" i="15"/>
  <c r="BC8" i="15"/>
  <c r="AY8" i="15"/>
  <c r="AU8" i="15"/>
  <c r="BG7" i="15"/>
  <c r="BC7" i="15"/>
  <c r="AY7" i="15"/>
  <c r="AU7" i="15"/>
  <c r="BG6" i="15"/>
  <c r="BC6" i="15"/>
  <c r="AY6" i="15"/>
  <c r="AU6" i="15"/>
  <c r="BG5" i="15"/>
  <c r="BC5" i="15"/>
  <c r="AY5" i="15"/>
  <c r="AU5" i="15"/>
  <c r="BG4" i="15"/>
  <c r="BC4" i="15"/>
  <c r="AY4" i="15"/>
  <c r="AU4" i="15"/>
  <c r="BH81" i="15"/>
  <c r="E163" i="28"/>
  <c r="E174" i="28"/>
  <c r="AQ86" i="15" s="1"/>
  <c r="BC90" i="15"/>
  <c r="E165" i="28"/>
  <c r="AQ80" i="15" s="1"/>
  <c r="E176" i="28"/>
  <c r="AQ88" i="15" s="1"/>
  <c r="AU15" i="15"/>
  <c r="AY70" i="15"/>
  <c r="BH60" i="15"/>
  <c r="AQ94" i="15"/>
  <c r="AQ58" i="15"/>
  <c r="BG58" i="15"/>
  <c r="AQ70" i="15"/>
  <c r="BH38" i="15"/>
  <c r="BI38" i="15" s="1"/>
  <c r="E58" i="28"/>
  <c r="AQ24" i="15" s="1"/>
  <c r="E164" i="28"/>
  <c r="AQ79" i="15" s="1"/>
  <c r="E137" i="28"/>
  <c r="AQ63" i="15" s="1"/>
  <c r="E136" i="28"/>
  <c r="AQ62" i="15" s="1"/>
  <c r="E135" i="28"/>
  <c r="AQ61" i="15" s="1"/>
  <c r="AG79" i="15"/>
  <c r="AG90" i="15" s="1"/>
  <c r="AM20" i="15"/>
  <c r="AM21" i="15"/>
  <c r="AN21" i="15"/>
  <c r="AI20" i="15"/>
  <c r="AN20" i="15" s="1"/>
  <c r="C98" i="28"/>
  <c r="AC79" i="15"/>
  <c r="AE79" i="15" s="1"/>
  <c r="AM68" i="15"/>
  <c r="AI68" i="15"/>
  <c r="AE68" i="15"/>
  <c r="AA68" i="15"/>
  <c r="S68" i="15"/>
  <c r="O68" i="15"/>
  <c r="K68" i="15"/>
  <c r="G68" i="15"/>
  <c r="AN68" i="15"/>
  <c r="AM81" i="15"/>
  <c r="AI81" i="15"/>
  <c r="AE81" i="15"/>
  <c r="O82" i="15"/>
  <c r="H82" i="15"/>
  <c r="K82" i="15" s="1"/>
  <c r="G82" i="15"/>
  <c r="S72" i="15"/>
  <c r="S73" i="15"/>
  <c r="S75" i="15"/>
  <c r="S76" i="15"/>
  <c r="S77" i="15"/>
  <c r="S78" i="15"/>
  <c r="S79" i="15"/>
  <c r="S80" i="15"/>
  <c r="S81" i="15"/>
  <c r="T81" i="15" s="1"/>
  <c r="S82" i="15"/>
  <c r="O80" i="15"/>
  <c r="K80" i="15"/>
  <c r="G80" i="15"/>
  <c r="O79" i="15"/>
  <c r="K79" i="15"/>
  <c r="G79" i="15"/>
  <c r="O78" i="15"/>
  <c r="K78" i="15"/>
  <c r="G78" i="15"/>
  <c r="O77" i="15"/>
  <c r="H77" i="15"/>
  <c r="K77" i="15" s="1"/>
  <c r="T77" i="15" s="1"/>
  <c r="G77" i="15"/>
  <c r="O76" i="15"/>
  <c r="T76" i="15" s="1"/>
  <c r="V76" i="15" s="1"/>
  <c r="O75" i="15"/>
  <c r="H75" i="15"/>
  <c r="O73" i="15"/>
  <c r="K73" i="15"/>
  <c r="G73" i="15"/>
  <c r="T73" i="15" s="1"/>
  <c r="O72" i="15"/>
  <c r="H72" i="15"/>
  <c r="K72" i="15"/>
  <c r="T72" i="15" s="1"/>
  <c r="G72" i="15"/>
  <c r="S88" i="15"/>
  <c r="O88" i="15"/>
  <c r="K88" i="15"/>
  <c r="T88" i="15" s="1"/>
  <c r="G88" i="15"/>
  <c r="S87" i="15"/>
  <c r="O87" i="15"/>
  <c r="K87" i="15"/>
  <c r="T87" i="15" s="1"/>
  <c r="G87" i="15"/>
  <c r="S86" i="15"/>
  <c r="O86" i="15"/>
  <c r="K86" i="15"/>
  <c r="T86" i="15" s="1"/>
  <c r="G86" i="15"/>
  <c r="AA81" i="15"/>
  <c r="AN81" i="15" s="1"/>
  <c r="D166" i="28"/>
  <c r="W81" i="15" s="1"/>
  <c r="S63" i="15"/>
  <c r="O63" i="15"/>
  <c r="K63" i="15"/>
  <c r="G63" i="15"/>
  <c r="S62" i="15"/>
  <c r="O62" i="15"/>
  <c r="K62" i="15"/>
  <c r="G62" i="15"/>
  <c r="S61" i="15"/>
  <c r="T61" i="15" s="1"/>
  <c r="O61" i="15"/>
  <c r="K61" i="15"/>
  <c r="G61" i="15"/>
  <c r="AM45" i="15"/>
  <c r="AM50" i="15" s="1"/>
  <c r="AI45" i="15"/>
  <c r="AI50" i="15" s="1"/>
  <c r="AE45" i="15"/>
  <c r="AA45" i="15"/>
  <c r="D50" i="15"/>
  <c r="E50" i="15"/>
  <c r="F50" i="15"/>
  <c r="H50" i="15"/>
  <c r="I50" i="15"/>
  <c r="J50" i="15"/>
  <c r="L50" i="15"/>
  <c r="M50" i="15"/>
  <c r="N50" i="15"/>
  <c r="P50" i="15"/>
  <c r="Q50" i="15"/>
  <c r="R50" i="15"/>
  <c r="X50" i="15"/>
  <c r="Y50" i="15"/>
  <c r="Z50" i="15"/>
  <c r="AB50" i="15"/>
  <c r="AC50" i="15"/>
  <c r="AD50" i="15"/>
  <c r="AF50" i="15"/>
  <c r="AG50" i="15"/>
  <c r="AH50" i="15"/>
  <c r="AJ50" i="15"/>
  <c r="AK50" i="15"/>
  <c r="AL50" i="15"/>
  <c r="AM46" i="15"/>
  <c r="AI46" i="15"/>
  <c r="AE46" i="15"/>
  <c r="AA46" i="15"/>
  <c r="S46" i="15"/>
  <c r="S50" i="15" s="1"/>
  <c r="O46" i="15"/>
  <c r="K46" i="15"/>
  <c r="K50" i="15"/>
  <c r="G46" i="15"/>
  <c r="AM22" i="15"/>
  <c r="AI22" i="15"/>
  <c r="AE22" i="15"/>
  <c r="AN22" i="15" s="1"/>
  <c r="AA22" i="15"/>
  <c r="S22" i="15"/>
  <c r="O22" i="15"/>
  <c r="K22" i="15"/>
  <c r="G22" i="15"/>
  <c r="C162" i="28"/>
  <c r="C164" i="28"/>
  <c r="C169" i="28"/>
  <c r="C82" i="15" s="1"/>
  <c r="C165" i="28"/>
  <c r="C80" i="15" s="1"/>
  <c r="G50" i="15"/>
  <c r="D98" i="28"/>
  <c r="W45" i="15" s="1"/>
  <c r="C176" i="28"/>
  <c r="C88" i="15" s="1"/>
  <c r="C175" i="28"/>
  <c r="C174" i="28"/>
  <c r="C86" i="15" s="1"/>
  <c r="C56" i="28"/>
  <c r="D56" i="28"/>
  <c r="W22" i="15" s="1"/>
  <c r="AM89" i="15"/>
  <c r="AM88" i="15"/>
  <c r="AM87" i="15"/>
  <c r="AM86" i="15"/>
  <c r="AI89" i="15"/>
  <c r="AI88" i="15"/>
  <c r="AI87" i="15"/>
  <c r="AI86" i="15"/>
  <c r="AE89" i="15"/>
  <c r="AN89" i="15" s="1"/>
  <c r="AE88" i="15"/>
  <c r="AE87" i="15"/>
  <c r="AE86" i="15"/>
  <c r="AA89" i="15"/>
  <c r="AA88" i="15"/>
  <c r="AA87" i="15"/>
  <c r="AN87" i="15" s="1"/>
  <c r="AA86" i="15"/>
  <c r="AL94" i="15"/>
  <c r="AK94" i="15"/>
  <c r="AJ94" i="15"/>
  <c r="AH94" i="15"/>
  <c r="AG94" i="15"/>
  <c r="AF94" i="15"/>
  <c r="AD94" i="15"/>
  <c r="AC94" i="15"/>
  <c r="AB94" i="15"/>
  <c r="Z94" i="15"/>
  <c r="Y94" i="15"/>
  <c r="X94" i="15"/>
  <c r="W94" i="15"/>
  <c r="AM93" i="15"/>
  <c r="AI93" i="15"/>
  <c r="AE93" i="15"/>
  <c r="AA93" i="15"/>
  <c r="AM92" i="15"/>
  <c r="AM94" i="15"/>
  <c r="AI92" i="15"/>
  <c r="AI94" i="15" s="1"/>
  <c r="AE92" i="15"/>
  <c r="AE94" i="15"/>
  <c r="AA92" i="15"/>
  <c r="AA94" i="15" s="1"/>
  <c r="AL90" i="15"/>
  <c r="AK90" i="15"/>
  <c r="AJ90" i="15"/>
  <c r="AH90" i="15"/>
  <c r="AF90" i="15"/>
  <c r="AD90" i="15"/>
  <c r="AC90" i="15"/>
  <c r="Z90" i="15"/>
  <c r="Y90" i="15"/>
  <c r="X90" i="15"/>
  <c r="D181" i="28"/>
  <c r="W89" i="15" s="1"/>
  <c r="AN88" i="15"/>
  <c r="AN86" i="15"/>
  <c r="AM84" i="15"/>
  <c r="AI84" i="15"/>
  <c r="AE84" i="15"/>
  <c r="AA84" i="15"/>
  <c r="AM83" i="15"/>
  <c r="AI83" i="15"/>
  <c r="AN83" i="15" s="1"/>
  <c r="AE83" i="15"/>
  <c r="AA83" i="15"/>
  <c r="AM82" i="15"/>
  <c r="AI82" i="15"/>
  <c r="AE82" i="15"/>
  <c r="AA82" i="15"/>
  <c r="AM80" i="15"/>
  <c r="AI80" i="15"/>
  <c r="AE80" i="15"/>
  <c r="AA80" i="15"/>
  <c r="AM79" i="15"/>
  <c r="AA79" i="15"/>
  <c r="AM78" i="15"/>
  <c r="AI78" i="15"/>
  <c r="AE78" i="15"/>
  <c r="AA78" i="15"/>
  <c r="AM77" i="15"/>
  <c r="AI77" i="15"/>
  <c r="AE77" i="15"/>
  <c r="AE90" i="15" s="1"/>
  <c r="AA77" i="15"/>
  <c r="AM76" i="15"/>
  <c r="AI76" i="15"/>
  <c r="AM75" i="15"/>
  <c r="AI75" i="15"/>
  <c r="AE75" i="15"/>
  <c r="AM73" i="15"/>
  <c r="AI73" i="15"/>
  <c r="AE73" i="15"/>
  <c r="AA73" i="15"/>
  <c r="AM72" i="15"/>
  <c r="AI72" i="15"/>
  <c r="AE72" i="15"/>
  <c r="AB90" i="15"/>
  <c r="AA72" i="15"/>
  <c r="AL70" i="15"/>
  <c r="AK70" i="15"/>
  <c r="AJ70" i="15"/>
  <c r="AH70" i="15"/>
  <c r="AG70" i="15"/>
  <c r="AF70" i="15"/>
  <c r="AD70" i="15"/>
  <c r="AC70" i="15"/>
  <c r="AB70" i="15"/>
  <c r="Z70" i="15"/>
  <c r="Y70" i="15"/>
  <c r="X70" i="15"/>
  <c r="W70" i="15"/>
  <c r="AM69" i="15"/>
  <c r="AI69" i="15"/>
  <c r="AE69" i="15"/>
  <c r="AA69" i="15"/>
  <c r="AM67" i="15"/>
  <c r="AI67" i="15"/>
  <c r="AE67" i="15"/>
  <c r="AE70" i="15"/>
  <c r="AA67" i="15"/>
  <c r="AL65" i="15"/>
  <c r="AK65" i="15"/>
  <c r="AJ65" i="15"/>
  <c r="AH65" i="15"/>
  <c r="AG65" i="15"/>
  <c r="AF65" i="15"/>
  <c r="AD65" i="15"/>
  <c r="AC65" i="15"/>
  <c r="AB65" i="15"/>
  <c r="Z65" i="15"/>
  <c r="Y65" i="15"/>
  <c r="X65" i="15"/>
  <c r="AM64" i="15"/>
  <c r="AI64" i="15"/>
  <c r="AE64" i="15"/>
  <c r="AA64" i="15"/>
  <c r="AN64" i="15" s="1"/>
  <c r="AO64" i="15" s="1"/>
  <c r="AM63" i="15"/>
  <c r="AI63" i="15"/>
  <c r="AE63" i="15"/>
  <c r="AA63" i="15"/>
  <c r="AM62" i="15"/>
  <c r="AI62" i="15"/>
  <c r="AE62" i="15"/>
  <c r="AA62" i="15"/>
  <c r="AM61" i="15"/>
  <c r="AI61" i="15"/>
  <c r="AE61" i="15"/>
  <c r="AA61" i="15"/>
  <c r="AM60" i="15"/>
  <c r="AI60" i="15"/>
  <c r="AE60" i="15"/>
  <c r="AE65" i="15" s="1"/>
  <c r="AA60" i="15"/>
  <c r="AL58" i="15"/>
  <c r="AK58" i="15"/>
  <c r="AJ58" i="15"/>
  <c r="AH58" i="15"/>
  <c r="AG58" i="15"/>
  <c r="AF58" i="15"/>
  <c r="AD58" i="15"/>
  <c r="AC58" i="15"/>
  <c r="AB58" i="15"/>
  <c r="Z58" i="15"/>
  <c r="Y58" i="15"/>
  <c r="X58" i="15"/>
  <c r="AM57" i="15"/>
  <c r="AI57" i="15"/>
  <c r="AE57" i="15"/>
  <c r="AA57" i="15"/>
  <c r="AM56" i="15"/>
  <c r="AI56" i="15"/>
  <c r="AE56" i="15"/>
  <c r="AE58" i="15" s="1"/>
  <c r="AA56" i="15"/>
  <c r="AA58" i="15" s="1"/>
  <c r="AL43" i="15"/>
  <c r="AK43" i="15"/>
  <c r="AJ43" i="15"/>
  <c r="AH43" i="15"/>
  <c r="AG43" i="15"/>
  <c r="AF43" i="15"/>
  <c r="AD43" i="15"/>
  <c r="AC43" i="15"/>
  <c r="AB43" i="15"/>
  <c r="Z43" i="15"/>
  <c r="Y43" i="15"/>
  <c r="X43" i="15"/>
  <c r="AN41" i="15"/>
  <c r="AN40" i="15"/>
  <c r="AN39" i="15"/>
  <c r="AM38" i="15"/>
  <c r="AM43" i="15" s="1"/>
  <c r="AI38" i="15"/>
  <c r="AI43" i="15" s="1"/>
  <c r="AE38" i="15"/>
  <c r="AE43" i="15" s="1"/>
  <c r="AA38" i="15"/>
  <c r="AA43" i="15" s="1"/>
  <c r="AL36" i="15"/>
  <c r="AK36" i="15"/>
  <c r="AJ36" i="15"/>
  <c r="AH36" i="15"/>
  <c r="AG36" i="15"/>
  <c r="AF36" i="15"/>
  <c r="AD36" i="15"/>
  <c r="AC36" i="15"/>
  <c r="AB36" i="15"/>
  <c r="Z36" i="15"/>
  <c r="Y36" i="15"/>
  <c r="X36" i="15"/>
  <c r="AM34" i="15"/>
  <c r="AI34" i="15"/>
  <c r="AE34" i="15"/>
  <c r="AA34" i="15"/>
  <c r="AN33" i="15"/>
  <c r="AN32" i="15"/>
  <c r="AN30" i="15"/>
  <c r="D74" i="28"/>
  <c r="W30" i="15" s="1"/>
  <c r="AM29" i="15"/>
  <c r="AI29" i="15"/>
  <c r="AE29" i="15"/>
  <c r="AA29" i="15"/>
  <c r="AM28" i="15"/>
  <c r="AI28" i="15"/>
  <c r="AI36" i="15" s="1"/>
  <c r="AE28" i="15"/>
  <c r="AA28" i="15"/>
  <c r="AL26" i="15"/>
  <c r="AK26" i="15"/>
  <c r="AJ26" i="15"/>
  <c r="AH26" i="15"/>
  <c r="AG26" i="15"/>
  <c r="AF26" i="15"/>
  <c r="AD26" i="15"/>
  <c r="AC26" i="15"/>
  <c r="AB26" i="15"/>
  <c r="Z26" i="15"/>
  <c r="Y26" i="15"/>
  <c r="Y96" i="15" s="1"/>
  <c r="Y100" i="15" s="1"/>
  <c r="X26" i="15"/>
  <c r="AM19" i="15"/>
  <c r="AI19" i="15"/>
  <c r="AE19" i="15"/>
  <c r="AA19" i="15"/>
  <c r="AM18" i="15"/>
  <c r="AI18" i="15"/>
  <c r="AE18" i="15"/>
  <c r="AA18" i="15"/>
  <c r="AM17" i="15"/>
  <c r="AM26" i="15" s="1"/>
  <c r="AI17" i="15"/>
  <c r="AE17" i="15"/>
  <c r="AA17" i="15"/>
  <c r="AA26" i="15" s="1"/>
  <c r="AL15" i="15"/>
  <c r="AK15" i="15"/>
  <c r="AJ15" i="15"/>
  <c r="AJ96" i="15" s="1"/>
  <c r="AJ100" i="15" s="1"/>
  <c r="AH15" i="15"/>
  <c r="AG15" i="15"/>
  <c r="AF15" i="15"/>
  <c r="AD15" i="15"/>
  <c r="AC15" i="15"/>
  <c r="Z15" i="15"/>
  <c r="Y15" i="15"/>
  <c r="X15" i="15"/>
  <c r="AM14" i="15"/>
  <c r="AI14" i="15"/>
  <c r="AE14" i="15"/>
  <c r="AA14" i="15"/>
  <c r="AM13" i="15"/>
  <c r="AI13" i="15"/>
  <c r="AE13" i="15"/>
  <c r="AA13" i="15"/>
  <c r="AM12" i="15"/>
  <c r="AI12" i="15"/>
  <c r="AE12" i="15"/>
  <c r="AA12" i="15"/>
  <c r="AM11" i="15"/>
  <c r="AI11" i="15"/>
  <c r="AE11" i="15"/>
  <c r="AA11" i="15"/>
  <c r="AM10" i="15"/>
  <c r="AI10" i="15"/>
  <c r="AE10" i="15"/>
  <c r="AA10" i="15"/>
  <c r="AM9" i="15"/>
  <c r="AI9" i="15"/>
  <c r="AE9" i="15"/>
  <c r="AA9" i="15"/>
  <c r="AM8" i="15"/>
  <c r="AI8" i="15"/>
  <c r="AE8" i="15"/>
  <c r="AA8" i="15"/>
  <c r="AM7" i="15"/>
  <c r="AI7" i="15"/>
  <c r="AE7" i="15"/>
  <c r="AA7" i="15"/>
  <c r="AB15" i="15"/>
  <c r="AI70" i="15"/>
  <c r="D174" i="28"/>
  <c r="D175" i="28"/>
  <c r="W87" i="15" s="1"/>
  <c r="AI58" i="15"/>
  <c r="AN69" i="15"/>
  <c r="AO69" i="15" s="1"/>
  <c r="AM36" i="15"/>
  <c r="AA36" i="15"/>
  <c r="AN76" i="15"/>
  <c r="D171" i="28"/>
  <c r="W83" i="15" s="1"/>
  <c r="X96" i="15"/>
  <c r="X100" i="15" s="1"/>
  <c r="D6" i="28"/>
  <c r="AN92" i="15"/>
  <c r="D169" i="28"/>
  <c r="W82" i="15" s="1"/>
  <c r="D134" i="28"/>
  <c r="D137" i="28"/>
  <c r="D165" i="28"/>
  <c r="W80" i="15" s="1"/>
  <c r="D164" i="28"/>
  <c r="W79" i="15" s="1"/>
  <c r="D163" i="28"/>
  <c r="T30" i="15"/>
  <c r="T32" i="15"/>
  <c r="V32" i="15" s="1"/>
  <c r="T33" i="15"/>
  <c r="V33" i="15" s="1"/>
  <c r="T39" i="15"/>
  <c r="T40" i="15"/>
  <c r="T41" i="15"/>
  <c r="T89" i="15"/>
  <c r="Q90" i="15"/>
  <c r="R90" i="15"/>
  <c r="P90" i="15"/>
  <c r="M90" i="15"/>
  <c r="N90" i="15"/>
  <c r="L90" i="15"/>
  <c r="I90" i="15"/>
  <c r="J90" i="15"/>
  <c r="E90" i="15"/>
  <c r="F90" i="15"/>
  <c r="D90" i="15"/>
  <c r="C74" i="28"/>
  <c r="V39" i="15"/>
  <c r="AP39" i="15"/>
  <c r="V41" i="15"/>
  <c r="AP41" i="15" s="1"/>
  <c r="B70" i="15"/>
  <c r="B58" i="15"/>
  <c r="S19" i="15"/>
  <c r="O19" i="15"/>
  <c r="K19" i="15"/>
  <c r="G19" i="15"/>
  <c r="K13" i="15"/>
  <c r="R94" i="15"/>
  <c r="Q94" i="15"/>
  <c r="P94" i="15"/>
  <c r="N94" i="15"/>
  <c r="M94" i="15"/>
  <c r="L94" i="15"/>
  <c r="J94" i="15"/>
  <c r="I94" i="15"/>
  <c r="H94" i="15"/>
  <c r="F94" i="15"/>
  <c r="E94" i="15"/>
  <c r="D94" i="15"/>
  <c r="C94" i="15"/>
  <c r="S93" i="15"/>
  <c r="O93" i="15"/>
  <c r="K93" i="15"/>
  <c r="G93" i="15"/>
  <c r="S92" i="15"/>
  <c r="S94" i="15" s="1"/>
  <c r="O92" i="15"/>
  <c r="K92" i="15"/>
  <c r="G92" i="15"/>
  <c r="S84" i="15"/>
  <c r="O84" i="15"/>
  <c r="K84" i="15"/>
  <c r="G84" i="15"/>
  <c r="S83" i="15"/>
  <c r="O83" i="15"/>
  <c r="K83" i="15"/>
  <c r="T83" i="15" s="1"/>
  <c r="BK83" i="15" s="1"/>
  <c r="G83" i="15"/>
  <c r="R70" i="15"/>
  <c r="Q70" i="15"/>
  <c r="P70" i="15"/>
  <c r="N70" i="15"/>
  <c r="M70" i="15"/>
  <c r="L70" i="15"/>
  <c r="J70" i="15"/>
  <c r="I70" i="15"/>
  <c r="H70" i="15"/>
  <c r="F70" i="15"/>
  <c r="E70" i="15"/>
  <c r="D70" i="15"/>
  <c r="S69" i="15"/>
  <c r="O69" i="15"/>
  <c r="T69" i="15" s="1"/>
  <c r="K69" i="15"/>
  <c r="G69" i="15"/>
  <c r="S67" i="15"/>
  <c r="S70" i="15" s="1"/>
  <c r="O67" i="15"/>
  <c r="O70" i="15" s="1"/>
  <c r="K67" i="15"/>
  <c r="G67" i="15"/>
  <c r="R65" i="15"/>
  <c r="Q65" i="15"/>
  <c r="P65" i="15"/>
  <c r="N65" i="15"/>
  <c r="M65" i="15"/>
  <c r="L65" i="15"/>
  <c r="J65" i="15"/>
  <c r="I65" i="15"/>
  <c r="H65" i="15"/>
  <c r="F65" i="15"/>
  <c r="E65" i="15"/>
  <c r="D65" i="15"/>
  <c r="S64" i="15"/>
  <c r="O64" i="15"/>
  <c r="K64" i="15"/>
  <c r="G64" i="15"/>
  <c r="S60" i="15"/>
  <c r="S65" i="15" s="1"/>
  <c r="O60" i="15"/>
  <c r="O65" i="15" s="1"/>
  <c r="K60" i="15"/>
  <c r="K65" i="15" s="1"/>
  <c r="G60" i="15"/>
  <c r="R58" i="15"/>
  <c r="Q58" i="15"/>
  <c r="P58" i="15"/>
  <c r="N58" i="15"/>
  <c r="M58" i="15"/>
  <c r="L58" i="15"/>
  <c r="J58" i="15"/>
  <c r="I58" i="15"/>
  <c r="H58" i="15"/>
  <c r="F58" i="15"/>
  <c r="E58" i="15"/>
  <c r="D58" i="15"/>
  <c r="S57" i="15"/>
  <c r="S58" i="15" s="1"/>
  <c r="O57" i="15"/>
  <c r="K57" i="15"/>
  <c r="G57" i="15"/>
  <c r="S56" i="15"/>
  <c r="O56" i="15"/>
  <c r="O58" i="15" s="1"/>
  <c r="K56" i="15"/>
  <c r="G56" i="15"/>
  <c r="R43" i="15"/>
  <c r="Q43" i="15"/>
  <c r="P43" i="15"/>
  <c r="N43" i="15"/>
  <c r="M43" i="15"/>
  <c r="L43" i="15"/>
  <c r="J43" i="15"/>
  <c r="I43" i="15"/>
  <c r="H43" i="15"/>
  <c r="F43" i="15"/>
  <c r="E43" i="15"/>
  <c r="D43" i="15"/>
  <c r="S38" i="15"/>
  <c r="S43" i="15" s="1"/>
  <c r="O38" i="15"/>
  <c r="O43" i="15" s="1"/>
  <c r="K38" i="15"/>
  <c r="K43" i="15" s="1"/>
  <c r="G38" i="15"/>
  <c r="G43" i="15" s="1"/>
  <c r="R36" i="15"/>
  <c r="Q36" i="15"/>
  <c r="P36" i="15"/>
  <c r="N36" i="15"/>
  <c r="M36" i="15"/>
  <c r="L36" i="15"/>
  <c r="J36" i="15"/>
  <c r="I36" i="15"/>
  <c r="H36" i="15"/>
  <c r="F36" i="15"/>
  <c r="E36" i="15"/>
  <c r="D36" i="15"/>
  <c r="S34" i="15"/>
  <c r="O34" i="15"/>
  <c r="K34" i="15"/>
  <c r="G34" i="15"/>
  <c r="S29" i="15"/>
  <c r="O29" i="15"/>
  <c r="K29" i="15"/>
  <c r="G29" i="15"/>
  <c r="S28" i="15"/>
  <c r="O28" i="15"/>
  <c r="K28" i="15"/>
  <c r="G28" i="15"/>
  <c r="R26" i="15"/>
  <c r="Q26" i="15"/>
  <c r="P26" i="15"/>
  <c r="N26" i="15"/>
  <c r="M26" i="15"/>
  <c r="L26" i="15"/>
  <c r="J26" i="15"/>
  <c r="I26" i="15"/>
  <c r="H26" i="15"/>
  <c r="F26" i="15"/>
  <c r="F96" i="15" s="1"/>
  <c r="F100" i="15" s="1"/>
  <c r="E26" i="15"/>
  <c r="D26" i="15"/>
  <c r="D96" i="15" s="1"/>
  <c r="D100" i="15" s="1"/>
  <c r="S18" i="15"/>
  <c r="O18" i="15"/>
  <c r="K18" i="15"/>
  <c r="G18" i="15"/>
  <c r="S17" i="15"/>
  <c r="O17" i="15"/>
  <c r="K17" i="15"/>
  <c r="G17" i="15"/>
  <c r="G26" i="15" s="1"/>
  <c r="R15" i="15"/>
  <c r="Q15" i="15"/>
  <c r="P15" i="15"/>
  <c r="N15" i="15"/>
  <c r="N96" i="15" s="1"/>
  <c r="N100" i="15" s="1"/>
  <c r="M15" i="15"/>
  <c r="L15" i="15"/>
  <c r="L96" i="15" s="1"/>
  <c r="L100" i="15" s="1"/>
  <c r="J15" i="15"/>
  <c r="I15" i="15"/>
  <c r="F15" i="15"/>
  <c r="E15" i="15"/>
  <c r="D15" i="15"/>
  <c r="S14" i="15"/>
  <c r="O14" i="15"/>
  <c r="K14" i="15"/>
  <c r="G14" i="15"/>
  <c r="S13" i="15"/>
  <c r="O13" i="15"/>
  <c r="G13" i="15"/>
  <c r="S12" i="15"/>
  <c r="O12" i="15"/>
  <c r="K12" i="15"/>
  <c r="G12" i="15"/>
  <c r="S11" i="15"/>
  <c r="O11" i="15"/>
  <c r="K11" i="15"/>
  <c r="G11" i="15"/>
  <c r="S10" i="15"/>
  <c r="O10" i="15"/>
  <c r="H10" i="15"/>
  <c r="K10" i="15"/>
  <c r="G10" i="15"/>
  <c r="S9" i="15"/>
  <c r="O9" i="15"/>
  <c r="K9" i="15"/>
  <c r="G9" i="15"/>
  <c r="S8" i="15"/>
  <c r="O8" i="15"/>
  <c r="H8" i="15"/>
  <c r="G8" i="15"/>
  <c r="S7" i="15"/>
  <c r="O7" i="15"/>
  <c r="K7" i="15"/>
  <c r="G7" i="15"/>
  <c r="S6" i="15"/>
  <c r="O6" i="15"/>
  <c r="H6" i="15"/>
  <c r="K6" i="15" s="1"/>
  <c r="G6" i="15"/>
  <c r="S5" i="15"/>
  <c r="O5" i="15"/>
  <c r="K5" i="15"/>
  <c r="G5" i="15"/>
  <c r="S4" i="15"/>
  <c r="O4" i="15"/>
  <c r="G4" i="15"/>
  <c r="G94" i="15"/>
  <c r="O90" i="15"/>
  <c r="S36" i="15"/>
  <c r="K4" i="15"/>
  <c r="C73" i="28"/>
  <c r="C29" i="15" s="1"/>
  <c r="B26" i="15"/>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G9" i="1"/>
  <c r="E9" i="1"/>
  <c r="F200" i="1"/>
  <c r="V69" i="15" l="1"/>
  <c r="AP69" i="15" s="1"/>
  <c r="BJ69" i="15" s="1"/>
  <c r="U69" i="15"/>
  <c r="AM70" i="15"/>
  <c r="AN73" i="15"/>
  <c r="AN77" i="15"/>
  <c r="AO77" i="15" s="1"/>
  <c r="AN79" i="15"/>
  <c r="AO79" i="15" s="1"/>
  <c r="T80" i="15"/>
  <c r="BG94" i="15"/>
  <c r="CB35" i="15"/>
  <c r="CB47" i="15"/>
  <c r="BW65" i="15"/>
  <c r="CB73" i="15"/>
  <c r="BJ41" i="15"/>
  <c r="AD96" i="15"/>
  <c r="AD100" i="15" s="1"/>
  <c r="AI79" i="15"/>
  <c r="K26" i="15"/>
  <c r="BK87" i="15"/>
  <c r="BG70" i="15"/>
  <c r="U54" i="15"/>
  <c r="B190" i="28"/>
  <c r="B196" i="28" s="1"/>
  <c r="BM96" i="15"/>
  <c r="BM100" i="15" s="1"/>
  <c r="BO15" i="15"/>
  <c r="BS43" i="15"/>
  <c r="CB83" i="15"/>
  <c r="CD83" i="15" s="1"/>
  <c r="BK41" i="15"/>
  <c r="T62" i="15"/>
  <c r="AA70" i="15"/>
  <c r="AS96" i="15"/>
  <c r="AS100" i="15" s="1"/>
  <c r="BH68" i="15"/>
  <c r="BK68" i="15" s="1"/>
  <c r="BH79" i="15"/>
  <c r="BH86" i="15"/>
  <c r="BH88" i="15"/>
  <c r="AQ43" i="15"/>
  <c r="CB49" i="15"/>
  <c r="CA65" i="15"/>
  <c r="BV96" i="15"/>
  <c r="BV100" i="15" s="1"/>
  <c r="T14" i="15"/>
  <c r="V14" i="15" s="1"/>
  <c r="O26" i="15"/>
  <c r="P96" i="15"/>
  <c r="P100" i="15" s="1"/>
  <c r="T84" i="15"/>
  <c r="T19" i="15"/>
  <c r="BK40" i="15"/>
  <c r="AG96" i="15"/>
  <c r="AG100" i="15" s="1"/>
  <c r="AH96" i="15"/>
  <c r="AH100" i="15" s="1"/>
  <c r="AN56" i="15"/>
  <c r="AN58" i="15" s="1"/>
  <c r="AO58" i="15" s="1"/>
  <c r="AN63" i="15"/>
  <c r="AN80" i="15"/>
  <c r="AN93" i="15"/>
  <c r="AT96" i="15"/>
  <c r="AT100" i="15" s="1"/>
  <c r="BH63" i="15"/>
  <c r="AX96" i="15"/>
  <c r="AX100" i="15" s="1"/>
  <c r="AZ96" i="15"/>
  <c r="AZ100" i="15" s="1"/>
  <c r="CB40" i="15"/>
  <c r="CD40" i="15" s="1"/>
  <c r="CB29" i="15"/>
  <c r="CB52" i="15"/>
  <c r="CB64" i="15"/>
  <c r="T4" i="15"/>
  <c r="T6" i="15"/>
  <c r="T92" i="15"/>
  <c r="V92" i="15" s="1"/>
  <c r="AP92" i="15" s="1"/>
  <c r="AN72" i="15"/>
  <c r="BK72" i="15" s="1"/>
  <c r="AN75" i="15"/>
  <c r="AN90" i="15" s="1"/>
  <c r="AN78" i="15"/>
  <c r="BH93" i="15"/>
  <c r="BA96" i="15"/>
  <c r="BA100" i="15" s="1"/>
  <c r="CB78" i="15"/>
  <c r="AY26" i="15"/>
  <c r="BK88" i="15"/>
  <c r="AW96" i="15"/>
  <c r="AW100" i="15" s="1"/>
  <c r="BQ96" i="15"/>
  <c r="BQ100" i="15" s="1"/>
  <c r="K36" i="15"/>
  <c r="AP32" i="15"/>
  <c r="AI65" i="15"/>
  <c r="G65" i="15"/>
  <c r="T63" i="15"/>
  <c r="T68" i="15"/>
  <c r="BH24" i="15"/>
  <c r="BH29" i="15"/>
  <c r="BC58" i="15"/>
  <c r="BH72" i="15"/>
  <c r="BH78" i="15"/>
  <c r="BH80" i="15"/>
  <c r="BH82" i="15"/>
  <c r="BH84" i="15"/>
  <c r="BH89" i="15"/>
  <c r="BK47" i="15"/>
  <c r="CD47" i="15" s="1"/>
  <c r="W58" i="15"/>
  <c r="CB45" i="15"/>
  <c r="BW58" i="15"/>
  <c r="CB69" i="15"/>
  <c r="CA70" i="15"/>
  <c r="S15" i="15"/>
  <c r="E96" i="15"/>
  <c r="E100" i="15" s="1"/>
  <c r="Q96" i="15"/>
  <c r="Q100" i="15" s="1"/>
  <c r="O36" i="15"/>
  <c r="K58" i="15"/>
  <c r="K70" i="15"/>
  <c r="S90" i="15"/>
  <c r="AI15" i="15"/>
  <c r="Z96" i="15"/>
  <c r="Z100" i="15" s="1"/>
  <c r="AL96" i="15"/>
  <c r="AL100" i="15" s="1"/>
  <c r="AB96" i="15"/>
  <c r="AB100" i="15" s="1"/>
  <c r="AC96" i="15"/>
  <c r="AC100" i="15" s="1"/>
  <c r="AN57" i="15"/>
  <c r="AO57" i="15" s="1"/>
  <c r="AM65" i="15"/>
  <c r="AN67" i="15"/>
  <c r="AN70" i="15" s="1"/>
  <c r="AO70" i="15" s="1"/>
  <c r="AN82" i="15"/>
  <c r="AN84" i="15"/>
  <c r="AU65" i="15"/>
  <c r="BH62" i="15"/>
  <c r="BI62" i="15" s="1"/>
  <c r="BH64" i="15"/>
  <c r="BI64" i="15" s="1"/>
  <c r="BC94" i="15"/>
  <c r="BQ26" i="15"/>
  <c r="U6" i="15"/>
  <c r="V6" i="15"/>
  <c r="AP6" i="15" s="1"/>
  <c r="BK84" i="15"/>
  <c r="CD84" i="15" s="1"/>
  <c r="V84" i="15"/>
  <c r="AP84" i="15" s="1"/>
  <c r="BJ84" i="15" s="1"/>
  <c r="K8" i="15"/>
  <c r="K15" i="15" s="1"/>
  <c r="H15" i="15"/>
  <c r="W50" i="15"/>
  <c r="T60" i="15"/>
  <c r="AN60" i="15"/>
  <c r="AA65" i="15"/>
  <c r="BH4" i="15"/>
  <c r="BI4" i="15" s="1"/>
  <c r="AY14" i="15"/>
  <c r="AY15" i="15" s="1"/>
  <c r="AY96" i="15" s="1"/>
  <c r="AY36" i="15"/>
  <c r="BH28" i="15"/>
  <c r="G70" i="15"/>
  <c r="T56" i="15"/>
  <c r="G58" i="15"/>
  <c r="T57" i="15"/>
  <c r="T64" i="15"/>
  <c r="T67" i="15"/>
  <c r="O94" i="15"/>
  <c r="AP33" i="15"/>
  <c r="AN38" i="15"/>
  <c r="AM58" i="15"/>
  <c r="BK73" i="15"/>
  <c r="CD73" i="15" s="1"/>
  <c r="AU58" i="15"/>
  <c r="BH56" i="15"/>
  <c r="BH58" i="15" s="1"/>
  <c r="BI58" i="15" s="1"/>
  <c r="AU94" i="15"/>
  <c r="BH92" i="15"/>
  <c r="BH94" i="15" s="1"/>
  <c r="BH49" i="15"/>
  <c r="BK49" i="15" s="1"/>
  <c r="CD49" i="15" s="1"/>
  <c r="BG50" i="15"/>
  <c r="BW36" i="15"/>
  <c r="BW43" i="15"/>
  <c r="AY50" i="15"/>
  <c r="BH45" i="15"/>
  <c r="BH50" i="15" s="1"/>
  <c r="BI50" i="15" s="1"/>
  <c r="BK92" i="15"/>
  <c r="BK86" i="15"/>
  <c r="CD86" i="15" s="1"/>
  <c r="AP76" i="15"/>
  <c r="BW54" i="15"/>
  <c r="CB53" i="15"/>
  <c r="CB54" i="15" s="1"/>
  <c r="BW70" i="15"/>
  <c r="CB67" i="15"/>
  <c r="CB70" i="15" s="1"/>
  <c r="T38" i="15"/>
  <c r="BK89" i="15"/>
  <c r="CD89" i="15" s="1"/>
  <c r="V89" i="15"/>
  <c r="AP89" i="15" s="1"/>
  <c r="AN8" i="15"/>
  <c r="AO8" i="15" s="1"/>
  <c r="AF96" i="15"/>
  <c r="AF100" i="15" s="1"/>
  <c r="AN61" i="15"/>
  <c r="AO22" i="15"/>
  <c r="BK61" i="15"/>
  <c r="AN46" i="15"/>
  <c r="AO46" i="15" s="1"/>
  <c r="AE50" i="15"/>
  <c r="R96" i="15"/>
  <c r="R100" i="15" s="1"/>
  <c r="M96" i="15"/>
  <c r="M100" i="15" s="1"/>
  <c r="AA50" i="15"/>
  <c r="AN45" i="15"/>
  <c r="V63" i="15"/>
  <c r="U63" i="15"/>
  <c r="BK63" i="15"/>
  <c r="CC63" i="15" s="1"/>
  <c r="AM15" i="15"/>
  <c r="AN5" i="15"/>
  <c r="D8" i="28" s="1"/>
  <c r="W5" i="15" s="1"/>
  <c r="AO5" i="15" s="1"/>
  <c r="BJ49" i="15"/>
  <c r="U61" i="15"/>
  <c r="V61" i="15"/>
  <c r="C65" i="15"/>
  <c r="V68" i="15"/>
  <c r="AP68" i="15" s="1"/>
  <c r="BJ68" i="15" s="1"/>
  <c r="CB20" i="15"/>
  <c r="BO26" i="15"/>
  <c r="CB38" i="15"/>
  <c r="BO43" i="15"/>
  <c r="CB68" i="15"/>
  <c r="BO70" i="15"/>
  <c r="G15" i="15"/>
  <c r="T7" i="15"/>
  <c r="T12" i="15"/>
  <c r="I96" i="15"/>
  <c r="I100" i="15" s="1"/>
  <c r="T17" i="15"/>
  <c r="T18" i="15"/>
  <c r="C48" i="28" s="1"/>
  <c r="C18" i="15" s="1"/>
  <c r="T28" i="15"/>
  <c r="G36" i="15"/>
  <c r="T29" i="15"/>
  <c r="U29" i="15" s="1"/>
  <c r="T34" i="15"/>
  <c r="U34" i="15" s="1"/>
  <c r="AN9" i="15"/>
  <c r="AN10" i="15"/>
  <c r="AN11" i="15"/>
  <c r="AN12" i="15"/>
  <c r="AN13" i="15"/>
  <c r="AO13" i="15" s="1"/>
  <c r="AN14" i="15"/>
  <c r="AN29" i="15"/>
  <c r="AN34" i="15"/>
  <c r="AO34" i="15" s="1"/>
  <c r="AN62" i="15"/>
  <c r="AI90" i="15"/>
  <c r="O50" i="15"/>
  <c r="T46" i="15"/>
  <c r="BK81" i="15"/>
  <c r="CD81" i="15" s="1"/>
  <c r="K75" i="15"/>
  <c r="H90" i="15"/>
  <c r="BH67" i="15"/>
  <c r="AU70" i="15"/>
  <c r="BH77" i="15"/>
  <c r="BI77" i="15" s="1"/>
  <c r="AU90" i="15"/>
  <c r="AR96" i="15"/>
  <c r="AR100" i="15" s="1"/>
  <c r="BH39" i="15"/>
  <c r="BH43" i="15" s="1"/>
  <c r="BI43" i="15" s="1"/>
  <c r="BG43" i="15"/>
  <c r="BH52" i="15"/>
  <c r="BG54" i="15"/>
  <c r="F190" i="28"/>
  <c r="F196" i="28" s="1"/>
  <c r="V56" i="15"/>
  <c r="AP56" i="15" s="1"/>
  <c r="BJ56" i="15" s="1"/>
  <c r="V62" i="15"/>
  <c r="BW50" i="15"/>
  <c r="J96" i="15"/>
  <c r="J100" i="15" s="1"/>
  <c r="K94" i="15"/>
  <c r="T93" i="15"/>
  <c r="V93" i="15" s="1"/>
  <c r="AO80" i="15"/>
  <c r="AN94" i="15"/>
  <c r="AK96" i="15"/>
  <c r="AK100" i="15" s="1"/>
  <c r="AA90" i="15"/>
  <c r="AM90" i="15"/>
  <c r="G90" i="15"/>
  <c r="BK80" i="15"/>
  <c r="CD80" i="15" s="1"/>
  <c r="BF96" i="15"/>
  <c r="BF100" i="15" s="1"/>
  <c r="BJ42" i="15"/>
  <c r="BK42" i="15"/>
  <c r="CD42" i="15" s="1"/>
  <c r="AV96" i="15"/>
  <c r="AV100" i="15" s="1"/>
  <c r="BK48" i="15"/>
  <c r="BJ48" i="15"/>
  <c r="CB23" i="15"/>
  <c r="BO50" i="15"/>
  <c r="CB46" i="15"/>
  <c r="CB50" i="15" s="1"/>
  <c r="CB60" i="15"/>
  <c r="BO65" i="15"/>
  <c r="CB72" i="15"/>
  <c r="CD72" i="15" s="1"/>
  <c r="BO90" i="15"/>
  <c r="CB82" i="15"/>
  <c r="CB87" i="15"/>
  <c r="CD87" i="15" s="1"/>
  <c r="CB93" i="15"/>
  <c r="BO94" i="15"/>
  <c r="CB34" i="15"/>
  <c r="S26" i="15"/>
  <c r="S96" i="15" s="1"/>
  <c r="V86" i="15"/>
  <c r="T22" i="15"/>
  <c r="T78" i="15"/>
  <c r="T79" i="15"/>
  <c r="T82" i="15"/>
  <c r="BK82" i="15" s="1"/>
  <c r="CD82" i="15" s="1"/>
  <c r="BI79" i="15"/>
  <c r="BI80" i="15"/>
  <c r="BH75" i="15"/>
  <c r="BH32" i="15"/>
  <c r="BJ32" i="15" s="1"/>
  <c r="BH34" i="15"/>
  <c r="E38" i="33"/>
  <c r="D51" i="33"/>
  <c r="D156" i="33" s="1"/>
  <c r="D162" i="33" s="1"/>
  <c r="BC25" i="15"/>
  <c r="CA50" i="15"/>
  <c r="CB56" i="15"/>
  <c r="CB58" i="15" s="1"/>
  <c r="CB79" i="15"/>
  <c r="BT15" i="15"/>
  <c r="BT96" i="15" s="1"/>
  <c r="BT100" i="15" s="1"/>
  <c r="F22" i="39"/>
  <c r="BR26" i="15"/>
  <c r="BR96" i="15" s="1"/>
  <c r="BR100" i="15" s="1"/>
  <c r="BS22" i="15"/>
  <c r="CB22" i="15" s="1"/>
  <c r="BG25" i="15"/>
  <c r="BW88" i="15"/>
  <c r="BW90" i="15" s="1"/>
  <c r="AE15" i="15"/>
  <c r="AI26" i="15"/>
  <c r="AI96" i="15" s="1"/>
  <c r="BI63" i="15"/>
  <c r="BH7" i="15"/>
  <c r="BH8" i="15"/>
  <c r="BI8" i="15" s="1"/>
  <c r="BH11" i="15"/>
  <c r="BH13" i="15"/>
  <c r="BG26" i="15"/>
  <c r="BH18" i="15"/>
  <c r="BC50" i="15"/>
  <c r="BH46" i="15"/>
  <c r="BI46" i="15" s="1"/>
  <c r="BE96" i="15"/>
  <c r="BE100" i="15" s="1"/>
  <c r="AN23" i="15"/>
  <c r="U62" i="15"/>
  <c r="BL96" i="15"/>
  <c r="BL100" i="15" s="1"/>
  <c r="BS36" i="15"/>
  <c r="CB57" i="15"/>
  <c r="CB63" i="15"/>
  <c r="BW15" i="15"/>
  <c r="V88" i="15"/>
  <c r="V80" i="15"/>
  <c r="BI61" i="15"/>
  <c r="BH6" i="15"/>
  <c r="BG90" i="15"/>
  <c r="BH76" i="15"/>
  <c r="BK76" i="15" s="1"/>
  <c r="CD76" i="15" s="1"/>
  <c r="CB24" i="15"/>
  <c r="CB41" i="15"/>
  <c r="CD41" i="15" s="1"/>
  <c r="CB61" i="15"/>
  <c r="CB12" i="15"/>
  <c r="BS90" i="15"/>
  <c r="CB92" i="15"/>
  <c r="CB94" i="15" s="1"/>
  <c r="CB77" i="15"/>
  <c r="CA94" i="15"/>
  <c r="BK53" i="15"/>
  <c r="CD53" i="15" s="1"/>
  <c r="BK69" i="15"/>
  <c r="CD69" i="15" s="1"/>
  <c r="BU90" i="15"/>
  <c r="BU96" i="15" s="1"/>
  <c r="BU100" i="15" s="1"/>
  <c r="BG15" i="15"/>
  <c r="AU26" i="15"/>
  <c r="BH20" i="15"/>
  <c r="BK20" i="15" s="1"/>
  <c r="CD20" i="15" s="1"/>
  <c r="BG36" i="15"/>
  <c r="BH33" i="15"/>
  <c r="BK33" i="15" s="1"/>
  <c r="CD33" i="15" s="1"/>
  <c r="BH35" i="15"/>
  <c r="V73" i="15"/>
  <c r="AP73" i="15" s="1"/>
  <c r="BJ73" i="15" s="1"/>
  <c r="CB21" i="15"/>
  <c r="CB4" i="15"/>
  <c r="BK64" i="15"/>
  <c r="CC64" i="15" s="1"/>
  <c r="D108" i="28"/>
  <c r="C153" i="28"/>
  <c r="C72" i="15" s="1"/>
  <c r="E134" i="28"/>
  <c r="AQ60" i="15" s="1"/>
  <c r="BI60" i="15" s="1"/>
  <c r="BZ96" i="15"/>
  <c r="BZ100" i="15" s="1"/>
  <c r="G181" i="28"/>
  <c r="B43" i="15"/>
  <c r="U18" i="15"/>
  <c r="V18" i="15"/>
  <c r="CD92" i="15"/>
  <c r="CD64" i="15"/>
  <c r="G165" i="28"/>
  <c r="D136" i="28"/>
  <c r="BK93" i="15"/>
  <c r="CD93" i="15" s="1"/>
  <c r="G169" i="28"/>
  <c r="D176" i="28"/>
  <c r="W88" i="15" s="1"/>
  <c r="CC69" i="15"/>
  <c r="BK39" i="15"/>
  <c r="CD39" i="15" s="1"/>
  <c r="G134" i="28"/>
  <c r="AP80" i="15"/>
  <c r="BJ80" i="15" s="1"/>
  <c r="B54" i="15"/>
  <c r="B36" i="15"/>
  <c r="CC61" i="15"/>
  <c r="C6" i="28"/>
  <c r="C30" i="15"/>
  <c r="V30" i="15" s="1"/>
  <c r="AP30" i="15" s="1"/>
  <c r="E73" i="28"/>
  <c r="C86" i="28"/>
  <c r="D135" i="28"/>
  <c r="AA15" i="15"/>
  <c r="AA96" i="15" s="1"/>
  <c r="AN7" i="15"/>
  <c r="AO9" i="15"/>
  <c r="AO12" i="15"/>
  <c r="AO14" i="15"/>
  <c r="AN17" i="15"/>
  <c r="AE26" i="15"/>
  <c r="AN28" i="15"/>
  <c r="AE36" i="15"/>
  <c r="C166" i="28"/>
  <c r="C36" i="15"/>
  <c r="BK6" i="15"/>
  <c r="CD6" i="15" s="1"/>
  <c r="C52" i="28"/>
  <c r="C22" i="15"/>
  <c r="AO11" i="15"/>
  <c r="W86" i="15"/>
  <c r="G174" i="28"/>
  <c r="AO10" i="15"/>
  <c r="C77" i="15"/>
  <c r="V77" i="15" s="1"/>
  <c r="AP77" i="15" s="1"/>
  <c r="BJ77" i="15" s="1"/>
  <c r="G162" i="28"/>
  <c r="AQ65" i="15"/>
  <c r="C171" i="28"/>
  <c r="G163" i="28"/>
  <c r="W78" i="15"/>
  <c r="D11" i="28"/>
  <c r="W4" i="15"/>
  <c r="BK7" i="15"/>
  <c r="T10" i="15"/>
  <c r="O15" i="15"/>
  <c r="BK34" i="15"/>
  <c r="BK32" i="15"/>
  <c r="CD32" i="15" s="1"/>
  <c r="D153" i="28"/>
  <c r="C45" i="15"/>
  <c r="C50" i="15" s="1"/>
  <c r="G98" i="28"/>
  <c r="G108" i="28" s="1"/>
  <c r="C108" i="28"/>
  <c r="AQ78" i="15"/>
  <c r="BI78" i="15" s="1"/>
  <c r="E183" i="28"/>
  <c r="G137" i="28"/>
  <c r="W63" i="15"/>
  <c r="C87" i="15"/>
  <c r="V87" i="15" s="1"/>
  <c r="AP87" i="15" s="1"/>
  <c r="BJ87" i="15" s="1"/>
  <c r="G175" i="28"/>
  <c r="C79" i="15"/>
  <c r="V79" i="15" s="1"/>
  <c r="G164" i="28"/>
  <c r="BC15" i="15"/>
  <c r="BH5" i="15"/>
  <c r="BI7" i="15"/>
  <c r="BI11" i="15"/>
  <c r="BI13" i="15"/>
  <c r="BI34" i="15"/>
  <c r="T9" i="15"/>
  <c r="T11" i="15"/>
  <c r="T13" i="15"/>
  <c r="BK21" i="15"/>
  <c r="CD21" i="15" s="1"/>
  <c r="B65" i="15"/>
  <c r="BK74" i="15"/>
  <c r="B90" i="15"/>
  <c r="T5" i="15"/>
  <c r="W60" i="15"/>
  <c r="AN18" i="15"/>
  <c r="AN19" i="15"/>
  <c r="BJ35" i="15"/>
  <c r="BH30" i="15"/>
  <c r="BC36" i="15"/>
  <c r="AP23" i="15"/>
  <c r="BH17" i="15"/>
  <c r="AU36" i="15"/>
  <c r="CB6" i="15"/>
  <c r="CB5" i="15"/>
  <c r="AN24" i="15"/>
  <c r="D58" i="28" s="1"/>
  <c r="W24" i="15" s="1"/>
  <c r="T24" i="15"/>
  <c r="CB8" i="15"/>
  <c r="CB18" i="15"/>
  <c r="CB28" i="15"/>
  <c r="CB36" i="15" s="1"/>
  <c r="BO36" i="15"/>
  <c r="BW26" i="15"/>
  <c r="CA36" i="15"/>
  <c r="BH19" i="15"/>
  <c r="BH22" i="15"/>
  <c r="BH23" i="15"/>
  <c r="CB10" i="15"/>
  <c r="CB14" i="15"/>
  <c r="B50" i="15"/>
  <c r="BH9" i="15"/>
  <c r="BH10" i="15"/>
  <c r="BH12" i="15"/>
  <c r="AP20" i="15"/>
  <c r="BJ20" i="15" s="1"/>
  <c r="CB7" i="15"/>
  <c r="CB11" i="15"/>
  <c r="BS15" i="15"/>
  <c r="CB9" i="15"/>
  <c r="CB13" i="15"/>
  <c r="CB25" i="15"/>
  <c r="BK35" i="15"/>
  <c r="CD35" i="15" s="1"/>
  <c r="CD48" i="15"/>
  <c r="CA58" i="15"/>
  <c r="BY96" i="15"/>
  <c r="BY100" i="15" s="1"/>
  <c r="CA26" i="15"/>
  <c r="CA15" i="15"/>
  <c r="CA90" i="15"/>
  <c r="CC80" i="15"/>
  <c r="BX96" i="15"/>
  <c r="BX100" i="15" s="1"/>
  <c r="AP79" i="15" l="1"/>
  <c r="BJ79" i="15" s="1"/>
  <c r="V29" i="15"/>
  <c r="BG96" i="15"/>
  <c r="CC34" i="15"/>
  <c r="G96" i="15"/>
  <c r="CB88" i="15"/>
  <c r="BH70" i="15"/>
  <c r="BI70" i="15" s="1"/>
  <c r="BK62" i="15"/>
  <c r="U14" i="15"/>
  <c r="AE96" i="15"/>
  <c r="BH25" i="15"/>
  <c r="BH65" i="15"/>
  <c r="AN65" i="15"/>
  <c r="BH90" i="15"/>
  <c r="BK79" i="15"/>
  <c r="CD79" i="15" s="1"/>
  <c r="BK77" i="15"/>
  <c r="CC77" i="15" s="1"/>
  <c r="BK29" i="15"/>
  <c r="BJ76" i="15"/>
  <c r="BI65" i="15"/>
  <c r="BJ39" i="15"/>
  <c r="AM96" i="15"/>
  <c r="BJ89" i="15"/>
  <c r="BJ33" i="15"/>
  <c r="V82" i="15"/>
  <c r="AP82" i="15" s="1"/>
  <c r="BJ82" i="15" s="1"/>
  <c r="BK57" i="15"/>
  <c r="U57" i="15"/>
  <c r="V57" i="15"/>
  <c r="H96" i="15"/>
  <c r="H100" i="15" s="1"/>
  <c r="E142" i="28"/>
  <c r="AP88" i="15"/>
  <c r="BJ88" i="15" s="1"/>
  <c r="BH54" i="15"/>
  <c r="BI54" i="15" s="1"/>
  <c r="BK52" i="15"/>
  <c r="BJ52" i="15"/>
  <c r="BJ54" i="15" s="1"/>
  <c r="T75" i="15"/>
  <c r="K90" i="15"/>
  <c r="V12" i="15"/>
  <c r="AP12" i="15" s="1"/>
  <c r="U12" i="15"/>
  <c r="K96" i="15"/>
  <c r="CB26" i="15"/>
  <c r="BO96" i="15"/>
  <c r="BK24" i="15"/>
  <c r="CD24" i="15" s="1"/>
  <c r="AU96" i="15"/>
  <c r="CD94" i="15"/>
  <c r="AP93" i="15"/>
  <c r="V94" i="15"/>
  <c r="BK46" i="15"/>
  <c r="U46" i="15"/>
  <c r="U50" i="15" s="1"/>
  <c r="T50" i="15"/>
  <c r="V17" i="15"/>
  <c r="AP17" i="15" s="1"/>
  <c r="U17" i="15"/>
  <c r="V34" i="15"/>
  <c r="AP34" i="15" s="1"/>
  <c r="BJ34" i="15" s="1"/>
  <c r="CD63" i="15"/>
  <c r="U38" i="15"/>
  <c r="T43" i="15"/>
  <c r="U43" i="15" s="1"/>
  <c r="BK38" i="15"/>
  <c r="CD38" i="15" s="1"/>
  <c r="V38" i="15"/>
  <c r="U64" i="15"/>
  <c r="V64" i="15"/>
  <c r="AP64" i="15" s="1"/>
  <c r="BJ64" i="15" s="1"/>
  <c r="T8" i="15"/>
  <c r="BC26" i="15"/>
  <c r="BJ92" i="15"/>
  <c r="BK4" i="15"/>
  <c r="CD4" i="15" s="1"/>
  <c r="CB43" i="15"/>
  <c r="CC38" i="15"/>
  <c r="CD61" i="15"/>
  <c r="CD34" i="15"/>
  <c r="BH14" i="15"/>
  <c r="BS26" i="15"/>
  <c r="BS96" i="15" s="1"/>
  <c r="CB65" i="15"/>
  <c r="T36" i="15"/>
  <c r="U36" i="15" s="1"/>
  <c r="V28" i="15"/>
  <c r="U28" i="15"/>
  <c r="V60" i="15"/>
  <c r="T65" i="15"/>
  <c r="U65" i="15" s="1"/>
  <c r="U60" i="15"/>
  <c r="BK60" i="15"/>
  <c r="BJ6" i="15"/>
  <c r="BK45" i="15"/>
  <c r="BK50" i="15" s="1"/>
  <c r="CC50" i="15" s="1"/>
  <c r="BW96" i="15"/>
  <c r="O96" i="15"/>
  <c r="AP14" i="15"/>
  <c r="AP86" i="15"/>
  <c r="BJ86" i="15" s="1"/>
  <c r="V78" i="15"/>
  <c r="AP78" i="15" s="1"/>
  <c r="BJ78" i="15" s="1"/>
  <c r="BK78" i="15"/>
  <c r="V46" i="15"/>
  <c r="U7" i="15"/>
  <c r="V7" i="15"/>
  <c r="CD68" i="15"/>
  <c r="AN50" i="15"/>
  <c r="AO50" i="15" s="1"/>
  <c r="T94" i="15"/>
  <c r="AN43" i="15"/>
  <c r="AO43" i="15" s="1"/>
  <c r="AO38" i="15"/>
  <c r="T70" i="15"/>
  <c r="U70" i="15" s="1"/>
  <c r="V67" i="15"/>
  <c r="BK67" i="15"/>
  <c r="T58" i="15"/>
  <c r="U58" i="15" s="1"/>
  <c r="U56" i="15"/>
  <c r="BK56" i="15"/>
  <c r="AP45" i="15"/>
  <c r="D142" i="28"/>
  <c r="W62" i="15"/>
  <c r="G136" i="28"/>
  <c r="BK43" i="15"/>
  <c r="G176" i="28"/>
  <c r="BK94" i="15"/>
  <c r="CD43" i="15"/>
  <c r="AQ90" i="15"/>
  <c r="BI90" i="15" s="1"/>
  <c r="BK25" i="15"/>
  <c r="CD25" i="15" s="1"/>
  <c r="BJ25" i="15"/>
  <c r="BK23" i="15"/>
  <c r="CD23" i="15" s="1"/>
  <c r="BH26" i="15"/>
  <c r="T15" i="15"/>
  <c r="U13" i="15"/>
  <c r="V13" i="15"/>
  <c r="AP13" i="15" s="1"/>
  <c r="BJ13" i="15" s="1"/>
  <c r="BK13" i="15"/>
  <c r="AP63" i="15"/>
  <c r="BJ63" i="15" s="1"/>
  <c r="AO63" i="15"/>
  <c r="AO78" i="15"/>
  <c r="D73" i="28"/>
  <c r="V72" i="15"/>
  <c r="AQ29" i="15"/>
  <c r="C4" i="15"/>
  <c r="G6" i="28"/>
  <c r="BI12" i="15"/>
  <c r="BK22" i="15"/>
  <c r="U11" i="15"/>
  <c r="BK11" i="15"/>
  <c r="CD11" i="15" s="1"/>
  <c r="V11" i="15"/>
  <c r="AP11" i="15" s="1"/>
  <c r="BJ11" i="15" s="1"/>
  <c r="C81" i="15"/>
  <c r="V81" i="15" s="1"/>
  <c r="AP81" i="15" s="1"/>
  <c r="BJ81" i="15" s="1"/>
  <c r="G166" i="28"/>
  <c r="BI10" i="15"/>
  <c r="AO60" i="15"/>
  <c r="AP60" i="15"/>
  <c r="CD74" i="15"/>
  <c r="U9" i="15"/>
  <c r="V9" i="15"/>
  <c r="AP9" i="15" s="1"/>
  <c r="BJ9" i="15" s="1"/>
  <c r="BK9" i="15"/>
  <c r="CD9" i="15" s="1"/>
  <c r="BC96" i="15"/>
  <c r="D183" i="28"/>
  <c r="W72" i="15"/>
  <c r="BK19" i="15"/>
  <c r="CD19" i="15" s="1"/>
  <c r="BK10" i="15"/>
  <c r="U10" i="15"/>
  <c r="V10" i="15"/>
  <c r="AP10" i="15" s="1"/>
  <c r="BJ10" i="15" s="1"/>
  <c r="C83" i="15"/>
  <c r="V83" i="15" s="1"/>
  <c r="AP83" i="15" s="1"/>
  <c r="BJ83" i="15" s="1"/>
  <c r="G171" i="28"/>
  <c r="CD29" i="15"/>
  <c r="CC29" i="15"/>
  <c r="C183" i="28"/>
  <c r="V22" i="15"/>
  <c r="AP22" i="15" s="1"/>
  <c r="U22" i="15"/>
  <c r="W61" i="15"/>
  <c r="G135" i="28"/>
  <c r="BJ12" i="15"/>
  <c r="CC7" i="15"/>
  <c r="T26" i="15"/>
  <c r="BK30" i="15"/>
  <c r="CC62" i="15"/>
  <c r="CD62" i="15"/>
  <c r="BH15" i="15"/>
  <c r="W15" i="15"/>
  <c r="AO4" i="15"/>
  <c r="AN36" i="15"/>
  <c r="BK28" i="15"/>
  <c r="AP28" i="15"/>
  <c r="V36" i="15"/>
  <c r="CB15" i="15"/>
  <c r="BI9" i="15"/>
  <c r="BJ23" i="15"/>
  <c r="BK18" i="15"/>
  <c r="CD18" i="15" s="1"/>
  <c r="BH36" i="15"/>
  <c r="CD7" i="15"/>
  <c r="G153" i="28"/>
  <c r="C19" i="15"/>
  <c r="BK17" i="15"/>
  <c r="AN26" i="15"/>
  <c r="BK12" i="15"/>
  <c r="AO7" i="15"/>
  <c r="AP7" i="15"/>
  <c r="BJ7" i="15" s="1"/>
  <c r="AN15" i="15"/>
  <c r="CA96" i="15"/>
  <c r="CD88" i="15" l="1"/>
  <c r="CB90" i="15"/>
  <c r="CB96" i="15" s="1"/>
  <c r="CD77" i="15"/>
  <c r="BJ14" i="15"/>
  <c r="V65" i="15"/>
  <c r="CC79" i="15"/>
  <c r="V50" i="15"/>
  <c r="AP46" i="15"/>
  <c r="BJ46" i="15" s="1"/>
  <c r="CC60" i="15"/>
  <c r="CD60" i="15"/>
  <c r="CD65" i="15" s="1"/>
  <c r="BK65" i="15"/>
  <c r="CC65" i="15" s="1"/>
  <c r="CC78" i="15"/>
  <c r="CD78" i="15"/>
  <c r="BI14" i="15"/>
  <c r="BK14" i="15"/>
  <c r="AP38" i="15"/>
  <c r="V43" i="15"/>
  <c r="BJ93" i="15"/>
  <c r="BJ94" i="15" s="1"/>
  <c r="AP94" i="15"/>
  <c r="CD52" i="15"/>
  <c r="CD54" i="15" s="1"/>
  <c r="BK54" i="15"/>
  <c r="CC54" i="15" s="1"/>
  <c r="CD45" i="15"/>
  <c r="CC43" i="15"/>
  <c r="BJ45" i="15"/>
  <c r="BJ50" i="15" s="1"/>
  <c r="AP50" i="15"/>
  <c r="BK70" i="15"/>
  <c r="CC70" i="15" s="1"/>
  <c r="CD67" i="15"/>
  <c r="CD70" i="15" s="1"/>
  <c r="V8" i="15"/>
  <c r="AP8" i="15" s="1"/>
  <c r="BJ8" i="15" s="1"/>
  <c r="U8" i="15"/>
  <c r="BK8" i="15"/>
  <c r="V58" i="15"/>
  <c r="AP57" i="15"/>
  <c r="CC57" i="15"/>
  <c r="CD57" i="15"/>
  <c r="BK58" i="15"/>
  <c r="CC58" i="15" s="1"/>
  <c r="CD56" i="15"/>
  <c r="AP67" i="15"/>
  <c r="V70" i="15"/>
  <c r="CD46" i="15"/>
  <c r="CC46" i="15"/>
  <c r="BK75" i="15"/>
  <c r="V75" i="15"/>
  <c r="AP75" i="15" s="1"/>
  <c r="BJ75" i="15" s="1"/>
  <c r="T90" i="15"/>
  <c r="T96" i="15" s="1"/>
  <c r="CC4" i="15"/>
  <c r="AP62" i="15"/>
  <c r="BJ62" i="15" s="1"/>
  <c r="AO62" i="15"/>
  <c r="G142" i="28"/>
  <c r="W65" i="15"/>
  <c r="AO65" i="15" s="1"/>
  <c r="C90" i="15"/>
  <c r="E74" i="28"/>
  <c r="BJ60" i="15"/>
  <c r="CC22" i="15"/>
  <c r="CD22" i="15"/>
  <c r="CD12" i="15"/>
  <c r="CC12" i="15"/>
  <c r="D48" i="28"/>
  <c r="CD10" i="15"/>
  <c r="CC10" i="15"/>
  <c r="BJ17" i="15"/>
  <c r="E8" i="28"/>
  <c r="CD30" i="15"/>
  <c r="CC30" i="15"/>
  <c r="C58" i="28"/>
  <c r="CC11" i="15"/>
  <c r="E56" i="28"/>
  <c r="CD17" i="15"/>
  <c r="BK26" i="15"/>
  <c r="BJ28" i="15"/>
  <c r="V4" i="15"/>
  <c r="U4" i="15"/>
  <c r="AN96" i="15"/>
  <c r="AO15" i="15"/>
  <c r="G183" i="28"/>
  <c r="BK36" i="15"/>
  <c r="CC36" i="15" s="1"/>
  <c r="CD28" i="15"/>
  <c r="BH96" i="15"/>
  <c r="AO61" i="15"/>
  <c r="AP61" i="15"/>
  <c r="BJ61" i="15" s="1"/>
  <c r="AP72" i="15"/>
  <c r="V90" i="15"/>
  <c r="CD13" i="15"/>
  <c r="CC13" i="15"/>
  <c r="V19" i="15"/>
  <c r="U19" i="15"/>
  <c r="AO72" i="15"/>
  <c r="W90" i="15"/>
  <c r="AO90" i="15" s="1"/>
  <c r="D52" i="28"/>
  <c r="CC9" i="15"/>
  <c r="BI29" i="15"/>
  <c r="W29" i="15"/>
  <c r="D86" i="28"/>
  <c r="G73" i="28"/>
  <c r="C8" i="28"/>
  <c r="CD26" i="15" l="1"/>
  <c r="BJ57" i="15"/>
  <c r="BJ58" i="15" s="1"/>
  <c r="AP58" i="15"/>
  <c r="CD50" i="15"/>
  <c r="CD75" i="15"/>
  <c r="CD90" i="15" s="1"/>
  <c r="BK90" i="15"/>
  <c r="CC90" i="15" s="1"/>
  <c r="BJ67" i="15"/>
  <c r="BJ70" i="15" s="1"/>
  <c r="AP70" i="15"/>
  <c r="CD8" i="15"/>
  <c r="CC8" i="15"/>
  <c r="AP43" i="15"/>
  <c r="BJ38" i="15"/>
  <c r="BJ43" i="15" s="1"/>
  <c r="U90" i="15"/>
  <c r="CD58" i="15"/>
  <c r="CD14" i="15"/>
  <c r="CC14" i="15"/>
  <c r="CD36" i="15"/>
  <c r="AP65" i="15"/>
  <c r="W36" i="15"/>
  <c r="AO36" i="15" s="1"/>
  <c r="AO29" i="15"/>
  <c r="AP29" i="15"/>
  <c r="W19" i="15"/>
  <c r="AO19" i="15" s="1"/>
  <c r="G52" i="28"/>
  <c r="AQ30" i="15"/>
  <c r="G74" i="28"/>
  <c r="G86" i="28" s="1"/>
  <c r="E86" i="28"/>
  <c r="C24" i="15"/>
  <c r="G58" i="28"/>
  <c r="C70" i="28"/>
  <c r="W18" i="15"/>
  <c r="D70" i="28"/>
  <c r="D190" i="28" s="1"/>
  <c r="D196" i="28" s="1"/>
  <c r="G48" i="28"/>
  <c r="AP4" i="15"/>
  <c r="CC26" i="15"/>
  <c r="AQ5" i="15"/>
  <c r="E11" i="28"/>
  <c r="C5" i="15"/>
  <c r="G8" i="28"/>
  <c r="G11" i="28" s="1"/>
  <c r="C11" i="28"/>
  <c r="BJ65" i="15"/>
  <c r="BI72" i="15"/>
  <c r="AP90" i="15"/>
  <c r="BJ72" i="15"/>
  <c r="AQ22" i="15"/>
  <c r="E70" i="28"/>
  <c r="G56" i="28"/>
  <c r="W26" i="15" l="1"/>
  <c r="AP18" i="15"/>
  <c r="BJ4" i="15"/>
  <c r="V24" i="15"/>
  <c r="C26" i="15"/>
  <c r="U26" i="15" s="1"/>
  <c r="AQ26" i="15"/>
  <c r="BI26" i="15" s="1"/>
  <c r="BI22" i="15"/>
  <c r="BJ22" i="15"/>
  <c r="G70" i="28"/>
  <c r="G190" i="28" s="1"/>
  <c r="G196" i="28" s="1"/>
  <c r="BJ29" i="15"/>
  <c r="AP36" i="15"/>
  <c r="V5" i="15"/>
  <c r="U5" i="15"/>
  <c r="C15" i="15"/>
  <c r="AQ15" i="15"/>
  <c r="BI5" i="15"/>
  <c r="E190" i="28"/>
  <c r="E196" i="28" s="1"/>
  <c r="CC72" i="15"/>
  <c r="BJ90" i="15"/>
  <c r="AP19" i="15"/>
  <c r="BJ19" i="15" s="1"/>
  <c r="C190" i="28"/>
  <c r="C196" i="28" s="1"/>
  <c r="BI30" i="15"/>
  <c r="BJ30" i="15"/>
  <c r="AQ36" i="15"/>
  <c r="BI36" i="15" s="1"/>
  <c r="BJ36" i="15" l="1"/>
  <c r="AP24" i="15"/>
  <c r="BJ24" i="15" s="1"/>
  <c r="V26" i="15"/>
  <c r="W96" i="15"/>
  <c r="AO96" i="15" s="1"/>
  <c r="AO26" i="15"/>
  <c r="AP5" i="15"/>
  <c r="V15" i="15"/>
  <c r="V96" i="15" s="1"/>
  <c r="AQ96" i="15"/>
  <c r="BI96" i="15" s="1"/>
  <c r="BI15" i="15"/>
  <c r="C96" i="15"/>
  <c r="U96" i="15" s="1"/>
  <c r="U15" i="15"/>
  <c r="BJ18" i="15"/>
  <c r="BJ26" i="15" s="1"/>
  <c r="AP26" i="15" l="1"/>
  <c r="BJ5" i="15"/>
  <c r="BJ15" i="15" s="1"/>
  <c r="BJ96" i="15" s="1"/>
  <c r="AP15" i="15"/>
  <c r="AP96" i="15" s="1"/>
  <c r="BK5" i="15" l="1"/>
  <c r="CC5" i="15" l="1"/>
  <c r="CD5" i="15"/>
  <c r="CD15" i="15" s="1"/>
  <c r="CD96" i="15" s="1"/>
  <c r="BK15" i="15"/>
  <c r="B15" i="15"/>
  <c r="B96" i="15" s="1"/>
  <c r="BK96" i="15" l="1"/>
  <c r="CC96" i="15" s="1"/>
  <c r="CC15" i="1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Danielle Martin</author>
  </authors>
  <commentList>
    <comment ref="C5" authorId="0" shapeId="0" xr:uid="{00000000-0006-0000-0600-000001000000}">
      <text>
        <r>
          <rPr>
            <b/>
            <sz val="9"/>
            <color indexed="81"/>
            <rFont val="Tahoma"/>
            <family val="2"/>
          </rPr>
          <t>Danielle Martin:</t>
        </r>
        <r>
          <rPr>
            <sz val="9"/>
            <color indexed="81"/>
            <rFont val="Tahoma"/>
            <family val="2"/>
          </rPr>
          <t xml:space="preserve">
Update with current month ending</t>
        </r>
      </text>
    </comment>
    <comment ref="C6" authorId="0" shapeId="0" xr:uid="{00000000-0006-0000-0600-000002000000}">
      <text>
        <r>
          <rPr>
            <b/>
            <sz val="9"/>
            <color indexed="81"/>
            <rFont val="Tahoma"/>
            <family val="2"/>
          </rPr>
          <t>Danielle Martin:</t>
        </r>
        <r>
          <rPr>
            <sz val="9"/>
            <color indexed="81"/>
            <rFont val="Tahoma"/>
            <family val="2"/>
          </rPr>
          <t xml:space="preserve">
Update each month with certified exchange rate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FyA Panamá</author>
    <author>DELL</author>
  </authors>
  <commentList>
    <comment ref="U3" authorId="0" shapeId="0" xr:uid="{00000000-0006-0000-0700-000001000000}">
      <text>
        <r>
          <rPr>
            <b/>
            <sz val="9"/>
            <color indexed="81"/>
            <rFont val="Tahoma"/>
            <family val="2"/>
          </rPr>
          <t>Porcentaje de Ejecución</t>
        </r>
        <r>
          <rPr>
            <sz val="9"/>
            <color indexed="81"/>
            <rFont val="Tahoma"/>
            <family val="2"/>
          </rPr>
          <t xml:space="preserve">
</t>
        </r>
      </text>
    </comment>
    <comment ref="AO3" authorId="0" shapeId="0" xr:uid="{00000000-0006-0000-0700-000002000000}">
      <text>
        <r>
          <rPr>
            <b/>
            <sz val="9"/>
            <color indexed="81"/>
            <rFont val="Tahoma"/>
            <family val="2"/>
          </rPr>
          <t>Porcentaje de Ejecución</t>
        </r>
        <r>
          <rPr>
            <sz val="9"/>
            <color indexed="81"/>
            <rFont val="Tahoma"/>
            <family val="2"/>
          </rPr>
          <t xml:space="preserve">
</t>
        </r>
      </text>
    </comment>
    <comment ref="BI3" authorId="0" shapeId="0" xr:uid="{00000000-0006-0000-0700-000003000000}">
      <text>
        <r>
          <rPr>
            <b/>
            <sz val="9"/>
            <color indexed="81"/>
            <rFont val="Tahoma"/>
            <family val="2"/>
          </rPr>
          <t>Porcentaje de Ejecución</t>
        </r>
        <r>
          <rPr>
            <sz val="9"/>
            <color indexed="81"/>
            <rFont val="Tahoma"/>
            <family val="2"/>
          </rPr>
          <t xml:space="preserve">
</t>
        </r>
      </text>
    </comment>
    <comment ref="CC3" authorId="0" shapeId="0" xr:uid="{00000000-0006-0000-0700-000004000000}">
      <text>
        <r>
          <rPr>
            <b/>
            <sz val="9"/>
            <color indexed="81"/>
            <rFont val="Tahoma"/>
            <family val="2"/>
          </rPr>
          <t>Porcentaje de Ejecución</t>
        </r>
        <r>
          <rPr>
            <sz val="9"/>
            <color indexed="81"/>
            <rFont val="Tahoma"/>
            <family val="2"/>
          </rPr>
          <t xml:space="preserve">
</t>
        </r>
      </text>
    </comment>
    <comment ref="H13" authorId="1" shapeId="0" xr:uid="{00000000-0006-0000-0700-000005000000}">
      <text>
        <r>
          <rPr>
            <b/>
            <sz val="9"/>
            <color indexed="81"/>
            <rFont val="Tahoma"/>
            <family val="2"/>
          </rPr>
          <t>incluye 277.82 de Ecuador</t>
        </r>
        <r>
          <rPr>
            <sz val="9"/>
            <color indexed="81"/>
            <rFont val="Tahoma"/>
            <family val="2"/>
          </rPr>
          <t xml:space="preserve">
</t>
        </r>
      </text>
    </comment>
    <comment ref="H82" authorId="0" shapeId="0" xr:uid="{00000000-0006-0000-0700-000006000000}">
      <text>
        <r>
          <rPr>
            <b/>
            <sz val="9"/>
            <color indexed="81"/>
            <rFont val="Tahoma"/>
            <family val="2"/>
          </rPr>
          <t>visita de Melinda y Franko a Washington - Solicitado por el Donante</t>
        </r>
        <r>
          <rPr>
            <sz val="9"/>
            <color indexed="81"/>
            <rFont val="Tahoma"/>
            <family val="2"/>
          </rPr>
          <t xml:space="preserve">
</t>
        </r>
      </text>
    </comment>
    <comment ref="L82" authorId="1" shapeId="0" xr:uid="{00000000-0006-0000-0700-000007000000}">
      <text>
        <r>
          <rPr>
            <b/>
            <sz val="9"/>
            <color indexed="81"/>
            <rFont val="Tahoma"/>
            <family val="2"/>
          </rPr>
          <t>Gira a Washington de Ana Lorena</t>
        </r>
        <r>
          <rPr>
            <sz val="9"/>
            <color indexed="81"/>
            <rFont val="Tahoma"/>
            <family val="2"/>
          </rPr>
          <t xml:space="preserve">
</t>
        </r>
      </text>
    </comment>
    <comment ref="Y82" authorId="1" shapeId="0" xr:uid="{00000000-0006-0000-0700-000008000000}">
      <text>
        <r>
          <rPr>
            <b/>
            <sz val="9"/>
            <color indexed="81"/>
            <rFont val="Tahoma"/>
            <family val="2"/>
          </rPr>
          <t>Gira a Colón de Lorena Dávalos</t>
        </r>
        <r>
          <rPr>
            <sz val="9"/>
            <color indexed="81"/>
            <rFont val="Tahoma"/>
            <family val="2"/>
          </rPr>
          <t xml:space="preserve">
</t>
        </r>
      </text>
    </comment>
    <comment ref="AV82" authorId="1" shapeId="0" xr:uid="{00000000-0006-0000-0700-000009000000}">
      <text>
        <r>
          <rPr>
            <b/>
            <sz val="9"/>
            <color indexed="81"/>
            <rFont val="Tahoma"/>
            <family val="2"/>
          </rPr>
          <t>Gira a Colón MARCIA EUGENIO</t>
        </r>
        <r>
          <rPr>
            <sz val="9"/>
            <color indexed="81"/>
            <rFont val="Tahoma"/>
            <family val="2"/>
          </rPr>
          <t xml:space="preserve">
</t>
        </r>
      </text>
    </comment>
    <comment ref="BA82" authorId="1" shapeId="0" xr:uid="{00000000-0006-0000-0700-00000A000000}">
      <text>
        <r>
          <rPr>
            <b/>
            <sz val="9"/>
            <color indexed="81"/>
            <rFont val="Tahoma"/>
            <family val="2"/>
          </rPr>
          <t>Gira a Colón de Lorena Dávalos</t>
        </r>
        <r>
          <rPr>
            <sz val="9"/>
            <color indexed="81"/>
            <rFont val="Tahoma"/>
            <family val="2"/>
          </rPr>
          <t xml:space="preserve">
</t>
        </r>
      </text>
    </comment>
    <comment ref="BE82" authorId="1" shapeId="0" xr:uid="{00000000-0006-0000-0700-00000B000000}">
      <text>
        <r>
          <rPr>
            <b/>
            <sz val="9"/>
            <color indexed="81"/>
            <rFont val="Tahoma"/>
            <family val="2"/>
          </rPr>
          <t>Gira a Colón de Lorena Dávalos</t>
        </r>
        <r>
          <rPr>
            <sz val="9"/>
            <color indexed="81"/>
            <rFont val="Tahoma"/>
            <family val="2"/>
          </rPr>
          <t xml:space="preserve">
</t>
        </r>
      </text>
    </comment>
    <comment ref="BU99" authorId="1" shapeId="0" xr:uid="{00000000-0006-0000-0700-00000C000000}">
      <text>
        <r>
          <rPr>
            <b/>
            <sz val="9"/>
            <color indexed="81"/>
            <rFont val="Tahoma"/>
            <family val="2"/>
          </rPr>
          <t xml:space="preserve">NO INCLUYE A HEATHER
</t>
        </r>
        <r>
          <rPr>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Nancy G. Francis</author>
    <author>DELL</author>
    <author>FyA Panamá</author>
  </authors>
  <commentList>
    <comment ref="D58" authorId="0" shapeId="0" xr:uid="{00000000-0006-0000-0900-000001000000}">
      <text>
        <r>
          <rPr>
            <b/>
            <sz val="9"/>
            <color indexed="81"/>
            <rFont val="Tahoma"/>
            <family val="2"/>
          </rPr>
          <t>INCLUYE 72K DE GASTOS ADMON</t>
        </r>
        <r>
          <rPr>
            <sz val="9"/>
            <color indexed="81"/>
            <rFont val="Tahoma"/>
            <family val="2"/>
          </rPr>
          <t xml:space="preserve">
</t>
        </r>
      </text>
    </comment>
    <comment ref="D65" authorId="1" shapeId="0" xr:uid="{00000000-0006-0000-0900-000002000000}">
      <text>
        <r>
          <rPr>
            <b/>
            <sz val="9"/>
            <color indexed="81"/>
            <rFont val="Tahoma"/>
            <family val="2"/>
          </rPr>
          <t>153 familias a razón de $107.50 c/u</t>
        </r>
      </text>
    </comment>
    <comment ref="D80" authorId="2" shapeId="0" xr:uid="{00000000-0006-0000-0900-000003000000}">
      <text>
        <r>
          <rPr>
            <b/>
            <sz val="9"/>
            <color indexed="81"/>
            <rFont val="Tahoma"/>
            <family val="2"/>
          </rPr>
          <t>Incluye gastos de logística (hospedaje, alimentación y movilización de participantes) de taller A GANAR</t>
        </r>
        <r>
          <rPr>
            <sz val="9"/>
            <color indexed="81"/>
            <rFont val="Tahoma"/>
            <family val="2"/>
          </rPr>
          <t xml:space="preserve">
ESTO SE PAGA EN CADA PAIS</t>
        </r>
      </text>
    </comment>
    <comment ref="D134" authorId="1" shapeId="0" xr:uid="{00000000-0006-0000-0900-000004000000}">
      <text>
        <r>
          <rPr>
            <b/>
            <sz val="9"/>
            <color indexed="81"/>
            <rFont val="Tahoma"/>
            <family val="2"/>
          </rPr>
          <t>PAGO EN PANAMA DE GASTOS DE STAFF DE PARTNERS WASHINGTON (ejm movilización, hotel)</t>
        </r>
        <r>
          <rPr>
            <sz val="9"/>
            <color indexed="81"/>
            <rFont val="Tahoma"/>
            <family val="2"/>
          </rPr>
          <t xml:space="preserve">
</t>
        </r>
      </text>
    </comment>
  </commentList>
</comments>
</file>

<file path=xl/sharedStrings.xml><?xml version="1.0" encoding="utf-8"?>
<sst xmlns="http://schemas.openxmlformats.org/spreadsheetml/2006/main" count="1449" uniqueCount="582">
  <si>
    <t>Partners of the Americas - #415 DOL Educafuturo</t>
  </si>
  <si>
    <t>Monthly Cash Disbursements Journal</t>
  </si>
  <si>
    <t>Month ending</t>
  </si>
  <si>
    <t>Country</t>
  </si>
  <si>
    <t>Panama</t>
  </si>
  <si>
    <t>* Choose from drop down list</t>
  </si>
  <si>
    <t>Date</t>
  </si>
  <si>
    <t>Ref or</t>
  </si>
  <si>
    <t>Payee</t>
  </si>
  <si>
    <t xml:space="preserve">*Budget Description </t>
  </si>
  <si>
    <t xml:space="preserve">*Activity </t>
  </si>
  <si>
    <t>Amount</t>
  </si>
  <si>
    <t>*Object</t>
  </si>
  <si>
    <t>Office</t>
  </si>
  <si>
    <t>*Subcontract</t>
  </si>
  <si>
    <t>Session Description</t>
  </si>
  <si>
    <t>CK#</t>
  </si>
  <si>
    <t>Code</t>
  </si>
  <si>
    <t>(USD)</t>
  </si>
  <si>
    <t>ID</t>
  </si>
  <si>
    <t>Select from drop down</t>
  </si>
  <si>
    <t>PN</t>
  </si>
  <si>
    <t xml:space="preserve">1.5 EpC Translation to Indigenous Languages  </t>
  </si>
  <si>
    <t>1.5 Material Design and Printing</t>
  </si>
  <si>
    <t>10.7 Lodging and per diem - Program Management Trip</t>
  </si>
  <si>
    <t xml:space="preserve">10.7 Airfare - Panama-Ecuador - Program Management Trip </t>
  </si>
  <si>
    <t>Total Disbursements</t>
  </si>
  <si>
    <t>BUDGET ITEM/Description</t>
  </si>
  <si>
    <t>Activity Code</t>
  </si>
  <si>
    <t>Object Codes</t>
  </si>
  <si>
    <t>Subcontract ID</t>
  </si>
  <si>
    <t>Panama Personnel</t>
  </si>
  <si>
    <t>Personnel</t>
  </si>
  <si>
    <t>Fe y Alegria</t>
  </si>
  <si>
    <t>Fringe Benefits - Panama (31%)</t>
  </si>
  <si>
    <t>Fringe</t>
  </si>
  <si>
    <t>Equipment</t>
  </si>
  <si>
    <t xml:space="preserve">Equipment </t>
  </si>
  <si>
    <t xml:space="preserve">Audit Costs </t>
  </si>
  <si>
    <t>Audit</t>
  </si>
  <si>
    <t>Bank Fees</t>
  </si>
  <si>
    <t>Bank fees</t>
  </si>
  <si>
    <t>Panama &amp; Ecuador Communications  (includes courier, phones etc.)</t>
  </si>
  <si>
    <t>Communications</t>
  </si>
  <si>
    <t>Equipment Repair (all)</t>
  </si>
  <si>
    <t>Equip. Maint &amp; Repair</t>
  </si>
  <si>
    <t>Insurance</t>
  </si>
  <si>
    <t>Legal Fees</t>
  </si>
  <si>
    <t>Legal</t>
  </si>
  <si>
    <t>Office &amp; Computer Supplies</t>
  </si>
  <si>
    <t>Supplies</t>
  </si>
  <si>
    <t>Rent &amp; Utilities</t>
  </si>
  <si>
    <t>1.4 Lodging &amp; Per Diem Staff</t>
  </si>
  <si>
    <t>D.1.4</t>
  </si>
  <si>
    <t>D.1.5</t>
  </si>
  <si>
    <t>1.7 Fe y Alegria Direct Activities</t>
  </si>
  <si>
    <t>D.1.7</t>
  </si>
  <si>
    <t>2.1 Value Chain Analysis</t>
  </si>
  <si>
    <t>D.2.1</t>
  </si>
  <si>
    <t>2.2 Linking Households to Livelihood Programs</t>
  </si>
  <si>
    <t>D.2.2</t>
  </si>
  <si>
    <t>2.3 Technical Assistance to Develop Links to Business Activities</t>
  </si>
  <si>
    <t>D.2.3</t>
  </si>
  <si>
    <t>3.1 Social Protecion Services in Targeted Communities</t>
  </si>
  <si>
    <t>D.3.1</t>
  </si>
  <si>
    <t>6.1 Local Stakeholders Event</t>
  </si>
  <si>
    <t>D.6.1</t>
  </si>
  <si>
    <t>6.2 Data Collection Training Workshops</t>
  </si>
  <si>
    <t>D.6.2</t>
  </si>
  <si>
    <t>8.1 Community Based Awareness Raising Workshop</t>
  </si>
  <si>
    <t>D.8.1</t>
  </si>
  <si>
    <t>8.2 Community Mobilization</t>
  </si>
  <si>
    <t>D.8.2</t>
  </si>
  <si>
    <t>8.4 Mass Media Campaigns</t>
  </si>
  <si>
    <t>D.8.4</t>
  </si>
  <si>
    <t>8.5 Posters, Bulletins, Awareness Materials</t>
  </si>
  <si>
    <t>D.8.5</t>
  </si>
  <si>
    <t>9.3 Network Building</t>
  </si>
  <si>
    <t>D.9.3</t>
  </si>
  <si>
    <t>D.10.7</t>
  </si>
  <si>
    <t>10.8 Airfare - Field Verification Visits Lodging and per diem - Field Verification Visits</t>
  </si>
  <si>
    <t>D.10.8</t>
  </si>
  <si>
    <t>10.9 Local Transportation Field Verification Visits</t>
  </si>
  <si>
    <t>D.10.9</t>
  </si>
  <si>
    <t>10.12 Mid-term evaluation</t>
  </si>
  <si>
    <t>D.10.12</t>
  </si>
  <si>
    <t>10.13 Final Evaluation</t>
  </si>
  <si>
    <t>D.10.13</t>
  </si>
  <si>
    <t>11.1 Stakeholders Presentation of Program Evaluation</t>
  </si>
  <si>
    <t>D.11.1</t>
  </si>
  <si>
    <t>11.2 Closing Ceremony and Presentation of Program Results</t>
  </si>
  <si>
    <t>D.11.2</t>
  </si>
  <si>
    <t>1.8 Subcontract: ORGANIZATION TO BE DETERMINED</t>
  </si>
  <si>
    <t>D.1.8</t>
  </si>
  <si>
    <t>1.9 Subcontract: ORGANIZATION TO BE DETERMINED</t>
  </si>
  <si>
    <t>D.1.9</t>
  </si>
  <si>
    <t>2.5 Subcontract: ORGANIZATION TO BE DETERMINED</t>
  </si>
  <si>
    <t>D.2.5</t>
  </si>
  <si>
    <t>2.6 Subcontract: ORGANIZATION  TO BE DETERMINED</t>
  </si>
  <si>
    <t>D.2.6</t>
  </si>
  <si>
    <t>4.3 Subcontract: ORGANIZATION TO BE DETERMINED</t>
  </si>
  <si>
    <t>D.4.3</t>
  </si>
  <si>
    <t>8.6 Subcontract: ORGANIZATION TO BE DETERMINED</t>
  </si>
  <si>
    <t>D.8.6</t>
  </si>
  <si>
    <t>8.7 3Subcontract: ORGANIZATION TO BE DETERMINED</t>
  </si>
  <si>
    <t>D.8.7</t>
  </si>
  <si>
    <t>Partners of the Americas</t>
  </si>
  <si>
    <t>Description of Expense</t>
  </si>
  <si>
    <t>Enoc Molina</t>
  </si>
  <si>
    <t>CARGO PARTNERS:  Reconocimiento por Perdidas sufridas en accidente de Nuevo Vigia (24/sept/15)</t>
  </si>
  <si>
    <t>Reporte Financiero - Abril 2016</t>
  </si>
  <si>
    <t>Eugenio Rodriguez</t>
  </si>
  <si>
    <t>Alida Sierra de Victoria</t>
  </si>
  <si>
    <t>Daphnee Ferguson</t>
  </si>
  <si>
    <t>PARTNERS - Donacion de Libros:  Honorarios Logistica Donacion de Libros (pago 1/5)</t>
  </si>
  <si>
    <t>PARTNERS - Donacion de Libros:  Honorarios Logistica Donacion de Libros (pago 2/5)</t>
  </si>
  <si>
    <t>PARTNERS - Donacion de Libros:  Viaticos a Darien</t>
  </si>
  <si>
    <t>PARTNERS - Donacion de Libros:  Viaticos a C.Ngabe y Changuinola</t>
  </si>
  <si>
    <t>PARTNERS - Donacion de Libros: Honorarios Logistica Donacion de Libros (3/5)</t>
  </si>
  <si>
    <t>S/R</t>
  </si>
  <si>
    <t>BAC Panama</t>
  </si>
  <si>
    <t>PARTNERS - Donacion de Libros:  Cargos Bancarios:  Comision por transferencia Internacional</t>
  </si>
  <si>
    <t>PARTNERS - Donacion de Libros: Honorarios Logistica Donacion de Libros (4/5)</t>
  </si>
  <si>
    <t>Ana Lorena Jovane</t>
  </si>
  <si>
    <t>PARTNERS - Donacion de Libros:  Entrega de donacion en comunidades (logistica)</t>
  </si>
  <si>
    <t>PARTNERS - Donacion de Libros: Distribucion / Coordinacion</t>
  </si>
  <si>
    <t>PARTNERS - Donacion de Libros: Distribucion (viaticos)</t>
  </si>
  <si>
    <t>18 abrl 16</t>
  </si>
  <si>
    <t>PARTNERS - Donacion de Libros: Honorarios Logistica Donacion de Libros (5/5)</t>
  </si>
  <si>
    <t>Activity Title</t>
  </si>
  <si>
    <t>G/L Code</t>
  </si>
  <si>
    <t>PERSNL</t>
  </si>
  <si>
    <t>Fringe Benefits</t>
  </si>
  <si>
    <t>FRINGE</t>
  </si>
  <si>
    <t>EQUIP</t>
  </si>
  <si>
    <t>AUDIT</t>
  </si>
  <si>
    <t>BANK FEES</t>
  </si>
  <si>
    <t>COMM</t>
  </si>
  <si>
    <t>Equipment &amp; Maint. Repair</t>
  </si>
  <si>
    <t>EQ.MNT REP</t>
  </si>
  <si>
    <t>INSURANCE</t>
  </si>
  <si>
    <t>LEGAL</t>
  </si>
  <si>
    <t>SUPPLIES</t>
  </si>
  <si>
    <t>RENT &amp; UT</t>
  </si>
  <si>
    <t>EPC Translations to Indigenous Languages &amp; Matl Design Print</t>
  </si>
  <si>
    <t>D.1.5.A</t>
  </si>
  <si>
    <t>Value Chain Analysis</t>
  </si>
  <si>
    <t>Linking Households to Livelihood Programs</t>
  </si>
  <si>
    <t>Tech Assist.to Develop Links to Business Activities</t>
  </si>
  <si>
    <t>Fudela Direct Activities</t>
  </si>
  <si>
    <t>D.4.3.B</t>
  </si>
  <si>
    <t>Local Stakeholders Event</t>
  </si>
  <si>
    <t>Data Collection Training Workshops</t>
  </si>
  <si>
    <t>Adaptive Devices for Children with Disabilities</t>
  </si>
  <si>
    <t>D.7.1</t>
  </si>
  <si>
    <t>Special Transport for Mobiliz. Child/Parents w/Disabilities</t>
  </si>
  <si>
    <t>D.7.2</t>
  </si>
  <si>
    <t>Aganar Program Adaption for Youth with Disabilities</t>
  </si>
  <si>
    <t>D.7.3</t>
  </si>
  <si>
    <t>Community Based Awareness Raising Workshop[</t>
  </si>
  <si>
    <t>Community Mobilization</t>
  </si>
  <si>
    <t>Mass Media Campaigns</t>
  </si>
  <si>
    <t>D.8.3</t>
  </si>
  <si>
    <t>Posters, Bulletins, Awareness Materials</t>
  </si>
  <si>
    <t>Network Building</t>
  </si>
  <si>
    <t>Field Verification Trips- Local Tran-Airfare,Lodging,Perdiem</t>
  </si>
  <si>
    <t>D.10.7.C</t>
  </si>
  <si>
    <t>Data Base Technician Equipment</t>
  </si>
  <si>
    <t>Stakeholders Presentation of Program Evaluation</t>
  </si>
  <si>
    <t>Closing Ceremony &amp; Presentation of Program Results</t>
  </si>
  <si>
    <t>Subcontract: TBD</t>
  </si>
  <si>
    <t>D.7.4.A</t>
  </si>
  <si>
    <t>Local Workshops Venue and Logistics</t>
  </si>
  <si>
    <t>D.1.6</t>
  </si>
  <si>
    <t>Short Term Education Consultant Support</t>
  </si>
  <si>
    <t>Subcontract: COMUNIDEC - Education</t>
  </si>
  <si>
    <t>D.1.8.D</t>
  </si>
  <si>
    <t>Subcontract: FUDELA - Education</t>
  </si>
  <si>
    <t>D.1.8.E</t>
  </si>
  <si>
    <t>Subcontract: Comunidec - Livelihoods</t>
  </si>
  <si>
    <t>D.2.5.D</t>
  </si>
  <si>
    <t>Subcontract: FUDELA - Livelihoods</t>
  </si>
  <si>
    <t>D.2.5.E</t>
  </si>
  <si>
    <t>Subcontract: ExpoFlores - Livelihoods</t>
  </si>
  <si>
    <t>D.2.5.F</t>
  </si>
  <si>
    <t>Sub: Comunidec -Social Protection Svs. in Targeted Communit</t>
  </si>
  <si>
    <t>D.3.2.D</t>
  </si>
  <si>
    <t>Sub: FUDELA -Social Protection Svs. in Targeted Communi</t>
  </si>
  <si>
    <t>D.3.2.E</t>
  </si>
  <si>
    <t>Sub: ExpoFlores -Social Protection Svs. in Targeted Communi</t>
  </si>
  <si>
    <t>D.3.2.F</t>
  </si>
  <si>
    <t>Aganar Quality Control</t>
  </si>
  <si>
    <t>D.4.1</t>
  </si>
  <si>
    <t>Subcontract: Comunidec - Child Labor and Disability</t>
  </si>
  <si>
    <t>D.7.4.B</t>
  </si>
  <si>
    <t>Subcontract: FUDELA  - Child Labor and Disability</t>
  </si>
  <si>
    <t>D.7.4.C</t>
  </si>
  <si>
    <t>Subconrtract: ExpoFlores  - Child Labor and Disability</t>
  </si>
  <si>
    <t>D.7.4.D</t>
  </si>
  <si>
    <t>DevTech Baseline Survey</t>
  </si>
  <si>
    <t>D.10.2</t>
  </si>
  <si>
    <t>DevTech Follow-up Survey</t>
  </si>
  <si>
    <t>D.10.3</t>
  </si>
  <si>
    <t>CMEP Workshops</t>
  </si>
  <si>
    <t>D.10.6</t>
  </si>
  <si>
    <t>Final Evaluation</t>
  </si>
  <si>
    <t>D.10.10</t>
  </si>
  <si>
    <t>HQ Mgmt travel</t>
  </si>
  <si>
    <t>D.10.7.D</t>
  </si>
  <si>
    <t>7510/7520</t>
  </si>
  <si>
    <t>Mid-term Evaluation</t>
  </si>
  <si>
    <t>Subcontract: ExpoFlores - Education</t>
  </si>
  <si>
    <t>D.1.8.F</t>
  </si>
  <si>
    <t>Subcontract: Comunidec - Zonal Coordinators</t>
  </si>
  <si>
    <t>D.10.11.D</t>
  </si>
  <si>
    <t>Subcontract: FUDELA - Zonal Coordinators</t>
  </si>
  <si>
    <t>D.10.11.E</t>
  </si>
  <si>
    <t>Subcontract: ExpoFlores - Zonal Coordinators</t>
  </si>
  <si>
    <t>D.10.11.F</t>
  </si>
  <si>
    <t>Social Protection Svs. In Targated Communities</t>
  </si>
  <si>
    <t>WASHINGTON</t>
  </si>
  <si>
    <t>Entrena Quantum Learning Teachers</t>
  </si>
  <si>
    <t>D.1.1</t>
  </si>
  <si>
    <t>Entrena Epc Facilitators Training</t>
  </si>
  <si>
    <t>D.1.2</t>
  </si>
  <si>
    <t>EpC Adaptation &amp; Implementation</t>
  </si>
  <si>
    <t>D.1.3</t>
  </si>
  <si>
    <t>Entrena EPC Material Adaptation</t>
  </si>
  <si>
    <t>Task Mapping Risk Assessment</t>
  </si>
  <si>
    <t>D.5.1</t>
  </si>
  <si>
    <t>CSR Technical Review</t>
  </si>
  <si>
    <t>D.5.2</t>
  </si>
  <si>
    <t>DevTech: M&amp;E Specialist</t>
  </si>
  <si>
    <t>D.10.1</t>
  </si>
  <si>
    <t>Indirect Costs</t>
  </si>
  <si>
    <t>IDC</t>
  </si>
  <si>
    <t>Airfare D. Mull</t>
  </si>
  <si>
    <t>D.5.3</t>
  </si>
  <si>
    <t>Per Diem D. Mull</t>
  </si>
  <si>
    <t>D.5.4</t>
  </si>
  <si>
    <t>Contingency</t>
  </si>
  <si>
    <t>CONTING</t>
  </si>
  <si>
    <t>III Global Conference on  Child Labor Brazil 2013</t>
  </si>
  <si>
    <t>D.9.1</t>
  </si>
  <si>
    <t>Targeted Learning Exchanges</t>
  </si>
  <si>
    <t>D.9.2</t>
  </si>
  <si>
    <t>Dev Tech Research Survey, Analysis &amp; Report</t>
  </si>
  <si>
    <t>D.10.5</t>
  </si>
  <si>
    <t>Establish M&amp;E System- Airfare &amp; Lodging and Per diem</t>
  </si>
  <si>
    <t>D.10.7.A</t>
  </si>
  <si>
    <t>Program Mgmt.- Airfare &amp; Lodging and Per diem</t>
  </si>
  <si>
    <t>D.10.7.B</t>
  </si>
  <si>
    <t>Annual Visits DOL</t>
  </si>
  <si>
    <t>Housing Allowance</t>
  </si>
  <si>
    <t>HOUSE. ALL</t>
  </si>
  <si>
    <t>Entrena Train Trainers for Quantum Learning</t>
  </si>
  <si>
    <t>D.1.5.B</t>
  </si>
  <si>
    <t>Software for Data Collection &amp; Mgmt</t>
  </si>
  <si>
    <t>D.10.4</t>
  </si>
  <si>
    <t>PANAMA</t>
  </si>
  <si>
    <t>Fey y Alegria Direct Activities</t>
  </si>
  <si>
    <t>D.1.8.A</t>
  </si>
  <si>
    <t>Subcontract: APRODISO - Education</t>
  </si>
  <si>
    <t>D.1.8.B</t>
  </si>
  <si>
    <t>Subcontract: APROTENGB - Education</t>
  </si>
  <si>
    <t>D.1.8.C</t>
  </si>
  <si>
    <t>Subcontract:  Fe y Alegria - Zonal Coordinators</t>
  </si>
  <si>
    <t>D.10.11.A</t>
  </si>
  <si>
    <t>Subcontract:  APRODISO - Zonal Coordinators</t>
  </si>
  <si>
    <t>D.10.11.B</t>
  </si>
  <si>
    <t>Subcontract:  APROTENGB - Zonal Coordinators</t>
  </si>
  <si>
    <t>D.10.11.C</t>
  </si>
  <si>
    <t>7010/7015</t>
  </si>
  <si>
    <r>
      <t>Field Verification Trip</t>
    </r>
    <r>
      <rPr>
        <b/>
        <sz val="9"/>
        <color rgb="FF000000"/>
        <rFont val="Arial"/>
        <family val="2"/>
      </rPr>
      <t xml:space="preserve">  </t>
    </r>
    <r>
      <rPr>
        <b/>
        <sz val="9"/>
        <color rgb="FF0070C0"/>
        <rFont val="Arial"/>
        <family val="2"/>
      </rPr>
      <t>Airfare &amp; Lodging and per diem</t>
    </r>
    <r>
      <rPr>
        <sz val="9"/>
        <color rgb="FF000000"/>
        <rFont val="Arial"/>
        <family val="2"/>
      </rPr>
      <t xml:space="preserve"> - Field Verification Visits</t>
    </r>
  </si>
  <si>
    <r>
      <t xml:space="preserve">Field Verification Trips- </t>
    </r>
    <r>
      <rPr>
        <b/>
        <sz val="9"/>
        <color rgb="FFFF0000"/>
        <rFont val="Arial"/>
        <family val="2"/>
      </rPr>
      <t>Local Transportation-</t>
    </r>
    <r>
      <rPr>
        <sz val="9"/>
        <color rgb="FF000000"/>
        <rFont val="Arial"/>
        <family val="2"/>
      </rPr>
      <t>Airfare,Lodging,Perdiem</t>
    </r>
  </si>
  <si>
    <t>Subcontract: Fe y Alegria</t>
  </si>
  <si>
    <t>D.2.5.A</t>
  </si>
  <si>
    <t>Subcontract: APRODISO - Livelihoods</t>
  </si>
  <si>
    <t>D.2.5.B</t>
  </si>
  <si>
    <t>Subcontract: APROTENGB - Livelihoods</t>
  </si>
  <si>
    <t>D.2.5.C</t>
  </si>
  <si>
    <t>Subcontract:  Fe y Alegria - Social Protection</t>
  </si>
  <si>
    <t>D.3.2.A</t>
  </si>
  <si>
    <t>Subcontract:  APRODISO - Social Protection</t>
  </si>
  <si>
    <t>D.3.2.B</t>
  </si>
  <si>
    <t>Subcontract:  APROTENGB - Social Protection</t>
  </si>
  <si>
    <t>D.3.2.C</t>
  </si>
  <si>
    <t>Subcontractor:  CoSPAE</t>
  </si>
  <si>
    <t>D.4.3.A</t>
  </si>
  <si>
    <t>*Subcontractor TBD</t>
  </si>
  <si>
    <t>D.8.5.A</t>
  </si>
  <si>
    <t>EducaFuturo Darien</t>
  </si>
  <si>
    <t>D.1.8.G</t>
  </si>
  <si>
    <t>????</t>
  </si>
  <si>
    <t>Research Survey, Analysis and Report</t>
  </si>
  <si>
    <r>
      <t>Field Verification Trip</t>
    </r>
    <r>
      <rPr>
        <b/>
        <sz val="9"/>
        <color rgb="FF000000"/>
        <rFont val="Arial"/>
        <family val="2"/>
      </rPr>
      <t xml:space="preserve">  </t>
    </r>
    <r>
      <rPr>
        <b/>
        <sz val="9"/>
        <color rgb="FF0070C0"/>
        <rFont val="Arial"/>
        <family val="2"/>
      </rPr>
      <t>Airfare, Local Transp &amp; Lodging and per diem</t>
    </r>
    <r>
      <rPr>
        <sz val="9"/>
        <color rgb="FF000000"/>
        <rFont val="Arial"/>
        <family val="2"/>
      </rPr>
      <t xml:space="preserve"> - Field Verification Visits</t>
    </r>
  </si>
  <si>
    <t>EducaFuturo Darien - Livelihoods</t>
  </si>
  <si>
    <t>D.2.5.G</t>
  </si>
  <si>
    <t>EducaFuturo Darien - Social Protection</t>
  </si>
  <si>
    <t>D.3.2.G</t>
  </si>
  <si>
    <t>EducaFuturo A Ganar Panama</t>
  </si>
  <si>
    <t>D.4.3.C</t>
  </si>
  <si>
    <t>Subcontract: Aprotengb - A Ganar</t>
  </si>
  <si>
    <t>D.4.3.F</t>
  </si>
  <si>
    <t>Subcontract: Fe y Alegria - A Ganar</t>
  </si>
  <si>
    <t>D.4.3.G</t>
  </si>
  <si>
    <t>código 7010:  unicamente para tiquetes aereos</t>
  </si>
  <si>
    <t>7015 is Travel Related Expenses (Non-Staff)</t>
  </si>
  <si>
    <t>7510- Staff Travel Airfare (POA Staff Only)</t>
  </si>
  <si>
    <t>carmen</t>
  </si>
  <si>
    <t>7520- Staff Travel Related Expenses</t>
  </si>
  <si>
    <t>7010 - Travel Airfare (Non-Staff)</t>
  </si>
  <si>
    <t>Hi Carmen,</t>
  </si>
  <si>
    <t>Please see updated coding below. These object codes should be used going forward, since they are new activities with no expenditures.</t>
  </si>
  <si>
    <t>Thanks,</t>
  </si>
  <si>
    <t xml:space="preserve">Danielle </t>
  </si>
  <si>
    <t>Códigos que no son del Proyecto, ejemplo:  Donación de Libros</t>
  </si>
  <si>
    <t>95UN 8402</t>
  </si>
  <si>
    <t xml:space="preserve">DOL423 - Mexico </t>
  </si>
  <si>
    <t>Bank Reconciliation</t>
  </si>
  <si>
    <t>Bank Account: 22-00079459-3 Banco Santander</t>
  </si>
  <si>
    <t xml:space="preserve">Month and Year: </t>
  </si>
  <si>
    <t>Exchange Rate for the Month MXN to USD</t>
  </si>
  <si>
    <t>According to the Bank</t>
  </si>
  <si>
    <t xml:space="preserve">Balance as end of: </t>
  </si>
  <si>
    <t>Plus:</t>
  </si>
  <si>
    <t>Deposits in Transit</t>
  </si>
  <si>
    <t>Less:</t>
  </si>
  <si>
    <t>Check in Transit</t>
  </si>
  <si>
    <t>Number of Check</t>
  </si>
  <si>
    <t>Details of Expense</t>
  </si>
  <si>
    <t xml:space="preserve">Amount </t>
  </si>
  <si>
    <t>Balance According to the Bank:</t>
  </si>
  <si>
    <t>Exchange Rate Applied MXN to USD</t>
  </si>
  <si>
    <t>USD Balance According to the Bank end of:</t>
  </si>
  <si>
    <t>According to the Books</t>
  </si>
  <si>
    <t xml:space="preserve">Balance as Beginning of: </t>
  </si>
  <si>
    <t>Deposits for the Month</t>
  </si>
  <si>
    <t>Check Written in Current Month</t>
  </si>
  <si>
    <t>MXN Balance According to the Books end of:</t>
  </si>
  <si>
    <t>USD Balance According to the Books end of:</t>
  </si>
  <si>
    <t>Difference of Bank and Book Balance as end of:</t>
  </si>
  <si>
    <r>
      <rPr>
        <sz val="12"/>
        <color rgb="FF000000"/>
        <rFont val="Times New Roman"/>
      </rPr>
      <t xml:space="preserve">By signing this report, I certify that the expenses contained in the present report for month of </t>
    </r>
    <r>
      <rPr>
        <b/>
        <sz val="12"/>
        <color rgb="FF000000"/>
        <rFont val="Times New Roman"/>
      </rPr>
      <t>July 2023</t>
    </r>
    <r>
      <rPr>
        <sz val="12"/>
        <color rgb="FF000000"/>
        <rFont val="Times New Roman"/>
      </rPr>
      <t xml:space="preserve"> equivalent to US dollars </t>
    </r>
    <r>
      <rPr>
        <b/>
        <sz val="12"/>
        <color rgb="FF000000"/>
        <rFont val="Times New Roman"/>
      </rPr>
      <t>$13,309.59</t>
    </r>
    <r>
      <rPr>
        <sz val="12"/>
        <color rgb="FF000000"/>
        <rFont val="Times New Roman"/>
      </rPr>
      <t xml:space="preserve"> were incurred by the entity, and are related to activities carried out by the project. I certify to the best of my knowledge and belief that the report is true, complete, and accurate, and that the expenditures and disbursements are for the purposes and objectives set forth in the terms and conditions of the Department of Labor (DOL) Award. I am aware that any false, fictitious, or fraudulent information, or the omission of any material fact, may subject me to criminal, civil or administrative penalties for fraud, false statements, false claims or otherwise. I understand that if the expenses contained herein are questioned or not approved by Partners CFO or by DOL, I will provide full cooperation to all the involved parties to complete such review, audit or investigation.</t>
    </r>
  </si>
  <si>
    <t>Completar con el total de expensas del mes</t>
  </si>
  <si>
    <t xml:space="preserve">Prepared By: </t>
  </si>
  <si>
    <t>Finance-Administrative Director</t>
  </si>
  <si>
    <t>Approved By:</t>
  </si>
  <si>
    <t>Project Director</t>
  </si>
  <si>
    <t>Financial Summary</t>
  </si>
  <si>
    <r>
      <t xml:space="preserve">TOTAL BUDGET PANAMA - </t>
    </r>
    <r>
      <rPr>
        <b/>
        <sz val="10"/>
        <color rgb="FFFF0000"/>
        <rFont val="Times New Roman"/>
        <family val="1"/>
      </rPr>
      <t>JULIO 2016</t>
    </r>
  </si>
  <si>
    <t>Budget Yr 1</t>
  </si>
  <si>
    <t>First Quarter Expenditures</t>
  </si>
  <si>
    <t>Second Quarter Expenditures</t>
  </si>
  <si>
    <t>Third Quarter Expenditures</t>
  </si>
  <si>
    <t>Fourth Quarter Expenditures</t>
  </si>
  <si>
    <t>TOTAL</t>
  </si>
  <si>
    <t>Budget  Yr1</t>
  </si>
  <si>
    <t>Budget Yr 2</t>
  </si>
  <si>
    <t>Budget  Yr2</t>
  </si>
  <si>
    <t>Budget Yr 3</t>
  </si>
  <si>
    <t>Budget  Yr3</t>
  </si>
  <si>
    <t>Budget Yr 4</t>
  </si>
  <si>
    <t xml:space="preserve">Remaining </t>
  </si>
  <si>
    <t>Budget Description</t>
  </si>
  <si>
    <t>EXPENDITURES 2013</t>
  </si>
  <si>
    <t>% Implemetation</t>
  </si>
  <si>
    <t>EXPENDITURES 2014</t>
  </si>
  <si>
    <t>EXPENDITURES 2015</t>
  </si>
  <si>
    <t>EXPENDITURES 2016</t>
  </si>
  <si>
    <t xml:space="preserve">Fringe Benefits </t>
  </si>
  <si>
    <t>Communications (courier, phones etc.)</t>
  </si>
  <si>
    <t>Equpment (all) maintenance &amp; Repairs</t>
  </si>
  <si>
    <t>Output 1: Education</t>
  </si>
  <si>
    <t>Translation to Indigenous Languages</t>
  </si>
  <si>
    <t>Materials, Design &amp; Printing</t>
  </si>
  <si>
    <t>1.6 Local Workshops venue and logistics</t>
  </si>
  <si>
    <t>1.7 Short Term Education Consultant Support</t>
  </si>
  <si>
    <t>Implementation of EpC Activities:</t>
  </si>
  <si>
    <t>Fey Alegria Direct Activities</t>
  </si>
  <si>
    <t>Subcontract: APRODISO (Darién y Comarca Emberá)</t>
  </si>
  <si>
    <t>Subcontract: APROTENG (Bocas del Toro)</t>
  </si>
  <si>
    <t>EducaFuturo - Darién y Comarca Emberá</t>
  </si>
  <si>
    <t>Output 2: Livelihoods</t>
  </si>
  <si>
    <t>Literacy fund</t>
  </si>
  <si>
    <t>Subcontract: Fe y Alegría (Comarca Ngäbe y Colón)</t>
  </si>
  <si>
    <r>
      <rPr>
        <b/>
        <sz val="8"/>
        <color rgb="FFFF0000"/>
        <rFont val="Arial"/>
        <family val="2"/>
      </rPr>
      <t>D.2.5.G</t>
    </r>
    <r>
      <rPr>
        <sz val="8"/>
        <color rgb="FFFF0000"/>
        <rFont val="Arial"/>
        <family val="2"/>
      </rPr>
      <t xml:space="preserve">  EducaFuturo Darién &amp; Comarca Emberá</t>
    </r>
  </si>
  <si>
    <t>Output 3: Social Protection</t>
  </si>
  <si>
    <t xml:space="preserve"> Social Protecion Services in Targeted Communities</t>
  </si>
  <si>
    <r>
      <rPr>
        <b/>
        <sz val="8"/>
        <color rgb="FFFF0000"/>
        <rFont val="Arial"/>
        <family val="2"/>
      </rPr>
      <t>D.3.2.G</t>
    </r>
    <r>
      <rPr>
        <sz val="8"/>
        <color rgb="FFFF0000"/>
        <rFont val="Arial"/>
        <family val="2"/>
      </rPr>
      <t xml:space="preserve">  EducaFuturo Darién &amp; Comarca Emberá</t>
    </r>
  </si>
  <si>
    <t>Output 4: Youth Employment</t>
  </si>
  <si>
    <r>
      <rPr>
        <b/>
        <sz val="8"/>
        <rFont val="Arial"/>
        <family val="2"/>
      </rPr>
      <t>D.4.1</t>
    </r>
    <r>
      <rPr>
        <sz val="8"/>
        <rFont val="Arial"/>
        <family val="2"/>
      </rPr>
      <t xml:space="preserve">  A Ganar Quality Control</t>
    </r>
  </si>
  <si>
    <r>
      <rPr>
        <b/>
        <sz val="8"/>
        <rFont val="Arial"/>
        <family val="2"/>
      </rPr>
      <t>D.4.3.A</t>
    </r>
    <r>
      <rPr>
        <sz val="8"/>
        <rFont val="Arial"/>
        <family val="2"/>
      </rPr>
      <t xml:space="preserve">  Subcontract: Cospae</t>
    </r>
  </si>
  <si>
    <t>4.3F Subcontract: Aprotengb</t>
  </si>
  <si>
    <t>4.3G Subcontract: Fe y Alegria</t>
  </si>
  <si>
    <r>
      <rPr>
        <b/>
        <sz val="8"/>
        <color rgb="FFFF0000"/>
        <rFont val="Arial"/>
        <family val="2"/>
      </rPr>
      <t>D.4.3.C</t>
    </r>
    <r>
      <rPr>
        <sz val="8"/>
        <color rgb="FFFF0000"/>
        <rFont val="Arial"/>
        <family val="2"/>
      </rPr>
      <t xml:space="preserve">  EducaFuturo A Ganar</t>
    </r>
  </si>
  <si>
    <t>Output 5: Public-Private Partnerships</t>
  </si>
  <si>
    <t>5.1 Task Mapping Risk Assessment</t>
  </si>
  <si>
    <t>5.2 CSR Technical Review</t>
  </si>
  <si>
    <t>Output 6: Strengthening Nexus between Education and Labor Policies</t>
  </si>
  <si>
    <t xml:space="preserve"> Local Stakeholders Event</t>
  </si>
  <si>
    <t xml:space="preserve"> Data Collection Training Workshops</t>
  </si>
  <si>
    <t>Output 8: Raising Awareness</t>
  </si>
  <si>
    <t xml:space="preserve"> Community Based Awareness Raising Workshop</t>
  </si>
  <si>
    <t xml:space="preserve"> Community Mobilization</t>
  </si>
  <si>
    <t xml:space="preserve"> Mass Media Campaigns</t>
  </si>
  <si>
    <t xml:space="preserve"> Posters, Bulletins, Awareness Materials</t>
  </si>
  <si>
    <t>Subcontract: Fundacion Tierra Nueva</t>
  </si>
  <si>
    <t>Output 9: Sharing Lessons Between and Among Countries</t>
  </si>
  <si>
    <t>III Global Conference on Child Labor Brazil 2013 - Lodging and Per Diem</t>
  </si>
  <si>
    <t xml:space="preserve"> 9.2 Targeted Learning Exchanges (Lodging and Per Diem)</t>
  </si>
  <si>
    <t>Output 10: Monitoring and Evaluation</t>
  </si>
  <si>
    <r>
      <rPr>
        <b/>
        <sz val="8"/>
        <rFont val="Arial"/>
        <family val="2"/>
      </rPr>
      <t>D.10.2</t>
    </r>
    <r>
      <rPr>
        <sz val="8"/>
        <rFont val="Arial"/>
        <family val="2"/>
      </rPr>
      <t xml:space="preserve"> Baseline Survey</t>
    </r>
  </si>
  <si>
    <r>
      <rPr>
        <b/>
        <sz val="8"/>
        <rFont val="Arial"/>
        <family val="2"/>
      </rPr>
      <t xml:space="preserve">D.10.3 </t>
    </r>
    <r>
      <rPr>
        <sz val="8"/>
        <rFont val="Arial"/>
        <family val="2"/>
      </rPr>
      <t>Follow-Up Survey</t>
    </r>
  </si>
  <si>
    <t>10.5 Research Survey, Analysis and Report</t>
  </si>
  <si>
    <r>
      <rPr>
        <b/>
        <sz val="8"/>
        <rFont val="Arial"/>
        <family val="2"/>
      </rPr>
      <t xml:space="preserve">D.10.6 </t>
    </r>
    <r>
      <rPr>
        <sz val="8"/>
        <rFont val="Arial"/>
        <family val="2"/>
      </rPr>
      <t xml:space="preserve"> Workshop USDOL - CMEP</t>
    </r>
  </si>
  <si>
    <r>
      <rPr>
        <b/>
        <sz val="8"/>
        <rFont val="Arial"/>
        <family val="2"/>
      </rPr>
      <t>D.10.7.A</t>
    </r>
    <r>
      <rPr>
        <sz val="8"/>
        <rFont val="Arial"/>
        <family val="2"/>
      </rPr>
      <t xml:space="preserve">  Airfare - DC-Panama-Ecuador - Establish M&amp;E System</t>
    </r>
  </si>
  <si>
    <r>
      <rPr>
        <b/>
        <sz val="8"/>
        <rFont val="Arial"/>
        <family val="2"/>
      </rPr>
      <t xml:space="preserve">D.10.7.B. </t>
    </r>
    <r>
      <rPr>
        <sz val="8"/>
        <rFont val="Arial"/>
        <family val="2"/>
      </rPr>
      <t xml:space="preserve"> Lodging and per diem - Program Management Trip</t>
    </r>
  </si>
  <si>
    <r>
      <rPr>
        <b/>
        <sz val="8"/>
        <rFont val="Arial"/>
        <family val="2"/>
      </rPr>
      <t>D.10.7.C.</t>
    </r>
    <r>
      <rPr>
        <sz val="8"/>
        <rFont val="Arial"/>
        <family val="2"/>
      </rPr>
      <t xml:space="preserve">  Airfare - Field Verification Visits</t>
    </r>
  </si>
  <si>
    <r>
      <rPr>
        <b/>
        <sz val="8"/>
        <rFont val="Arial"/>
        <family val="2"/>
      </rPr>
      <t>D.10.7.C.</t>
    </r>
    <r>
      <rPr>
        <sz val="8"/>
        <rFont val="Arial"/>
        <family val="2"/>
      </rPr>
      <t xml:space="preserve">  Lodging and per diem - Field Verification Visits</t>
    </r>
  </si>
  <si>
    <r>
      <rPr>
        <b/>
        <sz val="8"/>
        <rFont val="Arial"/>
        <family val="2"/>
      </rPr>
      <t xml:space="preserve">D.10.7.C.  </t>
    </r>
    <r>
      <rPr>
        <sz val="8"/>
        <rFont val="Arial"/>
        <family val="2"/>
      </rPr>
      <t>Local Transportation Field Verification Visits</t>
    </r>
  </si>
  <si>
    <r>
      <rPr>
        <b/>
        <sz val="8"/>
        <rFont val="Arial"/>
        <family val="2"/>
      </rPr>
      <t xml:space="preserve">D.10.7.D.  </t>
    </r>
    <r>
      <rPr>
        <sz val="8"/>
        <rFont val="Arial"/>
        <family val="2"/>
      </rPr>
      <t>Lodging and per diem - HQ Partners Management Travel</t>
    </r>
  </si>
  <si>
    <r>
      <rPr>
        <b/>
        <sz val="8"/>
        <rFont val="Arial"/>
        <family val="2"/>
      </rPr>
      <t>D.10.8.</t>
    </r>
    <r>
      <rPr>
        <sz val="8"/>
        <rFont val="Arial"/>
        <family val="2"/>
      </rPr>
      <t xml:space="preserve">  Lodging and Per diem Annual Visits to USDOL</t>
    </r>
  </si>
  <si>
    <r>
      <rPr>
        <b/>
        <sz val="8"/>
        <rFont val="Arial"/>
        <family val="2"/>
      </rPr>
      <t xml:space="preserve">D.10.9 </t>
    </r>
    <r>
      <rPr>
        <sz val="8"/>
        <rFont val="Arial"/>
        <family val="2"/>
      </rPr>
      <t xml:space="preserve"> Mid-term evaluation</t>
    </r>
  </si>
  <si>
    <r>
      <rPr>
        <b/>
        <sz val="8"/>
        <rFont val="Arial"/>
        <family val="2"/>
      </rPr>
      <t xml:space="preserve">D.10.10 </t>
    </r>
    <r>
      <rPr>
        <sz val="8"/>
        <rFont val="Arial"/>
        <family val="2"/>
      </rPr>
      <t>Final Evaluation</t>
    </r>
  </si>
  <si>
    <t>Personnel:  Zonal Coordinators &amp; Local Transportation</t>
  </si>
  <si>
    <r>
      <rPr>
        <b/>
        <sz val="8"/>
        <rFont val="Arial"/>
        <family val="2"/>
      </rPr>
      <t xml:space="preserve">D.10.11.A  </t>
    </r>
    <r>
      <rPr>
        <sz val="8"/>
        <rFont val="Arial"/>
        <family val="2"/>
      </rPr>
      <t>Subcontract: Fe y Alegría</t>
    </r>
  </si>
  <si>
    <r>
      <rPr>
        <b/>
        <sz val="8"/>
        <rFont val="Arial"/>
        <family val="2"/>
      </rPr>
      <t xml:space="preserve">D.10.11.B  </t>
    </r>
    <r>
      <rPr>
        <sz val="8"/>
        <rFont val="Arial"/>
        <family val="2"/>
      </rPr>
      <t>Subcontract: APRODISO</t>
    </r>
  </si>
  <si>
    <r>
      <rPr>
        <b/>
        <sz val="8"/>
        <rFont val="Arial"/>
        <family val="2"/>
      </rPr>
      <t xml:space="preserve">D.10.11.C  </t>
    </r>
    <r>
      <rPr>
        <sz val="8"/>
        <rFont val="Arial"/>
        <family val="2"/>
      </rPr>
      <t>Subcontract: APROTENG</t>
    </r>
  </si>
  <si>
    <r>
      <rPr>
        <b/>
        <sz val="8"/>
        <rFont val="Arial"/>
        <family val="2"/>
      </rPr>
      <t xml:space="preserve">D.10.12   </t>
    </r>
    <r>
      <rPr>
        <sz val="8"/>
        <rFont val="Arial"/>
        <family val="2"/>
      </rPr>
      <t>Data Base Technician Equipment</t>
    </r>
  </si>
  <si>
    <t>Output 11: Transparency and Accountability</t>
  </si>
  <si>
    <t>TOTAL PANAMÁ =&gt;</t>
  </si>
  <si>
    <t>Según reporte =&gt;</t>
  </si>
  <si>
    <t>PARA USO INTERNO</t>
  </si>
  <si>
    <t>PRESUPUESTO EDUCAFUTURO - APROBADO EN DICIEMBRE 2015</t>
  </si>
  <si>
    <t>BUDGET ITEM</t>
  </si>
  <si>
    <t>AÑO 2013</t>
  </si>
  <si>
    <t>AÑO 2014</t>
  </si>
  <si>
    <t>AÑO 2015</t>
  </si>
  <si>
    <t>AÑO 2016</t>
  </si>
  <si>
    <t>Sub-Total Direct Labor</t>
  </si>
  <si>
    <r>
      <t>Fringe Benefits - Ecuador</t>
    </r>
    <r>
      <rPr>
        <b/>
        <sz val="10"/>
        <color indexed="14"/>
        <rFont val="Arial"/>
        <family val="2"/>
      </rPr>
      <t xml:space="preserve"> </t>
    </r>
  </si>
  <si>
    <r>
      <t>Fringe Benefits - Panama</t>
    </r>
    <r>
      <rPr>
        <b/>
        <sz val="10"/>
        <color indexed="14"/>
        <rFont val="Arial"/>
        <family val="2"/>
      </rPr>
      <t xml:space="preserve"> </t>
    </r>
  </si>
  <si>
    <t>Fringe Benefits - Home Office (32.40%)</t>
  </si>
  <si>
    <t>Total Direct Labor</t>
  </si>
  <si>
    <t>Living Expenses - Education Specialist</t>
  </si>
  <si>
    <t>Total Housing</t>
  </si>
  <si>
    <t>Total Equipment</t>
  </si>
  <si>
    <t>Office Expenses</t>
  </si>
  <si>
    <t>Courier fees/services</t>
  </si>
  <si>
    <t>Email/Internet</t>
  </si>
  <si>
    <t>Telephone (cellular and land line)</t>
  </si>
  <si>
    <t>Computer Supplies</t>
  </si>
  <si>
    <t>Office Supplies</t>
  </si>
  <si>
    <t>Office rent (Ecuador @ 25%)</t>
  </si>
  <si>
    <t>Office rent (Panama @ 100%)</t>
  </si>
  <si>
    <t xml:space="preserve">Office Utilities </t>
  </si>
  <si>
    <t>Vehicle Maintenance/repairs/spare parts/gasoline</t>
  </si>
  <si>
    <t>Banking and Cash Handling Fees</t>
  </si>
  <si>
    <t>Equipment and Office Repairs and Maintenance</t>
  </si>
  <si>
    <t>Audit Costs (A-133)</t>
  </si>
  <si>
    <t>Property and Liability Insurance</t>
  </si>
  <si>
    <t>Total Office Expenses</t>
  </si>
  <si>
    <t>1.1 Entrena: Quantum Learning for Teachers</t>
  </si>
  <si>
    <t>Airfare DR-Panama-Ecuador</t>
  </si>
  <si>
    <t>Lodging and per diem Trainer</t>
  </si>
  <si>
    <t>1.2 Entrena: EpC Facilitators Training</t>
  </si>
  <si>
    <t>1.3 EpC Adaptation and Implementation - J.Helwig</t>
  </si>
  <si>
    <t>Airfare CR-Panama-Ecuador</t>
  </si>
  <si>
    <t>Lodging and per diem J. Helwig</t>
  </si>
  <si>
    <t>1.4 Entrena: EpC Material Adaptation</t>
  </si>
  <si>
    <t>Lodging and per diem Staff</t>
  </si>
  <si>
    <t>EpC Translation to Indigenous Languages</t>
  </si>
  <si>
    <t>Material Design and Printing</t>
  </si>
  <si>
    <t>1.5 Entrena: Trainer of Trainers for Quantum Learning and EpC</t>
  </si>
  <si>
    <t>Fe y Alegria Direct Activities</t>
  </si>
  <si>
    <t>Subcontract: APRODISO</t>
  </si>
  <si>
    <t>Subcontract: APROTENGB</t>
  </si>
  <si>
    <t>Subcontract: Comunidec</t>
  </si>
  <si>
    <t>Subcontract: Fudela</t>
  </si>
  <si>
    <t>Subcontract: Expoflores</t>
  </si>
  <si>
    <t>EducaFuturo Darién</t>
  </si>
  <si>
    <t>Subcontract: J.Perez</t>
  </si>
  <si>
    <t>Subcontract: Aurora</t>
  </si>
  <si>
    <t>Subcontract: Mercado</t>
  </si>
  <si>
    <t>Subcontract: Juconi</t>
  </si>
  <si>
    <t>Subcontract: CPR</t>
  </si>
  <si>
    <t>Subcontract: Telefonica</t>
  </si>
  <si>
    <t>Total Output 1</t>
  </si>
  <si>
    <t>2.5 Literacy Fund</t>
  </si>
  <si>
    <t>Subcontracts:</t>
  </si>
  <si>
    <t>Subcontract: Casa Esperanza</t>
  </si>
  <si>
    <t>Subcontract: FE Y ALEGRÍA</t>
  </si>
  <si>
    <t>Total Output 2</t>
  </si>
  <si>
    <t>Total Output 3</t>
  </si>
  <si>
    <t>4.1 A Ganar Quality Control</t>
  </si>
  <si>
    <t>4.2 A Ganar Training</t>
  </si>
  <si>
    <t>Subcontract: Cospae</t>
  </si>
  <si>
    <t>EducaFuturo A Ganar Panamá</t>
  </si>
  <si>
    <t>Total Output 4</t>
  </si>
  <si>
    <t>Travel and Per Diem</t>
  </si>
  <si>
    <t>Airfare DC-Panama-Ecuador - D.Mull</t>
  </si>
  <si>
    <t>Per Diem - D. Mull</t>
  </si>
  <si>
    <t>Total Output 5</t>
  </si>
  <si>
    <t>Total Output 6</t>
  </si>
  <si>
    <t>Output 7: Child Labor and Disability</t>
  </si>
  <si>
    <t>7.1 Adaptive Devices for Children with Disabilities</t>
  </si>
  <si>
    <t>7.2 Special Transportation for Mobilizing Children/Parents with Disabilities</t>
  </si>
  <si>
    <t>7.3 A Ganar Program Adaptation for Youth with Disabilities</t>
  </si>
  <si>
    <t>Subcontract: Campopiano</t>
  </si>
  <si>
    <t>Total Output 7</t>
  </si>
  <si>
    <t>Subcontract: Stratego</t>
  </si>
  <si>
    <t>Total Output 8</t>
  </si>
  <si>
    <t>9.1 III Global Conference on Child Labor Brazil 2013</t>
  </si>
  <si>
    <t>Lodging and Per Diem</t>
  </si>
  <si>
    <t>9.2 Targeted Learning Exchanges</t>
  </si>
  <si>
    <t>Total Output 9</t>
  </si>
  <si>
    <t>10.1 DevTech:  M&amp;E Specialist Support</t>
  </si>
  <si>
    <t>10.2 Baseline Survey</t>
  </si>
  <si>
    <t>10.3 Follow-Up Survey</t>
  </si>
  <si>
    <t>10.4 DevTech: Database to Track Direct Beneficiaries</t>
  </si>
  <si>
    <t>10.4  Software for Data Collection and Management</t>
  </si>
  <si>
    <t>10.6 Workshop USDOL - CMEP</t>
  </si>
  <si>
    <t>Travel and Per diem</t>
  </si>
  <si>
    <t>10.7.A Airfare - DC-Panama-Ecuador - Establish M&amp;E System</t>
  </si>
  <si>
    <t>10.7.A Lodging and per diem - Establish M&amp;E System</t>
  </si>
  <si>
    <t>Lodging and per diem - Program Management Trip</t>
  </si>
  <si>
    <t>Airfare - Field Verification Visits</t>
  </si>
  <si>
    <t>Lodging and per diem - Field Verification Visits</t>
  </si>
  <si>
    <t>Local Transportation Field Verification Visits</t>
  </si>
  <si>
    <t>Lodging and per diem - HQ Partners Management Travel</t>
  </si>
  <si>
    <t>Annual Visits to USDOL</t>
  </si>
  <si>
    <t>Airfare</t>
  </si>
  <si>
    <t xml:space="preserve">Lodging and Per diem </t>
  </si>
  <si>
    <t>External Evaluations and Audits</t>
  </si>
  <si>
    <t>Mid-term evaluation</t>
  </si>
  <si>
    <t>Zonal Coordinators &amp; Local Transportation</t>
  </si>
  <si>
    <r>
      <rPr>
        <b/>
        <sz val="8"/>
        <color rgb="FFFF0000"/>
        <rFont val="Arial"/>
        <family val="2"/>
      </rPr>
      <t>D.10.11.G</t>
    </r>
    <r>
      <rPr>
        <sz val="8"/>
        <color rgb="FFFF0000"/>
        <rFont val="Arial"/>
        <family val="2"/>
      </rPr>
      <t xml:space="preserve">  EducaFuturo Darién &amp; Comarca Emberá</t>
    </r>
  </si>
  <si>
    <t>Total Output 10</t>
  </si>
  <si>
    <t>Total Output 11</t>
  </si>
  <si>
    <t>Total Direct Costs</t>
  </si>
  <si>
    <t>Provision for cost increase (5%)</t>
  </si>
  <si>
    <t>Partners of the America NICRA 27.67%</t>
  </si>
  <si>
    <t>TOTAL COSTS</t>
  </si>
  <si>
    <t>Project to Combat Child Labor among Vulnerable Populations in Ecuador and Panama by Providing Direct Education and Livelihoods Services SGA-12-11</t>
  </si>
  <si>
    <t>Partners of the Americas - Project Revision March, 2014</t>
  </si>
  <si>
    <t>aprobada en mayo</t>
  </si>
  <si>
    <t>Direct Labor</t>
  </si>
  <si>
    <t>Key Personnel</t>
  </si>
  <si>
    <t xml:space="preserve">Project Director (100%), </t>
  </si>
  <si>
    <t xml:space="preserve">Education Specialist (100%), </t>
  </si>
  <si>
    <t xml:space="preserve">Livelihoods Specialist (100%), </t>
  </si>
  <si>
    <t xml:space="preserve">M&amp;E Officer (100%), </t>
  </si>
  <si>
    <t xml:space="preserve">Finance/Administrative Manager (100%), </t>
  </si>
  <si>
    <t>Other Proposed Staff</t>
  </si>
  <si>
    <t>Education Coordinator (100%)</t>
  </si>
  <si>
    <r>
      <t xml:space="preserve">Livelihoods Coordinator (100%) </t>
    </r>
    <r>
      <rPr>
        <b/>
        <i/>
        <sz val="8"/>
        <color indexed="33"/>
        <rFont val="Arial"/>
        <family val="2"/>
      </rPr>
      <t>+ Education Coordinator</t>
    </r>
  </si>
  <si>
    <r>
      <t xml:space="preserve">SubProject Director </t>
    </r>
    <r>
      <rPr>
        <sz val="8"/>
        <rFont val="Arial"/>
        <family val="2"/>
      </rPr>
      <t>/ M&amp;E Coordinator (100%)</t>
    </r>
  </si>
  <si>
    <t>Finance/Administration Officer (50%)</t>
  </si>
  <si>
    <t>Data Base Technician - Ecuador</t>
  </si>
  <si>
    <t>Data Base Technician - Panama</t>
  </si>
  <si>
    <t>Home Office Support</t>
  </si>
  <si>
    <r>
      <t>Project Management Support (</t>
    </r>
    <r>
      <rPr>
        <sz val="8"/>
        <rFont val="Arial"/>
        <family val="2"/>
      </rPr>
      <t>50</t>
    </r>
    <r>
      <rPr>
        <sz val="8"/>
        <rFont val="Arial"/>
        <family val="2"/>
      </rPr>
      <t>%)</t>
    </r>
  </si>
  <si>
    <t>Fringe Benefits - Ecuador (25%)</t>
  </si>
  <si>
    <t>Fringe Benefits - Panama (27%)</t>
  </si>
  <si>
    <t>Fringe Benefits - Home Office (25%)</t>
  </si>
  <si>
    <t>Subcontract: APROTENG</t>
  </si>
  <si>
    <t>Subcontract: Fe y Alegría</t>
  </si>
  <si>
    <t>Subcontract: Fe y Alegria - Livelihoods</t>
  </si>
  <si>
    <t>ojo:  esto hay que dividirlo con Ecuador</t>
  </si>
  <si>
    <t>7.2 Special Transporation for Mobilizing Children/Parents with Disabilities</t>
  </si>
  <si>
    <t>Subcontract: Comunidec (Esmeralda)</t>
  </si>
  <si>
    <t>Subcontract: Fudela (Cañar y Azuay)</t>
  </si>
  <si>
    <t>Subcontract: ExpoFlores (Imbabura)</t>
  </si>
  <si>
    <t>10.1 DevTech: M&amp;E Specialist Support</t>
  </si>
  <si>
    <t>Lodging and per diem - Establish M&amp;E System</t>
  </si>
  <si>
    <t>Field Verification Trips- Airfare &amp; Lodging and per diem</t>
  </si>
  <si>
    <t>10.8 Annual Visits to USDOL</t>
  </si>
  <si>
    <t>10.10 External Evaluations and Audits</t>
  </si>
  <si>
    <t>10.11 Zonal Coordinators &amp; Local Transportation</t>
  </si>
  <si>
    <t>10.11.A Subcontract: Fe y Alegría</t>
  </si>
  <si>
    <t>10.11.B Subcontract: APRODISO</t>
  </si>
  <si>
    <t>10.12  Data Base Technician Equipment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</si>
</sst>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00\ _€_-;\-* #,##0.00\ _€_-;_-* &quot;-&quot;??\ _€_-;_-@_-"/>
    <numFmt numFmtId="165" formatCode="[$-409]d\-mmm\-yy;@"/>
    <numFmt numFmtId="166" formatCode="#,##0.00;\(#,##0.00\)"/>
    <numFmt numFmtId="167" formatCode="0.00_);[Red]\(0.00\)"/>
    <numFmt numFmtId="168" formatCode="_-* #,##0.00\ _B_s_-;\-* #,##0.00\ _B_s_-;_-* &quot;-&quot;??\ _B_s_-;_-@_-"/>
    <numFmt numFmtId="169" formatCode="_-* #,##0.00\ &quot;Bs&quot;_-;\-* #,##0.00\ &quot;Bs&quot;_-;_-* &quot;-&quot;??\ &quot;Bs&quot;_-;_-@_-"/>
    <numFmt numFmtId="170" formatCode="#,##0.00_ ;[Red]\-#,##0.00\ "/>
    <numFmt numFmtId="171" formatCode="[$-409]mmm\-yy;@"/>
    <numFmt numFmtId="172" formatCode="#,##0_ ;[Red]\-#,##0\ "/>
    <numFmt numFmtId="173" formatCode="#,##0.00;[Red]#,##0.00"/>
    <numFmt numFmtId="174" formatCode="[$-1540A]dd\-mmm\-yy;@"/>
    <numFmt numFmtId="175" formatCode="[$-409]mmmm\-yy;@"/>
    <numFmt numFmtId="176" formatCode="_ * #,##0.00_ ;_ * \-#,##0.00_ ;_ * &quot;-&quot;??_ ;_ @_ "/>
    <numFmt numFmtId="177" formatCode="[$MXN]\ #,##0.00"/>
  </numFmts>
  <fonts count="97">
    <font>
      <sz val="12"/>
      <color theme="1"/>
      <name val="Calibri"/>
      <family val="2"/>
      <scheme val="minor"/>
    </font>
    <font>
      <sz val="11"/>
      <color theme="1"/>
      <name val="Calibri"/>
      <family val="2"/>
      <scheme val="minor"/>
    </font>
    <font>
      <sz val="8"/>
      <name val="Arial"/>
      <family val="2"/>
    </font>
    <font>
      <u/>
      <sz val="12"/>
      <color theme="10"/>
      <name val="Calibri"/>
      <family val="2"/>
      <scheme val="minor"/>
    </font>
    <font>
      <u/>
      <sz val="12"/>
      <color theme="11"/>
      <name val="Calibri"/>
      <family val="2"/>
      <scheme val="minor"/>
    </font>
    <font>
      <sz val="12"/>
      <color theme="1"/>
      <name val="Calibri"/>
      <family val="2"/>
      <scheme val="minor"/>
    </font>
    <font>
      <b/>
      <sz val="10"/>
      <name val="Arial"/>
      <family val="2"/>
    </font>
    <font>
      <sz val="10"/>
      <color theme="1"/>
      <name val="Calibri"/>
      <family val="2"/>
      <scheme val="minor"/>
    </font>
    <font>
      <b/>
      <sz val="8"/>
      <name val="Arial"/>
      <family val="2"/>
    </font>
    <font>
      <sz val="10"/>
      <name val="Arial"/>
      <family val="2"/>
    </font>
    <font>
      <sz val="10"/>
      <color rgb="FFFF0000"/>
      <name val="Calibri"/>
      <family val="2"/>
      <scheme val="minor"/>
    </font>
    <font>
      <sz val="10"/>
      <name val="Arial"/>
      <family val="2"/>
    </font>
    <font>
      <sz val="12"/>
      <color rgb="FFFF0000"/>
      <name val="Calibri"/>
      <family val="2"/>
      <scheme val="minor"/>
    </font>
    <font>
      <sz val="12"/>
      <name val="Calibri"/>
      <family val="2"/>
      <scheme val="minor"/>
    </font>
    <font>
      <sz val="10"/>
      <color theme="0"/>
      <name val="Calibri"/>
      <family val="2"/>
      <scheme val="minor"/>
    </font>
    <font>
      <b/>
      <sz val="12"/>
      <name val="Calibri"/>
      <family val="2"/>
      <scheme val="minor"/>
    </font>
    <font>
      <sz val="10"/>
      <name val="Calibri"/>
      <family val="2"/>
      <scheme val="minor"/>
    </font>
    <font>
      <b/>
      <sz val="11"/>
      <color theme="1"/>
      <name val="Calibri"/>
      <family val="2"/>
      <scheme val="minor"/>
    </font>
    <font>
      <sz val="9"/>
      <color rgb="FF000000"/>
      <name val="Arial"/>
      <family val="2"/>
    </font>
    <font>
      <b/>
      <sz val="10"/>
      <color theme="1"/>
      <name val="Calibri"/>
      <family val="2"/>
      <scheme val="minor"/>
    </font>
    <font>
      <b/>
      <sz val="12"/>
      <color theme="1"/>
      <name val="Calibri"/>
      <family val="2"/>
      <scheme val="minor"/>
    </font>
    <font>
      <sz val="11"/>
      <name val="Calibri"/>
      <family val="2"/>
      <scheme val="minor"/>
    </font>
    <font>
      <b/>
      <sz val="12"/>
      <name val="Times New Roman"/>
      <family val="1"/>
    </font>
    <font>
      <b/>
      <sz val="10"/>
      <color theme="1"/>
      <name val="Arial"/>
      <family val="2"/>
    </font>
    <font>
      <b/>
      <sz val="11"/>
      <name val="Calibri"/>
      <family val="2"/>
      <scheme val="minor"/>
    </font>
    <font>
      <b/>
      <sz val="22"/>
      <color indexed="8"/>
      <name val="Times New Roman"/>
      <family val="1"/>
    </font>
    <font>
      <b/>
      <sz val="10"/>
      <name val="Times New Roman"/>
      <family val="1"/>
    </font>
    <font>
      <sz val="10"/>
      <name val="Times New Roman"/>
      <family val="1"/>
    </font>
    <font>
      <b/>
      <sz val="10"/>
      <color indexed="8"/>
      <name val="Times New Roman"/>
      <family val="1"/>
    </font>
    <font>
      <b/>
      <sz val="20"/>
      <color theme="1"/>
      <name val="Calibri"/>
      <family val="2"/>
      <scheme val="minor"/>
    </font>
    <font>
      <b/>
      <sz val="12"/>
      <name val="Arial"/>
      <family val="2"/>
    </font>
    <font>
      <b/>
      <sz val="9"/>
      <color indexed="81"/>
      <name val="Tahoma"/>
      <family val="2"/>
    </font>
    <font>
      <sz val="9"/>
      <color indexed="81"/>
      <name val="Tahoma"/>
      <family val="2"/>
    </font>
    <font>
      <b/>
      <sz val="9"/>
      <name val="Arial"/>
      <family val="2"/>
    </font>
    <font>
      <u/>
      <sz val="8"/>
      <name val="Arial"/>
      <family val="2"/>
    </font>
    <font>
      <b/>
      <i/>
      <sz val="18"/>
      <color rgb="FFFF0000"/>
      <name val="Calibri"/>
      <family val="2"/>
      <scheme val="minor"/>
    </font>
    <font>
      <b/>
      <sz val="18"/>
      <color rgb="FFFF0000"/>
      <name val="Calibri"/>
      <family val="2"/>
      <scheme val="minor"/>
    </font>
    <font>
      <b/>
      <sz val="11"/>
      <name val="Arial"/>
      <family val="2"/>
    </font>
    <font>
      <sz val="9"/>
      <name val="Arial"/>
      <family val="2"/>
    </font>
    <font>
      <sz val="9"/>
      <color theme="1"/>
      <name val="Calibri"/>
      <family val="2"/>
      <scheme val="minor"/>
    </font>
    <font>
      <b/>
      <i/>
      <sz val="8"/>
      <color indexed="33"/>
      <name val="Arial"/>
      <family val="2"/>
    </font>
    <font>
      <b/>
      <sz val="10"/>
      <color rgb="FF000000"/>
      <name val="Arial"/>
      <family val="2"/>
    </font>
    <font>
      <sz val="8"/>
      <color rgb="FFFF0000"/>
      <name val="Arial"/>
      <family val="2"/>
    </font>
    <font>
      <b/>
      <sz val="11"/>
      <color rgb="FF0070C0"/>
      <name val="Arial"/>
      <family val="2"/>
    </font>
    <font>
      <u/>
      <sz val="8"/>
      <color rgb="FFFF0000"/>
      <name val="Arial"/>
      <family val="2"/>
    </font>
    <font>
      <b/>
      <sz val="11"/>
      <color rgb="FFFFFF00"/>
      <name val="Tahoma"/>
      <family val="2"/>
    </font>
    <font>
      <b/>
      <sz val="8"/>
      <color rgb="FFFF0000"/>
      <name val="Arial"/>
      <family val="2"/>
    </font>
    <font>
      <b/>
      <sz val="9"/>
      <color rgb="FF000000"/>
      <name val="Arial"/>
      <family val="2"/>
    </font>
    <font>
      <b/>
      <sz val="9"/>
      <color rgb="FFFF0000"/>
      <name val="Arial"/>
      <family val="2"/>
    </font>
    <font>
      <b/>
      <sz val="9"/>
      <color rgb="FF0070C0"/>
      <name val="Arial"/>
      <family val="2"/>
    </font>
    <font>
      <b/>
      <sz val="12"/>
      <color rgb="FFFFFFFF"/>
      <name val="Arial"/>
      <family val="2"/>
    </font>
    <font>
      <b/>
      <sz val="11"/>
      <color rgb="FFFFFFFF"/>
      <name val="Arial"/>
      <family val="2"/>
    </font>
    <font>
      <b/>
      <sz val="10"/>
      <color indexed="14"/>
      <name val="Arial"/>
      <family val="2"/>
    </font>
    <font>
      <sz val="10"/>
      <color theme="1"/>
      <name val="Arial"/>
      <family val="2"/>
    </font>
    <font>
      <b/>
      <sz val="14"/>
      <color rgb="FFFFFFFF"/>
      <name val="Arial"/>
      <family val="2"/>
    </font>
    <font>
      <b/>
      <sz val="8"/>
      <color indexed="8"/>
      <name val="Times New Roman"/>
      <family val="1"/>
    </font>
    <font>
      <sz val="14"/>
      <color theme="0"/>
      <name val="Calibri"/>
      <family val="2"/>
      <scheme val="minor"/>
    </font>
    <font>
      <b/>
      <sz val="10"/>
      <color theme="0"/>
      <name val="Calibri"/>
      <family val="2"/>
      <scheme val="minor"/>
    </font>
    <font>
      <b/>
      <sz val="14"/>
      <color rgb="FF555555"/>
      <name val="Calibri"/>
      <family val="2"/>
    </font>
    <font>
      <b/>
      <sz val="9"/>
      <color theme="1"/>
      <name val="Calibri"/>
      <family val="2"/>
      <scheme val="minor"/>
    </font>
    <font>
      <b/>
      <sz val="9.6"/>
      <color rgb="FF555555"/>
      <name val="Arial"/>
      <family val="2"/>
    </font>
    <font>
      <b/>
      <sz val="11"/>
      <color rgb="FF1F497D"/>
      <name val="Calibri"/>
      <family val="2"/>
    </font>
    <font>
      <b/>
      <sz val="9.6"/>
      <color rgb="FF000000"/>
      <name val="Arial"/>
      <family val="2"/>
    </font>
    <font>
      <b/>
      <sz val="9.6"/>
      <color rgb="FFFFFFFF"/>
      <name val="Calibri"/>
      <family val="2"/>
    </font>
    <font>
      <sz val="9"/>
      <color theme="1"/>
      <name val="Arial"/>
      <family val="2"/>
    </font>
    <font>
      <sz val="8"/>
      <color theme="1"/>
      <name val="Calibri"/>
      <family val="2"/>
      <scheme val="minor"/>
    </font>
    <font>
      <b/>
      <sz val="8"/>
      <color theme="1"/>
      <name val="Calibri"/>
      <family val="2"/>
      <scheme val="minor"/>
    </font>
    <font>
      <b/>
      <sz val="10"/>
      <color rgb="FFFF0000"/>
      <name val="Times New Roman"/>
      <family val="1"/>
    </font>
    <font>
      <sz val="12"/>
      <color theme="1"/>
      <name val="Times New Roman"/>
      <family val="1"/>
    </font>
    <font>
      <b/>
      <sz val="10"/>
      <color theme="1"/>
      <name val="Times New Roman"/>
      <family val="1"/>
    </font>
    <font>
      <b/>
      <sz val="14"/>
      <color theme="1"/>
      <name val="Times New Roman"/>
      <family val="1"/>
    </font>
    <font>
      <b/>
      <sz val="18"/>
      <color theme="1"/>
      <name val="Times New Roman"/>
      <family val="1"/>
    </font>
    <font>
      <sz val="14"/>
      <color theme="1"/>
      <name val="Times New Roman"/>
      <family val="1"/>
    </font>
    <font>
      <b/>
      <sz val="12"/>
      <color theme="1"/>
      <name val="Times New Roman"/>
      <family val="1"/>
    </font>
    <font>
      <b/>
      <i/>
      <sz val="12"/>
      <color theme="1"/>
      <name val="Times New Roman"/>
      <family val="1"/>
    </font>
    <font>
      <sz val="11"/>
      <name val="Times New Roman"/>
      <family val="1"/>
    </font>
    <font>
      <b/>
      <sz val="16"/>
      <color theme="1"/>
      <name val="Times New Roman"/>
      <family val="1"/>
    </font>
    <font>
      <b/>
      <i/>
      <u/>
      <sz val="12"/>
      <color theme="1"/>
      <name val="Times New Roman"/>
      <family val="1"/>
    </font>
    <font>
      <sz val="8"/>
      <color theme="1"/>
      <name val="Tahoma"/>
      <family val="2"/>
    </font>
    <font>
      <sz val="8"/>
      <color theme="0"/>
      <name val="Tahoma"/>
      <family val="2"/>
    </font>
    <font>
      <sz val="8"/>
      <color indexed="14"/>
      <name val="Tahoma"/>
      <family val="2"/>
    </font>
    <font>
      <b/>
      <sz val="8"/>
      <color rgb="FFFA7D00"/>
      <name val="Tahoma"/>
      <family val="2"/>
    </font>
    <font>
      <b/>
      <sz val="8"/>
      <color theme="0"/>
      <name val="Tahoma"/>
      <family val="2"/>
    </font>
    <font>
      <sz val="8"/>
      <color indexed="8"/>
      <name val="Tahoma"/>
      <family val="2"/>
    </font>
    <font>
      <sz val="11"/>
      <color rgb="FF000000"/>
      <name val="Calibri"/>
      <family val="2"/>
    </font>
    <font>
      <sz val="11"/>
      <color indexed="8"/>
      <name val="Calibri"/>
      <family val="2"/>
    </font>
    <font>
      <i/>
      <sz val="8"/>
      <color rgb="FF7F7F7F"/>
      <name val="Tahoma"/>
      <family val="2"/>
    </font>
    <font>
      <sz val="8"/>
      <color rgb="FF006100"/>
      <name val="Tahoma"/>
      <family val="2"/>
    </font>
    <font>
      <b/>
      <sz val="8"/>
      <color indexed="62"/>
      <name val="Tahoma"/>
      <family val="2"/>
    </font>
    <font>
      <sz val="8"/>
      <color rgb="FF3F3F76"/>
      <name val="Tahoma"/>
      <family val="2"/>
    </font>
    <font>
      <sz val="8"/>
      <color rgb="FFFA7D00"/>
      <name val="Tahoma"/>
      <family val="2"/>
    </font>
    <font>
      <sz val="8"/>
      <color rgb="FF9C6500"/>
      <name val="Tahoma"/>
      <family val="2"/>
    </font>
    <font>
      <b/>
      <sz val="8"/>
      <color rgb="FF3F3F3F"/>
      <name val="Tahoma"/>
      <family val="2"/>
    </font>
    <font>
      <b/>
      <sz val="8"/>
      <color theme="1"/>
      <name val="Tahoma"/>
      <family val="2"/>
    </font>
    <font>
      <sz val="8"/>
      <color rgb="FFFF0000"/>
      <name val="Tahoma"/>
      <family val="2"/>
    </font>
    <font>
      <sz val="12"/>
      <color rgb="FF000000"/>
      <name val="Times New Roman"/>
    </font>
    <font>
      <b/>
      <sz val="12"/>
      <color rgb="FF000000"/>
      <name val="Times New Roman"/>
    </font>
  </fonts>
  <fills count="58">
    <fill>
      <patternFill patternType="none"/>
    </fill>
    <fill>
      <patternFill patternType="gray125"/>
    </fill>
    <fill>
      <patternFill patternType="solid">
        <fgColor indexed="47"/>
        <bgColor indexed="64"/>
      </patternFill>
    </fill>
    <fill>
      <patternFill patternType="solid">
        <fgColor rgb="FFCCECFF"/>
        <bgColor indexed="64"/>
      </patternFill>
    </fill>
    <fill>
      <patternFill patternType="solid">
        <fgColor theme="9" tint="0.59999389629810485"/>
        <bgColor indexed="64"/>
      </patternFill>
    </fill>
    <fill>
      <patternFill patternType="solid">
        <fgColor rgb="FFFFFF00"/>
        <bgColor indexed="64"/>
      </patternFill>
    </fill>
    <fill>
      <patternFill patternType="solid">
        <fgColor theme="9" tint="0.39997558519241921"/>
        <bgColor indexed="64"/>
      </patternFill>
    </fill>
    <fill>
      <patternFill patternType="solid">
        <fgColor rgb="FFFFCCFF"/>
        <bgColor indexed="64"/>
      </patternFill>
    </fill>
    <fill>
      <patternFill patternType="solid">
        <fgColor rgb="FF92D050"/>
        <bgColor indexed="64"/>
      </patternFill>
    </fill>
    <fill>
      <patternFill patternType="solid">
        <fgColor theme="5" tint="0.39997558519241921"/>
        <bgColor indexed="64"/>
      </patternFill>
    </fill>
    <fill>
      <patternFill patternType="solid">
        <fgColor indexed="41"/>
        <bgColor indexed="64"/>
      </patternFill>
    </fill>
    <fill>
      <patternFill patternType="solid">
        <fgColor indexed="44"/>
        <bgColor indexed="64"/>
      </patternFill>
    </fill>
    <fill>
      <patternFill patternType="solid">
        <fgColor theme="7" tint="0.39997558519241921"/>
        <bgColor indexed="64"/>
      </patternFill>
    </fill>
    <fill>
      <patternFill patternType="solid">
        <fgColor rgb="FF00B0F0"/>
        <bgColor indexed="64"/>
      </patternFill>
    </fill>
    <fill>
      <patternFill patternType="solid">
        <fgColor theme="0"/>
        <bgColor indexed="64"/>
      </patternFill>
    </fill>
    <fill>
      <patternFill patternType="solid">
        <fgColor theme="0" tint="-0.14999847407452621"/>
        <bgColor indexed="64"/>
      </patternFill>
    </fill>
    <fill>
      <patternFill patternType="solid">
        <fgColor rgb="FF99CCFF"/>
        <bgColor indexed="64"/>
      </patternFill>
    </fill>
    <fill>
      <patternFill patternType="solid">
        <fgColor theme="0" tint="-0.249977111117893"/>
        <bgColor indexed="64"/>
      </patternFill>
    </fill>
    <fill>
      <patternFill patternType="solid">
        <fgColor theme="3" tint="0.79998168889431442"/>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theme="3" tint="0.59999389629810485"/>
        <bgColor indexed="64"/>
      </patternFill>
    </fill>
    <fill>
      <patternFill patternType="solid">
        <fgColor theme="1"/>
        <bgColor indexed="64"/>
      </patternFill>
    </fill>
    <fill>
      <patternFill patternType="solid">
        <fgColor rgb="FF00FF00"/>
        <bgColor indexed="64"/>
      </patternFill>
    </fill>
    <fill>
      <patternFill patternType="solid">
        <fgColor theme="7" tint="0.59999389629810485"/>
        <bgColor indexed="64"/>
      </patternFill>
    </fill>
    <fill>
      <patternFill patternType="solid">
        <fgColor rgb="FFFEFBBE"/>
        <bgColor indexed="64"/>
      </patternFill>
    </fill>
    <fill>
      <patternFill patternType="solid">
        <fgColor rgb="FF9999FF"/>
        <bgColor indexed="64"/>
      </patternFill>
    </fill>
    <fill>
      <patternFill patternType="solid">
        <fgColor rgb="FF00B050"/>
        <bgColor indexed="64"/>
      </patternFill>
    </fill>
    <fill>
      <patternFill patternType="solid">
        <fgColor rgb="FF808080"/>
        <bgColor indexed="64"/>
      </patternFill>
    </fill>
    <fill>
      <patternFill patternType="solid">
        <fgColor rgb="FFFF99CC"/>
        <bgColor indexed="64"/>
      </patternFill>
    </fill>
    <fill>
      <patternFill patternType="solid">
        <fgColor theme="3" tint="-0.249977111117893"/>
        <bgColor indexed="64"/>
      </patternFill>
    </fill>
    <fill>
      <patternFill patternType="solid">
        <fgColor rgb="FFFF0000"/>
        <bgColor indexed="64"/>
      </patternFill>
    </fill>
    <fill>
      <patternFill patternType="solid">
        <fgColor rgb="FFFFFFCC"/>
        <bgColor indexed="64"/>
      </patternFill>
    </fill>
    <fill>
      <patternFill patternType="solid">
        <fgColor rgb="FFFFFFFF"/>
        <bgColor indexed="64"/>
      </patternFill>
    </fill>
    <fill>
      <patternFill patternType="solid">
        <fgColor theme="8" tint="0.39997558519241921"/>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rgb="FFFFFFCC"/>
      </patternFill>
    </fill>
    <fill>
      <patternFill patternType="solid">
        <fgColor theme="5" tint="0.59999389629810485"/>
        <bgColor indexed="65"/>
      </patternFill>
    </fill>
    <fill>
      <patternFill patternType="solid">
        <fgColor theme="5"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indexed="9"/>
      </patternFill>
    </fill>
    <fill>
      <patternFill patternType="solid">
        <fgColor indexed="47"/>
      </patternFill>
    </fill>
    <fill>
      <patternFill patternType="solid">
        <fgColor indexed="26"/>
      </patternFill>
    </fill>
    <fill>
      <patternFill patternType="solid">
        <fgColor indexed="22"/>
      </patternFill>
    </fill>
    <fill>
      <patternFill patternType="solid">
        <fgColor indexed="43"/>
      </patternFill>
    </fill>
    <fill>
      <patternFill patternType="solid">
        <fgColor indexed="49"/>
      </patternFill>
    </fill>
    <fill>
      <patternFill patternType="solid">
        <fgColor indexed="19"/>
      </patternFill>
    </fill>
    <fill>
      <patternFill patternType="solid">
        <fgColor indexed="54"/>
      </patternFill>
    </fill>
  </fills>
  <borders count="39">
    <border>
      <left/>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top/>
      <bottom style="thin">
        <color auto="1"/>
      </bottom>
      <diagonal/>
    </border>
    <border>
      <left style="medium">
        <color rgb="FFFFFFCC"/>
      </left>
      <right/>
      <top style="medium">
        <color rgb="FFFFFFCC"/>
      </top>
      <bottom/>
      <diagonal/>
    </border>
    <border>
      <left/>
      <right/>
      <top style="medium">
        <color rgb="FFFFFFCC"/>
      </top>
      <bottom/>
      <diagonal/>
    </border>
    <border>
      <left/>
      <right style="medium">
        <color rgb="FFFFFFCC"/>
      </right>
      <top style="medium">
        <color rgb="FFFFFFCC"/>
      </top>
      <bottom/>
      <diagonal/>
    </border>
    <border>
      <left style="medium">
        <color rgb="FFFFFFCC"/>
      </left>
      <right/>
      <top/>
      <bottom/>
      <diagonal/>
    </border>
    <border>
      <left/>
      <right style="medium">
        <color rgb="FFFFFFCC"/>
      </right>
      <top/>
      <bottom/>
      <diagonal/>
    </border>
    <border>
      <left style="medium">
        <color rgb="FFFFFFCC"/>
      </left>
      <right/>
      <top/>
      <bottom style="medium">
        <color rgb="FFFFFFCC"/>
      </bottom>
      <diagonal/>
    </border>
    <border>
      <left/>
      <right/>
      <top/>
      <bottom style="medium">
        <color rgb="FFFFFFCC"/>
      </bottom>
      <diagonal/>
    </border>
    <border>
      <left/>
      <right style="medium">
        <color rgb="FFFFFFCC"/>
      </right>
      <top/>
      <bottom style="medium">
        <color rgb="FFFFFFCC"/>
      </bottom>
      <diagonal/>
    </border>
    <border>
      <left/>
      <right/>
      <top/>
      <bottom style="thick">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thick">
        <color indexed="49"/>
      </bottom>
      <diagonal/>
    </border>
    <border>
      <left/>
      <right/>
      <top/>
      <bottom style="medium">
        <color indexed="49"/>
      </bottom>
      <diagonal/>
    </border>
    <border>
      <left/>
      <right/>
      <top style="thin">
        <color indexed="49"/>
      </top>
      <bottom style="double">
        <color indexed="49"/>
      </bottom>
      <diagonal/>
    </border>
  </borders>
  <cellStyleXfs count="394">
    <xf numFmtId="0" fontId="0" fillId="0" borderId="0"/>
    <xf numFmtId="0" fontId="3" fillId="0" borderId="0" applyNumberFormat="0" applyFill="0" applyBorder="0" applyAlignment="0" applyProtection="0"/>
    <xf numFmtId="0" fontId="4" fillId="0" borderId="0" applyNumberFormat="0" applyFill="0" applyBorder="0" applyAlignment="0" applyProtection="0"/>
    <xf numFmtId="41" fontId="5" fillId="0" borderId="0" applyFont="0" applyFill="0" applyBorder="0" applyAlignment="0" applyProtection="0"/>
    <xf numFmtId="44" fontId="5" fillId="0" borderId="0" applyFont="0" applyFill="0" applyBorder="0" applyAlignment="0" applyProtection="0"/>
    <xf numFmtId="0" fontId="9" fillId="0" borderId="0"/>
    <xf numFmtId="0" fontId="3" fillId="0" borderId="0" applyNumberFormat="0" applyFill="0" applyBorder="0" applyAlignment="0" applyProtection="0"/>
    <xf numFmtId="0" fontId="4" fillId="0" borderId="0" applyNumberFormat="0" applyFill="0" applyBorder="0" applyAlignment="0" applyProtection="0"/>
    <xf numFmtId="0" fontId="11" fillId="0" borderId="0"/>
    <xf numFmtId="168" fontId="11" fillId="0" borderId="0" applyFont="0" applyFill="0" applyBorder="0" applyAlignment="0" applyProtection="0"/>
    <xf numFmtId="169" fontId="11" fillId="0" borderId="0" applyFont="0" applyFill="0" applyBorder="0" applyAlignment="0" applyProtection="0"/>
    <xf numFmtId="44" fontId="9" fillId="0" borderId="0" applyFont="0" applyFill="0" applyBorder="0" applyAlignment="0" applyProtection="0"/>
    <xf numFmtId="9" fontId="9" fillId="0" borderId="0" applyFon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164" fontId="5" fillId="0" borderId="0" applyFont="0" applyFill="0" applyBorder="0" applyAlignment="0" applyProtection="0"/>
    <xf numFmtId="9" fontId="5" fillId="0" borderId="0" applyFont="0" applyFill="0" applyBorder="0" applyAlignment="0" applyProtection="0"/>
    <xf numFmtId="0" fontId="1" fillId="0" borderId="0"/>
    <xf numFmtId="0" fontId="78" fillId="0" borderId="0"/>
    <xf numFmtId="9" fontId="1" fillId="0" borderId="0" applyFont="0" applyFill="0" applyBorder="0" applyAlignment="0" applyProtection="0"/>
    <xf numFmtId="0" fontId="78" fillId="50" borderId="0" applyNumberFormat="0" applyBorder="0" applyAlignment="0" applyProtection="0"/>
    <xf numFmtId="0" fontId="78" fillId="51" borderId="0" applyNumberFormat="0" applyBorder="0" applyAlignment="0" applyProtection="0"/>
    <xf numFmtId="0" fontId="78" fillId="52" borderId="0" applyNumberFormat="0" applyBorder="0" applyAlignment="0" applyProtection="0"/>
    <xf numFmtId="0" fontId="78" fillId="50" borderId="0" applyNumberFormat="0" applyBorder="0" applyAlignment="0" applyProtection="0"/>
    <xf numFmtId="0" fontId="78" fillId="45" borderId="0" applyNumberFormat="0" applyBorder="0" applyAlignment="0" applyProtection="0"/>
    <xf numFmtId="0" fontId="78" fillId="49" borderId="0" applyNumberFormat="0" applyBorder="0" applyAlignment="0" applyProtection="0"/>
    <xf numFmtId="0" fontId="78" fillId="53" borderId="0" applyNumberFormat="0" applyBorder="0" applyAlignment="0" applyProtection="0"/>
    <xf numFmtId="0" fontId="78" fillId="42" borderId="0" applyNumberFormat="0" applyBorder="0" applyAlignment="0" applyProtection="0"/>
    <xf numFmtId="0" fontId="78" fillId="54" borderId="0" applyNumberFormat="0" applyBorder="0" applyAlignment="0" applyProtection="0"/>
    <xf numFmtId="0" fontId="78" fillId="53" borderId="0" applyNumberFormat="0" applyBorder="0" applyAlignment="0" applyProtection="0"/>
    <xf numFmtId="0" fontId="78" fillId="46" borderId="0" applyNumberFormat="0" applyBorder="0" applyAlignment="0" applyProtection="0"/>
    <xf numFmtId="0" fontId="78" fillId="51" borderId="0" applyNumberFormat="0" applyBorder="0" applyAlignment="0" applyProtection="0"/>
    <xf numFmtId="0" fontId="79" fillId="55" borderId="0" applyNumberFormat="0" applyBorder="0" applyAlignment="0" applyProtection="0"/>
    <xf numFmtId="0" fontId="79" fillId="43" borderId="0" applyNumberFormat="0" applyBorder="0" applyAlignment="0" applyProtection="0"/>
    <xf numFmtId="0" fontId="79" fillId="54" borderId="0" applyNumberFormat="0" applyBorder="0" applyAlignment="0" applyProtection="0"/>
    <xf numFmtId="0" fontId="79" fillId="53" borderId="0" applyNumberFormat="0" applyBorder="0" applyAlignment="0" applyProtection="0"/>
    <xf numFmtId="0" fontId="79" fillId="47" borderId="0" applyNumberFormat="0" applyBorder="0" applyAlignment="0" applyProtection="0"/>
    <xf numFmtId="0" fontId="79" fillId="51" borderId="0" applyNumberFormat="0" applyBorder="0" applyAlignment="0" applyProtection="0"/>
    <xf numFmtId="0" fontId="79" fillId="55" borderId="0" applyNumberFormat="0" applyBorder="0" applyAlignment="0" applyProtection="0"/>
    <xf numFmtId="0" fontId="79" fillId="56" borderId="0" applyNumberFormat="0" applyBorder="0" applyAlignment="0" applyProtection="0"/>
    <xf numFmtId="0" fontId="79" fillId="56" borderId="0" applyNumberFormat="0" applyBorder="0" applyAlignment="0" applyProtection="0"/>
    <xf numFmtId="0" fontId="79" fillId="57" borderId="0" applyNumberFormat="0" applyBorder="0" applyAlignment="0" applyProtection="0"/>
    <xf numFmtId="0" fontId="79" fillId="44" borderId="0" applyNumberFormat="0" applyBorder="0" applyAlignment="0" applyProtection="0"/>
    <xf numFmtId="0" fontId="79" fillId="48" borderId="0" applyNumberFormat="0" applyBorder="0" applyAlignment="0" applyProtection="0"/>
    <xf numFmtId="0" fontId="80" fillId="37" borderId="0" applyNumberFormat="0" applyBorder="0" applyAlignment="0" applyProtection="0"/>
    <xf numFmtId="0" fontId="81" fillId="50" borderId="31" applyNumberFormat="0" applyAlignment="0" applyProtection="0"/>
    <xf numFmtId="0" fontId="82" fillId="40" borderId="34" applyNumberFormat="0" applyAlignment="0" applyProtection="0"/>
    <xf numFmtId="41" fontId="83" fillId="0" borderId="0" applyFont="0" applyFill="0" applyBorder="0" applyAlignment="0" applyProtection="0"/>
    <xf numFmtId="43" fontId="83" fillId="0" borderId="0" applyFont="0" applyFill="0" applyBorder="0" applyAlignment="0" applyProtection="0"/>
    <xf numFmtId="168" fontId="9" fillId="0" borderId="0" applyFont="0" applyFill="0" applyBorder="0" applyAlignment="0" applyProtection="0"/>
    <xf numFmtId="168" fontId="9" fillId="0" borderId="0" applyFont="0" applyFill="0" applyBorder="0" applyAlignment="0" applyProtection="0"/>
    <xf numFmtId="168" fontId="9" fillId="0" borderId="0" applyFont="0" applyFill="0" applyBorder="0" applyAlignment="0" applyProtection="0"/>
    <xf numFmtId="168" fontId="9" fillId="0" borderId="0" applyFont="0" applyFill="0" applyBorder="0" applyAlignment="0" applyProtection="0"/>
    <xf numFmtId="168" fontId="9" fillId="0" borderId="0" applyFont="0" applyFill="0" applyBorder="0" applyAlignment="0" applyProtection="0"/>
    <xf numFmtId="168" fontId="9" fillId="0" borderId="0" applyFont="0" applyFill="0" applyBorder="0" applyAlignment="0" applyProtection="0"/>
    <xf numFmtId="168" fontId="9" fillId="0" borderId="0" applyFont="0" applyFill="0" applyBorder="0" applyAlignment="0" applyProtection="0"/>
    <xf numFmtId="168" fontId="9" fillId="0" borderId="0" applyFont="0" applyFill="0" applyBorder="0" applyAlignment="0" applyProtection="0"/>
    <xf numFmtId="168" fontId="9" fillId="0" borderId="0" applyFont="0" applyFill="0" applyBorder="0" applyAlignment="0" applyProtection="0"/>
    <xf numFmtId="168" fontId="9" fillId="0" borderId="0" applyFont="0" applyFill="0" applyBorder="0" applyAlignment="0" applyProtection="0"/>
    <xf numFmtId="43" fontId="83" fillId="0" borderId="0" applyFont="0" applyFill="0" applyBorder="0" applyAlignment="0" applyProtection="0"/>
    <xf numFmtId="168" fontId="9" fillId="0" borderId="0" applyFont="0" applyFill="0" applyBorder="0" applyAlignment="0" applyProtection="0"/>
    <xf numFmtId="168" fontId="9" fillId="0" borderId="0" applyFont="0" applyFill="0" applyBorder="0" applyAlignment="0" applyProtection="0"/>
    <xf numFmtId="168" fontId="9" fillId="0" borderId="0" applyFont="0" applyFill="0" applyBorder="0" applyAlignment="0" applyProtection="0"/>
    <xf numFmtId="168"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3" fillId="0" borderId="0" applyFont="0" applyFill="0" applyBorder="0" applyAlignment="0" applyProtection="0"/>
    <xf numFmtId="43" fontId="9" fillId="0" borderId="0" applyFont="0" applyFill="0" applyBorder="0" applyAlignment="0" applyProtection="0"/>
    <xf numFmtId="43" fontId="84" fillId="0" borderId="0" applyFont="0" applyFill="0" applyBorder="0" applyAlignment="0" applyProtection="0"/>
    <xf numFmtId="43" fontId="84" fillId="0" borderId="0" applyFont="0" applyFill="0" applyBorder="0" applyAlignment="0" applyProtection="0"/>
    <xf numFmtId="43" fontId="84" fillId="0" borderId="0" applyFont="0" applyFill="0" applyBorder="0" applyAlignment="0" applyProtection="0"/>
    <xf numFmtId="43" fontId="84" fillId="0" borderId="0" applyFont="0" applyFill="0" applyBorder="0" applyAlignment="0" applyProtection="0"/>
    <xf numFmtId="43" fontId="84" fillId="0" borderId="0" applyFont="0" applyFill="0" applyBorder="0" applyAlignment="0" applyProtection="0"/>
    <xf numFmtId="43" fontId="83" fillId="0" borderId="0" applyFont="0" applyFill="0" applyBorder="0" applyAlignment="0" applyProtection="0"/>
    <xf numFmtId="43" fontId="83" fillId="0" borderId="0" applyFont="0" applyFill="0" applyBorder="0" applyAlignment="0" applyProtection="0"/>
    <xf numFmtId="43" fontId="83" fillId="0" borderId="0" applyFont="0" applyFill="0" applyBorder="0" applyAlignment="0" applyProtection="0"/>
    <xf numFmtId="43" fontId="83" fillId="0" borderId="0" applyFont="0" applyFill="0" applyBorder="0" applyAlignment="0" applyProtection="0"/>
    <xf numFmtId="43" fontId="83" fillId="0" borderId="0" applyFont="0" applyFill="0" applyBorder="0" applyAlignment="0" applyProtection="0"/>
    <xf numFmtId="43" fontId="83" fillId="0" borderId="0" applyFont="0" applyFill="0" applyBorder="0" applyAlignment="0" applyProtection="0"/>
    <xf numFmtId="176" fontId="1" fillId="0" borderId="0" applyFont="0" applyFill="0" applyBorder="0" applyAlignment="0" applyProtection="0"/>
    <xf numFmtId="168" fontId="9" fillId="0" borderId="0" applyFont="0" applyFill="0" applyBorder="0" applyAlignment="0" applyProtection="0"/>
    <xf numFmtId="43" fontId="83" fillId="0" borderId="0" applyFont="0" applyFill="0" applyBorder="0" applyAlignment="0" applyProtection="0"/>
    <xf numFmtId="168" fontId="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3" fillId="0" borderId="0" applyFont="0" applyFill="0" applyBorder="0" applyAlignment="0" applyProtection="0"/>
    <xf numFmtId="43" fontId="83" fillId="0" borderId="0" applyFont="0" applyFill="0" applyBorder="0" applyAlignment="0" applyProtection="0"/>
    <xf numFmtId="43" fontId="83" fillId="0" borderId="0" applyFont="0" applyFill="0" applyBorder="0" applyAlignment="0" applyProtection="0"/>
    <xf numFmtId="43" fontId="83" fillId="0" borderId="0" applyFont="0" applyFill="0" applyBorder="0" applyAlignment="0" applyProtection="0"/>
    <xf numFmtId="43" fontId="83" fillId="0" borderId="0" applyFont="0" applyFill="0" applyBorder="0" applyAlignment="0" applyProtection="0"/>
    <xf numFmtId="43" fontId="83" fillId="0" borderId="0" applyFont="0" applyFill="0" applyBorder="0" applyAlignment="0" applyProtection="0"/>
    <xf numFmtId="43" fontId="83" fillId="0" borderId="0" applyFont="0" applyFill="0" applyBorder="0" applyAlignment="0" applyProtection="0"/>
    <xf numFmtId="43" fontId="83" fillId="0" borderId="0" applyFont="0" applyFill="0" applyBorder="0" applyAlignment="0" applyProtection="0"/>
    <xf numFmtId="43" fontId="83" fillId="0" borderId="0" applyFont="0" applyFill="0" applyBorder="0" applyAlignment="0" applyProtection="0"/>
    <xf numFmtId="43" fontId="83" fillId="0" borderId="0" applyFont="0" applyFill="0" applyBorder="0" applyAlignment="0" applyProtection="0"/>
    <xf numFmtId="176" fontId="1" fillId="0" borderId="0" applyFont="0" applyFill="0" applyBorder="0" applyAlignment="0" applyProtection="0"/>
    <xf numFmtId="43" fontId="83" fillId="0" borderId="0" applyFont="0" applyFill="0" applyBorder="0" applyAlignment="0" applyProtection="0"/>
    <xf numFmtId="43" fontId="8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3" fillId="0" borderId="0" applyFont="0" applyFill="0" applyBorder="0" applyAlignment="0" applyProtection="0"/>
    <xf numFmtId="43" fontId="83" fillId="0" borderId="0" applyFont="0" applyFill="0" applyBorder="0" applyAlignment="0" applyProtection="0"/>
    <xf numFmtId="43" fontId="83" fillId="0" borderId="0" applyFont="0" applyFill="0" applyBorder="0" applyAlignment="0" applyProtection="0"/>
    <xf numFmtId="43" fontId="83" fillId="0" borderId="0" applyFont="0" applyFill="0" applyBorder="0" applyAlignment="0" applyProtection="0"/>
    <xf numFmtId="43" fontId="83" fillId="0" borderId="0" applyFont="0" applyFill="0" applyBorder="0" applyAlignment="0" applyProtection="0"/>
    <xf numFmtId="43" fontId="83" fillId="0" borderId="0" applyFont="0" applyFill="0" applyBorder="0" applyAlignment="0" applyProtection="0"/>
    <xf numFmtId="43" fontId="83" fillId="0" borderId="0" applyFont="0" applyFill="0" applyBorder="0" applyAlignment="0" applyProtection="0"/>
    <xf numFmtId="43" fontId="83" fillId="0" borderId="0" applyFont="0" applyFill="0" applyBorder="0" applyAlignment="0" applyProtection="0"/>
    <xf numFmtId="43" fontId="83" fillId="0" borderId="0" applyFont="0" applyFill="0" applyBorder="0" applyAlignment="0" applyProtection="0"/>
    <xf numFmtId="43" fontId="83" fillId="0" borderId="0" applyFont="0" applyFill="0" applyBorder="0" applyAlignment="0" applyProtection="0"/>
    <xf numFmtId="43" fontId="83" fillId="0" borderId="0" applyFont="0" applyFill="0" applyBorder="0" applyAlignment="0" applyProtection="0"/>
    <xf numFmtId="43" fontId="83" fillId="0" borderId="0" applyFont="0" applyFill="0" applyBorder="0" applyAlignment="0" applyProtection="0"/>
    <xf numFmtId="43" fontId="83" fillId="0" borderId="0" applyFont="0" applyFill="0" applyBorder="0" applyAlignment="0" applyProtection="0"/>
    <xf numFmtId="43" fontId="83" fillId="0" borderId="0" applyFont="0" applyFill="0" applyBorder="0" applyAlignment="0" applyProtection="0"/>
    <xf numFmtId="43" fontId="83" fillId="0" borderId="0" applyFont="0" applyFill="0" applyBorder="0" applyAlignment="0" applyProtection="0"/>
    <xf numFmtId="43" fontId="83" fillId="0" borderId="0" applyFont="0" applyFill="0" applyBorder="0" applyAlignment="0" applyProtection="0"/>
    <xf numFmtId="43" fontId="83" fillId="0" borderId="0" applyFont="0" applyFill="0" applyBorder="0" applyAlignment="0" applyProtection="0"/>
    <xf numFmtId="43" fontId="83" fillId="0" borderId="0" applyFont="0" applyFill="0" applyBorder="0" applyAlignment="0" applyProtection="0"/>
    <xf numFmtId="43" fontId="83" fillId="0" borderId="0" applyFont="0" applyFill="0" applyBorder="0" applyAlignment="0" applyProtection="0"/>
    <xf numFmtId="43" fontId="83" fillId="0" borderId="0" applyFont="0" applyFill="0" applyBorder="0" applyAlignment="0" applyProtection="0"/>
    <xf numFmtId="43" fontId="83" fillId="0" borderId="0" applyFont="0" applyFill="0" applyBorder="0" applyAlignment="0" applyProtection="0"/>
    <xf numFmtId="43" fontId="83" fillId="0" borderId="0" applyFont="0" applyFill="0" applyBorder="0" applyAlignment="0" applyProtection="0"/>
    <xf numFmtId="43" fontId="83" fillId="0" borderId="0" applyFont="0" applyFill="0" applyBorder="0" applyAlignment="0" applyProtection="0"/>
    <xf numFmtId="43" fontId="83" fillId="0" borderId="0" applyFont="0" applyFill="0" applyBorder="0" applyAlignment="0" applyProtection="0"/>
    <xf numFmtId="43" fontId="83" fillId="0" borderId="0" applyFont="0" applyFill="0" applyBorder="0" applyAlignment="0" applyProtection="0"/>
    <xf numFmtId="43" fontId="8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68" fontId="9" fillId="0" borderId="0" applyFont="0" applyFill="0" applyBorder="0" applyAlignment="0" applyProtection="0"/>
    <xf numFmtId="164" fontId="85" fillId="0" borderId="0" applyFont="0" applyFill="0" applyBorder="0" applyAlignment="0" applyProtection="0"/>
    <xf numFmtId="168"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68" fontId="9" fillId="0" borderId="0" applyFont="0" applyFill="0" applyBorder="0" applyAlignment="0" applyProtection="0"/>
    <xf numFmtId="168" fontId="9" fillId="0" borderId="0" applyFont="0" applyFill="0" applyBorder="0" applyAlignment="0" applyProtection="0"/>
    <xf numFmtId="168" fontId="9" fillId="0" borderId="0" applyFont="0" applyFill="0" applyBorder="0" applyAlignment="0" applyProtection="0"/>
    <xf numFmtId="168" fontId="9" fillId="0" borderId="0" applyFont="0" applyFill="0" applyBorder="0" applyAlignment="0" applyProtection="0"/>
    <xf numFmtId="168" fontId="9" fillId="0" borderId="0" applyFont="0" applyFill="0" applyBorder="0" applyAlignment="0" applyProtection="0"/>
    <xf numFmtId="168" fontId="9" fillId="0" borderId="0" applyFont="0" applyFill="0" applyBorder="0" applyAlignment="0" applyProtection="0"/>
    <xf numFmtId="168" fontId="9" fillId="0" borderId="0" applyFont="0" applyFill="0" applyBorder="0" applyAlignment="0" applyProtection="0"/>
    <xf numFmtId="42" fontId="83" fillId="0" borderId="0" applyFont="0" applyFill="0" applyBorder="0" applyAlignment="0" applyProtection="0"/>
    <xf numFmtId="44" fontId="83" fillId="0" borderId="0" applyFont="0" applyFill="0" applyBorder="0" applyAlignment="0" applyProtection="0"/>
    <xf numFmtId="169" fontId="9" fillId="0" borderId="0" applyFont="0" applyFill="0" applyBorder="0" applyAlignment="0" applyProtection="0"/>
    <xf numFmtId="169" fontId="9" fillId="0" borderId="0" applyFont="0" applyFill="0" applyBorder="0" applyAlignment="0" applyProtection="0"/>
    <xf numFmtId="169" fontId="9" fillId="0" borderId="0" applyFont="0" applyFill="0" applyBorder="0" applyAlignment="0" applyProtection="0"/>
    <xf numFmtId="169" fontId="9" fillId="0" borderId="0" applyFont="0" applyFill="0" applyBorder="0" applyAlignment="0" applyProtection="0"/>
    <xf numFmtId="169" fontId="9" fillId="0" borderId="0" applyFont="0" applyFill="0" applyBorder="0" applyAlignment="0" applyProtection="0"/>
    <xf numFmtId="169" fontId="9" fillId="0" borderId="0" applyFont="0" applyFill="0" applyBorder="0" applyAlignment="0" applyProtection="0"/>
    <xf numFmtId="169" fontId="9" fillId="0" borderId="0" applyFont="0" applyFill="0" applyBorder="0" applyAlignment="0" applyProtection="0"/>
    <xf numFmtId="169" fontId="9" fillId="0" borderId="0" applyFont="0" applyFill="0" applyBorder="0" applyAlignment="0" applyProtection="0"/>
    <xf numFmtId="169" fontId="9" fillId="0" borderId="0" applyFont="0" applyFill="0" applyBorder="0" applyAlignment="0" applyProtection="0"/>
    <xf numFmtId="169" fontId="9" fillId="0" borderId="0" applyFont="0" applyFill="0" applyBorder="0" applyAlignment="0" applyProtection="0"/>
    <xf numFmtId="44" fontId="83" fillId="0" borderId="0" applyFont="0" applyFill="0" applyBorder="0" applyAlignment="0" applyProtection="0"/>
    <xf numFmtId="169" fontId="9" fillId="0" borderId="0" applyFont="0" applyFill="0" applyBorder="0" applyAlignment="0" applyProtection="0"/>
    <xf numFmtId="169"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83"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83" fillId="0" borderId="0" applyFont="0" applyFill="0" applyBorder="0" applyAlignment="0" applyProtection="0"/>
    <xf numFmtId="44" fontId="83" fillId="0" borderId="0" applyFont="0" applyFill="0" applyBorder="0" applyAlignment="0" applyProtection="0"/>
    <xf numFmtId="44" fontId="83" fillId="0" borderId="0" applyFont="0" applyFill="0" applyBorder="0" applyAlignment="0" applyProtection="0"/>
    <xf numFmtId="44" fontId="83" fillId="0" borderId="0" applyFont="0" applyFill="0" applyBorder="0" applyAlignment="0" applyProtection="0"/>
    <xf numFmtId="44" fontId="83" fillId="0" borderId="0" applyFont="0" applyFill="0" applyBorder="0" applyAlignment="0" applyProtection="0"/>
    <xf numFmtId="44" fontId="83" fillId="0" borderId="0" applyFont="0" applyFill="0" applyBorder="0" applyAlignment="0" applyProtection="0"/>
    <xf numFmtId="44" fontId="83" fillId="0" borderId="0" applyFont="0" applyFill="0" applyBorder="0" applyAlignment="0" applyProtection="0"/>
    <xf numFmtId="44" fontId="1" fillId="0" borderId="0" applyFont="0" applyFill="0" applyBorder="0" applyAlignment="0" applyProtection="0"/>
    <xf numFmtId="44" fontId="9" fillId="0" borderId="0" applyFont="0" applyFill="0" applyBorder="0" applyAlignment="0" applyProtection="0"/>
    <xf numFmtId="44" fontId="83" fillId="0" borderId="0" applyFont="0" applyFill="0" applyBorder="0" applyAlignment="0" applyProtection="0"/>
    <xf numFmtId="44" fontId="9" fillId="0" borderId="0" applyFont="0" applyFill="0" applyBorder="0" applyAlignment="0" applyProtection="0"/>
    <xf numFmtId="44" fontId="83" fillId="0" borderId="0" applyFont="0" applyFill="0" applyBorder="0" applyAlignment="0" applyProtection="0"/>
    <xf numFmtId="44" fontId="83" fillId="0" borderId="0" applyFont="0" applyFill="0" applyBorder="0" applyAlignment="0" applyProtection="0"/>
    <xf numFmtId="44" fontId="83" fillId="0" borderId="0" applyFont="0" applyFill="0" applyBorder="0" applyAlignment="0" applyProtection="0"/>
    <xf numFmtId="44" fontId="83" fillId="0" borderId="0" applyFont="0" applyFill="0" applyBorder="0" applyAlignment="0" applyProtection="0"/>
    <xf numFmtId="44" fontId="83" fillId="0" borderId="0" applyFont="0" applyFill="0" applyBorder="0" applyAlignment="0" applyProtection="0"/>
    <xf numFmtId="44" fontId="83" fillId="0" borderId="0" applyFont="0" applyFill="0" applyBorder="0" applyAlignment="0" applyProtection="0"/>
    <xf numFmtId="44" fontId="83" fillId="0" borderId="0" applyFont="0" applyFill="0" applyBorder="0" applyAlignment="0" applyProtection="0"/>
    <xf numFmtId="44" fontId="83" fillId="0" borderId="0" applyFont="0" applyFill="0" applyBorder="0" applyAlignment="0" applyProtection="0"/>
    <xf numFmtId="44" fontId="83" fillId="0" borderId="0" applyFont="0" applyFill="0" applyBorder="0" applyAlignment="0" applyProtection="0"/>
    <xf numFmtId="44" fontId="83" fillId="0" borderId="0" applyFont="0" applyFill="0" applyBorder="0" applyAlignment="0" applyProtection="0"/>
    <xf numFmtId="44" fontId="83" fillId="0" borderId="0" applyFont="0" applyFill="0" applyBorder="0" applyAlignment="0" applyProtection="0"/>
    <xf numFmtId="169" fontId="9" fillId="0" borderId="0" applyFont="0" applyFill="0" applyBorder="0" applyAlignment="0" applyProtection="0"/>
    <xf numFmtId="44" fontId="83" fillId="0" borderId="0" applyFont="0" applyFill="0" applyBorder="0" applyAlignment="0" applyProtection="0"/>
    <xf numFmtId="44" fontId="83" fillId="0" borderId="0" applyFont="0" applyFill="0" applyBorder="0" applyAlignment="0" applyProtection="0"/>
    <xf numFmtId="44" fontId="83" fillId="0" borderId="0" applyFont="0" applyFill="0" applyBorder="0" applyAlignment="0" applyProtection="0"/>
    <xf numFmtId="44" fontId="83" fillId="0" borderId="0" applyFont="0" applyFill="0" applyBorder="0" applyAlignment="0" applyProtection="0"/>
    <xf numFmtId="44" fontId="83" fillId="0" borderId="0" applyFont="0" applyFill="0" applyBorder="0" applyAlignment="0" applyProtection="0"/>
    <xf numFmtId="44" fontId="83" fillId="0" borderId="0" applyFont="0" applyFill="0" applyBorder="0" applyAlignment="0" applyProtection="0"/>
    <xf numFmtId="44" fontId="83" fillId="0" borderId="0" applyFont="0" applyFill="0" applyBorder="0" applyAlignment="0" applyProtection="0"/>
    <xf numFmtId="44" fontId="83" fillId="0" borderId="0" applyFont="0" applyFill="0" applyBorder="0" applyAlignment="0" applyProtection="0"/>
    <xf numFmtId="44" fontId="83" fillId="0" borderId="0" applyFont="0" applyFill="0" applyBorder="0" applyAlignment="0" applyProtection="0"/>
    <xf numFmtId="44" fontId="83" fillId="0" borderId="0" applyFont="0" applyFill="0" applyBorder="0" applyAlignment="0" applyProtection="0"/>
    <xf numFmtId="169" fontId="9" fillId="0" borderId="0" applyFont="0" applyFill="0" applyBorder="0" applyAlignment="0" applyProtection="0"/>
    <xf numFmtId="44" fontId="83" fillId="0" borderId="0" applyFont="0" applyFill="0" applyBorder="0" applyAlignment="0" applyProtection="0"/>
    <xf numFmtId="44" fontId="83" fillId="0" borderId="0" applyFont="0" applyFill="0" applyBorder="0" applyAlignment="0" applyProtection="0"/>
    <xf numFmtId="44" fontId="83" fillId="0" borderId="0" applyFont="0" applyFill="0" applyBorder="0" applyAlignment="0" applyProtection="0"/>
    <xf numFmtId="44" fontId="83" fillId="0" borderId="0" applyFont="0" applyFill="0" applyBorder="0" applyAlignment="0" applyProtection="0"/>
    <xf numFmtId="44" fontId="83" fillId="0" borderId="0" applyFont="0" applyFill="0" applyBorder="0" applyAlignment="0" applyProtection="0"/>
    <xf numFmtId="44" fontId="83" fillId="0" borderId="0" applyFont="0" applyFill="0" applyBorder="0" applyAlignment="0" applyProtection="0"/>
    <xf numFmtId="44" fontId="83" fillId="0" borderId="0" applyFont="0" applyFill="0" applyBorder="0" applyAlignment="0" applyProtection="0"/>
    <xf numFmtId="44" fontId="83" fillId="0" borderId="0" applyFont="0" applyFill="0" applyBorder="0" applyAlignment="0" applyProtection="0"/>
    <xf numFmtId="44" fontId="83" fillId="0" borderId="0" applyFont="0" applyFill="0" applyBorder="0" applyAlignment="0" applyProtection="0"/>
    <xf numFmtId="44" fontId="83" fillId="0" borderId="0" applyFont="0" applyFill="0" applyBorder="0" applyAlignment="0" applyProtection="0"/>
    <xf numFmtId="44" fontId="83" fillId="0" borderId="0" applyFont="0" applyFill="0" applyBorder="0" applyAlignment="0" applyProtection="0"/>
    <xf numFmtId="44" fontId="83" fillId="0" borderId="0" applyFont="0" applyFill="0" applyBorder="0" applyAlignment="0" applyProtection="0"/>
    <xf numFmtId="44" fontId="83" fillId="0" borderId="0" applyFont="0" applyFill="0" applyBorder="0" applyAlignment="0" applyProtection="0"/>
    <xf numFmtId="44" fontId="83" fillId="0" borderId="0" applyFont="0" applyFill="0" applyBorder="0" applyAlignment="0" applyProtection="0"/>
    <xf numFmtId="44" fontId="83" fillId="0" borderId="0" applyFont="0" applyFill="0" applyBorder="0" applyAlignment="0" applyProtection="0"/>
    <xf numFmtId="44" fontId="83"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169" fontId="9" fillId="0" borderId="0" applyFont="0" applyFill="0" applyBorder="0" applyAlignment="0" applyProtection="0"/>
    <xf numFmtId="169"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83"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83"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83"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83" fillId="0" borderId="0" applyFont="0" applyFill="0" applyBorder="0" applyAlignment="0" applyProtection="0"/>
    <xf numFmtId="44" fontId="9" fillId="0" borderId="0" applyFont="0" applyFill="0" applyBorder="0" applyAlignment="0" applyProtection="0"/>
    <xf numFmtId="169" fontId="9" fillId="0" borderId="0" applyFont="0" applyFill="0" applyBorder="0" applyAlignment="0" applyProtection="0"/>
    <xf numFmtId="169" fontId="9" fillId="0" borderId="0" applyFont="0" applyFill="0" applyBorder="0" applyAlignment="0" applyProtection="0"/>
    <xf numFmtId="169" fontId="9" fillId="0" borderId="0" applyFont="0" applyFill="0" applyBorder="0" applyAlignment="0" applyProtection="0"/>
    <xf numFmtId="169" fontId="9" fillId="0" borderId="0" applyFont="0" applyFill="0" applyBorder="0" applyAlignment="0" applyProtection="0"/>
    <xf numFmtId="169" fontId="9" fillId="0" borderId="0" applyFont="0" applyFill="0" applyBorder="0" applyAlignment="0" applyProtection="0"/>
    <xf numFmtId="169" fontId="9" fillId="0" borderId="0" applyFont="0" applyFill="0" applyBorder="0" applyAlignment="0" applyProtection="0"/>
    <xf numFmtId="169" fontId="9" fillId="0" borderId="0" applyFont="0" applyFill="0" applyBorder="0" applyAlignment="0" applyProtection="0"/>
    <xf numFmtId="169" fontId="9" fillId="0" borderId="0" applyFont="0" applyFill="0" applyBorder="0" applyAlignment="0" applyProtection="0"/>
    <xf numFmtId="169" fontId="9" fillId="0" borderId="0" applyFont="0" applyFill="0" applyBorder="0" applyAlignment="0" applyProtection="0"/>
    <xf numFmtId="0" fontId="86" fillId="0" borderId="0" applyNumberFormat="0" applyFill="0" applyBorder="0" applyAlignment="0" applyProtection="0"/>
    <xf numFmtId="0" fontId="87" fillId="36" borderId="0" applyNumberFormat="0" applyBorder="0" applyAlignment="0" applyProtection="0"/>
    <xf numFmtId="0" fontId="88" fillId="0" borderId="36" applyNumberFormat="0" applyFill="0" applyAlignment="0" applyProtection="0"/>
    <xf numFmtId="0" fontId="88" fillId="0" borderId="30" applyNumberFormat="0" applyFill="0" applyAlignment="0" applyProtection="0"/>
    <xf numFmtId="0" fontId="88" fillId="0" borderId="37" applyNumberFormat="0" applyFill="0" applyAlignment="0" applyProtection="0"/>
    <xf numFmtId="0" fontId="88" fillId="0" borderId="0" applyNumberFormat="0" applyFill="0" applyBorder="0" applyAlignment="0" applyProtection="0"/>
    <xf numFmtId="0" fontId="89" fillId="39" borderId="31" applyNumberFormat="0" applyAlignment="0" applyProtection="0"/>
    <xf numFmtId="0" fontId="90" fillId="0" borderId="33" applyNumberFormat="0" applyFill="0" applyAlignment="0" applyProtection="0"/>
    <xf numFmtId="173" fontId="85" fillId="0" borderId="0" applyFont="0" applyFill="0" applyBorder="0" applyAlignment="0" applyProtection="0"/>
    <xf numFmtId="43" fontId="85" fillId="0" borderId="0" applyFont="0" applyFill="0" applyBorder="0" applyAlignment="0" applyProtection="0"/>
    <xf numFmtId="0" fontId="91" fillId="38" borderId="0" applyNumberFormat="0" applyBorder="0" applyAlignment="0" applyProtection="0"/>
    <xf numFmtId="0" fontId="1" fillId="0" borderId="0"/>
    <xf numFmtId="0" fontId="9" fillId="0" borderId="0"/>
    <xf numFmtId="0" fontId="1" fillId="0" borderId="0"/>
    <xf numFmtId="0" fontId="1" fillId="0" borderId="0"/>
    <xf numFmtId="0" fontId="78" fillId="0" borderId="0"/>
    <xf numFmtId="0" fontId="9" fillId="0" borderId="0"/>
    <xf numFmtId="0" fontId="1" fillId="0" borderId="0"/>
    <xf numFmtId="0" fontId="1" fillId="0" borderId="0"/>
    <xf numFmtId="0" fontId="9" fillId="0" borderId="0"/>
    <xf numFmtId="0" fontId="9"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0" fontId="84" fillId="0" borderId="0"/>
    <xf numFmtId="0" fontId="83" fillId="41" borderId="35" applyNumberFormat="0" applyFont="0" applyAlignment="0" applyProtection="0"/>
    <xf numFmtId="0" fontId="92" fillId="50" borderId="32" applyNumberFormat="0" applyAlignment="0" applyProtection="0"/>
    <xf numFmtId="9" fontId="9" fillId="0" borderId="0" applyFont="0" applyFill="0" applyBorder="0" applyAlignment="0" applyProtection="0"/>
    <xf numFmtId="9" fontId="83" fillId="0" borderId="0" applyFont="0" applyFill="0" applyBorder="0" applyAlignment="0" applyProtection="0"/>
    <xf numFmtId="9" fontId="9" fillId="0" borderId="0" applyFont="0" applyFill="0" applyBorder="0" applyAlignment="0" applyProtection="0"/>
    <xf numFmtId="9" fontId="85"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84" fillId="0" borderId="0" applyFont="0" applyFill="0" applyBorder="0" applyAlignment="0" applyProtection="0"/>
    <xf numFmtId="0" fontId="88" fillId="0" borderId="0" applyNumberFormat="0" applyFill="0" applyBorder="0" applyAlignment="0" applyProtection="0"/>
    <xf numFmtId="0" fontId="93" fillId="0" borderId="38" applyNumberFormat="0" applyFill="0" applyAlignment="0" applyProtection="0"/>
    <xf numFmtId="0" fontId="93" fillId="0" borderId="38" applyNumberFormat="0" applyFill="0" applyAlignment="0" applyProtection="0"/>
    <xf numFmtId="0" fontId="93" fillId="0" borderId="38" applyNumberFormat="0" applyFill="0" applyAlignment="0" applyProtection="0"/>
    <xf numFmtId="0" fontId="93" fillId="0" borderId="38" applyNumberFormat="0" applyFill="0" applyAlignment="0" applyProtection="0"/>
    <xf numFmtId="0" fontId="93" fillId="0" borderId="38" applyNumberFormat="0" applyFill="0" applyAlignment="0" applyProtection="0"/>
    <xf numFmtId="0" fontId="93" fillId="0" borderId="38" applyNumberFormat="0" applyFill="0" applyAlignment="0" applyProtection="0"/>
    <xf numFmtId="0" fontId="93" fillId="0" borderId="38" applyNumberFormat="0" applyFill="0" applyAlignment="0" applyProtection="0"/>
    <xf numFmtId="0" fontId="93" fillId="0" borderId="38" applyNumberFormat="0" applyFill="0" applyAlignment="0" applyProtection="0"/>
    <xf numFmtId="0" fontId="93" fillId="0" borderId="38" applyNumberFormat="0" applyFill="0" applyAlignment="0" applyProtection="0"/>
    <xf numFmtId="0" fontId="93" fillId="0" borderId="38" applyNumberFormat="0" applyFill="0" applyAlignment="0" applyProtection="0"/>
    <xf numFmtId="0" fontId="93" fillId="0" borderId="38" applyNumberFormat="0" applyFill="0" applyAlignment="0" applyProtection="0"/>
    <xf numFmtId="0" fontId="93" fillId="0" borderId="38" applyNumberFormat="0" applyFill="0" applyAlignment="0" applyProtection="0"/>
    <xf numFmtId="0" fontId="93" fillId="0" borderId="38" applyNumberFormat="0" applyFill="0" applyAlignment="0" applyProtection="0"/>
    <xf numFmtId="0" fontId="93" fillId="0" borderId="38" applyNumberFormat="0" applyFill="0" applyAlignment="0" applyProtection="0"/>
    <xf numFmtId="0" fontId="93" fillId="0" borderId="38" applyNumberFormat="0" applyFill="0" applyAlignment="0" applyProtection="0"/>
    <xf numFmtId="0" fontId="93" fillId="0" borderId="38" applyNumberFormat="0" applyFill="0" applyAlignment="0" applyProtection="0"/>
    <xf numFmtId="0" fontId="94" fillId="0" borderId="0" applyNumberFormat="0" applyFill="0" applyBorder="0" applyAlignment="0" applyProtection="0"/>
  </cellStyleXfs>
  <cellXfs count="397">
    <xf numFmtId="0" fontId="0" fillId="0" borderId="0" xfId="0"/>
    <xf numFmtId="0" fontId="7" fillId="0" borderId="0" xfId="0" applyFont="1" applyAlignment="1">
      <alignment horizontal="center" wrapText="1"/>
    </xf>
    <xf numFmtId="165" fontId="7" fillId="0" borderId="0" xfId="0" applyNumberFormat="1" applyFont="1" applyAlignment="1">
      <alignment horizontal="center" wrapText="1"/>
    </xf>
    <xf numFmtId="0" fontId="2" fillId="0" borderId="0" xfId="0" applyFont="1"/>
    <xf numFmtId="40" fontId="2" fillId="0" borderId="0" xfId="0" applyNumberFormat="1" applyFont="1"/>
    <xf numFmtId="166" fontId="8" fillId="0" borderId="0" xfId="3" applyNumberFormat="1" applyFont="1" applyFill="1" applyBorder="1" applyAlignment="1"/>
    <xf numFmtId="44" fontId="2" fillId="0" borderId="0" xfId="4" applyFont="1" applyAlignment="1"/>
    <xf numFmtId="1" fontId="2" fillId="0" borderId="0" xfId="0" applyNumberFormat="1" applyFont="1" applyAlignment="1">
      <alignment horizontal="left"/>
    </xf>
    <xf numFmtId="1" fontId="2" fillId="0" borderId="0" xfId="0" applyNumberFormat="1" applyFont="1"/>
    <xf numFmtId="49" fontId="8" fillId="0" borderId="0" xfId="3" applyNumberFormat="1" applyFont="1" applyFill="1" applyBorder="1" applyAlignment="1">
      <alignment horizontal="right"/>
    </xf>
    <xf numFmtId="14" fontId="8" fillId="0" borderId="0" xfId="3" applyNumberFormat="1" applyFont="1" applyFill="1" applyBorder="1" applyAlignment="1"/>
    <xf numFmtId="1" fontId="2" fillId="0" borderId="0" xfId="3" applyNumberFormat="1" applyFont="1" applyFill="1" applyBorder="1" applyAlignment="1">
      <alignment horizontal="left"/>
    </xf>
    <xf numFmtId="49" fontId="8" fillId="0" borderId="0" xfId="0" applyNumberFormat="1" applyFont="1" applyAlignment="1">
      <alignment horizontal="right"/>
    </xf>
    <xf numFmtId="49" fontId="8" fillId="0" borderId="0" xfId="3" applyNumberFormat="1" applyFont="1" applyFill="1" applyBorder="1" applyAlignment="1"/>
    <xf numFmtId="1" fontId="8" fillId="0" borderId="0" xfId="3" applyNumberFormat="1" applyFont="1" applyFill="1" applyBorder="1" applyAlignment="1">
      <alignment horizontal="left"/>
    </xf>
    <xf numFmtId="44" fontId="8" fillId="2" borderId="5" xfId="4" applyFont="1" applyFill="1" applyBorder="1" applyAlignment="1"/>
    <xf numFmtId="40" fontId="8" fillId="3" borderId="0" xfId="0" applyNumberFormat="1" applyFont="1" applyFill="1"/>
    <xf numFmtId="167" fontId="8" fillId="3" borderId="0" xfId="0" applyNumberFormat="1" applyFont="1" applyFill="1" applyAlignment="1">
      <alignment horizontal="right"/>
    </xf>
    <xf numFmtId="165" fontId="10" fillId="0" borderId="0" xfId="0" applyNumberFormat="1" applyFont="1" applyAlignment="1">
      <alignment horizontal="left" vertical="top" wrapText="1"/>
    </xf>
    <xf numFmtId="0" fontId="6" fillId="4" borderId="0" xfId="0" applyFont="1" applyFill="1" applyAlignment="1">
      <alignment horizontal="center" vertical="center" wrapText="1"/>
    </xf>
    <xf numFmtId="40" fontId="6" fillId="4" borderId="0" xfId="3" applyNumberFormat="1" applyFont="1" applyFill="1" applyBorder="1" applyAlignment="1">
      <alignment horizontal="center" wrapText="1"/>
    </xf>
    <xf numFmtId="44" fontId="6" fillId="4" borderId="0" xfId="4" applyFont="1" applyFill="1" applyBorder="1" applyAlignment="1">
      <alignment horizontal="center" wrapText="1"/>
    </xf>
    <xf numFmtId="1" fontId="6" fillId="4" borderId="0" xfId="0" applyNumberFormat="1" applyFont="1" applyFill="1" applyAlignment="1">
      <alignment horizontal="center" wrapText="1"/>
    </xf>
    <xf numFmtId="0" fontId="0" fillId="0" borderId="0" xfId="0" applyAlignment="1">
      <alignment horizontal="center" vertical="center"/>
    </xf>
    <xf numFmtId="0" fontId="12" fillId="0" borderId="0" xfId="0" applyFont="1"/>
    <xf numFmtId="0" fontId="0" fillId="0" borderId="0" xfId="0" applyAlignment="1">
      <alignment wrapText="1"/>
    </xf>
    <xf numFmtId="0" fontId="13" fillId="0" borderId="0" xfId="0" applyFont="1"/>
    <xf numFmtId="0" fontId="14" fillId="0" borderId="0" xfId="0" applyFont="1" applyAlignment="1">
      <alignment horizontal="center" wrapText="1"/>
    </xf>
    <xf numFmtId="44" fontId="7" fillId="0" borderId="0" xfId="4" applyFont="1" applyAlignment="1">
      <alignment horizontal="center" vertical="center"/>
    </xf>
    <xf numFmtId="0" fontId="0" fillId="5" borderId="0" xfId="0" applyFill="1" applyAlignment="1">
      <alignment horizontal="center"/>
    </xf>
    <xf numFmtId="0" fontId="15" fillId="6" borderId="0" xfId="0" applyFont="1" applyFill="1" applyAlignment="1">
      <alignment horizontal="center" vertical="center"/>
    </xf>
    <xf numFmtId="0" fontId="16" fillId="0" borderId="0" xfId="0" applyFont="1" applyAlignment="1">
      <alignment horizontal="center" wrapText="1"/>
    </xf>
    <xf numFmtId="0" fontId="0" fillId="0" borderId="10" xfId="0" applyBorder="1"/>
    <xf numFmtId="0" fontId="0" fillId="0" borderId="7" xfId="0" applyBorder="1"/>
    <xf numFmtId="0" fontId="24" fillId="8" borderId="16" xfId="0" applyFont="1" applyFill="1" applyBorder="1" applyAlignment="1">
      <alignment horizontal="center" wrapText="1"/>
    </xf>
    <xf numFmtId="170" fontId="28" fillId="2" borderId="6" xfId="0" applyNumberFormat="1" applyFont="1" applyFill="1" applyBorder="1" applyAlignment="1">
      <alignment horizontal="center" wrapText="1"/>
    </xf>
    <xf numFmtId="0" fontId="2" fillId="14" borderId="8" xfId="0" applyFont="1" applyFill="1" applyBorder="1" applyAlignment="1">
      <alignment wrapText="1"/>
    </xf>
    <xf numFmtId="0" fontId="2" fillId="0" borderId="11" xfId="0" applyFont="1" applyBorder="1" applyAlignment="1">
      <alignment wrapText="1"/>
    </xf>
    <xf numFmtId="0" fontId="2" fillId="0" borderId="0" xfId="0" applyFont="1" applyAlignment="1">
      <alignment wrapText="1"/>
    </xf>
    <xf numFmtId="0" fontId="8" fillId="15" borderId="6" xfId="0" applyFont="1" applyFill="1" applyBorder="1" applyAlignment="1">
      <alignment horizontal="left" wrapText="1"/>
    </xf>
    <xf numFmtId="0" fontId="2" fillId="0" borderId="11" xfId="0" applyFont="1" applyBorder="1" applyAlignment="1">
      <alignment horizontal="left" wrapText="1"/>
    </xf>
    <xf numFmtId="0" fontId="8" fillId="15" borderId="6" xfId="0" applyFont="1" applyFill="1" applyBorder="1" applyAlignment="1">
      <alignment wrapText="1"/>
    </xf>
    <xf numFmtId="0" fontId="2" fillId="0" borderId="12" xfId="0" applyFont="1" applyBorder="1" applyAlignment="1">
      <alignment wrapText="1"/>
    </xf>
    <xf numFmtId="0" fontId="2" fillId="0" borderId="11" xfId="5" applyFont="1" applyBorder="1" applyAlignment="1">
      <alignment wrapText="1"/>
    </xf>
    <xf numFmtId="44" fontId="16" fillId="0" borderId="0" xfId="4" applyFont="1" applyFill="1" applyAlignment="1">
      <alignment horizontal="center"/>
    </xf>
    <xf numFmtId="3" fontId="6" fillId="0" borderId="15" xfId="0" applyNumberFormat="1" applyFont="1" applyBorder="1" applyAlignment="1">
      <alignment horizontal="right" vertical="center" wrapText="1"/>
    </xf>
    <xf numFmtId="0" fontId="34" fillId="0" borderId="0" xfId="0" applyFont="1" applyAlignment="1">
      <alignment wrapText="1"/>
    </xf>
    <xf numFmtId="172" fontId="21" fillId="0" borderId="15" xfId="0" applyNumberFormat="1" applyFont="1" applyBorder="1"/>
    <xf numFmtId="172" fontId="21" fillId="0" borderId="20" xfId="0" applyNumberFormat="1" applyFont="1" applyBorder="1"/>
    <xf numFmtId="0" fontId="28" fillId="0" borderId="0" xfId="0" applyFont="1" applyAlignment="1">
      <alignment horizontal="center" wrapText="1"/>
    </xf>
    <xf numFmtId="170" fontId="28" fillId="0" borderId="0" xfId="0" applyNumberFormat="1" applyFont="1" applyAlignment="1">
      <alignment wrapText="1"/>
    </xf>
    <xf numFmtId="0" fontId="28" fillId="0" borderId="0" xfId="0" applyFont="1" applyAlignment="1">
      <alignment wrapText="1"/>
    </xf>
    <xf numFmtId="0" fontId="26" fillId="0" borderId="0" xfId="0" applyFont="1" applyAlignment="1">
      <alignment wrapText="1"/>
    </xf>
    <xf numFmtId="0" fontId="7" fillId="0" borderId="0" xfId="0" applyFont="1" applyAlignment="1">
      <alignment wrapText="1"/>
    </xf>
    <xf numFmtId="0" fontId="27" fillId="0" borderId="0" xfId="0" applyFont="1" applyAlignment="1">
      <alignment wrapText="1"/>
    </xf>
    <xf numFmtId="170" fontId="28" fillId="13" borderId="16" xfId="0" applyNumberFormat="1" applyFont="1" applyFill="1" applyBorder="1" applyAlignment="1">
      <alignment horizontal="center" wrapText="1"/>
    </xf>
    <xf numFmtId="171" fontId="28" fillId="11" borderId="20" xfId="0" quotePrefix="1" applyNumberFormat="1" applyFont="1" applyFill="1" applyBorder="1" applyAlignment="1">
      <alignment horizontal="center" wrapText="1"/>
    </xf>
    <xf numFmtId="171" fontId="28" fillId="5" borderId="15" xfId="0" quotePrefix="1" applyNumberFormat="1" applyFont="1" applyFill="1" applyBorder="1" applyAlignment="1">
      <alignment horizontal="center" wrapText="1"/>
    </xf>
    <xf numFmtId="171" fontId="28" fillId="7" borderId="20" xfId="0" quotePrefix="1" applyNumberFormat="1" applyFont="1" applyFill="1" applyBorder="1" applyAlignment="1">
      <alignment horizontal="center" wrapText="1"/>
    </xf>
    <xf numFmtId="171" fontId="28" fillId="5" borderId="20" xfId="0" quotePrefix="1" applyNumberFormat="1" applyFont="1" applyFill="1" applyBorder="1" applyAlignment="1">
      <alignment horizontal="center" wrapText="1"/>
    </xf>
    <xf numFmtId="171" fontId="28" fillId="8" borderId="20" xfId="0" quotePrefix="1" applyNumberFormat="1" applyFont="1" applyFill="1" applyBorder="1" applyAlignment="1">
      <alignment horizontal="center" wrapText="1"/>
    </xf>
    <xf numFmtId="171" fontId="28" fillId="12" borderId="20" xfId="0" quotePrefix="1" applyNumberFormat="1" applyFont="1" applyFill="1" applyBorder="1" applyAlignment="1">
      <alignment horizontal="center" wrapText="1"/>
    </xf>
    <xf numFmtId="170" fontId="28" fillId="13" borderId="20" xfId="0" applyNumberFormat="1" applyFont="1" applyFill="1" applyBorder="1" applyAlignment="1">
      <alignment horizontal="center" wrapText="1"/>
    </xf>
    <xf numFmtId="170" fontId="9" fillId="0" borderId="16" xfId="0" applyNumberFormat="1" applyFont="1" applyBorder="1" applyAlignment="1">
      <alignment wrapText="1"/>
    </xf>
    <xf numFmtId="170" fontId="7" fillId="0" borderId="8" xfId="0" applyNumberFormat="1" applyFont="1" applyBorder="1" applyAlignment="1">
      <alignment wrapText="1"/>
    </xf>
    <xf numFmtId="170" fontId="7" fillId="0" borderId="9" xfId="0" applyNumberFormat="1" applyFont="1" applyBorder="1" applyAlignment="1">
      <alignment wrapText="1"/>
    </xf>
    <xf numFmtId="170" fontId="19" fillId="0" borderId="16" xfId="0" applyNumberFormat="1" applyFont="1" applyBorder="1" applyAlignment="1">
      <alignment wrapText="1"/>
    </xf>
    <xf numFmtId="9" fontId="19" fillId="0" borderId="16" xfId="20" applyFont="1" applyBorder="1" applyAlignment="1">
      <alignment wrapText="1"/>
    </xf>
    <xf numFmtId="170" fontId="19" fillId="0" borderId="8" xfId="0" applyNumberFormat="1" applyFont="1" applyBorder="1" applyAlignment="1">
      <alignment wrapText="1"/>
    </xf>
    <xf numFmtId="170" fontId="6" fillId="0" borderId="15" xfId="0" applyNumberFormat="1" applyFont="1" applyBorder="1" applyAlignment="1">
      <alignment wrapText="1"/>
    </xf>
    <xf numFmtId="170" fontId="9" fillId="0" borderId="15" xfId="0" applyNumberFormat="1" applyFont="1" applyBorder="1" applyAlignment="1">
      <alignment wrapText="1"/>
    </xf>
    <xf numFmtId="170" fontId="7" fillId="0" borderId="11" xfId="0" applyNumberFormat="1" applyFont="1" applyBorder="1" applyAlignment="1">
      <alignment wrapText="1"/>
    </xf>
    <xf numFmtId="170" fontId="7" fillId="0" borderId="0" xfId="0" applyNumberFormat="1" applyFont="1" applyAlignment="1">
      <alignment wrapText="1"/>
    </xf>
    <xf numFmtId="170" fontId="19" fillId="0" borderId="15" xfId="0" applyNumberFormat="1" applyFont="1" applyBorder="1" applyAlignment="1">
      <alignment wrapText="1"/>
    </xf>
    <xf numFmtId="9" fontId="19" fillId="0" borderId="15" xfId="20" applyFont="1" applyBorder="1" applyAlignment="1">
      <alignment wrapText="1"/>
    </xf>
    <xf numFmtId="170" fontId="19" fillId="0" borderId="11" xfId="0" applyNumberFormat="1" applyFont="1" applyBorder="1" applyAlignment="1">
      <alignment wrapText="1"/>
    </xf>
    <xf numFmtId="170" fontId="19" fillId="0" borderId="20" xfId="0" applyNumberFormat="1" applyFont="1" applyBorder="1" applyAlignment="1">
      <alignment wrapText="1"/>
    </xf>
    <xf numFmtId="170" fontId="19" fillId="3" borderId="6" xfId="0" applyNumberFormat="1" applyFont="1" applyFill="1" applyBorder="1" applyAlignment="1">
      <alignment wrapText="1"/>
    </xf>
    <xf numFmtId="170" fontId="7" fillId="15" borderId="6" xfId="0" applyNumberFormat="1" applyFont="1" applyFill="1" applyBorder="1" applyAlignment="1">
      <alignment wrapText="1"/>
    </xf>
    <xf numFmtId="170" fontId="7" fillId="5" borderId="20" xfId="0" applyNumberFormat="1" applyFont="1" applyFill="1" applyBorder="1" applyAlignment="1">
      <alignment wrapText="1"/>
    </xf>
    <xf numFmtId="170" fontId="7" fillId="5" borderId="6" xfId="0" applyNumberFormat="1" applyFont="1" applyFill="1" applyBorder="1" applyAlignment="1">
      <alignment wrapText="1"/>
    </xf>
    <xf numFmtId="170" fontId="19" fillId="6" borderId="6" xfId="0" applyNumberFormat="1" applyFont="1" applyFill="1" applyBorder="1" applyAlignment="1">
      <alignment wrapText="1"/>
    </xf>
    <xf numFmtId="9" fontId="19" fillId="6" borderId="6" xfId="20" applyFont="1" applyFill="1" applyBorder="1" applyAlignment="1">
      <alignment wrapText="1"/>
    </xf>
    <xf numFmtId="170" fontId="19" fillId="13" borderId="17" xfId="0" applyNumberFormat="1" applyFont="1" applyFill="1" applyBorder="1" applyAlignment="1">
      <alignment wrapText="1"/>
    </xf>
    <xf numFmtId="0" fontId="9" fillId="0" borderId="7" xfId="0" applyFont="1" applyBorder="1" applyAlignment="1">
      <alignment horizontal="center" wrapText="1"/>
    </xf>
    <xf numFmtId="170" fontId="7" fillId="0" borderId="7" xfId="0" applyNumberFormat="1" applyFont="1" applyBorder="1" applyAlignment="1">
      <alignment wrapText="1"/>
    </xf>
    <xf numFmtId="170" fontId="9" fillId="0" borderId="20" xfId="0" applyNumberFormat="1" applyFont="1" applyBorder="1" applyAlignment="1">
      <alignment wrapText="1"/>
    </xf>
    <xf numFmtId="170" fontId="19" fillId="3" borderId="19" xfId="0" applyNumberFormat="1" applyFont="1" applyFill="1" applyBorder="1" applyAlignment="1">
      <alignment wrapText="1"/>
    </xf>
    <xf numFmtId="4" fontId="9" fillId="0" borderId="15" xfId="0" applyNumberFormat="1" applyFont="1" applyBorder="1" applyAlignment="1">
      <alignment wrapText="1"/>
    </xf>
    <xf numFmtId="0" fontId="9" fillId="0" borderId="10" xfId="0" applyFont="1" applyBorder="1" applyAlignment="1">
      <alignment horizontal="center" wrapText="1"/>
    </xf>
    <xf numFmtId="170" fontId="7" fillId="0" borderId="16" xfId="0" applyNumberFormat="1" applyFont="1" applyBorder="1" applyAlignment="1">
      <alignment wrapText="1"/>
    </xf>
    <xf numFmtId="0" fontId="8" fillId="15" borderId="17" xfId="0" applyFont="1" applyFill="1" applyBorder="1" applyAlignment="1">
      <alignment horizontal="left" wrapText="1"/>
    </xf>
    <xf numFmtId="0" fontId="7" fillId="0" borderId="11" xfId="0" applyFont="1" applyBorder="1" applyAlignment="1">
      <alignment wrapText="1"/>
    </xf>
    <xf numFmtId="0" fontId="7" fillId="0" borderId="15" xfId="0" applyFont="1" applyBorder="1" applyAlignment="1">
      <alignment wrapText="1"/>
    </xf>
    <xf numFmtId="170" fontId="19" fillId="3" borderId="16" xfId="0" applyNumberFormat="1" applyFont="1" applyFill="1" applyBorder="1" applyAlignment="1">
      <alignment wrapText="1"/>
    </xf>
    <xf numFmtId="0" fontId="9" fillId="0" borderId="16" xfId="0" applyFont="1" applyBorder="1" applyAlignment="1">
      <alignment horizontal="center" wrapText="1"/>
    </xf>
    <xf numFmtId="172" fontId="19" fillId="8" borderId="6" xfId="0" applyNumberFormat="1" applyFont="1" applyFill="1" applyBorder="1" applyAlignment="1">
      <alignment wrapText="1"/>
    </xf>
    <xf numFmtId="170" fontId="19" fillId="16" borderId="6" xfId="0" applyNumberFormat="1" applyFont="1" applyFill="1" applyBorder="1" applyAlignment="1">
      <alignment wrapText="1"/>
    </xf>
    <xf numFmtId="170" fontId="19" fillId="5" borderId="6" xfId="0" applyNumberFormat="1" applyFont="1" applyFill="1" applyBorder="1" applyAlignment="1">
      <alignment wrapText="1"/>
    </xf>
    <xf numFmtId="170" fontId="19" fillId="8" borderId="17" xfId="0" applyNumberFormat="1" applyFont="1" applyFill="1" applyBorder="1" applyAlignment="1">
      <alignment wrapText="1"/>
    </xf>
    <xf numFmtId="2" fontId="7" fillId="0" borderId="0" xfId="0" applyNumberFormat="1" applyFont="1" applyAlignment="1">
      <alignment wrapText="1"/>
    </xf>
    <xf numFmtId="170" fontId="19" fillId="8" borderId="6" xfId="0" applyNumberFormat="1" applyFont="1" applyFill="1" applyBorder="1" applyAlignment="1">
      <alignment wrapText="1"/>
    </xf>
    <xf numFmtId="0" fontId="25" fillId="0" borderId="0" xfId="0" applyFont="1"/>
    <xf numFmtId="0" fontId="29" fillId="0" borderId="0" xfId="0" applyFont="1"/>
    <xf numFmtId="0" fontId="35" fillId="0" borderId="0" xfId="0" applyFont="1" applyAlignment="1">
      <alignment wrapText="1"/>
    </xf>
    <xf numFmtId="9" fontId="19" fillId="0" borderId="8" xfId="20" applyFont="1" applyBorder="1" applyAlignment="1">
      <alignment wrapText="1"/>
    </xf>
    <xf numFmtId="9" fontId="19" fillId="0" borderId="11" xfId="20" applyFont="1" applyBorder="1" applyAlignment="1">
      <alignment wrapText="1"/>
    </xf>
    <xf numFmtId="170" fontId="28" fillId="13" borderId="15" xfId="0" applyNumberFormat="1" applyFont="1" applyFill="1" applyBorder="1" applyAlignment="1">
      <alignment horizontal="center" wrapText="1"/>
    </xf>
    <xf numFmtId="170" fontId="19" fillId="13" borderId="12" xfId="0" applyNumberFormat="1" applyFont="1" applyFill="1" applyBorder="1" applyAlignment="1">
      <alignment wrapText="1"/>
    </xf>
    <xf numFmtId="170" fontId="7" fillId="15" borderId="19" xfId="0" applyNumberFormat="1" applyFont="1" applyFill="1" applyBorder="1" applyAlignment="1">
      <alignment wrapText="1"/>
    </xf>
    <xf numFmtId="170" fontId="7" fillId="0" borderId="15" xfId="0" applyNumberFormat="1" applyFont="1" applyBorder="1" applyAlignment="1">
      <alignment wrapText="1"/>
    </xf>
    <xf numFmtId="0" fontId="36" fillId="0" borderId="0" xfId="0" applyFont="1"/>
    <xf numFmtId="0" fontId="34" fillId="0" borderId="11" xfId="0" applyFont="1" applyBorder="1" applyAlignment="1">
      <alignment wrapText="1"/>
    </xf>
    <xf numFmtId="38" fontId="0" fillId="0" borderId="0" xfId="0" applyNumberFormat="1"/>
    <xf numFmtId="3" fontId="6" fillId="17" borderId="6" xfId="0" applyNumberFormat="1" applyFont="1" applyFill="1" applyBorder="1"/>
    <xf numFmtId="3" fontId="7" fillId="0" borderId="0" xfId="0" applyNumberFormat="1" applyFont="1" applyAlignment="1">
      <alignment wrapText="1"/>
    </xf>
    <xf numFmtId="165" fontId="10" fillId="0" borderId="0" xfId="0" applyNumberFormat="1" applyFont="1" applyAlignment="1">
      <alignment horizontal="left" vertical="top"/>
    </xf>
    <xf numFmtId="170" fontId="16" fillId="9" borderId="0" xfId="0" applyNumberFormat="1" applyFont="1" applyFill="1" applyAlignment="1">
      <alignment wrapText="1"/>
    </xf>
    <xf numFmtId="170" fontId="6" fillId="0" borderId="11" xfId="0" applyNumberFormat="1" applyFont="1" applyBorder="1" applyAlignment="1">
      <alignment wrapText="1"/>
    </xf>
    <xf numFmtId="43" fontId="7" fillId="0" borderId="0" xfId="0" applyNumberFormat="1" applyFont="1" applyAlignment="1">
      <alignment horizontal="center" wrapText="1"/>
    </xf>
    <xf numFmtId="4" fontId="0" fillId="0" borderId="0" xfId="0" applyNumberFormat="1"/>
    <xf numFmtId="9" fontId="19" fillId="6" borderId="17" xfId="20" applyFont="1" applyFill="1" applyBorder="1" applyAlignment="1">
      <alignment wrapText="1"/>
    </xf>
    <xf numFmtId="170" fontId="19" fillId="13" borderId="20" xfId="0" applyNumberFormat="1" applyFont="1" applyFill="1" applyBorder="1" applyAlignment="1">
      <alignment wrapText="1"/>
    </xf>
    <xf numFmtId="170" fontId="19" fillId="13" borderId="6" xfId="0" applyNumberFormat="1" applyFont="1" applyFill="1" applyBorder="1" applyAlignment="1">
      <alignment wrapText="1"/>
    </xf>
    <xf numFmtId="0" fontId="18" fillId="0" borderId="0" xfId="0" applyFont="1"/>
    <xf numFmtId="0" fontId="38" fillId="0" borderId="0" xfId="0" applyFont="1" applyAlignment="1">
      <alignment wrapText="1"/>
    </xf>
    <xf numFmtId="170" fontId="19" fillId="6" borderId="19" xfId="0" applyNumberFormat="1" applyFont="1" applyFill="1" applyBorder="1" applyAlignment="1">
      <alignment wrapText="1"/>
    </xf>
    <xf numFmtId="40" fontId="7" fillId="0" borderId="0" xfId="0" applyNumberFormat="1" applyFont="1" applyAlignment="1">
      <alignment wrapText="1"/>
    </xf>
    <xf numFmtId="3" fontId="0" fillId="0" borderId="0" xfId="0" applyNumberFormat="1"/>
    <xf numFmtId="0" fontId="6" fillId="19" borderId="6" xfId="0" applyFont="1" applyFill="1" applyBorder="1" applyAlignment="1">
      <alignment horizontal="center" wrapText="1"/>
    </xf>
    <xf numFmtId="3" fontId="6" fillId="20" borderId="19" xfId="0" applyNumberFormat="1" applyFont="1" applyFill="1" applyBorder="1" applyAlignment="1">
      <alignment horizontal="center" wrapText="1"/>
    </xf>
    <xf numFmtId="0" fontId="8" fillId="15" borderId="15" xfId="0" applyFont="1" applyFill="1" applyBorder="1" applyAlignment="1">
      <alignment wrapText="1"/>
    </xf>
    <xf numFmtId="3" fontId="0" fillId="0" borderId="15" xfId="0" applyNumberFormat="1" applyBorder="1"/>
    <xf numFmtId="3" fontId="0" fillId="0" borderId="16" xfId="0" applyNumberFormat="1" applyBorder="1"/>
    <xf numFmtId="0" fontId="8" fillId="0" borderId="15" xfId="0" applyFont="1" applyBorder="1" applyAlignment="1">
      <alignment wrapText="1"/>
    </xf>
    <xf numFmtId="0" fontId="2" fillId="0" borderId="15" xfId="0" applyFont="1" applyBorder="1" applyAlignment="1">
      <alignment wrapText="1"/>
    </xf>
    <xf numFmtId="3" fontId="23" fillId="14" borderId="15" xfId="0" applyNumberFormat="1" applyFont="1" applyFill="1" applyBorder="1" applyAlignment="1">
      <alignment vertical="center" wrapText="1"/>
    </xf>
    <xf numFmtId="3" fontId="23" fillId="0" borderId="15" xfId="0" applyNumberFormat="1" applyFont="1" applyBorder="1" applyAlignment="1">
      <alignment vertical="center" wrapText="1"/>
    </xf>
    <xf numFmtId="3" fontId="23" fillId="14" borderId="15" xfId="0" applyNumberFormat="1" applyFont="1" applyFill="1" applyBorder="1" applyAlignment="1">
      <alignment wrapText="1"/>
    </xf>
    <xf numFmtId="3" fontId="23" fillId="0" borderId="15" xfId="0" applyNumberFormat="1" applyFont="1" applyBorder="1" applyAlignment="1">
      <alignment wrapText="1"/>
    </xf>
    <xf numFmtId="4" fontId="6" fillId="21" borderId="6" xfId="0" applyNumberFormat="1" applyFont="1" applyFill="1" applyBorder="1"/>
    <xf numFmtId="0" fontId="8" fillId="17" borderId="6" xfId="0" applyFont="1" applyFill="1" applyBorder="1" applyAlignment="1">
      <alignment wrapText="1"/>
    </xf>
    <xf numFmtId="0" fontId="8" fillId="15" borderId="16" xfId="0" applyFont="1" applyFill="1" applyBorder="1" applyAlignment="1">
      <alignment wrapText="1"/>
    </xf>
    <xf numFmtId="0" fontId="2" fillId="0" borderId="16" xfId="0" applyFont="1" applyBorder="1" applyAlignment="1">
      <alignment wrapText="1"/>
    </xf>
    <xf numFmtId="3" fontId="23" fillId="0" borderId="16" xfId="0" applyNumberFormat="1" applyFont="1" applyBorder="1" applyAlignment="1">
      <alignment wrapText="1"/>
    </xf>
    <xf numFmtId="0" fontId="2" fillId="0" borderId="20" xfId="0" applyFont="1" applyBorder="1" applyAlignment="1">
      <alignment wrapText="1"/>
    </xf>
    <xf numFmtId="3" fontId="23" fillId="0" borderId="20" xfId="0" applyNumberFormat="1" applyFont="1" applyBorder="1" applyAlignment="1">
      <alignment wrapText="1"/>
    </xf>
    <xf numFmtId="3" fontId="0" fillId="0" borderId="14" xfId="0" applyNumberFormat="1" applyBorder="1"/>
    <xf numFmtId="3" fontId="41" fillId="0" borderId="15" xfId="0" applyNumberFormat="1" applyFont="1" applyBorder="1" applyAlignment="1">
      <alignment horizontal="right" vertical="center" wrapText="1"/>
    </xf>
    <xf numFmtId="0" fontId="34" fillId="0" borderId="15" xfId="0" applyFont="1" applyBorder="1" applyAlignment="1">
      <alignment wrapText="1"/>
    </xf>
    <xf numFmtId="4" fontId="6" fillId="17" borderId="6" xfId="0" applyNumberFormat="1" applyFont="1" applyFill="1" applyBorder="1"/>
    <xf numFmtId="3" fontId="6" fillId="5" borderId="15" xfId="0" applyNumberFormat="1" applyFont="1" applyFill="1" applyBorder="1" applyAlignment="1">
      <alignment horizontal="right" vertical="center" wrapText="1"/>
    </xf>
    <xf numFmtId="0" fontId="2" fillId="0" borderId="15" xfId="0" applyFont="1" applyBorder="1" applyAlignment="1">
      <alignment horizontal="left" wrapText="1"/>
    </xf>
    <xf numFmtId="1" fontId="0" fillId="0" borderId="0" xfId="0" applyNumberFormat="1"/>
    <xf numFmtId="3" fontId="6" fillId="0" borderId="7" xfId="0" applyNumberFormat="1" applyFont="1" applyBorder="1" applyAlignment="1">
      <alignment horizontal="right" vertical="center" wrapText="1"/>
    </xf>
    <xf numFmtId="0" fontId="42" fillId="0" borderId="0" xfId="0" applyFont="1" applyAlignment="1">
      <alignment wrapText="1"/>
    </xf>
    <xf numFmtId="0" fontId="43" fillId="0" borderId="0" xfId="0" applyFont="1"/>
    <xf numFmtId="0" fontId="8" fillId="17" borderId="15" xfId="0" applyFont="1" applyFill="1" applyBorder="1" applyAlignment="1">
      <alignment wrapText="1"/>
    </xf>
    <xf numFmtId="3" fontId="6" fillId="17" borderId="15" xfId="0" applyNumberFormat="1" applyFont="1" applyFill="1" applyBorder="1"/>
    <xf numFmtId="0" fontId="2" fillId="0" borderId="15" xfId="5" applyFont="1" applyBorder="1" applyAlignment="1">
      <alignment wrapText="1"/>
    </xf>
    <xf numFmtId="0" fontId="34" fillId="0" borderId="15" xfId="5" applyFont="1" applyBorder="1" applyAlignment="1">
      <alignment wrapText="1"/>
    </xf>
    <xf numFmtId="0" fontId="42" fillId="0" borderId="15" xfId="0" applyFont="1" applyBorder="1" applyAlignment="1">
      <alignment wrapText="1"/>
    </xf>
    <xf numFmtId="0" fontId="2" fillId="8" borderId="15" xfId="0" applyFont="1" applyFill="1" applyBorder="1" applyAlignment="1">
      <alignment wrapText="1"/>
    </xf>
    <xf numFmtId="0" fontId="2" fillId="9" borderId="20" xfId="0" applyFont="1" applyFill="1" applyBorder="1" applyAlignment="1">
      <alignment wrapText="1"/>
    </xf>
    <xf numFmtId="0" fontId="44" fillId="0" borderId="15" xfId="0" applyFont="1" applyBorder="1" applyAlignment="1">
      <alignment wrapText="1"/>
    </xf>
    <xf numFmtId="0" fontId="33" fillId="18" borderId="6" xfId="0" applyFont="1" applyFill="1" applyBorder="1" applyAlignment="1">
      <alignment wrapText="1"/>
    </xf>
    <xf numFmtId="3" fontId="33" fillId="18" borderId="6" xfId="0" applyNumberFormat="1" applyFont="1" applyFill="1" applyBorder="1"/>
    <xf numFmtId="4" fontId="6" fillId="0" borderId="15" xfId="0" applyNumberFormat="1" applyFont="1" applyBorder="1" applyAlignment="1">
      <alignment horizontal="right" vertical="center" wrapText="1"/>
    </xf>
    <xf numFmtId="0" fontId="6" fillId="19" borderId="6" xfId="0" applyFont="1" applyFill="1" applyBorder="1" applyAlignment="1">
      <alignment wrapText="1"/>
    </xf>
    <xf numFmtId="4" fontId="6" fillId="22" borderId="6" xfId="0" applyNumberFormat="1" applyFont="1" applyFill="1" applyBorder="1"/>
    <xf numFmtId="0" fontId="6" fillId="19" borderId="19" xfId="0" applyFont="1" applyFill="1" applyBorder="1" applyAlignment="1">
      <alignment horizontal="center" wrapText="1"/>
    </xf>
    <xf numFmtId="0" fontId="18" fillId="0" borderId="0" xfId="0" applyFont="1" applyAlignment="1">
      <alignment wrapText="1"/>
    </xf>
    <xf numFmtId="0" fontId="2" fillId="0" borderId="0" xfId="0" applyFont="1" applyAlignment="1">
      <alignment horizontal="left" wrapText="1"/>
    </xf>
    <xf numFmtId="4" fontId="9" fillId="0" borderId="7" xfId="0" applyNumberFormat="1" applyFont="1" applyBorder="1" applyAlignment="1">
      <alignment wrapText="1"/>
    </xf>
    <xf numFmtId="170" fontId="19" fillId="3" borderId="20" xfId="0" applyNumberFormat="1" applyFont="1" applyFill="1" applyBorder="1" applyAlignment="1">
      <alignment wrapText="1"/>
    </xf>
    <xf numFmtId="0" fontId="18" fillId="5" borderId="6" xfId="0" applyFont="1" applyFill="1" applyBorder="1" applyAlignment="1">
      <alignment wrapText="1"/>
    </xf>
    <xf numFmtId="0" fontId="18" fillId="0" borderId="10" xfId="0" applyFont="1" applyBorder="1"/>
    <xf numFmtId="0" fontId="18" fillId="0" borderId="11" xfId="0" applyFont="1" applyBorder="1" applyAlignment="1">
      <alignment wrapText="1"/>
    </xf>
    <xf numFmtId="0" fontId="18" fillId="0" borderId="7" xfId="0" applyFont="1" applyBorder="1"/>
    <xf numFmtId="0" fontId="18" fillId="0" borderId="12" xfId="0" applyFont="1" applyBorder="1" applyAlignment="1">
      <alignment wrapText="1"/>
    </xf>
    <xf numFmtId="0" fontId="18" fillId="0" borderId="14" xfId="0" applyFont="1" applyBorder="1"/>
    <xf numFmtId="0" fontId="18" fillId="0" borderId="9" xfId="0" applyFont="1" applyBorder="1"/>
    <xf numFmtId="0" fontId="7" fillId="0" borderId="10" xfId="0" applyFont="1" applyBorder="1" applyAlignment="1">
      <alignment horizontal="center" wrapText="1"/>
    </xf>
    <xf numFmtId="0" fontId="7" fillId="0" borderId="7" xfId="0" applyFont="1" applyBorder="1" applyAlignment="1">
      <alignment horizontal="center" wrapText="1"/>
    </xf>
    <xf numFmtId="0" fontId="18" fillId="0" borderId="13" xfId="0" applyFont="1" applyBorder="1"/>
    <xf numFmtId="0" fontId="7" fillId="0" borderId="14" xfId="0" applyFont="1" applyBorder="1" applyAlignment="1">
      <alignment horizontal="center" wrapText="1"/>
    </xf>
    <xf numFmtId="0" fontId="45" fillId="23" borderId="8" xfId="0" applyFont="1" applyFill="1" applyBorder="1" applyAlignment="1">
      <alignment horizontal="center" vertical="center" wrapText="1"/>
    </xf>
    <xf numFmtId="0" fontId="45" fillId="23" borderId="9" xfId="0" applyFont="1" applyFill="1" applyBorder="1" applyAlignment="1">
      <alignment horizontal="center" vertical="center" wrapText="1"/>
    </xf>
    <xf numFmtId="0" fontId="45" fillId="23" borderId="10" xfId="0" applyFont="1" applyFill="1" applyBorder="1" applyAlignment="1">
      <alignment horizontal="center" vertical="center" wrapText="1"/>
    </xf>
    <xf numFmtId="40" fontId="28" fillId="0" borderId="0" xfId="0" applyNumberFormat="1" applyFont="1" applyAlignment="1">
      <alignment wrapText="1"/>
    </xf>
    <xf numFmtId="40" fontId="7" fillId="0" borderId="9" xfId="0" applyNumberFormat="1" applyFont="1" applyBorder="1" applyAlignment="1">
      <alignment wrapText="1"/>
    </xf>
    <xf numFmtId="40" fontId="7" fillId="15" borderId="6" xfId="0" applyNumberFormat="1" applyFont="1" applyFill="1" applyBorder="1" applyAlignment="1">
      <alignment wrapText="1"/>
    </xf>
    <xf numFmtId="40" fontId="7" fillId="15" borderId="19" xfId="0" applyNumberFormat="1" applyFont="1" applyFill="1" applyBorder="1" applyAlignment="1">
      <alignment wrapText="1"/>
    </xf>
    <xf numFmtId="40" fontId="19" fillId="16" borderId="6" xfId="0" applyNumberFormat="1" applyFont="1" applyFill="1" applyBorder="1" applyAlignment="1">
      <alignment wrapText="1"/>
    </xf>
    <xf numFmtId="40" fontId="19" fillId="6" borderId="6" xfId="0" applyNumberFormat="1" applyFont="1" applyFill="1" applyBorder="1" applyAlignment="1">
      <alignment wrapText="1"/>
    </xf>
    <xf numFmtId="0" fontId="42" fillId="0" borderId="11" xfId="0" applyFont="1" applyBorder="1" applyAlignment="1">
      <alignment wrapText="1"/>
    </xf>
    <xf numFmtId="0" fontId="2" fillId="0" borderId="11" xfId="0" applyFont="1" applyBorder="1"/>
    <xf numFmtId="40" fontId="0" fillId="0" borderId="0" xfId="0" applyNumberFormat="1"/>
    <xf numFmtId="165" fontId="16" fillId="0" borderId="0" xfId="0" applyNumberFormat="1" applyFont="1" applyAlignment="1">
      <alignment horizontal="center" wrapText="1"/>
    </xf>
    <xf numFmtId="0" fontId="38" fillId="0" borderId="0" xfId="0" applyFont="1"/>
    <xf numFmtId="40" fontId="0" fillId="0" borderId="15" xfId="0" applyNumberFormat="1" applyBorder="1"/>
    <xf numFmtId="0" fontId="2" fillId="26" borderId="0" xfId="0" applyFont="1" applyFill="1" applyAlignment="1">
      <alignment wrapText="1"/>
    </xf>
    <xf numFmtId="40" fontId="17" fillId="0" borderId="0" xfId="0" applyNumberFormat="1" applyFont="1"/>
    <xf numFmtId="0" fontId="6" fillId="27" borderId="6" xfId="0" applyFont="1" applyFill="1" applyBorder="1" applyAlignment="1">
      <alignment horizontal="center" vertical="center" wrapText="1"/>
    </xf>
    <xf numFmtId="40" fontId="6" fillId="20" borderId="19" xfId="0" applyNumberFormat="1" applyFont="1" applyFill="1" applyBorder="1" applyAlignment="1">
      <alignment horizontal="center" wrapText="1"/>
    </xf>
    <xf numFmtId="40" fontId="37" fillId="5" borderId="6" xfId="0" applyNumberFormat="1" applyFont="1" applyFill="1" applyBorder="1" applyAlignment="1">
      <alignment horizontal="center" wrapText="1"/>
    </xf>
    <xf numFmtId="0" fontId="8" fillId="0" borderId="0" xfId="0" applyFont="1" applyAlignment="1">
      <alignment wrapText="1"/>
    </xf>
    <xf numFmtId="40" fontId="17" fillId="0" borderId="15" xfId="0" applyNumberFormat="1" applyFont="1" applyBorder="1"/>
    <xf numFmtId="0" fontId="8" fillId="25" borderId="18" xfId="0" applyFont="1" applyFill="1" applyBorder="1" applyAlignment="1">
      <alignment wrapText="1"/>
    </xf>
    <xf numFmtId="40" fontId="51" fillId="29" borderId="6" xfId="0" applyNumberFormat="1" applyFont="1" applyFill="1" applyBorder="1" applyAlignment="1">
      <alignment horizontal="right" vertical="center"/>
    </xf>
    <xf numFmtId="40" fontId="50" fillId="29" borderId="6" xfId="0" applyNumberFormat="1" applyFont="1" applyFill="1" applyBorder="1" applyAlignment="1">
      <alignment horizontal="right" vertical="center"/>
    </xf>
    <xf numFmtId="0" fontId="8" fillId="30" borderId="18" xfId="0" applyFont="1" applyFill="1" applyBorder="1" applyAlignment="1">
      <alignment wrapText="1"/>
    </xf>
    <xf numFmtId="40" fontId="6" fillId="6" borderId="6" xfId="0" applyNumberFormat="1" applyFont="1" applyFill="1" applyBorder="1" applyAlignment="1">
      <alignment horizontal="right" vertical="center"/>
    </xf>
    <xf numFmtId="40" fontId="50" fillId="28" borderId="6" xfId="0" applyNumberFormat="1" applyFont="1" applyFill="1" applyBorder="1" applyAlignment="1">
      <alignment horizontal="right" vertical="center"/>
    </xf>
    <xf numFmtId="0" fontId="33" fillId="25" borderId="18" xfId="0" applyFont="1" applyFill="1" applyBorder="1" applyAlignment="1">
      <alignment wrapText="1"/>
    </xf>
    <xf numFmtId="3" fontId="53" fillId="0" borderId="15" xfId="0" applyNumberFormat="1" applyFont="1" applyBorder="1" applyAlignment="1">
      <alignment wrapText="1"/>
    </xf>
    <xf numFmtId="0" fontId="2" fillId="0" borderId="0" xfId="5" applyFont="1" applyAlignment="1">
      <alignment wrapText="1"/>
    </xf>
    <xf numFmtId="0" fontId="34" fillId="0" borderId="0" xfId="5" applyFont="1" applyAlignment="1">
      <alignment wrapText="1"/>
    </xf>
    <xf numFmtId="0" fontId="2" fillId="14" borderId="0" xfId="0" applyFont="1" applyFill="1" applyAlignment="1">
      <alignment wrapText="1"/>
    </xf>
    <xf numFmtId="40" fontId="54" fillId="28" borderId="6" xfId="0" applyNumberFormat="1" applyFont="1" applyFill="1" applyBorder="1" applyAlignment="1">
      <alignment horizontal="right" vertical="center"/>
    </xf>
    <xf numFmtId="40" fontId="6" fillId="24" borderId="19" xfId="0" applyNumberFormat="1" applyFont="1" applyFill="1" applyBorder="1" applyAlignment="1">
      <alignment horizontal="center" wrapText="1"/>
    </xf>
    <xf numFmtId="40" fontId="6" fillId="24" borderId="6" xfId="0" applyNumberFormat="1" applyFont="1" applyFill="1" applyBorder="1" applyAlignment="1">
      <alignment horizontal="right" vertical="center"/>
    </xf>
    <xf numFmtId="0" fontId="7" fillId="0" borderId="0" xfId="0" applyFont="1"/>
    <xf numFmtId="40" fontId="7" fillId="0" borderId="0" xfId="0" applyNumberFormat="1" applyFont="1"/>
    <xf numFmtId="40" fontId="20" fillId="0" borderId="0" xfId="0" applyNumberFormat="1" applyFont="1"/>
    <xf numFmtId="40" fontId="20" fillId="0" borderId="15" xfId="0" applyNumberFormat="1" applyFont="1" applyBorder="1"/>
    <xf numFmtId="170" fontId="9" fillId="0" borderId="8" xfId="0" applyNumberFormat="1" applyFont="1" applyBorder="1" applyAlignment="1">
      <alignment wrapText="1"/>
    </xf>
    <xf numFmtId="170" fontId="9" fillId="0" borderId="11" xfId="0" applyNumberFormat="1" applyFont="1" applyBorder="1" applyAlignment="1">
      <alignment wrapText="1"/>
    </xf>
    <xf numFmtId="170" fontId="19" fillId="3" borderId="17" xfId="0" applyNumberFormat="1" applyFont="1" applyFill="1" applyBorder="1" applyAlignment="1">
      <alignment wrapText="1"/>
    </xf>
    <xf numFmtId="170" fontId="19" fillId="3" borderId="8" xfId="0" applyNumberFormat="1" applyFont="1" applyFill="1" applyBorder="1" applyAlignment="1">
      <alignment wrapText="1"/>
    </xf>
    <xf numFmtId="170" fontId="55" fillId="2" borderId="6" xfId="0" applyNumberFormat="1" applyFont="1" applyFill="1" applyBorder="1" applyAlignment="1">
      <alignment horizontal="center" wrapText="1"/>
    </xf>
    <xf numFmtId="170" fontId="55" fillId="2" borderId="17" xfId="0" applyNumberFormat="1" applyFont="1" applyFill="1" applyBorder="1" applyAlignment="1">
      <alignment horizontal="center" wrapText="1"/>
    </xf>
    <xf numFmtId="170" fontId="0" fillId="0" borderId="0" xfId="0" applyNumberFormat="1" applyAlignment="1">
      <alignment wrapText="1"/>
    </xf>
    <xf numFmtId="40" fontId="0" fillId="5" borderId="0" xfId="0" applyNumberFormat="1" applyFill="1" applyAlignment="1">
      <alignment horizontal="right" vertical="top"/>
    </xf>
    <xf numFmtId="40" fontId="0" fillId="5" borderId="21" xfId="0" applyNumberFormat="1" applyFill="1" applyBorder="1" applyAlignment="1">
      <alignment horizontal="right" vertical="top"/>
    </xf>
    <xf numFmtId="0" fontId="14" fillId="32" borderId="0" xfId="0" applyFont="1" applyFill="1" applyAlignment="1">
      <alignment horizontal="center" wrapText="1"/>
    </xf>
    <xf numFmtId="0" fontId="57" fillId="32" borderId="0" xfId="0" applyFont="1" applyFill="1" applyAlignment="1">
      <alignment horizontal="center" wrapText="1"/>
    </xf>
    <xf numFmtId="44" fontId="19" fillId="24" borderId="6" xfId="0" applyNumberFormat="1" applyFont="1" applyFill="1" applyBorder="1" applyAlignment="1">
      <alignment horizontal="center" wrapText="1"/>
    </xf>
    <xf numFmtId="0" fontId="56" fillId="31" borderId="6" xfId="0" applyFont="1" applyFill="1" applyBorder="1"/>
    <xf numFmtId="0" fontId="58" fillId="24" borderId="0" xfId="0" applyFont="1" applyFill="1"/>
    <xf numFmtId="172" fontId="7" fillId="0" borderId="0" xfId="0" applyNumberFormat="1" applyFont="1" applyAlignment="1">
      <alignment wrapText="1"/>
    </xf>
    <xf numFmtId="173" fontId="0" fillId="0" borderId="0" xfId="0" applyNumberFormat="1" applyAlignment="1">
      <alignment wrapText="1"/>
    </xf>
    <xf numFmtId="0" fontId="58" fillId="5" borderId="0" xfId="0" applyFont="1" applyFill="1"/>
    <xf numFmtId="0" fontId="33" fillId="5" borderId="0" xfId="0" applyFont="1" applyFill="1"/>
    <xf numFmtId="0" fontId="7" fillId="33" borderId="5" xfId="0" applyFont="1" applyFill="1" applyBorder="1" applyAlignment="1">
      <alignment wrapText="1"/>
    </xf>
    <xf numFmtId="0" fontId="6" fillId="5" borderId="0" xfId="0" applyFont="1" applyFill="1" applyAlignment="1">
      <alignment horizontal="center" vertical="center" wrapText="1"/>
    </xf>
    <xf numFmtId="40" fontId="6" fillId="5" borderId="0" xfId="3" applyNumberFormat="1" applyFont="1" applyFill="1" applyBorder="1" applyAlignment="1">
      <alignment horizontal="center" wrapText="1"/>
    </xf>
    <xf numFmtId="44" fontId="6" fillId="5" borderId="0" xfId="4" applyFont="1" applyFill="1" applyBorder="1" applyAlignment="1">
      <alignment horizontal="center" wrapText="1"/>
    </xf>
    <xf numFmtId="0" fontId="7" fillId="5" borderId="0" xfId="0" applyFont="1" applyFill="1" applyAlignment="1">
      <alignment horizontal="center" wrapText="1"/>
    </xf>
    <xf numFmtId="1" fontId="6" fillId="5" borderId="0" xfId="0" applyNumberFormat="1" applyFont="1" applyFill="1" applyAlignment="1">
      <alignment horizontal="center" wrapText="1"/>
    </xf>
    <xf numFmtId="0" fontId="6" fillId="8" borderId="0" xfId="0" applyFont="1" applyFill="1" applyAlignment="1">
      <alignment horizontal="center" vertical="center" wrapText="1"/>
    </xf>
    <xf numFmtId="40" fontId="6" fillId="8" borderId="0" xfId="3" applyNumberFormat="1" applyFont="1" applyFill="1" applyBorder="1" applyAlignment="1">
      <alignment horizontal="center" wrapText="1"/>
    </xf>
    <xf numFmtId="44" fontId="6" fillId="8" borderId="0" xfId="4" applyFont="1" applyFill="1" applyBorder="1" applyAlignment="1">
      <alignment horizontal="center" wrapText="1"/>
    </xf>
    <xf numFmtId="0" fontId="7" fillId="8" borderId="0" xfId="0" applyFont="1" applyFill="1" applyAlignment="1">
      <alignment horizontal="center" wrapText="1"/>
    </xf>
    <xf numFmtId="1" fontId="6" fillId="8" borderId="0" xfId="0" applyNumberFormat="1" applyFont="1" applyFill="1" applyAlignment="1">
      <alignment horizontal="center" wrapText="1"/>
    </xf>
    <xf numFmtId="0" fontId="62" fillId="34" borderId="5" xfId="0" applyFont="1" applyFill="1" applyBorder="1" applyAlignment="1">
      <alignment wrapText="1"/>
    </xf>
    <xf numFmtId="0" fontId="63" fillId="32" borderId="5" xfId="0" applyFont="1" applyFill="1" applyBorder="1" applyAlignment="1">
      <alignment wrapText="1"/>
    </xf>
    <xf numFmtId="0" fontId="60" fillId="34" borderId="5" xfId="0" applyFont="1" applyFill="1" applyBorder="1" applyAlignment="1">
      <alignment wrapText="1"/>
    </xf>
    <xf numFmtId="0" fontId="38" fillId="0" borderId="8" xfId="0" applyFont="1" applyBorder="1" applyAlignment="1">
      <alignment wrapText="1"/>
    </xf>
    <xf numFmtId="0" fontId="38" fillId="0" borderId="9" xfId="0" applyFont="1" applyBorder="1"/>
    <xf numFmtId="0" fontId="38" fillId="0" borderId="11" xfId="0" applyFont="1" applyBorder="1" applyAlignment="1">
      <alignment wrapText="1"/>
    </xf>
    <xf numFmtId="0" fontId="38" fillId="0" borderId="12" xfId="0" applyFont="1" applyBorder="1" applyAlignment="1">
      <alignment wrapText="1"/>
    </xf>
    <xf numFmtId="0" fontId="38" fillId="0" borderId="13" xfId="0" applyFont="1" applyBorder="1"/>
    <xf numFmtId="44" fontId="6" fillId="4" borderId="16" xfId="4" applyFont="1" applyFill="1" applyBorder="1" applyAlignment="1">
      <alignment horizontal="center" wrapText="1"/>
    </xf>
    <xf numFmtId="40" fontId="6" fillId="4" borderId="20" xfId="3" applyNumberFormat="1" applyFont="1" applyFill="1" applyBorder="1" applyAlignment="1">
      <alignment horizontal="center" wrapText="1"/>
    </xf>
    <xf numFmtId="0" fontId="38" fillId="0" borderId="14" xfId="0" applyFont="1" applyBorder="1" applyAlignment="1">
      <alignment horizontal="center"/>
    </xf>
    <xf numFmtId="170" fontId="59" fillId="33" borderId="6" xfId="0" applyNumberFormat="1" applyFont="1" applyFill="1" applyBorder="1" applyAlignment="1">
      <alignment wrapText="1"/>
    </xf>
    <xf numFmtId="40" fontId="33" fillId="6" borderId="6" xfId="0" applyNumberFormat="1" applyFont="1" applyFill="1" applyBorder="1"/>
    <xf numFmtId="170" fontId="39" fillId="0" borderId="0" xfId="0" applyNumberFormat="1" applyFont="1" applyAlignment="1">
      <alignment wrapText="1"/>
    </xf>
    <xf numFmtId="170" fontId="64" fillId="0" borderId="10" xfId="0" applyNumberFormat="1" applyFont="1" applyBorder="1" applyAlignment="1">
      <alignment horizontal="right" vertical="center" wrapText="1"/>
    </xf>
    <xf numFmtId="170" fontId="64" fillId="0" borderId="7" xfId="0" applyNumberFormat="1" applyFont="1" applyBorder="1" applyAlignment="1">
      <alignment horizontal="right" vertical="center" wrapText="1"/>
    </xf>
    <xf numFmtId="0" fontId="65" fillId="0" borderId="0" xfId="0" applyFont="1" applyAlignment="1">
      <alignment wrapText="1"/>
    </xf>
    <xf numFmtId="171" fontId="55" fillId="12" borderId="20" xfId="0" quotePrefix="1" applyNumberFormat="1" applyFont="1" applyFill="1" applyBorder="1" applyAlignment="1">
      <alignment horizontal="center" wrapText="1"/>
    </xf>
    <xf numFmtId="170" fontId="65" fillId="0" borderId="16" xfId="0" applyNumberFormat="1" applyFont="1" applyBorder="1" applyAlignment="1">
      <alignment wrapText="1"/>
    </xf>
    <xf numFmtId="170" fontId="65" fillId="0" borderId="15" xfId="0" applyNumberFormat="1" applyFont="1" applyBorder="1" applyAlignment="1">
      <alignment wrapText="1"/>
    </xf>
    <xf numFmtId="170" fontId="65" fillId="15" borderId="6" xfId="0" applyNumberFormat="1" applyFont="1" applyFill="1" applyBorder="1" applyAlignment="1">
      <alignment wrapText="1"/>
    </xf>
    <xf numFmtId="0" fontId="65" fillId="0" borderId="15" xfId="0" applyFont="1" applyBorder="1" applyAlignment="1">
      <alignment wrapText="1"/>
    </xf>
    <xf numFmtId="170" fontId="66" fillId="16" borderId="6" xfId="0" applyNumberFormat="1" applyFont="1" applyFill="1" applyBorder="1" applyAlignment="1">
      <alignment wrapText="1"/>
    </xf>
    <xf numFmtId="40" fontId="8" fillId="6" borderId="6" xfId="0" applyNumberFormat="1" applyFont="1" applyFill="1" applyBorder="1"/>
    <xf numFmtId="170" fontId="19" fillId="24" borderId="6" xfId="0" applyNumberFormat="1" applyFont="1" applyFill="1" applyBorder="1" applyAlignment="1">
      <alignment wrapText="1"/>
    </xf>
    <xf numFmtId="0" fontId="68" fillId="0" borderId="0" xfId="0" applyFont="1"/>
    <xf numFmtId="44" fontId="72" fillId="9" borderId="6" xfId="4" applyFont="1" applyFill="1" applyBorder="1"/>
    <xf numFmtId="0" fontId="68" fillId="0" borderId="13" xfId="0" applyFont="1" applyBorder="1"/>
    <xf numFmtId="0" fontId="68" fillId="0" borderId="9" xfId="0" applyFont="1" applyBorder="1"/>
    <xf numFmtId="2" fontId="73" fillId="5" borderId="6" xfId="0" applyNumberFormat="1" applyFont="1" applyFill="1" applyBorder="1" applyAlignment="1">
      <alignment horizontal="center"/>
    </xf>
    <xf numFmtId="0" fontId="68" fillId="0" borderId="8" xfId="0" applyFont="1" applyBorder="1"/>
    <xf numFmtId="0" fontId="68" fillId="0" borderId="10" xfId="0" applyFont="1" applyBorder="1"/>
    <xf numFmtId="17" fontId="71" fillId="0" borderId="7" xfId="0" applyNumberFormat="1" applyFont="1" applyBorder="1"/>
    <xf numFmtId="0" fontId="68" fillId="0" borderId="11" xfId="0" applyFont="1" applyBorder="1"/>
    <xf numFmtId="0" fontId="68" fillId="0" borderId="7" xfId="0" applyFont="1" applyBorder="1"/>
    <xf numFmtId="175" fontId="74" fillId="0" borderId="0" xfId="0" applyNumberFormat="1" applyFont="1"/>
    <xf numFmtId="0" fontId="75" fillId="0" borderId="5" xfId="0" applyFont="1" applyBorder="1" applyAlignment="1">
      <alignment horizontal="center"/>
    </xf>
    <xf numFmtId="0" fontId="75" fillId="0" borderId="5" xfId="0" applyFont="1" applyBorder="1"/>
    <xf numFmtId="174" fontId="75" fillId="0" borderId="5" xfId="0" applyNumberFormat="1" applyFont="1" applyBorder="1" applyAlignment="1">
      <alignment horizontal="center"/>
    </xf>
    <xf numFmtId="0" fontId="68" fillId="0" borderId="11" xfId="0" applyFont="1" applyBorder="1" applyAlignment="1">
      <alignment horizontal="center"/>
    </xf>
    <xf numFmtId="0" fontId="75" fillId="0" borderId="0" xfId="0" applyFont="1"/>
    <xf numFmtId="40" fontId="75" fillId="0" borderId="0" xfId="0" applyNumberFormat="1" applyFont="1"/>
    <xf numFmtId="174" fontId="75" fillId="0" borderId="0" xfId="0" applyNumberFormat="1" applyFont="1" applyAlignment="1">
      <alignment horizontal="center"/>
    </xf>
    <xf numFmtId="0" fontId="68" fillId="0" borderId="12" xfId="0" applyFont="1" applyBorder="1"/>
    <xf numFmtId="0" fontId="68" fillId="0" borderId="14" xfId="0" applyFont="1" applyBorder="1"/>
    <xf numFmtId="0" fontId="74" fillId="0" borderId="0" xfId="0" applyFont="1"/>
    <xf numFmtId="0" fontId="74" fillId="0" borderId="0" xfId="0" applyFont="1" applyAlignment="1">
      <alignment horizontal="left"/>
    </xf>
    <xf numFmtId="0" fontId="69" fillId="35" borderId="16" xfId="0" applyFont="1" applyFill="1" applyBorder="1" applyAlignment="1">
      <alignment horizontal="center"/>
    </xf>
    <xf numFmtId="40" fontId="69" fillId="35" borderId="16" xfId="0" applyNumberFormat="1" applyFont="1" applyFill="1" applyBorder="1" applyAlignment="1">
      <alignment horizontal="center"/>
    </xf>
    <xf numFmtId="0" fontId="73" fillId="0" borderId="0" xfId="0" applyFont="1"/>
    <xf numFmtId="0" fontId="77" fillId="0" borderId="11" xfId="0" applyFont="1" applyBorder="1"/>
    <xf numFmtId="0" fontId="77" fillId="0" borderId="8" xfId="0" applyFont="1" applyBorder="1"/>
    <xf numFmtId="0" fontId="70" fillId="0" borderId="0" xfId="0" applyFont="1"/>
    <xf numFmtId="17" fontId="76" fillId="0" borderId="0" xfId="0" applyNumberFormat="1" applyFont="1" applyAlignment="1">
      <alignment horizontal="center"/>
    </xf>
    <xf numFmtId="17" fontId="70" fillId="0" borderId="11" xfId="0" applyNumberFormat="1" applyFont="1" applyBorder="1" applyAlignment="1">
      <alignment horizontal="left"/>
    </xf>
    <xf numFmtId="17" fontId="70" fillId="0" borderId="0" xfId="0" applyNumberFormat="1" applyFont="1" applyAlignment="1">
      <alignment horizontal="center"/>
    </xf>
    <xf numFmtId="2" fontId="70" fillId="5" borderId="6" xfId="0" applyNumberFormat="1" applyFont="1" applyFill="1" applyBorder="1" applyAlignment="1">
      <alignment horizontal="center"/>
    </xf>
    <xf numFmtId="175" fontId="74" fillId="0" borderId="0" xfId="0" applyNumberFormat="1" applyFont="1" applyAlignment="1">
      <alignment horizontal="left"/>
    </xf>
    <xf numFmtId="175" fontId="70" fillId="0" borderId="0" xfId="0" applyNumberFormat="1" applyFont="1" applyAlignment="1">
      <alignment horizontal="left"/>
    </xf>
    <xf numFmtId="0" fontId="68" fillId="0" borderId="11" xfId="0" applyFont="1" applyBorder="1" applyAlignment="1">
      <alignment horizontal="left" wrapText="1"/>
    </xf>
    <xf numFmtId="0" fontId="68" fillId="0" borderId="0" xfId="0" applyFont="1" applyAlignment="1">
      <alignment horizontal="left" wrapText="1"/>
    </xf>
    <xf numFmtId="0" fontId="68" fillId="0" borderId="7" xfId="0" applyFont="1" applyBorder="1" applyAlignment="1">
      <alignment horizontal="left" wrapText="1"/>
    </xf>
    <xf numFmtId="0" fontId="68" fillId="0" borderId="21" xfId="0" applyFont="1" applyBorder="1"/>
    <xf numFmtId="177" fontId="22" fillId="35" borderId="6" xfId="19" applyNumberFormat="1" applyFont="1" applyFill="1" applyBorder="1" applyAlignment="1" applyProtection="1">
      <alignment horizontal="right"/>
    </xf>
    <xf numFmtId="177" fontId="22" fillId="35" borderId="6" xfId="19" applyNumberFormat="1" applyFont="1" applyFill="1" applyBorder="1" applyAlignment="1">
      <alignment horizontal="right"/>
    </xf>
    <xf numFmtId="177" fontId="73" fillId="35" borderId="6" xfId="0" applyNumberFormat="1" applyFont="1" applyFill="1" applyBorder="1"/>
    <xf numFmtId="177" fontId="75" fillId="0" borderId="5" xfId="4" applyNumberFormat="1" applyFont="1" applyBorder="1" applyAlignment="1">
      <alignment horizontal="center"/>
    </xf>
    <xf numFmtId="177" fontId="22" fillId="35" borderId="6" xfId="0" applyNumberFormat="1" applyFont="1" applyFill="1" applyBorder="1"/>
    <xf numFmtId="14" fontId="68" fillId="0" borderId="21" xfId="0" applyNumberFormat="1" applyFont="1" applyBorder="1"/>
    <xf numFmtId="164" fontId="68" fillId="0" borderId="0" xfId="19" applyFont="1"/>
    <xf numFmtId="177" fontId="68" fillId="0" borderId="0" xfId="0" applyNumberFormat="1" applyFont="1"/>
    <xf numFmtId="4" fontId="68" fillId="0" borderId="0" xfId="0" applyNumberFormat="1" applyFont="1"/>
    <xf numFmtId="165" fontId="6" fillId="4" borderId="0" xfId="0" applyNumberFormat="1" applyFont="1" applyFill="1" applyAlignment="1">
      <alignment horizontal="center" vertical="center" wrapText="1"/>
    </xf>
    <xf numFmtId="49" fontId="6" fillId="4" borderId="0" xfId="3" applyNumberFormat="1" applyFont="1" applyFill="1" applyBorder="1" applyAlignment="1">
      <alignment horizontal="center" vertical="center" wrapText="1"/>
    </xf>
    <xf numFmtId="44" fontId="6" fillId="4" borderId="0" xfId="4" applyFont="1" applyFill="1" applyBorder="1" applyAlignment="1">
      <alignment horizontal="center" vertical="center" wrapText="1"/>
    </xf>
    <xf numFmtId="166" fontId="8" fillId="0" borderId="0" xfId="3" applyNumberFormat="1" applyFont="1" applyFill="1" applyBorder="1" applyAlignment="1">
      <alignment horizontal="left" vertical="top"/>
    </xf>
    <xf numFmtId="166" fontId="8" fillId="0" borderId="0" xfId="3" applyNumberFormat="1" applyFont="1" applyFill="1" applyBorder="1" applyAlignment="1">
      <alignment horizontal="center"/>
    </xf>
    <xf numFmtId="14" fontId="8" fillId="4" borderId="1" xfId="3" applyNumberFormat="1" applyFont="1" applyFill="1" applyBorder="1" applyAlignment="1">
      <alignment horizontal="center"/>
    </xf>
    <xf numFmtId="14" fontId="8" fillId="4" borderId="2" xfId="3" applyNumberFormat="1" applyFont="1" applyFill="1" applyBorder="1" applyAlignment="1">
      <alignment horizontal="center"/>
    </xf>
    <xf numFmtId="49" fontId="8" fillId="4" borderId="3" xfId="3" applyNumberFormat="1" applyFont="1" applyFill="1" applyBorder="1" applyAlignment="1">
      <alignment horizontal="center"/>
    </xf>
    <xf numFmtId="49" fontId="8" fillId="4" borderId="4" xfId="3" applyNumberFormat="1" applyFont="1" applyFill="1" applyBorder="1" applyAlignment="1">
      <alignment horizontal="center"/>
    </xf>
    <xf numFmtId="165" fontId="6" fillId="5" borderId="0" xfId="0" applyNumberFormat="1" applyFont="1" applyFill="1" applyAlignment="1">
      <alignment horizontal="center" vertical="center" wrapText="1"/>
    </xf>
    <xf numFmtId="49" fontId="6" fillId="5" borderId="0" xfId="3" applyNumberFormat="1" applyFont="1" applyFill="1" applyBorder="1" applyAlignment="1">
      <alignment horizontal="center" vertical="center" wrapText="1"/>
    </xf>
    <xf numFmtId="44" fontId="6" fillId="5" borderId="0" xfId="4" applyFont="1" applyFill="1" applyBorder="1" applyAlignment="1">
      <alignment horizontal="center" wrapText="1"/>
    </xf>
    <xf numFmtId="44" fontId="6" fillId="5" borderId="0" xfId="4" applyFont="1" applyFill="1" applyBorder="1" applyAlignment="1">
      <alignment horizontal="center" vertical="center" wrapText="1"/>
    </xf>
    <xf numFmtId="166" fontId="6" fillId="0" borderId="0" xfId="3" applyNumberFormat="1" applyFont="1" applyFill="1" applyBorder="1" applyAlignment="1">
      <alignment vertical="top"/>
    </xf>
    <xf numFmtId="166" fontId="6" fillId="0" borderId="0" xfId="3" applyNumberFormat="1" applyFont="1" applyFill="1" applyBorder="1" applyAlignment="1"/>
    <xf numFmtId="14" fontId="8" fillId="5" borderId="1" xfId="3" applyNumberFormat="1" applyFont="1" applyFill="1" applyBorder="1" applyAlignment="1">
      <alignment horizontal="center"/>
    </xf>
    <xf numFmtId="14" fontId="8" fillId="5" borderId="2" xfId="3" applyNumberFormat="1" applyFont="1" applyFill="1" applyBorder="1" applyAlignment="1">
      <alignment horizontal="center"/>
    </xf>
    <xf numFmtId="49" fontId="8" fillId="5" borderId="3" xfId="3" applyNumberFormat="1" applyFont="1" applyFill="1" applyBorder="1" applyAlignment="1">
      <alignment horizontal="center"/>
    </xf>
    <xf numFmtId="49" fontId="8" fillId="5" borderId="4" xfId="3" applyNumberFormat="1" applyFont="1" applyFill="1" applyBorder="1" applyAlignment="1">
      <alignment horizontal="center"/>
    </xf>
    <xf numFmtId="165" fontId="6" fillId="8" borderId="0" xfId="0" applyNumberFormat="1" applyFont="1" applyFill="1" applyAlignment="1">
      <alignment horizontal="center" vertical="center" wrapText="1"/>
    </xf>
    <xf numFmtId="49" fontId="6" fillId="8" borderId="0" xfId="3" applyNumberFormat="1" applyFont="1" applyFill="1" applyBorder="1" applyAlignment="1">
      <alignment horizontal="center" vertical="center" wrapText="1"/>
    </xf>
    <xf numFmtId="44" fontId="6" fillId="8" borderId="0" xfId="4" applyFont="1" applyFill="1" applyBorder="1" applyAlignment="1">
      <alignment horizontal="center" wrapText="1"/>
    </xf>
    <xf numFmtId="44" fontId="6" fillId="8" borderId="0" xfId="4" applyFont="1" applyFill="1" applyBorder="1" applyAlignment="1">
      <alignment horizontal="center" vertical="center" wrapText="1"/>
    </xf>
    <xf numFmtId="14" fontId="8" fillId="8" borderId="1" xfId="3" applyNumberFormat="1" applyFont="1" applyFill="1" applyBorder="1" applyAlignment="1">
      <alignment horizontal="center"/>
    </xf>
    <xf numFmtId="14" fontId="8" fillId="8" borderId="2" xfId="3" applyNumberFormat="1" applyFont="1" applyFill="1" applyBorder="1" applyAlignment="1">
      <alignment horizontal="center"/>
    </xf>
    <xf numFmtId="49" fontId="8" fillId="8" borderId="3" xfId="3" applyNumberFormat="1" applyFont="1" applyFill="1" applyBorder="1" applyAlignment="1">
      <alignment horizontal="center"/>
    </xf>
    <xf numFmtId="49" fontId="8" fillId="8" borderId="4" xfId="3" applyNumberFormat="1" applyFont="1" applyFill="1" applyBorder="1" applyAlignment="1">
      <alignment horizontal="center"/>
    </xf>
    <xf numFmtId="0" fontId="61" fillId="34" borderId="25" xfId="0" applyFont="1" applyFill="1" applyBorder="1" applyAlignment="1">
      <alignment wrapText="1"/>
    </xf>
    <xf numFmtId="0" fontId="61" fillId="34" borderId="0" xfId="0" applyFont="1" applyFill="1" applyAlignment="1">
      <alignment wrapText="1"/>
    </xf>
    <xf numFmtId="0" fontId="61" fillId="34" borderId="26" xfId="0" applyFont="1" applyFill="1" applyBorder="1" applyAlignment="1">
      <alignment wrapText="1"/>
    </xf>
    <xf numFmtId="0" fontId="61" fillId="34" borderId="27" xfId="0" applyFont="1" applyFill="1" applyBorder="1" applyAlignment="1">
      <alignment wrapText="1"/>
    </xf>
    <xf numFmtId="0" fontId="61" fillId="34" borderId="28" xfId="0" applyFont="1" applyFill="1" applyBorder="1" applyAlignment="1">
      <alignment wrapText="1"/>
    </xf>
    <xf numFmtId="0" fontId="61" fillId="34" borderId="29" xfId="0" applyFont="1" applyFill="1" applyBorder="1" applyAlignment="1">
      <alignment wrapText="1"/>
    </xf>
    <xf numFmtId="0" fontId="61" fillId="34" borderId="22" xfId="0" applyFont="1" applyFill="1" applyBorder="1" applyAlignment="1">
      <alignment wrapText="1"/>
    </xf>
    <xf numFmtId="0" fontId="61" fillId="34" borderId="23" xfId="0" applyFont="1" applyFill="1" applyBorder="1" applyAlignment="1">
      <alignment wrapText="1"/>
    </xf>
    <xf numFmtId="0" fontId="61" fillId="34" borderId="24" xfId="0" applyFont="1" applyFill="1" applyBorder="1" applyAlignment="1">
      <alignment wrapText="1"/>
    </xf>
    <xf numFmtId="0" fontId="68" fillId="0" borderId="9" xfId="0" applyFont="1" applyBorder="1" applyAlignment="1">
      <alignment horizontal="left" wrapText="1"/>
    </xf>
    <xf numFmtId="0" fontId="68" fillId="0" borderId="10" xfId="0" applyFont="1" applyBorder="1" applyAlignment="1">
      <alignment horizontal="left" wrapText="1"/>
    </xf>
    <xf numFmtId="0" fontId="71" fillId="0" borderId="11" xfId="0" applyFont="1" applyBorder="1" applyAlignment="1">
      <alignment horizontal="center"/>
    </xf>
    <xf numFmtId="0" fontId="71" fillId="0" borderId="0" xfId="0" applyFont="1" applyAlignment="1">
      <alignment horizontal="center"/>
    </xf>
    <xf numFmtId="0" fontId="71" fillId="0" borderId="7" xfId="0" applyFont="1" applyBorder="1" applyAlignment="1">
      <alignment horizontal="center"/>
    </xf>
    <xf numFmtId="0" fontId="71" fillId="0" borderId="12" xfId="0" applyFont="1" applyBorder="1" applyAlignment="1">
      <alignment horizontal="center" wrapText="1"/>
    </xf>
    <xf numFmtId="0" fontId="71" fillId="0" borderId="13" xfId="0" applyFont="1" applyBorder="1" applyAlignment="1">
      <alignment horizontal="center" wrapText="1"/>
    </xf>
    <xf numFmtId="0" fontId="71" fillId="0" borderId="14" xfId="0" applyFont="1" applyBorder="1" applyAlignment="1">
      <alignment horizontal="center" wrapText="1"/>
    </xf>
    <xf numFmtId="17" fontId="76" fillId="0" borderId="11" xfId="0" applyNumberFormat="1" applyFont="1" applyBorder="1" applyAlignment="1">
      <alignment horizontal="center"/>
    </xf>
    <xf numFmtId="17" fontId="76" fillId="0" borderId="0" xfId="0" applyNumberFormat="1" applyFont="1" applyAlignment="1">
      <alignment horizontal="center"/>
    </xf>
    <xf numFmtId="170" fontId="28" fillId="2" borderId="8" xfId="0" applyNumberFormat="1" applyFont="1" applyFill="1" applyBorder="1" applyAlignment="1">
      <alignment horizontal="center" wrapText="1"/>
    </xf>
    <xf numFmtId="170" fontId="28" fillId="2" borderId="9" xfId="0" applyNumberFormat="1" applyFont="1" applyFill="1" applyBorder="1" applyAlignment="1">
      <alignment horizontal="center" wrapText="1"/>
    </xf>
    <xf numFmtId="170" fontId="28" fillId="10" borderId="16" xfId="0" applyNumberFormat="1" applyFont="1" applyFill="1" applyBorder="1" applyAlignment="1">
      <alignment horizontal="center" vertical="center" wrapText="1"/>
    </xf>
    <xf numFmtId="170" fontId="28" fillId="10" borderId="20" xfId="0" applyNumberFormat="1" applyFont="1" applyFill="1" applyBorder="1" applyAlignment="1">
      <alignment horizontal="center" vertical="center" wrapText="1"/>
    </xf>
    <xf numFmtId="170" fontId="28" fillId="11" borderId="17" xfId="0" applyNumberFormat="1" applyFont="1" applyFill="1" applyBorder="1" applyAlignment="1">
      <alignment horizontal="center" wrapText="1"/>
    </xf>
    <xf numFmtId="170" fontId="28" fillId="11" borderId="18" xfId="0" applyNumberFormat="1" applyFont="1" applyFill="1" applyBorder="1" applyAlignment="1">
      <alignment horizontal="center" wrapText="1"/>
    </xf>
    <xf numFmtId="170" fontId="28" fillId="11" borderId="19" xfId="0" applyNumberFormat="1" applyFont="1" applyFill="1" applyBorder="1" applyAlignment="1">
      <alignment horizontal="center" wrapText="1"/>
    </xf>
    <xf numFmtId="170" fontId="28" fillId="7" borderId="17" xfId="0" applyNumberFormat="1" applyFont="1" applyFill="1" applyBorder="1" applyAlignment="1">
      <alignment horizontal="center" wrapText="1"/>
    </xf>
    <xf numFmtId="170" fontId="28" fillId="7" borderId="18" xfId="0" applyNumberFormat="1" applyFont="1" applyFill="1" applyBorder="1" applyAlignment="1">
      <alignment horizontal="center" wrapText="1"/>
    </xf>
    <xf numFmtId="170" fontId="28" fillId="7" borderId="19" xfId="0" applyNumberFormat="1" applyFont="1" applyFill="1" applyBorder="1" applyAlignment="1">
      <alignment horizontal="center" wrapText="1"/>
    </xf>
    <xf numFmtId="0" fontId="28" fillId="8" borderId="17" xfId="0" applyFont="1" applyFill="1" applyBorder="1" applyAlignment="1">
      <alignment horizontal="center" wrapText="1"/>
    </xf>
    <xf numFmtId="0" fontId="28" fillId="8" borderId="18" xfId="0" applyFont="1" applyFill="1" applyBorder="1" applyAlignment="1">
      <alignment horizontal="center" wrapText="1"/>
    </xf>
    <xf numFmtId="0" fontId="28" fillId="8" borderId="19" xfId="0" applyFont="1" applyFill="1" applyBorder="1" applyAlignment="1">
      <alignment horizontal="center" wrapText="1"/>
    </xf>
    <xf numFmtId="170" fontId="28" fillId="12" borderId="17" xfId="0" applyNumberFormat="1" applyFont="1" applyFill="1" applyBorder="1" applyAlignment="1">
      <alignment horizontal="center" wrapText="1"/>
    </xf>
    <xf numFmtId="170" fontId="28" fillId="12" borderId="18" xfId="0" applyNumberFormat="1" applyFont="1" applyFill="1" applyBorder="1" applyAlignment="1">
      <alignment horizontal="center" wrapText="1"/>
    </xf>
    <xf numFmtId="170" fontId="28" fillId="12" borderId="19" xfId="0" applyNumberFormat="1" applyFont="1" applyFill="1" applyBorder="1" applyAlignment="1">
      <alignment horizontal="center" wrapText="1"/>
    </xf>
    <xf numFmtId="0" fontId="29" fillId="6" borderId="17" xfId="0" applyFont="1" applyFill="1" applyBorder="1" applyAlignment="1">
      <alignment horizontal="center" wrapText="1"/>
    </xf>
    <xf numFmtId="0" fontId="29" fillId="6" borderId="18" xfId="0" applyFont="1" applyFill="1" applyBorder="1" applyAlignment="1">
      <alignment horizontal="center" wrapText="1"/>
    </xf>
    <xf numFmtId="0" fontId="29" fillId="6" borderId="19" xfId="0" applyFont="1" applyFill="1" applyBorder="1" applyAlignment="1">
      <alignment horizontal="center" wrapText="1"/>
    </xf>
    <xf numFmtId="170" fontId="28" fillId="2" borderId="10" xfId="0" applyNumberFormat="1" applyFont="1" applyFill="1" applyBorder="1" applyAlignment="1">
      <alignment horizontal="center" wrapText="1"/>
    </xf>
    <xf numFmtId="0" fontId="37" fillId="0" borderId="0" xfId="0" applyFont="1" applyAlignment="1">
      <alignment horizontal="center" vertical="center" wrapText="1"/>
    </xf>
    <xf numFmtId="0" fontId="8" fillId="0" borderId="0" xfId="0" applyFont="1" applyAlignment="1">
      <alignment horizontal="center" vertical="center" wrapText="1"/>
    </xf>
    <xf numFmtId="3" fontId="30" fillId="0" borderId="0" xfId="0" applyNumberFormat="1" applyFont="1" applyAlignment="1">
      <alignment horizontal="center" vertical="center" wrapText="1"/>
    </xf>
    <xf numFmtId="0" fontId="95" fillId="0" borderId="8" xfId="0" applyFont="1" applyBorder="1" applyAlignment="1">
      <alignment horizontal="left" wrapText="1"/>
    </xf>
  </cellXfs>
  <cellStyles count="394">
    <cellStyle name="20% - Accent1 2" xfId="24" xr:uid="{00000000-0005-0000-0000-000000000000}"/>
    <cellStyle name="20% - Accent2 2" xfId="25" xr:uid="{00000000-0005-0000-0000-000001000000}"/>
    <cellStyle name="20% - Accent3 2" xfId="26" xr:uid="{00000000-0005-0000-0000-000002000000}"/>
    <cellStyle name="20% - Accent4 2" xfId="27" xr:uid="{00000000-0005-0000-0000-000003000000}"/>
    <cellStyle name="20% - Accent5 2" xfId="28" xr:uid="{00000000-0005-0000-0000-000004000000}"/>
    <cellStyle name="20% - Accent6 2" xfId="29" xr:uid="{00000000-0005-0000-0000-000005000000}"/>
    <cellStyle name="40% - Accent1 2" xfId="30" xr:uid="{00000000-0005-0000-0000-000006000000}"/>
    <cellStyle name="40% - Accent2 2" xfId="31" xr:uid="{00000000-0005-0000-0000-000007000000}"/>
    <cellStyle name="40% - Accent3 2" xfId="32" xr:uid="{00000000-0005-0000-0000-000008000000}"/>
    <cellStyle name="40% - Accent4 2" xfId="33" xr:uid="{00000000-0005-0000-0000-000009000000}"/>
    <cellStyle name="40% - Accent5 2" xfId="34" xr:uid="{00000000-0005-0000-0000-00000A000000}"/>
    <cellStyle name="40% - Accent6 2" xfId="35" xr:uid="{00000000-0005-0000-0000-00000B000000}"/>
    <cellStyle name="60% - Accent1 2" xfId="36" xr:uid="{00000000-0005-0000-0000-00000C000000}"/>
    <cellStyle name="60% - Accent2 2" xfId="37" xr:uid="{00000000-0005-0000-0000-00000D000000}"/>
    <cellStyle name="60% - Accent3 2" xfId="38" xr:uid="{00000000-0005-0000-0000-00000E000000}"/>
    <cellStyle name="60% - Accent4 2" xfId="39" xr:uid="{00000000-0005-0000-0000-00000F000000}"/>
    <cellStyle name="60% - Accent5 2" xfId="40" xr:uid="{00000000-0005-0000-0000-000010000000}"/>
    <cellStyle name="60% - Accent6 2" xfId="41" xr:uid="{00000000-0005-0000-0000-000011000000}"/>
    <cellStyle name="Accent1 2" xfId="42" xr:uid="{00000000-0005-0000-0000-000012000000}"/>
    <cellStyle name="Accent2 2" xfId="43" xr:uid="{00000000-0005-0000-0000-000013000000}"/>
    <cellStyle name="Accent3 2" xfId="44" xr:uid="{00000000-0005-0000-0000-000014000000}"/>
    <cellStyle name="Accent4 2" xfId="45" xr:uid="{00000000-0005-0000-0000-000015000000}"/>
    <cellStyle name="Accent5 2" xfId="46" xr:uid="{00000000-0005-0000-0000-000016000000}"/>
    <cellStyle name="Accent6 2" xfId="47" xr:uid="{00000000-0005-0000-0000-000017000000}"/>
    <cellStyle name="Bad 2" xfId="48" xr:uid="{00000000-0005-0000-0000-000018000000}"/>
    <cellStyle name="Calculation 2" xfId="49" xr:uid="{00000000-0005-0000-0000-000019000000}"/>
    <cellStyle name="Check Cell 2" xfId="50" xr:uid="{00000000-0005-0000-0000-00001A000000}"/>
    <cellStyle name="Comma [0] 2" xfId="51" xr:uid="{00000000-0005-0000-0000-00001D000000}"/>
    <cellStyle name="Comma 10" xfId="52" xr:uid="{00000000-0005-0000-0000-00001E000000}"/>
    <cellStyle name="Comma 100" xfId="53" xr:uid="{00000000-0005-0000-0000-00001F000000}"/>
    <cellStyle name="Comma 101" xfId="54" xr:uid="{00000000-0005-0000-0000-000020000000}"/>
    <cellStyle name="Comma 102" xfId="55" xr:uid="{00000000-0005-0000-0000-000021000000}"/>
    <cellStyle name="Comma 103" xfId="56" xr:uid="{00000000-0005-0000-0000-000022000000}"/>
    <cellStyle name="Comma 104" xfId="57" xr:uid="{00000000-0005-0000-0000-000023000000}"/>
    <cellStyle name="Comma 105" xfId="58" xr:uid="{00000000-0005-0000-0000-000024000000}"/>
    <cellStyle name="Comma 106" xfId="59" xr:uid="{00000000-0005-0000-0000-000025000000}"/>
    <cellStyle name="Comma 107" xfId="60" xr:uid="{00000000-0005-0000-0000-000026000000}"/>
    <cellStyle name="Comma 108" xfId="61" xr:uid="{00000000-0005-0000-0000-000027000000}"/>
    <cellStyle name="Comma 109" xfId="62" xr:uid="{00000000-0005-0000-0000-000028000000}"/>
    <cellStyle name="Comma 11" xfId="63" xr:uid="{00000000-0005-0000-0000-000029000000}"/>
    <cellStyle name="Comma 110" xfId="64" xr:uid="{00000000-0005-0000-0000-00002A000000}"/>
    <cellStyle name="Comma 111" xfId="65" xr:uid="{00000000-0005-0000-0000-00002B000000}"/>
    <cellStyle name="Comma 112" xfId="66" xr:uid="{00000000-0005-0000-0000-00002C000000}"/>
    <cellStyle name="Comma 113" xfId="67" xr:uid="{00000000-0005-0000-0000-00002D000000}"/>
    <cellStyle name="Comma 114" xfId="68" xr:uid="{00000000-0005-0000-0000-00002E000000}"/>
    <cellStyle name="Comma 115" xfId="69" xr:uid="{00000000-0005-0000-0000-00002F000000}"/>
    <cellStyle name="Comma 116" xfId="70" xr:uid="{00000000-0005-0000-0000-000030000000}"/>
    <cellStyle name="Comma 117" xfId="71" xr:uid="{00000000-0005-0000-0000-000031000000}"/>
    <cellStyle name="Comma 118" xfId="72" xr:uid="{00000000-0005-0000-0000-000032000000}"/>
    <cellStyle name="Comma 119" xfId="73" xr:uid="{00000000-0005-0000-0000-000033000000}"/>
    <cellStyle name="Comma 12" xfId="74" xr:uid="{00000000-0005-0000-0000-000034000000}"/>
    <cellStyle name="Comma 120" xfId="75" xr:uid="{00000000-0005-0000-0000-000035000000}"/>
    <cellStyle name="Comma 121" xfId="76" xr:uid="{00000000-0005-0000-0000-000036000000}"/>
    <cellStyle name="Comma 122" xfId="77" xr:uid="{00000000-0005-0000-0000-000037000000}"/>
    <cellStyle name="Comma 123" xfId="78" xr:uid="{00000000-0005-0000-0000-000038000000}"/>
    <cellStyle name="Comma 124" xfId="79" xr:uid="{00000000-0005-0000-0000-000039000000}"/>
    <cellStyle name="Comma 125" xfId="80" xr:uid="{00000000-0005-0000-0000-00003A000000}"/>
    <cellStyle name="Comma 126" xfId="81" xr:uid="{00000000-0005-0000-0000-00003B000000}"/>
    <cellStyle name="Comma 127" xfId="82" xr:uid="{00000000-0005-0000-0000-00003C000000}"/>
    <cellStyle name="Comma 128" xfId="83" xr:uid="{00000000-0005-0000-0000-00003D000000}"/>
    <cellStyle name="Comma 129" xfId="84" xr:uid="{00000000-0005-0000-0000-00003E000000}"/>
    <cellStyle name="Comma 13" xfId="85" xr:uid="{00000000-0005-0000-0000-00003F000000}"/>
    <cellStyle name="Comma 130" xfId="86" xr:uid="{00000000-0005-0000-0000-000040000000}"/>
    <cellStyle name="Comma 131" xfId="87" xr:uid="{00000000-0005-0000-0000-000041000000}"/>
    <cellStyle name="Comma 132" xfId="88" xr:uid="{00000000-0005-0000-0000-000042000000}"/>
    <cellStyle name="Comma 133" xfId="89" xr:uid="{00000000-0005-0000-0000-000043000000}"/>
    <cellStyle name="Comma 134" xfId="90" xr:uid="{00000000-0005-0000-0000-000044000000}"/>
    <cellStyle name="Comma 135" xfId="91" xr:uid="{00000000-0005-0000-0000-000045000000}"/>
    <cellStyle name="Comma 14" xfId="92" xr:uid="{00000000-0005-0000-0000-000046000000}"/>
    <cellStyle name="Comma 15" xfId="93" xr:uid="{00000000-0005-0000-0000-000047000000}"/>
    <cellStyle name="Comma 16" xfId="94" xr:uid="{00000000-0005-0000-0000-000048000000}"/>
    <cellStyle name="Comma 17" xfId="95" xr:uid="{00000000-0005-0000-0000-000049000000}"/>
    <cellStyle name="Comma 18" xfId="96" xr:uid="{00000000-0005-0000-0000-00004A000000}"/>
    <cellStyle name="Comma 19" xfId="97" xr:uid="{00000000-0005-0000-0000-00004B000000}"/>
    <cellStyle name="Comma 2" xfId="9" xr:uid="{00000000-0005-0000-0000-00004C000000}"/>
    <cellStyle name="Comma 2 2" xfId="98" xr:uid="{00000000-0005-0000-0000-00004D000000}"/>
    <cellStyle name="Comma 2 2 2" xfId="99" xr:uid="{00000000-0005-0000-0000-00004E000000}"/>
    <cellStyle name="Comma 2 3" xfId="100" xr:uid="{00000000-0005-0000-0000-00004F000000}"/>
    <cellStyle name="Comma 2 4" xfId="101" xr:uid="{00000000-0005-0000-0000-000050000000}"/>
    <cellStyle name="Comma 2 5" xfId="102" xr:uid="{00000000-0005-0000-0000-000051000000}"/>
    <cellStyle name="Comma 2 6" xfId="103" xr:uid="{00000000-0005-0000-0000-000052000000}"/>
    <cellStyle name="Comma 20" xfId="104" xr:uid="{00000000-0005-0000-0000-000053000000}"/>
    <cellStyle name="Comma 21" xfId="105" xr:uid="{00000000-0005-0000-0000-000054000000}"/>
    <cellStyle name="Comma 22" xfId="106" xr:uid="{00000000-0005-0000-0000-000055000000}"/>
    <cellStyle name="Comma 23" xfId="107" xr:uid="{00000000-0005-0000-0000-000056000000}"/>
    <cellStyle name="Comma 24" xfId="108" xr:uid="{00000000-0005-0000-0000-000057000000}"/>
    <cellStyle name="Comma 25" xfId="109" xr:uid="{00000000-0005-0000-0000-000058000000}"/>
    <cellStyle name="Comma 26" xfId="110" xr:uid="{00000000-0005-0000-0000-000059000000}"/>
    <cellStyle name="Comma 27" xfId="111" xr:uid="{00000000-0005-0000-0000-00005A000000}"/>
    <cellStyle name="Comma 28" xfId="112" xr:uid="{00000000-0005-0000-0000-00005B000000}"/>
    <cellStyle name="Comma 29" xfId="113" xr:uid="{00000000-0005-0000-0000-00005C000000}"/>
    <cellStyle name="Comma 3" xfId="114" xr:uid="{00000000-0005-0000-0000-00005D000000}"/>
    <cellStyle name="Comma 3 2" xfId="115" xr:uid="{00000000-0005-0000-0000-00005E000000}"/>
    <cellStyle name="Comma 3 3" xfId="116" xr:uid="{00000000-0005-0000-0000-00005F000000}"/>
    <cellStyle name="Comma 3 4" xfId="117" xr:uid="{00000000-0005-0000-0000-000060000000}"/>
    <cellStyle name="Comma 3 5" xfId="118" xr:uid="{00000000-0005-0000-0000-000061000000}"/>
    <cellStyle name="Comma 3 6" xfId="119" xr:uid="{00000000-0005-0000-0000-000062000000}"/>
    <cellStyle name="Comma 30" xfId="120" xr:uid="{00000000-0005-0000-0000-000063000000}"/>
    <cellStyle name="Comma 31" xfId="121" xr:uid="{00000000-0005-0000-0000-000064000000}"/>
    <cellStyle name="Comma 32" xfId="122" xr:uid="{00000000-0005-0000-0000-000065000000}"/>
    <cellStyle name="Comma 33" xfId="123" xr:uid="{00000000-0005-0000-0000-000066000000}"/>
    <cellStyle name="Comma 34" xfId="124" xr:uid="{00000000-0005-0000-0000-000067000000}"/>
    <cellStyle name="Comma 35" xfId="125" xr:uid="{00000000-0005-0000-0000-000068000000}"/>
    <cellStyle name="Comma 36" xfId="126" xr:uid="{00000000-0005-0000-0000-000069000000}"/>
    <cellStyle name="Comma 37" xfId="127" xr:uid="{00000000-0005-0000-0000-00006A000000}"/>
    <cellStyle name="Comma 38" xfId="128" xr:uid="{00000000-0005-0000-0000-00006B000000}"/>
    <cellStyle name="Comma 39" xfId="129" xr:uid="{00000000-0005-0000-0000-00006C000000}"/>
    <cellStyle name="Comma 4" xfId="130" xr:uid="{00000000-0005-0000-0000-00006D000000}"/>
    <cellStyle name="Comma 40" xfId="131" xr:uid="{00000000-0005-0000-0000-00006E000000}"/>
    <cellStyle name="Comma 41" xfId="132" xr:uid="{00000000-0005-0000-0000-00006F000000}"/>
    <cellStyle name="Comma 42" xfId="133" xr:uid="{00000000-0005-0000-0000-000070000000}"/>
    <cellStyle name="Comma 43" xfId="134" xr:uid="{00000000-0005-0000-0000-000071000000}"/>
    <cellStyle name="Comma 44" xfId="135" xr:uid="{00000000-0005-0000-0000-000072000000}"/>
    <cellStyle name="Comma 45" xfId="136" xr:uid="{00000000-0005-0000-0000-000073000000}"/>
    <cellStyle name="Comma 46" xfId="137" xr:uid="{00000000-0005-0000-0000-000074000000}"/>
    <cellStyle name="Comma 47" xfId="138" xr:uid="{00000000-0005-0000-0000-000075000000}"/>
    <cellStyle name="Comma 48" xfId="139" xr:uid="{00000000-0005-0000-0000-000076000000}"/>
    <cellStyle name="Comma 49" xfId="140" xr:uid="{00000000-0005-0000-0000-000077000000}"/>
    <cellStyle name="Comma 5" xfId="141" xr:uid="{00000000-0005-0000-0000-000078000000}"/>
    <cellStyle name="Comma 50" xfId="142" xr:uid="{00000000-0005-0000-0000-000079000000}"/>
    <cellStyle name="Comma 51" xfId="143" xr:uid="{00000000-0005-0000-0000-00007A000000}"/>
    <cellStyle name="Comma 52" xfId="144" xr:uid="{00000000-0005-0000-0000-00007B000000}"/>
    <cellStyle name="Comma 53" xfId="145" xr:uid="{00000000-0005-0000-0000-00007C000000}"/>
    <cellStyle name="Comma 54" xfId="146" xr:uid="{00000000-0005-0000-0000-00007D000000}"/>
    <cellStyle name="Comma 54 2" xfId="147" xr:uid="{00000000-0005-0000-0000-00007E000000}"/>
    <cellStyle name="Comma 55" xfId="148" xr:uid="{00000000-0005-0000-0000-00007F000000}"/>
    <cellStyle name="Comma 56" xfId="149" xr:uid="{00000000-0005-0000-0000-000080000000}"/>
    <cellStyle name="Comma 56 2" xfId="150" xr:uid="{00000000-0005-0000-0000-000081000000}"/>
    <cellStyle name="Comma 56 3" xfId="151" xr:uid="{00000000-0005-0000-0000-000082000000}"/>
    <cellStyle name="Comma 57" xfId="152" xr:uid="{00000000-0005-0000-0000-000083000000}"/>
    <cellStyle name="Comma 58" xfId="153" xr:uid="{00000000-0005-0000-0000-000084000000}"/>
    <cellStyle name="Comma 59" xfId="154" xr:uid="{00000000-0005-0000-0000-000085000000}"/>
    <cellStyle name="Comma 6" xfId="155" xr:uid="{00000000-0005-0000-0000-000086000000}"/>
    <cellStyle name="Comma 60" xfId="156" xr:uid="{00000000-0005-0000-0000-000087000000}"/>
    <cellStyle name="Comma 61" xfId="157" xr:uid="{00000000-0005-0000-0000-000088000000}"/>
    <cellStyle name="Comma 62" xfId="158" xr:uid="{00000000-0005-0000-0000-000089000000}"/>
    <cellStyle name="Comma 63" xfId="159" xr:uid="{00000000-0005-0000-0000-00008A000000}"/>
    <cellStyle name="Comma 64" xfId="160" xr:uid="{00000000-0005-0000-0000-00008B000000}"/>
    <cellStyle name="Comma 65" xfId="161" xr:uid="{00000000-0005-0000-0000-00008C000000}"/>
    <cellStyle name="Comma 66" xfId="162" xr:uid="{00000000-0005-0000-0000-00008D000000}"/>
    <cellStyle name="Comma 67" xfId="163" xr:uid="{00000000-0005-0000-0000-00008E000000}"/>
    <cellStyle name="Comma 68" xfId="164" xr:uid="{00000000-0005-0000-0000-00008F000000}"/>
    <cellStyle name="Comma 69" xfId="165" xr:uid="{00000000-0005-0000-0000-000090000000}"/>
    <cellStyle name="Comma 7" xfId="166" xr:uid="{00000000-0005-0000-0000-000091000000}"/>
    <cellStyle name="Comma 70" xfId="167" xr:uid="{00000000-0005-0000-0000-000092000000}"/>
    <cellStyle name="Comma 71" xfId="168" xr:uid="{00000000-0005-0000-0000-000093000000}"/>
    <cellStyle name="Comma 72" xfId="169" xr:uid="{00000000-0005-0000-0000-000094000000}"/>
    <cellStyle name="Comma 73" xfId="170" xr:uid="{00000000-0005-0000-0000-000095000000}"/>
    <cellStyle name="Comma 74" xfId="171" xr:uid="{00000000-0005-0000-0000-000096000000}"/>
    <cellStyle name="Comma 75" xfId="172" xr:uid="{00000000-0005-0000-0000-000097000000}"/>
    <cellStyle name="Comma 76" xfId="173" xr:uid="{00000000-0005-0000-0000-000098000000}"/>
    <cellStyle name="Comma 77" xfId="174" xr:uid="{00000000-0005-0000-0000-000099000000}"/>
    <cellStyle name="Comma 78" xfId="175" xr:uid="{00000000-0005-0000-0000-00009A000000}"/>
    <cellStyle name="Comma 79" xfId="176" xr:uid="{00000000-0005-0000-0000-00009B000000}"/>
    <cellStyle name="Comma 8" xfId="177" xr:uid="{00000000-0005-0000-0000-00009C000000}"/>
    <cellStyle name="Comma 80" xfId="178" xr:uid="{00000000-0005-0000-0000-00009D000000}"/>
    <cellStyle name="Comma 81" xfId="179" xr:uid="{00000000-0005-0000-0000-00009E000000}"/>
    <cellStyle name="Comma 82" xfId="180" xr:uid="{00000000-0005-0000-0000-00009F000000}"/>
    <cellStyle name="Comma 83" xfId="181" xr:uid="{00000000-0005-0000-0000-0000A0000000}"/>
    <cellStyle name="Comma 84" xfId="182" xr:uid="{00000000-0005-0000-0000-0000A1000000}"/>
    <cellStyle name="Comma 85" xfId="183" xr:uid="{00000000-0005-0000-0000-0000A2000000}"/>
    <cellStyle name="Comma 86" xfId="184" xr:uid="{00000000-0005-0000-0000-0000A3000000}"/>
    <cellStyle name="Comma 87" xfId="185" xr:uid="{00000000-0005-0000-0000-0000A4000000}"/>
    <cellStyle name="Comma 88" xfId="186" xr:uid="{00000000-0005-0000-0000-0000A5000000}"/>
    <cellStyle name="Comma 89" xfId="187" xr:uid="{00000000-0005-0000-0000-0000A6000000}"/>
    <cellStyle name="Comma 9" xfId="188" xr:uid="{00000000-0005-0000-0000-0000A7000000}"/>
    <cellStyle name="Comma 90" xfId="189" xr:uid="{00000000-0005-0000-0000-0000A8000000}"/>
    <cellStyle name="Comma 91" xfId="190" xr:uid="{00000000-0005-0000-0000-0000A9000000}"/>
    <cellStyle name="Comma 92" xfId="191" xr:uid="{00000000-0005-0000-0000-0000AA000000}"/>
    <cellStyle name="Comma 93" xfId="192" xr:uid="{00000000-0005-0000-0000-0000AB000000}"/>
    <cellStyle name="Comma 94" xfId="193" xr:uid="{00000000-0005-0000-0000-0000AC000000}"/>
    <cellStyle name="Comma 95" xfId="194" xr:uid="{00000000-0005-0000-0000-0000AD000000}"/>
    <cellStyle name="Comma 96" xfId="195" xr:uid="{00000000-0005-0000-0000-0000AE000000}"/>
    <cellStyle name="Comma 97" xfId="196" xr:uid="{00000000-0005-0000-0000-0000AF000000}"/>
    <cellStyle name="Comma 98" xfId="197" xr:uid="{00000000-0005-0000-0000-0000B0000000}"/>
    <cellStyle name="Comma 99" xfId="198" xr:uid="{00000000-0005-0000-0000-0000B1000000}"/>
    <cellStyle name="Currency [0] 2" xfId="199" xr:uid="{00000000-0005-0000-0000-0000B3000000}"/>
    <cellStyle name="Currency 10" xfId="200" xr:uid="{00000000-0005-0000-0000-0000B4000000}"/>
    <cellStyle name="Currency 100" xfId="201" xr:uid="{00000000-0005-0000-0000-0000B5000000}"/>
    <cellStyle name="Currency 101" xfId="202" xr:uid="{00000000-0005-0000-0000-0000B6000000}"/>
    <cellStyle name="Currency 102" xfId="203" xr:uid="{00000000-0005-0000-0000-0000B7000000}"/>
    <cellStyle name="Currency 103" xfId="204" xr:uid="{00000000-0005-0000-0000-0000B8000000}"/>
    <cellStyle name="Currency 104" xfId="205" xr:uid="{00000000-0005-0000-0000-0000B9000000}"/>
    <cellStyle name="Currency 105" xfId="206" xr:uid="{00000000-0005-0000-0000-0000BA000000}"/>
    <cellStyle name="Currency 106" xfId="207" xr:uid="{00000000-0005-0000-0000-0000BB000000}"/>
    <cellStyle name="Currency 107" xfId="208" xr:uid="{00000000-0005-0000-0000-0000BC000000}"/>
    <cellStyle name="Currency 108" xfId="209" xr:uid="{00000000-0005-0000-0000-0000BD000000}"/>
    <cellStyle name="Currency 109" xfId="210" xr:uid="{00000000-0005-0000-0000-0000BE000000}"/>
    <cellStyle name="Currency 11" xfId="211" xr:uid="{00000000-0005-0000-0000-0000BF000000}"/>
    <cellStyle name="Currency 110" xfId="212" xr:uid="{00000000-0005-0000-0000-0000C0000000}"/>
    <cellStyle name="Currency 111" xfId="213" xr:uid="{00000000-0005-0000-0000-0000C1000000}"/>
    <cellStyle name="Currency 112" xfId="214" xr:uid="{00000000-0005-0000-0000-0000C2000000}"/>
    <cellStyle name="Currency 113" xfId="215" xr:uid="{00000000-0005-0000-0000-0000C3000000}"/>
    <cellStyle name="Currency 114" xfId="216" xr:uid="{00000000-0005-0000-0000-0000C4000000}"/>
    <cellStyle name="Currency 115" xfId="217" xr:uid="{00000000-0005-0000-0000-0000C5000000}"/>
    <cellStyle name="Currency 116" xfId="218" xr:uid="{00000000-0005-0000-0000-0000C6000000}"/>
    <cellStyle name="Currency 117" xfId="219" xr:uid="{00000000-0005-0000-0000-0000C7000000}"/>
    <cellStyle name="Currency 118" xfId="220" xr:uid="{00000000-0005-0000-0000-0000C8000000}"/>
    <cellStyle name="Currency 119" xfId="221" xr:uid="{00000000-0005-0000-0000-0000C9000000}"/>
    <cellStyle name="Currency 12" xfId="222" xr:uid="{00000000-0005-0000-0000-0000CA000000}"/>
    <cellStyle name="Currency 120" xfId="223" xr:uid="{00000000-0005-0000-0000-0000CB000000}"/>
    <cellStyle name="Currency 121" xfId="224" xr:uid="{00000000-0005-0000-0000-0000CC000000}"/>
    <cellStyle name="Currency 122" xfId="225" xr:uid="{00000000-0005-0000-0000-0000CD000000}"/>
    <cellStyle name="Currency 123" xfId="226" xr:uid="{00000000-0005-0000-0000-0000CE000000}"/>
    <cellStyle name="Currency 124" xfId="227" xr:uid="{00000000-0005-0000-0000-0000CF000000}"/>
    <cellStyle name="Currency 125" xfId="228" xr:uid="{00000000-0005-0000-0000-0000D0000000}"/>
    <cellStyle name="Currency 126" xfId="229" xr:uid="{00000000-0005-0000-0000-0000D1000000}"/>
    <cellStyle name="Currency 127" xfId="230" xr:uid="{00000000-0005-0000-0000-0000D2000000}"/>
    <cellStyle name="Currency 128" xfId="231" xr:uid="{00000000-0005-0000-0000-0000D3000000}"/>
    <cellStyle name="Currency 13" xfId="232" xr:uid="{00000000-0005-0000-0000-0000D4000000}"/>
    <cellStyle name="Currency 14" xfId="233" xr:uid="{00000000-0005-0000-0000-0000D5000000}"/>
    <cellStyle name="Currency 15" xfId="234" xr:uid="{00000000-0005-0000-0000-0000D6000000}"/>
    <cellStyle name="Currency 16" xfId="235" xr:uid="{00000000-0005-0000-0000-0000D7000000}"/>
    <cellStyle name="Currency 17" xfId="236" xr:uid="{00000000-0005-0000-0000-0000D8000000}"/>
    <cellStyle name="Currency 18" xfId="237" xr:uid="{00000000-0005-0000-0000-0000D9000000}"/>
    <cellStyle name="Currency 19" xfId="238" xr:uid="{00000000-0005-0000-0000-0000DA000000}"/>
    <cellStyle name="Currency 2" xfId="11" xr:uid="{00000000-0005-0000-0000-0000DB000000}"/>
    <cellStyle name="Currency 2 2" xfId="239" xr:uid="{00000000-0005-0000-0000-0000DC000000}"/>
    <cellStyle name="Currency 2 2 2" xfId="240" xr:uid="{00000000-0005-0000-0000-0000DD000000}"/>
    <cellStyle name="Currency 2 3" xfId="241" xr:uid="{00000000-0005-0000-0000-0000DE000000}"/>
    <cellStyle name="Currency 2 4" xfId="242" xr:uid="{00000000-0005-0000-0000-0000DF000000}"/>
    <cellStyle name="Currency 20" xfId="243" xr:uid="{00000000-0005-0000-0000-0000E0000000}"/>
    <cellStyle name="Currency 21" xfId="244" xr:uid="{00000000-0005-0000-0000-0000E1000000}"/>
    <cellStyle name="Currency 22" xfId="245" xr:uid="{00000000-0005-0000-0000-0000E2000000}"/>
    <cellStyle name="Currency 23" xfId="246" xr:uid="{00000000-0005-0000-0000-0000E3000000}"/>
    <cellStyle name="Currency 24" xfId="247" xr:uid="{00000000-0005-0000-0000-0000E4000000}"/>
    <cellStyle name="Currency 25" xfId="248" xr:uid="{00000000-0005-0000-0000-0000E5000000}"/>
    <cellStyle name="Currency 26" xfId="249" xr:uid="{00000000-0005-0000-0000-0000E6000000}"/>
    <cellStyle name="Currency 27" xfId="250" xr:uid="{00000000-0005-0000-0000-0000E7000000}"/>
    <cellStyle name="Currency 28" xfId="251" xr:uid="{00000000-0005-0000-0000-0000E8000000}"/>
    <cellStyle name="Currency 29" xfId="252" xr:uid="{00000000-0005-0000-0000-0000E9000000}"/>
    <cellStyle name="Currency 3" xfId="10" xr:uid="{00000000-0005-0000-0000-0000EA000000}"/>
    <cellStyle name="Currency 3 2" xfId="253" xr:uid="{00000000-0005-0000-0000-0000EB000000}"/>
    <cellStyle name="Currency 3 3" xfId="254" xr:uid="{00000000-0005-0000-0000-0000EC000000}"/>
    <cellStyle name="Currency 30" xfId="255" xr:uid="{00000000-0005-0000-0000-0000ED000000}"/>
    <cellStyle name="Currency 31" xfId="256" xr:uid="{00000000-0005-0000-0000-0000EE000000}"/>
    <cellStyle name="Currency 32" xfId="257" xr:uid="{00000000-0005-0000-0000-0000EF000000}"/>
    <cellStyle name="Currency 33" xfId="258" xr:uid="{00000000-0005-0000-0000-0000F0000000}"/>
    <cellStyle name="Currency 34" xfId="259" xr:uid="{00000000-0005-0000-0000-0000F1000000}"/>
    <cellStyle name="Currency 35" xfId="260" xr:uid="{00000000-0005-0000-0000-0000F2000000}"/>
    <cellStyle name="Currency 36" xfId="261" xr:uid="{00000000-0005-0000-0000-0000F3000000}"/>
    <cellStyle name="Currency 37" xfId="262" xr:uid="{00000000-0005-0000-0000-0000F4000000}"/>
    <cellStyle name="Currency 38" xfId="263" xr:uid="{00000000-0005-0000-0000-0000F5000000}"/>
    <cellStyle name="Currency 39" xfId="264" xr:uid="{00000000-0005-0000-0000-0000F6000000}"/>
    <cellStyle name="Currency 4" xfId="265" xr:uid="{00000000-0005-0000-0000-0000F7000000}"/>
    <cellStyle name="Currency 4 2" xfId="266" xr:uid="{00000000-0005-0000-0000-0000F8000000}"/>
    <cellStyle name="Currency 40" xfId="267" xr:uid="{00000000-0005-0000-0000-0000F9000000}"/>
    <cellStyle name="Currency 41" xfId="268" xr:uid="{00000000-0005-0000-0000-0000FA000000}"/>
    <cellStyle name="Currency 42" xfId="269" xr:uid="{00000000-0005-0000-0000-0000FB000000}"/>
    <cellStyle name="Currency 43" xfId="270" xr:uid="{00000000-0005-0000-0000-0000FC000000}"/>
    <cellStyle name="Currency 44" xfId="271" xr:uid="{00000000-0005-0000-0000-0000FD000000}"/>
    <cellStyle name="Currency 45" xfId="272" xr:uid="{00000000-0005-0000-0000-0000FE000000}"/>
    <cellStyle name="Currency 46" xfId="273" xr:uid="{00000000-0005-0000-0000-0000FF000000}"/>
    <cellStyle name="Currency 47" xfId="274" xr:uid="{00000000-0005-0000-0000-000000010000}"/>
    <cellStyle name="Currency 48" xfId="275" xr:uid="{00000000-0005-0000-0000-000001010000}"/>
    <cellStyle name="Currency 49" xfId="276" xr:uid="{00000000-0005-0000-0000-000002010000}"/>
    <cellStyle name="Currency 5" xfId="277" xr:uid="{00000000-0005-0000-0000-000003010000}"/>
    <cellStyle name="Currency 50" xfId="278" xr:uid="{00000000-0005-0000-0000-000004010000}"/>
    <cellStyle name="Currency 51" xfId="279" xr:uid="{00000000-0005-0000-0000-000005010000}"/>
    <cellStyle name="Currency 52" xfId="280" xr:uid="{00000000-0005-0000-0000-000006010000}"/>
    <cellStyle name="Currency 53" xfId="281" xr:uid="{00000000-0005-0000-0000-000007010000}"/>
    <cellStyle name="Currency 54" xfId="282" xr:uid="{00000000-0005-0000-0000-000008010000}"/>
    <cellStyle name="Currency 54 2" xfId="283" xr:uid="{00000000-0005-0000-0000-000009010000}"/>
    <cellStyle name="Currency 55" xfId="284" xr:uid="{00000000-0005-0000-0000-00000A010000}"/>
    <cellStyle name="Currency 55 2" xfId="285" xr:uid="{00000000-0005-0000-0000-00000B010000}"/>
    <cellStyle name="Currency 56" xfId="286" xr:uid="{00000000-0005-0000-0000-00000C010000}"/>
    <cellStyle name="Currency 57" xfId="287" xr:uid="{00000000-0005-0000-0000-00000D010000}"/>
    <cellStyle name="Currency 58" xfId="288" xr:uid="{00000000-0005-0000-0000-00000E010000}"/>
    <cellStyle name="Currency 59" xfId="289" xr:uid="{00000000-0005-0000-0000-00000F010000}"/>
    <cellStyle name="Currency 6" xfId="290" xr:uid="{00000000-0005-0000-0000-000010010000}"/>
    <cellStyle name="Currency 60" xfId="291" xr:uid="{00000000-0005-0000-0000-000011010000}"/>
    <cellStyle name="Currency 61" xfId="292" xr:uid="{00000000-0005-0000-0000-000012010000}"/>
    <cellStyle name="Currency 62" xfId="293" xr:uid="{00000000-0005-0000-0000-000013010000}"/>
    <cellStyle name="Currency 63" xfId="294" xr:uid="{00000000-0005-0000-0000-000014010000}"/>
    <cellStyle name="Currency 64" xfId="295" xr:uid="{00000000-0005-0000-0000-000015010000}"/>
    <cellStyle name="Currency 65" xfId="296" xr:uid="{00000000-0005-0000-0000-000016010000}"/>
    <cellStyle name="Currency 66" xfId="297" xr:uid="{00000000-0005-0000-0000-000017010000}"/>
    <cellStyle name="Currency 67" xfId="298" xr:uid="{00000000-0005-0000-0000-000018010000}"/>
    <cellStyle name="Currency 68" xfId="299" xr:uid="{00000000-0005-0000-0000-000019010000}"/>
    <cellStyle name="Currency 69" xfId="300" xr:uid="{00000000-0005-0000-0000-00001A010000}"/>
    <cellStyle name="Currency 7" xfId="301" xr:uid="{00000000-0005-0000-0000-00001B010000}"/>
    <cellStyle name="Currency 70" xfId="302" xr:uid="{00000000-0005-0000-0000-00001C010000}"/>
    <cellStyle name="Currency 71" xfId="303" xr:uid="{00000000-0005-0000-0000-00001D010000}"/>
    <cellStyle name="Currency 72" xfId="304" xr:uid="{00000000-0005-0000-0000-00001E010000}"/>
    <cellStyle name="Currency 73" xfId="305" xr:uid="{00000000-0005-0000-0000-00001F010000}"/>
    <cellStyle name="Currency 74" xfId="306" xr:uid="{00000000-0005-0000-0000-000020010000}"/>
    <cellStyle name="Currency 75" xfId="307" xr:uid="{00000000-0005-0000-0000-000021010000}"/>
    <cellStyle name="Currency 76" xfId="308" xr:uid="{00000000-0005-0000-0000-000022010000}"/>
    <cellStyle name="Currency 77" xfId="309" xr:uid="{00000000-0005-0000-0000-000023010000}"/>
    <cellStyle name="Currency 78" xfId="310" xr:uid="{00000000-0005-0000-0000-000024010000}"/>
    <cellStyle name="Currency 79" xfId="311" xr:uid="{00000000-0005-0000-0000-000025010000}"/>
    <cellStyle name="Currency 8" xfId="312" xr:uid="{00000000-0005-0000-0000-000026010000}"/>
    <cellStyle name="Currency 80" xfId="313" xr:uid="{00000000-0005-0000-0000-000027010000}"/>
    <cellStyle name="Currency 81" xfId="314" xr:uid="{00000000-0005-0000-0000-000028010000}"/>
    <cellStyle name="Currency 82" xfId="315" xr:uid="{00000000-0005-0000-0000-000029010000}"/>
    <cellStyle name="Currency 83" xfId="316" xr:uid="{00000000-0005-0000-0000-00002A010000}"/>
    <cellStyle name="Currency 84" xfId="317" xr:uid="{00000000-0005-0000-0000-00002B010000}"/>
    <cellStyle name="Currency 85" xfId="318" xr:uid="{00000000-0005-0000-0000-00002C010000}"/>
    <cellStyle name="Currency 86" xfId="319" xr:uid="{00000000-0005-0000-0000-00002D010000}"/>
    <cellStyle name="Currency 87" xfId="320" xr:uid="{00000000-0005-0000-0000-00002E010000}"/>
    <cellStyle name="Currency 88" xfId="321" xr:uid="{00000000-0005-0000-0000-00002F010000}"/>
    <cellStyle name="Currency 89" xfId="322" xr:uid="{00000000-0005-0000-0000-000030010000}"/>
    <cellStyle name="Currency 9" xfId="323" xr:uid="{00000000-0005-0000-0000-000031010000}"/>
    <cellStyle name="Currency 90" xfId="324" xr:uid="{00000000-0005-0000-0000-000032010000}"/>
    <cellStyle name="Currency 91" xfId="325" xr:uid="{00000000-0005-0000-0000-000033010000}"/>
    <cellStyle name="Currency 92" xfId="326" xr:uid="{00000000-0005-0000-0000-000034010000}"/>
    <cellStyle name="Currency 93" xfId="327" xr:uid="{00000000-0005-0000-0000-000035010000}"/>
    <cellStyle name="Currency 94" xfId="328" xr:uid="{00000000-0005-0000-0000-000036010000}"/>
    <cellStyle name="Currency 95" xfId="329" xr:uid="{00000000-0005-0000-0000-000037010000}"/>
    <cellStyle name="Currency 96" xfId="330" xr:uid="{00000000-0005-0000-0000-000038010000}"/>
    <cellStyle name="Currency 97" xfId="331" xr:uid="{00000000-0005-0000-0000-000039010000}"/>
    <cellStyle name="Currency 98" xfId="332" xr:uid="{00000000-0005-0000-0000-00003A010000}"/>
    <cellStyle name="Currency 99" xfId="333" xr:uid="{00000000-0005-0000-0000-00003B010000}"/>
    <cellStyle name="Explanatory Text 2" xfId="334" xr:uid="{00000000-0005-0000-0000-00003C010000}"/>
    <cellStyle name="Good 2" xfId="335" xr:uid="{00000000-0005-0000-0000-000042010000}"/>
    <cellStyle name="Heading 1 2" xfId="336" xr:uid="{00000000-0005-0000-0000-000043010000}"/>
    <cellStyle name="Heading 2 2" xfId="337" xr:uid="{00000000-0005-0000-0000-000044010000}"/>
    <cellStyle name="Heading 3 2" xfId="338" xr:uid="{00000000-0005-0000-0000-000045010000}"/>
    <cellStyle name="Heading 4 2" xfId="339" xr:uid="{00000000-0005-0000-0000-000046010000}"/>
    <cellStyle name="Hipervínculo" xfId="1" builtinId="8" hidden="1"/>
    <cellStyle name="Hipervínculo" xfId="15" builtinId="8" hidden="1"/>
    <cellStyle name="Hipervínculo" xfId="13" builtinId="8" hidden="1"/>
    <cellStyle name="Hipervínculo" xfId="6" builtinId="8" hidden="1"/>
    <cellStyle name="Hipervínculo" xfId="17" builtinId="8" hidden="1"/>
    <cellStyle name="Hipervínculo visitado" xfId="2" builtinId="9" hidden="1"/>
    <cellStyle name="Hipervínculo visitado" xfId="16" builtinId="9" hidden="1"/>
    <cellStyle name="Hipervínculo visitado" xfId="14" builtinId="9" hidden="1"/>
    <cellStyle name="Hipervínculo visitado" xfId="7" builtinId="9" hidden="1"/>
    <cellStyle name="Hipervínculo visitado" xfId="18" builtinId="9" hidden="1"/>
    <cellStyle name="Input 2" xfId="340" xr:uid="{00000000-0005-0000-0000-00004C010000}"/>
    <cellStyle name="Linked Cell 2" xfId="341" xr:uid="{00000000-0005-0000-0000-00004D010000}"/>
    <cellStyle name="Millares" xfId="19" builtinId="3"/>
    <cellStyle name="Millares [0]" xfId="3" builtinId="6"/>
    <cellStyle name="Millares 2" xfId="342" xr:uid="{00000000-0005-0000-0000-00004E010000}"/>
    <cellStyle name="Millares 3" xfId="343" xr:uid="{00000000-0005-0000-0000-00004F010000}"/>
    <cellStyle name="Moneda" xfId="4" builtinId="4"/>
    <cellStyle name="Neutral 2" xfId="344" xr:uid="{00000000-0005-0000-0000-000050010000}"/>
    <cellStyle name="Normal" xfId="0" builtinId="0"/>
    <cellStyle name="Normal 2" xfId="5" xr:uid="{00000000-0005-0000-0000-000052010000}"/>
    <cellStyle name="Normal 2 2" xfId="345" xr:uid="{00000000-0005-0000-0000-000053010000}"/>
    <cellStyle name="Normal 2 2 2" xfId="346" xr:uid="{00000000-0005-0000-0000-000054010000}"/>
    <cellStyle name="Normal 2 2 3" xfId="347" xr:uid="{00000000-0005-0000-0000-000055010000}"/>
    <cellStyle name="Normal 2 2 4" xfId="348" xr:uid="{00000000-0005-0000-0000-000056010000}"/>
    <cellStyle name="Normal 2 3" xfId="349" xr:uid="{00000000-0005-0000-0000-000057010000}"/>
    <cellStyle name="Normal 2 4" xfId="350" xr:uid="{00000000-0005-0000-0000-000058010000}"/>
    <cellStyle name="Normal 2 5" xfId="351" xr:uid="{00000000-0005-0000-0000-000059010000}"/>
    <cellStyle name="Normal 2 6" xfId="352" xr:uid="{00000000-0005-0000-0000-00005A010000}"/>
    <cellStyle name="Normal 3" xfId="8" xr:uid="{00000000-0005-0000-0000-00005B010000}"/>
    <cellStyle name="Normal 3 2" xfId="353" xr:uid="{00000000-0005-0000-0000-00005C010000}"/>
    <cellStyle name="Normal 3 3" xfId="354" xr:uid="{00000000-0005-0000-0000-00005D010000}"/>
    <cellStyle name="Normal 4" xfId="22" xr:uid="{00000000-0005-0000-0000-00005E010000}"/>
    <cellStyle name="Normal 4 2" xfId="355" xr:uid="{00000000-0005-0000-0000-00005F010000}"/>
    <cellStyle name="Normal 4 3" xfId="356" xr:uid="{00000000-0005-0000-0000-000060010000}"/>
    <cellStyle name="Normal 4 4" xfId="357" xr:uid="{00000000-0005-0000-0000-000061010000}"/>
    <cellStyle name="Normal 4 5" xfId="358" xr:uid="{00000000-0005-0000-0000-000062010000}"/>
    <cellStyle name="Normal 5" xfId="359" xr:uid="{00000000-0005-0000-0000-000063010000}"/>
    <cellStyle name="Normal 5 2" xfId="360" xr:uid="{00000000-0005-0000-0000-000064010000}"/>
    <cellStyle name="Normal 5 3" xfId="361" xr:uid="{00000000-0005-0000-0000-000065010000}"/>
    <cellStyle name="Normal 6" xfId="362" xr:uid="{00000000-0005-0000-0000-000066010000}"/>
    <cellStyle name="Normal 7" xfId="363" xr:uid="{00000000-0005-0000-0000-000067010000}"/>
    <cellStyle name="Normal 8" xfId="364" xr:uid="{00000000-0005-0000-0000-000068010000}"/>
    <cellStyle name="Normal 9" xfId="21" xr:uid="{00000000-0005-0000-0000-000069010000}"/>
    <cellStyle name="Note 2" xfId="365" xr:uid="{00000000-0005-0000-0000-00006A010000}"/>
    <cellStyle name="Output 2" xfId="366" xr:uid="{00000000-0005-0000-0000-00006B010000}"/>
    <cellStyle name="Percent 2" xfId="12" xr:uid="{00000000-0005-0000-0000-00006D010000}"/>
    <cellStyle name="Percent 2 2" xfId="367" xr:uid="{00000000-0005-0000-0000-00006E010000}"/>
    <cellStyle name="Percent 2 3" xfId="368" xr:uid="{00000000-0005-0000-0000-00006F010000}"/>
    <cellStyle name="Percent 3" xfId="369" xr:uid="{00000000-0005-0000-0000-000070010000}"/>
    <cellStyle name="Percent 3 2" xfId="370" xr:uid="{00000000-0005-0000-0000-000071010000}"/>
    <cellStyle name="Percent 4" xfId="371" xr:uid="{00000000-0005-0000-0000-000072010000}"/>
    <cellStyle name="Percent 4 2" xfId="372" xr:uid="{00000000-0005-0000-0000-000073010000}"/>
    <cellStyle name="Percent 5" xfId="373" xr:uid="{00000000-0005-0000-0000-000074010000}"/>
    <cellStyle name="Percent 6" xfId="374" xr:uid="{00000000-0005-0000-0000-000075010000}"/>
    <cellStyle name="Percent 7" xfId="375" xr:uid="{00000000-0005-0000-0000-000076010000}"/>
    <cellStyle name="Percent 8" xfId="23" xr:uid="{00000000-0005-0000-0000-000077010000}"/>
    <cellStyle name="Porcentaje" xfId="20" builtinId="5"/>
    <cellStyle name="Title 2" xfId="376" xr:uid="{00000000-0005-0000-0000-000078010000}"/>
    <cellStyle name="Total 2" xfId="377" xr:uid="{00000000-0005-0000-0000-000079010000}"/>
    <cellStyle name="Total 2 10" xfId="378" xr:uid="{00000000-0005-0000-0000-00007A010000}"/>
    <cellStyle name="Total 2 11" xfId="379" xr:uid="{00000000-0005-0000-0000-00007B010000}"/>
    <cellStyle name="Total 2 12" xfId="380" xr:uid="{00000000-0005-0000-0000-00007C010000}"/>
    <cellStyle name="Total 2 13" xfId="381" xr:uid="{00000000-0005-0000-0000-00007D010000}"/>
    <cellStyle name="Total 2 14" xfId="382" xr:uid="{00000000-0005-0000-0000-00007E010000}"/>
    <cellStyle name="Total 2 15" xfId="383" xr:uid="{00000000-0005-0000-0000-00007F010000}"/>
    <cellStyle name="Total 2 16" xfId="384" xr:uid="{00000000-0005-0000-0000-000080010000}"/>
    <cellStyle name="Total 2 2" xfId="385" xr:uid="{00000000-0005-0000-0000-000081010000}"/>
    <cellStyle name="Total 2 3" xfId="386" xr:uid="{00000000-0005-0000-0000-000082010000}"/>
    <cellStyle name="Total 2 4" xfId="387" xr:uid="{00000000-0005-0000-0000-000083010000}"/>
    <cellStyle name="Total 2 5" xfId="388" xr:uid="{00000000-0005-0000-0000-000084010000}"/>
    <cellStyle name="Total 2 6" xfId="389" xr:uid="{00000000-0005-0000-0000-000085010000}"/>
    <cellStyle name="Total 2 7" xfId="390" xr:uid="{00000000-0005-0000-0000-000086010000}"/>
    <cellStyle name="Total 2 8" xfId="391" xr:uid="{00000000-0005-0000-0000-000087010000}"/>
    <cellStyle name="Total 2 9" xfId="392" xr:uid="{00000000-0005-0000-0000-000088010000}"/>
    <cellStyle name="Warning Text 2" xfId="393" xr:uid="{00000000-0005-0000-0000-000089010000}"/>
  </cellStyles>
  <dxfs count="0"/>
  <tableStyles count="0" defaultTableStyle="TableStyleMedium9" defaultPivotStyle="PivotStyleMedium4"/>
  <colors>
    <mruColors>
      <color rgb="FF66FF33"/>
      <color rgb="FF00CCFF"/>
      <color rgb="FF00FF00"/>
      <color rgb="FFFFCCFF"/>
      <color rgb="FFCCECFF"/>
      <color rgb="FFFFFFCC"/>
      <color rgb="FF99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971550</xdr:colOff>
      <xdr:row>0</xdr:row>
      <xdr:rowOff>66676</xdr:rowOff>
    </xdr:from>
    <xdr:to>
      <xdr:col>2</xdr:col>
      <xdr:colOff>133350</xdr:colOff>
      <xdr:row>0</xdr:row>
      <xdr:rowOff>901701</xdr:rowOff>
    </xdr:to>
    <xdr:pic>
      <xdr:nvPicPr>
        <xdr:cNvPr id="5" name="Picture 4">
          <a:extLst>
            <a:ext uri="{FF2B5EF4-FFF2-40B4-BE49-F238E27FC236}">
              <a16:creationId xmlns:a16="http://schemas.microsoft.com/office/drawing/2014/main" id="{00000000-0008-0000-0600-000005000000}"/>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r="25880"/>
        <a:stretch/>
      </xdr:blipFill>
      <xdr:spPr bwMode="auto">
        <a:xfrm>
          <a:off x="2809875" y="66676"/>
          <a:ext cx="3162300" cy="838200"/>
        </a:xfrm>
        <a:prstGeom prst="rect">
          <a:avLst/>
        </a:prstGeom>
        <a:ln>
          <a:noFill/>
        </a:ln>
        <a:extLst>
          <a:ext uri="{53640926-AAD7-44D8-BBD7-CCE9431645EC}">
            <a14:shadowObscured xmlns:a14="http://schemas.microsoft.com/office/drawing/2010/main"/>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5.bin"/><Relationship Id="rId4" Type="http://schemas.openxmlformats.org/officeDocument/2006/relationships/comments" Target="../comments1.xml"/></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200"/>
  <sheetViews>
    <sheetView showGridLines="0" zoomScaleNormal="100" zoomScalePageLayoutView="115" workbookViewId="0">
      <selection activeCell="B13" sqref="B13"/>
    </sheetView>
  </sheetViews>
  <sheetFormatPr defaultColWidth="11" defaultRowHeight="12.95" outlineLevelCol="1"/>
  <cols>
    <col min="1" max="1" width="15.625" style="2" customWidth="1"/>
    <col min="2" max="3" width="15.625" style="1" customWidth="1"/>
    <col min="4" max="4" width="20.375" style="1" customWidth="1"/>
    <col min="5" max="10" width="15.625" style="1" customWidth="1"/>
    <col min="11" max="12" width="2.125" style="1" hidden="1" customWidth="1" outlineLevel="1"/>
    <col min="13" max="13" width="2.875" style="1" hidden="1" customWidth="1" outlineLevel="1"/>
    <col min="14" max="14" width="2.125" style="1" hidden="1" customWidth="1" outlineLevel="1"/>
    <col min="15" max="15" width="11" style="1" collapsed="1"/>
    <col min="16" max="16384" width="11" style="1"/>
  </cols>
  <sheetData>
    <row r="1" spans="1:15">
      <c r="A1" s="3"/>
      <c r="B1" s="3"/>
      <c r="C1" s="330" t="s">
        <v>0</v>
      </c>
      <c r="D1" s="330"/>
      <c r="E1" s="4"/>
      <c r="F1" s="5"/>
      <c r="G1" s="6"/>
      <c r="H1" s="6"/>
      <c r="I1" s="6"/>
      <c r="J1" s="7"/>
      <c r="K1" s="7"/>
    </row>
    <row r="2" spans="1:15">
      <c r="A2" s="3"/>
      <c r="B2" s="3"/>
      <c r="C2" s="331" t="s">
        <v>1</v>
      </c>
      <c r="D2" s="331"/>
      <c r="E2" s="3"/>
      <c r="F2" s="5"/>
      <c r="G2" s="3"/>
      <c r="H2" s="3"/>
      <c r="I2" s="3"/>
      <c r="J2" s="8"/>
      <c r="K2" s="3"/>
    </row>
    <row r="3" spans="1:15">
      <c r="A3" s="3"/>
      <c r="B3" s="3"/>
      <c r="C3" s="3"/>
      <c r="D3" s="3"/>
      <c r="E3" s="9" t="s">
        <v>2</v>
      </c>
      <c r="F3" s="332">
        <v>41399</v>
      </c>
      <c r="G3" s="333"/>
      <c r="H3" s="10"/>
      <c r="I3" s="3"/>
      <c r="J3" s="11"/>
      <c r="K3" s="7"/>
    </row>
    <row r="4" spans="1:15">
      <c r="A4" s="3"/>
      <c r="B4" s="3"/>
      <c r="C4" s="3"/>
      <c r="D4" s="3"/>
      <c r="E4" s="12" t="s">
        <v>3</v>
      </c>
      <c r="F4" s="334" t="s">
        <v>4</v>
      </c>
      <c r="G4" s="335"/>
      <c r="H4" s="13"/>
      <c r="I4" s="3"/>
      <c r="J4" s="14"/>
      <c r="K4" s="7"/>
    </row>
    <row r="6" spans="1:15" ht="26.1">
      <c r="A6" s="18" t="s">
        <v>5</v>
      </c>
    </row>
    <row r="7" spans="1:15" ht="25.5" customHeight="1">
      <c r="A7" s="327" t="s">
        <v>6</v>
      </c>
      <c r="B7" s="19" t="s">
        <v>7</v>
      </c>
      <c r="C7" s="328" t="s">
        <v>8</v>
      </c>
      <c r="D7" s="328" t="s">
        <v>9</v>
      </c>
      <c r="E7" s="20" t="s">
        <v>10</v>
      </c>
      <c r="F7" s="21" t="s">
        <v>11</v>
      </c>
      <c r="G7" s="21" t="s">
        <v>12</v>
      </c>
      <c r="H7" s="21" t="s">
        <v>3</v>
      </c>
      <c r="I7" s="21" t="s">
        <v>13</v>
      </c>
      <c r="J7" s="21" t="s">
        <v>14</v>
      </c>
      <c r="O7" s="329" t="s">
        <v>15</v>
      </c>
    </row>
    <row r="8" spans="1:15">
      <c r="A8" s="327"/>
      <c r="B8" s="19" t="s">
        <v>16</v>
      </c>
      <c r="C8" s="328"/>
      <c r="D8" s="328"/>
      <c r="E8" s="20" t="s">
        <v>17</v>
      </c>
      <c r="F8" s="21" t="s">
        <v>18</v>
      </c>
      <c r="G8" s="20" t="s">
        <v>17</v>
      </c>
      <c r="H8" s="21"/>
      <c r="I8" s="22"/>
      <c r="J8" s="22" t="s">
        <v>19</v>
      </c>
      <c r="O8" s="329"/>
    </row>
    <row r="9" spans="1:15">
      <c r="D9" s="1" t="s">
        <v>20</v>
      </c>
      <c r="E9" s="1">
        <f>VLOOKUP(D9,'PN-Coding'!$A$2:$C$36,2,FALSE)</f>
        <v>0</v>
      </c>
      <c r="F9" s="28"/>
      <c r="G9" s="1">
        <f>VLOOKUP(D9,'PN-Coding'!$A$2:$C$36,3,FALSE)</f>
        <v>0</v>
      </c>
      <c r="H9" s="1" t="s">
        <v>21</v>
      </c>
      <c r="I9" s="1" t="s">
        <v>21</v>
      </c>
      <c r="J9" s="1">
        <v>0</v>
      </c>
    </row>
    <row r="10" spans="1:15" ht="26.1">
      <c r="D10" s="31" t="s">
        <v>22</v>
      </c>
      <c r="E10" s="1" t="str">
        <f>VLOOKUP(D10,'PN-Coding'!$A$2:$C$36,2,FALSE)</f>
        <v>D.1.5</v>
      </c>
      <c r="F10" s="28"/>
      <c r="G10" s="1">
        <f>VLOOKUP(D10,'PN-Coding'!$A$2:$C$36,3,FALSE)</f>
        <v>7740</v>
      </c>
    </row>
    <row r="11" spans="1:15" ht="26.1">
      <c r="D11" s="31" t="s">
        <v>23</v>
      </c>
      <c r="E11" s="1" t="str">
        <f>VLOOKUP(D11,'PN-Coding'!$A$2:$C$36,2,FALSE)</f>
        <v>D.1.5</v>
      </c>
      <c r="F11" s="28"/>
      <c r="G11" s="1">
        <f>VLOOKUP(D11,'PN-Coding'!$A$2:$C$36,3,FALSE)</f>
        <v>7710</v>
      </c>
    </row>
    <row r="12" spans="1:15" ht="26.1">
      <c r="D12" s="31" t="s">
        <v>24</v>
      </c>
      <c r="E12" s="1" t="str">
        <f>VLOOKUP(D12,'PN-Coding'!$A$2:$C$36,2,FALSE)</f>
        <v>D.10.7</v>
      </c>
      <c r="F12" s="28"/>
      <c r="G12" s="1">
        <f>VLOOKUP(D12,'PN-Coding'!$A$2:$C$36,3,FALSE)</f>
        <v>7015</v>
      </c>
    </row>
    <row r="13" spans="1:15" ht="39">
      <c r="D13" s="31" t="s">
        <v>25</v>
      </c>
      <c r="E13" s="1" t="str">
        <f>VLOOKUP(D13,'PN-Coding'!$A$2:$C$36,2,FALSE)</f>
        <v>D.10.7</v>
      </c>
      <c r="F13" s="28"/>
      <c r="G13" s="1">
        <f>VLOOKUP(D13,'PN-Coding'!$A$2:$C$36,3,FALSE)</f>
        <v>7010</v>
      </c>
    </row>
    <row r="14" spans="1:15">
      <c r="D14" s="27" t="s">
        <v>20</v>
      </c>
      <c r="E14" s="1">
        <f>VLOOKUP(D14,'PN-Coding'!$A$2:$C$36,2,FALSE)</f>
        <v>0</v>
      </c>
      <c r="F14" s="28"/>
      <c r="G14" s="1">
        <f>VLOOKUP(D14,'PN-Coding'!$A$2:$C$36,3,FALSE)</f>
        <v>0</v>
      </c>
    </row>
    <row r="15" spans="1:15">
      <c r="D15" s="27" t="s">
        <v>20</v>
      </c>
      <c r="E15" s="1">
        <f>VLOOKUP(D15,'PN-Coding'!$A$2:$C$36,2,FALSE)</f>
        <v>0</v>
      </c>
      <c r="F15" s="28"/>
      <c r="G15" s="1">
        <f>VLOOKUP(D15,'PN-Coding'!$A$2:$C$36,3,FALSE)</f>
        <v>0</v>
      </c>
    </row>
    <row r="16" spans="1:15">
      <c r="D16" s="27" t="s">
        <v>20</v>
      </c>
      <c r="E16" s="1">
        <f>VLOOKUP(D16,'PN-Coding'!$A$2:$C$36,2,FALSE)</f>
        <v>0</v>
      </c>
      <c r="F16" s="28"/>
      <c r="G16" s="1">
        <f>VLOOKUP(D16,'PN-Coding'!$A$2:$C$36,3,FALSE)</f>
        <v>0</v>
      </c>
    </row>
    <row r="17" spans="4:7">
      <c r="D17" s="27" t="s">
        <v>20</v>
      </c>
      <c r="E17" s="1">
        <f>VLOOKUP(D17,'PN-Coding'!$A$2:$C$36,2,FALSE)</f>
        <v>0</v>
      </c>
      <c r="F17" s="28"/>
      <c r="G17" s="1">
        <f>VLOOKUP(D17,'PN-Coding'!$A$2:$C$36,3,FALSE)</f>
        <v>0</v>
      </c>
    </row>
    <row r="18" spans="4:7">
      <c r="D18" s="27" t="s">
        <v>20</v>
      </c>
      <c r="E18" s="1">
        <f>VLOOKUP(D18,'PN-Coding'!$A$2:$C$36,2,FALSE)</f>
        <v>0</v>
      </c>
      <c r="F18" s="28"/>
      <c r="G18" s="1">
        <f>VLOOKUP(D18,'PN-Coding'!$A$2:$C$36,3,FALSE)</f>
        <v>0</v>
      </c>
    </row>
    <row r="19" spans="4:7">
      <c r="D19" s="27" t="s">
        <v>20</v>
      </c>
      <c r="E19" s="1">
        <f>VLOOKUP(D19,'PN-Coding'!$A$2:$C$36,2,FALSE)</f>
        <v>0</v>
      </c>
      <c r="F19" s="28"/>
      <c r="G19" s="1">
        <f>VLOOKUP(D19,'PN-Coding'!$A$2:$C$36,3,FALSE)</f>
        <v>0</v>
      </c>
    </row>
    <row r="20" spans="4:7">
      <c r="D20" s="27" t="s">
        <v>20</v>
      </c>
      <c r="E20" s="1">
        <f>VLOOKUP(D20,'PN-Coding'!$A$2:$C$36,2,FALSE)</f>
        <v>0</v>
      </c>
      <c r="F20" s="28"/>
      <c r="G20" s="1">
        <f>VLOOKUP(D20,'PN-Coding'!$A$2:$C$36,3,FALSE)</f>
        <v>0</v>
      </c>
    </row>
    <row r="21" spans="4:7">
      <c r="D21" s="27" t="s">
        <v>20</v>
      </c>
      <c r="E21" s="1">
        <f>VLOOKUP(D21,'PN-Coding'!$A$2:$C$36,2,FALSE)</f>
        <v>0</v>
      </c>
      <c r="F21" s="28"/>
      <c r="G21" s="1">
        <f>VLOOKUP(D21,'PN-Coding'!$A$2:$C$36,3,FALSE)</f>
        <v>0</v>
      </c>
    </row>
    <row r="22" spans="4:7">
      <c r="D22" s="27" t="s">
        <v>20</v>
      </c>
      <c r="E22" s="1">
        <f>VLOOKUP(D22,'PN-Coding'!$A$2:$C$36,2,FALSE)</f>
        <v>0</v>
      </c>
      <c r="F22" s="28"/>
      <c r="G22" s="1">
        <f>VLOOKUP(D22,'PN-Coding'!$A$2:$C$36,3,FALSE)</f>
        <v>0</v>
      </c>
    </row>
    <row r="23" spans="4:7">
      <c r="D23" s="27" t="s">
        <v>20</v>
      </c>
      <c r="E23" s="1">
        <f>VLOOKUP(D23,'PN-Coding'!$A$2:$C$36,2,FALSE)</f>
        <v>0</v>
      </c>
      <c r="F23" s="28"/>
      <c r="G23" s="1">
        <f>VLOOKUP(D23,'PN-Coding'!$A$2:$C$36,3,FALSE)</f>
        <v>0</v>
      </c>
    </row>
    <row r="24" spans="4:7">
      <c r="D24" s="27" t="s">
        <v>20</v>
      </c>
      <c r="E24" s="1">
        <f>VLOOKUP(D24,'PN-Coding'!$A$2:$C$36,2,FALSE)</f>
        <v>0</v>
      </c>
      <c r="F24" s="28"/>
      <c r="G24" s="1">
        <f>VLOOKUP(D24,'PN-Coding'!$A$2:$C$36,3,FALSE)</f>
        <v>0</v>
      </c>
    </row>
    <row r="25" spans="4:7">
      <c r="D25" s="27" t="s">
        <v>20</v>
      </c>
      <c r="E25" s="1">
        <f>VLOOKUP(D25,'PN-Coding'!$A$2:$C$36,2,FALSE)</f>
        <v>0</v>
      </c>
      <c r="F25" s="28"/>
      <c r="G25" s="1">
        <f>VLOOKUP(D25,'PN-Coding'!$A$2:$C$36,3,FALSE)</f>
        <v>0</v>
      </c>
    </row>
    <row r="26" spans="4:7">
      <c r="D26" s="27" t="s">
        <v>20</v>
      </c>
      <c r="E26" s="1">
        <f>VLOOKUP(D26,'PN-Coding'!$A$2:$C$36,2,FALSE)</f>
        <v>0</v>
      </c>
      <c r="F26" s="28"/>
      <c r="G26" s="1">
        <f>VLOOKUP(D26,'PN-Coding'!$A$2:$C$36,3,FALSE)</f>
        <v>0</v>
      </c>
    </row>
    <row r="27" spans="4:7">
      <c r="D27" s="27" t="s">
        <v>20</v>
      </c>
      <c r="E27" s="1">
        <f>VLOOKUP(D27,'PN-Coding'!$A$2:$C$36,2,FALSE)</f>
        <v>0</v>
      </c>
      <c r="F27" s="28"/>
      <c r="G27" s="1">
        <f>VLOOKUP(D27,'PN-Coding'!$A$2:$C$36,3,FALSE)</f>
        <v>0</v>
      </c>
    </row>
    <row r="28" spans="4:7">
      <c r="D28" s="27" t="s">
        <v>20</v>
      </c>
      <c r="E28" s="1">
        <f>VLOOKUP(D28,'PN-Coding'!$A$2:$C$36,2,FALSE)</f>
        <v>0</v>
      </c>
      <c r="F28" s="28"/>
      <c r="G28" s="1">
        <f>VLOOKUP(D28,'PN-Coding'!$A$2:$C$36,3,FALSE)</f>
        <v>0</v>
      </c>
    </row>
    <row r="29" spans="4:7">
      <c r="D29" s="27" t="s">
        <v>20</v>
      </c>
      <c r="E29" s="1">
        <f>VLOOKUP(D29,'PN-Coding'!$A$2:$C$36,2,FALSE)</f>
        <v>0</v>
      </c>
      <c r="F29" s="28"/>
      <c r="G29" s="1">
        <f>VLOOKUP(D29,'PN-Coding'!$A$2:$C$36,3,FALSE)</f>
        <v>0</v>
      </c>
    </row>
    <row r="30" spans="4:7">
      <c r="D30" s="27" t="s">
        <v>20</v>
      </c>
      <c r="E30" s="1">
        <f>VLOOKUP(D30,'PN-Coding'!$A$2:$C$36,2,FALSE)</f>
        <v>0</v>
      </c>
      <c r="F30" s="28"/>
      <c r="G30" s="1">
        <f>VLOOKUP(D30,'PN-Coding'!$A$2:$C$36,3,FALSE)</f>
        <v>0</v>
      </c>
    </row>
    <row r="31" spans="4:7">
      <c r="D31" s="27" t="s">
        <v>20</v>
      </c>
      <c r="E31" s="1">
        <f>VLOOKUP(D31,'PN-Coding'!$A$2:$C$36,2,FALSE)</f>
        <v>0</v>
      </c>
      <c r="F31" s="28"/>
      <c r="G31" s="1">
        <f>VLOOKUP(D31,'PN-Coding'!$A$2:$C$36,3,FALSE)</f>
        <v>0</v>
      </c>
    </row>
    <row r="32" spans="4:7">
      <c r="D32" s="27" t="s">
        <v>20</v>
      </c>
      <c r="E32" s="1">
        <f>VLOOKUP(D32,'PN-Coding'!$A$2:$C$36,2,FALSE)</f>
        <v>0</v>
      </c>
      <c r="F32" s="28"/>
      <c r="G32" s="1">
        <f>VLOOKUP(D32,'PN-Coding'!$A$2:$C$36,3,FALSE)</f>
        <v>0</v>
      </c>
    </row>
    <row r="33" spans="4:7">
      <c r="D33" s="27" t="s">
        <v>20</v>
      </c>
      <c r="E33" s="1">
        <f>VLOOKUP(D33,'PN-Coding'!$A$2:$C$36,2,FALSE)</f>
        <v>0</v>
      </c>
      <c r="F33" s="28"/>
      <c r="G33" s="1">
        <f>VLOOKUP(D33,'PN-Coding'!$A$2:$C$36,3,FALSE)</f>
        <v>0</v>
      </c>
    </row>
    <row r="34" spans="4:7">
      <c r="D34" s="27" t="s">
        <v>20</v>
      </c>
      <c r="E34" s="1">
        <f>VLOOKUP(D34,'PN-Coding'!$A$2:$C$36,2,FALSE)</f>
        <v>0</v>
      </c>
      <c r="F34" s="28"/>
      <c r="G34" s="1">
        <f>VLOOKUP(D34,'PN-Coding'!$A$2:$C$36,3,FALSE)</f>
        <v>0</v>
      </c>
    </row>
    <row r="35" spans="4:7">
      <c r="D35" s="27" t="s">
        <v>20</v>
      </c>
      <c r="E35" s="1">
        <f>VLOOKUP(D35,'PN-Coding'!$A$2:$C$36,2,FALSE)</f>
        <v>0</v>
      </c>
      <c r="F35" s="28"/>
      <c r="G35" s="1">
        <f>VLOOKUP(D35,'PN-Coding'!$A$2:$C$36,3,FALSE)</f>
        <v>0</v>
      </c>
    </row>
    <row r="36" spans="4:7">
      <c r="D36" s="27" t="s">
        <v>20</v>
      </c>
      <c r="E36" s="1">
        <f>VLOOKUP(D36,'PN-Coding'!$A$2:$C$36,2,FALSE)</f>
        <v>0</v>
      </c>
      <c r="F36" s="28"/>
      <c r="G36" s="1">
        <f>VLOOKUP(D36,'PN-Coding'!$A$2:$C$36,3,FALSE)</f>
        <v>0</v>
      </c>
    </row>
    <row r="37" spans="4:7">
      <c r="D37" s="27" t="s">
        <v>20</v>
      </c>
      <c r="E37" s="1">
        <f>VLOOKUP(D37,'PN-Coding'!$A$2:$C$36,2,FALSE)</f>
        <v>0</v>
      </c>
      <c r="F37" s="28"/>
      <c r="G37" s="1">
        <f>VLOOKUP(D37,'PN-Coding'!$A$2:$C$36,3,FALSE)</f>
        <v>0</v>
      </c>
    </row>
    <row r="38" spans="4:7">
      <c r="D38" s="27" t="s">
        <v>20</v>
      </c>
      <c r="E38" s="1">
        <f>VLOOKUP(D38,'PN-Coding'!$A$2:$C$36,2,FALSE)</f>
        <v>0</v>
      </c>
      <c r="F38" s="28"/>
      <c r="G38" s="1">
        <f>VLOOKUP(D38,'PN-Coding'!$A$2:$C$36,3,FALSE)</f>
        <v>0</v>
      </c>
    </row>
    <row r="39" spans="4:7">
      <c r="D39" s="27" t="s">
        <v>20</v>
      </c>
      <c r="E39" s="1">
        <f>VLOOKUP(D39,'PN-Coding'!$A$2:$C$36,2,FALSE)</f>
        <v>0</v>
      </c>
      <c r="F39" s="28"/>
      <c r="G39" s="1">
        <f>VLOOKUP(D39,'PN-Coding'!$A$2:$C$36,3,FALSE)</f>
        <v>0</v>
      </c>
    </row>
    <row r="40" spans="4:7">
      <c r="D40" s="27" t="s">
        <v>20</v>
      </c>
      <c r="E40" s="1">
        <f>VLOOKUP(D40,'PN-Coding'!$A$2:$C$36,2,FALSE)</f>
        <v>0</v>
      </c>
      <c r="F40" s="28"/>
      <c r="G40" s="1">
        <f>VLOOKUP(D40,'PN-Coding'!$A$2:$C$36,3,FALSE)</f>
        <v>0</v>
      </c>
    </row>
    <row r="41" spans="4:7">
      <c r="D41" s="27" t="s">
        <v>20</v>
      </c>
      <c r="E41" s="1">
        <f>VLOOKUP(D41,'PN-Coding'!$A$2:$C$36,2,FALSE)</f>
        <v>0</v>
      </c>
      <c r="F41" s="28"/>
      <c r="G41" s="1">
        <f>VLOOKUP(D41,'PN-Coding'!$A$2:$C$36,3,FALSE)</f>
        <v>0</v>
      </c>
    </row>
    <row r="42" spans="4:7">
      <c r="D42" s="27" t="s">
        <v>20</v>
      </c>
      <c r="E42" s="1">
        <f>VLOOKUP(D42,'PN-Coding'!$A$2:$C$36,2,FALSE)</f>
        <v>0</v>
      </c>
      <c r="F42" s="28"/>
      <c r="G42" s="1">
        <f>VLOOKUP(D42,'PN-Coding'!$A$2:$C$36,3,FALSE)</f>
        <v>0</v>
      </c>
    </row>
    <row r="43" spans="4:7">
      <c r="D43" s="27" t="s">
        <v>20</v>
      </c>
      <c r="E43" s="1">
        <f>VLOOKUP(D43,'PN-Coding'!$A$2:$C$36,2,FALSE)</f>
        <v>0</v>
      </c>
      <c r="F43" s="28"/>
      <c r="G43" s="1">
        <f>VLOOKUP(D43,'PN-Coding'!$A$2:$C$36,3,FALSE)</f>
        <v>0</v>
      </c>
    </row>
    <row r="44" spans="4:7">
      <c r="D44" s="27" t="s">
        <v>20</v>
      </c>
      <c r="E44" s="1">
        <f>VLOOKUP(D44,'PN-Coding'!$A$2:$C$36,2,FALSE)</f>
        <v>0</v>
      </c>
      <c r="F44" s="28"/>
      <c r="G44" s="1">
        <f>VLOOKUP(D44,'PN-Coding'!$A$2:$C$36,3,FALSE)</f>
        <v>0</v>
      </c>
    </row>
    <row r="45" spans="4:7">
      <c r="D45" s="27" t="s">
        <v>20</v>
      </c>
      <c r="E45" s="1">
        <f>VLOOKUP(D45,'PN-Coding'!$A$2:$C$36,2,FALSE)</f>
        <v>0</v>
      </c>
      <c r="F45" s="28"/>
      <c r="G45" s="1">
        <f>VLOOKUP(D45,'PN-Coding'!$A$2:$C$36,3,FALSE)</f>
        <v>0</v>
      </c>
    </row>
    <row r="46" spans="4:7">
      <c r="D46" s="27" t="s">
        <v>20</v>
      </c>
      <c r="E46" s="1">
        <f>VLOOKUP(D46,'PN-Coding'!$A$2:$C$36,2,FALSE)</f>
        <v>0</v>
      </c>
      <c r="F46" s="28"/>
      <c r="G46" s="1">
        <f>VLOOKUP(D46,'PN-Coding'!$A$2:$C$36,3,FALSE)</f>
        <v>0</v>
      </c>
    </row>
    <row r="200" spans="4:6">
      <c r="D200" s="16"/>
      <c r="E200" s="17" t="s">
        <v>26</v>
      </c>
      <c r="F200" s="15">
        <f>SUM(F30:F35)</f>
        <v>0</v>
      </c>
    </row>
  </sheetData>
  <protectedRanges>
    <protectedRange sqref="A9:C749 D9:F9 D47:F749 F10:F35 F37:F46 G9:J749 D10:E46" name="Range1"/>
  </protectedRanges>
  <mergeCells count="8">
    <mergeCell ref="A7:A8"/>
    <mergeCell ref="C7:C8"/>
    <mergeCell ref="D7:D8"/>
    <mergeCell ref="O7:O8"/>
    <mergeCell ref="C1:D1"/>
    <mergeCell ref="C2:D2"/>
    <mergeCell ref="F3:G3"/>
    <mergeCell ref="F4:G4"/>
  </mergeCells>
  <pageMargins left="0" right="0" top="1" bottom="1" header="0.5" footer="0.5"/>
  <pageSetup scale="18" orientation="landscape"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000-000000000000}">
          <x14:formula1>
            <xm:f>'PN-Coding'!$D$3:$D$4</xm:f>
          </x14:formula1>
          <xm:sqref>J9</xm:sqref>
        </x14:dataValidation>
        <x14:dataValidation type="list" allowBlank="1" showInputMessage="1" showErrorMessage="1" xr:uid="{00000000-0002-0000-0000-000001000000}">
          <x14:formula1>
            <xm:f>'PN-Coding'!$A$3:$A$36</xm:f>
          </x14:formula1>
          <xm:sqref>D47:D199</xm:sqref>
        </x14:dataValidation>
        <x14:dataValidation type="list" allowBlank="1" showInputMessage="1" showErrorMessage="1" errorTitle="Error" error="Please select a valid option from the list" promptTitle="Select" prompt="Select from drop-down" xr:uid="{00000000-0002-0000-0000-000002000000}">
          <x14:formula1>
            <xm:f>'PN-Coding'!$A$2:$A$36</xm:f>
          </x14:formula1>
          <xm:sqref>D9:D46</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E44"/>
  <sheetViews>
    <sheetView zoomScale="115" zoomScaleNormal="115" zoomScalePageLayoutView="115" workbookViewId="0">
      <pane ySplit="1" topLeftCell="A83" activePane="bottomLeft" state="frozen"/>
      <selection pane="bottomLeft" activeCell="A3" sqref="A3"/>
    </sheetView>
  </sheetViews>
  <sheetFormatPr defaultColWidth="8.875" defaultRowHeight="15.6" outlineLevelRow="1"/>
  <cols>
    <col min="1" max="1" width="58.5" bestFit="1" customWidth="1"/>
    <col min="2" max="2" width="19" bestFit="1" customWidth="1"/>
    <col min="3" max="3" width="12" bestFit="1" customWidth="1"/>
    <col min="4" max="4" width="16.5" customWidth="1"/>
    <col min="5" max="5" width="11.5" customWidth="1"/>
    <col min="6" max="6" width="46.375" bestFit="1" customWidth="1"/>
  </cols>
  <sheetData>
    <row r="1" spans="1:5">
      <c r="A1" s="30" t="s">
        <v>27</v>
      </c>
      <c r="B1" s="30" t="s">
        <v>28</v>
      </c>
      <c r="C1" s="30" t="s">
        <v>29</v>
      </c>
      <c r="D1" s="30" t="s">
        <v>30</v>
      </c>
      <c r="E1" s="30" t="s">
        <v>3</v>
      </c>
    </row>
    <row r="2" spans="1:5" hidden="1">
      <c r="A2" s="29" t="s">
        <v>20</v>
      </c>
      <c r="D2" s="23"/>
    </row>
    <row r="3" spans="1:5">
      <c r="A3" t="s">
        <v>31</v>
      </c>
      <c r="B3" t="s">
        <v>32</v>
      </c>
      <c r="C3">
        <v>7410</v>
      </c>
      <c r="D3" s="23" t="s">
        <v>33</v>
      </c>
      <c r="E3" t="s">
        <v>21</v>
      </c>
    </row>
    <row r="4" spans="1:5">
      <c r="A4" t="s">
        <v>34</v>
      </c>
      <c r="B4" t="s">
        <v>35</v>
      </c>
      <c r="C4">
        <v>7420</v>
      </c>
      <c r="D4" s="23">
        <v>0</v>
      </c>
    </row>
    <row r="5" spans="1:5">
      <c r="A5" t="s">
        <v>36</v>
      </c>
      <c r="B5" t="s">
        <v>37</v>
      </c>
      <c r="C5">
        <v>7440</v>
      </c>
    </row>
    <row r="6" spans="1:5">
      <c r="A6" t="s">
        <v>38</v>
      </c>
      <c r="B6" t="s">
        <v>39</v>
      </c>
      <c r="C6">
        <v>7465</v>
      </c>
    </row>
    <row r="7" spans="1:5">
      <c r="A7" t="s">
        <v>40</v>
      </c>
      <c r="B7" t="s">
        <v>41</v>
      </c>
      <c r="C7">
        <v>7460</v>
      </c>
    </row>
    <row r="8" spans="1:5">
      <c r="A8" t="s">
        <v>42</v>
      </c>
      <c r="B8" t="s">
        <v>43</v>
      </c>
      <c r="C8">
        <v>7450</v>
      </c>
    </row>
    <row r="9" spans="1:5">
      <c r="A9" t="s">
        <v>44</v>
      </c>
      <c r="B9" t="s">
        <v>45</v>
      </c>
      <c r="C9">
        <v>7445</v>
      </c>
    </row>
    <row r="10" spans="1:5">
      <c r="A10" t="s">
        <v>46</v>
      </c>
      <c r="B10" t="s">
        <v>46</v>
      </c>
      <c r="C10">
        <v>8170</v>
      </c>
    </row>
    <row r="11" spans="1:5">
      <c r="A11" t="s">
        <v>47</v>
      </c>
      <c r="B11" t="s">
        <v>48</v>
      </c>
      <c r="C11">
        <v>7470</v>
      </c>
    </row>
    <row r="12" spans="1:5">
      <c r="A12" t="s">
        <v>49</v>
      </c>
      <c r="B12" t="s">
        <v>50</v>
      </c>
      <c r="C12">
        <v>7455</v>
      </c>
    </row>
    <row r="13" spans="1:5">
      <c r="A13" t="s">
        <v>51</v>
      </c>
      <c r="B13" t="s">
        <v>51</v>
      </c>
      <c r="C13">
        <v>7435</v>
      </c>
    </row>
    <row r="14" spans="1:5">
      <c r="A14" t="s">
        <v>52</v>
      </c>
      <c r="B14" t="s">
        <v>53</v>
      </c>
      <c r="C14">
        <v>7015</v>
      </c>
    </row>
    <row r="15" spans="1:5">
      <c r="A15" s="25" t="s">
        <v>22</v>
      </c>
      <c r="B15" t="s">
        <v>54</v>
      </c>
      <c r="C15">
        <v>7740</v>
      </c>
    </row>
    <row r="16" spans="1:5">
      <c r="A16" s="25" t="s">
        <v>23</v>
      </c>
      <c r="B16" t="s">
        <v>54</v>
      </c>
      <c r="C16">
        <v>7710</v>
      </c>
    </row>
    <row r="17" spans="1:3">
      <c r="A17" t="s">
        <v>55</v>
      </c>
      <c r="B17" t="s">
        <v>56</v>
      </c>
      <c r="C17" s="26">
        <v>7370</v>
      </c>
    </row>
    <row r="18" spans="1:3">
      <c r="A18" t="s">
        <v>57</v>
      </c>
      <c r="B18" t="s">
        <v>58</v>
      </c>
      <c r="C18">
        <v>7391</v>
      </c>
    </row>
    <row r="19" spans="1:3">
      <c r="A19" t="s">
        <v>59</v>
      </c>
      <c r="B19" t="s">
        <v>60</v>
      </c>
      <c r="C19">
        <v>7391</v>
      </c>
    </row>
    <row r="20" spans="1:3">
      <c r="A20" t="s">
        <v>61</v>
      </c>
      <c r="B20" t="s">
        <v>62</v>
      </c>
      <c r="C20">
        <v>7391</v>
      </c>
    </row>
    <row r="21" spans="1:3">
      <c r="A21" t="s">
        <v>63</v>
      </c>
      <c r="B21" t="s">
        <v>64</v>
      </c>
      <c r="C21">
        <v>7391</v>
      </c>
    </row>
    <row r="22" spans="1:3">
      <c r="A22" t="s">
        <v>65</v>
      </c>
      <c r="B22" t="s">
        <v>66</v>
      </c>
      <c r="C22">
        <v>7391</v>
      </c>
    </row>
    <row r="23" spans="1:3">
      <c r="A23" t="s">
        <v>67</v>
      </c>
      <c r="B23" t="s">
        <v>68</v>
      </c>
      <c r="C23">
        <v>7120</v>
      </c>
    </row>
    <row r="24" spans="1:3">
      <c r="A24" t="s">
        <v>69</v>
      </c>
      <c r="B24" t="s">
        <v>70</v>
      </c>
      <c r="C24">
        <v>7120</v>
      </c>
    </row>
    <row r="25" spans="1:3">
      <c r="A25" t="s">
        <v>71</v>
      </c>
      <c r="B25" t="s">
        <v>72</v>
      </c>
      <c r="C25">
        <v>7391</v>
      </c>
    </row>
    <row r="26" spans="1:3">
      <c r="A26" t="s">
        <v>73</v>
      </c>
      <c r="B26" t="s">
        <v>74</v>
      </c>
      <c r="C26">
        <v>7720</v>
      </c>
    </row>
    <row r="27" spans="1:3">
      <c r="A27" t="s">
        <v>75</v>
      </c>
      <c r="B27" t="s">
        <v>76</v>
      </c>
      <c r="C27" s="26">
        <v>7720</v>
      </c>
    </row>
    <row r="28" spans="1:3" ht="14.25" customHeight="1">
      <c r="A28" t="s">
        <v>77</v>
      </c>
      <c r="B28" t="s">
        <v>78</v>
      </c>
      <c r="C28">
        <v>7391</v>
      </c>
    </row>
    <row r="29" spans="1:3">
      <c r="A29" s="25" t="s">
        <v>25</v>
      </c>
      <c r="B29" t="s">
        <v>79</v>
      </c>
      <c r="C29">
        <v>7010</v>
      </c>
    </row>
    <row r="30" spans="1:3">
      <c r="A30" s="25" t="s">
        <v>24</v>
      </c>
      <c r="B30" t="s">
        <v>79</v>
      </c>
      <c r="C30">
        <v>7015</v>
      </c>
    </row>
    <row r="31" spans="1:3" ht="30.95">
      <c r="A31" s="25" t="s">
        <v>80</v>
      </c>
      <c r="B31" t="s">
        <v>81</v>
      </c>
      <c r="C31">
        <v>7010</v>
      </c>
    </row>
    <row r="32" spans="1:3">
      <c r="A32" t="s">
        <v>82</v>
      </c>
      <c r="B32" t="s">
        <v>83</v>
      </c>
      <c r="C32">
        <v>7530</v>
      </c>
    </row>
    <row r="33" spans="1:3">
      <c r="A33" t="s">
        <v>84</v>
      </c>
      <c r="B33" t="s">
        <v>85</v>
      </c>
      <c r="C33">
        <v>8221</v>
      </c>
    </row>
    <row r="34" spans="1:3">
      <c r="A34" t="s">
        <v>86</v>
      </c>
      <c r="B34" t="s">
        <v>87</v>
      </c>
      <c r="C34">
        <v>8221</v>
      </c>
    </row>
    <row r="35" spans="1:3">
      <c r="A35" t="s">
        <v>88</v>
      </c>
      <c r="B35" t="s">
        <v>89</v>
      </c>
      <c r="C35">
        <v>8221</v>
      </c>
    </row>
    <row r="36" spans="1:3">
      <c r="A36" t="s">
        <v>90</v>
      </c>
      <c r="B36" t="s">
        <v>91</v>
      </c>
      <c r="C36">
        <v>7391</v>
      </c>
    </row>
    <row r="37" spans="1:3" hidden="1" outlineLevel="1">
      <c r="A37" s="24" t="s">
        <v>92</v>
      </c>
      <c r="B37" s="24" t="s">
        <v>93</v>
      </c>
      <c r="C37" s="24">
        <v>7370</v>
      </c>
    </row>
    <row r="38" spans="1:3" hidden="1" outlineLevel="1">
      <c r="A38" s="24" t="s">
        <v>94</v>
      </c>
      <c r="B38" s="24" t="s">
        <v>95</v>
      </c>
      <c r="C38" s="24">
        <v>7370</v>
      </c>
    </row>
    <row r="39" spans="1:3" hidden="1" outlineLevel="1">
      <c r="A39" s="24" t="s">
        <v>96</v>
      </c>
      <c r="B39" s="24" t="s">
        <v>97</v>
      </c>
      <c r="C39" s="24">
        <v>7370</v>
      </c>
    </row>
    <row r="40" spans="1:3" hidden="1" outlineLevel="1">
      <c r="A40" s="24" t="s">
        <v>98</v>
      </c>
      <c r="B40" s="24" t="s">
        <v>99</v>
      </c>
      <c r="C40" s="24">
        <v>7370</v>
      </c>
    </row>
    <row r="41" spans="1:3" hidden="1" outlineLevel="1">
      <c r="A41" s="24" t="s">
        <v>100</v>
      </c>
      <c r="B41" s="24" t="s">
        <v>101</v>
      </c>
      <c r="C41" s="24">
        <v>7370</v>
      </c>
    </row>
    <row r="42" spans="1:3" hidden="1" outlineLevel="1">
      <c r="A42" s="24" t="s">
        <v>102</v>
      </c>
      <c r="B42" s="24" t="s">
        <v>103</v>
      </c>
      <c r="C42" s="24">
        <v>7370</v>
      </c>
    </row>
    <row r="43" spans="1:3" hidden="1" outlineLevel="1">
      <c r="A43" s="24" t="s">
        <v>104</v>
      </c>
      <c r="B43" s="24" t="s">
        <v>105</v>
      </c>
      <c r="C43" s="24">
        <v>7370</v>
      </c>
    </row>
    <row r="44" spans="1:3" collapsed="1"/>
  </sheetData>
  <pageMargins left="0" right="0" top="1" bottom="0.75" header="0.3" footer="0.3"/>
  <pageSetup scale="81" orientation="portrait" r:id="rId1"/>
  <headerFooter>
    <oddHeader>&amp;CPANAMA
CCL DOL415
Activity Codes</oddHeader>
  </headerFooter>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sheetPr>
  <dimension ref="A1:P131"/>
  <sheetViews>
    <sheetView showGridLines="0" topLeftCell="A7" workbookViewId="0">
      <selection activeCell="A9" sqref="A9"/>
    </sheetView>
  </sheetViews>
  <sheetFormatPr defaultColWidth="11" defaultRowHeight="12.95" outlineLevelCol="1"/>
  <cols>
    <col min="1" max="1" width="9" style="2" customWidth="1"/>
    <col min="2" max="2" width="8" style="1" customWidth="1"/>
    <col min="3" max="3" width="15.125" style="1" bestFit="1" customWidth="1"/>
    <col min="4" max="4" width="16.875" style="1" bestFit="1" customWidth="1"/>
    <col min="5" max="5" width="7.375" style="1" bestFit="1" customWidth="1"/>
    <col min="6" max="6" width="15.625" style="1" customWidth="1"/>
    <col min="7" max="7" width="7.125" style="1" bestFit="1" customWidth="1"/>
    <col min="8" max="8" width="51.625" style="1" customWidth="1"/>
    <col min="9" max="11" width="15.625" style="1" customWidth="1"/>
    <col min="12" max="13" width="2.125" style="1" hidden="1" customWidth="1" outlineLevel="1"/>
    <col min="14" max="14" width="2.875" style="1" hidden="1" customWidth="1" outlineLevel="1"/>
    <col min="15" max="15" width="2.125" style="1" hidden="1" customWidth="1" outlineLevel="1"/>
    <col min="16" max="16" width="28.625" style="1" customWidth="1" collapsed="1"/>
    <col min="17" max="16384" width="11" style="1"/>
  </cols>
  <sheetData>
    <row r="1" spans="1:16">
      <c r="A1" s="3"/>
      <c r="B1" s="3"/>
      <c r="C1" s="340" t="s">
        <v>106</v>
      </c>
      <c r="D1" s="340"/>
      <c r="E1" s="340"/>
      <c r="F1" s="5"/>
      <c r="G1" s="6"/>
      <c r="I1" s="6"/>
      <c r="J1" s="6"/>
      <c r="K1" s="7"/>
      <c r="L1" s="7"/>
    </row>
    <row r="2" spans="1:16">
      <c r="A2" s="3"/>
      <c r="B2" s="3"/>
      <c r="C2" s="341" t="s">
        <v>1</v>
      </c>
      <c r="D2" s="341"/>
      <c r="E2" s="341"/>
      <c r="F2" s="5"/>
      <c r="G2" s="3"/>
      <c r="I2" s="3"/>
      <c r="J2" s="3"/>
      <c r="K2" s="8"/>
      <c r="L2" s="3"/>
    </row>
    <row r="3" spans="1:16">
      <c r="A3" s="3"/>
      <c r="B3" s="3"/>
      <c r="C3" s="3"/>
      <c r="D3" s="3"/>
      <c r="E3" s="3"/>
      <c r="F3" s="342">
        <v>42490</v>
      </c>
      <c r="G3" s="343"/>
      <c r="I3" s="10"/>
      <c r="J3" s="3"/>
      <c r="K3" s="11"/>
      <c r="L3" s="7"/>
    </row>
    <row r="4" spans="1:16">
      <c r="A4" s="3"/>
      <c r="B4" s="3"/>
      <c r="C4" s="3"/>
      <c r="D4" s="3"/>
      <c r="E4" s="3"/>
      <c r="F4" s="344" t="s">
        <v>4</v>
      </c>
      <c r="G4" s="345"/>
      <c r="I4" s="13"/>
      <c r="J4" s="3"/>
      <c r="K4" s="14"/>
      <c r="L4" s="7"/>
    </row>
    <row r="5" spans="1:16">
      <c r="H5" s="119"/>
    </row>
    <row r="6" spans="1:16">
      <c r="A6" s="116" t="s">
        <v>5</v>
      </c>
    </row>
    <row r="7" spans="1:16" ht="25.5" customHeight="1">
      <c r="A7" s="336" t="s">
        <v>6</v>
      </c>
      <c r="B7" s="245" t="s">
        <v>7</v>
      </c>
      <c r="C7" s="337" t="s">
        <v>8</v>
      </c>
      <c r="D7" s="337" t="s">
        <v>9</v>
      </c>
      <c r="E7" s="246" t="s">
        <v>10</v>
      </c>
      <c r="F7" s="247" t="s">
        <v>11</v>
      </c>
      <c r="G7" s="247" t="s">
        <v>12</v>
      </c>
      <c r="H7" s="338" t="s">
        <v>107</v>
      </c>
      <c r="I7" s="247" t="s">
        <v>3</v>
      </c>
      <c r="J7" s="247" t="s">
        <v>13</v>
      </c>
      <c r="K7" s="247" t="s">
        <v>14</v>
      </c>
      <c r="L7" s="248"/>
      <c r="M7" s="248"/>
      <c r="N7" s="248"/>
      <c r="O7" s="248"/>
      <c r="P7" s="339" t="s">
        <v>15</v>
      </c>
    </row>
    <row r="8" spans="1:16">
      <c r="A8" s="336"/>
      <c r="B8" s="245" t="s">
        <v>16</v>
      </c>
      <c r="C8" s="337"/>
      <c r="D8" s="337"/>
      <c r="E8" s="246" t="s">
        <v>17</v>
      </c>
      <c r="F8" s="247" t="s">
        <v>18</v>
      </c>
      <c r="G8" s="246" t="s">
        <v>17</v>
      </c>
      <c r="H8" s="338"/>
      <c r="I8" s="247"/>
      <c r="J8" s="249"/>
      <c r="K8" s="249" t="s">
        <v>19</v>
      </c>
      <c r="L8" s="248"/>
      <c r="M8" s="248"/>
      <c r="N8" s="248"/>
      <c r="O8" s="248"/>
      <c r="P8" s="339"/>
    </row>
    <row r="9" spans="1:16" ht="26.1">
      <c r="A9" s="198">
        <v>42282</v>
      </c>
      <c r="B9" s="31">
        <v>203383</v>
      </c>
      <c r="C9" s="199" t="s">
        <v>108</v>
      </c>
      <c r="D9" s="125"/>
      <c r="E9" s="199"/>
      <c r="F9" s="44">
        <v>300</v>
      </c>
      <c r="G9" s="31"/>
      <c r="H9" s="244" t="s">
        <v>109</v>
      </c>
      <c r="I9" s="1" t="s">
        <v>21</v>
      </c>
      <c r="J9" s="1" t="s">
        <v>21</v>
      </c>
      <c r="K9" s="1" t="s">
        <v>33</v>
      </c>
      <c r="P9" s="1" t="s">
        <v>110</v>
      </c>
    </row>
    <row r="10" spans="1:16" ht="26.1">
      <c r="A10" s="198">
        <v>42282</v>
      </c>
      <c r="B10" s="31">
        <v>203384</v>
      </c>
      <c r="C10" s="199" t="s">
        <v>111</v>
      </c>
      <c r="D10" s="125"/>
      <c r="E10" s="199"/>
      <c r="F10" s="44">
        <v>300</v>
      </c>
      <c r="G10" s="31"/>
      <c r="H10" s="244" t="s">
        <v>109</v>
      </c>
      <c r="I10" s="1" t="s">
        <v>21</v>
      </c>
      <c r="J10" s="1" t="s">
        <v>21</v>
      </c>
      <c r="K10" s="1" t="s">
        <v>33</v>
      </c>
      <c r="P10" s="1" t="s">
        <v>110</v>
      </c>
    </row>
    <row r="11" spans="1:16" ht="26.1">
      <c r="A11" s="198">
        <v>42282</v>
      </c>
      <c r="B11" s="31">
        <v>203385</v>
      </c>
      <c r="C11" s="199" t="s">
        <v>112</v>
      </c>
      <c r="D11" s="125"/>
      <c r="E11" s="199"/>
      <c r="F11" s="44">
        <v>300</v>
      </c>
      <c r="G11" s="31"/>
      <c r="H11" s="244" t="s">
        <v>109</v>
      </c>
      <c r="I11" s="1" t="s">
        <v>21</v>
      </c>
      <c r="J11" s="1" t="s">
        <v>21</v>
      </c>
      <c r="K11" s="1" t="s">
        <v>33</v>
      </c>
      <c r="P11" s="1" t="s">
        <v>110</v>
      </c>
    </row>
    <row r="12" spans="1:16" ht="13.5" thickBot="1">
      <c r="A12" s="198"/>
      <c r="B12" s="31"/>
      <c r="C12" s="199"/>
    </row>
    <row r="13" spans="1:16" ht="13.5" thickBot="1">
      <c r="F13" s="237">
        <f>SUM(F9:F11)</f>
        <v>900</v>
      </c>
    </row>
    <row r="131" spans="6:6">
      <c r="F131" s="15" t="e">
        <f>SUM(#REF!)</f>
        <v>#REF!</v>
      </c>
    </row>
  </sheetData>
  <protectedRanges>
    <protectedRange sqref="A12 A13:K680 I9:K12" name="Range1"/>
  </protectedRanges>
  <mergeCells count="9">
    <mergeCell ref="C1:E1"/>
    <mergeCell ref="C2:E2"/>
    <mergeCell ref="F3:G3"/>
    <mergeCell ref="F4:G4"/>
    <mergeCell ref="A7:A8"/>
    <mergeCell ref="C7:C8"/>
    <mergeCell ref="D7:D8"/>
    <mergeCell ref="H7:H8"/>
    <mergeCell ref="P7:P8"/>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'PN-Coding'!$D$3:$D$4</xm:f>
          </x14:formula1>
          <xm:sqref>K9:K12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FF00"/>
  </sheetPr>
  <dimension ref="A1:P140"/>
  <sheetViews>
    <sheetView showGridLines="0" topLeftCell="A18" workbookViewId="0">
      <selection activeCell="A9" sqref="A9:P20"/>
    </sheetView>
  </sheetViews>
  <sheetFormatPr defaultColWidth="11" defaultRowHeight="12.95" outlineLevelCol="1"/>
  <cols>
    <col min="1" max="1" width="15.625" style="2" customWidth="1"/>
    <col min="2" max="2" width="8.875" style="1" customWidth="1"/>
    <col min="3" max="3" width="13.125" style="1" bestFit="1" customWidth="1"/>
    <col min="4" max="4" width="16.875" style="1" bestFit="1" customWidth="1"/>
    <col min="5" max="5" width="7.375" style="1" bestFit="1" customWidth="1"/>
    <col min="6" max="6" width="9" style="1" bestFit="1" customWidth="1"/>
    <col min="7" max="7" width="7.125" style="1" bestFit="1" customWidth="1"/>
    <col min="8" max="8" width="51.625" style="1" customWidth="1"/>
    <col min="9" max="11" width="15.625" style="1" customWidth="1"/>
    <col min="12" max="13" width="2.125" style="1" hidden="1" customWidth="1" outlineLevel="1"/>
    <col min="14" max="14" width="2.875" style="1" hidden="1" customWidth="1" outlineLevel="1"/>
    <col min="15" max="15" width="2.125" style="1" hidden="1" customWidth="1" outlineLevel="1"/>
    <col min="16" max="16" width="28.625" style="1" customWidth="1" collapsed="1"/>
    <col min="17" max="16384" width="11" style="1"/>
  </cols>
  <sheetData>
    <row r="1" spans="1:16">
      <c r="A1" s="3"/>
      <c r="B1" s="3"/>
      <c r="C1" s="340" t="s">
        <v>106</v>
      </c>
      <c r="D1" s="340"/>
      <c r="E1" s="340"/>
      <c r="F1" s="5"/>
      <c r="G1" s="6"/>
      <c r="I1" s="6"/>
      <c r="J1" s="6"/>
      <c r="K1" s="7"/>
      <c r="L1" s="7"/>
    </row>
    <row r="2" spans="1:16">
      <c r="A2" s="3"/>
      <c r="B2" s="3"/>
      <c r="C2" s="341" t="s">
        <v>1</v>
      </c>
      <c r="D2" s="341"/>
      <c r="E2" s="341"/>
      <c r="F2" s="5"/>
      <c r="G2" s="3"/>
      <c r="I2" s="3"/>
      <c r="J2" s="3"/>
      <c r="K2" s="8"/>
      <c r="L2" s="3"/>
    </row>
    <row r="3" spans="1:16">
      <c r="A3" s="3"/>
      <c r="B3" s="3"/>
      <c r="C3" s="3"/>
      <c r="D3" s="3"/>
      <c r="E3" s="3"/>
      <c r="F3" s="350">
        <v>42490</v>
      </c>
      <c r="G3" s="351"/>
      <c r="I3" s="10"/>
      <c r="J3" s="3"/>
      <c r="K3" s="11"/>
      <c r="L3" s="7"/>
    </row>
    <row r="4" spans="1:16">
      <c r="A4" s="3"/>
      <c r="B4" s="3"/>
      <c r="C4" s="3"/>
      <c r="D4" s="3"/>
      <c r="E4" s="3"/>
      <c r="F4" s="352" t="s">
        <v>4</v>
      </c>
      <c r="G4" s="353"/>
      <c r="I4" s="13"/>
      <c r="J4" s="3"/>
      <c r="K4" s="14"/>
      <c r="L4" s="7"/>
    </row>
    <row r="5" spans="1:16">
      <c r="H5" s="119"/>
    </row>
    <row r="6" spans="1:16">
      <c r="A6" s="116" t="s">
        <v>5</v>
      </c>
    </row>
    <row r="7" spans="1:16" ht="25.5" customHeight="1">
      <c r="A7" s="346" t="s">
        <v>6</v>
      </c>
      <c r="B7" s="250" t="s">
        <v>7</v>
      </c>
      <c r="C7" s="347" t="s">
        <v>8</v>
      </c>
      <c r="D7" s="347" t="s">
        <v>9</v>
      </c>
      <c r="E7" s="251" t="s">
        <v>10</v>
      </c>
      <c r="F7" s="252" t="s">
        <v>11</v>
      </c>
      <c r="G7" s="252" t="s">
        <v>12</v>
      </c>
      <c r="H7" s="348" t="s">
        <v>107</v>
      </c>
      <c r="I7" s="252" t="s">
        <v>3</v>
      </c>
      <c r="J7" s="252" t="s">
        <v>13</v>
      </c>
      <c r="K7" s="252" t="s">
        <v>14</v>
      </c>
      <c r="L7" s="253"/>
      <c r="M7" s="253"/>
      <c r="N7" s="253"/>
      <c r="O7" s="253"/>
      <c r="P7" s="349" t="s">
        <v>15</v>
      </c>
    </row>
    <row r="8" spans="1:16">
      <c r="A8" s="346"/>
      <c r="B8" s="250" t="s">
        <v>16</v>
      </c>
      <c r="C8" s="347"/>
      <c r="D8" s="347"/>
      <c r="E8" s="251" t="s">
        <v>17</v>
      </c>
      <c r="F8" s="252" t="s">
        <v>18</v>
      </c>
      <c r="G8" s="251" t="s">
        <v>17</v>
      </c>
      <c r="H8" s="348"/>
      <c r="I8" s="252"/>
      <c r="J8" s="254"/>
      <c r="K8" s="254" t="s">
        <v>19</v>
      </c>
      <c r="L8" s="253"/>
      <c r="M8" s="253"/>
      <c r="N8" s="253"/>
      <c r="O8" s="253"/>
      <c r="P8" s="349"/>
    </row>
    <row r="9" spans="1:16" ht="26.1">
      <c r="A9" s="198">
        <v>42426</v>
      </c>
      <c r="B9" s="31">
        <v>203635</v>
      </c>
      <c r="C9" s="199" t="s">
        <v>113</v>
      </c>
      <c r="D9" s="125"/>
      <c r="E9" s="199"/>
      <c r="F9" s="44">
        <v>190</v>
      </c>
      <c r="G9" s="31"/>
      <c r="H9" s="53" t="s">
        <v>114</v>
      </c>
      <c r="I9" s="1" t="s">
        <v>21</v>
      </c>
      <c r="J9" s="1" t="s">
        <v>21</v>
      </c>
      <c r="K9" s="1" t="s">
        <v>33</v>
      </c>
      <c r="P9" s="1" t="s">
        <v>110</v>
      </c>
    </row>
    <row r="10" spans="1:16" ht="26.1">
      <c r="A10" s="198">
        <v>42444</v>
      </c>
      <c r="B10" s="31">
        <v>203661</v>
      </c>
      <c r="C10" s="199" t="s">
        <v>113</v>
      </c>
      <c r="D10" s="125"/>
      <c r="E10" s="199"/>
      <c r="F10" s="44">
        <v>380</v>
      </c>
      <c r="G10" s="31"/>
      <c r="H10" s="53" t="s">
        <v>115</v>
      </c>
      <c r="I10" s="1" t="s">
        <v>21</v>
      </c>
      <c r="J10" s="1" t="s">
        <v>21</v>
      </c>
      <c r="K10" s="1" t="s">
        <v>33</v>
      </c>
      <c r="P10" s="1" t="s">
        <v>110</v>
      </c>
    </row>
    <row r="11" spans="1:16">
      <c r="A11" s="198">
        <v>42451</v>
      </c>
      <c r="B11" s="31">
        <v>203668</v>
      </c>
      <c r="C11" s="199" t="s">
        <v>113</v>
      </c>
      <c r="D11" s="125"/>
      <c r="E11" s="199"/>
      <c r="F11" s="44">
        <v>620</v>
      </c>
      <c r="G11" s="31"/>
      <c r="H11" s="53" t="s">
        <v>116</v>
      </c>
      <c r="I11" s="1" t="s">
        <v>21</v>
      </c>
      <c r="J11" s="1" t="s">
        <v>21</v>
      </c>
      <c r="K11" s="1" t="s">
        <v>33</v>
      </c>
      <c r="P11" s="1" t="s">
        <v>110</v>
      </c>
    </row>
    <row r="12" spans="1:16">
      <c r="A12" s="198">
        <v>42451</v>
      </c>
      <c r="B12" s="31">
        <v>203677</v>
      </c>
      <c r="C12" s="199" t="s">
        <v>113</v>
      </c>
      <c r="D12" s="125"/>
      <c r="E12" s="199"/>
      <c r="F12" s="44">
        <v>700</v>
      </c>
      <c r="G12" s="31"/>
      <c r="H12" s="53" t="s">
        <v>117</v>
      </c>
      <c r="I12" s="1" t="s">
        <v>21</v>
      </c>
      <c r="J12" s="1" t="s">
        <v>21</v>
      </c>
      <c r="K12" s="1" t="s">
        <v>33</v>
      </c>
      <c r="P12" s="1" t="s">
        <v>110</v>
      </c>
    </row>
    <row r="13" spans="1:16" ht="26.1">
      <c r="A13" s="198">
        <v>42451</v>
      </c>
      <c r="B13" s="31">
        <v>203678</v>
      </c>
      <c r="C13" s="199" t="s">
        <v>113</v>
      </c>
      <c r="D13" s="125"/>
      <c r="E13" s="199"/>
      <c r="F13" s="44">
        <v>380</v>
      </c>
      <c r="G13" s="31"/>
      <c r="H13" s="53" t="s">
        <v>118</v>
      </c>
      <c r="I13" s="1" t="s">
        <v>21</v>
      </c>
      <c r="J13" s="1" t="s">
        <v>21</v>
      </c>
      <c r="K13" s="1" t="s">
        <v>33</v>
      </c>
      <c r="P13" s="1" t="s">
        <v>110</v>
      </c>
    </row>
    <row r="14" spans="1:16" ht="26.1">
      <c r="A14" s="198">
        <v>42464</v>
      </c>
      <c r="B14" s="31" t="s">
        <v>119</v>
      </c>
      <c r="C14" s="199" t="s">
        <v>120</v>
      </c>
      <c r="D14" s="125"/>
      <c r="E14" s="199"/>
      <c r="F14" s="44">
        <f>22.45+35</f>
        <v>57.45</v>
      </c>
      <c r="G14" s="31"/>
      <c r="H14" s="53" t="s">
        <v>121</v>
      </c>
      <c r="I14" s="1" t="s">
        <v>21</v>
      </c>
      <c r="J14" s="1" t="s">
        <v>21</v>
      </c>
      <c r="K14" s="1" t="s">
        <v>33</v>
      </c>
      <c r="P14" s="1" t="s">
        <v>110</v>
      </c>
    </row>
    <row r="15" spans="1:16" ht="26.1">
      <c r="A15" s="198">
        <v>42464</v>
      </c>
      <c r="B15" s="31">
        <v>203695</v>
      </c>
      <c r="C15" s="199" t="s">
        <v>113</v>
      </c>
      <c r="D15" s="125"/>
      <c r="E15" s="199"/>
      <c r="F15" s="44">
        <v>475</v>
      </c>
      <c r="G15" s="31"/>
      <c r="H15" s="53" t="s">
        <v>122</v>
      </c>
      <c r="I15" s="1" t="s">
        <v>21</v>
      </c>
      <c r="J15" s="1" t="s">
        <v>21</v>
      </c>
      <c r="K15" s="1" t="s">
        <v>33</v>
      </c>
      <c r="P15" s="1" t="s">
        <v>110</v>
      </c>
    </row>
    <row r="16" spans="1:16" ht="26.1">
      <c r="A16" s="198">
        <v>42464</v>
      </c>
      <c r="B16" s="31">
        <v>203701</v>
      </c>
      <c r="C16" s="199" t="s">
        <v>123</v>
      </c>
      <c r="D16" s="125"/>
      <c r="E16" s="199"/>
      <c r="F16" s="44">
        <v>1000</v>
      </c>
      <c r="G16" s="31"/>
      <c r="H16" s="53" t="s">
        <v>124</v>
      </c>
      <c r="I16" s="1" t="s">
        <v>21</v>
      </c>
      <c r="J16" s="1" t="s">
        <v>21</v>
      </c>
      <c r="K16" s="1" t="s">
        <v>33</v>
      </c>
      <c r="P16" s="1" t="s">
        <v>110</v>
      </c>
    </row>
    <row r="17" spans="1:16">
      <c r="A17" s="198">
        <v>42478</v>
      </c>
      <c r="B17" s="31">
        <v>203720</v>
      </c>
      <c r="C17" s="199" t="s">
        <v>113</v>
      </c>
      <c r="D17" s="125"/>
      <c r="E17" s="199"/>
      <c r="F17" s="44">
        <v>1505</v>
      </c>
      <c r="G17" s="31"/>
      <c r="H17" s="53" t="s">
        <v>125</v>
      </c>
      <c r="I17" s="1" t="s">
        <v>21</v>
      </c>
      <c r="J17" s="1" t="s">
        <v>21</v>
      </c>
      <c r="K17" s="1" t="s">
        <v>33</v>
      </c>
      <c r="P17" s="1" t="s">
        <v>110</v>
      </c>
    </row>
    <row r="18" spans="1:16">
      <c r="A18" s="198">
        <v>42478</v>
      </c>
      <c r="B18" s="31">
        <v>203722</v>
      </c>
      <c r="C18" s="199" t="s">
        <v>123</v>
      </c>
      <c r="D18" s="125"/>
      <c r="E18" s="199"/>
      <c r="F18" s="44">
        <v>1700</v>
      </c>
      <c r="G18" s="31"/>
      <c r="H18" s="53" t="s">
        <v>126</v>
      </c>
      <c r="I18" s="1" t="s">
        <v>21</v>
      </c>
      <c r="J18" s="1" t="s">
        <v>21</v>
      </c>
      <c r="K18" s="1" t="s">
        <v>33</v>
      </c>
      <c r="P18" s="1" t="s">
        <v>110</v>
      </c>
    </row>
    <row r="19" spans="1:16" ht="26.1">
      <c r="A19" s="198" t="s">
        <v>127</v>
      </c>
      <c r="B19" s="31"/>
      <c r="C19" s="199" t="s">
        <v>120</v>
      </c>
      <c r="D19" s="125"/>
      <c r="E19" s="199"/>
      <c r="F19" s="44">
        <f>22.45+35</f>
        <v>57.45</v>
      </c>
      <c r="G19" s="31"/>
      <c r="H19" s="53" t="s">
        <v>121</v>
      </c>
      <c r="I19" s="1" t="s">
        <v>21</v>
      </c>
      <c r="J19" s="1" t="s">
        <v>21</v>
      </c>
      <c r="K19" s="1" t="s">
        <v>33</v>
      </c>
      <c r="P19" s="1" t="s">
        <v>110</v>
      </c>
    </row>
    <row r="20" spans="1:16" ht="26.1">
      <c r="A20" s="198">
        <v>42485</v>
      </c>
      <c r="B20" s="31">
        <v>203726</v>
      </c>
      <c r="C20" s="199" t="s">
        <v>113</v>
      </c>
      <c r="D20" s="125"/>
      <c r="E20" s="199"/>
      <c r="F20" s="44">
        <v>475</v>
      </c>
      <c r="G20" s="31"/>
      <c r="H20" s="53" t="s">
        <v>128</v>
      </c>
      <c r="I20" s="1" t="s">
        <v>21</v>
      </c>
      <c r="J20" s="1" t="s">
        <v>21</v>
      </c>
      <c r="K20" s="1" t="s">
        <v>33</v>
      </c>
      <c r="P20" s="1" t="s">
        <v>110</v>
      </c>
    </row>
    <row r="21" spans="1:16" ht="13.5" thickBot="1">
      <c r="A21" s="198"/>
      <c r="B21" s="31"/>
      <c r="C21" s="199"/>
    </row>
    <row r="22" spans="1:16" ht="13.5" thickBot="1">
      <c r="F22" s="237">
        <f>SUM(F9:F21)</f>
        <v>7539.9</v>
      </c>
    </row>
    <row r="140" spans="6:6">
      <c r="F140" s="15" t="e">
        <f>SUM(#REF!)</f>
        <v>#REF!</v>
      </c>
    </row>
  </sheetData>
  <protectedRanges>
    <protectedRange sqref="A21 A22:K689 I9:K21" name="Range1"/>
  </protectedRanges>
  <mergeCells count="9">
    <mergeCell ref="C1:E1"/>
    <mergeCell ref="C2:E2"/>
    <mergeCell ref="F3:G3"/>
    <mergeCell ref="F4:G4"/>
    <mergeCell ref="A7:A8"/>
    <mergeCell ref="C7:C8"/>
    <mergeCell ref="D7:D8"/>
    <mergeCell ref="H7:H8"/>
    <mergeCell ref="P7:P8"/>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300-000000000000}">
          <x14:formula1>
            <xm:f>'PN-Coding'!$D$3:$D$4</xm:f>
          </x14:formula1>
          <xm:sqref>K9:K21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47"/>
  <sheetViews>
    <sheetView showGridLines="0" topLeftCell="A46" workbookViewId="0">
      <selection activeCell="A70" sqref="A70:B70"/>
    </sheetView>
  </sheetViews>
  <sheetFormatPr defaultColWidth="11" defaultRowHeight="15.6"/>
  <cols>
    <col min="1" max="1" width="37.625" style="171" customWidth="1"/>
    <col min="2" max="2" width="15.625" style="124" bestFit="1" customWidth="1"/>
    <col min="3" max="3" width="9.875" style="1" bestFit="1" customWidth="1"/>
  </cols>
  <sheetData>
    <row r="1" spans="1:3">
      <c r="A1" s="186" t="s">
        <v>129</v>
      </c>
      <c r="B1" s="187" t="s">
        <v>28</v>
      </c>
      <c r="C1" s="188" t="s">
        <v>130</v>
      </c>
    </row>
    <row r="2" spans="1:3">
      <c r="A2" s="177" t="s">
        <v>32</v>
      </c>
      <c r="B2" s="124" t="s">
        <v>131</v>
      </c>
      <c r="C2" s="183">
        <v>7410</v>
      </c>
    </row>
    <row r="3" spans="1:3">
      <c r="A3" s="177" t="s">
        <v>132</v>
      </c>
      <c r="B3" s="124" t="s">
        <v>133</v>
      </c>
      <c r="C3" s="183">
        <v>7420</v>
      </c>
    </row>
    <row r="4" spans="1:3">
      <c r="A4" s="177" t="s">
        <v>36</v>
      </c>
      <c r="B4" s="124" t="s">
        <v>134</v>
      </c>
      <c r="C4" s="183">
        <v>7440</v>
      </c>
    </row>
    <row r="5" spans="1:3">
      <c r="A5" s="177" t="s">
        <v>39</v>
      </c>
      <c r="B5" s="124" t="s">
        <v>135</v>
      </c>
      <c r="C5" s="183">
        <v>8230</v>
      </c>
    </row>
    <row r="6" spans="1:3">
      <c r="A6" s="177" t="s">
        <v>40</v>
      </c>
      <c r="B6" s="124" t="s">
        <v>136</v>
      </c>
      <c r="C6" s="183">
        <v>7460</v>
      </c>
    </row>
    <row r="7" spans="1:3">
      <c r="A7" s="177" t="s">
        <v>43</v>
      </c>
      <c r="B7" s="124" t="s">
        <v>137</v>
      </c>
      <c r="C7" s="183">
        <v>7450</v>
      </c>
    </row>
    <row r="8" spans="1:3">
      <c r="A8" s="177" t="s">
        <v>138</v>
      </c>
      <c r="B8" s="124" t="s">
        <v>139</v>
      </c>
      <c r="C8" s="183">
        <v>7445</v>
      </c>
    </row>
    <row r="9" spans="1:3">
      <c r="A9" s="177" t="s">
        <v>46</v>
      </c>
      <c r="B9" s="124" t="s">
        <v>140</v>
      </c>
      <c r="C9" s="183">
        <v>8170</v>
      </c>
    </row>
    <row r="10" spans="1:3">
      <c r="A10" s="177" t="s">
        <v>47</v>
      </c>
      <c r="B10" s="124" t="s">
        <v>141</v>
      </c>
      <c r="C10" s="183">
        <v>7470</v>
      </c>
    </row>
    <row r="11" spans="1:3">
      <c r="A11" s="177" t="s">
        <v>50</v>
      </c>
      <c r="B11" s="124" t="s">
        <v>142</v>
      </c>
      <c r="C11" s="183">
        <v>7455</v>
      </c>
    </row>
    <row r="12" spans="1:3">
      <c r="A12" s="177" t="s">
        <v>51</v>
      </c>
      <c r="B12" s="124" t="s">
        <v>143</v>
      </c>
      <c r="C12" s="183">
        <v>7435</v>
      </c>
    </row>
    <row r="13" spans="1:3" ht="24">
      <c r="A13" s="177" t="s">
        <v>144</v>
      </c>
      <c r="B13" s="124" t="s">
        <v>145</v>
      </c>
      <c r="C13" s="183">
        <v>7740</v>
      </c>
    </row>
    <row r="14" spans="1:3">
      <c r="A14" s="177" t="s">
        <v>146</v>
      </c>
      <c r="B14" s="124" t="s">
        <v>58</v>
      </c>
      <c r="C14" s="183">
        <v>7499</v>
      </c>
    </row>
    <row r="15" spans="1:3">
      <c r="A15" s="177" t="s">
        <v>147</v>
      </c>
      <c r="B15" s="124" t="s">
        <v>60</v>
      </c>
      <c r="C15" s="183">
        <v>7499</v>
      </c>
    </row>
    <row r="16" spans="1:3">
      <c r="A16" s="177" t="s">
        <v>148</v>
      </c>
      <c r="B16" s="124" t="s">
        <v>62</v>
      </c>
      <c r="C16" s="183">
        <v>7120</v>
      </c>
    </row>
    <row r="17" spans="1:3">
      <c r="A17" s="177" t="s">
        <v>149</v>
      </c>
      <c r="B17" s="124" t="s">
        <v>150</v>
      </c>
      <c r="C17" s="183">
        <v>7370</v>
      </c>
    </row>
    <row r="18" spans="1:3">
      <c r="A18" s="177" t="s">
        <v>151</v>
      </c>
      <c r="B18" s="124" t="s">
        <v>66</v>
      </c>
      <c r="C18" s="183">
        <v>7391</v>
      </c>
    </row>
    <row r="19" spans="1:3">
      <c r="A19" s="177" t="s">
        <v>152</v>
      </c>
      <c r="B19" s="124" t="s">
        <v>68</v>
      </c>
      <c r="C19" s="183">
        <v>7120</v>
      </c>
    </row>
    <row r="20" spans="1:3">
      <c r="A20" s="177" t="s">
        <v>153</v>
      </c>
      <c r="B20" s="124" t="s">
        <v>154</v>
      </c>
      <c r="C20" s="183">
        <v>7120</v>
      </c>
    </row>
    <row r="21" spans="1:3" ht="24">
      <c r="A21" s="177" t="s">
        <v>155</v>
      </c>
      <c r="B21" s="124" t="s">
        <v>156</v>
      </c>
      <c r="C21" s="183">
        <v>7431</v>
      </c>
    </row>
    <row r="22" spans="1:3">
      <c r="A22" s="177" t="s">
        <v>157</v>
      </c>
      <c r="B22" s="124" t="s">
        <v>158</v>
      </c>
      <c r="C22" s="183">
        <v>7120</v>
      </c>
    </row>
    <row r="23" spans="1:3">
      <c r="A23" s="177" t="s">
        <v>159</v>
      </c>
      <c r="B23" s="124" t="s">
        <v>70</v>
      </c>
      <c r="C23" s="183">
        <v>7120</v>
      </c>
    </row>
    <row r="24" spans="1:3">
      <c r="A24" s="177" t="s">
        <v>160</v>
      </c>
      <c r="B24" s="124" t="s">
        <v>72</v>
      </c>
      <c r="C24" s="183">
        <v>7120</v>
      </c>
    </row>
    <row r="25" spans="1:3">
      <c r="A25" s="177" t="s">
        <v>161</v>
      </c>
      <c r="B25" s="124" t="s">
        <v>162</v>
      </c>
      <c r="C25" s="183">
        <v>7720</v>
      </c>
    </row>
    <row r="26" spans="1:3">
      <c r="A26" s="177" t="s">
        <v>163</v>
      </c>
      <c r="B26" s="124" t="s">
        <v>74</v>
      </c>
      <c r="C26" s="183">
        <v>7380</v>
      </c>
    </row>
    <row r="27" spans="1:3">
      <c r="A27" s="177" t="s">
        <v>164</v>
      </c>
      <c r="B27" s="124" t="s">
        <v>78</v>
      </c>
      <c r="C27" s="183">
        <v>7120</v>
      </c>
    </row>
    <row r="28" spans="1:3" ht="24">
      <c r="A28" s="177" t="s">
        <v>165</v>
      </c>
      <c r="B28" s="124" t="s">
        <v>166</v>
      </c>
      <c r="C28" s="183">
        <v>7431</v>
      </c>
    </row>
    <row r="29" spans="1:3" ht="24">
      <c r="A29" s="177" t="s">
        <v>165</v>
      </c>
      <c r="B29" s="124" t="s">
        <v>166</v>
      </c>
      <c r="C29" s="183">
        <v>7431</v>
      </c>
    </row>
    <row r="30" spans="1:3">
      <c r="A30" s="177" t="s">
        <v>167</v>
      </c>
      <c r="B30" s="124" t="s">
        <v>85</v>
      </c>
      <c r="C30" s="183">
        <v>7440</v>
      </c>
    </row>
    <row r="31" spans="1:3">
      <c r="A31" s="177" t="s">
        <v>168</v>
      </c>
      <c r="B31" s="124" t="s">
        <v>89</v>
      </c>
      <c r="C31" s="183">
        <v>8221</v>
      </c>
    </row>
    <row r="32" spans="1:3">
      <c r="A32" s="177" t="s">
        <v>169</v>
      </c>
      <c r="B32" s="124" t="s">
        <v>91</v>
      </c>
      <c r="C32" s="183">
        <v>7391</v>
      </c>
    </row>
    <row r="33" spans="1:3">
      <c r="A33" s="177" t="s">
        <v>170</v>
      </c>
      <c r="B33" s="124" t="s">
        <v>171</v>
      </c>
      <c r="C33" s="183">
        <v>7370</v>
      </c>
    </row>
    <row r="34" spans="1:3">
      <c r="A34" s="177" t="s">
        <v>172</v>
      </c>
      <c r="B34" s="124" t="s">
        <v>173</v>
      </c>
      <c r="C34" s="183">
        <v>7120</v>
      </c>
    </row>
    <row r="35" spans="1:3">
      <c r="A35" s="177" t="s">
        <v>174</v>
      </c>
      <c r="B35" s="124" t="s">
        <v>56</v>
      </c>
      <c r="C35" s="183">
        <v>7610</v>
      </c>
    </row>
    <row r="36" spans="1:3">
      <c r="A36" s="177" t="s">
        <v>175</v>
      </c>
      <c r="B36" s="124" t="s">
        <v>176</v>
      </c>
      <c r="C36" s="183">
        <v>7370</v>
      </c>
    </row>
    <row r="37" spans="1:3">
      <c r="A37" s="177" t="s">
        <v>177</v>
      </c>
      <c r="B37" s="124" t="s">
        <v>178</v>
      </c>
      <c r="C37" s="183">
        <v>7370</v>
      </c>
    </row>
    <row r="38" spans="1:3">
      <c r="A38" s="177" t="s">
        <v>179</v>
      </c>
      <c r="B38" s="124" t="s">
        <v>180</v>
      </c>
      <c r="C38" s="183">
        <v>7370</v>
      </c>
    </row>
    <row r="39" spans="1:3">
      <c r="A39" s="177" t="s">
        <v>181</v>
      </c>
      <c r="B39" s="124" t="s">
        <v>182</v>
      </c>
      <c r="C39" s="183">
        <v>7370</v>
      </c>
    </row>
    <row r="40" spans="1:3">
      <c r="A40" s="177" t="s">
        <v>183</v>
      </c>
      <c r="B40" s="124" t="s">
        <v>184</v>
      </c>
      <c r="C40" s="183">
        <v>7370</v>
      </c>
    </row>
    <row r="41" spans="1:3" ht="24">
      <c r="A41" s="177" t="s">
        <v>185</v>
      </c>
      <c r="B41" s="124" t="s">
        <v>186</v>
      </c>
      <c r="C41" s="183">
        <v>7370</v>
      </c>
    </row>
    <row r="42" spans="1:3" ht="24">
      <c r="A42" s="177" t="s">
        <v>187</v>
      </c>
      <c r="B42" s="124" t="s">
        <v>188</v>
      </c>
      <c r="C42" s="183">
        <v>7370</v>
      </c>
    </row>
    <row r="43" spans="1:3" ht="24">
      <c r="A43" s="177" t="s">
        <v>189</v>
      </c>
      <c r="B43" s="124" t="s">
        <v>190</v>
      </c>
      <c r="C43" s="183">
        <v>7370</v>
      </c>
    </row>
    <row r="44" spans="1:3">
      <c r="A44" s="177" t="s">
        <v>191</v>
      </c>
      <c r="B44" s="124" t="s">
        <v>192</v>
      </c>
      <c r="C44" s="183">
        <v>7499</v>
      </c>
    </row>
    <row r="45" spans="1:3">
      <c r="A45" s="177" t="s">
        <v>193</v>
      </c>
      <c r="B45" s="124" t="s">
        <v>194</v>
      </c>
      <c r="C45" s="183">
        <v>7370</v>
      </c>
    </row>
    <row r="46" spans="1:3">
      <c r="A46" s="177" t="s">
        <v>195</v>
      </c>
      <c r="B46" s="124" t="s">
        <v>196</v>
      </c>
      <c r="C46" s="183">
        <v>7370</v>
      </c>
    </row>
    <row r="47" spans="1:3">
      <c r="A47" s="177" t="s">
        <v>197</v>
      </c>
      <c r="B47" s="124" t="s">
        <v>198</v>
      </c>
      <c r="C47" s="183">
        <v>7370</v>
      </c>
    </row>
    <row r="48" spans="1:3">
      <c r="A48" s="177" t="s">
        <v>199</v>
      </c>
      <c r="B48" s="124" t="s">
        <v>200</v>
      </c>
      <c r="C48" s="183">
        <v>8221</v>
      </c>
    </row>
    <row r="49" spans="1:3">
      <c r="A49" s="177" t="s">
        <v>201</v>
      </c>
      <c r="B49" s="124" t="s">
        <v>202</v>
      </c>
      <c r="C49" s="183">
        <v>8221</v>
      </c>
    </row>
    <row r="50" spans="1:3">
      <c r="A50" s="177" t="s">
        <v>203</v>
      </c>
      <c r="B50" s="124" t="s">
        <v>204</v>
      </c>
      <c r="C50" s="183">
        <v>7120</v>
      </c>
    </row>
    <row r="51" spans="1:3">
      <c r="A51" s="177" t="s">
        <v>205</v>
      </c>
      <c r="B51" s="124" t="s">
        <v>206</v>
      </c>
      <c r="C51" s="183">
        <v>8221</v>
      </c>
    </row>
    <row r="52" spans="1:3">
      <c r="A52" s="177" t="s">
        <v>207</v>
      </c>
      <c r="B52" s="124" t="s">
        <v>208</v>
      </c>
      <c r="C52" s="183" t="s">
        <v>209</v>
      </c>
    </row>
    <row r="53" spans="1:3">
      <c r="A53" s="177" t="s">
        <v>210</v>
      </c>
      <c r="B53" s="124" t="s">
        <v>83</v>
      </c>
      <c r="C53" s="183">
        <v>8221</v>
      </c>
    </row>
    <row r="54" spans="1:3">
      <c r="A54" s="177" t="s">
        <v>211</v>
      </c>
      <c r="B54" s="124" t="s">
        <v>212</v>
      </c>
      <c r="C54" s="183">
        <v>7370</v>
      </c>
    </row>
    <row r="55" spans="1:3">
      <c r="A55" s="177" t="s">
        <v>213</v>
      </c>
      <c r="B55" s="124" t="s">
        <v>214</v>
      </c>
      <c r="C55" s="183">
        <v>7370</v>
      </c>
    </row>
    <row r="56" spans="1:3">
      <c r="A56" s="177" t="s">
        <v>215</v>
      </c>
      <c r="B56" s="124" t="s">
        <v>216</v>
      </c>
      <c r="C56" s="183">
        <v>7370</v>
      </c>
    </row>
    <row r="57" spans="1:3">
      <c r="A57" s="177" t="s">
        <v>217</v>
      </c>
      <c r="B57" s="124" t="s">
        <v>218</v>
      </c>
      <c r="C57" s="183">
        <v>7370</v>
      </c>
    </row>
    <row r="58" spans="1:3" ht="15.95" thickBot="1">
      <c r="A58" s="179" t="s">
        <v>219</v>
      </c>
      <c r="B58" s="184" t="s">
        <v>64</v>
      </c>
      <c r="C58" s="185">
        <v>7120</v>
      </c>
    </row>
    <row r="59" spans="1:3" ht="15.95" thickBot="1"/>
    <row r="60" spans="1:3" ht="15.95" thickBot="1">
      <c r="A60" s="175" t="s">
        <v>220</v>
      </c>
      <c r="B60" s="176"/>
    </row>
    <row r="61" spans="1:3">
      <c r="A61" s="177" t="s">
        <v>32</v>
      </c>
      <c r="B61" s="178" t="s">
        <v>131</v>
      </c>
    </row>
    <row r="62" spans="1:3">
      <c r="A62" s="177" t="s">
        <v>132</v>
      </c>
      <c r="B62" s="178" t="s">
        <v>133</v>
      </c>
    </row>
    <row r="63" spans="1:3">
      <c r="A63" s="177" t="s">
        <v>43</v>
      </c>
      <c r="B63" s="178" t="s">
        <v>137</v>
      </c>
    </row>
    <row r="64" spans="1:3">
      <c r="A64" s="177" t="s">
        <v>221</v>
      </c>
      <c r="B64" s="178" t="s">
        <v>222</v>
      </c>
    </row>
    <row r="65" spans="1:2">
      <c r="A65" s="177" t="s">
        <v>223</v>
      </c>
      <c r="B65" s="178" t="s">
        <v>224</v>
      </c>
    </row>
    <row r="66" spans="1:2">
      <c r="A66" s="177" t="s">
        <v>225</v>
      </c>
      <c r="B66" s="178" t="s">
        <v>226</v>
      </c>
    </row>
    <row r="67" spans="1:2">
      <c r="A67" s="177" t="s">
        <v>227</v>
      </c>
      <c r="B67" s="178" t="s">
        <v>53</v>
      </c>
    </row>
    <row r="68" spans="1:2">
      <c r="A68" s="177" t="s">
        <v>191</v>
      </c>
      <c r="B68" s="178" t="s">
        <v>192</v>
      </c>
    </row>
    <row r="69" spans="1:2">
      <c r="A69" s="177" t="s">
        <v>228</v>
      </c>
      <c r="B69" s="178" t="s">
        <v>229</v>
      </c>
    </row>
    <row r="70" spans="1:2">
      <c r="A70" s="177" t="s">
        <v>230</v>
      </c>
      <c r="B70" s="178" t="s">
        <v>231</v>
      </c>
    </row>
    <row r="71" spans="1:2">
      <c r="A71" s="177" t="s">
        <v>232</v>
      </c>
      <c r="B71" s="178" t="s">
        <v>233</v>
      </c>
    </row>
    <row r="72" spans="1:2">
      <c r="A72" s="177" t="s">
        <v>234</v>
      </c>
      <c r="B72" s="178" t="s">
        <v>235</v>
      </c>
    </row>
    <row r="73" spans="1:2">
      <c r="A73" s="177" t="s">
        <v>236</v>
      </c>
      <c r="B73" s="178" t="s">
        <v>237</v>
      </c>
    </row>
    <row r="74" spans="1:2">
      <c r="A74" s="177" t="s">
        <v>238</v>
      </c>
      <c r="B74" s="178" t="s">
        <v>239</v>
      </c>
    </row>
    <row r="75" spans="1:2">
      <c r="A75" s="177" t="s">
        <v>240</v>
      </c>
      <c r="B75" s="178" t="s">
        <v>241</v>
      </c>
    </row>
    <row r="76" spans="1:2">
      <c r="A76" s="177" t="s">
        <v>242</v>
      </c>
      <c r="B76" s="178" t="s">
        <v>243</v>
      </c>
    </row>
    <row r="77" spans="1:2">
      <c r="A77" s="177" t="s">
        <v>244</v>
      </c>
      <c r="B77" s="178" t="s">
        <v>245</v>
      </c>
    </row>
    <row r="78" spans="1:2">
      <c r="A78" s="177" t="s">
        <v>199</v>
      </c>
      <c r="B78" s="178" t="s">
        <v>200</v>
      </c>
    </row>
    <row r="79" spans="1:2">
      <c r="A79" s="177" t="s">
        <v>246</v>
      </c>
      <c r="B79" s="178" t="s">
        <v>247</v>
      </c>
    </row>
    <row r="80" spans="1:2">
      <c r="A80" s="177" t="s">
        <v>203</v>
      </c>
      <c r="B80" s="178" t="s">
        <v>204</v>
      </c>
    </row>
    <row r="81" spans="1:3" ht="24">
      <c r="A81" s="177" t="s">
        <v>248</v>
      </c>
      <c r="B81" s="178" t="s">
        <v>249</v>
      </c>
    </row>
    <row r="82" spans="1:3" ht="24">
      <c r="A82" s="177" t="s">
        <v>165</v>
      </c>
      <c r="B82" s="178" t="s">
        <v>166</v>
      </c>
    </row>
    <row r="83" spans="1:3">
      <c r="A83" s="177" t="s">
        <v>250</v>
      </c>
      <c r="B83" s="178" t="s">
        <v>251</v>
      </c>
    </row>
    <row r="84" spans="1:3">
      <c r="A84" s="177" t="s">
        <v>207</v>
      </c>
      <c r="B84" s="178" t="s">
        <v>208</v>
      </c>
    </row>
    <row r="85" spans="1:3">
      <c r="A85" s="177" t="s">
        <v>252</v>
      </c>
      <c r="B85" s="178" t="s">
        <v>81</v>
      </c>
    </row>
    <row r="86" spans="1:3">
      <c r="A86" s="177" t="s">
        <v>253</v>
      </c>
      <c r="B86" s="178" t="s">
        <v>254</v>
      </c>
    </row>
    <row r="87" spans="1:3">
      <c r="A87" s="177" t="s">
        <v>255</v>
      </c>
      <c r="B87" s="178" t="s">
        <v>256</v>
      </c>
    </row>
    <row r="88" spans="1:3" ht="15.95" thickBot="1">
      <c r="A88" s="179" t="s">
        <v>257</v>
      </c>
      <c r="B88" s="180" t="s">
        <v>258</v>
      </c>
    </row>
    <row r="90" spans="1:3" ht="15.95" thickBot="1"/>
    <row r="91" spans="1:3" ht="15.95" thickBot="1">
      <c r="A91" s="175" t="s">
        <v>259</v>
      </c>
      <c r="B91" s="181"/>
      <c r="C91" s="182"/>
    </row>
    <row r="92" spans="1:3">
      <c r="A92" s="177" t="s">
        <v>32</v>
      </c>
      <c r="B92" s="124" t="s">
        <v>131</v>
      </c>
      <c r="C92" s="183">
        <v>7410</v>
      </c>
    </row>
    <row r="93" spans="1:3">
      <c r="A93" s="177" t="s">
        <v>132</v>
      </c>
      <c r="B93" s="124" t="s">
        <v>133</v>
      </c>
      <c r="C93" s="183">
        <v>7420</v>
      </c>
    </row>
    <row r="94" spans="1:3">
      <c r="A94" s="177" t="s">
        <v>36</v>
      </c>
      <c r="B94" s="124" t="s">
        <v>134</v>
      </c>
      <c r="C94" s="183">
        <v>7440</v>
      </c>
    </row>
    <row r="95" spans="1:3">
      <c r="A95" s="177" t="s">
        <v>39</v>
      </c>
      <c r="B95" s="124" t="s">
        <v>135</v>
      </c>
      <c r="C95" s="183">
        <v>8230</v>
      </c>
    </row>
    <row r="96" spans="1:3">
      <c r="A96" s="177" t="s">
        <v>40</v>
      </c>
      <c r="B96" s="124" t="s">
        <v>136</v>
      </c>
      <c r="C96" s="183">
        <v>7460</v>
      </c>
    </row>
    <row r="97" spans="1:3">
      <c r="A97" s="177" t="s">
        <v>43</v>
      </c>
      <c r="B97" s="124" t="s">
        <v>137</v>
      </c>
      <c r="C97" s="183">
        <v>7450</v>
      </c>
    </row>
    <row r="98" spans="1:3">
      <c r="A98" s="177" t="s">
        <v>138</v>
      </c>
      <c r="B98" s="124" t="s">
        <v>139</v>
      </c>
      <c r="C98" s="183">
        <v>7445</v>
      </c>
    </row>
    <row r="99" spans="1:3">
      <c r="A99" s="177" t="s">
        <v>46</v>
      </c>
      <c r="B99" s="124" t="s">
        <v>140</v>
      </c>
      <c r="C99" s="183">
        <v>8170</v>
      </c>
    </row>
    <row r="100" spans="1:3">
      <c r="A100" s="177" t="s">
        <v>47</v>
      </c>
      <c r="B100" s="124" t="s">
        <v>141</v>
      </c>
      <c r="C100" s="183">
        <v>7470</v>
      </c>
    </row>
    <row r="101" spans="1:3">
      <c r="A101" s="177" t="s">
        <v>50</v>
      </c>
      <c r="B101" s="124" t="s">
        <v>142</v>
      </c>
      <c r="C101" s="183">
        <v>7455</v>
      </c>
    </row>
    <row r="102" spans="1:3">
      <c r="A102" s="177" t="s">
        <v>51</v>
      </c>
      <c r="B102" s="124" t="s">
        <v>143</v>
      </c>
      <c r="C102" s="183">
        <v>7435</v>
      </c>
    </row>
    <row r="103" spans="1:3" ht="24">
      <c r="A103" s="177" t="s">
        <v>144</v>
      </c>
      <c r="B103" s="124" t="s">
        <v>145</v>
      </c>
      <c r="C103" s="183">
        <v>7740</v>
      </c>
    </row>
    <row r="104" spans="1:3">
      <c r="A104" s="177" t="s">
        <v>172</v>
      </c>
      <c r="B104" s="124" t="s">
        <v>173</v>
      </c>
      <c r="C104" s="183">
        <v>7120</v>
      </c>
    </row>
    <row r="105" spans="1:3">
      <c r="A105" s="177" t="s">
        <v>174</v>
      </c>
      <c r="B105" s="124" t="s">
        <v>56</v>
      </c>
      <c r="C105" s="183">
        <v>7610</v>
      </c>
    </row>
    <row r="106" spans="1:3">
      <c r="A106" s="177" t="s">
        <v>260</v>
      </c>
      <c r="B106" s="124" t="s">
        <v>261</v>
      </c>
      <c r="C106" s="183">
        <v>7370</v>
      </c>
    </row>
    <row r="107" spans="1:3">
      <c r="A107" s="177" t="s">
        <v>262</v>
      </c>
      <c r="B107" s="124" t="s">
        <v>263</v>
      </c>
      <c r="C107" s="183">
        <v>7370</v>
      </c>
    </row>
    <row r="108" spans="1:3">
      <c r="A108" s="177" t="s">
        <v>264</v>
      </c>
      <c r="B108" s="124" t="s">
        <v>265</v>
      </c>
      <c r="C108" s="183">
        <v>7370</v>
      </c>
    </row>
    <row r="109" spans="1:3">
      <c r="A109" s="177" t="s">
        <v>205</v>
      </c>
      <c r="B109" s="124" t="s">
        <v>206</v>
      </c>
      <c r="C109" s="183">
        <v>8221</v>
      </c>
    </row>
    <row r="110" spans="1:3">
      <c r="A110" s="177" t="s">
        <v>266</v>
      </c>
      <c r="B110" s="124" t="s">
        <v>267</v>
      </c>
      <c r="C110" s="183">
        <v>7370</v>
      </c>
    </row>
    <row r="111" spans="1:3">
      <c r="A111" s="177" t="s">
        <v>268</v>
      </c>
      <c r="B111" s="124" t="s">
        <v>269</v>
      </c>
      <c r="C111" s="183">
        <v>7370</v>
      </c>
    </row>
    <row r="112" spans="1:3">
      <c r="A112" s="177" t="s">
        <v>270</v>
      </c>
      <c r="B112" s="124" t="s">
        <v>271</v>
      </c>
      <c r="C112" s="183">
        <v>7370</v>
      </c>
    </row>
    <row r="113" spans="1:4">
      <c r="A113" s="177" t="s">
        <v>167</v>
      </c>
      <c r="B113" s="124" t="s">
        <v>85</v>
      </c>
      <c r="C113" s="183">
        <v>7440</v>
      </c>
    </row>
    <row r="114" spans="1:4">
      <c r="A114" s="177" t="s">
        <v>199</v>
      </c>
      <c r="B114" s="124" t="s">
        <v>200</v>
      </c>
      <c r="C114" s="183">
        <v>8221</v>
      </c>
    </row>
    <row r="115" spans="1:4">
      <c r="A115" s="177" t="s">
        <v>201</v>
      </c>
      <c r="B115" s="124" t="s">
        <v>202</v>
      </c>
      <c r="C115" s="183">
        <v>8221</v>
      </c>
    </row>
    <row r="116" spans="1:4">
      <c r="A116" s="177" t="s">
        <v>203</v>
      </c>
      <c r="B116" s="124" t="s">
        <v>204</v>
      </c>
      <c r="C116" s="183">
        <v>7120</v>
      </c>
    </row>
    <row r="117" spans="1:4" ht="24">
      <c r="A117" s="177" t="s">
        <v>248</v>
      </c>
      <c r="B117" s="124" t="s">
        <v>249</v>
      </c>
      <c r="C117" s="183" t="s">
        <v>272</v>
      </c>
    </row>
    <row r="118" spans="1:4">
      <c r="A118" s="177" t="s">
        <v>250</v>
      </c>
      <c r="B118" s="124" t="s">
        <v>251</v>
      </c>
      <c r="C118" s="183" t="s">
        <v>209</v>
      </c>
    </row>
    <row r="119" spans="1:4" ht="24">
      <c r="A119" s="177" t="s">
        <v>273</v>
      </c>
      <c r="B119" s="124" t="s">
        <v>166</v>
      </c>
      <c r="C119" s="183" t="s">
        <v>272</v>
      </c>
      <c r="D119" s="196"/>
    </row>
    <row r="120" spans="1:4" ht="24">
      <c r="A120" s="177" t="s">
        <v>274</v>
      </c>
      <c r="B120" s="124" t="s">
        <v>166</v>
      </c>
      <c r="C120" s="183" t="s">
        <v>209</v>
      </c>
      <c r="D120" s="196"/>
    </row>
    <row r="121" spans="1:4">
      <c r="A121" s="177" t="s">
        <v>207</v>
      </c>
      <c r="B121" s="124" t="s">
        <v>208</v>
      </c>
      <c r="C121" s="183" t="s">
        <v>209</v>
      </c>
    </row>
    <row r="122" spans="1:4">
      <c r="A122" s="177" t="s">
        <v>252</v>
      </c>
      <c r="B122" s="124" t="s">
        <v>81</v>
      </c>
      <c r="C122" s="183">
        <v>7431</v>
      </c>
    </row>
    <row r="123" spans="1:4">
      <c r="A123" s="177" t="s">
        <v>210</v>
      </c>
      <c r="B123" s="124" t="s">
        <v>83</v>
      </c>
      <c r="C123" s="183">
        <v>8221</v>
      </c>
    </row>
    <row r="124" spans="1:4">
      <c r="A124" s="177" t="s">
        <v>168</v>
      </c>
      <c r="B124" s="124" t="s">
        <v>89</v>
      </c>
      <c r="C124" s="183">
        <v>8221</v>
      </c>
    </row>
    <row r="125" spans="1:4">
      <c r="A125" s="177" t="s">
        <v>169</v>
      </c>
      <c r="B125" s="124" t="s">
        <v>91</v>
      </c>
      <c r="C125" s="183">
        <v>7391</v>
      </c>
    </row>
    <row r="126" spans="1:4">
      <c r="A126" s="177" t="s">
        <v>146</v>
      </c>
      <c r="B126" s="124" t="s">
        <v>58</v>
      </c>
      <c r="C126" s="183">
        <v>7499</v>
      </c>
    </row>
    <row r="127" spans="1:4">
      <c r="A127" s="177" t="s">
        <v>147</v>
      </c>
      <c r="B127" s="124" t="s">
        <v>60</v>
      </c>
      <c r="C127" s="183">
        <v>7499</v>
      </c>
    </row>
    <row r="128" spans="1:4">
      <c r="A128" s="177" t="s">
        <v>148</v>
      </c>
      <c r="B128" s="124" t="s">
        <v>62</v>
      </c>
      <c r="C128" s="183">
        <v>7120</v>
      </c>
    </row>
    <row r="129" spans="1:3">
      <c r="A129" s="177" t="s">
        <v>275</v>
      </c>
      <c r="B129" s="124" t="s">
        <v>276</v>
      </c>
      <c r="C129" s="183">
        <v>7370</v>
      </c>
    </row>
    <row r="130" spans="1:3">
      <c r="A130" s="177" t="s">
        <v>277</v>
      </c>
      <c r="B130" s="124" t="s">
        <v>278</v>
      </c>
      <c r="C130" s="183">
        <v>7370</v>
      </c>
    </row>
    <row r="131" spans="1:3">
      <c r="A131" s="177" t="s">
        <v>279</v>
      </c>
      <c r="B131" s="124" t="s">
        <v>280</v>
      </c>
      <c r="C131" s="183">
        <v>7370</v>
      </c>
    </row>
    <row r="132" spans="1:3">
      <c r="A132" s="177" t="s">
        <v>219</v>
      </c>
      <c r="B132" s="124" t="s">
        <v>64</v>
      </c>
      <c r="C132" s="183">
        <v>7120</v>
      </c>
    </row>
    <row r="133" spans="1:3">
      <c r="A133" s="177" t="s">
        <v>281</v>
      </c>
      <c r="B133" s="124" t="s">
        <v>282</v>
      </c>
      <c r="C133" s="183">
        <v>7370</v>
      </c>
    </row>
    <row r="134" spans="1:3">
      <c r="A134" s="177" t="s">
        <v>283</v>
      </c>
      <c r="B134" s="124" t="s">
        <v>284</v>
      </c>
      <c r="C134" s="183">
        <v>7370</v>
      </c>
    </row>
    <row r="135" spans="1:3">
      <c r="A135" s="177" t="s">
        <v>285</v>
      </c>
      <c r="B135" s="124" t="s">
        <v>286</v>
      </c>
      <c r="C135" s="183">
        <v>7370</v>
      </c>
    </row>
    <row r="136" spans="1:3">
      <c r="A136" s="177" t="s">
        <v>191</v>
      </c>
      <c r="B136" s="124" t="s">
        <v>192</v>
      </c>
      <c r="C136" s="183">
        <v>7495</v>
      </c>
    </row>
    <row r="137" spans="1:3">
      <c r="A137" s="177" t="s">
        <v>287</v>
      </c>
      <c r="B137" s="124" t="s">
        <v>288</v>
      </c>
      <c r="C137" s="183">
        <v>7370</v>
      </c>
    </row>
    <row r="138" spans="1:3">
      <c r="A138" s="177" t="s">
        <v>151</v>
      </c>
      <c r="B138" s="124" t="s">
        <v>66</v>
      </c>
      <c r="C138" s="183">
        <v>7391</v>
      </c>
    </row>
    <row r="139" spans="1:3">
      <c r="A139" s="177" t="s">
        <v>152</v>
      </c>
      <c r="B139" s="124" t="s">
        <v>68</v>
      </c>
      <c r="C139" s="183">
        <v>7120</v>
      </c>
    </row>
    <row r="140" spans="1:3">
      <c r="A140" s="177" t="s">
        <v>159</v>
      </c>
      <c r="B140" s="124" t="s">
        <v>70</v>
      </c>
      <c r="C140" s="183">
        <v>7120</v>
      </c>
    </row>
    <row r="141" spans="1:3">
      <c r="A141" s="177" t="s">
        <v>160</v>
      </c>
      <c r="B141" s="124" t="s">
        <v>72</v>
      </c>
      <c r="C141" s="183">
        <v>7120</v>
      </c>
    </row>
    <row r="142" spans="1:3">
      <c r="A142" s="177" t="s">
        <v>161</v>
      </c>
      <c r="B142" s="124" t="s">
        <v>162</v>
      </c>
      <c r="C142" s="183">
        <v>7720</v>
      </c>
    </row>
    <row r="143" spans="1:3">
      <c r="A143" s="177" t="s">
        <v>163</v>
      </c>
      <c r="B143" s="124" t="s">
        <v>74</v>
      </c>
      <c r="C143" s="183">
        <v>7380</v>
      </c>
    </row>
    <row r="144" spans="1:3">
      <c r="A144" s="177" t="s">
        <v>289</v>
      </c>
      <c r="B144" s="124" t="s">
        <v>290</v>
      </c>
      <c r="C144" s="183">
        <v>7370</v>
      </c>
    </row>
    <row r="145" spans="1:3">
      <c r="A145" s="177" t="s">
        <v>242</v>
      </c>
      <c r="B145" s="124" t="s">
        <v>243</v>
      </c>
      <c r="C145" s="183">
        <v>7491</v>
      </c>
    </row>
    <row r="146" spans="1:3">
      <c r="A146" s="177" t="s">
        <v>244</v>
      </c>
      <c r="B146" s="124" t="s">
        <v>245</v>
      </c>
      <c r="C146" s="183" t="s">
        <v>272</v>
      </c>
    </row>
    <row r="147" spans="1:3" ht="15.95" thickBot="1">
      <c r="A147" s="179" t="s">
        <v>164</v>
      </c>
      <c r="B147" s="184" t="s">
        <v>78</v>
      </c>
      <c r="C147" s="185">
        <v>7120</v>
      </c>
    </row>
  </sheetData>
  <autoFilter ref="C1:C147" xr:uid="{00000000-0009-0000-0000-000004000000}"/>
  <sortState xmlns:xlrd2="http://schemas.microsoft.com/office/spreadsheetml/2017/richdata2" ref="A103:C147">
    <sortCondition ref="B103:B147"/>
  </sortState>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83"/>
  <sheetViews>
    <sheetView showGridLines="0" workbookViewId="0">
      <selection activeCell="C5" sqref="C5"/>
    </sheetView>
  </sheetViews>
  <sheetFormatPr defaultColWidth="11" defaultRowHeight="15.6"/>
  <cols>
    <col min="1" max="1" width="48.125" style="125" customWidth="1"/>
    <col min="2" max="2" width="11.125" style="199"/>
    <col min="3" max="3" width="11.125" style="31"/>
    <col min="4" max="4" width="11.125"/>
  </cols>
  <sheetData>
    <row r="1" spans="1:4">
      <c r="A1" s="125" t="s">
        <v>32</v>
      </c>
      <c r="B1" s="199" t="s">
        <v>131</v>
      </c>
      <c r="C1" s="31">
        <v>7410</v>
      </c>
      <c r="D1" s="233">
        <v>657695.30000000005</v>
      </c>
    </row>
    <row r="2" spans="1:4">
      <c r="A2" s="125" t="s">
        <v>132</v>
      </c>
      <c r="B2" s="199" t="s">
        <v>133</v>
      </c>
      <c r="C2" s="31">
        <v>7420</v>
      </c>
      <c r="D2" s="233">
        <v>228456</v>
      </c>
    </row>
    <row r="3" spans="1:4">
      <c r="A3" s="125" t="s">
        <v>36</v>
      </c>
      <c r="B3" s="199" t="s">
        <v>134</v>
      </c>
      <c r="C3" s="31">
        <v>7440</v>
      </c>
      <c r="D3" s="233">
        <v>11655</v>
      </c>
    </row>
    <row r="4" spans="1:4">
      <c r="A4" s="125" t="s">
        <v>39</v>
      </c>
      <c r="B4" s="199" t="s">
        <v>135</v>
      </c>
      <c r="C4" s="31">
        <v>8230</v>
      </c>
      <c r="D4" s="233">
        <v>20000</v>
      </c>
    </row>
    <row r="5" spans="1:4">
      <c r="A5" s="125" t="s">
        <v>40</v>
      </c>
      <c r="B5" s="199" t="s">
        <v>136</v>
      </c>
      <c r="C5" s="31">
        <v>7460</v>
      </c>
      <c r="D5" s="233">
        <v>4800</v>
      </c>
    </row>
    <row r="6" spans="1:4">
      <c r="A6" s="125" t="s">
        <v>43</v>
      </c>
      <c r="B6" s="199" t="s">
        <v>137</v>
      </c>
      <c r="C6" s="31">
        <v>7450</v>
      </c>
      <c r="D6" s="233">
        <v>6200</v>
      </c>
    </row>
    <row r="7" spans="1:4">
      <c r="A7" s="125" t="s">
        <v>138</v>
      </c>
      <c r="B7" s="199" t="s">
        <v>139</v>
      </c>
      <c r="C7" s="31">
        <v>7445</v>
      </c>
      <c r="D7" s="233">
        <v>7000</v>
      </c>
    </row>
    <row r="8" spans="1:4">
      <c r="A8" s="125" t="s">
        <v>46</v>
      </c>
      <c r="B8" s="199" t="s">
        <v>140</v>
      </c>
      <c r="C8" s="31">
        <v>8170</v>
      </c>
      <c r="D8" s="233">
        <v>4000</v>
      </c>
    </row>
    <row r="9" spans="1:4">
      <c r="A9" s="125" t="s">
        <v>47</v>
      </c>
      <c r="B9" s="199" t="s">
        <v>141</v>
      </c>
      <c r="C9" s="31">
        <v>7470</v>
      </c>
      <c r="D9" s="233">
        <v>1000</v>
      </c>
    </row>
    <row r="10" spans="1:4">
      <c r="A10" s="125" t="s">
        <v>50</v>
      </c>
      <c r="B10" s="199" t="s">
        <v>142</v>
      </c>
      <c r="C10" s="31">
        <v>7455</v>
      </c>
      <c r="D10" s="233">
        <v>3600</v>
      </c>
    </row>
    <row r="11" spans="1:4">
      <c r="A11" s="125" t="s">
        <v>51</v>
      </c>
      <c r="B11" s="199" t="s">
        <v>143</v>
      </c>
      <c r="C11" s="31">
        <v>7435</v>
      </c>
      <c r="D11" s="233">
        <v>67200</v>
      </c>
    </row>
    <row r="12" spans="1:4">
      <c r="A12" s="125" t="s">
        <v>144</v>
      </c>
      <c r="B12" s="199" t="s">
        <v>145</v>
      </c>
      <c r="C12" s="31">
        <v>7740</v>
      </c>
      <c r="D12" s="233">
        <v>57971.5</v>
      </c>
    </row>
    <row r="13" spans="1:4">
      <c r="A13" s="125" t="s">
        <v>172</v>
      </c>
      <c r="B13" s="199" t="s">
        <v>173</v>
      </c>
      <c r="C13" s="31">
        <v>7120</v>
      </c>
      <c r="D13" s="233">
        <v>64000</v>
      </c>
    </row>
    <row r="14" spans="1:4">
      <c r="A14" s="125" t="s">
        <v>174</v>
      </c>
      <c r="B14" s="199" t="s">
        <v>56</v>
      </c>
      <c r="C14" s="31">
        <v>7610</v>
      </c>
      <c r="D14" s="233">
        <v>18200</v>
      </c>
    </row>
    <row r="15" spans="1:4">
      <c r="A15" s="125" t="s">
        <v>260</v>
      </c>
      <c r="B15" s="199" t="s">
        <v>261</v>
      </c>
      <c r="C15" s="31">
        <v>7370</v>
      </c>
      <c r="D15" s="233">
        <v>279900</v>
      </c>
    </row>
    <row r="16" spans="1:4">
      <c r="A16" s="125" t="s">
        <v>262</v>
      </c>
      <c r="B16" s="199" t="s">
        <v>263</v>
      </c>
      <c r="C16" s="31">
        <v>7370</v>
      </c>
      <c r="D16" s="233">
        <v>21282.5</v>
      </c>
    </row>
    <row r="17" spans="1:4">
      <c r="A17" s="125" t="s">
        <v>264</v>
      </c>
      <c r="B17" s="199" t="s">
        <v>265</v>
      </c>
      <c r="C17" s="31">
        <v>7370</v>
      </c>
      <c r="D17" s="233">
        <v>84000</v>
      </c>
    </row>
    <row r="18" spans="1:4">
      <c r="A18" s="125" t="s">
        <v>291</v>
      </c>
      <c r="B18" s="199" t="s">
        <v>292</v>
      </c>
      <c r="C18" s="236" t="s">
        <v>293</v>
      </c>
      <c r="D18" s="233">
        <v>50228</v>
      </c>
    </row>
    <row r="19" spans="1:4">
      <c r="A19" s="125" t="s">
        <v>205</v>
      </c>
      <c r="B19" s="199" t="s">
        <v>206</v>
      </c>
      <c r="C19" s="31">
        <v>8221</v>
      </c>
      <c r="D19" s="233">
        <v>17500</v>
      </c>
    </row>
    <row r="20" spans="1:4">
      <c r="A20" s="125" t="s">
        <v>266</v>
      </c>
      <c r="B20" s="199" t="s">
        <v>267</v>
      </c>
      <c r="C20" s="31">
        <v>7370</v>
      </c>
      <c r="D20" s="233">
        <v>29188</v>
      </c>
    </row>
    <row r="21" spans="1:4">
      <c r="A21" s="125" t="s">
        <v>268</v>
      </c>
      <c r="B21" s="199" t="s">
        <v>269</v>
      </c>
      <c r="C21" s="31">
        <v>7370</v>
      </c>
      <c r="D21" s="233">
        <v>12485</v>
      </c>
    </row>
    <row r="22" spans="1:4">
      <c r="A22" s="125" t="s">
        <v>270</v>
      </c>
      <c r="B22" s="199" t="s">
        <v>271</v>
      </c>
      <c r="C22" s="31">
        <v>7370</v>
      </c>
      <c r="D22" s="233">
        <v>39296</v>
      </c>
    </row>
    <row r="23" spans="1:4">
      <c r="A23" s="125" t="s">
        <v>167</v>
      </c>
      <c r="B23" s="199" t="s">
        <v>85</v>
      </c>
      <c r="C23" s="31">
        <v>7440</v>
      </c>
      <c r="D23" s="233">
        <v>1000</v>
      </c>
    </row>
    <row r="24" spans="1:4">
      <c r="A24" s="125" t="s">
        <v>199</v>
      </c>
      <c r="B24" s="199" t="s">
        <v>200</v>
      </c>
      <c r="C24" s="31">
        <v>8221</v>
      </c>
      <c r="D24" s="233">
        <v>36743</v>
      </c>
    </row>
    <row r="25" spans="1:4">
      <c r="A25" s="125" t="s">
        <v>201</v>
      </c>
      <c r="B25" s="199" t="s">
        <v>202</v>
      </c>
      <c r="C25" s="31">
        <v>8221</v>
      </c>
      <c r="D25" s="233">
        <v>34500</v>
      </c>
    </row>
    <row r="26" spans="1:4">
      <c r="A26" s="125" t="s">
        <v>294</v>
      </c>
      <c r="B26" s="199" t="s">
        <v>247</v>
      </c>
      <c r="C26" s="236" t="s">
        <v>293</v>
      </c>
      <c r="D26" s="233">
        <v>10000</v>
      </c>
    </row>
    <row r="27" spans="1:4">
      <c r="A27" s="125" t="s">
        <v>203</v>
      </c>
      <c r="B27" s="199" t="s">
        <v>204</v>
      </c>
      <c r="C27" s="31">
        <v>7120</v>
      </c>
      <c r="D27" s="233">
        <v>3638.24</v>
      </c>
    </row>
    <row r="28" spans="1:4">
      <c r="A28" s="125" t="s">
        <v>248</v>
      </c>
      <c r="B28" s="199" t="s">
        <v>249</v>
      </c>
      <c r="C28" s="31" t="s">
        <v>272</v>
      </c>
      <c r="D28" s="233">
        <v>2200</v>
      </c>
    </row>
    <row r="29" spans="1:4">
      <c r="A29" s="125" t="s">
        <v>250</v>
      </c>
      <c r="B29" s="199" t="s">
        <v>251</v>
      </c>
      <c r="C29" s="31" t="s">
        <v>209</v>
      </c>
      <c r="D29" s="233">
        <v>6600</v>
      </c>
    </row>
    <row r="30" spans="1:4" ht="24">
      <c r="A30" s="125" t="s">
        <v>295</v>
      </c>
      <c r="B30" s="199" t="s">
        <v>166</v>
      </c>
      <c r="C30" s="31" t="s">
        <v>272</v>
      </c>
      <c r="D30" s="233">
        <v>22500</v>
      </c>
    </row>
    <row r="31" spans="1:4">
      <c r="A31" s="125" t="s">
        <v>207</v>
      </c>
      <c r="B31" s="199" t="s">
        <v>208</v>
      </c>
      <c r="C31" s="31" t="s">
        <v>209</v>
      </c>
      <c r="D31" s="233">
        <v>500</v>
      </c>
    </row>
    <row r="32" spans="1:4">
      <c r="A32" s="125" t="s">
        <v>252</v>
      </c>
      <c r="B32" s="199" t="s">
        <v>81</v>
      </c>
      <c r="C32" s="31">
        <v>7431</v>
      </c>
      <c r="D32" s="233">
        <v>3000</v>
      </c>
    </row>
    <row r="33" spans="1:4">
      <c r="A33" s="125" t="s">
        <v>210</v>
      </c>
      <c r="B33" s="199" t="s">
        <v>83</v>
      </c>
      <c r="C33" s="31">
        <v>8221</v>
      </c>
      <c r="D33" s="233">
        <v>17500</v>
      </c>
    </row>
    <row r="34" spans="1:4">
      <c r="A34" s="125" t="s">
        <v>168</v>
      </c>
      <c r="B34" s="199" t="s">
        <v>89</v>
      </c>
      <c r="C34" s="31">
        <v>8221</v>
      </c>
      <c r="D34" s="233">
        <v>1175</v>
      </c>
    </row>
    <row r="35" spans="1:4">
      <c r="A35" s="125" t="s">
        <v>169</v>
      </c>
      <c r="B35" s="199" t="s">
        <v>91</v>
      </c>
      <c r="C35" s="31">
        <v>7391</v>
      </c>
      <c r="D35" s="233">
        <v>2250</v>
      </c>
    </row>
    <row r="36" spans="1:4">
      <c r="A36" s="125" t="s">
        <v>146</v>
      </c>
      <c r="B36" s="199" t="s">
        <v>58</v>
      </c>
      <c r="C36" s="31">
        <v>7499</v>
      </c>
      <c r="D36" s="233">
        <v>4000</v>
      </c>
    </row>
    <row r="37" spans="1:4">
      <c r="A37" s="125" t="s">
        <v>147</v>
      </c>
      <c r="B37" s="199" t="s">
        <v>60</v>
      </c>
      <c r="C37" s="31">
        <v>7499</v>
      </c>
      <c r="D37" s="233">
        <v>3525</v>
      </c>
    </row>
    <row r="38" spans="1:4">
      <c r="A38" s="125" t="s">
        <v>148</v>
      </c>
      <c r="B38" s="199" t="s">
        <v>62</v>
      </c>
      <c r="C38" s="31">
        <v>7120</v>
      </c>
      <c r="D38" s="233">
        <v>7500</v>
      </c>
    </row>
    <row r="39" spans="1:4">
      <c r="A39" s="125" t="s">
        <v>275</v>
      </c>
      <c r="B39" s="199" t="s">
        <v>276</v>
      </c>
      <c r="C39" s="31">
        <v>7370</v>
      </c>
      <c r="D39" s="233">
        <v>35000</v>
      </c>
    </row>
    <row r="40" spans="1:4">
      <c r="A40" s="125" t="s">
        <v>279</v>
      </c>
      <c r="B40" s="199" t="s">
        <v>280</v>
      </c>
      <c r="C40" s="31">
        <v>7370</v>
      </c>
      <c r="D40" s="233">
        <v>14000</v>
      </c>
    </row>
    <row r="41" spans="1:4">
      <c r="A41" s="125" t="s">
        <v>296</v>
      </c>
      <c r="B41" s="199" t="s">
        <v>297</v>
      </c>
      <c r="C41" s="31" t="s">
        <v>293</v>
      </c>
      <c r="D41" s="233">
        <v>30000</v>
      </c>
    </row>
    <row r="42" spans="1:4">
      <c r="A42" s="125" t="s">
        <v>219</v>
      </c>
      <c r="B42" s="199" t="s">
        <v>64</v>
      </c>
      <c r="C42" s="31">
        <v>7120</v>
      </c>
      <c r="D42" s="233">
        <v>2500</v>
      </c>
    </row>
    <row r="43" spans="1:4">
      <c r="A43" s="125" t="s">
        <v>281</v>
      </c>
      <c r="B43" s="199" t="s">
        <v>282</v>
      </c>
      <c r="C43" s="31">
        <v>7370</v>
      </c>
      <c r="D43" s="233">
        <v>4688</v>
      </c>
    </row>
    <row r="44" spans="1:4">
      <c r="A44" s="125" t="s">
        <v>285</v>
      </c>
      <c r="B44" s="199" t="s">
        <v>286</v>
      </c>
      <c r="C44" s="31">
        <v>7370</v>
      </c>
      <c r="D44" s="233">
        <v>1875</v>
      </c>
    </row>
    <row r="45" spans="1:4">
      <c r="A45" s="125" t="s">
        <v>298</v>
      </c>
      <c r="B45" s="199" t="s">
        <v>299</v>
      </c>
      <c r="C45" s="236" t="s">
        <v>293</v>
      </c>
      <c r="D45" s="233">
        <v>4500</v>
      </c>
    </row>
    <row r="46" spans="1:4">
      <c r="A46" s="125" t="s">
        <v>191</v>
      </c>
      <c r="B46" s="199" t="s">
        <v>192</v>
      </c>
      <c r="C46" s="31">
        <v>7495</v>
      </c>
      <c r="D46" s="233">
        <v>15000</v>
      </c>
    </row>
    <row r="47" spans="1:4">
      <c r="A47" s="125" t="s">
        <v>287</v>
      </c>
      <c r="B47" s="199" t="s">
        <v>288</v>
      </c>
      <c r="C47" s="31">
        <v>7370</v>
      </c>
      <c r="D47" s="233">
        <v>165353</v>
      </c>
    </row>
    <row r="48" spans="1:4">
      <c r="A48" s="125" t="s">
        <v>300</v>
      </c>
      <c r="B48" s="199" t="s">
        <v>301</v>
      </c>
      <c r="C48" s="235">
        <v>7391</v>
      </c>
      <c r="D48" s="233">
        <v>49500</v>
      </c>
    </row>
    <row r="49" spans="1:4">
      <c r="A49" s="125" t="s">
        <v>302</v>
      </c>
      <c r="B49" s="199" t="s">
        <v>303</v>
      </c>
      <c r="C49" s="31">
        <v>7370</v>
      </c>
      <c r="D49" s="233">
        <v>27000</v>
      </c>
    </row>
    <row r="50" spans="1:4">
      <c r="A50" s="125" t="s">
        <v>304</v>
      </c>
      <c r="B50" s="199" t="s">
        <v>305</v>
      </c>
      <c r="C50" s="31">
        <v>7370</v>
      </c>
      <c r="D50" s="233">
        <v>49500</v>
      </c>
    </row>
    <row r="51" spans="1:4">
      <c r="A51" s="125" t="s">
        <v>151</v>
      </c>
      <c r="B51" s="199" t="s">
        <v>66</v>
      </c>
      <c r="C51" s="31">
        <v>7391</v>
      </c>
      <c r="D51" s="233">
        <v>2375</v>
      </c>
    </row>
    <row r="52" spans="1:4">
      <c r="A52" s="125" t="s">
        <v>152</v>
      </c>
      <c r="B52" s="199" t="s">
        <v>68</v>
      </c>
      <c r="C52" s="31">
        <v>7120</v>
      </c>
      <c r="D52" s="233">
        <v>240</v>
      </c>
    </row>
    <row r="53" spans="1:4">
      <c r="A53" s="125" t="s">
        <v>159</v>
      </c>
      <c r="B53" s="199" t="s">
        <v>70</v>
      </c>
      <c r="C53" s="31">
        <v>7120</v>
      </c>
      <c r="D53" s="233">
        <v>3250</v>
      </c>
    </row>
    <row r="54" spans="1:4">
      <c r="A54" s="125" t="s">
        <v>160</v>
      </c>
      <c r="B54" s="199" t="s">
        <v>72</v>
      </c>
      <c r="C54" s="31">
        <v>7120</v>
      </c>
      <c r="D54" s="233">
        <v>2500</v>
      </c>
    </row>
    <row r="55" spans="1:4">
      <c r="A55" s="125" t="s">
        <v>161</v>
      </c>
      <c r="B55" s="199" t="s">
        <v>162</v>
      </c>
      <c r="C55" s="31">
        <v>7720</v>
      </c>
      <c r="D55" s="233">
        <v>4000</v>
      </c>
    </row>
    <row r="56" spans="1:4">
      <c r="A56" s="125" t="s">
        <v>163</v>
      </c>
      <c r="B56" s="199" t="s">
        <v>74</v>
      </c>
      <c r="C56" s="31">
        <v>7380</v>
      </c>
      <c r="D56" s="233">
        <v>2500</v>
      </c>
    </row>
    <row r="57" spans="1:4">
      <c r="A57" s="125" t="s">
        <v>242</v>
      </c>
      <c r="B57" s="199" t="s">
        <v>243</v>
      </c>
      <c r="C57" s="31">
        <v>7491</v>
      </c>
      <c r="D57" s="233">
        <v>1000</v>
      </c>
    </row>
    <row r="58" spans="1:4">
      <c r="A58" s="125" t="s">
        <v>244</v>
      </c>
      <c r="B58" s="199" t="s">
        <v>245</v>
      </c>
      <c r="C58" s="31" t="s">
        <v>272</v>
      </c>
      <c r="D58" s="234">
        <v>1080</v>
      </c>
    </row>
    <row r="62" spans="1:4" ht="15.95" thickBot="1"/>
    <row r="63" spans="1:4" ht="18.95" thickBot="1">
      <c r="A63" s="238" t="s">
        <v>306</v>
      </c>
    </row>
    <row r="65" spans="1:3" ht="18.600000000000001">
      <c r="A65" s="239" t="s">
        <v>307</v>
      </c>
    </row>
    <row r="66" spans="1:3" ht="18.600000000000001">
      <c r="A66" s="242" t="s">
        <v>308</v>
      </c>
      <c r="B66" s="243" t="s">
        <v>309</v>
      </c>
    </row>
    <row r="67" spans="1:3" ht="18.600000000000001">
      <c r="A67" s="242" t="s">
        <v>310</v>
      </c>
      <c r="B67" s="243" t="s">
        <v>309</v>
      </c>
    </row>
    <row r="68" spans="1:3" ht="18.600000000000001">
      <c r="A68" s="239" t="s">
        <v>311</v>
      </c>
    </row>
    <row r="70" spans="1:3" ht="15.95" thickBot="1"/>
    <row r="71" spans="1:3">
      <c r="A71" s="360" t="s">
        <v>312</v>
      </c>
      <c r="B71" s="361"/>
      <c r="C71" s="362"/>
    </row>
    <row r="72" spans="1:3" ht="29.1" customHeight="1">
      <c r="A72" s="354" t="s">
        <v>313</v>
      </c>
      <c r="B72" s="355"/>
      <c r="C72" s="356"/>
    </row>
    <row r="73" spans="1:3">
      <c r="A73" s="255" t="s">
        <v>291</v>
      </c>
      <c r="B73" s="255" t="s">
        <v>292</v>
      </c>
      <c r="C73" s="256">
        <v>7610</v>
      </c>
    </row>
    <row r="74" spans="1:3">
      <c r="A74" s="257" t="s">
        <v>294</v>
      </c>
      <c r="B74" s="257" t="s">
        <v>247</v>
      </c>
      <c r="C74" s="256">
        <v>7390</v>
      </c>
    </row>
    <row r="75" spans="1:3">
      <c r="A75" s="257" t="s">
        <v>296</v>
      </c>
      <c r="B75" s="257" t="s">
        <v>297</v>
      </c>
      <c r="C75" s="256">
        <v>7120</v>
      </c>
    </row>
    <row r="76" spans="1:3">
      <c r="A76" s="257" t="s">
        <v>298</v>
      </c>
      <c r="B76" s="257" t="s">
        <v>299</v>
      </c>
      <c r="C76" s="256">
        <v>7120</v>
      </c>
    </row>
    <row r="77" spans="1:3">
      <c r="A77" s="257" t="s">
        <v>300</v>
      </c>
      <c r="B77" s="257" t="s">
        <v>301</v>
      </c>
      <c r="C77" s="256">
        <v>7391</v>
      </c>
    </row>
    <row r="78" spans="1:3">
      <c r="A78" s="354" t="s">
        <v>314</v>
      </c>
      <c r="B78" s="355"/>
      <c r="C78" s="356"/>
    </row>
    <row r="79" spans="1:3" ht="15.95" thickBot="1">
      <c r="A79" s="357" t="s">
        <v>315</v>
      </c>
      <c r="B79" s="358"/>
      <c r="C79" s="359"/>
    </row>
    <row r="80" spans="1:3" ht="15.95" thickBot="1"/>
    <row r="81" spans="1:3">
      <c r="A81" s="258"/>
      <c r="B81" s="259"/>
      <c r="C81" s="263" t="s">
        <v>12</v>
      </c>
    </row>
    <row r="82" spans="1:3" ht="15.95" thickBot="1">
      <c r="A82" s="260"/>
      <c r="C82" s="264" t="s">
        <v>17</v>
      </c>
    </row>
    <row r="83" spans="1:3" ht="15.95" thickBot="1">
      <c r="A83" s="261" t="s">
        <v>316</v>
      </c>
      <c r="B83" s="262"/>
      <c r="C83" s="265" t="s">
        <v>317</v>
      </c>
    </row>
  </sheetData>
  <mergeCells count="4">
    <mergeCell ref="A78:C78"/>
    <mergeCell ref="A79:C79"/>
    <mergeCell ref="A71:C71"/>
    <mergeCell ref="A72:C72"/>
  </mergeCells>
  <pageMargins left="0.7" right="0.7" top="0.75" bottom="0.75" header="0.3" footer="0.3"/>
  <pageSetup orientation="portrait" horizontalDpi="4294967293" verticalDpi="4294967293"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I49"/>
  <sheetViews>
    <sheetView showGridLines="0" tabSelected="1" topLeftCell="A30" workbookViewId="0">
      <selection activeCell="A41" sqref="A41"/>
    </sheetView>
  </sheetViews>
  <sheetFormatPr defaultColWidth="11" defaultRowHeight="15.6"/>
  <cols>
    <col min="1" max="1" width="24.125" style="280" customWidth="1"/>
    <col min="2" max="2" width="52.5" style="280" customWidth="1"/>
    <col min="3" max="3" width="15.875" style="280" customWidth="1"/>
    <col min="4" max="4" width="11.625" style="280" customWidth="1"/>
    <col min="5" max="5" width="1.5" style="280" customWidth="1"/>
    <col min="6" max="6" width="23" style="280" customWidth="1"/>
    <col min="7" max="7" width="2.375" style="280" customWidth="1"/>
    <col min="8" max="8" width="14.75" style="280" bestFit="1" customWidth="1"/>
    <col min="9" max="9" width="15" style="280" bestFit="1" customWidth="1"/>
    <col min="10" max="16384" width="11" style="280"/>
  </cols>
  <sheetData>
    <row r="1" spans="1:7" ht="77.25" customHeight="1">
      <c r="A1" s="285"/>
      <c r="B1" s="283"/>
      <c r="C1" s="283"/>
      <c r="D1" s="283"/>
      <c r="E1" s="283"/>
      <c r="F1" s="283"/>
      <c r="G1" s="286"/>
    </row>
    <row r="2" spans="1:7" ht="22.5" customHeight="1">
      <c r="A2" s="365" t="s">
        <v>318</v>
      </c>
      <c r="B2" s="366"/>
      <c r="C2" s="366"/>
      <c r="D2" s="366"/>
      <c r="E2" s="366"/>
      <c r="F2" s="366"/>
      <c r="G2" s="367"/>
    </row>
    <row r="3" spans="1:7" ht="22.5">
      <c r="A3" s="365" t="s">
        <v>319</v>
      </c>
      <c r="B3" s="366"/>
      <c r="C3" s="366"/>
      <c r="D3" s="366"/>
      <c r="E3" s="366"/>
      <c r="F3" s="366"/>
      <c r="G3" s="367"/>
    </row>
    <row r="4" spans="1:7" ht="23.1" thickBot="1">
      <c r="A4" s="368" t="s">
        <v>320</v>
      </c>
      <c r="B4" s="369"/>
      <c r="C4" s="369"/>
      <c r="D4" s="369"/>
      <c r="E4" s="369"/>
      <c r="F4" s="369"/>
      <c r="G4" s="370"/>
    </row>
    <row r="5" spans="1:7" ht="23.1" thickBot="1">
      <c r="A5" s="371" t="s">
        <v>321</v>
      </c>
      <c r="B5" s="372"/>
      <c r="C5" s="372">
        <v>45108</v>
      </c>
      <c r="D5" s="372"/>
      <c r="E5" s="372"/>
      <c r="F5" s="372"/>
      <c r="G5" s="287"/>
    </row>
    <row r="6" spans="1:7" ht="23.1" thickBot="1">
      <c r="A6" s="309" t="s">
        <v>322</v>
      </c>
      <c r="B6" s="310"/>
      <c r="C6" s="311">
        <v>16.920300000000001</v>
      </c>
      <c r="D6" s="310"/>
      <c r="E6" s="308"/>
      <c r="F6" s="308"/>
      <c r="G6" s="287"/>
    </row>
    <row r="7" spans="1:7" ht="15.95" thickBot="1">
      <c r="A7" s="305" t="s">
        <v>323</v>
      </c>
      <c r="G7" s="289"/>
    </row>
    <row r="8" spans="1:7" ht="15.95" thickBot="1">
      <c r="A8" s="288" t="s">
        <v>324</v>
      </c>
      <c r="B8" s="312">
        <v>45108</v>
      </c>
      <c r="F8" s="318">
        <v>890791.97</v>
      </c>
      <c r="G8" s="289"/>
    </row>
    <row r="9" spans="1:7" ht="15.95" thickBot="1">
      <c r="A9" s="305" t="s">
        <v>325</v>
      </c>
      <c r="G9" s="289"/>
    </row>
    <row r="10" spans="1:7" ht="15.95" thickBot="1">
      <c r="A10" s="288" t="s">
        <v>326</v>
      </c>
      <c r="F10" s="319">
        <v>0</v>
      </c>
      <c r="G10" s="289"/>
    </row>
    <row r="11" spans="1:7" ht="15.95" thickBot="1">
      <c r="A11" s="305" t="s">
        <v>327</v>
      </c>
      <c r="G11" s="289"/>
    </row>
    <row r="12" spans="1:7" ht="15.95" thickBot="1">
      <c r="A12" s="288" t="s">
        <v>328</v>
      </c>
      <c r="F12" s="320">
        <f>SUM(D14:D19)</f>
        <v>0</v>
      </c>
      <c r="G12" s="289"/>
    </row>
    <row r="13" spans="1:7">
      <c r="A13" s="302" t="s">
        <v>329</v>
      </c>
      <c r="B13" s="302" t="s">
        <v>330</v>
      </c>
      <c r="C13" s="302" t="s">
        <v>6</v>
      </c>
      <c r="D13" s="303" t="s">
        <v>331</v>
      </c>
      <c r="G13" s="289"/>
    </row>
    <row r="14" spans="1:7">
      <c r="A14" s="291"/>
      <c r="B14" s="292"/>
      <c r="C14" s="293"/>
      <c r="D14" s="321">
        <v>0</v>
      </c>
      <c r="G14" s="289"/>
    </row>
    <row r="15" spans="1:7">
      <c r="A15" s="291"/>
      <c r="B15" s="292"/>
      <c r="C15" s="293"/>
      <c r="D15" s="321">
        <v>0</v>
      </c>
      <c r="G15" s="289"/>
    </row>
    <row r="16" spans="1:7">
      <c r="A16" s="291"/>
      <c r="B16" s="292"/>
      <c r="C16" s="293"/>
      <c r="D16" s="321">
        <v>0</v>
      </c>
      <c r="G16" s="289"/>
    </row>
    <row r="17" spans="1:9">
      <c r="A17" s="291"/>
      <c r="B17" s="292"/>
      <c r="C17" s="293"/>
      <c r="D17" s="321">
        <v>0</v>
      </c>
      <c r="G17" s="289"/>
    </row>
    <row r="18" spans="1:9">
      <c r="A18" s="291"/>
      <c r="B18" s="292"/>
      <c r="C18" s="293"/>
      <c r="D18" s="321">
        <v>0</v>
      </c>
      <c r="G18" s="289"/>
    </row>
    <row r="19" spans="1:9">
      <c r="A19" s="291"/>
      <c r="B19" s="292"/>
      <c r="C19" s="293"/>
      <c r="D19" s="321">
        <v>0</v>
      </c>
      <c r="G19" s="289"/>
    </row>
    <row r="20" spans="1:9" ht="15.95" thickBot="1">
      <c r="A20" s="294"/>
      <c r="B20" s="295"/>
      <c r="C20" s="296"/>
      <c r="D20" s="297"/>
      <c r="G20" s="289"/>
    </row>
    <row r="21" spans="1:9" ht="18" thickBot="1">
      <c r="A21" s="288"/>
      <c r="B21" s="307" t="s">
        <v>332</v>
      </c>
      <c r="C21" s="313">
        <f>C5</f>
        <v>45108</v>
      </c>
      <c r="F21" s="320">
        <f>F8+F10-F12</f>
        <v>890791.97</v>
      </c>
      <c r="G21" s="289"/>
    </row>
    <row r="22" spans="1:9" ht="18" thickBot="1">
      <c r="A22" s="288"/>
      <c r="B22" s="307" t="s">
        <v>333</v>
      </c>
      <c r="C22" s="313"/>
      <c r="F22" s="284">
        <f>C6</f>
        <v>16.920300000000001</v>
      </c>
      <c r="G22" s="289"/>
    </row>
    <row r="23" spans="1:9" ht="18" thickBot="1">
      <c r="A23" s="288"/>
      <c r="B23" s="307"/>
      <c r="C23" s="313"/>
      <c r="G23" s="289"/>
    </row>
    <row r="24" spans="1:9" ht="18.600000000000001" thickBot="1">
      <c r="A24" s="288"/>
      <c r="B24" s="307" t="s">
        <v>334</v>
      </c>
      <c r="C24" s="313">
        <f>C21</f>
        <v>45108</v>
      </c>
      <c r="F24" s="281">
        <f>F21/F22</f>
        <v>52646.346104974495</v>
      </c>
      <c r="G24" s="289"/>
    </row>
    <row r="25" spans="1:9" ht="15.95" thickBot="1">
      <c r="A25" s="298"/>
      <c r="B25" s="282"/>
      <c r="C25" s="282"/>
      <c r="D25" s="282"/>
      <c r="E25" s="282"/>
      <c r="F25" s="282"/>
      <c r="G25" s="299"/>
    </row>
    <row r="26" spans="1:9" ht="15.95" thickBot="1">
      <c r="A26" s="306" t="s">
        <v>335</v>
      </c>
      <c r="B26" s="283"/>
      <c r="C26" s="283"/>
      <c r="D26" s="283"/>
      <c r="E26" s="283"/>
      <c r="F26" s="283"/>
      <c r="G26" s="286"/>
    </row>
    <row r="27" spans="1:9" ht="15.95" thickBot="1">
      <c r="A27" s="288" t="s">
        <v>336</v>
      </c>
      <c r="B27" s="290">
        <f>B8</f>
        <v>45108</v>
      </c>
      <c r="F27" s="319">
        <v>826863.71</v>
      </c>
      <c r="G27" s="289"/>
    </row>
    <row r="28" spans="1:9" ht="15.95" thickBot="1">
      <c r="A28" s="305" t="s">
        <v>325</v>
      </c>
      <c r="F28" s="304"/>
      <c r="G28" s="289"/>
    </row>
    <row r="29" spans="1:9" ht="15.95" thickBot="1">
      <c r="A29" s="288" t="s">
        <v>337</v>
      </c>
      <c r="F29" s="319">
        <v>426579.38</v>
      </c>
      <c r="G29" s="289"/>
      <c r="H29" s="326"/>
    </row>
    <row r="30" spans="1:9" ht="15.95" thickBot="1">
      <c r="A30" s="305" t="s">
        <v>327</v>
      </c>
      <c r="F30" s="304"/>
      <c r="G30" s="289"/>
    </row>
    <row r="31" spans="1:9" ht="15.95" thickBot="1">
      <c r="A31" s="288" t="s">
        <v>338</v>
      </c>
      <c r="F31" s="322">
        <v>362651.12</v>
      </c>
      <c r="G31" s="289"/>
      <c r="I31" s="325"/>
    </row>
    <row r="32" spans="1:9" ht="15.95" thickBot="1">
      <c r="A32" s="288"/>
      <c r="G32" s="289"/>
    </row>
    <row r="33" spans="1:8" ht="18" thickBot="1">
      <c r="A33" s="288"/>
      <c r="B33" s="307" t="s">
        <v>339</v>
      </c>
      <c r="C33" s="313">
        <f>C21</f>
        <v>45108</v>
      </c>
      <c r="F33" s="320">
        <f>F27+F29-F31</f>
        <v>890791.96999999986</v>
      </c>
      <c r="G33" s="289"/>
      <c r="H33" s="325"/>
    </row>
    <row r="34" spans="1:8" ht="18" thickBot="1">
      <c r="A34" s="288"/>
      <c r="B34" s="307" t="s">
        <v>333</v>
      </c>
      <c r="C34" s="313"/>
      <c r="F34" s="284">
        <f>C6</f>
        <v>16.920300000000001</v>
      </c>
      <c r="G34" s="289"/>
    </row>
    <row r="35" spans="1:8" ht="18" thickBot="1">
      <c r="A35" s="288"/>
      <c r="B35" s="307"/>
      <c r="C35" s="313"/>
      <c r="G35" s="289"/>
    </row>
    <row r="36" spans="1:8" ht="18.600000000000001" thickBot="1">
      <c r="A36" s="288"/>
      <c r="B36" s="307" t="s">
        <v>340</v>
      </c>
      <c r="C36" s="313">
        <f>C33</f>
        <v>45108</v>
      </c>
      <c r="F36" s="281">
        <f>F33/F34</f>
        <v>52646.346104974487</v>
      </c>
      <c r="G36" s="289"/>
      <c r="H36" s="324"/>
    </row>
    <row r="37" spans="1:8" ht="18" thickBot="1">
      <c r="A37" s="288"/>
      <c r="B37" s="307"/>
      <c r="C37" s="313"/>
      <c r="G37" s="289"/>
    </row>
    <row r="38" spans="1:8" ht="22.5" customHeight="1" thickBot="1">
      <c r="A38" s="288"/>
      <c r="B38" s="307" t="s">
        <v>341</v>
      </c>
      <c r="C38" s="313">
        <f>C36</f>
        <v>45108</v>
      </c>
      <c r="F38" s="281">
        <f>F24-F36</f>
        <v>0</v>
      </c>
      <c r="G38" s="289"/>
    </row>
    <row r="39" spans="1:8" ht="15.95" thickBot="1">
      <c r="A39" s="298"/>
      <c r="B39" s="282"/>
      <c r="C39" s="282"/>
      <c r="D39" s="282"/>
      <c r="E39" s="282"/>
      <c r="F39" s="282"/>
      <c r="G39" s="299"/>
    </row>
    <row r="40" spans="1:8" ht="93.75" customHeight="1">
      <c r="A40" s="396" t="s">
        <v>342</v>
      </c>
      <c r="B40" s="363"/>
      <c r="C40" s="363"/>
      <c r="D40" s="363"/>
      <c r="E40" s="363"/>
      <c r="F40" s="363"/>
      <c r="G40" s="364"/>
      <c r="H40" s="280" t="s">
        <v>343</v>
      </c>
    </row>
    <row r="41" spans="1:8">
      <c r="A41" s="314"/>
      <c r="B41" s="315"/>
      <c r="C41" s="315"/>
      <c r="D41" s="315"/>
      <c r="E41" s="315"/>
      <c r="F41" s="315"/>
      <c r="G41" s="316"/>
    </row>
    <row r="42" spans="1:8">
      <c r="A42" s="314"/>
      <c r="B42" s="315"/>
      <c r="C42" s="315"/>
      <c r="D42" s="315"/>
      <c r="E42" s="315"/>
      <c r="F42" s="315"/>
      <c r="G42" s="316"/>
    </row>
    <row r="43" spans="1:8" ht="15" customHeight="1">
      <c r="A43" s="314"/>
      <c r="B43" s="315"/>
      <c r="C43" s="315"/>
      <c r="D43" s="315"/>
      <c r="E43" s="315"/>
      <c r="F43" s="315"/>
      <c r="G43" s="316"/>
    </row>
    <row r="44" spans="1:8">
      <c r="A44" s="288" t="s">
        <v>344</v>
      </c>
      <c r="B44" s="317"/>
      <c r="D44" s="323"/>
      <c r="G44" s="289"/>
    </row>
    <row r="45" spans="1:8">
      <c r="A45" s="288"/>
      <c r="B45" s="300" t="s">
        <v>345</v>
      </c>
      <c r="D45" s="280" t="s">
        <v>6</v>
      </c>
      <c r="G45" s="289"/>
    </row>
    <row r="46" spans="1:8" ht="45" customHeight="1">
      <c r="A46" s="288"/>
      <c r="G46" s="289"/>
    </row>
    <row r="47" spans="1:8">
      <c r="A47" s="288" t="s">
        <v>346</v>
      </c>
      <c r="B47" s="317"/>
      <c r="D47" s="317"/>
      <c r="G47" s="289"/>
    </row>
    <row r="48" spans="1:8">
      <c r="A48" s="288"/>
      <c r="B48" s="301" t="s">
        <v>347</v>
      </c>
      <c r="D48" s="280" t="s">
        <v>6</v>
      </c>
      <c r="G48" s="289"/>
    </row>
    <row r="49" spans="1:7" ht="15.95" thickBot="1">
      <c r="A49" s="298"/>
      <c r="B49" s="282"/>
      <c r="C49" s="282"/>
      <c r="D49" s="282"/>
      <c r="E49" s="282"/>
      <c r="F49" s="282"/>
      <c r="G49" s="299"/>
    </row>
  </sheetData>
  <protectedRanges>
    <protectedRange sqref="F45" name="Range1_1"/>
  </protectedRanges>
  <sortState xmlns:xlrd2="http://schemas.microsoft.com/office/spreadsheetml/2017/richdata2" ref="A14:D21">
    <sortCondition ref="A14"/>
  </sortState>
  <mergeCells count="6">
    <mergeCell ref="A40:G40"/>
    <mergeCell ref="A3:G3"/>
    <mergeCell ref="A4:G4"/>
    <mergeCell ref="A2:G2"/>
    <mergeCell ref="A5:B5"/>
    <mergeCell ref="C5:F5"/>
  </mergeCells>
  <printOptions horizontalCentered="1" verticalCentered="1"/>
  <pageMargins left="0" right="0" top="0" bottom="0" header="0.31496062992125984" footer="0.31496062992125984"/>
  <pageSetup scale="76" orientation="portrait" horizontalDpi="4294967293" verticalDpi="4294967293" r:id="rId1"/>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F104"/>
  <sheetViews>
    <sheetView showGridLines="0" topLeftCell="BQ1" workbookViewId="0">
      <selection activeCell="CB31" sqref="CB31"/>
    </sheetView>
  </sheetViews>
  <sheetFormatPr defaultColWidth="9.625" defaultRowHeight="15.6"/>
  <cols>
    <col min="1" max="1" width="36.375" style="25" bestFit="1" customWidth="1"/>
    <col min="2" max="2" width="13.875" style="1" bestFit="1" customWidth="1"/>
    <col min="3" max="3" width="9.625" style="53" bestFit="1" customWidth="1"/>
    <col min="4" max="4" width="5.875" style="53" bestFit="1" customWidth="1"/>
    <col min="5" max="7" width="8.5" style="53" bestFit="1" customWidth="1"/>
    <col min="8" max="8" width="8.5" style="72" bestFit="1" customWidth="1"/>
    <col min="9" max="16" width="8.5" style="53" bestFit="1" customWidth="1"/>
    <col min="17" max="17" width="9.375" style="53" bestFit="1" customWidth="1"/>
    <col min="18" max="18" width="8.5" style="53" bestFit="1" customWidth="1"/>
    <col min="19" max="19" width="9.375" style="53" bestFit="1" customWidth="1"/>
    <col min="20" max="20" width="10.625" style="53" bestFit="1" customWidth="1"/>
    <col min="21" max="21" width="10.875" style="53" bestFit="1" customWidth="1"/>
    <col min="22" max="22" width="9" style="53" bestFit="1" customWidth="1"/>
    <col min="23" max="23" width="9.625" style="53" bestFit="1" customWidth="1"/>
    <col min="24" max="26" width="8.5" style="53" bestFit="1" customWidth="1"/>
    <col min="27" max="27" width="9.375" style="53" bestFit="1" customWidth="1"/>
    <col min="28" max="28" width="8.5" style="72" bestFit="1" customWidth="1"/>
    <col min="29" max="30" width="8.5" style="53" bestFit="1" customWidth="1"/>
    <col min="31" max="31" width="9.375" style="53" bestFit="1" customWidth="1"/>
    <col min="32" max="34" width="8.5" style="53" bestFit="1" customWidth="1"/>
    <col min="35" max="35" width="9.375" style="53" bestFit="1" customWidth="1"/>
    <col min="36" max="38" width="8.5" style="53" bestFit="1" customWidth="1"/>
    <col min="39" max="39" width="9.375" style="53" bestFit="1" customWidth="1"/>
    <col min="40" max="40" width="10.625" style="53" bestFit="1" customWidth="1"/>
    <col min="41" max="41" width="10.875" style="53" bestFit="1" customWidth="1"/>
    <col min="42" max="42" width="9" style="53" bestFit="1" customWidth="1"/>
    <col min="43" max="43" width="9.625" style="53" bestFit="1" customWidth="1"/>
    <col min="44" max="46" width="8.5" style="53" bestFit="1" customWidth="1"/>
    <col min="47" max="47" width="9.375" style="53" bestFit="1" customWidth="1"/>
    <col min="48" max="48" width="8.5" style="72" bestFit="1" customWidth="1"/>
    <col min="49" max="52" width="8.5" style="53" bestFit="1" customWidth="1"/>
    <col min="53" max="53" width="8.875" style="127" bestFit="1" customWidth="1"/>
    <col min="54" max="54" width="8.875" style="53" bestFit="1" customWidth="1"/>
    <col min="55" max="55" width="9.375" style="53" bestFit="1" customWidth="1"/>
    <col min="56" max="58" width="8.875" style="53" bestFit="1" customWidth="1"/>
    <col min="59" max="59" width="9.375" style="53" bestFit="1" customWidth="1"/>
    <col min="60" max="60" width="10" style="53" bestFit="1" customWidth="1"/>
    <col min="61" max="61" width="8.375" style="53" bestFit="1" customWidth="1"/>
    <col min="62" max="62" width="9" style="25" bestFit="1" customWidth="1"/>
    <col min="63" max="63" width="9.625" style="25" bestFit="1" customWidth="1"/>
    <col min="64" max="66" width="8.5" style="25" bestFit="1" customWidth="1"/>
    <col min="67" max="67" width="9.375" style="25" bestFit="1" customWidth="1"/>
    <col min="68" max="70" width="8.5" style="25" bestFit="1" customWidth="1"/>
    <col min="71" max="71" width="9.375" style="25" bestFit="1" customWidth="1"/>
    <col min="72" max="74" width="8.5" style="25" bestFit="1" customWidth="1"/>
    <col min="75" max="75" width="9.375" style="25" bestFit="1" customWidth="1"/>
    <col min="76" max="76" width="7.5" style="271" bestFit="1" customWidth="1"/>
    <col min="77" max="79" width="8.5" style="25" bestFit="1" customWidth="1"/>
    <col min="80" max="80" width="11.875" style="25" bestFit="1" customWidth="1"/>
    <col min="81" max="81" width="8.375" style="25" hidden="1" customWidth="1"/>
    <col min="82" max="82" width="9.375" style="25" bestFit="1" customWidth="1"/>
    <col min="83" max="83" width="36.375" style="25" bestFit="1" customWidth="1"/>
    <col min="84" max="16384" width="9.625" style="25"/>
  </cols>
  <sheetData>
    <row r="1" spans="1:83" ht="27.95" thickBot="1">
      <c r="A1" s="102" t="s">
        <v>348</v>
      </c>
      <c r="B1" s="49"/>
      <c r="C1" s="50"/>
      <c r="D1" s="51"/>
      <c r="E1" s="50"/>
      <c r="F1" s="51"/>
      <c r="G1" s="51"/>
      <c r="H1" s="50"/>
      <c r="I1" s="52"/>
      <c r="J1" s="52"/>
      <c r="K1" s="52"/>
      <c r="L1" s="52"/>
      <c r="M1" s="52"/>
      <c r="N1" s="52"/>
      <c r="O1" s="52"/>
      <c r="P1" s="52"/>
      <c r="Q1" s="52"/>
      <c r="R1" s="52"/>
      <c r="S1" s="52"/>
      <c r="T1" s="51"/>
      <c r="U1" s="51"/>
      <c r="W1" s="50"/>
      <c r="X1" s="50"/>
      <c r="Y1" s="50"/>
      <c r="Z1" s="50"/>
      <c r="AA1" s="50"/>
      <c r="AB1" s="50"/>
      <c r="AC1" s="50"/>
      <c r="AD1" s="50"/>
      <c r="AE1" s="50"/>
      <c r="AF1" s="50"/>
      <c r="AG1" s="50"/>
      <c r="AH1" s="50"/>
      <c r="AI1" s="50"/>
      <c r="AJ1" s="52"/>
      <c r="AK1" s="52"/>
      <c r="AL1" s="52"/>
      <c r="AM1" s="52"/>
      <c r="AN1" s="51"/>
      <c r="AO1" s="51"/>
      <c r="AQ1" s="50"/>
      <c r="AR1" s="50"/>
      <c r="AS1" s="50"/>
      <c r="AT1" s="50"/>
      <c r="AU1" s="50"/>
      <c r="AV1" s="50"/>
      <c r="AW1" s="50"/>
      <c r="AX1" s="50"/>
      <c r="AY1" s="50"/>
      <c r="AZ1" s="50"/>
      <c r="BA1" s="189"/>
      <c r="BB1" s="50"/>
      <c r="BC1" s="50"/>
      <c r="BD1" s="52"/>
      <c r="BE1" s="52"/>
      <c r="BF1" s="52"/>
      <c r="BG1" s="52"/>
      <c r="BH1" s="51"/>
      <c r="BI1" s="51"/>
      <c r="CE1" s="102" t="s">
        <v>348</v>
      </c>
    </row>
    <row r="2" spans="1:83" ht="27" thickBot="1">
      <c r="A2" s="54"/>
      <c r="B2" s="375" t="s">
        <v>349</v>
      </c>
      <c r="C2" s="375" t="s">
        <v>350</v>
      </c>
      <c r="D2" s="377" t="s">
        <v>351</v>
      </c>
      <c r="E2" s="378"/>
      <c r="F2" s="378"/>
      <c r="G2" s="379"/>
      <c r="H2" s="380" t="s">
        <v>352</v>
      </c>
      <c r="I2" s="381"/>
      <c r="J2" s="381"/>
      <c r="K2" s="382"/>
      <c r="L2" s="383" t="s">
        <v>353</v>
      </c>
      <c r="M2" s="384"/>
      <c r="N2" s="384"/>
      <c r="O2" s="385"/>
      <c r="P2" s="386" t="s">
        <v>354</v>
      </c>
      <c r="Q2" s="387"/>
      <c r="R2" s="387"/>
      <c r="S2" s="388"/>
      <c r="T2" s="373" t="s">
        <v>355</v>
      </c>
      <c r="U2" s="392"/>
      <c r="V2" s="55" t="s">
        <v>356</v>
      </c>
      <c r="W2" s="375" t="s">
        <v>357</v>
      </c>
      <c r="X2" s="377" t="s">
        <v>351</v>
      </c>
      <c r="Y2" s="378"/>
      <c r="Z2" s="378"/>
      <c r="AA2" s="379"/>
      <c r="AB2" s="380" t="s">
        <v>352</v>
      </c>
      <c r="AC2" s="381"/>
      <c r="AD2" s="381"/>
      <c r="AE2" s="382"/>
      <c r="AF2" s="383" t="s">
        <v>353</v>
      </c>
      <c r="AG2" s="384"/>
      <c r="AH2" s="384"/>
      <c r="AI2" s="385"/>
      <c r="AJ2" s="386" t="s">
        <v>354</v>
      </c>
      <c r="AK2" s="387"/>
      <c r="AL2" s="387"/>
      <c r="AM2" s="388"/>
      <c r="AN2" s="373" t="s">
        <v>355</v>
      </c>
      <c r="AO2" s="392"/>
      <c r="AP2" s="55" t="s">
        <v>358</v>
      </c>
      <c r="AQ2" s="375" t="s">
        <v>359</v>
      </c>
      <c r="AR2" s="377" t="s">
        <v>351</v>
      </c>
      <c r="AS2" s="378"/>
      <c r="AT2" s="378"/>
      <c r="AU2" s="379"/>
      <c r="AV2" s="380" t="s">
        <v>352</v>
      </c>
      <c r="AW2" s="381"/>
      <c r="AX2" s="381"/>
      <c r="AY2" s="382"/>
      <c r="AZ2" s="383" t="s">
        <v>353</v>
      </c>
      <c r="BA2" s="384"/>
      <c r="BB2" s="384"/>
      <c r="BC2" s="385"/>
      <c r="BD2" s="386" t="s">
        <v>354</v>
      </c>
      <c r="BE2" s="387"/>
      <c r="BF2" s="387"/>
      <c r="BG2" s="388"/>
      <c r="BH2" s="373" t="s">
        <v>355</v>
      </c>
      <c r="BI2" s="374"/>
      <c r="BJ2" s="55" t="s">
        <v>360</v>
      </c>
      <c r="BK2" s="375" t="s">
        <v>361</v>
      </c>
      <c r="BL2" s="377" t="s">
        <v>351</v>
      </c>
      <c r="BM2" s="378"/>
      <c r="BN2" s="378"/>
      <c r="BO2" s="379"/>
      <c r="BP2" s="380" t="s">
        <v>352</v>
      </c>
      <c r="BQ2" s="381"/>
      <c r="BR2" s="381"/>
      <c r="BS2" s="382"/>
      <c r="BT2" s="383" t="s">
        <v>353</v>
      </c>
      <c r="BU2" s="384"/>
      <c r="BV2" s="384"/>
      <c r="BW2" s="385"/>
      <c r="BX2" s="386" t="s">
        <v>354</v>
      </c>
      <c r="BY2" s="387"/>
      <c r="BZ2" s="387"/>
      <c r="CA2" s="388"/>
      <c r="CB2" s="373" t="s">
        <v>355</v>
      </c>
      <c r="CC2" s="374"/>
      <c r="CD2" s="55" t="s">
        <v>362</v>
      </c>
      <c r="CE2" s="54"/>
    </row>
    <row r="3" spans="1:83" ht="33" thickBot="1">
      <c r="A3" s="34" t="s">
        <v>363</v>
      </c>
      <c r="B3" s="376"/>
      <c r="C3" s="376"/>
      <c r="D3" s="56">
        <v>41275</v>
      </c>
      <c r="E3" s="56">
        <v>41306</v>
      </c>
      <c r="F3" s="56">
        <v>41334</v>
      </c>
      <c r="G3" s="57" t="s">
        <v>355</v>
      </c>
      <c r="H3" s="58">
        <v>41365</v>
      </c>
      <c r="I3" s="58">
        <v>41395</v>
      </c>
      <c r="J3" s="58">
        <v>41426</v>
      </c>
      <c r="K3" s="59" t="s">
        <v>355</v>
      </c>
      <c r="L3" s="60">
        <v>41456</v>
      </c>
      <c r="M3" s="60">
        <v>41487</v>
      </c>
      <c r="N3" s="60">
        <v>41518</v>
      </c>
      <c r="O3" s="59" t="s">
        <v>355</v>
      </c>
      <c r="P3" s="61">
        <v>41548</v>
      </c>
      <c r="Q3" s="61">
        <v>41579</v>
      </c>
      <c r="R3" s="61">
        <v>41609</v>
      </c>
      <c r="S3" s="59" t="s">
        <v>355</v>
      </c>
      <c r="T3" s="35" t="s">
        <v>364</v>
      </c>
      <c r="U3" s="35" t="s">
        <v>365</v>
      </c>
      <c r="V3" s="62" t="s">
        <v>362</v>
      </c>
      <c r="W3" s="376"/>
      <c r="X3" s="56">
        <v>41640</v>
      </c>
      <c r="Y3" s="56">
        <v>41671</v>
      </c>
      <c r="Z3" s="56">
        <v>41699</v>
      </c>
      <c r="AA3" s="57" t="s">
        <v>355</v>
      </c>
      <c r="AB3" s="58">
        <v>41730</v>
      </c>
      <c r="AC3" s="58">
        <v>41760</v>
      </c>
      <c r="AD3" s="58">
        <v>41791</v>
      </c>
      <c r="AE3" s="59" t="s">
        <v>355</v>
      </c>
      <c r="AF3" s="60">
        <v>41821</v>
      </c>
      <c r="AG3" s="60">
        <v>41852</v>
      </c>
      <c r="AH3" s="60">
        <v>41883</v>
      </c>
      <c r="AI3" s="59" t="s">
        <v>355</v>
      </c>
      <c r="AJ3" s="61">
        <v>41913</v>
      </c>
      <c r="AK3" s="61">
        <v>41944</v>
      </c>
      <c r="AL3" s="61">
        <v>41974</v>
      </c>
      <c r="AM3" s="59" t="s">
        <v>355</v>
      </c>
      <c r="AN3" s="35" t="s">
        <v>366</v>
      </c>
      <c r="AO3" s="35" t="s">
        <v>365</v>
      </c>
      <c r="AP3" s="107" t="s">
        <v>362</v>
      </c>
      <c r="AQ3" s="376"/>
      <c r="AR3" s="56">
        <v>42005</v>
      </c>
      <c r="AS3" s="56">
        <v>42036</v>
      </c>
      <c r="AT3" s="56">
        <v>42064</v>
      </c>
      <c r="AU3" s="57" t="s">
        <v>355</v>
      </c>
      <c r="AV3" s="58">
        <v>42095</v>
      </c>
      <c r="AW3" s="58">
        <v>42125</v>
      </c>
      <c r="AX3" s="58">
        <v>42156</v>
      </c>
      <c r="AY3" s="59" t="s">
        <v>355</v>
      </c>
      <c r="AZ3" s="60">
        <v>42186</v>
      </c>
      <c r="BA3" s="60">
        <v>42217</v>
      </c>
      <c r="BB3" s="60">
        <v>42248</v>
      </c>
      <c r="BC3" s="59" t="s">
        <v>355</v>
      </c>
      <c r="BD3" s="61">
        <v>42278</v>
      </c>
      <c r="BE3" s="61">
        <v>42309</v>
      </c>
      <c r="BF3" s="61">
        <v>42339</v>
      </c>
      <c r="BG3" s="59" t="s">
        <v>355</v>
      </c>
      <c r="BH3" s="230" t="s">
        <v>367</v>
      </c>
      <c r="BI3" s="231" t="s">
        <v>365</v>
      </c>
      <c r="BJ3" s="107" t="s">
        <v>362</v>
      </c>
      <c r="BK3" s="376"/>
      <c r="BL3" s="56">
        <v>42370</v>
      </c>
      <c r="BM3" s="56">
        <v>42401</v>
      </c>
      <c r="BN3" s="56">
        <v>42430</v>
      </c>
      <c r="BO3" s="57" t="s">
        <v>355</v>
      </c>
      <c r="BP3" s="58">
        <v>42461</v>
      </c>
      <c r="BQ3" s="58">
        <v>42491</v>
      </c>
      <c r="BR3" s="58">
        <v>42522</v>
      </c>
      <c r="BS3" s="59" t="s">
        <v>355</v>
      </c>
      <c r="BT3" s="60">
        <v>42552</v>
      </c>
      <c r="BU3" s="60">
        <v>42583</v>
      </c>
      <c r="BV3" s="60">
        <v>42614</v>
      </c>
      <c r="BW3" s="59" t="s">
        <v>355</v>
      </c>
      <c r="BX3" s="272">
        <v>42644</v>
      </c>
      <c r="BY3" s="61">
        <v>42675</v>
      </c>
      <c r="BZ3" s="61">
        <v>42705</v>
      </c>
      <c r="CA3" s="59" t="s">
        <v>355</v>
      </c>
      <c r="CB3" s="230" t="s">
        <v>368</v>
      </c>
      <c r="CC3" s="231" t="s">
        <v>365</v>
      </c>
      <c r="CD3" s="107"/>
      <c r="CE3" s="34" t="s">
        <v>363</v>
      </c>
    </row>
    <row r="4" spans="1:83">
      <c r="A4" s="36" t="s">
        <v>31</v>
      </c>
      <c r="B4" s="118">
        <v>702235.8</v>
      </c>
      <c r="C4" s="63" t="e">
        <f>'budget anual'!C6</f>
        <v>#REF!</v>
      </c>
      <c r="D4" s="64"/>
      <c r="E4" s="65">
        <v>10962.24</v>
      </c>
      <c r="F4" s="65">
        <v>12340.35</v>
      </c>
      <c r="G4" s="66">
        <f>SUM(D4:F4)</f>
        <v>23302.59</v>
      </c>
      <c r="H4" s="64">
        <v>15931.56</v>
      </c>
      <c r="I4" s="65">
        <v>15080.15</v>
      </c>
      <c r="J4" s="65">
        <v>15080.15</v>
      </c>
      <c r="K4" s="66">
        <f>SUM(H4:J4)</f>
        <v>46091.86</v>
      </c>
      <c r="L4" s="64">
        <v>15080.15</v>
      </c>
      <c r="M4" s="65">
        <v>15080.15</v>
      </c>
      <c r="N4" s="65">
        <v>15095.39</v>
      </c>
      <c r="O4" s="66">
        <f>SUM(L4:N4)</f>
        <v>45255.69</v>
      </c>
      <c r="P4" s="64">
        <v>15135.15</v>
      </c>
      <c r="Q4" s="65">
        <v>14159.89</v>
      </c>
      <c r="R4" s="65">
        <v>14080.15</v>
      </c>
      <c r="S4" s="66">
        <f>SUM(P4:R4)</f>
        <v>43375.19</v>
      </c>
      <c r="T4" s="66">
        <f>G4+K4+O4+S4</f>
        <v>158025.33000000002</v>
      </c>
      <c r="U4" s="67" t="e">
        <f>T4/C4</f>
        <v>#REF!</v>
      </c>
      <c r="V4" s="68" t="e">
        <f>C4-T4</f>
        <v>#REF!</v>
      </c>
      <c r="W4" s="63" t="e">
        <f>'budget anual'!D6</f>
        <v>#REF!</v>
      </c>
      <c r="X4" s="65">
        <v>14938.64</v>
      </c>
      <c r="Y4" s="65">
        <v>15030.16</v>
      </c>
      <c r="Z4" s="65">
        <v>15030.16</v>
      </c>
      <c r="AA4" s="66">
        <f>SUM(X4:Z4)</f>
        <v>44998.96</v>
      </c>
      <c r="AB4" s="64">
        <v>15030.17</v>
      </c>
      <c r="AC4" s="65">
        <v>15030.15</v>
      </c>
      <c r="AD4" s="65">
        <v>15030.15</v>
      </c>
      <c r="AE4" s="66">
        <f>SUM(AB4:AD4)</f>
        <v>45090.47</v>
      </c>
      <c r="AF4" s="64">
        <v>15030.15</v>
      </c>
      <c r="AG4" s="65">
        <v>15030.17</v>
      </c>
      <c r="AH4" s="65">
        <v>14934.7</v>
      </c>
      <c r="AI4" s="66">
        <f>SUM(AF4:AH4)</f>
        <v>44995.020000000004</v>
      </c>
      <c r="AJ4" s="64">
        <f>14969.3+13.12</f>
        <v>14982.42</v>
      </c>
      <c r="AK4" s="65">
        <v>15030.16</v>
      </c>
      <c r="AL4" s="65">
        <v>13180.16</v>
      </c>
      <c r="AM4" s="66">
        <f>SUM(AJ4:AL4)</f>
        <v>43192.740000000005</v>
      </c>
      <c r="AN4" s="66">
        <f>AA4+AE4+AI4+AM4</f>
        <v>178277.19</v>
      </c>
      <c r="AO4" s="105" t="e">
        <f>AN4/W4</f>
        <v>#REF!</v>
      </c>
      <c r="AP4" s="66" t="e">
        <f>(V4+W4)-AN4</f>
        <v>#REF!</v>
      </c>
      <c r="AQ4" s="63">
        <f>'budget anual'!E6</f>
        <v>131000</v>
      </c>
      <c r="AR4" s="65">
        <v>12123.73</v>
      </c>
      <c r="AS4" s="65">
        <v>14085.16</v>
      </c>
      <c r="AT4" s="65">
        <v>8056.65</v>
      </c>
      <c r="AU4" s="66">
        <f>SUM(AR4:AT4)</f>
        <v>34265.54</v>
      </c>
      <c r="AV4" s="65">
        <v>7926.66</v>
      </c>
      <c r="AW4" s="65">
        <v>8843.31</v>
      </c>
      <c r="AX4" s="65">
        <v>8109.97</v>
      </c>
      <c r="AY4" s="66">
        <f>SUM(AV4:AX4)</f>
        <v>24879.940000000002</v>
      </c>
      <c r="AZ4" s="65">
        <v>8344.25</v>
      </c>
      <c r="BA4" s="190">
        <v>8859.98</v>
      </c>
      <c r="BB4" s="65">
        <v>9609.98</v>
      </c>
      <c r="BC4" s="66">
        <f>SUM(AZ4:BB4)</f>
        <v>26814.21</v>
      </c>
      <c r="BD4" s="65">
        <v>10019.030000000001</v>
      </c>
      <c r="BE4" s="65">
        <v>10359.959999999999</v>
      </c>
      <c r="BF4" s="65">
        <v>10133.25</v>
      </c>
      <c r="BG4" s="66">
        <f>SUM(BD4:BF4)</f>
        <v>30512.239999999998</v>
      </c>
      <c r="BH4" s="66">
        <f>AU4+AY4+BC4+BG4</f>
        <v>116471.93</v>
      </c>
      <c r="BI4" s="105">
        <f>BH4/AQ4</f>
        <v>0.88909870229007626</v>
      </c>
      <c r="BJ4" s="66" t="e">
        <f>(AP4+AQ4)-BH4</f>
        <v>#REF!</v>
      </c>
      <c r="BK4" s="226">
        <f>B4-T4-AN4-BH4</f>
        <v>249461.34999999998</v>
      </c>
      <c r="BL4" s="90">
        <v>10412.99</v>
      </c>
      <c r="BM4" s="90">
        <v>9959.98</v>
      </c>
      <c r="BN4" s="90">
        <v>10309.969999999999</v>
      </c>
      <c r="BO4" s="66">
        <f>SUM(BL4:BN4)</f>
        <v>30682.940000000002</v>
      </c>
      <c r="BP4" s="90">
        <v>10683.84</v>
      </c>
      <c r="BQ4" s="90">
        <v>10909.99</v>
      </c>
      <c r="BR4" s="90">
        <v>10809.98</v>
      </c>
      <c r="BS4" s="66">
        <f>SUM(BP4:BR4)</f>
        <v>32403.81</v>
      </c>
      <c r="BT4" s="90">
        <v>10309.98</v>
      </c>
      <c r="BU4" s="90">
        <f>11059.12-500</f>
        <v>10559.12</v>
      </c>
      <c r="BV4" s="269">
        <v>10309.969999999999</v>
      </c>
      <c r="BW4" s="66">
        <f>SUM(BT4:BV4)</f>
        <v>31179.07</v>
      </c>
      <c r="BX4" s="273">
        <v>10809.97</v>
      </c>
      <c r="BY4" s="90">
        <v>8574.89</v>
      </c>
      <c r="BZ4" s="90">
        <v>6392.57</v>
      </c>
      <c r="CA4" s="66">
        <f>SUM(BX4:BZ4)</f>
        <v>25777.43</v>
      </c>
      <c r="CB4" s="66">
        <f>BO4+BS4+BW4+CA4</f>
        <v>120043.25</v>
      </c>
      <c r="CC4" s="105">
        <f>CB4/BK4</f>
        <v>0.48120981466668089</v>
      </c>
      <c r="CD4" s="66">
        <f>BK4-CB4</f>
        <v>129418.09999999998</v>
      </c>
      <c r="CE4" s="36" t="s">
        <v>31</v>
      </c>
    </row>
    <row r="5" spans="1:83">
      <c r="A5" s="37" t="s">
        <v>369</v>
      </c>
      <c r="B5" s="118">
        <v>228456</v>
      </c>
      <c r="C5" s="70" t="e">
        <f>'budget anual'!C8</f>
        <v>#REF!</v>
      </c>
      <c r="D5" s="71"/>
      <c r="E5" s="72"/>
      <c r="F5" s="72">
        <v>2080.88</v>
      </c>
      <c r="G5" s="73">
        <f t="shared" ref="G5:G24" si="0">SUM(D5:F5)</f>
        <v>2080.88</v>
      </c>
      <c r="H5" s="71">
        <v>6533.09</v>
      </c>
      <c r="I5" s="72">
        <v>2179.6799999999998</v>
      </c>
      <c r="J5" s="72">
        <v>2168.5300000000002</v>
      </c>
      <c r="K5" s="73">
        <f t="shared" ref="K5:K24" si="1">SUM(H5:J5)</f>
        <v>10881.300000000001</v>
      </c>
      <c r="L5" s="71">
        <v>2168.5300000000002</v>
      </c>
      <c r="M5" s="72">
        <v>7739.87</v>
      </c>
      <c r="N5" s="72">
        <v>2188.44</v>
      </c>
      <c r="O5" s="73">
        <f t="shared" ref="O5:O24" si="2">SUM(L5:N5)</f>
        <v>12096.84</v>
      </c>
      <c r="P5" s="71">
        <v>4983.75</v>
      </c>
      <c r="Q5" s="72">
        <v>2130.33</v>
      </c>
      <c r="R5" s="72">
        <v>7222.66</v>
      </c>
      <c r="S5" s="73">
        <f t="shared" ref="S5:S14" si="3">SUM(P5:R5)</f>
        <v>14336.74</v>
      </c>
      <c r="T5" s="73">
        <f>G5+K5+O5+S5</f>
        <v>39395.760000000002</v>
      </c>
      <c r="U5" s="74" t="e">
        <f>T5/C5</f>
        <v>#REF!</v>
      </c>
      <c r="V5" s="75" t="e">
        <f>C5-T5</f>
        <v>#REF!</v>
      </c>
      <c r="W5" s="70" t="e">
        <f>'budget anual'!D8</f>
        <v>#REF!</v>
      </c>
      <c r="X5" s="72">
        <v>2148.1799999999998</v>
      </c>
      <c r="Y5" s="72">
        <v>2161.33</v>
      </c>
      <c r="Z5" s="72">
        <v>2161.33</v>
      </c>
      <c r="AA5" s="73">
        <f t="shared" ref="AA5:AA14" si="4">SUM(X5:Z5)</f>
        <v>6470.84</v>
      </c>
      <c r="AB5" s="71">
        <v>7657.68</v>
      </c>
      <c r="AC5" s="72">
        <v>2161.34</v>
      </c>
      <c r="AD5" s="72">
        <v>2161.34</v>
      </c>
      <c r="AE5" s="73">
        <f t="shared" ref="AE5:AE14" si="5">SUM(AB5:AD5)</f>
        <v>11980.36</v>
      </c>
      <c r="AF5" s="71">
        <v>2161.34</v>
      </c>
      <c r="AG5" s="72">
        <v>7709.95</v>
      </c>
      <c r="AH5" s="72">
        <v>2147.61</v>
      </c>
      <c r="AI5" s="73">
        <f t="shared" ref="AI5:AI14" si="6">SUM(AF5:AH5)</f>
        <v>12018.900000000001</v>
      </c>
      <c r="AJ5" s="71">
        <v>4037.12</v>
      </c>
      <c r="AK5" s="72">
        <v>2161.33</v>
      </c>
      <c r="AL5" s="72">
        <v>13254.69</v>
      </c>
      <c r="AM5" s="73">
        <f t="shared" ref="AM5:AM14" si="7">SUM(AJ5:AL5)</f>
        <v>19453.14</v>
      </c>
      <c r="AN5" s="73">
        <f>AA5+AE5+AI5+AM5</f>
        <v>49923.240000000005</v>
      </c>
      <c r="AO5" s="106" t="e">
        <f>AN5/W5</f>
        <v>#REF!</v>
      </c>
      <c r="AP5" s="73" t="e">
        <f t="shared" ref="AP5:AP14" si="8">(V5+W5)-AN5</f>
        <v>#REF!</v>
      </c>
      <c r="AQ5" s="70" t="e">
        <f>'budget anual'!E8</f>
        <v>#REF!</v>
      </c>
      <c r="AR5" s="72">
        <v>3006.2</v>
      </c>
      <c r="AS5" s="72">
        <v>9015.93</v>
      </c>
      <c r="AT5" s="72">
        <v>1067.96</v>
      </c>
      <c r="AU5" s="73">
        <f t="shared" ref="AU5:AU14" si="9">SUM(AR5:AT5)</f>
        <v>13090.09</v>
      </c>
      <c r="AV5" s="72">
        <v>3350.84</v>
      </c>
      <c r="AW5" s="72">
        <v>1271.67</v>
      </c>
      <c r="AX5" s="72">
        <v>1166.22</v>
      </c>
      <c r="AY5" s="73">
        <f t="shared" ref="AY5:AY14" si="10">SUM(AV5:AX5)</f>
        <v>5788.7300000000005</v>
      </c>
      <c r="AZ5" s="72">
        <v>1395.5</v>
      </c>
      <c r="BA5" s="127">
        <v>4327.25</v>
      </c>
      <c r="BB5" s="72">
        <v>1381.92</v>
      </c>
      <c r="BC5" s="73">
        <f t="shared" ref="BC5:BC14" si="11">SUM(AZ5:BB5)</f>
        <v>7104.67</v>
      </c>
      <c r="BD5" s="72">
        <v>1440.75</v>
      </c>
      <c r="BE5" s="72">
        <v>1489.77</v>
      </c>
      <c r="BF5" s="72">
        <v>5379.12</v>
      </c>
      <c r="BG5" s="73">
        <f t="shared" ref="BG5:BG14" si="12">SUM(BD5:BF5)</f>
        <v>8309.64</v>
      </c>
      <c r="BH5" s="73">
        <f>AU5+AY5+BC5+BG5</f>
        <v>34293.129999999997</v>
      </c>
      <c r="BI5" s="106" t="e">
        <f>BH5/AQ5</f>
        <v>#REF!</v>
      </c>
      <c r="BJ5" s="73" t="e">
        <f t="shared" ref="BJ5:BJ14" si="13">(AP5+AQ5)-BH5</f>
        <v>#REF!</v>
      </c>
      <c r="BK5" s="227">
        <f>B5-T5-AN5-BH5</f>
        <v>104843.87</v>
      </c>
      <c r="BL5" s="110">
        <v>1479.92</v>
      </c>
      <c r="BM5" s="110">
        <v>1432.25</v>
      </c>
      <c r="BN5" s="110">
        <v>1482.58</v>
      </c>
      <c r="BO5" s="73">
        <f t="shared" ref="BO5:BO14" si="14">SUM(BL5:BN5)</f>
        <v>4394.75</v>
      </c>
      <c r="BP5" s="110">
        <v>4917.38</v>
      </c>
      <c r="BQ5" s="110">
        <v>1518.53</v>
      </c>
      <c r="BR5" s="110">
        <v>1482.58</v>
      </c>
      <c r="BS5" s="73">
        <f t="shared" ref="BS5:BS14" si="15">SUM(BP5:BR5)</f>
        <v>7918.49</v>
      </c>
      <c r="BT5" s="110">
        <v>1482.59</v>
      </c>
      <c r="BU5" s="110">
        <v>5039.54</v>
      </c>
      <c r="BV5" s="270">
        <v>1482.58</v>
      </c>
      <c r="BW5" s="73">
        <f t="shared" ref="BW5:BW14" si="16">SUM(BT5:BV5)</f>
        <v>8004.71</v>
      </c>
      <c r="BX5" s="274">
        <v>11333.51</v>
      </c>
      <c r="BY5" s="110">
        <v>5076.6099999999997</v>
      </c>
      <c r="BZ5" s="110">
        <v>25835.200000000001</v>
      </c>
      <c r="CA5" s="73">
        <f t="shared" ref="CA5:CA14" si="17">SUM(BX5:BZ5)</f>
        <v>42245.32</v>
      </c>
      <c r="CB5" s="73">
        <f>BO5+BS5+BW5+CA5</f>
        <v>62563.270000000004</v>
      </c>
      <c r="CC5" s="106">
        <f>CB5/BK5</f>
        <v>0.59672797274652312</v>
      </c>
      <c r="CD5" s="73">
        <f>BK5-CB5</f>
        <v>42280.599999999991</v>
      </c>
      <c r="CE5" s="37" t="s">
        <v>369</v>
      </c>
    </row>
    <row r="6" spans="1:83">
      <c r="A6" s="37" t="s">
        <v>36</v>
      </c>
      <c r="B6" s="118">
        <v>11655</v>
      </c>
      <c r="C6" s="70">
        <f>'budget anual'!C17</f>
        <v>11655</v>
      </c>
      <c r="D6" s="71"/>
      <c r="E6" s="72"/>
      <c r="F6" s="72"/>
      <c r="G6" s="73">
        <f t="shared" si="0"/>
        <v>0</v>
      </c>
      <c r="H6" s="71">
        <f>208.97+4862.08</f>
        <v>5071.05</v>
      </c>
      <c r="I6" s="72">
        <v>2843.77</v>
      </c>
      <c r="J6" s="72">
        <v>3431.87</v>
      </c>
      <c r="K6" s="73">
        <f t="shared" si="1"/>
        <v>11346.689999999999</v>
      </c>
      <c r="L6" s="71">
        <v>74.900000000000006</v>
      </c>
      <c r="M6" s="72"/>
      <c r="N6" s="72"/>
      <c r="O6" s="73">
        <f t="shared" si="2"/>
        <v>74.900000000000006</v>
      </c>
      <c r="P6" s="71"/>
      <c r="Q6" s="72">
        <v>475.08</v>
      </c>
      <c r="R6" s="72"/>
      <c r="S6" s="73">
        <f t="shared" si="3"/>
        <v>475.08</v>
      </c>
      <c r="T6" s="73">
        <f t="shared" ref="T6:T14" si="18">G6+K6+O6+S6</f>
        <v>11896.669999999998</v>
      </c>
      <c r="U6" s="74">
        <f t="shared" ref="U6:U15" si="19">T6/C6</f>
        <v>1.0207353067353067</v>
      </c>
      <c r="V6" s="75">
        <f t="shared" ref="V6:V14" si="20">C6-T6</f>
        <v>-241.66999999999825</v>
      </c>
      <c r="W6" s="70">
        <v>0</v>
      </c>
      <c r="X6" s="72"/>
      <c r="Y6" s="72"/>
      <c r="Z6" s="72"/>
      <c r="AA6" s="73">
        <f t="shared" si="4"/>
        <v>0</v>
      </c>
      <c r="AB6" s="71"/>
      <c r="AC6" s="72"/>
      <c r="AD6" s="72">
        <v>93.09</v>
      </c>
      <c r="AE6" s="73">
        <f t="shared" si="5"/>
        <v>93.09</v>
      </c>
      <c r="AF6" s="71"/>
      <c r="AG6" s="72"/>
      <c r="AH6" s="72"/>
      <c r="AI6" s="73">
        <f t="shared" si="6"/>
        <v>0</v>
      </c>
      <c r="AJ6" s="71"/>
      <c r="AK6" s="72"/>
      <c r="AL6" s="72"/>
      <c r="AM6" s="73">
        <f t="shared" si="7"/>
        <v>0</v>
      </c>
      <c r="AN6" s="73">
        <f t="shared" ref="AN6:AN14" si="21">AA6+AE6+AI6+AM6</f>
        <v>93.09</v>
      </c>
      <c r="AO6" s="106"/>
      <c r="AP6" s="73">
        <f t="shared" si="8"/>
        <v>-334.75999999999829</v>
      </c>
      <c r="AQ6" s="70">
        <v>0</v>
      </c>
      <c r="AR6" s="72"/>
      <c r="AS6" s="72"/>
      <c r="AT6" s="72"/>
      <c r="AU6" s="73">
        <f t="shared" si="9"/>
        <v>0</v>
      </c>
      <c r="AV6" s="72">
        <v>972.63</v>
      </c>
      <c r="AW6" s="72"/>
      <c r="AX6" s="72"/>
      <c r="AY6" s="73">
        <f t="shared" si="10"/>
        <v>972.63</v>
      </c>
      <c r="AZ6" s="72"/>
      <c r="BB6" s="72"/>
      <c r="BC6" s="73">
        <f t="shared" si="11"/>
        <v>0</v>
      </c>
      <c r="BD6" s="72"/>
      <c r="BE6" s="72"/>
      <c r="BF6" s="72"/>
      <c r="BG6" s="73">
        <f t="shared" si="12"/>
        <v>0</v>
      </c>
      <c r="BH6" s="73">
        <f t="shared" ref="BH6:BH14" si="22">AU6+AY6+BC6+BG6</f>
        <v>972.63</v>
      </c>
      <c r="BI6" s="106"/>
      <c r="BJ6" s="73">
        <f t="shared" si="13"/>
        <v>-1307.3899999999983</v>
      </c>
      <c r="BK6" s="227">
        <f t="shared" ref="BK6:BK14" si="23">B6-T6-AN6-BH6</f>
        <v>-1307.3899999999983</v>
      </c>
      <c r="BL6" s="110"/>
      <c r="BM6" s="110"/>
      <c r="BN6" s="110"/>
      <c r="BO6" s="73">
        <f t="shared" si="14"/>
        <v>0</v>
      </c>
      <c r="BP6" s="110"/>
      <c r="BQ6" s="110"/>
      <c r="BR6" s="110"/>
      <c r="BS6" s="73">
        <f t="shared" si="15"/>
        <v>0</v>
      </c>
      <c r="BT6" s="110"/>
      <c r="BU6" s="110"/>
      <c r="BV6" s="270"/>
      <c r="BW6" s="73">
        <f t="shared" si="16"/>
        <v>0</v>
      </c>
      <c r="BX6" s="274"/>
      <c r="BY6" s="110"/>
      <c r="BZ6" s="110"/>
      <c r="CA6" s="73">
        <f t="shared" si="17"/>
        <v>0</v>
      </c>
      <c r="CB6" s="73">
        <f t="shared" ref="CB6:CB14" si="24">BO6+BS6+BW6+CA6</f>
        <v>0</v>
      </c>
      <c r="CC6" s="106"/>
      <c r="CD6" s="73">
        <f t="shared" ref="CD6:CD14" si="25">BK6-CB6</f>
        <v>-1307.3899999999983</v>
      </c>
      <c r="CE6" s="37" t="s">
        <v>36</v>
      </c>
    </row>
    <row r="7" spans="1:83">
      <c r="A7" s="37" t="s">
        <v>39</v>
      </c>
      <c r="B7" s="118">
        <v>20000</v>
      </c>
      <c r="C7" s="70">
        <f>'budget anual'!C30</f>
        <v>5000</v>
      </c>
      <c r="D7" s="71"/>
      <c r="E7" s="72"/>
      <c r="F7" s="72"/>
      <c r="G7" s="73">
        <f t="shared" si="0"/>
        <v>0</v>
      </c>
      <c r="H7" s="71"/>
      <c r="I7" s="72"/>
      <c r="J7" s="72"/>
      <c r="K7" s="73">
        <f t="shared" si="1"/>
        <v>0</v>
      </c>
      <c r="L7" s="71"/>
      <c r="M7" s="72"/>
      <c r="N7" s="72"/>
      <c r="O7" s="73">
        <f t="shared" si="2"/>
        <v>0</v>
      </c>
      <c r="P7" s="71"/>
      <c r="Q7" s="72"/>
      <c r="R7" s="72">
        <v>1350</v>
      </c>
      <c r="S7" s="73">
        <f t="shared" si="3"/>
        <v>1350</v>
      </c>
      <c r="T7" s="73">
        <f t="shared" si="18"/>
        <v>1350</v>
      </c>
      <c r="U7" s="74">
        <f t="shared" si="19"/>
        <v>0.27</v>
      </c>
      <c r="V7" s="75">
        <f t="shared" si="20"/>
        <v>3650</v>
      </c>
      <c r="W7" s="70">
        <f>'budget anual'!D30</f>
        <v>5000</v>
      </c>
      <c r="X7" s="72">
        <v>3150</v>
      </c>
      <c r="Y7" s="72"/>
      <c r="Z7" s="72"/>
      <c r="AA7" s="73">
        <f t="shared" si="4"/>
        <v>3150</v>
      </c>
      <c r="AB7" s="71"/>
      <c r="AC7" s="72"/>
      <c r="AD7" s="72"/>
      <c r="AE7" s="73">
        <f t="shared" si="5"/>
        <v>0</v>
      </c>
      <c r="AF7" s="71"/>
      <c r="AG7" s="72"/>
      <c r="AH7" s="72"/>
      <c r="AI7" s="73">
        <f t="shared" si="6"/>
        <v>0</v>
      </c>
      <c r="AJ7" s="71"/>
      <c r="AK7" s="72"/>
      <c r="AL7" s="72"/>
      <c r="AM7" s="73">
        <f t="shared" si="7"/>
        <v>0</v>
      </c>
      <c r="AN7" s="73">
        <f t="shared" si="21"/>
        <v>3150</v>
      </c>
      <c r="AO7" s="106">
        <f t="shared" ref="AO7:AO15" si="26">AN7/W7</f>
        <v>0.63</v>
      </c>
      <c r="AP7" s="73">
        <f t="shared" si="8"/>
        <v>5500</v>
      </c>
      <c r="AQ7" s="70">
        <f>'budget anual'!E30</f>
        <v>5000</v>
      </c>
      <c r="AR7" s="72">
        <v>2325</v>
      </c>
      <c r="AS7" s="72">
        <v>2325</v>
      </c>
      <c r="AT7" s="72"/>
      <c r="AU7" s="73">
        <f t="shared" si="9"/>
        <v>4650</v>
      </c>
      <c r="AW7" s="72"/>
      <c r="AX7" s="72"/>
      <c r="AY7" s="73">
        <f t="shared" si="10"/>
        <v>0</v>
      </c>
      <c r="AZ7" s="72"/>
      <c r="BB7" s="72"/>
      <c r="BC7" s="73">
        <f t="shared" si="11"/>
        <v>0</v>
      </c>
      <c r="BD7" s="72"/>
      <c r="BE7" s="72"/>
      <c r="BF7" s="72"/>
      <c r="BG7" s="73">
        <f t="shared" si="12"/>
        <v>0</v>
      </c>
      <c r="BH7" s="73">
        <f t="shared" si="22"/>
        <v>4650</v>
      </c>
      <c r="BI7" s="106">
        <f t="shared" ref="BI7:BI15" si="27">BH7/AQ7</f>
        <v>0.93</v>
      </c>
      <c r="BJ7" s="73">
        <f t="shared" si="13"/>
        <v>5850</v>
      </c>
      <c r="BK7" s="227">
        <f t="shared" si="23"/>
        <v>10850</v>
      </c>
      <c r="BL7" s="110">
        <v>1395</v>
      </c>
      <c r="BM7" s="110">
        <v>1040</v>
      </c>
      <c r="BN7" s="110">
        <v>3050.43</v>
      </c>
      <c r="BO7" s="73">
        <f t="shared" si="14"/>
        <v>5485.43</v>
      </c>
      <c r="BP7" s="110"/>
      <c r="BQ7" s="110"/>
      <c r="BR7" s="110"/>
      <c r="BS7" s="73">
        <f t="shared" si="15"/>
        <v>0</v>
      </c>
      <c r="BT7" s="110"/>
      <c r="BU7" s="110"/>
      <c r="BV7" s="270"/>
      <c r="BW7" s="73">
        <f t="shared" si="16"/>
        <v>0</v>
      </c>
      <c r="BX7" s="274"/>
      <c r="BY7" s="110"/>
      <c r="BZ7" s="110"/>
      <c r="CA7" s="73">
        <f t="shared" si="17"/>
        <v>0</v>
      </c>
      <c r="CB7" s="73">
        <f t="shared" si="24"/>
        <v>5485.43</v>
      </c>
      <c r="CC7" s="106">
        <f t="shared" ref="CC7:CC15" si="28">CB7/BK7</f>
        <v>0.5055695852534563</v>
      </c>
      <c r="CD7" s="73">
        <f t="shared" si="25"/>
        <v>5364.57</v>
      </c>
      <c r="CE7" s="37" t="s">
        <v>39</v>
      </c>
    </row>
    <row r="8" spans="1:83">
      <c r="A8" s="37" t="s">
        <v>40</v>
      </c>
      <c r="B8" s="118">
        <v>4800</v>
      </c>
      <c r="C8" s="70">
        <f>'budget anual'!C28</f>
        <v>1200</v>
      </c>
      <c r="D8" s="71"/>
      <c r="E8" s="72">
        <v>21.4</v>
      </c>
      <c r="F8" s="72">
        <v>6.85</v>
      </c>
      <c r="G8" s="73">
        <f t="shared" si="0"/>
        <v>28.25</v>
      </c>
      <c r="H8" s="71">
        <f>5.35+21.4+1.5</f>
        <v>28.25</v>
      </c>
      <c r="I8" s="72">
        <v>35.4</v>
      </c>
      <c r="J8" s="72">
        <v>28.85</v>
      </c>
      <c r="K8" s="73">
        <f t="shared" si="1"/>
        <v>92.5</v>
      </c>
      <c r="L8" s="71">
        <v>463.6</v>
      </c>
      <c r="M8" s="72">
        <v>49.95</v>
      </c>
      <c r="N8" s="72">
        <v>7.65</v>
      </c>
      <c r="O8" s="73">
        <f t="shared" si="2"/>
        <v>521.20000000000005</v>
      </c>
      <c r="P8" s="71">
        <v>8.9499999999999993</v>
      </c>
      <c r="Q8" s="72">
        <v>28.95</v>
      </c>
      <c r="R8" s="72">
        <v>33.9</v>
      </c>
      <c r="S8" s="73">
        <f t="shared" si="3"/>
        <v>71.8</v>
      </c>
      <c r="T8" s="73">
        <f t="shared" si="18"/>
        <v>713.75</v>
      </c>
      <c r="U8" s="74">
        <f t="shared" si="19"/>
        <v>0.59479166666666672</v>
      </c>
      <c r="V8" s="75">
        <f t="shared" si="20"/>
        <v>486.25</v>
      </c>
      <c r="W8" s="70">
        <f>'budget anual'!D28</f>
        <v>1200</v>
      </c>
      <c r="X8" s="72">
        <v>40.049999999999997</v>
      </c>
      <c r="Y8" s="72">
        <v>8.9499999999999993</v>
      </c>
      <c r="Z8" s="72">
        <v>50.55</v>
      </c>
      <c r="AA8" s="73">
        <f t="shared" si="4"/>
        <v>99.55</v>
      </c>
      <c r="AB8" s="71">
        <v>44.5</v>
      </c>
      <c r="AC8" s="72">
        <v>7.35</v>
      </c>
      <c r="AD8" s="72">
        <v>111.04</v>
      </c>
      <c r="AE8" s="73">
        <f t="shared" si="5"/>
        <v>162.89000000000001</v>
      </c>
      <c r="AF8" s="71">
        <v>16.440000000000001</v>
      </c>
      <c r="AG8" s="72">
        <v>66.64</v>
      </c>
      <c r="AH8" s="72">
        <v>68.44</v>
      </c>
      <c r="AI8" s="73">
        <f t="shared" si="6"/>
        <v>151.51999999999998</v>
      </c>
      <c r="AJ8" s="71">
        <v>10.49</v>
      </c>
      <c r="AK8" s="72">
        <v>67.94</v>
      </c>
      <c r="AL8" s="72">
        <v>67.540000000000006</v>
      </c>
      <c r="AM8" s="73">
        <f t="shared" si="7"/>
        <v>145.97</v>
      </c>
      <c r="AN8" s="73">
        <f t="shared" si="21"/>
        <v>559.92999999999995</v>
      </c>
      <c r="AO8" s="106">
        <f t="shared" si="26"/>
        <v>0.46660833333333329</v>
      </c>
      <c r="AP8" s="73">
        <f t="shared" si="8"/>
        <v>1126.3200000000002</v>
      </c>
      <c r="AQ8" s="70">
        <f>'budget anual'!E28</f>
        <v>1200</v>
      </c>
      <c r="AR8" s="72">
        <v>94.49</v>
      </c>
      <c r="AS8" s="72">
        <v>10.49</v>
      </c>
      <c r="AT8" s="72">
        <v>70.08</v>
      </c>
      <c r="AU8" s="73">
        <f t="shared" si="9"/>
        <v>175.06</v>
      </c>
      <c r="AV8" s="72">
        <v>70.08</v>
      </c>
      <c r="AW8" s="72">
        <v>76.709999999999994</v>
      </c>
      <c r="AX8" s="72">
        <v>77.209999999999994</v>
      </c>
      <c r="AY8" s="73">
        <f t="shared" si="10"/>
        <v>224</v>
      </c>
      <c r="AZ8" s="72">
        <v>70.38</v>
      </c>
      <c r="BA8" s="127">
        <v>68.48</v>
      </c>
      <c r="BB8" s="72">
        <v>70.180000000000007</v>
      </c>
      <c r="BC8" s="73">
        <f t="shared" si="11"/>
        <v>209.04000000000002</v>
      </c>
      <c r="BD8" s="72">
        <v>69.48</v>
      </c>
      <c r="BE8" s="72">
        <v>78.31</v>
      </c>
      <c r="BF8" s="72">
        <v>79.010000000000005</v>
      </c>
      <c r="BG8" s="73">
        <f t="shared" si="12"/>
        <v>226.8</v>
      </c>
      <c r="BH8" s="73">
        <f t="shared" si="22"/>
        <v>834.90000000000009</v>
      </c>
      <c r="BI8" s="106">
        <f t="shared" si="27"/>
        <v>0.69575000000000009</v>
      </c>
      <c r="BJ8" s="73">
        <f t="shared" si="13"/>
        <v>1491.42</v>
      </c>
      <c r="BK8" s="227">
        <f t="shared" si="23"/>
        <v>2691.42</v>
      </c>
      <c r="BL8" s="110">
        <v>69.78</v>
      </c>
      <c r="BM8" s="110">
        <v>128.63</v>
      </c>
      <c r="BN8" s="110">
        <v>69.78</v>
      </c>
      <c r="BO8" s="73">
        <f t="shared" si="14"/>
        <v>268.19</v>
      </c>
      <c r="BP8" s="110">
        <v>449.33</v>
      </c>
      <c r="BQ8" s="110">
        <v>22.96</v>
      </c>
      <c r="BR8" s="110">
        <v>79.709999999999994</v>
      </c>
      <c r="BS8" s="73">
        <f t="shared" si="15"/>
        <v>552</v>
      </c>
      <c r="BT8" s="110">
        <v>72.48</v>
      </c>
      <c r="BU8" s="110">
        <v>74.28</v>
      </c>
      <c r="BV8" s="270">
        <v>41.92</v>
      </c>
      <c r="BW8" s="73">
        <f t="shared" si="16"/>
        <v>188.68</v>
      </c>
      <c r="BX8" s="274">
        <v>72.38</v>
      </c>
      <c r="BY8" s="110">
        <v>69.58</v>
      </c>
      <c r="BZ8" s="110">
        <v>19.559999999999999</v>
      </c>
      <c r="CA8" s="73">
        <f t="shared" si="17"/>
        <v>161.51999999999998</v>
      </c>
      <c r="CB8" s="73">
        <f t="shared" si="24"/>
        <v>1170.3900000000001</v>
      </c>
      <c r="CC8" s="106">
        <f t="shared" si="28"/>
        <v>0.43485966515816932</v>
      </c>
      <c r="CD8" s="73">
        <f t="shared" si="25"/>
        <v>1521.03</v>
      </c>
      <c r="CE8" s="37" t="s">
        <v>40</v>
      </c>
    </row>
    <row r="9" spans="1:83">
      <c r="A9" s="37" t="s">
        <v>370</v>
      </c>
      <c r="B9" s="118">
        <v>6200</v>
      </c>
      <c r="C9" s="70">
        <f>'budget anual'!C19+'budget anual'!C20+'budget anual'!C21</f>
        <v>1550</v>
      </c>
      <c r="D9" s="71"/>
      <c r="E9" s="72"/>
      <c r="F9" s="72">
        <v>87.74</v>
      </c>
      <c r="G9" s="73">
        <f t="shared" si="0"/>
        <v>87.74</v>
      </c>
      <c r="H9" s="71"/>
      <c r="I9" s="72">
        <v>107</v>
      </c>
      <c r="J9" s="72">
        <v>113.42</v>
      </c>
      <c r="K9" s="73">
        <f t="shared" si="1"/>
        <v>220.42000000000002</v>
      </c>
      <c r="L9" s="71"/>
      <c r="M9" s="72"/>
      <c r="N9" s="72"/>
      <c r="O9" s="73">
        <f t="shared" si="2"/>
        <v>0</v>
      </c>
      <c r="P9" s="71">
        <v>163.07</v>
      </c>
      <c r="Q9" s="72">
        <v>88.25</v>
      </c>
      <c r="R9" s="72">
        <v>56.05</v>
      </c>
      <c r="S9" s="73">
        <f t="shared" si="3"/>
        <v>307.37</v>
      </c>
      <c r="T9" s="73">
        <f t="shared" si="18"/>
        <v>615.53</v>
      </c>
      <c r="U9" s="74">
        <f t="shared" si="19"/>
        <v>0.39711612903225807</v>
      </c>
      <c r="V9" s="75">
        <f t="shared" si="20"/>
        <v>934.47</v>
      </c>
      <c r="W9" s="70">
        <f>'budget anual'!D19+'budget anual'!D20+'budget anual'!D21</f>
        <v>1550</v>
      </c>
      <c r="X9" s="72">
        <v>56.05</v>
      </c>
      <c r="Y9" s="72">
        <v>61.02</v>
      </c>
      <c r="Z9" s="72">
        <v>56.05</v>
      </c>
      <c r="AA9" s="73">
        <f t="shared" si="4"/>
        <v>173.12</v>
      </c>
      <c r="AB9" s="71">
        <v>56.05</v>
      </c>
      <c r="AC9" s="72">
        <v>127.64</v>
      </c>
      <c r="AD9" s="72">
        <v>100.51</v>
      </c>
      <c r="AE9" s="73">
        <f t="shared" si="5"/>
        <v>284.2</v>
      </c>
      <c r="AF9" s="71">
        <v>100.21</v>
      </c>
      <c r="AG9" s="72">
        <v>100.51</v>
      </c>
      <c r="AH9" s="72">
        <v>158.01</v>
      </c>
      <c r="AI9" s="73">
        <f t="shared" si="6"/>
        <v>358.73</v>
      </c>
      <c r="AJ9" s="71">
        <v>395.83</v>
      </c>
      <c r="AK9" s="72">
        <v>100.19</v>
      </c>
      <c r="AL9" s="72">
        <v>123.96</v>
      </c>
      <c r="AM9" s="73">
        <f t="shared" si="7"/>
        <v>619.98</v>
      </c>
      <c r="AN9" s="73">
        <f t="shared" si="21"/>
        <v>1436.03</v>
      </c>
      <c r="AO9" s="106">
        <f t="shared" si="26"/>
        <v>0.92647096774193549</v>
      </c>
      <c r="AP9" s="73">
        <f t="shared" si="8"/>
        <v>1048.4400000000003</v>
      </c>
      <c r="AQ9" s="70">
        <f>'budget anual'!E19+'budget anual'!E20+'budget anual'!E21</f>
        <v>1550</v>
      </c>
      <c r="AR9" s="72">
        <v>100.51</v>
      </c>
      <c r="AS9" s="72">
        <v>699.71</v>
      </c>
      <c r="AT9" s="72">
        <v>158.43</v>
      </c>
      <c r="AU9" s="73">
        <f t="shared" si="9"/>
        <v>958.65000000000009</v>
      </c>
      <c r="AV9" s="72">
        <v>170.51</v>
      </c>
      <c r="AW9" s="72">
        <v>143.31</v>
      </c>
      <c r="AX9" s="72">
        <v>167.51</v>
      </c>
      <c r="AY9" s="73">
        <f t="shared" si="10"/>
        <v>481.33</v>
      </c>
      <c r="AZ9" s="72">
        <v>116.61</v>
      </c>
      <c r="BA9" s="127">
        <v>164.21</v>
      </c>
      <c r="BB9" s="72">
        <v>600.69000000000005</v>
      </c>
      <c r="BC9" s="73">
        <f t="shared" si="11"/>
        <v>881.51</v>
      </c>
      <c r="BD9" s="72">
        <v>143.31</v>
      </c>
      <c r="BE9" s="72">
        <v>153.72</v>
      </c>
      <c r="BF9" s="72">
        <v>104.93</v>
      </c>
      <c r="BG9" s="73">
        <f t="shared" si="12"/>
        <v>401.96</v>
      </c>
      <c r="BH9" s="73">
        <f t="shared" si="22"/>
        <v>2723.45</v>
      </c>
      <c r="BI9" s="106">
        <f t="shared" si="27"/>
        <v>1.7570645161290321</v>
      </c>
      <c r="BJ9" s="73">
        <f t="shared" si="13"/>
        <v>-125.00999999999931</v>
      </c>
      <c r="BK9" s="227">
        <f t="shared" si="23"/>
        <v>1424.9900000000007</v>
      </c>
      <c r="BL9" s="110">
        <v>146.63</v>
      </c>
      <c r="BM9" s="110">
        <v>160.63999999999999</v>
      </c>
      <c r="BN9" s="110">
        <v>121.51</v>
      </c>
      <c r="BO9" s="73">
        <f t="shared" si="14"/>
        <v>428.78</v>
      </c>
      <c r="BP9" s="110">
        <v>156.5</v>
      </c>
      <c r="BQ9" s="110">
        <v>183.58</v>
      </c>
      <c r="BR9" s="110">
        <v>114.29</v>
      </c>
      <c r="BS9" s="73">
        <f t="shared" si="15"/>
        <v>454.37000000000006</v>
      </c>
      <c r="BT9" s="110">
        <v>203.99</v>
      </c>
      <c r="BU9" s="110">
        <v>173.92</v>
      </c>
      <c r="BV9" s="270">
        <v>308.18</v>
      </c>
      <c r="BW9" s="73">
        <f t="shared" si="16"/>
        <v>686.08999999999992</v>
      </c>
      <c r="BX9" s="274">
        <v>143.31</v>
      </c>
      <c r="BY9" s="110">
        <v>159.38</v>
      </c>
      <c r="BZ9" s="110">
        <v>220.19</v>
      </c>
      <c r="CA9" s="73">
        <f t="shared" si="17"/>
        <v>522.88</v>
      </c>
      <c r="CB9" s="73">
        <f t="shared" si="24"/>
        <v>2092.12</v>
      </c>
      <c r="CC9" s="106">
        <f t="shared" si="28"/>
        <v>1.4681646888750088</v>
      </c>
      <c r="CD9" s="73">
        <f t="shared" si="25"/>
        <v>-667.1299999999992</v>
      </c>
      <c r="CE9" s="37" t="s">
        <v>370</v>
      </c>
    </row>
    <row r="10" spans="1:83">
      <c r="A10" s="37" t="s">
        <v>371</v>
      </c>
      <c r="B10" s="118">
        <v>11800</v>
      </c>
      <c r="C10" s="70">
        <f>'budget anual'!C26+'budget anual'!C27+'budget anual'!C29</f>
        <v>2950</v>
      </c>
      <c r="D10" s="71"/>
      <c r="E10" s="72"/>
      <c r="F10" s="72"/>
      <c r="G10" s="73">
        <f t="shared" si="0"/>
        <v>0</v>
      </c>
      <c r="H10" s="71">
        <f>50+7.5</f>
        <v>57.5</v>
      </c>
      <c r="I10" s="72">
        <v>80.2</v>
      </c>
      <c r="J10" s="72">
        <v>72.87</v>
      </c>
      <c r="K10" s="73">
        <f t="shared" si="1"/>
        <v>210.57</v>
      </c>
      <c r="L10" s="71"/>
      <c r="M10" s="72">
        <v>251.26</v>
      </c>
      <c r="N10" s="72">
        <v>491.13</v>
      </c>
      <c r="O10" s="73">
        <f t="shared" si="2"/>
        <v>742.39</v>
      </c>
      <c r="P10" s="71">
        <v>10</v>
      </c>
      <c r="Q10" s="72">
        <v>115</v>
      </c>
      <c r="R10" s="72"/>
      <c r="S10" s="73">
        <f t="shared" si="3"/>
        <v>125</v>
      </c>
      <c r="T10" s="73">
        <f t="shared" si="18"/>
        <v>1077.96</v>
      </c>
      <c r="U10" s="74">
        <f t="shared" si="19"/>
        <v>0.36541016949152544</v>
      </c>
      <c r="V10" s="75">
        <f t="shared" si="20"/>
        <v>1872.04</v>
      </c>
      <c r="W10" s="70">
        <f>'budget anual'!D26+'budget anual'!D27+'budget anual'!D29</f>
        <v>2950</v>
      </c>
      <c r="X10" s="72"/>
      <c r="Y10" s="72">
        <v>19.73</v>
      </c>
      <c r="Z10" s="72">
        <v>115.5</v>
      </c>
      <c r="AA10" s="73">
        <f t="shared" si="4"/>
        <v>135.22999999999999</v>
      </c>
      <c r="AB10" s="71">
        <v>70</v>
      </c>
      <c r="AC10" s="72">
        <v>137.80000000000001</v>
      </c>
      <c r="AD10" s="72">
        <v>80</v>
      </c>
      <c r="AE10" s="73">
        <f t="shared" si="5"/>
        <v>287.8</v>
      </c>
      <c r="AF10" s="71">
        <v>34.5</v>
      </c>
      <c r="AG10" s="72">
        <v>147.13</v>
      </c>
      <c r="AH10" s="72">
        <v>146.4</v>
      </c>
      <c r="AI10" s="73">
        <f t="shared" si="6"/>
        <v>328.03</v>
      </c>
      <c r="AJ10" s="71">
        <v>72.069999999999993</v>
      </c>
      <c r="AK10" s="72"/>
      <c r="AL10" s="72">
        <v>12.16</v>
      </c>
      <c r="AM10" s="73">
        <f t="shared" si="7"/>
        <v>84.22999999999999</v>
      </c>
      <c r="AN10" s="73">
        <f t="shared" si="21"/>
        <v>835.29</v>
      </c>
      <c r="AO10" s="106">
        <f t="shared" si="26"/>
        <v>0.28314915254237288</v>
      </c>
      <c r="AP10" s="73">
        <f t="shared" si="8"/>
        <v>3986.75</v>
      </c>
      <c r="AQ10" s="70">
        <f>'budget anual'!E26+'budget anual'!E27+'budget anual'!E29</f>
        <v>2950</v>
      </c>
      <c r="AR10" s="72">
        <v>248.85</v>
      </c>
      <c r="AS10" s="72">
        <v>196.38</v>
      </c>
      <c r="AT10" s="72">
        <v>508.84</v>
      </c>
      <c r="AU10" s="73">
        <f t="shared" si="9"/>
        <v>954.06999999999994</v>
      </c>
      <c r="AV10" s="72">
        <v>432.97</v>
      </c>
      <c r="AW10" s="72">
        <v>292.83</v>
      </c>
      <c r="AX10" s="72">
        <v>277.95999999999998</v>
      </c>
      <c r="AY10" s="73">
        <f t="shared" si="10"/>
        <v>1003.76</v>
      </c>
      <c r="AZ10" s="72">
        <v>283.64</v>
      </c>
      <c r="BA10" s="127">
        <v>179.59</v>
      </c>
      <c r="BB10" s="72">
        <v>402.01</v>
      </c>
      <c r="BC10" s="73">
        <f t="shared" si="11"/>
        <v>865.24</v>
      </c>
      <c r="BD10" s="72">
        <v>240.4</v>
      </c>
      <c r="BE10" s="72">
        <v>233</v>
      </c>
      <c r="BF10" s="72"/>
      <c r="BG10" s="73">
        <f t="shared" si="12"/>
        <v>473.4</v>
      </c>
      <c r="BH10" s="73">
        <f t="shared" si="22"/>
        <v>3296.47</v>
      </c>
      <c r="BI10" s="106">
        <f t="shared" si="27"/>
        <v>1.1174474576271185</v>
      </c>
      <c r="BJ10" s="73">
        <f t="shared" si="13"/>
        <v>3640.28</v>
      </c>
      <c r="BK10" s="227">
        <f t="shared" si="23"/>
        <v>6590.2800000000007</v>
      </c>
      <c r="BL10" s="110">
        <v>332.95</v>
      </c>
      <c r="BM10" s="110">
        <v>159.06</v>
      </c>
      <c r="BN10" s="110">
        <v>1495.27</v>
      </c>
      <c r="BO10" s="73">
        <f t="shared" si="14"/>
        <v>1987.28</v>
      </c>
      <c r="BP10" s="110">
        <v>86</v>
      </c>
      <c r="BQ10" s="110">
        <v>579.94000000000005</v>
      </c>
      <c r="BR10" s="110">
        <v>578.88</v>
      </c>
      <c r="BS10" s="73">
        <f t="shared" si="15"/>
        <v>1244.8200000000002</v>
      </c>
      <c r="BT10" s="110">
        <f>450+44.9</f>
        <v>494.9</v>
      </c>
      <c r="BU10" s="110">
        <f>232.06-5-20</f>
        <v>207.06</v>
      </c>
      <c r="BV10" s="270">
        <v>770.7</v>
      </c>
      <c r="BW10" s="73">
        <f t="shared" si="16"/>
        <v>1472.66</v>
      </c>
      <c r="BX10" s="274">
        <v>502.69</v>
      </c>
      <c r="BY10" s="110">
        <v>68.260000000000005</v>
      </c>
      <c r="BZ10" s="110">
        <v>1044.82</v>
      </c>
      <c r="CA10" s="73">
        <f t="shared" si="17"/>
        <v>1615.77</v>
      </c>
      <c r="CB10" s="73">
        <f t="shared" si="24"/>
        <v>6320.5300000000007</v>
      </c>
      <c r="CC10" s="106">
        <f t="shared" si="28"/>
        <v>0.95906850695266366</v>
      </c>
      <c r="CD10" s="73">
        <f t="shared" si="25"/>
        <v>269.75</v>
      </c>
      <c r="CE10" s="37" t="s">
        <v>371</v>
      </c>
    </row>
    <row r="11" spans="1:83">
      <c r="A11" s="37" t="s">
        <v>46</v>
      </c>
      <c r="B11" s="118">
        <v>4000</v>
      </c>
      <c r="C11" s="70">
        <f>'budget anual'!C31</f>
        <v>1000</v>
      </c>
      <c r="D11" s="71"/>
      <c r="E11" s="72"/>
      <c r="F11" s="72"/>
      <c r="G11" s="73">
        <f t="shared" si="0"/>
        <v>0</v>
      </c>
      <c r="H11" s="71"/>
      <c r="I11" s="72"/>
      <c r="J11" s="72"/>
      <c r="K11" s="73">
        <f t="shared" si="1"/>
        <v>0</v>
      </c>
      <c r="L11" s="71"/>
      <c r="M11" s="72"/>
      <c r="N11" s="72"/>
      <c r="O11" s="73">
        <f t="shared" si="2"/>
        <v>0</v>
      </c>
      <c r="P11" s="71"/>
      <c r="Q11" s="72"/>
      <c r="R11" s="72"/>
      <c r="S11" s="73">
        <f t="shared" si="3"/>
        <v>0</v>
      </c>
      <c r="T11" s="73">
        <f t="shared" si="18"/>
        <v>0</v>
      </c>
      <c r="U11" s="74">
        <f t="shared" si="19"/>
        <v>0</v>
      </c>
      <c r="V11" s="75">
        <f t="shared" si="20"/>
        <v>1000</v>
      </c>
      <c r="W11" s="70">
        <f>'budget anual'!D31</f>
        <v>1000</v>
      </c>
      <c r="X11" s="72"/>
      <c r="Y11" s="72"/>
      <c r="Z11" s="72"/>
      <c r="AA11" s="73">
        <f t="shared" si="4"/>
        <v>0</v>
      </c>
      <c r="AB11" s="71"/>
      <c r="AC11" s="72"/>
      <c r="AD11" s="72"/>
      <c r="AE11" s="73">
        <f t="shared" si="5"/>
        <v>0</v>
      </c>
      <c r="AF11" s="71"/>
      <c r="AG11" s="72"/>
      <c r="AH11" s="72">
        <v>77</v>
      </c>
      <c r="AI11" s="73">
        <f t="shared" si="6"/>
        <v>77</v>
      </c>
      <c r="AJ11" s="71"/>
      <c r="AK11" s="72"/>
      <c r="AL11" s="72"/>
      <c r="AM11" s="73">
        <f t="shared" si="7"/>
        <v>0</v>
      </c>
      <c r="AN11" s="73">
        <f t="shared" si="21"/>
        <v>77</v>
      </c>
      <c r="AO11" s="106">
        <f t="shared" si="26"/>
        <v>7.6999999999999999E-2</v>
      </c>
      <c r="AP11" s="73">
        <f t="shared" si="8"/>
        <v>1923</v>
      </c>
      <c r="AQ11" s="70">
        <f>'budget anual'!E31</f>
        <v>1000</v>
      </c>
      <c r="AR11" s="72"/>
      <c r="AS11" s="72"/>
      <c r="AT11" s="72"/>
      <c r="AU11" s="73">
        <f t="shared" si="9"/>
        <v>0</v>
      </c>
      <c r="AW11" s="72"/>
      <c r="AX11" s="72"/>
      <c r="AY11" s="73">
        <f t="shared" si="10"/>
        <v>0</v>
      </c>
      <c r="AZ11" s="72"/>
      <c r="BB11" s="72"/>
      <c r="BC11" s="73">
        <f t="shared" si="11"/>
        <v>0</v>
      </c>
      <c r="BD11" s="72"/>
      <c r="BE11" s="72"/>
      <c r="BF11" s="72"/>
      <c r="BG11" s="73">
        <f t="shared" si="12"/>
        <v>0</v>
      </c>
      <c r="BH11" s="73">
        <f t="shared" si="22"/>
        <v>0</v>
      </c>
      <c r="BI11" s="106">
        <f t="shared" si="27"/>
        <v>0</v>
      </c>
      <c r="BJ11" s="73">
        <f t="shared" si="13"/>
        <v>2923</v>
      </c>
      <c r="BK11" s="227">
        <f t="shared" si="23"/>
        <v>3923</v>
      </c>
      <c r="BL11" s="110"/>
      <c r="BM11" s="110"/>
      <c r="BN11" s="110"/>
      <c r="BO11" s="73">
        <f t="shared" si="14"/>
        <v>0</v>
      </c>
      <c r="BP11" s="110"/>
      <c r="BQ11" s="110"/>
      <c r="BR11" s="110"/>
      <c r="BS11" s="73">
        <f t="shared" si="15"/>
        <v>0</v>
      </c>
      <c r="BT11" s="110"/>
      <c r="BU11" s="110"/>
      <c r="BV11" s="270"/>
      <c r="BW11" s="73">
        <f t="shared" si="16"/>
        <v>0</v>
      </c>
      <c r="BX11" s="274"/>
      <c r="BY11" s="110"/>
      <c r="BZ11" s="110"/>
      <c r="CA11" s="73">
        <f t="shared" si="17"/>
        <v>0</v>
      </c>
      <c r="CB11" s="73">
        <f t="shared" si="24"/>
        <v>0</v>
      </c>
      <c r="CC11" s="106">
        <f t="shared" si="28"/>
        <v>0</v>
      </c>
      <c r="CD11" s="73">
        <f t="shared" si="25"/>
        <v>3923</v>
      </c>
      <c r="CE11" s="37" t="s">
        <v>46</v>
      </c>
    </row>
    <row r="12" spans="1:83">
      <c r="A12" s="37" t="s">
        <v>48</v>
      </c>
      <c r="B12" s="118">
        <v>1000</v>
      </c>
      <c r="C12" s="70">
        <f>'budget anual'!C32</f>
        <v>0</v>
      </c>
      <c r="D12" s="71"/>
      <c r="E12" s="72"/>
      <c r="F12" s="72"/>
      <c r="G12" s="73">
        <f t="shared" si="0"/>
        <v>0</v>
      </c>
      <c r="H12" s="71"/>
      <c r="I12" s="72"/>
      <c r="J12" s="72"/>
      <c r="K12" s="73">
        <f t="shared" si="1"/>
        <v>0</v>
      </c>
      <c r="L12" s="71"/>
      <c r="M12" s="72"/>
      <c r="N12" s="72"/>
      <c r="O12" s="73">
        <f t="shared" si="2"/>
        <v>0</v>
      </c>
      <c r="P12" s="71"/>
      <c r="Q12" s="72"/>
      <c r="R12" s="72"/>
      <c r="S12" s="73">
        <f t="shared" si="3"/>
        <v>0</v>
      </c>
      <c r="T12" s="73">
        <f t="shared" si="18"/>
        <v>0</v>
      </c>
      <c r="U12" s="74" t="e">
        <f t="shared" si="19"/>
        <v>#DIV/0!</v>
      </c>
      <c r="V12" s="75">
        <f t="shared" si="20"/>
        <v>0</v>
      </c>
      <c r="W12" s="70">
        <f>'budget anual'!D32</f>
        <v>250</v>
      </c>
      <c r="X12" s="72"/>
      <c r="Y12" s="72"/>
      <c r="Z12" s="72"/>
      <c r="AA12" s="73">
        <f t="shared" si="4"/>
        <v>0</v>
      </c>
      <c r="AB12" s="71"/>
      <c r="AC12" s="72"/>
      <c r="AD12" s="72"/>
      <c r="AE12" s="73">
        <f t="shared" si="5"/>
        <v>0</v>
      </c>
      <c r="AF12" s="71"/>
      <c r="AG12" s="72"/>
      <c r="AH12" s="72"/>
      <c r="AI12" s="73">
        <f t="shared" si="6"/>
        <v>0</v>
      </c>
      <c r="AJ12" s="71"/>
      <c r="AK12" s="72">
        <v>214</v>
      </c>
      <c r="AL12" s="72"/>
      <c r="AM12" s="73">
        <f t="shared" si="7"/>
        <v>214</v>
      </c>
      <c r="AN12" s="73">
        <f t="shared" si="21"/>
        <v>214</v>
      </c>
      <c r="AO12" s="106">
        <f t="shared" si="26"/>
        <v>0.85599999999999998</v>
      </c>
      <c r="AP12" s="73">
        <f t="shared" si="8"/>
        <v>36</v>
      </c>
      <c r="AQ12" s="70">
        <f>'budget anual'!E32</f>
        <v>500</v>
      </c>
      <c r="AR12" s="72"/>
      <c r="AS12" s="72"/>
      <c r="AT12" s="72"/>
      <c r="AU12" s="73">
        <f t="shared" si="9"/>
        <v>0</v>
      </c>
      <c r="AW12" s="72">
        <v>214</v>
      </c>
      <c r="AX12" s="72"/>
      <c r="AY12" s="73">
        <f t="shared" si="10"/>
        <v>214</v>
      </c>
      <c r="AZ12" s="72"/>
      <c r="BA12" s="127">
        <v>1760</v>
      </c>
      <c r="BB12" s="72"/>
      <c r="BC12" s="73">
        <f t="shared" si="11"/>
        <v>1760</v>
      </c>
      <c r="BD12" s="72"/>
      <c r="BE12" s="72"/>
      <c r="BF12" s="72">
        <v>350</v>
      </c>
      <c r="BG12" s="73">
        <f t="shared" si="12"/>
        <v>350</v>
      </c>
      <c r="BH12" s="73">
        <f t="shared" si="22"/>
        <v>2324</v>
      </c>
      <c r="BI12" s="106">
        <f t="shared" si="27"/>
        <v>4.6479999999999997</v>
      </c>
      <c r="BJ12" s="73">
        <f t="shared" si="13"/>
        <v>-1788</v>
      </c>
      <c r="BK12" s="227">
        <f t="shared" si="23"/>
        <v>-1538</v>
      </c>
      <c r="BL12" s="110"/>
      <c r="BM12" s="110"/>
      <c r="BN12" s="110"/>
      <c r="BO12" s="73">
        <f t="shared" si="14"/>
        <v>0</v>
      </c>
      <c r="BP12" s="110"/>
      <c r="BQ12" s="110">
        <v>550</v>
      </c>
      <c r="BR12" s="110"/>
      <c r="BS12" s="73">
        <f t="shared" si="15"/>
        <v>550</v>
      </c>
      <c r="BT12" s="110"/>
      <c r="BU12" s="110"/>
      <c r="BV12" s="270"/>
      <c r="BW12" s="73">
        <f t="shared" si="16"/>
        <v>0</v>
      </c>
      <c r="BX12" s="274">
        <v>450</v>
      </c>
      <c r="BY12" s="110"/>
      <c r="BZ12" s="110"/>
      <c r="CA12" s="73">
        <f t="shared" si="17"/>
        <v>450</v>
      </c>
      <c r="CB12" s="73">
        <f t="shared" si="24"/>
        <v>1000</v>
      </c>
      <c r="CC12" s="106">
        <f t="shared" si="28"/>
        <v>-0.65019505851755521</v>
      </c>
      <c r="CD12" s="73">
        <f t="shared" si="25"/>
        <v>-2538</v>
      </c>
      <c r="CE12" s="37" t="s">
        <v>48</v>
      </c>
    </row>
    <row r="13" spans="1:83">
      <c r="A13" s="37" t="s">
        <v>49</v>
      </c>
      <c r="B13" s="118">
        <v>3600</v>
      </c>
      <c r="C13" s="70">
        <f>'budget anual'!C22+'budget anual'!C23</f>
        <v>900</v>
      </c>
      <c r="D13" s="71"/>
      <c r="E13" s="72"/>
      <c r="F13" s="72"/>
      <c r="G13" s="73">
        <f t="shared" si="0"/>
        <v>0</v>
      </c>
      <c r="H13" s="71">
        <f>218.66+169.32+200+0.8+83.88+277.82</f>
        <v>950.48</v>
      </c>
      <c r="I13" s="72">
        <v>11.7</v>
      </c>
      <c r="J13" s="72">
        <v>211.05</v>
      </c>
      <c r="K13" s="73">
        <f t="shared" si="1"/>
        <v>1173.23</v>
      </c>
      <c r="L13" s="71">
        <v>72.16</v>
      </c>
      <c r="M13" s="72">
        <v>12.84</v>
      </c>
      <c r="N13" s="72"/>
      <c r="O13" s="73">
        <f t="shared" si="2"/>
        <v>85</v>
      </c>
      <c r="P13" s="71">
        <v>29.62</v>
      </c>
      <c r="Q13" s="72">
        <v>53.61</v>
      </c>
      <c r="R13" s="72"/>
      <c r="S13" s="73">
        <f t="shared" si="3"/>
        <v>83.23</v>
      </c>
      <c r="T13" s="73">
        <f t="shared" si="18"/>
        <v>1341.46</v>
      </c>
      <c r="U13" s="74">
        <f t="shared" si="19"/>
        <v>1.4905111111111111</v>
      </c>
      <c r="V13" s="75">
        <f t="shared" si="20"/>
        <v>-441.46000000000004</v>
      </c>
      <c r="W13" s="70">
        <f>'budget anual'!D22+'budget anual'!D23</f>
        <v>900</v>
      </c>
      <c r="X13" s="72">
        <v>199.02</v>
      </c>
      <c r="Y13" s="72">
        <v>105.93</v>
      </c>
      <c r="Z13" s="72">
        <v>88.54</v>
      </c>
      <c r="AA13" s="73">
        <f t="shared" si="4"/>
        <v>393.49000000000007</v>
      </c>
      <c r="AB13" s="71">
        <v>133.72</v>
      </c>
      <c r="AC13" s="72">
        <v>125.71</v>
      </c>
      <c r="AD13" s="72">
        <v>116.14</v>
      </c>
      <c r="AE13" s="73">
        <f t="shared" si="5"/>
        <v>375.57</v>
      </c>
      <c r="AF13" s="71">
        <v>84.6</v>
      </c>
      <c r="AG13" s="72">
        <v>168.02</v>
      </c>
      <c r="AH13" s="72">
        <v>181.72</v>
      </c>
      <c r="AI13" s="73">
        <f t="shared" si="6"/>
        <v>434.34000000000003</v>
      </c>
      <c r="AJ13" s="71">
        <v>151.02000000000001</v>
      </c>
      <c r="AK13" s="72">
        <v>20.38</v>
      </c>
      <c r="AL13" s="72">
        <v>118.33</v>
      </c>
      <c r="AM13" s="73">
        <f t="shared" si="7"/>
        <v>289.73</v>
      </c>
      <c r="AN13" s="73">
        <f t="shared" si="21"/>
        <v>1493.13</v>
      </c>
      <c r="AO13" s="106">
        <f t="shared" si="26"/>
        <v>1.6590333333333334</v>
      </c>
      <c r="AP13" s="73">
        <f t="shared" si="8"/>
        <v>-1034.5900000000001</v>
      </c>
      <c r="AQ13" s="70">
        <f>'budget anual'!E22+'budget anual'!E23</f>
        <v>900</v>
      </c>
      <c r="AR13" s="72"/>
      <c r="AS13" s="72"/>
      <c r="AT13" s="72">
        <v>48.77</v>
      </c>
      <c r="AU13" s="73">
        <f t="shared" si="9"/>
        <v>48.77</v>
      </c>
      <c r="AV13" s="72">
        <v>196.81</v>
      </c>
      <c r="AW13" s="72">
        <v>217.06</v>
      </c>
      <c r="AX13" s="72">
        <v>283.39999999999998</v>
      </c>
      <c r="AY13" s="73">
        <f t="shared" si="10"/>
        <v>697.27</v>
      </c>
      <c r="AZ13" s="72">
        <v>315.98</v>
      </c>
      <c r="BA13" s="127">
        <v>176.23</v>
      </c>
      <c r="BB13" s="72">
        <v>301.41000000000003</v>
      </c>
      <c r="BC13" s="73">
        <f t="shared" si="11"/>
        <v>793.62000000000012</v>
      </c>
      <c r="BD13" s="72">
        <v>178.2</v>
      </c>
      <c r="BE13" s="72">
        <v>191.31</v>
      </c>
      <c r="BF13" s="72"/>
      <c r="BG13" s="73">
        <f t="shared" si="12"/>
        <v>369.51</v>
      </c>
      <c r="BH13" s="73">
        <f t="shared" si="22"/>
        <v>1909.17</v>
      </c>
      <c r="BI13" s="106">
        <f t="shared" si="27"/>
        <v>2.1213000000000002</v>
      </c>
      <c r="BJ13" s="73">
        <f t="shared" si="13"/>
        <v>-2043.7600000000002</v>
      </c>
      <c r="BK13" s="227">
        <f t="shared" si="23"/>
        <v>-1143.7600000000002</v>
      </c>
      <c r="BL13" s="110">
        <v>279.73</v>
      </c>
      <c r="BM13" s="110">
        <v>307.5</v>
      </c>
      <c r="BN13" s="110">
        <v>212.28</v>
      </c>
      <c r="BO13" s="73">
        <f t="shared" si="14"/>
        <v>799.51</v>
      </c>
      <c r="BP13" s="110">
        <v>216.79</v>
      </c>
      <c r="BQ13" s="110">
        <v>262.08999999999997</v>
      </c>
      <c r="BR13" s="110">
        <v>117.34</v>
      </c>
      <c r="BS13" s="73">
        <f t="shared" si="15"/>
        <v>596.22</v>
      </c>
      <c r="BT13" s="110">
        <v>354.06</v>
      </c>
      <c r="BU13" s="110">
        <v>535.03</v>
      </c>
      <c r="BV13" s="270">
        <v>207.94</v>
      </c>
      <c r="BW13" s="73">
        <f t="shared" si="16"/>
        <v>1097.03</v>
      </c>
      <c r="BX13" s="274">
        <v>370.5</v>
      </c>
      <c r="BY13" s="110">
        <v>4.28</v>
      </c>
      <c r="BZ13" s="110">
        <v>87.44</v>
      </c>
      <c r="CA13" s="73">
        <f t="shared" si="17"/>
        <v>462.21999999999997</v>
      </c>
      <c r="CB13" s="73">
        <f t="shared" si="24"/>
        <v>2954.98</v>
      </c>
      <c r="CC13" s="106">
        <f t="shared" si="28"/>
        <v>-2.5835664824788411</v>
      </c>
      <c r="CD13" s="73">
        <f t="shared" si="25"/>
        <v>-4098.74</v>
      </c>
      <c r="CE13" s="37" t="s">
        <v>49</v>
      </c>
    </row>
    <row r="14" spans="1:83" ht="15.95" thickBot="1">
      <c r="A14" s="37" t="s">
        <v>51</v>
      </c>
      <c r="B14" s="118">
        <v>62400</v>
      </c>
      <c r="C14" s="70">
        <f>'budget anual'!C25</f>
        <v>15600</v>
      </c>
      <c r="D14" s="71"/>
      <c r="E14" s="72"/>
      <c r="F14" s="72"/>
      <c r="G14" s="76">
        <f t="shared" si="0"/>
        <v>0</v>
      </c>
      <c r="H14" s="71">
        <v>3600</v>
      </c>
      <c r="I14" s="72">
        <v>1200</v>
      </c>
      <c r="J14" s="72">
        <v>11000</v>
      </c>
      <c r="K14" s="76">
        <f t="shared" si="1"/>
        <v>15800</v>
      </c>
      <c r="L14" s="71"/>
      <c r="M14" s="72"/>
      <c r="N14" s="72"/>
      <c r="O14" s="76">
        <f t="shared" si="2"/>
        <v>0</v>
      </c>
      <c r="P14" s="71"/>
      <c r="Q14" s="72"/>
      <c r="R14" s="72"/>
      <c r="S14" s="76">
        <f t="shared" si="3"/>
        <v>0</v>
      </c>
      <c r="T14" s="73">
        <f t="shared" si="18"/>
        <v>15800</v>
      </c>
      <c r="U14" s="74">
        <f t="shared" si="19"/>
        <v>1.0128205128205128</v>
      </c>
      <c r="V14" s="75">
        <f t="shared" si="20"/>
        <v>-200</v>
      </c>
      <c r="W14" s="70">
        <f>'budget anual'!D25</f>
        <v>15600</v>
      </c>
      <c r="X14" s="72"/>
      <c r="Y14" s="72">
        <v>1400</v>
      </c>
      <c r="Z14" s="72">
        <v>1400</v>
      </c>
      <c r="AA14" s="76">
        <f t="shared" si="4"/>
        <v>2800</v>
      </c>
      <c r="AB14" s="71">
        <v>1400</v>
      </c>
      <c r="AC14" s="72">
        <v>1400</v>
      </c>
      <c r="AD14" s="72">
        <v>1400</v>
      </c>
      <c r="AE14" s="76">
        <f t="shared" si="5"/>
        <v>4200</v>
      </c>
      <c r="AF14" s="71">
        <v>1400</v>
      </c>
      <c r="AG14" s="72">
        <v>1400</v>
      </c>
      <c r="AH14" s="72">
        <v>1400</v>
      </c>
      <c r="AI14" s="76">
        <f t="shared" si="6"/>
        <v>4200</v>
      </c>
      <c r="AJ14" s="71">
        <v>1400</v>
      </c>
      <c r="AK14" s="72">
        <v>1400</v>
      </c>
      <c r="AL14" s="72">
        <v>1400</v>
      </c>
      <c r="AM14" s="76">
        <f t="shared" si="7"/>
        <v>4200</v>
      </c>
      <c r="AN14" s="73">
        <f t="shared" si="21"/>
        <v>15400</v>
      </c>
      <c r="AO14" s="106">
        <f t="shared" si="26"/>
        <v>0.98717948717948723</v>
      </c>
      <c r="AP14" s="76">
        <f t="shared" si="8"/>
        <v>0</v>
      </c>
      <c r="AQ14" s="70">
        <f>'budget anual'!E25</f>
        <v>15600</v>
      </c>
      <c r="AR14" s="72">
        <v>1400</v>
      </c>
      <c r="AS14" s="72">
        <v>1400</v>
      </c>
      <c r="AT14" s="72">
        <v>1400</v>
      </c>
      <c r="AU14" s="76">
        <f t="shared" si="9"/>
        <v>4200</v>
      </c>
      <c r="AV14" s="72">
        <f>1400+2343</f>
        <v>3743</v>
      </c>
      <c r="AW14" s="72">
        <f>49.21+1400</f>
        <v>1449.21</v>
      </c>
      <c r="AX14" s="72">
        <v>1400</v>
      </c>
      <c r="AY14" s="76">
        <f t="shared" si="10"/>
        <v>6592.21</v>
      </c>
      <c r="AZ14" s="72">
        <v>1400</v>
      </c>
      <c r="BA14" s="127">
        <v>1400</v>
      </c>
      <c r="BB14" s="72">
        <v>1400</v>
      </c>
      <c r="BC14" s="76">
        <f t="shared" si="11"/>
        <v>4200</v>
      </c>
      <c r="BD14" s="72">
        <v>1400</v>
      </c>
      <c r="BE14" s="72">
        <v>1400</v>
      </c>
      <c r="BF14" s="72">
        <v>1400</v>
      </c>
      <c r="BG14" s="76">
        <f t="shared" si="12"/>
        <v>4200</v>
      </c>
      <c r="BH14" s="73">
        <f t="shared" si="22"/>
        <v>19192.21</v>
      </c>
      <c r="BI14" s="106">
        <f t="shared" si="27"/>
        <v>1.2302698717948717</v>
      </c>
      <c r="BJ14" s="76">
        <f t="shared" si="13"/>
        <v>-3592.2099999999991</v>
      </c>
      <c r="BK14" s="227">
        <f t="shared" si="23"/>
        <v>12007.79</v>
      </c>
      <c r="BL14" s="110">
        <v>1400</v>
      </c>
      <c r="BM14" s="110">
        <v>1400</v>
      </c>
      <c r="BN14" s="110">
        <v>1400</v>
      </c>
      <c r="BO14" s="76">
        <f t="shared" si="14"/>
        <v>4200</v>
      </c>
      <c r="BP14" s="110">
        <v>1400</v>
      </c>
      <c r="BQ14" s="110">
        <v>1400</v>
      </c>
      <c r="BR14" s="110">
        <v>1400</v>
      </c>
      <c r="BS14" s="76">
        <f t="shared" si="15"/>
        <v>4200</v>
      </c>
      <c r="BT14" s="110">
        <v>1400</v>
      </c>
      <c r="BU14" s="110">
        <v>1400</v>
      </c>
      <c r="BV14" s="270">
        <v>1400</v>
      </c>
      <c r="BW14" s="76">
        <f t="shared" si="16"/>
        <v>4200</v>
      </c>
      <c r="BX14" s="274">
        <v>1400</v>
      </c>
      <c r="BY14" s="110">
        <v>1400</v>
      </c>
      <c r="BZ14" s="110">
        <v>1400</v>
      </c>
      <c r="CA14" s="76">
        <f t="shared" si="17"/>
        <v>4200</v>
      </c>
      <c r="CB14" s="73">
        <f t="shared" si="24"/>
        <v>16800</v>
      </c>
      <c r="CC14" s="106">
        <f t="shared" si="28"/>
        <v>1.3990917562682224</v>
      </c>
      <c r="CD14" s="73">
        <f t="shared" si="25"/>
        <v>-4792.2099999999991</v>
      </c>
      <c r="CE14" s="37" t="s">
        <v>51</v>
      </c>
    </row>
    <row r="15" spans="1:83" ht="15.95" thickBot="1">
      <c r="A15" s="37"/>
      <c r="B15" s="77">
        <f>SUM(B4:B14)</f>
        <v>1056146.8</v>
      </c>
      <c r="C15" s="77" t="e">
        <f>SUM(C4:C14)</f>
        <v>#REF!</v>
      </c>
      <c r="D15" s="78">
        <f t="shared" ref="D15:V15" si="29">SUM(D4:D14)</f>
        <v>0</v>
      </c>
      <c r="E15" s="78">
        <f t="shared" si="29"/>
        <v>10983.64</v>
      </c>
      <c r="F15" s="78">
        <f t="shared" si="29"/>
        <v>14515.82</v>
      </c>
      <c r="G15" s="79">
        <f t="shared" si="29"/>
        <v>25499.460000000003</v>
      </c>
      <c r="H15" s="78">
        <f t="shared" si="29"/>
        <v>32171.93</v>
      </c>
      <c r="I15" s="78">
        <f t="shared" si="29"/>
        <v>21537.9</v>
      </c>
      <c r="J15" s="78">
        <f t="shared" si="29"/>
        <v>32106.739999999994</v>
      </c>
      <c r="K15" s="80">
        <f t="shared" si="29"/>
        <v>85816.57</v>
      </c>
      <c r="L15" s="78">
        <f t="shared" si="29"/>
        <v>17859.34</v>
      </c>
      <c r="M15" s="78">
        <f t="shared" si="29"/>
        <v>23134.07</v>
      </c>
      <c r="N15" s="78">
        <f t="shared" si="29"/>
        <v>17782.61</v>
      </c>
      <c r="O15" s="80">
        <f t="shared" si="29"/>
        <v>58776.02</v>
      </c>
      <c r="P15" s="78">
        <f t="shared" si="29"/>
        <v>20330.54</v>
      </c>
      <c r="Q15" s="78">
        <f t="shared" si="29"/>
        <v>17051.11</v>
      </c>
      <c r="R15" s="78">
        <f t="shared" si="29"/>
        <v>22742.76</v>
      </c>
      <c r="S15" s="80">
        <f t="shared" si="29"/>
        <v>60124.410000000011</v>
      </c>
      <c r="T15" s="81">
        <f t="shared" si="29"/>
        <v>230216.46</v>
      </c>
      <c r="U15" s="82" t="e">
        <f t="shared" si="19"/>
        <v>#REF!</v>
      </c>
      <c r="V15" s="83" t="e">
        <f t="shared" si="29"/>
        <v>#REF!</v>
      </c>
      <c r="W15" s="77" t="e">
        <f>SUM(W4:W14)</f>
        <v>#REF!</v>
      </c>
      <c r="X15" s="109">
        <f t="shared" ref="X15:AN15" si="30">SUM(X4:X14)</f>
        <v>20531.939999999999</v>
      </c>
      <c r="Y15" s="78">
        <f t="shared" si="30"/>
        <v>18787.12</v>
      </c>
      <c r="Z15" s="78">
        <f t="shared" si="30"/>
        <v>18902.129999999997</v>
      </c>
      <c r="AA15" s="79">
        <f t="shared" si="30"/>
        <v>58221.19000000001</v>
      </c>
      <c r="AB15" s="78">
        <f t="shared" si="30"/>
        <v>24392.12</v>
      </c>
      <c r="AC15" s="78">
        <f t="shared" si="30"/>
        <v>18989.989999999994</v>
      </c>
      <c r="AD15" s="78">
        <f t="shared" si="30"/>
        <v>19092.269999999997</v>
      </c>
      <c r="AE15" s="80">
        <f t="shared" si="30"/>
        <v>62474.38</v>
      </c>
      <c r="AF15" s="78">
        <f t="shared" si="30"/>
        <v>18827.239999999994</v>
      </c>
      <c r="AG15" s="78">
        <f t="shared" si="30"/>
        <v>24622.42</v>
      </c>
      <c r="AH15" s="78">
        <f t="shared" si="30"/>
        <v>19113.88</v>
      </c>
      <c r="AI15" s="80">
        <f t="shared" si="30"/>
        <v>62563.54</v>
      </c>
      <c r="AJ15" s="78">
        <f t="shared" si="30"/>
        <v>21048.950000000004</v>
      </c>
      <c r="AK15" s="78">
        <f t="shared" si="30"/>
        <v>18993.999999999996</v>
      </c>
      <c r="AL15" s="78">
        <f t="shared" si="30"/>
        <v>28156.84</v>
      </c>
      <c r="AM15" s="80">
        <f t="shared" si="30"/>
        <v>68199.790000000008</v>
      </c>
      <c r="AN15" s="81">
        <f t="shared" si="30"/>
        <v>251458.9</v>
      </c>
      <c r="AO15" s="82" t="e">
        <f t="shared" si="26"/>
        <v>#REF!</v>
      </c>
      <c r="AP15" s="108" t="e">
        <f t="shared" ref="AP15" si="31">SUM(AP4:AP14)</f>
        <v>#REF!</v>
      </c>
      <c r="AQ15" s="77" t="e">
        <f>SUM(AQ4:AQ14)</f>
        <v>#REF!</v>
      </c>
      <c r="AR15" s="109">
        <f t="shared" ref="AR15:BH15" si="32">SUM(AR4:AR14)</f>
        <v>19298.78</v>
      </c>
      <c r="AS15" s="78">
        <f t="shared" si="32"/>
        <v>27732.670000000002</v>
      </c>
      <c r="AT15" s="78">
        <f t="shared" si="32"/>
        <v>11310.730000000001</v>
      </c>
      <c r="AU15" s="79">
        <f t="shared" si="32"/>
        <v>58342.18</v>
      </c>
      <c r="AV15" s="109">
        <f t="shared" ref="AV15:AX15" si="33">SUM(AV4:AV14)</f>
        <v>16863.5</v>
      </c>
      <c r="AW15" s="78">
        <f t="shared" si="33"/>
        <v>12508.099999999999</v>
      </c>
      <c r="AX15" s="78">
        <f t="shared" si="33"/>
        <v>11482.269999999999</v>
      </c>
      <c r="AY15" s="80">
        <f t="shared" si="32"/>
        <v>40853.870000000003</v>
      </c>
      <c r="AZ15" s="109">
        <f t="shared" ref="AZ15:BB15" si="34">SUM(AZ4:AZ14)</f>
        <v>11926.359999999999</v>
      </c>
      <c r="BA15" s="191">
        <f>SUM(BA4:BA14)</f>
        <v>16935.739999999998</v>
      </c>
      <c r="BB15" s="78">
        <f t="shared" si="34"/>
        <v>13766.19</v>
      </c>
      <c r="BC15" s="80">
        <f t="shared" si="32"/>
        <v>42628.29</v>
      </c>
      <c r="BD15" s="109">
        <f t="shared" ref="BD15:BF15" si="35">SUM(BD4:BD14)</f>
        <v>13491.17</v>
      </c>
      <c r="BE15" s="78">
        <f t="shared" si="35"/>
        <v>13906.069999999998</v>
      </c>
      <c r="BF15" s="78">
        <f t="shared" si="35"/>
        <v>17446.309999999998</v>
      </c>
      <c r="BG15" s="80">
        <f t="shared" si="32"/>
        <v>44843.55</v>
      </c>
      <c r="BH15" s="81">
        <f t="shared" si="32"/>
        <v>186667.89</v>
      </c>
      <c r="BI15" s="121" t="e">
        <f t="shared" si="27"/>
        <v>#REF!</v>
      </c>
      <c r="BJ15" s="122" t="e">
        <f t="shared" ref="BJ15" si="36">SUM(BJ4:BJ14)</f>
        <v>#REF!</v>
      </c>
      <c r="BK15" s="228">
        <f>SUM(BK4:BK14)</f>
        <v>387803.54999999993</v>
      </c>
      <c r="BL15" s="78">
        <f t="shared" ref="BL15:BM15" si="37">SUM(BL4:BL14)</f>
        <v>15517</v>
      </c>
      <c r="BM15" s="78">
        <f t="shared" si="37"/>
        <v>14588.059999999998</v>
      </c>
      <c r="BN15" s="78">
        <f t="shared" ref="BN15:BQ15" si="38">SUM(BN4:BN14)</f>
        <v>18141.82</v>
      </c>
      <c r="BO15" s="80">
        <f t="shared" si="38"/>
        <v>48246.880000000005</v>
      </c>
      <c r="BP15" s="78">
        <f t="shared" si="38"/>
        <v>17909.84</v>
      </c>
      <c r="BQ15" s="78">
        <f t="shared" si="38"/>
        <v>15427.09</v>
      </c>
      <c r="BR15" s="78">
        <f t="shared" ref="BR15" si="39">SUM(BR4:BR14)</f>
        <v>14582.779999999999</v>
      </c>
      <c r="BS15" s="80">
        <f t="shared" ref="BS15:BV15" si="40">SUM(BS4:BS14)</f>
        <v>47919.710000000006</v>
      </c>
      <c r="BT15" s="78">
        <f t="shared" si="40"/>
        <v>14317.999999999998</v>
      </c>
      <c r="BU15" s="78">
        <f t="shared" si="40"/>
        <v>17988.95</v>
      </c>
      <c r="BV15" s="78">
        <f t="shared" si="40"/>
        <v>14521.29</v>
      </c>
      <c r="BW15" s="80">
        <f t="shared" ref="BW15:BZ15" si="41">SUM(BW4:BW14)</f>
        <v>46828.24</v>
      </c>
      <c r="BX15" s="275">
        <f t="shared" si="41"/>
        <v>25082.36</v>
      </c>
      <c r="BY15" s="78">
        <f t="shared" si="41"/>
        <v>15353</v>
      </c>
      <c r="BZ15" s="78">
        <f t="shared" si="41"/>
        <v>34999.780000000006</v>
      </c>
      <c r="CA15" s="80">
        <f t="shared" ref="CA15:CB15" si="42">SUM(CA4:CA14)</f>
        <v>75435.140000000014</v>
      </c>
      <c r="CB15" s="81">
        <f t="shared" si="42"/>
        <v>218429.97000000003</v>
      </c>
      <c r="CC15" s="121">
        <f t="shared" si="28"/>
        <v>0.56324902131504484</v>
      </c>
      <c r="CD15" s="122">
        <f t="shared" ref="CD15" si="43">SUM(CD4:CD14)</f>
        <v>169373.58</v>
      </c>
      <c r="CE15" s="37"/>
    </row>
    <row r="16" spans="1:83" ht="15.95" thickBot="1">
      <c r="A16" s="39" t="s">
        <v>372</v>
      </c>
      <c r="B16" s="84"/>
      <c r="C16" s="85"/>
      <c r="D16" s="72"/>
      <c r="E16" s="72"/>
      <c r="F16" s="72"/>
      <c r="G16" s="73"/>
      <c r="I16" s="72"/>
      <c r="J16" s="72"/>
      <c r="K16" s="73"/>
      <c r="L16" s="72"/>
      <c r="M16" s="72"/>
      <c r="N16" s="72"/>
      <c r="O16" s="73"/>
      <c r="P16" s="72"/>
      <c r="Q16" s="72"/>
      <c r="R16" s="72"/>
      <c r="S16" s="73"/>
      <c r="T16" s="73"/>
      <c r="U16" s="74"/>
      <c r="V16" s="75"/>
      <c r="W16" s="110"/>
      <c r="X16" s="72"/>
      <c r="Y16" s="72"/>
      <c r="Z16" s="72"/>
      <c r="AA16" s="73"/>
      <c r="AC16" s="72"/>
      <c r="AD16" s="72"/>
      <c r="AE16" s="73"/>
      <c r="AF16" s="72"/>
      <c r="AG16" s="72"/>
      <c r="AH16" s="72"/>
      <c r="AI16" s="73"/>
      <c r="AJ16" s="72"/>
      <c r="AK16" s="72"/>
      <c r="AL16" s="72"/>
      <c r="AM16" s="73"/>
      <c r="AN16" s="73"/>
      <c r="AO16" s="74"/>
      <c r="AP16" s="75"/>
      <c r="AQ16" s="110"/>
      <c r="AR16" s="72"/>
      <c r="AS16" s="72"/>
      <c r="AT16" s="72"/>
      <c r="AU16" s="73"/>
      <c r="AW16" s="72"/>
      <c r="AX16" s="72"/>
      <c r="AY16" s="73"/>
      <c r="AZ16" s="72"/>
      <c r="BB16" s="72"/>
      <c r="BC16" s="73"/>
      <c r="BD16" s="72"/>
      <c r="BE16" s="72"/>
      <c r="BF16" s="72"/>
      <c r="BG16" s="73"/>
      <c r="BH16" s="73"/>
      <c r="BI16" s="106"/>
      <c r="BJ16" s="73"/>
      <c r="BK16" s="71"/>
      <c r="BL16" s="110"/>
      <c r="BM16" s="110"/>
      <c r="BN16" s="110"/>
      <c r="BO16" s="73"/>
      <c r="BP16" s="110"/>
      <c r="BQ16" s="110"/>
      <c r="BR16" s="110"/>
      <c r="BS16" s="73"/>
      <c r="BT16" s="110"/>
      <c r="BU16" s="110"/>
      <c r="BV16" s="110"/>
      <c r="BW16" s="73"/>
      <c r="BX16" s="274"/>
      <c r="BY16" s="110"/>
      <c r="BZ16" s="110"/>
      <c r="CA16" s="73"/>
      <c r="CB16" s="73"/>
      <c r="CC16" s="106"/>
      <c r="CD16" s="73"/>
      <c r="CE16" s="39" t="s">
        <v>372</v>
      </c>
    </row>
    <row r="17" spans="1:83">
      <c r="A17" s="40" t="s">
        <v>373</v>
      </c>
      <c r="B17" s="69">
        <v>0</v>
      </c>
      <c r="C17" s="70">
        <v>0</v>
      </c>
      <c r="D17" s="72"/>
      <c r="E17" s="72"/>
      <c r="F17" s="72"/>
      <c r="G17" s="73">
        <f t="shared" si="0"/>
        <v>0</v>
      </c>
      <c r="I17" s="72"/>
      <c r="J17" s="72"/>
      <c r="K17" s="73">
        <f t="shared" si="1"/>
        <v>0</v>
      </c>
      <c r="L17" s="72"/>
      <c r="M17" s="72"/>
      <c r="N17" s="72"/>
      <c r="O17" s="73">
        <f t="shared" si="2"/>
        <v>0</v>
      </c>
      <c r="P17" s="72"/>
      <c r="Q17" s="72"/>
      <c r="R17" s="72"/>
      <c r="S17" s="73">
        <f t="shared" ref="S17:S24" si="44">SUM(P17:R17)</f>
        <v>0</v>
      </c>
      <c r="T17" s="73">
        <f t="shared" ref="T17:T24" si="45">G17+K17+O17+S17</f>
        <v>0</v>
      </c>
      <c r="U17" s="74" t="e">
        <f t="shared" ref="U17:U26" si="46">T17/C17</f>
        <v>#DIV/0!</v>
      </c>
      <c r="V17" s="75">
        <f t="shared" ref="V17:V24" si="47">C17-T17</f>
        <v>0</v>
      </c>
      <c r="W17" s="70">
        <v>0</v>
      </c>
      <c r="X17" s="72"/>
      <c r="Y17" s="72"/>
      <c r="Z17" s="72"/>
      <c r="AA17" s="73">
        <f t="shared" ref="AA17:AA18" si="48">SUM(X17:Z17)</f>
        <v>0</v>
      </c>
      <c r="AC17" s="72"/>
      <c r="AD17" s="72"/>
      <c r="AE17" s="73">
        <f t="shared" ref="AE17:AE18" si="49">SUM(AB17:AD17)</f>
        <v>0</v>
      </c>
      <c r="AF17" s="72"/>
      <c r="AG17" s="72"/>
      <c r="AH17" s="72"/>
      <c r="AI17" s="73">
        <f t="shared" ref="AI17:AI18" si="50">SUM(AF17:AH17)</f>
        <v>0</v>
      </c>
      <c r="AJ17" s="72"/>
      <c r="AK17" s="72"/>
      <c r="AL17" s="72"/>
      <c r="AM17" s="73">
        <f t="shared" ref="AM17:AM18" si="51">SUM(AJ17:AL17)</f>
        <v>0</v>
      </c>
      <c r="AN17" s="73">
        <f t="shared" ref="AN17:AN24" si="52">AA17+AE17+AI17+AM17</f>
        <v>0</v>
      </c>
      <c r="AO17" s="74"/>
      <c r="AP17" s="73">
        <f t="shared" ref="AP17:AP25" si="53">(V17+W17)-AN17</f>
        <v>0</v>
      </c>
      <c r="AQ17" s="70">
        <v>0</v>
      </c>
      <c r="AR17" s="72"/>
      <c r="AS17" s="72"/>
      <c r="AT17" s="72"/>
      <c r="AU17" s="73">
        <f t="shared" ref="AU17:AU19" si="54">SUM(AR17:AT17)</f>
        <v>0</v>
      </c>
      <c r="AW17" s="72"/>
      <c r="AX17" s="72"/>
      <c r="AY17" s="73">
        <f t="shared" ref="AY17:AY19" si="55">SUM(AV17:AX17)</f>
        <v>0</v>
      </c>
      <c r="AZ17" s="72"/>
      <c r="BB17" s="72"/>
      <c r="BC17" s="73">
        <f t="shared" ref="BC17:BC20" si="56">SUM(AZ17:BB17)</f>
        <v>0</v>
      </c>
      <c r="BD17" s="72"/>
      <c r="BE17" s="72"/>
      <c r="BF17" s="72"/>
      <c r="BG17" s="73">
        <f t="shared" ref="BG17:BG22" si="57">SUM(BD17:BF17)</f>
        <v>0</v>
      </c>
      <c r="BH17" s="73">
        <f t="shared" ref="BH17:BH25" si="58">AU17+AY17+BC17+BG17</f>
        <v>0</v>
      </c>
      <c r="BI17" s="106"/>
      <c r="BJ17" s="73">
        <f t="shared" ref="BJ17:BJ25" si="59">(AP17+AQ17)-BH17</f>
        <v>0</v>
      </c>
      <c r="BK17" s="227">
        <f t="shared" ref="BK17:BK25" si="60">B17-T17-AN17-BH17</f>
        <v>0</v>
      </c>
      <c r="BL17" s="110"/>
      <c r="BM17" s="110"/>
      <c r="BN17" s="110"/>
      <c r="BO17" s="73">
        <f t="shared" ref="BO17:BO25" si="61">SUM(BL17:BN17)</f>
        <v>0</v>
      </c>
      <c r="BP17" s="110"/>
      <c r="BQ17" s="110"/>
      <c r="BR17" s="110"/>
      <c r="BS17" s="73">
        <f t="shared" ref="BS17:BS25" si="62">SUM(BP17:BR17)</f>
        <v>0</v>
      </c>
      <c r="BT17" s="110"/>
      <c r="BU17" s="110"/>
      <c r="BV17" s="110"/>
      <c r="BW17" s="73">
        <f t="shared" ref="BW17:BW25" si="63">SUM(BT17:BV17)</f>
        <v>0</v>
      </c>
      <c r="BX17" s="274"/>
      <c r="BY17" s="110"/>
      <c r="BZ17" s="110"/>
      <c r="CA17" s="73">
        <f t="shared" ref="CA17:CA25" si="64">SUM(BX17:BZ17)</f>
        <v>0</v>
      </c>
      <c r="CB17" s="73">
        <f t="shared" ref="CB17:CB25" si="65">BO17+BS17+BW17+CA17</f>
        <v>0</v>
      </c>
      <c r="CC17" s="106"/>
      <c r="CD17" s="73">
        <f t="shared" ref="CD17:CD25" si="66">BK17-CB17</f>
        <v>0</v>
      </c>
      <c r="CE17" s="40" t="s">
        <v>373</v>
      </c>
    </row>
    <row r="18" spans="1:83">
      <c r="A18" s="40" t="s">
        <v>374</v>
      </c>
      <c r="B18" s="118">
        <v>57972.12</v>
      </c>
      <c r="C18" s="70" t="e">
        <f>'budget anual'!C48</f>
        <v>#REF!</v>
      </c>
      <c r="D18" s="72"/>
      <c r="E18" s="72"/>
      <c r="F18" s="72">
        <v>137.30000000000001</v>
      </c>
      <c r="G18" s="73">
        <f t="shared" si="0"/>
        <v>137.30000000000001</v>
      </c>
      <c r="I18" s="72"/>
      <c r="J18" s="72"/>
      <c r="K18" s="73">
        <f t="shared" si="1"/>
        <v>0</v>
      </c>
      <c r="L18" s="72">
        <v>214.72</v>
      </c>
      <c r="M18" s="72"/>
      <c r="N18" s="72"/>
      <c r="O18" s="73">
        <f t="shared" si="2"/>
        <v>214.72</v>
      </c>
      <c r="P18" s="72"/>
      <c r="Q18" s="72">
        <v>20.329999999999998</v>
      </c>
      <c r="R18" s="72">
        <v>1000</v>
      </c>
      <c r="S18" s="73">
        <f t="shared" si="44"/>
        <v>1020.33</v>
      </c>
      <c r="T18" s="73">
        <f t="shared" si="45"/>
        <v>1372.35</v>
      </c>
      <c r="U18" s="74" t="e">
        <f t="shared" si="46"/>
        <v>#REF!</v>
      </c>
      <c r="V18" s="75" t="e">
        <f t="shared" si="47"/>
        <v>#REF!</v>
      </c>
      <c r="W18" s="70" t="e">
        <f>'budget anual'!D48</f>
        <v>#REF!</v>
      </c>
      <c r="X18" s="72"/>
      <c r="Y18" s="72"/>
      <c r="Z18" s="72">
        <v>527.29999999999995</v>
      </c>
      <c r="AA18" s="73">
        <f t="shared" si="48"/>
        <v>527.29999999999995</v>
      </c>
      <c r="AC18" s="72"/>
      <c r="AD18" s="72">
        <v>11208.25</v>
      </c>
      <c r="AE18" s="73">
        <f t="shared" si="49"/>
        <v>11208.25</v>
      </c>
      <c r="AF18" s="72">
        <v>14692.25</v>
      </c>
      <c r="AG18" s="72">
        <v>4.99</v>
      </c>
      <c r="AH18" s="72"/>
      <c r="AI18" s="73">
        <f t="shared" si="50"/>
        <v>14697.24</v>
      </c>
      <c r="AJ18" s="72">
        <v>400</v>
      </c>
      <c r="AK18" s="72"/>
      <c r="AL18" s="72">
        <v>10539.5</v>
      </c>
      <c r="AM18" s="73">
        <f t="shared" si="51"/>
        <v>10939.5</v>
      </c>
      <c r="AN18" s="73">
        <f t="shared" si="52"/>
        <v>37372.29</v>
      </c>
      <c r="AO18" s="74"/>
      <c r="AP18" s="73" t="e">
        <f t="shared" si="53"/>
        <v>#REF!</v>
      </c>
      <c r="AQ18" s="70">
        <f>'budget anual'!E48</f>
        <v>19226.86</v>
      </c>
      <c r="AR18" s="72"/>
      <c r="AS18" s="72"/>
      <c r="AT18" s="72">
        <v>10539.5</v>
      </c>
      <c r="AU18" s="73">
        <f t="shared" si="54"/>
        <v>10539.5</v>
      </c>
      <c r="AW18" s="72">
        <v>489.53</v>
      </c>
      <c r="AX18" s="72"/>
      <c r="AY18" s="73">
        <f t="shared" si="55"/>
        <v>489.53</v>
      </c>
      <c r="AZ18" s="72">
        <v>3849.33</v>
      </c>
      <c r="BA18" s="127">
        <v>4338.8500000000004</v>
      </c>
      <c r="BB18" s="72">
        <v>262.14999999999998</v>
      </c>
      <c r="BC18" s="73">
        <f t="shared" si="56"/>
        <v>8450.33</v>
      </c>
      <c r="BD18" s="72"/>
      <c r="BE18" s="72"/>
      <c r="BF18" s="72"/>
      <c r="BG18" s="73">
        <f t="shared" si="57"/>
        <v>0</v>
      </c>
      <c r="BH18" s="73">
        <f t="shared" si="58"/>
        <v>19479.36</v>
      </c>
      <c r="BI18" s="106"/>
      <c r="BJ18" s="73" t="e">
        <f t="shared" si="59"/>
        <v>#REF!</v>
      </c>
      <c r="BK18" s="227">
        <f t="shared" si="60"/>
        <v>-251.87999999999738</v>
      </c>
      <c r="BL18" s="110"/>
      <c r="BM18" s="110"/>
      <c r="BN18" s="110"/>
      <c r="BO18" s="73">
        <f t="shared" si="61"/>
        <v>0</v>
      </c>
      <c r="BP18" s="110"/>
      <c r="BQ18" s="110"/>
      <c r="BR18" s="110"/>
      <c r="BS18" s="73">
        <f t="shared" si="62"/>
        <v>0</v>
      </c>
      <c r="BT18" s="110"/>
      <c r="BU18" s="110"/>
      <c r="BV18" s="110"/>
      <c r="BW18" s="73">
        <f t="shared" si="63"/>
        <v>0</v>
      </c>
      <c r="BX18" s="274"/>
      <c r="BY18" s="110"/>
      <c r="BZ18" s="110"/>
      <c r="CA18" s="73">
        <f t="shared" si="64"/>
        <v>0</v>
      </c>
      <c r="CB18" s="73">
        <f t="shared" si="65"/>
        <v>0</v>
      </c>
      <c r="CC18" s="106"/>
      <c r="CD18" s="73">
        <f t="shared" si="66"/>
        <v>-251.87999999999738</v>
      </c>
      <c r="CE18" s="40" t="s">
        <v>374</v>
      </c>
    </row>
    <row r="19" spans="1:83">
      <c r="A19" s="40" t="s">
        <v>375</v>
      </c>
      <c r="B19" s="118">
        <v>64000</v>
      </c>
      <c r="C19" s="70" t="e">
        <f>'budget anual'!C52</f>
        <v>#REF!</v>
      </c>
      <c r="D19" s="72"/>
      <c r="E19" s="72"/>
      <c r="F19" s="72"/>
      <c r="G19" s="73">
        <f t="shared" si="0"/>
        <v>0</v>
      </c>
      <c r="I19" s="72"/>
      <c r="J19" s="72"/>
      <c r="K19" s="73">
        <f t="shared" si="1"/>
        <v>0</v>
      </c>
      <c r="L19" s="72"/>
      <c r="M19" s="72"/>
      <c r="N19" s="72">
        <v>1500</v>
      </c>
      <c r="O19" s="73">
        <f t="shared" si="2"/>
        <v>1500</v>
      </c>
      <c r="P19" s="72">
        <v>10472.89</v>
      </c>
      <c r="Q19" s="72">
        <v>-287.14999999999998</v>
      </c>
      <c r="R19" s="72">
        <v>6365</v>
      </c>
      <c r="S19" s="73">
        <f t="shared" ref="S19" si="67">SUM(P19:R19)</f>
        <v>16550.739999999998</v>
      </c>
      <c r="T19" s="73">
        <f t="shared" si="45"/>
        <v>18050.739999999998</v>
      </c>
      <c r="U19" s="74" t="e">
        <f t="shared" si="46"/>
        <v>#REF!</v>
      </c>
      <c r="V19" s="75" t="e">
        <f t="shared" si="47"/>
        <v>#REF!</v>
      </c>
      <c r="W19" s="70" t="e">
        <f>'budget anual'!D52</f>
        <v>#REF!</v>
      </c>
      <c r="X19" s="72">
        <v>12085.61</v>
      </c>
      <c r="Y19" s="72"/>
      <c r="Z19" s="72"/>
      <c r="AA19" s="73">
        <f t="shared" ref="AA19:AA24" si="68">SUM(X19:Z19)</f>
        <v>12085.61</v>
      </c>
      <c r="AC19" s="72"/>
      <c r="AD19" s="72"/>
      <c r="AE19" s="73">
        <f t="shared" ref="AE19:AE24" si="69">SUM(AB19:AD19)</f>
        <v>0</v>
      </c>
      <c r="AF19" s="72"/>
      <c r="AG19" s="72"/>
      <c r="AH19" s="72">
        <v>15896.29</v>
      </c>
      <c r="AI19" s="73">
        <f t="shared" ref="AI19:AI24" si="70">SUM(AF19:AH19)</f>
        <v>15896.29</v>
      </c>
      <c r="AJ19" s="72">
        <v>-277.02</v>
      </c>
      <c r="AK19" s="72"/>
      <c r="AL19" s="72"/>
      <c r="AM19" s="73">
        <f t="shared" ref="AM19:AM21" si="71">SUM(AJ19:AL19)</f>
        <v>-277.02</v>
      </c>
      <c r="AN19" s="73">
        <f t="shared" si="52"/>
        <v>27704.880000000001</v>
      </c>
      <c r="AO19" s="74" t="e">
        <f t="shared" ref="AO19" si="72">AN19/W19</f>
        <v>#REF!</v>
      </c>
      <c r="AP19" s="73" t="e">
        <f t="shared" si="53"/>
        <v>#REF!</v>
      </c>
      <c r="AQ19" s="70">
        <f>'budget anual'!E52</f>
        <v>18244.38</v>
      </c>
      <c r="AR19" s="72">
        <v>24098.080000000002</v>
      </c>
      <c r="AS19" s="72">
        <v>5688.42</v>
      </c>
      <c r="AT19" s="72">
        <v>630.46</v>
      </c>
      <c r="AU19" s="73">
        <f t="shared" si="54"/>
        <v>30416.959999999999</v>
      </c>
      <c r="AW19" s="72"/>
      <c r="AX19" s="72"/>
      <c r="AY19" s="73">
        <f t="shared" si="55"/>
        <v>0</v>
      </c>
      <c r="AZ19" s="72">
        <v>130</v>
      </c>
      <c r="BB19" s="72">
        <v>147.16999999999999</v>
      </c>
      <c r="BC19" s="73">
        <f t="shared" si="56"/>
        <v>277.16999999999996</v>
      </c>
      <c r="BD19" s="72">
        <v>1584.65</v>
      </c>
      <c r="BE19" s="72"/>
      <c r="BF19" s="72"/>
      <c r="BG19" s="73">
        <f t="shared" si="57"/>
        <v>1584.65</v>
      </c>
      <c r="BH19" s="73">
        <f t="shared" si="58"/>
        <v>32278.78</v>
      </c>
      <c r="BI19" s="106"/>
      <c r="BJ19" s="73" t="e">
        <f t="shared" si="59"/>
        <v>#REF!</v>
      </c>
      <c r="BK19" s="227">
        <f t="shared" si="60"/>
        <v>-14034.399999999998</v>
      </c>
      <c r="BL19" s="110">
        <v>-482.73</v>
      </c>
      <c r="BM19" s="110"/>
      <c r="BN19" s="110"/>
      <c r="BO19" s="73">
        <f t="shared" si="61"/>
        <v>-482.73</v>
      </c>
      <c r="BP19" s="110"/>
      <c r="BQ19" s="110">
        <v>1000</v>
      </c>
      <c r="BR19" s="110">
        <v>2491.98</v>
      </c>
      <c r="BS19" s="73">
        <f t="shared" si="62"/>
        <v>3491.98</v>
      </c>
      <c r="BT19" s="110"/>
      <c r="BU19" s="110"/>
      <c r="BV19" s="110"/>
      <c r="BW19" s="73">
        <f t="shared" si="63"/>
        <v>0</v>
      </c>
      <c r="BX19" s="274"/>
      <c r="BY19" s="110"/>
      <c r="BZ19" s="110"/>
      <c r="CA19" s="73">
        <f t="shared" si="64"/>
        <v>0</v>
      </c>
      <c r="CB19" s="73">
        <f t="shared" si="65"/>
        <v>3009.25</v>
      </c>
      <c r="CC19" s="106"/>
      <c r="CD19" s="73">
        <f t="shared" si="66"/>
        <v>-17043.649999999998</v>
      </c>
      <c r="CE19" s="40" t="s">
        <v>375</v>
      </c>
    </row>
    <row r="20" spans="1:83">
      <c r="A20" s="37" t="s">
        <v>376</v>
      </c>
      <c r="B20" s="118">
        <v>18200</v>
      </c>
      <c r="C20" s="70">
        <f>'budget anual'!C53</f>
        <v>0</v>
      </c>
      <c r="D20" s="72"/>
      <c r="E20" s="72"/>
      <c r="F20" s="72"/>
      <c r="G20" s="73"/>
      <c r="I20" s="72"/>
      <c r="J20" s="72"/>
      <c r="K20" s="73"/>
      <c r="L20" s="72"/>
      <c r="M20" s="72"/>
      <c r="N20" s="72"/>
      <c r="O20" s="73"/>
      <c r="P20" s="72"/>
      <c r="Q20" s="72"/>
      <c r="R20" s="72"/>
      <c r="S20" s="73"/>
      <c r="T20" s="73"/>
      <c r="U20" s="74"/>
      <c r="V20" s="75">
        <v>0</v>
      </c>
      <c r="W20" s="70">
        <f>'budget anual'!D53</f>
        <v>15500</v>
      </c>
      <c r="X20" s="72"/>
      <c r="Y20" s="72"/>
      <c r="Z20" s="72"/>
      <c r="AA20" s="73"/>
      <c r="AC20" s="72"/>
      <c r="AD20" s="72"/>
      <c r="AE20" s="73"/>
      <c r="AF20" s="72">
        <v>3100</v>
      </c>
      <c r="AG20" s="72">
        <v>3875</v>
      </c>
      <c r="AH20" s="72"/>
      <c r="AI20" s="73">
        <f t="shared" si="70"/>
        <v>6975</v>
      </c>
      <c r="AJ20" s="72">
        <v>8525</v>
      </c>
      <c r="AK20" s="72"/>
      <c r="AL20" s="72"/>
      <c r="AM20" s="73">
        <f t="shared" si="71"/>
        <v>8525</v>
      </c>
      <c r="AN20" s="73">
        <f t="shared" si="52"/>
        <v>15500</v>
      </c>
      <c r="AO20" s="74"/>
      <c r="AP20" s="73">
        <f t="shared" si="53"/>
        <v>0</v>
      </c>
      <c r="AQ20" s="70">
        <f>'budget anual'!E53</f>
        <v>2700</v>
      </c>
      <c r="AR20" s="72"/>
      <c r="AS20" s="72"/>
      <c r="AT20" s="72"/>
      <c r="AU20" s="73"/>
      <c r="AW20" s="72"/>
      <c r="AX20" s="72"/>
      <c r="AY20" s="73"/>
      <c r="AZ20" s="72">
        <v>600</v>
      </c>
      <c r="BA20" s="127">
        <v>800</v>
      </c>
      <c r="BB20" s="72">
        <v>900</v>
      </c>
      <c r="BC20" s="73">
        <f t="shared" si="56"/>
        <v>2300</v>
      </c>
      <c r="BD20" s="72">
        <v>400</v>
      </c>
      <c r="BE20" s="72"/>
      <c r="BF20" s="72"/>
      <c r="BG20" s="73">
        <f t="shared" si="57"/>
        <v>400</v>
      </c>
      <c r="BH20" s="73">
        <f t="shared" si="58"/>
        <v>2700</v>
      </c>
      <c r="BI20" s="106"/>
      <c r="BJ20" s="73">
        <f t="shared" si="59"/>
        <v>0</v>
      </c>
      <c r="BK20" s="227">
        <f t="shared" si="60"/>
        <v>0</v>
      </c>
      <c r="BL20" s="110"/>
      <c r="BM20" s="110"/>
      <c r="BN20" s="110"/>
      <c r="BO20" s="73">
        <f t="shared" si="61"/>
        <v>0</v>
      </c>
      <c r="BP20" s="110"/>
      <c r="BQ20" s="110"/>
      <c r="BR20" s="110"/>
      <c r="BS20" s="73">
        <f t="shared" si="62"/>
        <v>0</v>
      </c>
      <c r="BT20" s="110"/>
      <c r="BU20" s="110"/>
      <c r="BV20" s="110"/>
      <c r="BW20" s="73">
        <f t="shared" si="63"/>
        <v>0</v>
      </c>
      <c r="BX20" s="274"/>
      <c r="BY20" s="110"/>
      <c r="BZ20" s="110"/>
      <c r="CA20" s="73">
        <f t="shared" si="64"/>
        <v>0</v>
      </c>
      <c r="CB20" s="73">
        <f t="shared" si="65"/>
        <v>0</v>
      </c>
      <c r="CC20" s="106"/>
      <c r="CD20" s="73">
        <f t="shared" si="66"/>
        <v>0</v>
      </c>
      <c r="CE20" s="37" t="s">
        <v>376</v>
      </c>
    </row>
    <row r="21" spans="1:83">
      <c r="A21" s="112" t="s">
        <v>377</v>
      </c>
      <c r="B21" s="69"/>
      <c r="C21" s="70"/>
      <c r="D21" s="72"/>
      <c r="E21" s="72"/>
      <c r="F21" s="72"/>
      <c r="G21" s="73"/>
      <c r="I21" s="72"/>
      <c r="J21" s="72"/>
      <c r="K21" s="73"/>
      <c r="L21" s="72"/>
      <c r="M21" s="72"/>
      <c r="N21" s="72"/>
      <c r="O21" s="73"/>
      <c r="P21" s="72"/>
      <c r="Q21" s="72"/>
      <c r="R21" s="72"/>
      <c r="S21" s="73"/>
      <c r="T21" s="73"/>
      <c r="U21" s="74"/>
      <c r="V21" s="75"/>
      <c r="W21" s="70"/>
      <c r="X21" s="72"/>
      <c r="Y21" s="72"/>
      <c r="Z21" s="72"/>
      <c r="AA21" s="73"/>
      <c r="AC21" s="72"/>
      <c r="AD21" s="72"/>
      <c r="AE21" s="73"/>
      <c r="AF21" s="72"/>
      <c r="AG21" s="72"/>
      <c r="AH21" s="72"/>
      <c r="AI21" s="73"/>
      <c r="AJ21" s="72"/>
      <c r="AK21" s="72"/>
      <c r="AL21" s="72"/>
      <c r="AM21" s="73">
        <f t="shared" si="71"/>
        <v>0</v>
      </c>
      <c r="AN21" s="73">
        <f t="shared" si="52"/>
        <v>0</v>
      </c>
      <c r="AO21" s="74"/>
      <c r="AP21" s="73"/>
      <c r="AQ21" s="70"/>
      <c r="AR21" s="72"/>
      <c r="AS21" s="72"/>
      <c r="AT21" s="72"/>
      <c r="AU21" s="73"/>
      <c r="AW21" s="72"/>
      <c r="AX21" s="72"/>
      <c r="AY21" s="73"/>
      <c r="AZ21" s="72"/>
      <c r="BB21" s="72"/>
      <c r="BC21" s="73"/>
      <c r="BD21" s="72"/>
      <c r="BE21" s="72"/>
      <c r="BF21" s="72"/>
      <c r="BG21" s="73">
        <f t="shared" si="57"/>
        <v>0</v>
      </c>
      <c r="BH21" s="73">
        <f t="shared" si="58"/>
        <v>0</v>
      </c>
      <c r="BI21" s="106"/>
      <c r="BJ21" s="73">
        <f t="shared" si="59"/>
        <v>0</v>
      </c>
      <c r="BK21" s="227">
        <f t="shared" si="60"/>
        <v>0</v>
      </c>
      <c r="BL21" s="110"/>
      <c r="BM21" s="110"/>
      <c r="BN21" s="110"/>
      <c r="BO21" s="73">
        <f t="shared" si="61"/>
        <v>0</v>
      </c>
      <c r="BP21" s="110"/>
      <c r="BQ21" s="110"/>
      <c r="BR21" s="110"/>
      <c r="BS21" s="73">
        <f t="shared" si="62"/>
        <v>0</v>
      </c>
      <c r="BT21" s="110"/>
      <c r="BU21" s="110"/>
      <c r="BV21" s="110"/>
      <c r="BW21" s="73">
        <f t="shared" si="63"/>
        <v>0</v>
      </c>
      <c r="BX21" s="274"/>
      <c r="BY21" s="110"/>
      <c r="BZ21" s="110"/>
      <c r="CA21" s="73">
        <f t="shared" si="64"/>
        <v>0</v>
      </c>
      <c r="CB21" s="73">
        <f t="shared" si="65"/>
        <v>0</v>
      </c>
      <c r="CC21" s="106"/>
      <c r="CD21" s="73">
        <f t="shared" si="66"/>
        <v>0</v>
      </c>
      <c r="CE21" s="112" t="s">
        <v>377</v>
      </c>
    </row>
    <row r="22" spans="1:83">
      <c r="A22" s="40" t="s">
        <v>378</v>
      </c>
      <c r="B22" s="118">
        <v>210250</v>
      </c>
      <c r="C22" s="70" t="e">
        <f>'budget anual'!C56</f>
        <v>#REF!</v>
      </c>
      <c r="D22" s="72"/>
      <c r="E22" s="72"/>
      <c r="F22" s="72"/>
      <c r="G22" s="73">
        <f t="shared" ref="G22" si="73">SUM(D22:F22)</f>
        <v>0</v>
      </c>
      <c r="I22" s="72"/>
      <c r="J22" s="72"/>
      <c r="K22" s="73">
        <f t="shared" ref="K22" si="74">SUM(H22:J22)</f>
        <v>0</v>
      </c>
      <c r="L22" s="72"/>
      <c r="M22" s="72"/>
      <c r="N22" s="72"/>
      <c r="O22" s="73">
        <f t="shared" ref="O22" si="75">SUM(L22:N22)</f>
        <v>0</v>
      </c>
      <c r="P22" s="72"/>
      <c r="Q22" s="72">
        <v>97853.85</v>
      </c>
      <c r="R22" s="72"/>
      <c r="S22" s="73">
        <f t="shared" ref="S22" si="76">SUM(P22:R22)</f>
        <v>97853.85</v>
      </c>
      <c r="T22" s="73">
        <f t="shared" ref="T22" si="77">G22+K22+O22+S22</f>
        <v>97853.85</v>
      </c>
      <c r="U22" s="74" t="e">
        <f t="shared" ref="U22" si="78">T22/C22</f>
        <v>#REF!</v>
      </c>
      <c r="V22" s="75" t="e">
        <f t="shared" ref="V22" si="79">C22-T22</f>
        <v>#REF!</v>
      </c>
      <c r="W22" s="70" t="e">
        <f>'budget anual'!D56</f>
        <v>#REF!</v>
      </c>
      <c r="X22" s="72"/>
      <c r="Y22" s="72"/>
      <c r="Z22" s="72"/>
      <c r="AA22" s="73">
        <f t="shared" ref="AA22" si="80">SUM(X22:Z22)</f>
        <v>0</v>
      </c>
      <c r="AC22" s="72"/>
      <c r="AD22" s="72"/>
      <c r="AE22" s="73">
        <f t="shared" ref="AE22" si="81">SUM(AB22:AD22)</f>
        <v>0</v>
      </c>
      <c r="AF22" s="72"/>
      <c r="AG22" s="72"/>
      <c r="AH22" s="72"/>
      <c r="AI22" s="73">
        <f t="shared" ref="AI22" si="82">SUM(AF22:AH22)</f>
        <v>0</v>
      </c>
      <c r="AJ22" s="72"/>
      <c r="AK22" s="72">
        <v>33094.07</v>
      </c>
      <c r="AL22" s="72">
        <v>1643.02</v>
      </c>
      <c r="AM22" s="73">
        <f t="shared" ref="AM22" si="83">SUM(AJ22:AL22)</f>
        <v>34737.089999999997</v>
      </c>
      <c r="AN22" s="73">
        <f t="shared" ref="AN22" si="84">AA22+AE22+AI22+AM22</f>
        <v>34737.089999999997</v>
      </c>
      <c r="AO22" s="74" t="e">
        <f t="shared" ref="AO22" si="85">AN22/W22</f>
        <v>#REF!</v>
      </c>
      <c r="AP22" s="73" t="e">
        <f t="shared" ref="AP22" si="86">(V22+W22)-AN22</f>
        <v>#REF!</v>
      </c>
      <c r="AQ22" s="70" t="e">
        <f>'budget anual'!E56</f>
        <v>#REF!</v>
      </c>
      <c r="AR22" s="72">
        <v>1995.56</v>
      </c>
      <c r="AS22" s="72">
        <v>1273.02</v>
      </c>
      <c r="AT22" s="72">
        <v>2097.46</v>
      </c>
      <c r="AU22" s="73">
        <f t="shared" ref="AU22:AU25" si="87">SUM(AR22:AT22)</f>
        <v>5366.04</v>
      </c>
      <c r="AV22" s="72">
        <v>882.67</v>
      </c>
      <c r="AW22" s="72">
        <v>932.67</v>
      </c>
      <c r="AX22" s="72">
        <v>1024.33</v>
      </c>
      <c r="AY22" s="73">
        <f t="shared" ref="AY22:AY25" si="88">SUM(AV22:AX22)</f>
        <v>2839.67</v>
      </c>
      <c r="AZ22" s="72">
        <v>951</v>
      </c>
      <c r="BA22" s="127">
        <v>24080.55</v>
      </c>
      <c r="BB22" s="72">
        <v>1176</v>
      </c>
      <c r="BC22" s="73">
        <f t="shared" ref="BC22:BC25" si="89">SUM(AZ22:BB22)</f>
        <v>26207.55</v>
      </c>
      <c r="BD22" s="72">
        <v>1223.73</v>
      </c>
      <c r="BE22" s="72">
        <v>1244.18</v>
      </c>
      <c r="BF22" s="72">
        <f>1326+15000</f>
        <v>16326</v>
      </c>
      <c r="BG22" s="73">
        <f t="shared" si="57"/>
        <v>18793.91</v>
      </c>
      <c r="BH22" s="73">
        <f t="shared" si="58"/>
        <v>53207.17</v>
      </c>
      <c r="BI22" s="106" t="e">
        <f t="shared" ref="BI22" si="90">BH22/AQ22</f>
        <v>#REF!</v>
      </c>
      <c r="BJ22" s="73" t="e">
        <f t="shared" si="59"/>
        <v>#REF!</v>
      </c>
      <c r="BK22" s="227">
        <f t="shared" si="60"/>
        <v>24451.89</v>
      </c>
      <c r="BL22" s="110">
        <v>1322.71</v>
      </c>
      <c r="BM22" s="110">
        <f>25300+1275.98</f>
        <v>26575.98</v>
      </c>
      <c r="BN22" s="110">
        <v>1286</v>
      </c>
      <c r="BO22" s="73">
        <f t="shared" si="61"/>
        <v>29184.69</v>
      </c>
      <c r="BP22" s="110">
        <v>1321</v>
      </c>
      <c r="BQ22" s="110">
        <v>6334.46</v>
      </c>
      <c r="BR22" s="110">
        <f>1371+16694.76</f>
        <v>18065.759999999998</v>
      </c>
      <c r="BS22" s="73">
        <f t="shared" si="62"/>
        <v>25721.219999999998</v>
      </c>
      <c r="BT22" s="110">
        <v>1371</v>
      </c>
      <c r="BU22" s="110">
        <v>1371</v>
      </c>
      <c r="BV22" s="110">
        <v>1372.57</v>
      </c>
      <c r="BW22" s="73">
        <f t="shared" si="63"/>
        <v>4114.57</v>
      </c>
      <c r="BX22" s="274">
        <f>1321+4400+1315.03</f>
        <v>7036.03</v>
      </c>
      <c r="BY22" s="110">
        <v>1583.52</v>
      </c>
      <c r="BZ22" s="110">
        <v>2314.85</v>
      </c>
      <c r="CA22" s="73">
        <f t="shared" si="64"/>
        <v>10934.4</v>
      </c>
      <c r="CB22" s="73">
        <f t="shared" si="65"/>
        <v>69954.87999999999</v>
      </c>
      <c r="CC22" s="106">
        <f t="shared" ref="CC22" si="91">CB22/BK22</f>
        <v>2.8609191354942292</v>
      </c>
      <c r="CD22" s="73">
        <f t="shared" si="66"/>
        <v>-45502.989999999991</v>
      </c>
      <c r="CE22" s="40" t="s">
        <v>378</v>
      </c>
    </row>
    <row r="23" spans="1:83">
      <c r="A23" s="38" t="s">
        <v>379</v>
      </c>
      <c r="B23" s="118">
        <v>21282.5</v>
      </c>
      <c r="C23" s="70">
        <f>'budget anual'!C57</f>
        <v>0</v>
      </c>
      <c r="D23" s="72"/>
      <c r="E23" s="72"/>
      <c r="F23" s="72"/>
      <c r="G23" s="73">
        <f t="shared" si="0"/>
        <v>0</v>
      </c>
      <c r="I23" s="72"/>
      <c r="J23" s="72"/>
      <c r="K23" s="73">
        <f t="shared" si="1"/>
        <v>0</v>
      </c>
      <c r="L23" s="72"/>
      <c r="M23" s="72"/>
      <c r="N23" s="72"/>
      <c r="O23" s="73">
        <f t="shared" si="2"/>
        <v>0</v>
      </c>
      <c r="P23" s="72"/>
      <c r="Q23" s="72"/>
      <c r="R23" s="72"/>
      <c r="S23" s="73">
        <f t="shared" si="44"/>
        <v>0</v>
      </c>
      <c r="T23" s="73">
        <f t="shared" si="45"/>
        <v>0</v>
      </c>
      <c r="U23" s="74">
        <v>0</v>
      </c>
      <c r="V23" s="75">
        <f t="shared" si="47"/>
        <v>0</v>
      </c>
      <c r="W23" s="70">
        <f>'budget anual'!D57</f>
        <v>21282.5</v>
      </c>
      <c r="X23" s="72">
        <v>18360</v>
      </c>
      <c r="Y23" s="72"/>
      <c r="Z23" s="72"/>
      <c r="AA23" s="73">
        <f t="shared" si="68"/>
        <v>18360</v>
      </c>
      <c r="AC23" s="72"/>
      <c r="AD23" s="72"/>
      <c r="AE23" s="73">
        <f t="shared" si="69"/>
        <v>0</v>
      </c>
      <c r="AF23" s="72"/>
      <c r="AG23" s="72"/>
      <c r="AH23" s="72"/>
      <c r="AI23" s="73">
        <f t="shared" si="70"/>
        <v>0</v>
      </c>
      <c r="AJ23" s="72"/>
      <c r="AK23" s="72">
        <v>2940</v>
      </c>
      <c r="AL23" s="72">
        <v>-17.5</v>
      </c>
      <c r="AM23" s="73">
        <f t="shared" ref="AM23:AM24" si="92">SUM(AJ23:AL23)</f>
        <v>2922.5</v>
      </c>
      <c r="AN23" s="73">
        <f t="shared" si="52"/>
        <v>21282.5</v>
      </c>
      <c r="AO23" s="74">
        <v>0</v>
      </c>
      <c r="AP23" s="73">
        <f t="shared" si="53"/>
        <v>0</v>
      </c>
      <c r="AQ23" s="70">
        <f>'budget anual'!E57</f>
        <v>0</v>
      </c>
      <c r="AR23" s="72"/>
      <c r="AS23" s="72"/>
      <c r="AT23" s="72"/>
      <c r="AU23" s="73">
        <f t="shared" si="87"/>
        <v>0</v>
      </c>
      <c r="AW23" s="72"/>
      <c r="AX23" s="72"/>
      <c r="AY23" s="73">
        <f t="shared" si="88"/>
        <v>0</v>
      </c>
      <c r="AZ23" s="72"/>
      <c r="BB23" s="72"/>
      <c r="BC23" s="73">
        <f t="shared" si="89"/>
        <v>0</v>
      </c>
      <c r="BD23" s="72"/>
      <c r="BE23" s="72"/>
      <c r="BF23" s="72"/>
      <c r="BG23" s="73">
        <f t="shared" ref="BG23:BG25" si="93">SUM(BD23:BF23)</f>
        <v>0</v>
      </c>
      <c r="BH23" s="73">
        <f t="shared" si="58"/>
        <v>0</v>
      </c>
      <c r="BI23" s="106">
        <v>0</v>
      </c>
      <c r="BJ23" s="73">
        <f t="shared" si="59"/>
        <v>0</v>
      </c>
      <c r="BK23" s="227">
        <f t="shared" si="60"/>
        <v>0</v>
      </c>
      <c r="BL23" s="110"/>
      <c r="BM23" s="110"/>
      <c r="BN23" s="110"/>
      <c r="BO23" s="73">
        <f t="shared" si="61"/>
        <v>0</v>
      </c>
      <c r="BP23" s="110"/>
      <c r="BQ23" s="110"/>
      <c r="BR23" s="110"/>
      <c r="BS23" s="73">
        <f t="shared" si="62"/>
        <v>0</v>
      </c>
      <c r="BT23" s="110"/>
      <c r="BU23" s="110"/>
      <c r="BV23" s="110"/>
      <c r="BW23" s="73">
        <f t="shared" si="63"/>
        <v>0</v>
      </c>
      <c r="BX23" s="274"/>
      <c r="BY23" s="110"/>
      <c r="BZ23" s="110"/>
      <c r="CA23" s="73">
        <f t="shared" si="64"/>
        <v>0</v>
      </c>
      <c r="CB23" s="73">
        <f t="shared" si="65"/>
        <v>0</v>
      </c>
      <c r="CC23" s="106">
        <v>0</v>
      </c>
      <c r="CD23" s="73">
        <f t="shared" si="66"/>
        <v>0</v>
      </c>
      <c r="CE23" s="38" t="s">
        <v>379</v>
      </c>
    </row>
    <row r="24" spans="1:83">
      <c r="A24" s="38" t="s">
        <v>380</v>
      </c>
      <c r="B24" s="118">
        <v>84000</v>
      </c>
      <c r="C24" s="70" t="e">
        <f>'budget anual'!C58</f>
        <v>#REF!</v>
      </c>
      <c r="D24" s="72"/>
      <c r="E24" s="72"/>
      <c r="F24" s="72"/>
      <c r="G24" s="73">
        <f t="shared" si="0"/>
        <v>0</v>
      </c>
      <c r="I24" s="72"/>
      <c r="J24" s="72"/>
      <c r="K24" s="73">
        <f t="shared" si="1"/>
        <v>0</v>
      </c>
      <c r="L24" s="72"/>
      <c r="M24" s="72"/>
      <c r="N24" s="72"/>
      <c r="O24" s="73">
        <f t="shared" si="2"/>
        <v>0</v>
      </c>
      <c r="P24" s="72"/>
      <c r="Q24" s="72"/>
      <c r="R24" s="72"/>
      <c r="S24" s="73">
        <f t="shared" si="44"/>
        <v>0</v>
      </c>
      <c r="T24" s="73">
        <f t="shared" si="45"/>
        <v>0</v>
      </c>
      <c r="U24" s="74">
        <v>0</v>
      </c>
      <c r="V24" s="75" t="e">
        <f t="shared" si="47"/>
        <v>#REF!</v>
      </c>
      <c r="W24" s="70" t="e">
        <f>'budget anual'!D58</f>
        <v>#REF!</v>
      </c>
      <c r="X24" s="72">
        <v>13917</v>
      </c>
      <c r="Y24" s="72"/>
      <c r="Z24" s="72"/>
      <c r="AA24" s="73">
        <f t="shared" si="68"/>
        <v>13917</v>
      </c>
      <c r="AC24" s="72"/>
      <c r="AD24" s="72"/>
      <c r="AE24" s="73">
        <f t="shared" si="69"/>
        <v>0</v>
      </c>
      <c r="AF24" s="72"/>
      <c r="AG24" s="72"/>
      <c r="AH24" s="72">
        <v>10000</v>
      </c>
      <c r="AI24" s="73">
        <f t="shared" si="70"/>
        <v>10000</v>
      </c>
      <c r="AJ24" s="72"/>
      <c r="AK24" s="72"/>
      <c r="AL24" s="72"/>
      <c r="AM24" s="73">
        <f t="shared" si="92"/>
        <v>0</v>
      </c>
      <c r="AN24" s="73">
        <f t="shared" si="52"/>
        <v>23917</v>
      </c>
      <c r="AO24" s="74">
        <v>0</v>
      </c>
      <c r="AP24" s="73" t="e">
        <f t="shared" si="53"/>
        <v>#REF!</v>
      </c>
      <c r="AQ24" s="70" t="e">
        <f>'budget anual'!E58</f>
        <v>#REF!</v>
      </c>
      <c r="AR24" s="72"/>
      <c r="AS24" s="72"/>
      <c r="AT24" s="72">
        <v>12000</v>
      </c>
      <c r="AU24" s="73">
        <f t="shared" si="87"/>
        <v>12000</v>
      </c>
      <c r="AW24" s="72"/>
      <c r="AX24" s="72">
        <v>7500</v>
      </c>
      <c r="AY24" s="73">
        <f t="shared" si="88"/>
        <v>7500</v>
      </c>
      <c r="AZ24" s="72"/>
      <c r="BA24" s="127">
        <v>12000</v>
      </c>
      <c r="BB24" s="72"/>
      <c r="BC24" s="73">
        <f t="shared" si="89"/>
        <v>12000</v>
      </c>
      <c r="BD24" s="72">
        <v>8500</v>
      </c>
      <c r="BE24" s="72"/>
      <c r="BF24" s="72">
        <v>12550</v>
      </c>
      <c r="BG24" s="73">
        <f t="shared" si="93"/>
        <v>21050</v>
      </c>
      <c r="BH24" s="73">
        <f t="shared" si="58"/>
        <v>52550</v>
      </c>
      <c r="BI24" s="106">
        <v>0</v>
      </c>
      <c r="BJ24" s="73" t="e">
        <f t="shared" si="59"/>
        <v>#REF!</v>
      </c>
      <c r="BK24" s="227">
        <f t="shared" si="60"/>
        <v>7533</v>
      </c>
      <c r="BL24" s="110"/>
      <c r="BM24" s="110"/>
      <c r="BN24" s="110"/>
      <c r="BO24" s="73">
        <f t="shared" si="61"/>
        <v>0</v>
      </c>
      <c r="BP24" s="110">
        <v>1350</v>
      </c>
      <c r="BQ24" s="110">
        <f>5170.5-300</f>
        <v>4870.5</v>
      </c>
      <c r="BR24" s="110">
        <v>2488.17</v>
      </c>
      <c r="BS24" s="73">
        <f t="shared" si="62"/>
        <v>8708.67</v>
      </c>
      <c r="BT24" s="110">
        <v>6138.38</v>
      </c>
      <c r="BU24" s="110">
        <v>5071.88</v>
      </c>
      <c r="BV24" s="110">
        <v>3418.9</v>
      </c>
      <c r="BW24" s="73">
        <f t="shared" si="63"/>
        <v>14629.16</v>
      </c>
      <c r="BX24" s="274">
        <v>2480.46</v>
      </c>
      <c r="BY24" s="110"/>
      <c r="BZ24" s="110"/>
      <c r="CA24" s="73">
        <f t="shared" si="64"/>
        <v>2480.46</v>
      </c>
      <c r="CB24" s="73">
        <f t="shared" si="65"/>
        <v>25818.29</v>
      </c>
      <c r="CC24" s="106">
        <v>0</v>
      </c>
      <c r="CD24" s="73">
        <f t="shared" si="66"/>
        <v>-18285.29</v>
      </c>
      <c r="CE24" s="38" t="s">
        <v>380</v>
      </c>
    </row>
    <row r="25" spans="1:83" ht="15.95" thickBot="1">
      <c r="A25" s="37" t="s">
        <v>381</v>
      </c>
      <c r="B25" s="118">
        <v>99200</v>
      </c>
      <c r="C25" s="86"/>
      <c r="D25" s="72"/>
      <c r="E25" s="72"/>
      <c r="F25" s="72"/>
      <c r="G25" s="73"/>
      <c r="I25" s="72"/>
      <c r="J25" s="72"/>
      <c r="K25" s="73"/>
      <c r="L25" s="72"/>
      <c r="M25" s="72"/>
      <c r="N25" s="72"/>
      <c r="O25" s="73"/>
      <c r="P25" s="72"/>
      <c r="Q25" s="72"/>
      <c r="R25" s="72"/>
      <c r="S25" s="73"/>
      <c r="T25" s="73"/>
      <c r="U25" s="74"/>
      <c r="V25" s="75"/>
      <c r="W25" s="70"/>
      <c r="X25" s="72"/>
      <c r="Y25" s="72"/>
      <c r="Z25" s="72"/>
      <c r="AA25" s="73"/>
      <c r="AC25" s="72"/>
      <c r="AD25" s="72"/>
      <c r="AE25" s="73"/>
      <c r="AF25" s="72"/>
      <c r="AG25" s="72"/>
      <c r="AH25" s="72"/>
      <c r="AI25" s="73"/>
      <c r="AJ25" s="72"/>
      <c r="AK25" s="72"/>
      <c r="AL25" s="72"/>
      <c r="AM25" s="73"/>
      <c r="AN25" s="73"/>
      <c r="AO25" s="74"/>
      <c r="AP25" s="73">
        <f t="shared" si="53"/>
        <v>0</v>
      </c>
      <c r="AQ25" s="70">
        <f>'budget anual'!E62</f>
        <v>28110.13</v>
      </c>
      <c r="AR25" s="72"/>
      <c r="AS25" s="72"/>
      <c r="AT25" s="72">
        <f>2699.54-86.89+1000</f>
        <v>3612.65</v>
      </c>
      <c r="AU25" s="73">
        <f t="shared" si="87"/>
        <v>3612.65</v>
      </c>
      <c r="AV25" s="72">
        <f>1461.47+2252.11</f>
        <v>3713.58</v>
      </c>
      <c r="AW25" s="72">
        <f>1972.88+4894.71</f>
        <v>6867.59</v>
      </c>
      <c r="AX25" s="72">
        <f>2319.38+1400.89</f>
        <v>3720.2700000000004</v>
      </c>
      <c r="AY25" s="73">
        <f t="shared" si="88"/>
        <v>14301.44</v>
      </c>
      <c r="AZ25" s="72">
        <f>3412.5+1959.02</f>
        <v>5371.52</v>
      </c>
      <c r="BA25" s="127">
        <f>2754.17+2545.89</f>
        <v>5300.0599999999995</v>
      </c>
      <c r="BB25" s="72">
        <f>3866.67+1970.04</f>
        <v>5836.71</v>
      </c>
      <c r="BC25" s="73">
        <f t="shared" si="89"/>
        <v>16508.29</v>
      </c>
      <c r="BD25" s="72">
        <f>3077.08+1169.8</f>
        <v>4246.88</v>
      </c>
      <c r="BE25" s="72">
        <f>3650+2318.7</f>
        <v>5968.7</v>
      </c>
      <c r="BF25" s="72">
        <f>2983.33+2769.45</f>
        <v>5752.78</v>
      </c>
      <c r="BG25" s="73">
        <f t="shared" si="93"/>
        <v>15968.36</v>
      </c>
      <c r="BH25" s="73">
        <f t="shared" si="58"/>
        <v>50390.740000000005</v>
      </c>
      <c r="BI25" s="106"/>
      <c r="BJ25" s="73">
        <f t="shared" si="59"/>
        <v>-22280.610000000004</v>
      </c>
      <c r="BK25" s="227">
        <f t="shared" si="60"/>
        <v>48809.259999999995</v>
      </c>
      <c r="BL25" s="110">
        <v>2415.6999999999998</v>
      </c>
      <c r="BM25" s="110">
        <v>2475.1999999999998</v>
      </c>
      <c r="BN25" s="110">
        <v>2314.4499999999998</v>
      </c>
      <c r="BO25" s="73">
        <f t="shared" si="61"/>
        <v>7205.3499999999995</v>
      </c>
      <c r="BP25" s="110">
        <f>1570.56+3626.69</f>
        <v>5197.25</v>
      </c>
      <c r="BQ25" s="110">
        <f>2941.67+2365.7</f>
        <v>5307.37</v>
      </c>
      <c r="BR25" s="110">
        <v>4813.63</v>
      </c>
      <c r="BS25" s="73">
        <f t="shared" si="62"/>
        <v>15318.25</v>
      </c>
      <c r="BT25" s="110">
        <v>3953.03</v>
      </c>
      <c r="BU25" s="110">
        <f>4936+500</f>
        <v>5436</v>
      </c>
      <c r="BV25" s="110">
        <v>5465.71</v>
      </c>
      <c r="BW25" s="73">
        <f t="shared" si="63"/>
        <v>14854.740000000002</v>
      </c>
      <c r="BX25" s="274">
        <v>3704.06</v>
      </c>
      <c r="BY25" s="110">
        <v>2539.11</v>
      </c>
      <c r="BZ25" s="110">
        <v>-0.01</v>
      </c>
      <c r="CA25" s="73">
        <f t="shared" si="64"/>
        <v>6243.16</v>
      </c>
      <c r="CB25" s="73">
        <f t="shared" si="65"/>
        <v>43621.5</v>
      </c>
      <c r="CC25" s="106"/>
      <c r="CD25" s="73">
        <f t="shared" si="66"/>
        <v>5187.7599999999948</v>
      </c>
      <c r="CE25" s="37" t="s">
        <v>381</v>
      </c>
    </row>
    <row r="26" spans="1:83" ht="15.95" thickBot="1">
      <c r="A26" s="37"/>
      <c r="B26" s="87">
        <f t="shared" ref="B26:T26" si="94">SUM(B16:B25)</f>
        <v>554904.62</v>
      </c>
      <c r="C26" s="87" t="e">
        <f t="shared" si="94"/>
        <v>#REF!</v>
      </c>
      <c r="D26" s="78">
        <f t="shared" si="94"/>
        <v>0</v>
      </c>
      <c r="E26" s="78">
        <f t="shared" si="94"/>
        <v>0</v>
      </c>
      <c r="F26" s="78">
        <f t="shared" si="94"/>
        <v>137.30000000000001</v>
      </c>
      <c r="G26" s="80">
        <f t="shared" si="94"/>
        <v>137.30000000000001</v>
      </c>
      <c r="H26" s="78">
        <f t="shared" si="94"/>
        <v>0</v>
      </c>
      <c r="I26" s="78">
        <f t="shared" si="94"/>
        <v>0</v>
      </c>
      <c r="J26" s="78">
        <f t="shared" si="94"/>
        <v>0</v>
      </c>
      <c r="K26" s="80">
        <f t="shared" si="94"/>
        <v>0</v>
      </c>
      <c r="L26" s="78">
        <f t="shared" si="94"/>
        <v>214.72</v>
      </c>
      <c r="M26" s="78">
        <f t="shared" si="94"/>
        <v>0</v>
      </c>
      <c r="N26" s="78">
        <f t="shared" si="94"/>
        <v>1500</v>
      </c>
      <c r="O26" s="80">
        <f t="shared" si="94"/>
        <v>1714.72</v>
      </c>
      <c r="P26" s="78">
        <f t="shared" si="94"/>
        <v>10472.89</v>
      </c>
      <c r="Q26" s="78">
        <f t="shared" si="94"/>
        <v>97587.03</v>
      </c>
      <c r="R26" s="78">
        <f t="shared" si="94"/>
        <v>7365</v>
      </c>
      <c r="S26" s="80">
        <f t="shared" si="94"/>
        <v>115424.92000000001</v>
      </c>
      <c r="T26" s="81">
        <f t="shared" si="94"/>
        <v>117276.94</v>
      </c>
      <c r="U26" s="82" t="e">
        <f t="shared" si="46"/>
        <v>#REF!</v>
      </c>
      <c r="V26" s="83" t="e">
        <f t="shared" ref="V26:AN26" si="95">SUM(V16:V25)</f>
        <v>#REF!</v>
      </c>
      <c r="W26" s="77" t="e">
        <f t="shared" si="95"/>
        <v>#REF!</v>
      </c>
      <c r="X26" s="109">
        <f t="shared" si="95"/>
        <v>44362.61</v>
      </c>
      <c r="Y26" s="78">
        <f t="shared" si="95"/>
        <v>0</v>
      </c>
      <c r="Z26" s="78">
        <f t="shared" si="95"/>
        <v>527.29999999999995</v>
      </c>
      <c r="AA26" s="80">
        <f t="shared" si="95"/>
        <v>44889.91</v>
      </c>
      <c r="AB26" s="78">
        <f t="shared" si="95"/>
        <v>0</v>
      </c>
      <c r="AC26" s="78">
        <f t="shared" si="95"/>
        <v>0</v>
      </c>
      <c r="AD26" s="78">
        <f t="shared" si="95"/>
        <v>11208.25</v>
      </c>
      <c r="AE26" s="80">
        <f t="shared" si="95"/>
        <v>11208.25</v>
      </c>
      <c r="AF26" s="78">
        <f t="shared" si="95"/>
        <v>17792.25</v>
      </c>
      <c r="AG26" s="78">
        <f t="shared" si="95"/>
        <v>3879.99</v>
      </c>
      <c r="AH26" s="78">
        <f t="shared" si="95"/>
        <v>25896.29</v>
      </c>
      <c r="AI26" s="80">
        <f t="shared" si="95"/>
        <v>47568.53</v>
      </c>
      <c r="AJ26" s="78">
        <f t="shared" si="95"/>
        <v>8647.98</v>
      </c>
      <c r="AK26" s="78">
        <f t="shared" si="95"/>
        <v>36034.07</v>
      </c>
      <c r="AL26" s="78">
        <f t="shared" si="95"/>
        <v>12165.02</v>
      </c>
      <c r="AM26" s="80">
        <f t="shared" si="95"/>
        <v>56847.069999999992</v>
      </c>
      <c r="AN26" s="81">
        <f t="shared" si="95"/>
        <v>160513.76</v>
      </c>
      <c r="AO26" s="82" t="e">
        <f t="shared" ref="AO26" si="96">AN26/W26</f>
        <v>#REF!</v>
      </c>
      <c r="AP26" s="83" t="e">
        <f>SUM(AP16:AP25)</f>
        <v>#REF!</v>
      </c>
      <c r="AQ26" s="77" t="e">
        <f t="shared" ref="AQ26:BH26" si="97">SUM(AQ16:AQ25)</f>
        <v>#REF!</v>
      </c>
      <c r="AR26" s="109">
        <f>SUM(AR16:AR25)</f>
        <v>26093.640000000003</v>
      </c>
      <c r="AS26" s="78">
        <f t="shared" si="97"/>
        <v>6961.4400000000005</v>
      </c>
      <c r="AT26" s="78">
        <f t="shared" si="97"/>
        <v>28880.07</v>
      </c>
      <c r="AU26" s="80">
        <f t="shared" si="97"/>
        <v>61935.15</v>
      </c>
      <c r="AV26" s="109">
        <f t="shared" ref="AV26:AX26" si="98">SUM(AV16:AV25)</f>
        <v>4596.25</v>
      </c>
      <c r="AW26" s="78">
        <f t="shared" si="98"/>
        <v>8289.7900000000009</v>
      </c>
      <c r="AX26" s="78">
        <f t="shared" si="98"/>
        <v>12244.6</v>
      </c>
      <c r="AY26" s="80">
        <f t="shared" si="97"/>
        <v>25130.639999999999</v>
      </c>
      <c r="AZ26" s="109">
        <f t="shared" ref="AZ26:BB26" si="99">SUM(AZ16:AZ25)</f>
        <v>10901.85</v>
      </c>
      <c r="BA26" s="191">
        <f t="shared" si="99"/>
        <v>46519.46</v>
      </c>
      <c r="BB26" s="78">
        <f t="shared" si="99"/>
        <v>8322.0299999999988</v>
      </c>
      <c r="BC26" s="80">
        <f t="shared" si="97"/>
        <v>65743.34</v>
      </c>
      <c r="BD26" s="109">
        <f t="shared" ref="BD26:BF26" si="100">SUM(BD16:BD25)</f>
        <v>15955.260000000002</v>
      </c>
      <c r="BE26" s="78">
        <f t="shared" si="100"/>
        <v>7212.88</v>
      </c>
      <c r="BF26" s="78">
        <f t="shared" si="100"/>
        <v>34628.78</v>
      </c>
      <c r="BG26" s="80">
        <f t="shared" si="97"/>
        <v>57796.92</v>
      </c>
      <c r="BH26" s="81">
        <f t="shared" si="97"/>
        <v>210606.05</v>
      </c>
      <c r="BI26" s="121" t="e">
        <f t="shared" ref="BI26" si="101">BH26/AQ26</f>
        <v>#REF!</v>
      </c>
      <c r="BJ26" s="123" t="e">
        <f>SUM(BJ16:BJ25)</f>
        <v>#REF!</v>
      </c>
      <c r="BK26" s="228">
        <f t="shared" ref="BK26:BL26" si="102">SUM(BK16:BK25)</f>
        <v>66507.87</v>
      </c>
      <c r="BL26" s="78">
        <f t="shared" si="102"/>
        <v>3255.68</v>
      </c>
      <c r="BM26" s="78">
        <f t="shared" ref="BM26:BP26" si="103">SUM(BM16:BM25)</f>
        <v>29051.18</v>
      </c>
      <c r="BN26" s="78">
        <f t="shared" si="103"/>
        <v>3600.45</v>
      </c>
      <c r="BO26" s="80">
        <f t="shared" si="103"/>
        <v>35907.31</v>
      </c>
      <c r="BP26" s="78">
        <f t="shared" si="103"/>
        <v>7868.25</v>
      </c>
      <c r="BQ26" s="78">
        <f t="shared" ref="BQ26:BR26" si="104">SUM(BQ16:BQ25)</f>
        <v>17512.329999999998</v>
      </c>
      <c r="BR26" s="78">
        <f t="shared" si="104"/>
        <v>27859.539999999997</v>
      </c>
      <c r="BS26" s="80">
        <f t="shared" ref="BS26:BV26" si="105">SUM(BS16:BS25)</f>
        <v>53240.119999999995</v>
      </c>
      <c r="BT26" s="78">
        <f t="shared" si="105"/>
        <v>11462.41</v>
      </c>
      <c r="BU26" s="78">
        <f t="shared" si="105"/>
        <v>11878.880000000001</v>
      </c>
      <c r="BV26" s="78">
        <f t="shared" si="105"/>
        <v>10257.18</v>
      </c>
      <c r="BW26" s="80">
        <f t="shared" ref="BW26:BZ26" si="106">SUM(BW16:BW25)</f>
        <v>33598.47</v>
      </c>
      <c r="BX26" s="275">
        <f t="shared" si="106"/>
        <v>13220.55</v>
      </c>
      <c r="BY26" s="78">
        <f t="shared" si="106"/>
        <v>4122.63</v>
      </c>
      <c r="BZ26" s="78">
        <f t="shared" si="106"/>
        <v>2314.8399999999997</v>
      </c>
      <c r="CA26" s="80">
        <f t="shared" ref="CA26:CB26" si="107">SUM(CA16:CA25)</f>
        <v>19658.02</v>
      </c>
      <c r="CB26" s="81">
        <f t="shared" si="107"/>
        <v>142403.91999999998</v>
      </c>
      <c r="CC26" s="121">
        <f t="shared" ref="CC26" si="108">CB26/BK26</f>
        <v>2.1411589335217021</v>
      </c>
      <c r="CD26" s="123">
        <f>SUM(CD16:CD25)</f>
        <v>-75896.05</v>
      </c>
      <c r="CE26" s="37"/>
    </row>
    <row r="27" spans="1:83" ht="15.95" thickBot="1">
      <c r="A27" s="39" t="s">
        <v>382</v>
      </c>
      <c r="B27" s="84"/>
      <c r="C27" s="85"/>
      <c r="D27" s="72"/>
      <c r="E27" s="72"/>
      <c r="F27" s="72"/>
      <c r="G27" s="73"/>
      <c r="I27" s="72"/>
      <c r="J27" s="72"/>
      <c r="K27" s="73"/>
      <c r="L27" s="72"/>
      <c r="M27" s="72"/>
      <c r="N27" s="72"/>
      <c r="O27" s="73"/>
      <c r="P27" s="72"/>
      <c r="Q27" s="72"/>
      <c r="R27" s="72"/>
      <c r="S27" s="73"/>
      <c r="T27" s="73"/>
      <c r="U27" s="74"/>
      <c r="V27" s="75"/>
      <c r="W27" s="90"/>
      <c r="X27" s="72"/>
      <c r="Y27" s="72"/>
      <c r="Z27" s="72"/>
      <c r="AA27" s="73"/>
      <c r="AC27" s="72"/>
      <c r="AD27" s="72"/>
      <c r="AE27" s="73"/>
      <c r="AF27" s="72"/>
      <c r="AG27" s="72"/>
      <c r="AH27" s="72"/>
      <c r="AI27" s="73"/>
      <c r="AJ27" s="72"/>
      <c r="AK27" s="72"/>
      <c r="AL27" s="72"/>
      <c r="AM27" s="73"/>
      <c r="AN27" s="73"/>
      <c r="AO27" s="74"/>
      <c r="AP27" s="75"/>
      <c r="AQ27" s="90"/>
      <c r="AR27" s="72"/>
      <c r="AS27" s="72"/>
      <c r="AT27" s="72"/>
      <c r="AU27" s="73"/>
      <c r="AW27" s="72"/>
      <c r="AX27" s="72"/>
      <c r="AY27" s="73"/>
      <c r="AZ27" s="72"/>
      <c r="BB27" s="72"/>
      <c r="BC27" s="73"/>
      <c r="BD27" s="72"/>
      <c r="BE27" s="72"/>
      <c r="BF27" s="72"/>
      <c r="BG27" s="73"/>
      <c r="BH27" s="73"/>
      <c r="BI27" s="106"/>
      <c r="BJ27" s="73"/>
      <c r="BK27" s="64"/>
      <c r="BL27" s="110"/>
      <c r="BM27" s="110"/>
      <c r="BN27" s="110"/>
      <c r="BO27" s="73"/>
      <c r="BP27" s="110"/>
      <c r="BQ27" s="110"/>
      <c r="BR27" s="110"/>
      <c r="BS27" s="73"/>
      <c r="BT27" s="110"/>
      <c r="BU27" s="110"/>
      <c r="BV27" s="110"/>
      <c r="BW27" s="73"/>
      <c r="BX27" s="274"/>
      <c r="BY27" s="110"/>
      <c r="BZ27" s="110"/>
      <c r="CA27" s="73"/>
      <c r="CB27" s="73"/>
      <c r="CC27" s="106"/>
      <c r="CD27" s="73"/>
      <c r="CE27" s="39" t="s">
        <v>382</v>
      </c>
    </row>
    <row r="28" spans="1:83">
      <c r="A28" s="38" t="s">
        <v>57</v>
      </c>
      <c r="B28" s="118">
        <v>4000</v>
      </c>
      <c r="C28" s="88">
        <f>'budget anual'!C72</f>
        <v>0</v>
      </c>
      <c r="D28" s="72"/>
      <c r="E28" s="72"/>
      <c r="F28" s="72"/>
      <c r="G28" s="73">
        <f t="shared" ref="G28:G34" si="109">SUM(D28:F28)</f>
        <v>0</v>
      </c>
      <c r="I28" s="72"/>
      <c r="J28" s="72"/>
      <c r="K28" s="73">
        <f t="shared" ref="K28:K34" si="110">SUM(H28:J28)</f>
        <v>0</v>
      </c>
      <c r="L28" s="72"/>
      <c r="M28" s="72"/>
      <c r="N28" s="72"/>
      <c r="O28" s="73">
        <f t="shared" ref="O28:O34" si="111">SUM(L28:N28)</f>
        <v>0</v>
      </c>
      <c r="P28" s="72"/>
      <c r="Q28" s="72"/>
      <c r="R28" s="72"/>
      <c r="S28" s="73">
        <f t="shared" ref="S28:S34" si="112">SUM(P28:R28)</f>
        <v>0</v>
      </c>
      <c r="T28" s="73">
        <f t="shared" ref="T28:T34" si="113">G28+K28+O28+S28</f>
        <v>0</v>
      </c>
      <c r="U28" s="74" t="e">
        <f t="shared" ref="U28:U36" si="114">T28/C28</f>
        <v>#DIV/0!</v>
      </c>
      <c r="V28" s="75">
        <f t="shared" ref="V28:V34" si="115">C28-T28</f>
        <v>0</v>
      </c>
      <c r="W28" s="88">
        <f>'budget anual'!D72</f>
        <v>0</v>
      </c>
      <c r="X28" s="72"/>
      <c r="Y28" s="72"/>
      <c r="Z28" s="72"/>
      <c r="AA28" s="73">
        <f t="shared" ref="AA28:AA29" si="116">SUM(X28:Z28)</f>
        <v>0</v>
      </c>
      <c r="AC28" s="72"/>
      <c r="AD28" s="72"/>
      <c r="AE28" s="73">
        <f t="shared" ref="AE28:AE29" si="117">SUM(AB28:AD28)</f>
        <v>0</v>
      </c>
      <c r="AF28" s="72"/>
      <c r="AG28" s="72"/>
      <c r="AH28" s="72"/>
      <c r="AI28" s="73">
        <f t="shared" ref="AI28:AI29" si="118">SUM(AF28:AH28)</f>
        <v>0</v>
      </c>
      <c r="AJ28" s="72"/>
      <c r="AK28" s="72"/>
      <c r="AL28" s="72"/>
      <c r="AM28" s="73">
        <f t="shared" ref="AM28:AM29" si="119">SUM(AJ28:AL28)</f>
        <v>0</v>
      </c>
      <c r="AN28" s="73">
        <f t="shared" ref="AN28:AN34" si="120">AA28+AE28+AI28+AM28</f>
        <v>0</v>
      </c>
      <c r="AO28" s="74"/>
      <c r="AP28" s="73">
        <f t="shared" ref="AP28:AP34" si="121">(V28+W28)-AN28</f>
        <v>0</v>
      </c>
      <c r="AQ28" s="88">
        <f>'budget anual'!E72</f>
        <v>0</v>
      </c>
      <c r="AR28" s="72"/>
      <c r="AS28" s="72"/>
      <c r="AT28" s="72"/>
      <c r="AU28" s="73">
        <f t="shared" ref="AU28:AU33" si="122">SUM(AR28:AT28)</f>
        <v>0</v>
      </c>
      <c r="AW28" s="72"/>
      <c r="AX28" s="72"/>
      <c r="AY28" s="73">
        <f t="shared" ref="AY28:AY34" si="123">SUM(AV28:AX28)</f>
        <v>0</v>
      </c>
      <c r="AZ28" s="72"/>
      <c r="BB28" s="72"/>
      <c r="BC28" s="73">
        <f t="shared" ref="BC28:BC35" si="124">SUM(AZ28:BB28)</f>
        <v>0</v>
      </c>
      <c r="BD28" s="72"/>
      <c r="BE28" s="72"/>
      <c r="BF28" s="72"/>
      <c r="BG28" s="73">
        <f t="shared" ref="BG28:BG35" si="125">SUM(BD28:BF28)</f>
        <v>0</v>
      </c>
      <c r="BH28" s="73">
        <f t="shared" ref="BH28:BH35" si="126">AU28+AY28+BC28+BG28</f>
        <v>0</v>
      </c>
      <c r="BI28" s="106"/>
      <c r="BJ28" s="73">
        <f t="shared" ref="BJ28:BJ35" si="127">(AP28+AQ28)-BH28</f>
        <v>0</v>
      </c>
      <c r="BK28" s="227">
        <f t="shared" ref="BK28:BK35" si="128">B28-T28-AN28-BH28</f>
        <v>4000</v>
      </c>
      <c r="BL28" s="110"/>
      <c r="BM28" s="110"/>
      <c r="BN28" s="110"/>
      <c r="BO28" s="73">
        <f t="shared" ref="BO28:BO35" si="129">SUM(BL28:BN28)</f>
        <v>0</v>
      </c>
      <c r="BP28" s="110"/>
      <c r="BQ28" s="110">
        <v>500</v>
      </c>
      <c r="BR28" s="110">
        <v>541.05999999999995</v>
      </c>
      <c r="BS28" s="73">
        <f t="shared" ref="BS28:BS35" si="130">SUM(BP28:BR28)</f>
        <v>1041.06</v>
      </c>
      <c r="BT28" s="110">
        <v>348.11</v>
      </c>
      <c r="BU28" s="110"/>
      <c r="BV28" s="110"/>
      <c r="BW28" s="73">
        <f t="shared" ref="BW28:BW35" si="131">SUM(BT28:BV28)</f>
        <v>348.11</v>
      </c>
      <c r="BX28" s="274">
        <v>-240.25</v>
      </c>
      <c r="BY28" s="110"/>
      <c r="BZ28" s="110"/>
      <c r="CA28" s="73">
        <f t="shared" ref="CA28:CA35" si="132">SUM(BX28:BZ28)</f>
        <v>-240.25</v>
      </c>
      <c r="CB28" s="73">
        <f t="shared" ref="CB28:CB35" si="133">BO28+BS28+BW28+CA28</f>
        <v>1148.92</v>
      </c>
      <c r="CC28" s="106"/>
      <c r="CD28" s="73">
        <f t="shared" ref="CD28:CD35" si="134">BK28-CB28</f>
        <v>2851.08</v>
      </c>
      <c r="CE28" s="38" t="s">
        <v>57</v>
      </c>
    </row>
    <row r="29" spans="1:83">
      <c r="A29" s="38" t="s">
        <v>59</v>
      </c>
      <c r="B29" s="118">
        <v>3525</v>
      </c>
      <c r="C29" s="88" t="e">
        <f>'budget anual'!C73</f>
        <v>#REF!</v>
      </c>
      <c r="D29" s="72"/>
      <c r="E29" s="72"/>
      <c r="F29" s="72"/>
      <c r="G29" s="73">
        <f t="shared" si="109"/>
        <v>0</v>
      </c>
      <c r="I29" s="72"/>
      <c r="J29" s="72"/>
      <c r="K29" s="73">
        <f t="shared" si="110"/>
        <v>0</v>
      </c>
      <c r="L29" s="72"/>
      <c r="M29" s="72"/>
      <c r="N29" s="72"/>
      <c r="O29" s="73">
        <f t="shared" si="111"/>
        <v>0</v>
      </c>
      <c r="P29" s="72"/>
      <c r="Q29" s="72"/>
      <c r="R29" s="72"/>
      <c r="S29" s="73">
        <f t="shared" si="112"/>
        <v>0</v>
      </c>
      <c r="T29" s="73">
        <f t="shared" si="113"/>
        <v>0</v>
      </c>
      <c r="U29" s="74" t="e">
        <f t="shared" si="114"/>
        <v>#REF!</v>
      </c>
      <c r="V29" s="75" t="e">
        <f t="shared" si="115"/>
        <v>#REF!</v>
      </c>
      <c r="W29" s="88" t="e">
        <f>'budget anual'!D73</f>
        <v>#REF!</v>
      </c>
      <c r="X29" s="72"/>
      <c r="Y29" s="72"/>
      <c r="Z29" s="72"/>
      <c r="AA29" s="73">
        <f t="shared" si="116"/>
        <v>0</v>
      </c>
      <c r="AC29" s="72"/>
      <c r="AD29" s="72"/>
      <c r="AE29" s="73">
        <f t="shared" si="117"/>
        <v>0</v>
      </c>
      <c r="AF29" s="72"/>
      <c r="AG29" s="72"/>
      <c r="AH29" s="72"/>
      <c r="AI29" s="73">
        <f t="shared" si="118"/>
        <v>0</v>
      </c>
      <c r="AJ29" s="72"/>
      <c r="AK29" s="72"/>
      <c r="AL29" s="72"/>
      <c r="AM29" s="73">
        <f t="shared" si="119"/>
        <v>0</v>
      </c>
      <c r="AN29" s="73">
        <f t="shared" si="120"/>
        <v>0</v>
      </c>
      <c r="AO29" s="74" t="e">
        <f t="shared" ref="AO29" si="135">AN29/W29</f>
        <v>#REF!</v>
      </c>
      <c r="AP29" s="73" t="e">
        <f t="shared" si="121"/>
        <v>#REF!</v>
      </c>
      <c r="AQ29" s="88" t="e">
        <f>'budget anual'!E73</f>
        <v>#REF!</v>
      </c>
      <c r="AR29" s="72"/>
      <c r="AS29" s="72"/>
      <c r="AT29" s="72"/>
      <c r="AU29" s="73">
        <f t="shared" si="122"/>
        <v>0</v>
      </c>
      <c r="AW29" s="72"/>
      <c r="AX29" s="72">
        <v>360</v>
      </c>
      <c r="AY29" s="73">
        <f t="shared" si="123"/>
        <v>360</v>
      </c>
      <c r="AZ29" s="72"/>
      <c r="BA29" s="127">
        <v>213.29</v>
      </c>
      <c r="BB29" s="72"/>
      <c r="BC29" s="73">
        <f t="shared" si="124"/>
        <v>213.29</v>
      </c>
      <c r="BD29" s="72"/>
      <c r="BE29" s="72"/>
      <c r="BF29" s="72"/>
      <c r="BG29" s="73">
        <f t="shared" si="125"/>
        <v>0</v>
      </c>
      <c r="BH29" s="73">
        <f t="shared" si="126"/>
        <v>573.29</v>
      </c>
      <c r="BI29" s="106" t="e">
        <f t="shared" ref="BI29:BI30" si="136">BH29/AQ29</f>
        <v>#REF!</v>
      </c>
      <c r="BJ29" s="73" t="e">
        <f t="shared" si="127"/>
        <v>#REF!</v>
      </c>
      <c r="BK29" s="227">
        <f t="shared" si="128"/>
        <v>2951.71</v>
      </c>
      <c r="BL29" s="110">
        <v>-108.5</v>
      </c>
      <c r="BM29" s="110"/>
      <c r="BN29" s="110"/>
      <c r="BO29" s="73">
        <f t="shared" si="129"/>
        <v>-108.5</v>
      </c>
      <c r="BP29" s="110"/>
      <c r="BQ29" s="110"/>
      <c r="BR29" s="110"/>
      <c r="BS29" s="73">
        <f t="shared" si="130"/>
        <v>0</v>
      </c>
      <c r="BT29" s="110"/>
      <c r="BU29" s="110"/>
      <c r="BV29" s="110"/>
      <c r="BW29" s="73">
        <f t="shared" si="131"/>
        <v>0</v>
      </c>
      <c r="BX29" s="274"/>
      <c r="BY29" s="110"/>
      <c r="BZ29" s="110"/>
      <c r="CA29" s="73">
        <f t="shared" si="132"/>
        <v>0</v>
      </c>
      <c r="CB29" s="73">
        <f t="shared" si="133"/>
        <v>-108.5</v>
      </c>
      <c r="CC29" s="106">
        <f t="shared" ref="CC29:CC30" si="137">CB29/BK29</f>
        <v>-3.6758353632301274E-2</v>
      </c>
      <c r="CD29" s="73">
        <f t="shared" si="134"/>
        <v>3060.21</v>
      </c>
      <c r="CE29" s="38" t="s">
        <v>59</v>
      </c>
    </row>
    <row r="30" spans="1:83" ht="21.6">
      <c r="A30" s="38" t="s">
        <v>61</v>
      </c>
      <c r="B30" s="118">
        <v>7500</v>
      </c>
      <c r="C30" s="88" t="e">
        <f>'budget anual'!C74</f>
        <v>#REF!</v>
      </c>
      <c r="D30" s="72"/>
      <c r="E30" s="72"/>
      <c r="F30" s="72"/>
      <c r="G30" s="73"/>
      <c r="I30" s="72"/>
      <c r="J30" s="72"/>
      <c r="K30" s="73"/>
      <c r="L30" s="72"/>
      <c r="M30" s="72"/>
      <c r="N30" s="72"/>
      <c r="O30" s="73"/>
      <c r="P30" s="72"/>
      <c r="Q30" s="72"/>
      <c r="R30" s="72"/>
      <c r="S30" s="73"/>
      <c r="T30" s="73">
        <f t="shared" si="113"/>
        <v>0</v>
      </c>
      <c r="U30" s="74"/>
      <c r="V30" s="75" t="e">
        <f t="shared" si="115"/>
        <v>#REF!</v>
      </c>
      <c r="W30" s="88" t="e">
        <f>'budget anual'!D74</f>
        <v>#REF!</v>
      </c>
      <c r="X30" s="72"/>
      <c r="Y30" s="72"/>
      <c r="Z30" s="72"/>
      <c r="AA30" s="73"/>
      <c r="AC30" s="72"/>
      <c r="AD30" s="72"/>
      <c r="AE30" s="73"/>
      <c r="AF30" s="72"/>
      <c r="AG30" s="72"/>
      <c r="AH30" s="72"/>
      <c r="AI30" s="73"/>
      <c r="AJ30" s="72"/>
      <c r="AK30" s="72"/>
      <c r="AL30" s="72"/>
      <c r="AM30" s="73"/>
      <c r="AN30" s="73">
        <f t="shared" si="120"/>
        <v>0</v>
      </c>
      <c r="AO30" s="74"/>
      <c r="AP30" s="73" t="e">
        <f t="shared" si="121"/>
        <v>#REF!</v>
      </c>
      <c r="AQ30" s="88" t="e">
        <f>'budget anual'!E74</f>
        <v>#REF!</v>
      </c>
      <c r="AR30" s="72"/>
      <c r="AS30" s="72">
        <v>500</v>
      </c>
      <c r="AT30" s="72">
        <v>1400</v>
      </c>
      <c r="AU30" s="73">
        <f t="shared" si="122"/>
        <v>1900</v>
      </c>
      <c r="AW30" s="72"/>
      <c r="AX30" s="72"/>
      <c r="AY30" s="73">
        <f t="shared" si="123"/>
        <v>0</v>
      </c>
      <c r="AZ30" s="72"/>
      <c r="BB30" s="72"/>
      <c r="BC30" s="73">
        <f t="shared" si="124"/>
        <v>0</v>
      </c>
      <c r="BD30" s="72">
        <v>1000</v>
      </c>
      <c r="BE30" s="72"/>
      <c r="BF30" s="72">
        <v>1650</v>
      </c>
      <c r="BG30" s="73">
        <f t="shared" si="125"/>
        <v>2650</v>
      </c>
      <c r="BH30" s="73">
        <f t="shared" si="126"/>
        <v>4550</v>
      </c>
      <c r="BI30" s="106" t="e">
        <f t="shared" si="136"/>
        <v>#REF!</v>
      </c>
      <c r="BJ30" s="73" t="e">
        <f t="shared" si="127"/>
        <v>#REF!</v>
      </c>
      <c r="BK30" s="227">
        <f t="shared" si="128"/>
        <v>2950</v>
      </c>
      <c r="BL30" s="110">
        <v>2226.2800000000002</v>
      </c>
      <c r="BM30" s="110">
        <v>30</v>
      </c>
      <c r="BN30" s="110"/>
      <c r="BO30" s="73">
        <f t="shared" si="129"/>
        <v>2256.2800000000002</v>
      </c>
      <c r="BP30" s="110"/>
      <c r="BQ30" s="110"/>
      <c r="BR30" s="110"/>
      <c r="BS30" s="73">
        <f t="shared" si="130"/>
        <v>0</v>
      </c>
      <c r="BT30" s="110"/>
      <c r="BU30" s="110"/>
      <c r="BV30" s="110"/>
      <c r="BW30" s="73">
        <f t="shared" si="131"/>
        <v>0</v>
      </c>
      <c r="BX30" s="274">
        <v>-1171.43</v>
      </c>
      <c r="BY30" s="110"/>
      <c r="BZ30" s="110"/>
      <c r="CA30" s="73">
        <f t="shared" si="132"/>
        <v>-1171.43</v>
      </c>
      <c r="CB30" s="73">
        <f t="shared" si="133"/>
        <v>1084.8500000000001</v>
      </c>
      <c r="CC30" s="106">
        <f t="shared" si="137"/>
        <v>0.36774576271186443</v>
      </c>
      <c r="CD30" s="73">
        <f t="shared" si="134"/>
        <v>1865.1499999999999</v>
      </c>
      <c r="CE30" s="38" t="s">
        <v>61</v>
      </c>
    </row>
    <row r="31" spans="1:83">
      <c r="A31" s="38" t="s">
        <v>383</v>
      </c>
      <c r="B31" s="118">
        <v>1000</v>
      </c>
      <c r="C31" s="88"/>
      <c r="D31" s="72"/>
      <c r="E31" s="72"/>
      <c r="F31" s="72"/>
      <c r="G31" s="73"/>
      <c r="I31" s="72"/>
      <c r="J31" s="72"/>
      <c r="K31" s="73"/>
      <c r="L31" s="72"/>
      <c r="M31" s="72"/>
      <c r="N31" s="72"/>
      <c r="O31" s="73"/>
      <c r="P31" s="72"/>
      <c r="Q31" s="72"/>
      <c r="R31" s="72"/>
      <c r="S31" s="73"/>
      <c r="T31" s="73"/>
      <c r="U31" s="74"/>
      <c r="V31" s="75"/>
      <c r="W31" s="88"/>
      <c r="X31" s="72"/>
      <c r="Y31" s="72"/>
      <c r="Z31" s="72"/>
      <c r="AA31" s="73"/>
      <c r="AC31" s="72"/>
      <c r="AD31" s="72"/>
      <c r="AE31" s="73"/>
      <c r="AF31" s="72"/>
      <c r="AG31" s="72"/>
      <c r="AH31" s="72"/>
      <c r="AI31" s="73"/>
      <c r="AJ31" s="72"/>
      <c r="AK31" s="72"/>
      <c r="AL31" s="72"/>
      <c r="AM31" s="73"/>
      <c r="AN31" s="73"/>
      <c r="AO31" s="74"/>
      <c r="AP31" s="73"/>
      <c r="AQ31" s="88"/>
      <c r="AR31" s="72"/>
      <c r="AS31" s="72"/>
      <c r="AT31" s="72"/>
      <c r="AU31" s="73"/>
      <c r="AW31" s="72"/>
      <c r="AX31" s="72"/>
      <c r="AY31" s="73"/>
      <c r="AZ31" s="72"/>
      <c r="BB31" s="72"/>
      <c r="BC31" s="73"/>
      <c r="BD31" s="72"/>
      <c r="BE31" s="72"/>
      <c r="BF31" s="72"/>
      <c r="BG31" s="73"/>
      <c r="BH31" s="73"/>
      <c r="BI31" s="106"/>
      <c r="BJ31" s="73"/>
      <c r="BK31" s="227">
        <f t="shared" si="128"/>
        <v>1000</v>
      </c>
      <c r="BL31" s="110"/>
      <c r="BM31" s="110"/>
      <c r="BN31" s="110"/>
      <c r="BO31" s="73"/>
      <c r="BP31" s="110"/>
      <c r="BQ31" s="110"/>
      <c r="BR31" s="110"/>
      <c r="BS31" s="73"/>
      <c r="BT31" s="110"/>
      <c r="BU31" s="110">
        <v>124.68</v>
      </c>
      <c r="BV31" s="110">
        <v>106.78</v>
      </c>
      <c r="BW31" s="73">
        <f t="shared" si="131"/>
        <v>231.46</v>
      </c>
      <c r="BX31" s="274">
        <v>1500</v>
      </c>
      <c r="BY31" s="110"/>
      <c r="BZ31" s="110"/>
      <c r="CA31" s="73">
        <f t="shared" si="132"/>
        <v>1500</v>
      </c>
      <c r="CB31" s="73">
        <f t="shared" si="133"/>
        <v>1731.46</v>
      </c>
      <c r="CC31" s="106"/>
      <c r="CD31" s="73">
        <f t="shared" si="134"/>
        <v>-731.46</v>
      </c>
      <c r="CE31" s="38" t="s">
        <v>383</v>
      </c>
    </row>
    <row r="32" spans="1:83">
      <c r="A32" s="38" t="s">
        <v>384</v>
      </c>
      <c r="B32" s="118">
        <v>35000</v>
      </c>
      <c r="C32" s="88">
        <f>'budget anual'!C79</f>
        <v>0</v>
      </c>
      <c r="D32" s="72"/>
      <c r="E32" s="72"/>
      <c r="F32" s="72"/>
      <c r="G32" s="73"/>
      <c r="I32" s="72"/>
      <c r="J32" s="72"/>
      <c r="K32" s="73"/>
      <c r="L32" s="72"/>
      <c r="M32" s="72"/>
      <c r="N32" s="72"/>
      <c r="O32" s="73"/>
      <c r="P32" s="72"/>
      <c r="Q32" s="72"/>
      <c r="R32" s="72"/>
      <c r="S32" s="73"/>
      <c r="T32" s="73">
        <f t="shared" si="113"/>
        <v>0</v>
      </c>
      <c r="U32" s="74"/>
      <c r="V32" s="75">
        <f t="shared" si="115"/>
        <v>0</v>
      </c>
      <c r="W32" s="47">
        <f>'budget anual'!D79</f>
        <v>0</v>
      </c>
      <c r="X32" s="72"/>
      <c r="Y32" s="72"/>
      <c r="Z32" s="72"/>
      <c r="AA32" s="73"/>
      <c r="AC32" s="72"/>
      <c r="AD32" s="72"/>
      <c r="AE32" s="73"/>
      <c r="AF32" s="72"/>
      <c r="AG32" s="72"/>
      <c r="AH32" s="72"/>
      <c r="AI32" s="73"/>
      <c r="AJ32" s="72"/>
      <c r="AK32" s="72"/>
      <c r="AL32" s="72"/>
      <c r="AM32" s="73"/>
      <c r="AN32" s="73">
        <f t="shared" si="120"/>
        <v>0</v>
      </c>
      <c r="AO32" s="74"/>
      <c r="AP32" s="73">
        <f t="shared" si="121"/>
        <v>0</v>
      </c>
      <c r="AQ32" s="47">
        <f>'budget anual'!E79</f>
        <v>0</v>
      </c>
      <c r="AR32" s="72"/>
      <c r="AS32" s="72"/>
      <c r="AT32" s="72"/>
      <c r="AU32" s="73">
        <f t="shared" si="122"/>
        <v>0</v>
      </c>
      <c r="AW32" s="72"/>
      <c r="AX32" s="72"/>
      <c r="AY32" s="73">
        <f t="shared" si="123"/>
        <v>0</v>
      </c>
      <c r="AZ32" s="72"/>
      <c r="BB32" s="72"/>
      <c r="BC32" s="73">
        <f t="shared" si="124"/>
        <v>0</v>
      </c>
      <c r="BD32" s="72"/>
      <c r="BE32" s="72"/>
      <c r="BF32" s="72"/>
      <c r="BG32" s="73">
        <f t="shared" si="125"/>
        <v>0</v>
      </c>
      <c r="BH32" s="73">
        <f t="shared" si="126"/>
        <v>0</v>
      </c>
      <c r="BI32" s="106"/>
      <c r="BJ32" s="73">
        <f t="shared" si="127"/>
        <v>0</v>
      </c>
      <c r="BK32" s="227">
        <f t="shared" si="128"/>
        <v>35000</v>
      </c>
      <c r="BL32" s="110"/>
      <c r="BM32" s="110"/>
      <c r="BN32" s="110"/>
      <c r="BO32" s="73">
        <f t="shared" si="129"/>
        <v>0</v>
      </c>
      <c r="BP32" s="110"/>
      <c r="BQ32" s="110"/>
      <c r="BR32" s="110">
        <v>25000</v>
      </c>
      <c r="BS32" s="73">
        <f t="shared" si="130"/>
        <v>25000</v>
      </c>
      <c r="BT32" s="110"/>
      <c r="BU32" s="110"/>
      <c r="BV32" s="110"/>
      <c r="BW32" s="73">
        <f t="shared" si="131"/>
        <v>0</v>
      </c>
      <c r="BX32" s="274"/>
      <c r="BY32" s="110"/>
      <c r="BZ32" s="110"/>
      <c r="CA32" s="73">
        <f t="shared" si="132"/>
        <v>0</v>
      </c>
      <c r="CB32" s="73">
        <f t="shared" si="133"/>
        <v>25000</v>
      </c>
      <c r="CC32" s="106"/>
      <c r="CD32" s="73">
        <f t="shared" si="134"/>
        <v>10000</v>
      </c>
      <c r="CE32" s="38" t="s">
        <v>384</v>
      </c>
    </row>
    <row r="33" spans="1:83">
      <c r="A33" s="38" t="s">
        <v>379</v>
      </c>
      <c r="B33" s="118">
        <v>0</v>
      </c>
      <c r="C33" s="88">
        <f>'budget anual'!C80</f>
        <v>0</v>
      </c>
      <c r="D33" s="72"/>
      <c r="E33" s="72"/>
      <c r="F33" s="72"/>
      <c r="G33" s="73"/>
      <c r="I33" s="72"/>
      <c r="J33" s="72"/>
      <c r="K33" s="73"/>
      <c r="L33" s="72"/>
      <c r="M33" s="72"/>
      <c r="N33" s="72"/>
      <c r="O33" s="73"/>
      <c r="P33" s="72"/>
      <c r="Q33" s="72"/>
      <c r="R33" s="72"/>
      <c r="S33" s="73"/>
      <c r="T33" s="73">
        <f t="shared" si="113"/>
        <v>0</v>
      </c>
      <c r="U33" s="74"/>
      <c r="V33" s="75">
        <f t="shared" si="115"/>
        <v>0</v>
      </c>
      <c r="W33" s="47">
        <f>'budget anual'!D80</f>
        <v>0</v>
      </c>
      <c r="X33" s="72"/>
      <c r="Y33" s="72"/>
      <c r="Z33" s="72"/>
      <c r="AA33" s="73"/>
      <c r="AC33" s="72"/>
      <c r="AD33" s="72"/>
      <c r="AE33" s="73"/>
      <c r="AF33" s="72"/>
      <c r="AG33" s="72"/>
      <c r="AH33" s="72"/>
      <c r="AI33" s="73"/>
      <c r="AJ33" s="72"/>
      <c r="AK33" s="72"/>
      <c r="AL33" s="72"/>
      <c r="AM33" s="73"/>
      <c r="AN33" s="73">
        <f t="shared" si="120"/>
        <v>0</v>
      </c>
      <c r="AO33" s="74"/>
      <c r="AP33" s="73">
        <f t="shared" si="121"/>
        <v>0</v>
      </c>
      <c r="AQ33" s="47">
        <f>'budget anual'!E80</f>
        <v>0</v>
      </c>
      <c r="AR33" s="72"/>
      <c r="AS33" s="72"/>
      <c r="AT33" s="72"/>
      <c r="AU33" s="73">
        <f t="shared" si="122"/>
        <v>0</v>
      </c>
      <c r="AW33" s="72"/>
      <c r="AX33" s="72"/>
      <c r="AY33" s="73">
        <f t="shared" si="123"/>
        <v>0</v>
      </c>
      <c r="AZ33" s="72"/>
      <c r="BB33" s="72"/>
      <c r="BC33" s="73">
        <f t="shared" si="124"/>
        <v>0</v>
      </c>
      <c r="BD33" s="72"/>
      <c r="BE33" s="72"/>
      <c r="BF33" s="72"/>
      <c r="BG33" s="73">
        <f t="shared" si="125"/>
        <v>0</v>
      </c>
      <c r="BH33" s="73">
        <f t="shared" si="126"/>
        <v>0</v>
      </c>
      <c r="BI33" s="106"/>
      <c r="BJ33" s="73">
        <f t="shared" si="127"/>
        <v>0</v>
      </c>
      <c r="BK33" s="227">
        <f t="shared" si="128"/>
        <v>0</v>
      </c>
      <c r="BL33" s="110"/>
      <c r="BM33" s="110"/>
      <c r="BN33" s="110"/>
      <c r="BO33" s="73">
        <f t="shared" si="129"/>
        <v>0</v>
      </c>
      <c r="BP33" s="110"/>
      <c r="BQ33" s="110"/>
      <c r="BR33" s="110"/>
      <c r="BS33" s="73">
        <f t="shared" si="130"/>
        <v>0</v>
      </c>
      <c r="BT33" s="110"/>
      <c r="BU33" s="110"/>
      <c r="BV33" s="110"/>
      <c r="BW33" s="73">
        <f t="shared" si="131"/>
        <v>0</v>
      </c>
      <c r="BX33" s="274"/>
      <c r="BY33" s="110"/>
      <c r="BZ33" s="110"/>
      <c r="CA33" s="73">
        <f t="shared" si="132"/>
        <v>0</v>
      </c>
      <c r="CB33" s="73">
        <f t="shared" si="133"/>
        <v>0</v>
      </c>
      <c r="CC33" s="106"/>
      <c r="CD33" s="73">
        <f t="shared" si="134"/>
        <v>0</v>
      </c>
      <c r="CE33" s="38" t="s">
        <v>379</v>
      </c>
    </row>
    <row r="34" spans="1:83">
      <c r="A34" s="38" t="s">
        <v>380</v>
      </c>
      <c r="B34" s="118">
        <v>12050</v>
      </c>
      <c r="C34" s="88">
        <f>'budget anual'!C81</f>
        <v>0</v>
      </c>
      <c r="D34" s="72"/>
      <c r="E34" s="72"/>
      <c r="F34" s="72"/>
      <c r="G34" s="73">
        <f t="shared" si="109"/>
        <v>0</v>
      </c>
      <c r="I34" s="72"/>
      <c r="J34" s="72"/>
      <c r="K34" s="73">
        <f t="shared" si="110"/>
        <v>0</v>
      </c>
      <c r="L34" s="72"/>
      <c r="M34" s="72"/>
      <c r="N34" s="72"/>
      <c r="O34" s="73">
        <f t="shared" si="111"/>
        <v>0</v>
      </c>
      <c r="P34" s="72"/>
      <c r="Q34" s="72"/>
      <c r="R34" s="72"/>
      <c r="S34" s="73">
        <f t="shared" si="112"/>
        <v>0</v>
      </c>
      <c r="T34" s="73">
        <f t="shared" si="113"/>
        <v>0</v>
      </c>
      <c r="U34" s="74" t="e">
        <f t="shared" si="114"/>
        <v>#DIV/0!</v>
      </c>
      <c r="V34" s="75">
        <f t="shared" si="115"/>
        <v>0</v>
      </c>
      <c r="W34" s="47">
        <f>'budget anual'!D81</f>
        <v>0</v>
      </c>
      <c r="X34" s="72"/>
      <c r="Y34" s="72"/>
      <c r="Z34" s="72"/>
      <c r="AA34" s="73">
        <f t="shared" ref="AA34" si="138">SUM(X34:Z34)</f>
        <v>0</v>
      </c>
      <c r="AC34" s="72"/>
      <c r="AD34" s="72"/>
      <c r="AE34" s="73">
        <f t="shared" ref="AE34" si="139">SUM(AB34:AD34)</f>
        <v>0</v>
      </c>
      <c r="AF34" s="72"/>
      <c r="AG34" s="72"/>
      <c r="AH34" s="72"/>
      <c r="AI34" s="73">
        <f t="shared" ref="AI34" si="140">SUM(AF34:AH34)</f>
        <v>0</v>
      </c>
      <c r="AJ34" s="72"/>
      <c r="AK34" s="72"/>
      <c r="AL34" s="72"/>
      <c r="AM34" s="73">
        <f t="shared" ref="AM34" si="141">SUM(AJ34:AL34)</f>
        <v>0</v>
      </c>
      <c r="AN34" s="73">
        <f t="shared" si="120"/>
        <v>0</v>
      </c>
      <c r="AO34" s="74" t="e">
        <f t="shared" ref="AO34:AO36" si="142">AN34/W34</f>
        <v>#DIV/0!</v>
      </c>
      <c r="AP34" s="73">
        <f t="shared" si="121"/>
        <v>0</v>
      </c>
      <c r="AQ34" s="47">
        <f>'budget anual'!E81</f>
        <v>1500</v>
      </c>
      <c r="AR34" s="72"/>
      <c r="AS34" s="72"/>
      <c r="AT34" s="72"/>
      <c r="AU34" s="73">
        <f t="shared" ref="AU34" si="143">SUM(AR34:AT34)</f>
        <v>0</v>
      </c>
      <c r="AW34" s="72"/>
      <c r="AX34" s="72"/>
      <c r="AY34" s="73">
        <f t="shared" si="123"/>
        <v>0</v>
      </c>
      <c r="AZ34" s="72"/>
      <c r="BB34" s="72"/>
      <c r="BC34" s="73">
        <f t="shared" si="124"/>
        <v>0</v>
      </c>
      <c r="BD34" s="72">
        <v>1500</v>
      </c>
      <c r="BE34" s="72"/>
      <c r="BF34" s="72"/>
      <c r="BG34" s="73">
        <f t="shared" si="125"/>
        <v>1500</v>
      </c>
      <c r="BH34" s="73">
        <f t="shared" si="126"/>
        <v>1500</v>
      </c>
      <c r="BI34" s="106">
        <f t="shared" ref="BI34:BI36" si="144">BH34/AQ34</f>
        <v>1</v>
      </c>
      <c r="BJ34" s="73">
        <f t="shared" si="127"/>
        <v>0</v>
      </c>
      <c r="BK34" s="227">
        <f t="shared" si="128"/>
        <v>10550</v>
      </c>
      <c r="BL34" s="110"/>
      <c r="BM34" s="110"/>
      <c r="BN34" s="110"/>
      <c r="BO34" s="73">
        <f t="shared" si="129"/>
        <v>0</v>
      </c>
      <c r="BP34" s="110"/>
      <c r="BQ34" s="110"/>
      <c r="BR34" s="110">
        <v>853.25</v>
      </c>
      <c r="BS34" s="73">
        <f t="shared" si="130"/>
        <v>853.25</v>
      </c>
      <c r="BT34" s="110">
        <v>1033.95</v>
      </c>
      <c r="BU34" s="110">
        <v>1873.5</v>
      </c>
      <c r="BV34" s="110">
        <f>8168.4+283</f>
        <v>8451.4</v>
      </c>
      <c r="BW34" s="73">
        <f t="shared" si="131"/>
        <v>11358.849999999999</v>
      </c>
      <c r="BX34" s="274">
        <v>1061</v>
      </c>
      <c r="BY34" s="110"/>
      <c r="BZ34" s="110">
        <v>80</v>
      </c>
      <c r="CA34" s="73">
        <f t="shared" si="132"/>
        <v>1141</v>
      </c>
      <c r="CB34" s="73">
        <f t="shared" si="133"/>
        <v>13353.099999999999</v>
      </c>
      <c r="CC34" s="106">
        <f t="shared" ref="CC34" si="145">CB34/BK34</f>
        <v>1.2656966824644549</v>
      </c>
      <c r="CD34" s="73">
        <f t="shared" si="134"/>
        <v>-2803.0999999999985</v>
      </c>
      <c r="CE34" s="38" t="s">
        <v>380</v>
      </c>
    </row>
    <row r="35" spans="1:83" ht="15.95" thickBot="1">
      <c r="A35" s="155" t="s">
        <v>385</v>
      </c>
      <c r="B35" s="118">
        <v>22050</v>
      </c>
      <c r="C35" s="173">
        <v>0</v>
      </c>
      <c r="D35" s="72"/>
      <c r="E35" s="72"/>
      <c r="F35" s="72"/>
      <c r="G35" s="73"/>
      <c r="I35" s="72"/>
      <c r="J35" s="72"/>
      <c r="K35" s="73"/>
      <c r="L35" s="72"/>
      <c r="M35" s="72"/>
      <c r="N35" s="72"/>
      <c r="O35" s="73"/>
      <c r="P35" s="72"/>
      <c r="Q35" s="72"/>
      <c r="R35" s="72"/>
      <c r="S35" s="73"/>
      <c r="T35" s="73"/>
      <c r="U35" s="74"/>
      <c r="V35" s="75"/>
      <c r="W35" s="47">
        <v>0</v>
      </c>
      <c r="X35" s="72"/>
      <c r="Y35" s="72"/>
      <c r="Z35" s="72"/>
      <c r="AA35" s="73"/>
      <c r="AC35" s="72"/>
      <c r="AD35" s="72"/>
      <c r="AE35" s="73"/>
      <c r="AF35" s="72"/>
      <c r="AG35" s="72"/>
      <c r="AH35" s="72"/>
      <c r="AI35" s="73"/>
      <c r="AJ35" s="72"/>
      <c r="AK35" s="72"/>
      <c r="AL35" s="72"/>
      <c r="AM35" s="73"/>
      <c r="AN35" s="73"/>
      <c r="AO35" s="74"/>
      <c r="AP35" s="75"/>
      <c r="AQ35" s="47">
        <f>'budget anual'!E85</f>
        <v>40</v>
      </c>
      <c r="AR35" s="72"/>
      <c r="AS35" s="72"/>
      <c r="AT35" s="72"/>
      <c r="AU35" s="73"/>
      <c r="AW35" s="72"/>
      <c r="AX35" s="72"/>
      <c r="AY35" s="73"/>
      <c r="AZ35" s="72"/>
      <c r="BB35" s="72"/>
      <c r="BC35" s="73">
        <f t="shared" si="124"/>
        <v>0</v>
      </c>
      <c r="BD35" s="72"/>
      <c r="BE35" s="72">
        <v>40</v>
      </c>
      <c r="BF35" s="72"/>
      <c r="BG35" s="73">
        <f t="shared" si="125"/>
        <v>40</v>
      </c>
      <c r="BH35" s="73">
        <f t="shared" si="126"/>
        <v>40</v>
      </c>
      <c r="BI35" s="106"/>
      <c r="BJ35" s="73">
        <f t="shared" si="127"/>
        <v>0</v>
      </c>
      <c r="BK35" s="227">
        <f t="shared" si="128"/>
        <v>22010</v>
      </c>
      <c r="BL35" s="110"/>
      <c r="BM35" s="110"/>
      <c r="BN35" s="110"/>
      <c r="BO35" s="73">
        <f t="shared" si="129"/>
        <v>0</v>
      </c>
      <c r="BP35" s="110"/>
      <c r="BQ35" s="110"/>
      <c r="BR35" s="110"/>
      <c r="BS35" s="73">
        <f t="shared" si="130"/>
        <v>0</v>
      </c>
      <c r="BT35" s="110"/>
      <c r="BU35" s="110"/>
      <c r="BV35" s="110">
        <v>18098.62</v>
      </c>
      <c r="BW35" s="73">
        <f t="shared" si="131"/>
        <v>18098.62</v>
      </c>
      <c r="BX35" s="274">
        <v>-207.31</v>
      </c>
      <c r="BY35" s="110">
        <v>924.75</v>
      </c>
      <c r="BZ35" s="110"/>
      <c r="CA35" s="73">
        <f t="shared" si="132"/>
        <v>717.44</v>
      </c>
      <c r="CB35" s="73">
        <f t="shared" si="133"/>
        <v>18816.059999999998</v>
      </c>
      <c r="CC35" s="106"/>
      <c r="CD35" s="73">
        <f t="shared" si="134"/>
        <v>3193.9400000000023</v>
      </c>
      <c r="CE35" s="155" t="s">
        <v>385</v>
      </c>
    </row>
    <row r="36" spans="1:83" ht="15.95" thickBot="1">
      <c r="A36" s="38"/>
      <c r="B36" s="87">
        <f>SUM(B27:B35)</f>
        <v>85125</v>
      </c>
      <c r="C36" s="87" t="e">
        <f>SUM(C27:C34)</f>
        <v>#REF!</v>
      </c>
      <c r="D36" s="78">
        <f t="shared" ref="D36:V36" si="146">SUM(D27:D34)</f>
        <v>0</v>
      </c>
      <c r="E36" s="78">
        <f t="shared" si="146"/>
        <v>0</v>
      </c>
      <c r="F36" s="78">
        <f t="shared" si="146"/>
        <v>0</v>
      </c>
      <c r="G36" s="80">
        <f t="shared" si="146"/>
        <v>0</v>
      </c>
      <c r="H36" s="78">
        <f t="shared" si="146"/>
        <v>0</v>
      </c>
      <c r="I36" s="78">
        <f t="shared" si="146"/>
        <v>0</v>
      </c>
      <c r="J36" s="78">
        <f t="shared" si="146"/>
        <v>0</v>
      </c>
      <c r="K36" s="80">
        <f t="shared" si="146"/>
        <v>0</v>
      </c>
      <c r="L36" s="78">
        <f t="shared" si="146"/>
        <v>0</v>
      </c>
      <c r="M36" s="78">
        <f t="shared" si="146"/>
        <v>0</v>
      </c>
      <c r="N36" s="78">
        <f t="shared" si="146"/>
        <v>0</v>
      </c>
      <c r="O36" s="80">
        <f t="shared" si="146"/>
        <v>0</v>
      </c>
      <c r="P36" s="78">
        <f t="shared" si="146"/>
        <v>0</v>
      </c>
      <c r="Q36" s="78">
        <f t="shared" si="146"/>
        <v>0</v>
      </c>
      <c r="R36" s="78">
        <f t="shared" si="146"/>
        <v>0</v>
      </c>
      <c r="S36" s="80">
        <f t="shared" si="146"/>
        <v>0</v>
      </c>
      <c r="T36" s="81">
        <f t="shared" si="146"/>
        <v>0</v>
      </c>
      <c r="U36" s="82" t="e">
        <f t="shared" si="114"/>
        <v>#REF!</v>
      </c>
      <c r="V36" s="83" t="e">
        <f t="shared" si="146"/>
        <v>#REF!</v>
      </c>
      <c r="W36" s="77" t="e">
        <f>SUM(W27:W34)</f>
        <v>#REF!</v>
      </c>
      <c r="X36" s="109">
        <f t="shared" ref="X36:AN36" si="147">SUM(X27:X34)</f>
        <v>0</v>
      </c>
      <c r="Y36" s="78">
        <f t="shared" si="147"/>
        <v>0</v>
      </c>
      <c r="Z36" s="78">
        <f t="shared" si="147"/>
        <v>0</v>
      </c>
      <c r="AA36" s="80">
        <f t="shared" si="147"/>
        <v>0</v>
      </c>
      <c r="AB36" s="78">
        <f t="shared" si="147"/>
        <v>0</v>
      </c>
      <c r="AC36" s="78">
        <f t="shared" si="147"/>
        <v>0</v>
      </c>
      <c r="AD36" s="78">
        <f t="shared" si="147"/>
        <v>0</v>
      </c>
      <c r="AE36" s="80">
        <f t="shared" si="147"/>
        <v>0</v>
      </c>
      <c r="AF36" s="78">
        <f t="shared" si="147"/>
        <v>0</v>
      </c>
      <c r="AG36" s="78">
        <f t="shared" si="147"/>
        <v>0</v>
      </c>
      <c r="AH36" s="78">
        <f t="shared" si="147"/>
        <v>0</v>
      </c>
      <c r="AI36" s="80">
        <f t="shared" si="147"/>
        <v>0</v>
      </c>
      <c r="AJ36" s="78">
        <f t="shared" si="147"/>
        <v>0</v>
      </c>
      <c r="AK36" s="78">
        <f t="shared" si="147"/>
        <v>0</v>
      </c>
      <c r="AL36" s="78">
        <f t="shared" si="147"/>
        <v>0</v>
      </c>
      <c r="AM36" s="80">
        <f t="shared" si="147"/>
        <v>0</v>
      </c>
      <c r="AN36" s="81">
        <f t="shared" si="147"/>
        <v>0</v>
      </c>
      <c r="AO36" s="82" t="e">
        <f t="shared" si="142"/>
        <v>#REF!</v>
      </c>
      <c r="AP36" s="83" t="e">
        <f t="shared" ref="AP36" si="148">SUM(AP27:AP34)</f>
        <v>#REF!</v>
      </c>
      <c r="AQ36" s="77" t="e">
        <f>SUM(AQ27:AQ35)</f>
        <v>#REF!</v>
      </c>
      <c r="AR36" s="109">
        <f t="shared" ref="AR36:AY36" si="149">SUM(AR27:AR34)</f>
        <v>0</v>
      </c>
      <c r="AS36" s="78">
        <f t="shared" si="149"/>
        <v>500</v>
      </c>
      <c r="AT36" s="78">
        <f t="shared" si="149"/>
        <v>1400</v>
      </c>
      <c r="AU36" s="80">
        <f t="shared" si="149"/>
        <v>1900</v>
      </c>
      <c r="AV36" s="109">
        <f t="shared" ref="AV36:AX36" si="150">SUM(AV27:AV34)</f>
        <v>0</v>
      </c>
      <c r="AW36" s="78">
        <f t="shared" si="150"/>
        <v>0</v>
      </c>
      <c r="AX36" s="78">
        <f t="shared" si="150"/>
        <v>360</v>
      </c>
      <c r="AY36" s="80">
        <f t="shared" si="149"/>
        <v>360</v>
      </c>
      <c r="AZ36" s="109">
        <f t="shared" ref="AZ36:BA36" si="151">SUM(AZ27:AZ34)</f>
        <v>0</v>
      </c>
      <c r="BA36" s="191">
        <f t="shared" si="151"/>
        <v>213.29</v>
      </c>
      <c r="BB36" s="78">
        <f t="shared" ref="BB36:BH36" si="152">SUM(BB27:BB35)</f>
        <v>0</v>
      </c>
      <c r="BC36" s="80">
        <f t="shared" si="152"/>
        <v>213.29</v>
      </c>
      <c r="BD36" s="78">
        <f t="shared" si="152"/>
        <v>2500</v>
      </c>
      <c r="BE36" s="78">
        <f t="shared" si="152"/>
        <v>40</v>
      </c>
      <c r="BF36" s="78">
        <f t="shared" si="152"/>
        <v>1650</v>
      </c>
      <c r="BG36" s="80">
        <f t="shared" si="152"/>
        <v>4190</v>
      </c>
      <c r="BH36" s="81">
        <f t="shared" si="152"/>
        <v>6663.29</v>
      </c>
      <c r="BI36" s="121" t="e">
        <f t="shared" si="144"/>
        <v>#REF!</v>
      </c>
      <c r="BJ36" s="123" t="e">
        <f>SUM(BJ27:BJ35)</f>
        <v>#REF!</v>
      </c>
      <c r="BK36" s="228">
        <f>SUM(BK27:BK35)</f>
        <v>78461.709999999992</v>
      </c>
      <c r="BL36" s="78">
        <f t="shared" ref="BL36:BM36" si="153">SUM(BL27:BL35)</f>
        <v>2117.7800000000002</v>
      </c>
      <c r="BM36" s="78">
        <f t="shared" si="153"/>
        <v>30</v>
      </c>
      <c r="BN36" s="78">
        <f t="shared" ref="BN36:BQ36" si="154">SUM(BN27:BN35)</f>
        <v>0</v>
      </c>
      <c r="BO36" s="80">
        <f t="shared" si="154"/>
        <v>2147.7800000000002</v>
      </c>
      <c r="BP36" s="78">
        <f t="shared" si="154"/>
        <v>0</v>
      </c>
      <c r="BQ36" s="78">
        <f t="shared" si="154"/>
        <v>500</v>
      </c>
      <c r="BR36" s="78">
        <f t="shared" ref="BR36" si="155">SUM(BR27:BR35)</f>
        <v>26394.31</v>
      </c>
      <c r="BS36" s="80">
        <f t="shared" ref="BS36:BV36" si="156">SUM(BS27:BS35)</f>
        <v>26894.31</v>
      </c>
      <c r="BT36" s="78">
        <f t="shared" si="156"/>
        <v>1382.06</v>
      </c>
      <c r="BU36" s="78">
        <f t="shared" si="156"/>
        <v>1998.18</v>
      </c>
      <c r="BV36" s="78">
        <f t="shared" si="156"/>
        <v>26656.799999999999</v>
      </c>
      <c r="BW36" s="80">
        <f t="shared" ref="BW36:BZ36" si="157">SUM(BW27:BW35)</f>
        <v>30037.039999999997</v>
      </c>
      <c r="BX36" s="275">
        <f t="shared" si="157"/>
        <v>942.01</v>
      </c>
      <c r="BY36" s="78">
        <f t="shared" si="157"/>
        <v>924.75</v>
      </c>
      <c r="BZ36" s="78">
        <f t="shared" si="157"/>
        <v>80</v>
      </c>
      <c r="CA36" s="80">
        <f t="shared" ref="CA36:CB36" si="158">SUM(CA27:CA35)</f>
        <v>1946.76</v>
      </c>
      <c r="CB36" s="81">
        <f t="shared" si="158"/>
        <v>61025.89</v>
      </c>
      <c r="CC36" s="121">
        <f t="shared" ref="CC36" si="159">CB36/BK36</f>
        <v>0.77777925054144248</v>
      </c>
      <c r="CD36" s="123">
        <f>SUM(CD27:CD35)</f>
        <v>17435.820000000003</v>
      </c>
      <c r="CE36" s="38"/>
    </row>
    <row r="37" spans="1:83" ht="15.95" thickBot="1">
      <c r="A37" s="41" t="s">
        <v>386</v>
      </c>
      <c r="B37" s="89"/>
      <c r="C37" s="90"/>
      <c r="D37" s="65"/>
      <c r="E37" s="65"/>
      <c r="F37" s="65"/>
      <c r="G37" s="73"/>
      <c r="I37" s="72"/>
      <c r="J37" s="72"/>
      <c r="K37" s="73"/>
      <c r="L37" s="72"/>
      <c r="M37" s="72"/>
      <c r="N37" s="72"/>
      <c r="O37" s="73"/>
      <c r="P37" s="72"/>
      <c r="Q37" s="72"/>
      <c r="R37" s="72"/>
      <c r="S37" s="73"/>
      <c r="T37" s="73"/>
      <c r="U37" s="74"/>
      <c r="V37" s="75"/>
      <c r="W37" s="90"/>
      <c r="X37" s="65"/>
      <c r="Y37" s="65"/>
      <c r="Z37" s="65"/>
      <c r="AA37" s="73"/>
      <c r="AC37" s="72"/>
      <c r="AD37" s="72"/>
      <c r="AE37" s="73"/>
      <c r="AF37" s="72"/>
      <c r="AG37" s="72"/>
      <c r="AH37" s="72"/>
      <c r="AI37" s="73"/>
      <c r="AJ37" s="72"/>
      <c r="AK37" s="72"/>
      <c r="AL37" s="72"/>
      <c r="AM37" s="73"/>
      <c r="AN37" s="73"/>
      <c r="AO37" s="74"/>
      <c r="AP37" s="75"/>
      <c r="AQ37" s="90"/>
      <c r="AR37" s="65"/>
      <c r="AS37" s="65"/>
      <c r="AT37" s="65"/>
      <c r="AU37" s="73"/>
      <c r="AV37" s="65"/>
      <c r="AW37" s="65"/>
      <c r="AX37" s="65"/>
      <c r="AY37" s="73"/>
      <c r="AZ37" s="65"/>
      <c r="BA37" s="190"/>
      <c r="BB37" s="65"/>
      <c r="BC37" s="73"/>
      <c r="BD37" s="65"/>
      <c r="BE37" s="65"/>
      <c r="BF37" s="65"/>
      <c r="BG37" s="73"/>
      <c r="BH37" s="73"/>
      <c r="BI37" s="106"/>
      <c r="BJ37" s="73"/>
      <c r="BK37" s="64"/>
      <c r="BL37" s="90"/>
      <c r="BM37" s="90"/>
      <c r="BN37" s="90"/>
      <c r="BO37" s="73"/>
      <c r="BP37" s="90"/>
      <c r="BQ37" s="90"/>
      <c r="BR37" s="90"/>
      <c r="BS37" s="73"/>
      <c r="BT37" s="90"/>
      <c r="BU37" s="90"/>
      <c r="BV37" s="90"/>
      <c r="BW37" s="73"/>
      <c r="BX37" s="273"/>
      <c r="BY37" s="90"/>
      <c r="BZ37" s="90"/>
      <c r="CA37" s="73"/>
      <c r="CB37" s="73"/>
      <c r="CC37" s="106"/>
      <c r="CD37" s="73"/>
      <c r="CE37" s="41" t="s">
        <v>386</v>
      </c>
    </row>
    <row r="38" spans="1:83">
      <c r="A38" s="37" t="s">
        <v>387</v>
      </c>
      <c r="B38" s="118">
        <v>250</v>
      </c>
      <c r="C38" s="88">
        <f>'budget anual'!C88</f>
        <v>0</v>
      </c>
      <c r="D38" s="72"/>
      <c r="E38" s="72"/>
      <c r="F38" s="72"/>
      <c r="G38" s="73">
        <f t="shared" ref="G38" si="160">SUM(D38:F38)</f>
        <v>0</v>
      </c>
      <c r="I38" s="72"/>
      <c r="J38" s="72"/>
      <c r="K38" s="73">
        <f t="shared" ref="K38" si="161">SUM(H38:J38)</f>
        <v>0</v>
      </c>
      <c r="L38" s="72"/>
      <c r="M38" s="72"/>
      <c r="N38" s="72"/>
      <c r="O38" s="73">
        <f t="shared" ref="O38" si="162">SUM(L38:N38)</f>
        <v>0</v>
      </c>
      <c r="P38" s="72"/>
      <c r="Q38" s="72"/>
      <c r="R38" s="72"/>
      <c r="S38" s="73">
        <f t="shared" ref="S38" si="163">SUM(P38:R38)</f>
        <v>0</v>
      </c>
      <c r="T38" s="73">
        <f t="shared" ref="T38:T41" si="164">G38+K38+O38+S38</f>
        <v>0</v>
      </c>
      <c r="U38" s="74" t="e">
        <f t="shared" ref="U38:U43" si="165">T38/C38</f>
        <v>#DIV/0!</v>
      </c>
      <c r="V38" s="75">
        <f t="shared" ref="V38:V41" si="166">C38-T38</f>
        <v>0</v>
      </c>
      <c r="W38" s="47">
        <f>'budget anual'!D88</f>
        <v>0</v>
      </c>
      <c r="X38" s="72"/>
      <c r="Y38" s="72"/>
      <c r="Z38" s="72"/>
      <c r="AA38" s="73">
        <f t="shared" ref="AA38" si="167">SUM(X38:Z38)</f>
        <v>0</v>
      </c>
      <c r="AC38" s="72"/>
      <c r="AD38" s="72"/>
      <c r="AE38" s="73">
        <f t="shared" ref="AE38" si="168">SUM(AB38:AD38)</f>
        <v>0</v>
      </c>
      <c r="AF38" s="72"/>
      <c r="AG38" s="72"/>
      <c r="AH38" s="72"/>
      <c r="AI38" s="73">
        <f t="shared" ref="AI38" si="169">SUM(AF38:AH38)</f>
        <v>0</v>
      </c>
      <c r="AJ38" s="72"/>
      <c r="AK38" s="72"/>
      <c r="AL38" s="72"/>
      <c r="AM38" s="73">
        <f t="shared" ref="AM38" si="170">SUM(AJ38:AL38)</f>
        <v>0</v>
      </c>
      <c r="AN38" s="73">
        <f t="shared" ref="AN38:AN41" si="171">AA38+AE38+AI38+AM38</f>
        <v>0</v>
      </c>
      <c r="AO38" s="74" t="e">
        <f t="shared" ref="AO38" si="172">AN38/W38</f>
        <v>#DIV/0!</v>
      </c>
      <c r="AP38" s="73">
        <f t="shared" ref="AP38:AP41" si="173">(V38+W38)-AN38</f>
        <v>0</v>
      </c>
      <c r="AQ38" s="47">
        <f>'budget anual'!E88</f>
        <v>0</v>
      </c>
      <c r="AR38" s="72"/>
      <c r="AS38" s="72"/>
      <c r="AT38" s="72"/>
      <c r="AU38" s="73">
        <f t="shared" ref="AU38" si="174">SUM(AR38:AT38)</f>
        <v>0</v>
      </c>
      <c r="AW38" s="72"/>
      <c r="AX38" s="72"/>
      <c r="AY38" s="73">
        <f t="shared" ref="AY38" si="175">SUM(AV38:AX38)</f>
        <v>0</v>
      </c>
      <c r="AZ38" s="72"/>
      <c r="BB38" s="72"/>
      <c r="BC38" s="73">
        <f t="shared" ref="BC38" si="176">SUM(AZ38:BB38)</f>
        <v>0</v>
      </c>
      <c r="BD38" s="72"/>
      <c r="BE38" s="72"/>
      <c r="BF38" s="72"/>
      <c r="BG38" s="73">
        <f t="shared" ref="BG38:BG42" si="177">SUM(BD38:BF38)</f>
        <v>0</v>
      </c>
      <c r="BH38" s="73">
        <f t="shared" ref="BH38:BH41" si="178">AU38+AY38+BC38+BG38</f>
        <v>0</v>
      </c>
      <c r="BI38" s="106" t="e">
        <f t="shared" ref="BI38" si="179">BH38/AQ38</f>
        <v>#DIV/0!</v>
      </c>
      <c r="BJ38" s="73">
        <f t="shared" ref="BJ38:BJ41" si="180">(AP38+AQ38)-BH38</f>
        <v>0</v>
      </c>
      <c r="BK38" s="227">
        <f t="shared" ref="BK38:BK42" si="181">B38-T38-AN38-BH38</f>
        <v>250</v>
      </c>
      <c r="BL38" s="110"/>
      <c r="BM38" s="110"/>
      <c r="BN38" s="110"/>
      <c r="BO38" s="73">
        <f t="shared" ref="BO38:BO42" si="182">SUM(BL38:BN38)</f>
        <v>0</v>
      </c>
      <c r="BP38" s="110"/>
      <c r="BQ38" s="110"/>
      <c r="BR38" s="110"/>
      <c r="BS38" s="73">
        <f t="shared" ref="BS38:BS42" si="183">SUM(BP38:BR38)</f>
        <v>0</v>
      </c>
      <c r="BT38" s="110"/>
      <c r="BU38" s="110"/>
      <c r="BV38" s="110"/>
      <c r="BW38" s="73">
        <f t="shared" ref="BW38:BW42" si="184">SUM(BT38:BV38)</f>
        <v>0</v>
      </c>
      <c r="BX38" s="274"/>
      <c r="BY38" s="110"/>
      <c r="BZ38" s="110"/>
      <c r="CA38" s="73">
        <f t="shared" ref="CA38:CA42" si="185">SUM(BX38:BZ38)</f>
        <v>0</v>
      </c>
      <c r="CB38" s="73">
        <f t="shared" ref="CB38:CB42" si="186">BO38+BS38+BW38+CA38</f>
        <v>0</v>
      </c>
      <c r="CC38" s="106">
        <f t="shared" ref="CC38" si="187">CB38/BK38</f>
        <v>0</v>
      </c>
      <c r="CD38" s="73">
        <f t="shared" ref="CD38:CD42" si="188">BK38-CB38</f>
        <v>250</v>
      </c>
      <c r="CE38" s="37" t="s">
        <v>387</v>
      </c>
    </row>
    <row r="39" spans="1:83">
      <c r="A39" s="38" t="s">
        <v>384</v>
      </c>
      <c r="B39" s="118">
        <v>4687.5</v>
      </c>
      <c r="C39" s="88">
        <f>'budget anual'!C89</f>
        <v>0</v>
      </c>
      <c r="D39" s="72"/>
      <c r="E39" s="72"/>
      <c r="F39" s="72"/>
      <c r="G39" s="73"/>
      <c r="I39" s="72"/>
      <c r="J39" s="72"/>
      <c r="K39" s="73"/>
      <c r="L39" s="72"/>
      <c r="M39" s="72"/>
      <c r="N39" s="72"/>
      <c r="O39" s="73"/>
      <c r="P39" s="72"/>
      <c r="Q39" s="72"/>
      <c r="R39" s="72"/>
      <c r="S39" s="73"/>
      <c r="T39" s="73">
        <f t="shared" si="164"/>
        <v>0</v>
      </c>
      <c r="U39" s="74"/>
      <c r="V39" s="75">
        <f t="shared" si="166"/>
        <v>0</v>
      </c>
      <c r="W39" s="47">
        <f>'budget anual'!D89</f>
        <v>0</v>
      </c>
      <c r="X39" s="72"/>
      <c r="Y39" s="72"/>
      <c r="Z39" s="72"/>
      <c r="AA39" s="73"/>
      <c r="AC39" s="72"/>
      <c r="AD39" s="72"/>
      <c r="AE39" s="73"/>
      <c r="AF39" s="72"/>
      <c r="AG39" s="72"/>
      <c r="AH39" s="72"/>
      <c r="AI39" s="73"/>
      <c r="AJ39" s="72"/>
      <c r="AK39" s="72"/>
      <c r="AL39" s="72"/>
      <c r="AM39" s="73"/>
      <c r="AN39" s="73">
        <f t="shared" si="171"/>
        <v>0</v>
      </c>
      <c r="AO39" s="74"/>
      <c r="AP39" s="73">
        <f t="shared" si="173"/>
        <v>0</v>
      </c>
      <c r="AQ39" s="47">
        <f>'budget anual'!E89</f>
        <v>0</v>
      </c>
      <c r="AR39" s="72"/>
      <c r="AS39" s="72"/>
      <c r="AT39" s="72"/>
      <c r="AU39" s="73"/>
      <c r="AW39" s="72"/>
      <c r="AX39" s="72"/>
      <c r="AY39" s="73"/>
      <c r="AZ39" s="72"/>
      <c r="BB39" s="72"/>
      <c r="BC39" s="73"/>
      <c r="BD39" s="72"/>
      <c r="BE39" s="72"/>
      <c r="BF39" s="72"/>
      <c r="BG39" s="73">
        <f t="shared" si="177"/>
        <v>0</v>
      </c>
      <c r="BH39" s="73">
        <f t="shared" si="178"/>
        <v>0</v>
      </c>
      <c r="BI39" s="106"/>
      <c r="BJ39" s="73">
        <f t="shared" si="180"/>
        <v>0</v>
      </c>
      <c r="BK39" s="227">
        <f t="shared" si="181"/>
        <v>4687.5</v>
      </c>
      <c r="BL39" s="110"/>
      <c r="BM39" s="110"/>
      <c r="BN39" s="110"/>
      <c r="BO39" s="73">
        <f t="shared" si="182"/>
        <v>0</v>
      </c>
      <c r="BP39" s="110"/>
      <c r="BQ39" s="110"/>
      <c r="BR39" s="110">
        <v>4687.5</v>
      </c>
      <c r="BS39" s="73">
        <f t="shared" si="183"/>
        <v>4687.5</v>
      </c>
      <c r="BT39" s="110"/>
      <c r="BU39" s="110"/>
      <c r="BV39" s="110"/>
      <c r="BW39" s="73">
        <f t="shared" si="184"/>
        <v>0</v>
      </c>
      <c r="BX39" s="274"/>
      <c r="BY39" s="110"/>
      <c r="BZ39" s="110"/>
      <c r="CA39" s="73">
        <f t="shared" si="185"/>
        <v>0</v>
      </c>
      <c r="CB39" s="73">
        <f t="shared" si="186"/>
        <v>4687.5</v>
      </c>
      <c r="CC39" s="106"/>
      <c r="CD39" s="73">
        <f t="shared" si="188"/>
        <v>0</v>
      </c>
      <c r="CE39" s="38" t="s">
        <v>384</v>
      </c>
    </row>
    <row r="40" spans="1:83">
      <c r="A40" s="38" t="s">
        <v>379</v>
      </c>
      <c r="B40" s="118">
        <v>0</v>
      </c>
      <c r="C40" s="88">
        <f>'budget anual'!C90</f>
        <v>0</v>
      </c>
      <c r="D40" s="72"/>
      <c r="E40" s="72"/>
      <c r="F40" s="72"/>
      <c r="G40" s="73"/>
      <c r="I40" s="72"/>
      <c r="J40" s="72"/>
      <c r="K40" s="73"/>
      <c r="L40" s="72"/>
      <c r="M40" s="72"/>
      <c r="N40" s="72"/>
      <c r="O40" s="73"/>
      <c r="P40" s="72"/>
      <c r="Q40" s="72"/>
      <c r="R40" s="72"/>
      <c r="S40" s="73"/>
      <c r="T40" s="73">
        <f t="shared" si="164"/>
        <v>0</v>
      </c>
      <c r="U40" s="74"/>
      <c r="V40" s="75">
        <f t="shared" si="166"/>
        <v>0</v>
      </c>
      <c r="W40" s="47">
        <f>'budget anual'!D90</f>
        <v>0</v>
      </c>
      <c r="X40" s="72"/>
      <c r="Y40" s="72"/>
      <c r="Z40" s="72"/>
      <c r="AA40" s="73"/>
      <c r="AC40" s="72"/>
      <c r="AD40" s="72"/>
      <c r="AE40" s="73"/>
      <c r="AF40" s="72"/>
      <c r="AG40" s="72"/>
      <c r="AH40" s="72"/>
      <c r="AI40" s="73"/>
      <c r="AJ40" s="72"/>
      <c r="AK40" s="72"/>
      <c r="AL40" s="72"/>
      <c r="AM40" s="73"/>
      <c r="AN40" s="73">
        <f t="shared" si="171"/>
        <v>0</v>
      </c>
      <c r="AO40" s="74"/>
      <c r="AP40" s="73">
        <f t="shared" si="173"/>
        <v>0</v>
      </c>
      <c r="AQ40" s="47">
        <f>'budget anual'!E90</f>
        <v>0</v>
      </c>
      <c r="AR40" s="72"/>
      <c r="AS40" s="72"/>
      <c r="AT40" s="72"/>
      <c r="AU40" s="73"/>
      <c r="AW40" s="72"/>
      <c r="AX40" s="72"/>
      <c r="AY40" s="73"/>
      <c r="AZ40" s="72"/>
      <c r="BB40" s="72"/>
      <c r="BC40" s="73"/>
      <c r="BD40" s="72"/>
      <c r="BE40" s="72"/>
      <c r="BF40" s="72"/>
      <c r="BG40" s="73">
        <f t="shared" si="177"/>
        <v>0</v>
      </c>
      <c r="BH40" s="73">
        <f t="shared" si="178"/>
        <v>0</v>
      </c>
      <c r="BI40" s="106"/>
      <c r="BJ40" s="73">
        <f t="shared" si="180"/>
        <v>0</v>
      </c>
      <c r="BK40" s="227">
        <f t="shared" si="181"/>
        <v>0</v>
      </c>
      <c r="BL40" s="110"/>
      <c r="BM40" s="110"/>
      <c r="BN40" s="110"/>
      <c r="BO40" s="73">
        <f t="shared" si="182"/>
        <v>0</v>
      </c>
      <c r="BP40" s="110"/>
      <c r="BQ40" s="110"/>
      <c r="BR40" s="110"/>
      <c r="BS40" s="73">
        <f t="shared" si="183"/>
        <v>0</v>
      </c>
      <c r="BT40" s="110"/>
      <c r="BU40" s="110"/>
      <c r="BV40" s="110"/>
      <c r="BW40" s="73">
        <f t="shared" si="184"/>
        <v>0</v>
      </c>
      <c r="BX40" s="274"/>
      <c r="BY40" s="110"/>
      <c r="BZ40" s="110"/>
      <c r="CA40" s="73">
        <f t="shared" si="185"/>
        <v>0</v>
      </c>
      <c r="CB40" s="73">
        <f t="shared" si="186"/>
        <v>0</v>
      </c>
      <c r="CC40" s="106"/>
      <c r="CD40" s="73">
        <f t="shared" si="188"/>
        <v>0</v>
      </c>
      <c r="CE40" s="38" t="s">
        <v>379</v>
      </c>
    </row>
    <row r="41" spans="1:83">
      <c r="A41" s="38" t="s">
        <v>380</v>
      </c>
      <c r="B41" s="118">
        <v>1000</v>
      </c>
      <c r="C41" s="88">
        <f>'budget anual'!C91</f>
        <v>0</v>
      </c>
      <c r="D41" s="72"/>
      <c r="E41" s="72"/>
      <c r="F41" s="72"/>
      <c r="G41" s="73"/>
      <c r="I41" s="72"/>
      <c r="J41" s="72"/>
      <c r="K41" s="73"/>
      <c r="L41" s="72"/>
      <c r="M41" s="72"/>
      <c r="N41" s="72"/>
      <c r="O41" s="73"/>
      <c r="P41" s="72"/>
      <c r="Q41" s="72"/>
      <c r="R41" s="72"/>
      <c r="S41" s="73"/>
      <c r="T41" s="73">
        <f t="shared" si="164"/>
        <v>0</v>
      </c>
      <c r="U41" s="74"/>
      <c r="V41" s="75">
        <f t="shared" si="166"/>
        <v>0</v>
      </c>
      <c r="W41" s="47">
        <f>'budget anual'!D91</f>
        <v>0</v>
      </c>
      <c r="X41" s="72"/>
      <c r="Y41" s="72"/>
      <c r="Z41" s="72"/>
      <c r="AA41" s="73"/>
      <c r="AC41" s="72"/>
      <c r="AD41" s="72"/>
      <c r="AE41" s="73"/>
      <c r="AF41" s="72"/>
      <c r="AG41" s="72"/>
      <c r="AH41" s="72"/>
      <c r="AI41" s="73"/>
      <c r="AJ41" s="72"/>
      <c r="AK41" s="72"/>
      <c r="AL41" s="72"/>
      <c r="AM41" s="73"/>
      <c r="AN41" s="73">
        <f t="shared" si="171"/>
        <v>0</v>
      </c>
      <c r="AO41" s="74"/>
      <c r="AP41" s="73">
        <f t="shared" si="173"/>
        <v>0</v>
      </c>
      <c r="AQ41" s="47">
        <f>'budget anual'!E91</f>
        <v>0</v>
      </c>
      <c r="AR41" s="72"/>
      <c r="AS41" s="72"/>
      <c r="AT41" s="72"/>
      <c r="AU41" s="73"/>
      <c r="AW41" s="72"/>
      <c r="AX41" s="72"/>
      <c r="AY41" s="73"/>
      <c r="AZ41" s="72"/>
      <c r="BB41" s="72"/>
      <c r="BC41" s="73"/>
      <c r="BD41" s="72"/>
      <c r="BE41" s="72"/>
      <c r="BF41" s="72"/>
      <c r="BG41" s="73">
        <f t="shared" si="177"/>
        <v>0</v>
      </c>
      <c r="BH41" s="73">
        <f t="shared" si="178"/>
        <v>0</v>
      </c>
      <c r="BI41" s="106"/>
      <c r="BJ41" s="73">
        <f t="shared" si="180"/>
        <v>0</v>
      </c>
      <c r="BK41" s="227">
        <f t="shared" si="181"/>
        <v>1000</v>
      </c>
      <c r="BL41" s="110"/>
      <c r="BM41" s="110"/>
      <c r="BN41" s="110"/>
      <c r="BO41" s="73">
        <f t="shared" si="182"/>
        <v>0</v>
      </c>
      <c r="BP41" s="110"/>
      <c r="BQ41" s="110"/>
      <c r="BR41" s="110"/>
      <c r="BS41" s="73">
        <f t="shared" si="183"/>
        <v>0</v>
      </c>
      <c r="BT41" s="110"/>
      <c r="BU41" s="110"/>
      <c r="BV41" s="110"/>
      <c r="BW41" s="73">
        <f t="shared" si="184"/>
        <v>0</v>
      </c>
      <c r="BX41" s="274"/>
      <c r="BY41" s="110"/>
      <c r="BZ41" s="110"/>
      <c r="CA41" s="73">
        <f t="shared" si="185"/>
        <v>0</v>
      </c>
      <c r="CB41" s="73">
        <f t="shared" si="186"/>
        <v>0</v>
      </c>
      <c r="CC41" s="106"/>
      <c r="CD41" s="73">
        <f t="shared" si="188"/>
        <v>1000</v>
      </c>
      <c r="CE41" s="38" t="s">
        <v>380</v>
      </c>
    </row>
    <row r="42" spans="1:83" ht="15.95" thickBot="1">
      <c r="A42" s="155" t="s">
        <v>388</v>
      </c>
      <c r="B42" s="118">
        <v>1000</v>
      </c>
      <c r="C42" s="88">
        <v>0</v>
      </c>
      <c r="D42" s="72"/>
      <c r="E42" s="72"/>
      <c r="F42" s="72"/>
      <c r="G42" s="73"/>
      <c r="I42" s="72"/>
      <c r="J42" s="72"/>
      <c r="K42" s="73"/>
      <c r="L42" s="72"/>
      <c r="M42" s="72"/>
      <c r="N42" s="72"/>
      <c r="O42" s="73"/>
      <c r="P42" s="72"/>
      <c r="Q42" s="72"/>
      <c r="R42" s="72"/>
      <c r="S42" s="73"/>
      <c r="T42" s="73"/>
      <c r="U42" s="74"/>
      <c r="V42" s="75"/>
      <c r="W42" s="47">
        <v>0</v>
      </c>
      <c r="X42" s="72"/>
      <c r="Y42" s="72"/>
      <c r="Z42" s="72"/>
      <c r="AA42" s="73"/>
      <c r="AC42" s="72"/>
      <c r="AD42" s="72"/>
      <c r="AE42" s="73"/>
      <c r="AF42" s="72"/>
      <c r="AG42" s="72"/>
      <c r="AH42" s="72"/>
      <c r="AI42" s="73"/>
      <c r="AJ42" s="72"/>
      <c r="AK42" s="72"/>
      <c r="AL42" s="72"/>
      <c r="AM42" s="73"/>
      <c r="AN42" s="73"/>
      <c r="AO42" s="74"/>
      <c r="AP42" s="75"/>
      <c r="AQ42" s="47">
        <v>0</v>
      </c>
      <c r="AR42" s="72"/>
      <c r="AS42" s="72"/>
      <c r="AT42" s="72"/>
      <c r="AU42" s="73"/>
      <c r="AW42" s="72"/>
      <c r="AX42" s="72"/>
      <c r="AY42" s="73"/>
      <c r="AZ42" s="72"/>
      <c r="BB42" s="72"/>
      <c r="BC42" s="73"/>
      <c r="BD42" s="72"/>
      <c r="BE42" s="72"/>
      <c r="BF42" s="72"/>
      <c r="BG42" s="73">
        <f t="shared" si="177"/>
        <v>0</v>
      </c>
      <c r="BH42" s="73">
        <f t="shared" ref="BH42" si="189">AU42+AY42+BC42+BG42</f>
        <v>0</v>
      </c>
      <c r="BI42" s="106"/>
      <c r="BJ42" s="73">
        <f t="shared" ref="BJ42" si="190">(AP42+AQ42)-BH42</f>
        <v>0</v>
      </c>
      <c r="BK42" s="227">
        <f t="shared" si="181"/>
        <v>1000</v>
      </c>
      <c r="BL42" s="110"/>
      <c r="BM42" s="110"/>
      <c r="BN42" s="110"/>
      <c r="BO42" s="73">
        <f t="shared" si="182"/>
        <v>0</v>
      </c>
      <c r="BP42" s="110"/>
      <c r="BQ42" s="110"/>
      <c r="BR42" s="110"/>
      <c r="BS42" s="73">
        <f t="shared" si="183"/>
        <v>0</v>
      </c>
      <c r="BT42" s="110"/>
      <c r="BU42" s="110"/>
      <c r="BV42" s="110"/>
      <c r="BW42" s="73">
        <f t="shared" si="184"/>
        <v>0</v>
      </c>
      <c r="BX42" s="274"/>
      <c r="BY42" s="110"/>
      <c r="BZ42" s="110"/>
      <c r="CA42" s="73">
        <f t="shared" si="185"/>
        <v>0</v>
      </c>
      <c r="CB42" s="73">
        <f t="shared" si="186"/>
        <v>0</v>
      </c>
      <c r="CC42" s="106"/>
      <c r="CD42" s="73">
        <f t="shared" si="188"/>
        <v>1000</v>
      </c>
      <c r="CE42" s="155" t="s">
        <v>388</v>
      </c>
    </row>
    <row r="43" spans="1:83" ht="15.95" thickBot="1">
      <c r="A43" s="42"/>
      <c r="B43" s="77">
        <f>SUM(B38:B42)</f>
        <v>6937.5</v>
      </c>
      <c r="C43" s="77">
        <f t="shared" ref="C43:T43" si="191">SUM(C38)</f>
        <v>0</v>
      </c>
      <c r="D43" s="78">
        <f t="shared" si="191"/>
        <v>0</v>
      </c>
      <c r="E43" s="78">
        <f t="shared" si="191"/>
        <v>0</v>
      </c>
      <c r="F43" s="78">
        <f t="shared" si="191"/>
        <v>0</v>
      </c>
      <c r="G43" s="80">
        <f t="shared" si="191"/>
        <v>0</v>
      </c>
      <c r="H43" s="78">
        <f t="shared" si="191"/>
        <v>0</v>
      </c>
      <c r="I43" s="78">
        <f t="shared" si="191"/>
        <v>0</v>
      </c>
      <c r="J43" s="78">
        <f t="shared" si="191"/>
        <v>0</v>
      </c>
      <c r="K43" s="80">
        <f t="shared" si="191"/>
        <v>0</v>
      </c>
      <c r="L43" s="78">
        <f t="shared" si="191"/>
        <v>0</v>
      </c>
      <c r="M43" s="78">
        <f t="shared" si="191"/>
        <v>0</v>
      </c>
      <c r="N43" s="78">
        <f t="shared" si="191"/>
        <v>0</v>
      </c>
      <c r="O43" s="80">
        <f t="shared" si="191"/>
        <v>0</v>
      </c>
      <c r="P43" s="78">
        <f t="shared" si="191"/>
        <v>0</v>
      </c>
      <c r="Q43" s="78">
        <f t="shared" si="191"/>
        <v>0</v>
      </c>
      <c r="R43" s="78">
        <f t="shared" si="191"/>
        <v>0</v>
      </c>
      <c r="S43" s="80">
        <f t="shared" si="191"/>
        <v>0</v>
      </c>
      <c r="T43" s="81">
        <f t="shared" si="191"/>
        <v>0</v>
      </c>
      <c r="U43" s="82" t="e">
        <f t="shared" si="165"/>
        <v>#DIV/0!</v>
      </c>
      <c r="V43" s="83">
        <f>SUM(V38)</f>
        <v>0</v>
      </c>
      <c r="W43" s="77">
        <f>SUM(W38:W41)</f>
        <v>0</v>
      </c>
      <c r="X43" s="109">
        <f t="shared" ref="X43:AN43" si="192">SUM(X38)</f>
        <v>0</v>
      </c>
      <c r="Y43" s="78">
        <f t="shared" si="192"/>
        <v>0</v>
      </c>
      <c r="Z43" s="78">
        <f t="shared" si="192"/>
        <v>0</v>
      </c>
      <c r="AA43" s="80">
        <f t="shared" si="192"/>
        <v>0</v>
      </c>
      <c r="AB43" s="78">
        <f t="shared" si="192"/>
        <v>0</v>
      </c>
      <c r="AC43" s="78">
        <f t="shared" si="192"/>
        <v>0</v>
      </c>
      <c r="AD43" s="78">
        <f t="shared" si="192"/>
        <v>0</v>
      </c>
      <c r="AE43" s="80">
        <f t="shared" si="192"/>
        <v>0</v>
      </c>
      <c r="AF43" s="78">
        <f t="shared" si="192"/>
        <v>0</v>
      </c>
      <c r="AG43" s="78">
        <f t="shared" si="192"/>
        <v>0</v>
      </c>
      <c r="AH43" s="78">
        <f t="shared" si="192"/>
        <v>0</v>
      </c>
      <c r="AI43" s="80">
        <f t="shared" si="192"/>
        <v>0</v>
      </c>
      <c r="AJ43" s="78">
        <f t="shared" si="192"/>
        <v>0</v>
      </c>
      <c r="AK43" s="78">
        <f t="shared" si="192"/>
        <v>0</v>
      </c>
      <c r="AL43" s="78">
        <f t="shared" si="192"/>
        <v>0</v>
      </c>
      <c r="AM43" s="80">
        <f t="shared" si="192"/>
        <v>0</v>
      </c>
      <c r="AN43" s="81">
        <f t="shared" si="192"/>
        <v>0</v>
      </c>
      <c r="AO43" s="82" t="e">
        <f t="shared" ref="AO43" si="193">AN43/W43</f>
        <v>#DIV/0!</v>
      </c>
      <c r="AP43" s="83">
        <f>SUM(AP37:AP42)</f>
        <v>0</v>
      </c>
      <c r="AQ43" s="94">
        <f>SUM(AQ38:AQ42)</f>
        <v>0</v>
      </c>
      <c r="AR43" s="109">
        <f>SUM(AR37:AR42)</f>
        <v>0</v>
      </c>
      <c r="AS43" s="109">
        <f t="shared" ref="AS43:AT43" si="194">SUM(AS37:AS42)</f>
        <v>0</v>
      </c>
      <c r="AT43" s="109">
        <f t="shared" si="194"/>
        <v>0</v>
      </c>
      <c r="AU43" s="80">
        <f>SUM(AU38:AU42)</f>
        <v>0</v>
      </c>
      <c r="AV43" s="109">
        <f>SUM(AV37:AV42)</f>
        <v>0</v>
      </c>
      <c r="AW43" s="109">
        <f t="shared" ref="AW43" si="195">SUM(AW37:AW42)</f>
        <v>0</v>
      </c>
      <c r="AX43" s="109">
        <f t="shared" ref="AX43" si="196">SUM(AX37:AX42)</f>
        <v>0</v>
      </c>
      <c r="AY43" s="80">
        <f>SUM(AY38:AY42)</f>
        <v>0</v>
      </c>
      <c r="AZ43" s="109">
        <f>SUM(AZ37:AZ42)</f>
        <v>0</v>
      </c>
      <c r="BA43" s="192">
        <f t="shared" ref="BA43" si="197">SUM(BA37:BA42)</f>
        <v>0</v>
      </c>
      <c r="BB43" s="109">
        <f t="shared" ref="BB43" si="198">SUM(BB37:BB42)</f>
        <v>0</v>
      </c>
      <c r="BC43" s="80">
        <f>SUM(BC38:BC42)</f>
        <v>0</v>
      </c>
      <c r="BD43" s="109">
        <f>SUM(BD37:BD42)</f>
        <v>0</v>
      </c>
      <c r="BE43" s="109">
        <f t="shared" ref="BE43" si="199">SUM(BE37:BE42)</f>
        <v>0</v>
      </c>
      <c r="BF43" s="109">
        <f t="shared" ref="BF43" si="200">SUM(BF37:BF42)</f>
        <v>0</v>
      </c>
      <c r="BG43" s="80">
        <f>SUM(BG38:BG42)</f>
        <v>0</v>
      </c>
      <c r="BH43" s="81">
        <f>SUM(BH38:BH42)</f>
        <v>0</v>
      </c>
      <c r="BI43" s="121" t="e">
        <f t="shared" ref="BI43" si="201">BH43/AQ43</f>
        <v>#DIV/0!</v>
      </c>
      <c r="BJ43" s="123">
        <f>SUM(BJ38:BJ42)</f>
        <v>0</v>
      </c>
      <c r="BK43" s="229">
        <f>SUM(BK38:BK42)</f>
        <v>6937.5</v>
      </c>
      <c r="BL43" s="78">
        <f t="shared" ref="BL43:BM43" si="202">SUM(BL37:BL42)</f>
        <v>0</v>
      </c>
      <c r="BM43" s="78">
        <f t="shared" si="202"/>
        <v>0</v>
      </c>
      <c r="BN43" s="78">
        <f t="shared" ref="BN43" si="203">SUM(BN37:BN42)</f>
        <v>0</v>
      </c>
      <c r="BO43" s="80">
        <f>SUM(BO38:BO42)</f>
        <v>0</v>
      </c>
      <c r="BP43" s="78">
        <f t="shared" ref="BP43:BR43" si="204">SUM(BP37:BP42)</f>
        <v>0</v>
      </c>
      <c r="BQ43" s="78">
        <f t="shared" si="204"/>
        <v>0</v>
      </c>
      <c r="BR43" s="78">
        <f t="shared" si="204"/>
        <v>4687.5</v>
      </c>
      <c r="BS43" s="80">
        <f>SUM(BS38:BS42)</f>
        <v>4687.5</v>
      </c>
      <c r="BT43" s="78">
        <f t="shared" ref="BT43:BV43" si="205">SUM(BT37:BT42)</f>
        <v>0</v>
      </c>
      <c r="BU43" s="78">
        <f t="shared" si="205"/>
        <v>0</v>
      </c>
      <c r="BV43" s="78">
        <f t="shared" si="205"/>
        <v>0</v>
      </c>
      <c r="BW43" s="80">
        <f>SUM(BW38:BW42)</f>
        <v>0</v>
      </c>
      <c r="BX43" s="275">
        <f t="shared" ref="BX43:BZ43" si="206">SUM(BX37:BX42)</f>
        <v>0</v>
      </c>
      <c r="BY43" s="78">
        <f t="shared" si="206"/>
        <v>0</v>
      </c>
      <c r="BZ43" s="78">
        <f t="shared" si="206"/>
        <v>0</v>
      </c>
      <c r="CA43" s="80">
        <f>SUM(CA38:CA42)</f>
        <v>0</v>
      </c>
      <c r="CB43" s="81">
        <f>SUM(CB38:CB42)</f>
        <v>4687.5</v>
      </c>
      <c r="CC43" s="121">
        <f t="shared" ref="CC43" si="207">CB43/BK43</f>
        <v>0.67567567567567566</v>
      </c>
      <c r="CD43" s="123">
        <f>SUM(CD38:CD42)</f>
        <v>2250</v>
      </c>
      <c r="CE43" s="42"/>
    </row>
    <row r="44" spans="1:83" ht="15.95" thickBot="1">
      <c r="A44" s="41" t="s">
        <v>389</v>
      </c>
      <c r="B44" s="89"/>
      <c r="C44" s="90"/>
      <c r="D44" s="65"/>
      <c r="E44" s="65"/>
      <c r="F44" s="65"/>
      <c r="G44" s="73"/>
      <c r="I44" s="72"/>
      <c r="J44" s="72"/>
      <c r="K44" s="73"/>
      <c r="L44" s="72"/>
      <c r="M44" s="72"/>
      <c r="N44" s="72"/>
      <c r="O44" s="73"/>
      <c r="P44" s="72"/>
      <c r="Q44" s="72"/>
      <c r="R44" s="72"/>
      <c r="S44" s="73"/>
      <c r="T44" s="73"/>
      <c r="U44" s="74"/>
      <c r="V44" s="75"/>
      <c r="W44" s="90"/>
      <c r="X44" s="65"/>
      <c r="Y44" s="65"/>
      <c r="Z44" s="65"/>
      <c r="AA44" s="73"/>
      <c r="AC44" s="72"/>
      <c r="AD44" s="72"/>
      <c r="AE44" s="73"/>
      <c r="AF44" s="72"/>
      <c r="AG44" s="72"/>
      <c r="AH44" s="72"/>
      <c r="AI44" s="73"/>
      <c r="AJ44" s="72"/>
      <c r="AK44" s="72"/>
      <c r="AL44" s="72"/>
      <c r="AM44" s="73"/>
      <c r="AN44" s="73"/>
      <c r="AO44" s="74"/>
      <c r="AP44" s="75"/>
      <c r="AQ44" s="90"/>
      <c r="AR44" s="65"/>
      <c r="AS44" s="65"/>
      <c r="AT44" s="65"/>
      <c r="AU44" s="73"/>
      <c r="AV44" s="65"/>
      <c r="AW44" s="65"/>
      <c r="AX44" s="65"/>
      <c r="AY44" s="73"/>
      <c r="AZ44" s="65"/>
      <c r="BA44" s="190"/>
      <c r="BB44" s="65"/>
      <c r="BC44" s="73"/>
      <c r="BD44" s="65"/>
      <c r="BE44" s="65"/>
      <c r="BF44" s="65"/>
      <c r="BG44" s="73"/>
      <c r="BH44" s="73"/>
      <c r="BI44" s="106"/>
      <c r="BJ44" s="73"/>
      <c r="BK44" s="64"/>
      <c r="BL44" s="90"/>
      <c r="BM44" s="90"/>
      <c r="BN44" s="90"/>
      <c r="BO44" s="73"/>
      <c r="BP44" s="90"/>
      <c r="BQ44" s="90"/>
      <c r="BR44" s="90"/>
      <c r="BS44" s="73"/>
      <c r="BT44" s="90"/>
      <c r="BU44" s="90"/>
      <c r="BV44" s="90"/>
      <c r="BW44" s="73"/>
      <c r="BX44" s="273"/>
      <c r="BY44" s="90"/>
      <c r="BZ44" s="90"/>
      <c r="CA44" s="73"/>
      <c r="CB44" s="73"/>
      <c r="CC44" s="106"/>
      <c r="CD44" s="73"/>
      <c r="CE44" s="41" t="s">
        <v>389</v>
      </c>
    </row>
    <row r="45" spans="1:83">
      <c r="A45" s="172" t="s">
        <v>390</v>
      </c>
      <c r="B45" s="69">
        <v>15000</v>
      </c>
      <c r="C45" s="88" t="e">
        <f>'budget anual'!C98</f>
        <v>#REF!</v>
      </c>
      <c r="D45" s="92"/>
      <c r="G45" s="73"/>
      <c r="H45" s="71"/>
      <c r="I45" s="100"/>
      <c r="K45" s="73"/>
      <c r="L45" s="92"/>
      <c r="O45" s="73"/>
      <c r="P45" s="92"/>
      <c r="S45" s="73"/>
      <c r="T45" s="73"/>
      <c r="U45" s="93"/>
      <c r="V45" s="75"/>
      <c r="W45" s="47" t="e">
        <f>'budget anual'!D98</f>
        <v>#REF!</v>
      </c>
      <c r="X45" s="92">
        <v>950</v>
      </c>
      <c r="Y45" s="53">
        <v>1048.77</v>
      </c>
      <c r="Z45" s="53">
        <v>2240.0100000000002</v>
      </c>
      <c r="AA45" s="73">
        <f t="shared" ref="AA45" si="208">SUM(X45:Z45)</f>
        <v>4238.7800000000007</v>
      </c>
      <c r="AB45" s="92"/>
      <c r="AE45" s="73">
        <f t="shared" ref="AE45" si="209">SUM(AB45:AD45)</f>
        <v>0</v>
      </c>
      <c r="AF45" s="92"/>
      <c r="AI45" s="73">
        <f t="shared" ref="AI45" si="210">SUM(AF45:AH45)</f>
        <v>0</v>
      </c>
      <c r="AJ45" s="92"/>
      <c r="AM45" s="73">
        <f t="shared" ref="AM45" si="211">SUM(AJ45:AL45)</f>
        <v>0</v>
      </c>
      <c r="AN45" s="73">
        <f t="shared" ref="AN45" si="212">AA45+AE45+AI45+AM45</f>
        <v>4238.7800000000007</v>
      </c>
      <c r="AO45" s="93"/>
      <c r="AP45" s="75" t="e">
        <f t="shared" ref="AP45" si="213">(V45+W45)-AN45</f>
        <v>#REF!</v>
      </c>
      <c r="AQ45" s="47">
        <f>'budget anual'!E98</f>
        <v>10761.22</v>
      </c>
      <c r="AU45" s="73">
        <f t="shared" ref="AU45:AU46" si="214">SUM(AR45:AT45)</f>
        <v>0</v>
      </c>
      <c r="AV45" s="92"/>
      <c r="AX45" s="53">
        <v>2163.75</v>
      </c>
      <c r="AY45" s="73">
        <f t="shared" ref="AY45:AY46" si="215">SUM(AV45:AX45)</f>
        <v>2163.75</v>
      </c>
      <c r="AZ45" s="92">
        <v>5197.6000000000004</v>
      </c>
      <c r="BA45" s="127">
        <v>1029.9000000000001</v>
      </c>
      <c r="BB45" s="53">
        <v>412.55</v>
      </c>
      <c r="BC45" s="73">
        <f t="shared" ref="BC45:BC46" si="216">SUM(AZ45:BB45)</f>
        <v>6640.05</v>
      </c>
      <c r="BD45" s="92">
        <v>611.84</v>
      </c>
      <c r="BF45" s="72">
        <v>2678.83</v>
      </c>
      <c r="BG45" s="73">
        <f t="shared" ref="BG45:BG49" si="217">SUM(BD45:BF45)</f>
        <v>3290.67</v>
      </c>
      <c r="BH45" s="73">
        <f t="shared" ref="BH45:BH46" si="218">AU45+AY45+BC45+BG45</f>
        <v>12094.47</v>
      </c>
      <c r="BI45" s="92"/>
      <c r="BJ45" s="73" t="e">
        <f t="shared" ref="BJ45:BJ46" si="219">(AP45+AQ45)-BH45</f>
        <v>#REF!</v>
      </c>
      <c r="BK45" s="227">
        <f t="shared" ref="BK45:BK49" si="220">B45-T45-AN45-BH45</f>
        <v>-1333.25</v>
      </c>
      <c r="BL45" s="110">
        <v>28.5</v>
      </c>
      <c r="BM45" s="110">
        <v>-100.89</v>
      </c>
      <c r="BN45" s="110"/>
      <c r="BO45" s="73">
        <f t="shared" ref="BO45:BO49" si="221">SUM(BL45:BN45)</f>
        <v>-72.39</v>
      </c>
      <c r="BP45" s="110"/>
      <c r="BQ45" s="110"/>
      <c r="BR45" s="110"/>
      <c r="BS45" s="73">
        <f t="shared" ref="BS45:BS49" si="222">SUM(BP45:BR45)</f>
        <v>0</v>
      </c>
      <c r="BT45" s="110"/>
      <c r="BU45" s="110"/>
      <c r="BV45" s="110"/>
      <c r="BW45" s="73">
        <f t="shared" ref="BW45:BW49" si="223">SUM(BT45:BV45)</f>
        <v>0</v>
      </c>
      <c r="BX45" s="274"/>
      <c r="BY45" s="110"/>
      <c r="BZ45" s="110"/>
      <c r="CA45" s="73">
        <f t="shared" ref="CA45:CA49" si="224">SUM(BX45:BZ45)</f>
        <v>0</v>
      </c>
      <c r="CB45" s="73">
        <f t="shared" ref="CB45:CB49" si="225">BO45+BS45+BW45+CA45</f>
        <v>-72.39</v>
      </c>
      <c r="CC45" s="92"/>
      <c r="CD45" s="73">
        <f t="shared" ref="CD45:CD49" si="226">BK45-CB45</f>
        <v>-1260.8599999999999</v>
      </c>
      <c r="CE45" s="172" t="s">
        <v>390</v>
      </c>
    </row>
    <row r="46" spans="1:83">
      <c r="A46" s="38" t="s">
        <v>391</v>
      </c>
      <c r="B46" s="69">
        <v>138525</v>
      </c>
      <c r="C46" s="70">
        <f>'budget anual'!C101</f>
        <v>0</v>
      </c>
      <c r="D46" s="72"/>
      <c r="E46" s="72"/>
      <c r="F46" s="72"/>
      <c r="G46" s="73">
        <f t="shared" ref="G46" si="227">SUM(D46:F46)</f>
        <v>0</v>
      </c>
      <c r="I46" s="72"/>
      <c r="J46" s="72"/>
      <c r="K46" s="73">
        <f t="shared" ref="K46" si="228">SUM(H46:J46)</f>
        <v>0</v>
      </c>
      <c r="L46" s="72"/>
      <c r="M46" s="72"/>
      <c r="N46" s="72"/>
      <c r="O46" s="73">
        <f t="shared" ref="O46" si="229">SUM(L46:N46)</f>
        <v>0</v>
      </c>
      <c r="P46" s="72"/>
      <c r="Q46" s="72"/>
      <c r="R46" s="72"/>
      <c r="S46" s="73">
        <f t="shared" ref="S46" si="230">SUM(P46:R46)</f>
        <v>0</v>
      </c>
      <c r="T46" s="73">
        <f t="shared" ref="T46" si="231">G46+K46+O46+S46</f>
        <v>0</v>
      </c>
      <c r="U46" s="74" t="e">
        <f t="shared" ref="U46" si="232">T46/C46</f>
        <v>#DIV/0!</v>
      </c>
      <c r="V46" s="75">
        <f t="shared" ref="V46" si="233">C46-T46</f>
        <v>0</v>
      </c>
      <c r="W46" s="70">
        <f>'budget anual'!D101</f>
        <v>76000</v>
      </c>
      <c r="X46" s="72">
        <v>18900</v>
      </c>
      <c r="Y46" s="72"/>
      <c r="Z46" s="72"/>
      <c r="AA46" s="73">
        <f t="shared" ref="AA46" si="234">SUM(X46:Z46)</f>
        <v>18900</v>
      </c>
      <c r="AC46" s="72"/>
      <c r="AD46" s="72">
        <v>58000</v>
      </c>
      <c r="AE46" s="73">
        <f t="shared" ref="AE46" si="235">SUM(AB46:AD46)</f>
        <v>58000</v>
      </c>
      <c r="AF46" s="72"/>
      <c r="AG46" s="72"/>
      <c r="AH46" s="72"/>
      <c r="AI46" s="73">
        <f t="shared" ref="AI46" si="236">SUM(AF46:AH46)</f>
        <v>0</v>
      </c>
      <c r="AJ46" s="72"/>
      <c r="AK46" s="72"/>
      <c r="AL46" s="72"/>
      <c r="AM46" s="73">
        <f t="shared" ref="AM46" si="237">SUM(AJ46:AL46)</f>
        <v>0</v>
      </c>
      <c r="AN46" s="73">
        <f t="shared" ref="AN46" si="238">AA46+AE46+AI46+AM46</f>
        <v>76900</v>
      </c>
      <c r="AO46" s="74">
        <f t="shared" ref="AO46:AO50" si="239">AN46/W46</f>
        <v>1.0118421052631579</v>
      </c>
      <c r="AP46" s="75">
        <f t="shared" ref="AP46" si="240">(V46+W46)-AN46</f>
        <v>-900</v>
      </c>
      <c r="AQ46" s="47">
        <f>'budget anual'!E101</f>
        <v>2410</v>
      </c>
      <c r="AR46" s="72"/>
      <c r="AS46" s="72"/>
      <c r="AT46" s="72"/>
      <c r="AU46" s="73">
        <f t="shared" si="214"/>
        <v>0</v>
      </c>
      <c r="AW46" s="72"/>
      <c r="AX46" s="72"/>
      <c r="AY46" s="73">
        <f t="shared" si="215"/>
        <v>0</v>
      </c>
      <c r="AZ46" s="72"/>
      <c r="BB46" s="72"/>
      <c r="BC46" s="73">
        <f t="shared" si="216"/>
        <v>0</v>
      </c>
      <c r="BD46" s="72"/>
      <c r="BE46" s="72"/>
      <c r="BF46" s="72">
        <v>26140</v>
      </c>
      <c r="BG46" s="73">
        <f t="shared" si="217"/>
        <v>26140</v>
      </c>
      <c r="BH46" s="73">
        <f t="shared" si="218"/>
        <v>26140</v>
      </c>
      <c r="BI46" s="106">
        <f t="shared" ref="BI46:BI50" si="241">BH46/AQ46</f>
        <v>10.846473029045644</v>
      </c>
      <c r="BJ46" s="73">
        <f t="shared" si="219"/>
        <v>-24630</v>
      </c>
      <c r="BK46" s="227">
        <f t="shared" si="220"/>
        <v>35485</v>
      </c>
      <c r="BL46" s="110"/>
      <c r="BM46" s="110"/>
      <c r="BN46" s="110"/>
      <c r="BO46" s="73">
        <f t="shared" si="221"/>
        <v>0</v>
      </c>
      <c r="BP46" s="110">
        <v>31308</v>
      </c>
      <c r="BQ46" s="110"/>
      <c r="BR46" s="110"/>
      <c r="BS46" s="73">
        <f t="shared" si="222"/>
        <v>31308</v>
      </c>
      <c r="BT46" s="110"/>
      <c r="BU46" s="110"/>
      <c r="BV46" s="110">
        <v>1500</v>
      </c>
      <c r="BW46" s="73">
        <f t="shared" si="223"/>
        <v>1500</v>
      </c>
      <c r="BX46" s="274"/>
      <c r="BY46" s="110">
        <v>-297.18</v>
      </c>
      <c r="BZ46" s="110"/>
      <c r="CA46" s="73">
        <f t="shared" si="224"/>
        <v>-297.18</v>
      </c>
      <c r="CB46" s="73">
        <f t="shared" si="225"/>
        <v>32510.82</v>
      </c>
      <c r="CC46" s="106">
        <f t="shared" ref="CC46" si="242">CB46/BK46</f>
        <v>0.91618486684514577</v>
      </c>
      <c r="CD46" s="73">
        <f t="shared" si="226"/>
        <v>2974.1800000000003</v>
      </c>
      <c r="CE46" s="38" t="s">
        <v>391</v>
      </c>
    </row>
    <row r="47" spans="1:83">
      <c r="A47" s="38" t="s">
        <v>392</v>
      </c>
      <c r="B47" s="69">
        <v>18500</v>
      </c>
      <c r="C47" s="70">
        <v>0</v>
      </c>
      <c r="D47" s="72"/>
      <c r="E47" s="72"/>
      <c r="F47" s="72"/>
      <c r="G47" s="73"/>
      <c r="I47" s="72"/>
      <c r="J47" s="72"/>
      <c r="K47" s="73"/>
      <c r="L47" s="72"/>
      <c r="M47" s="72"/>
      <c r="N47" s="72"/>
      <c r="O47" s="73"/>
      <c r="P47" s="72"/>
      <c r="Q47" s="72"/>
      <c r="R47" s="72"/>
      <c r="S47" s="73"/>
      <c r="T47" s="73"/>
      <c r="U47" s="74"/>
      <c r="V47" s="75"/>
      <c r="W47" s="70">
        <v>0</v>
      </c>
      <c r="X47" s="72"/>
      <c r="Y47" s="72"/>
      <c r="Z47" s="72"/>
      <c r="AA47" s="73"/>
      <c r="AC47" s="72"/>
      <c r="AD47" s="72"/>
      <c r="AE47" s="73"/>
      <c r="AF47" s="72"/>
      <c r="AG47" s="72"/>
      <c r="AH47" s="72"/>
      <c r="AI47" s="73"/>
      <c r="AJ47" s="72"/>
      <c r="AK47" s="72"/>
      <c r="AL47" s="72"/>
      <c r="AM47" s="73"/>
      <c r="AN47" s="73"/>
      <c r="AO47" s="74"/>
      <c r="AP47" s="75"/>
      <c r="AQ47" s="47">
        <v>0</v>
      </c>
      <c r="AR47" s="72"/>
      <c r="AS47" s="72"/>
      <c r="AT47" s="72"/>
      <c r="AU47" s="73"/>
      <c r="AW47" s="72"/>
      <c r="AX47" s="72"/>
      <c r="AY47" s="73"/>
      <c r="AZ47" s="72"/>
      <c r="BB47" s="72"/>
      <c r="BC47" s="73"/>
      <c r="BD47" s="72"/>
      <c r="BE47" s="72"/>
      <c r="BF47" s="72"/>
      <c r="BG47" s="73">
        <f t="shared" ref="BG47:BG48" si="243">SUM(BD47:BF47)</f>
        <v>0</v>
      </c>
      <c r="BH47" s="73">
        <f t="shared" ref="BH47:BH48" si="244">AU47+AY47+BC47+BG47</f>
        <v>0</v>
      </c>
      <c r="BI47" s="106"/>
      <c r="BJ47" s="73">
        <f t="shared" ref="BJ47:BJ48" si="245">(AP47+AQ47)-BH47</f>
        <v>0</v>
      </c>
      <c r="BK47" s="227">
        <f t="shared" si="220"/>
        <v>18500</v>
      </c>
      <c r="BL47" s="110"/>
      <c r="BM47" s="110"/>
      <c r="BN47" s="110"/>
      <c r="BO47" s="73">
        <f t="shared" si="221"/>
        <v>0</v>
      </c>
      <c r="BP47" s="110">
        <v>126.21</v>
      </c>
      <c r="BQ47" s="110">
        <v>300</v>
      </c>
      <c r="BR47" s="110">
        <v>416.21</v>
      </c>
      <c r="BS47" s="73">
        <f t="shared" si="222"/>
        <v>842.42</v>
      </c>
      <c r="BT47" s="110">
        <v>560</v>
      </c>
      <c r="BU47" s="110">
        <v>1269.79</v>
      </c>
      <c r="BV47" s="110">
        <v>1050</v>
      </c>
      <c r="BW47" s="73">
        <f t="shared" si="223"/>
        <v>2879.79</v>
      </c>
      <c r="BX47" s="274">
        <v>-450</v>
      </c>
      <c r="BY47" s="110"/>
      <c r="BZ47" s="110"/>
      <c r="CA47" s="73">
        <f t="shared" si="224"/>
        <v>-450</v>
      </c>
      <c r="CB47" s="73">
        <f t="shared" si="225"/>
        <v>3272.21</v>
      </c>
      <c r="CC47" s="106"/>
      <c r="CD47" s="73">
        <f t="shared" si="226"/>
        <v>15227.79</v>
      </c>
      <c r="CE47" s="38" t="s">
        <v>392</v>
      </c>
    </row>
    <row r="48" spans="1:83">
      <c r="A48" s="38" t="s">
        <v>393</v>
      </c>
      <c r="B48" s="69">
        <v>39500</v>
      </c>
      <c r="C48" s="70">
        <v>0</v>
      </c>
      <c r="D48" s="72"/>
      <c r="E48" s="72"/>
      <c r="F48" s="72"/>
      <c r="G48" s="73"/>
      <c r="I48" s="72"/>
      <c r="J48" s="72"/>
      <c r="K48" s="73"/>
      <c r="L48" s="72"/>
      <c r="M48" s="72"/>
      <c r="N48" s="72"/>
      <c r="O48" s="73"/>
      <c r="P48" s="72"/>
      <c r="Q48" s="72"/>
      <c r="R48" s="72"/>
      <c r="S48" s="73"/>
      <c r="T48" s="73"/>
      <c r="U48" s="74"/>
      <c r="V48" s="75"/>
      <c r="W48" s="70">
        <v>0</v>
      </c>
      <c r="X48" s="72"/>
      <c r="Y48" s="72"/>
      <c r="Z48" s="72"/>
      <c r="AA48" s="73"/>
      <c r="AC48" s="72"/>
      <c r="AD48" s="72"/>
      <c r="AE48" s="73"/>
      <c r="AF48" s="72"/>
      <c r="AG48" s="72"/>
      <c r="AH48" s="72"/>
      <c r="AI48" s="73"/>
      <c r="AJ48" s="72"/>
      <c r="AK48" s="72"/>
      <c r="AL48" s="72"/>
      <c r="AM48" s="73"/>
      <c r="AN48" s="73"/>
      <c r="AO48" s="74"/>
      <c r="AP48" s="75"/>
      <c r="AQ48" s="47">
        <v>0</v>
      </c>
      <c r="AR48" s="72"/>
      <c r="AS48" s="72"/>
      <c r="AT48" s="72"/>
      <c r="AU48" s="73"/>
      <c r="AW48" s="72"/>
      <c r="AX48" s="72"/>
      <c r="AY48" s="73"/>
      <c r="AZ48" s="72"/>
      <c r="BB48" s="72"/>
      <c r="BC48" s="73"/>
      <c r="BD48" s="72"/>
      <c r="BE48" s="72"/>
      <c r="BF48" s="72"/>
      <c r="BG48" s="73">
        <f t="shared" si="243"/>
        <v>0</v>
      </c>
      <c r="BH48" s="73">
        <f t="shared" si="244"/>
        <v>0</v>
      </c>
      <c r="BI48" s="106"/>
      <c r="BJ48" s="73">
        <f t="shared" si="245"/>
        <v>0</v>
      </c>
      <c r="BK48" s="227">
        <f t="shared" si="220"/>
        <v>39500</v>
      </c>
      <c r="BL48" s="110">
        <v>1999.84</v>
      </c>
      <c r="BM48" s="110">
        <v>2582.89</v>
      </c>
      <c r="BN48" s="110">
        <v>674.15</v>
      </c>
      <c r="BO48" s="73">
        <f t="shared" si="221"/>
        <v>5256.8799999999992</v>
      </c>
      <c r="BP48" s="110">
        <v>1124.3</v>
      </c>
      <c r="BQ48" s="110">
        <v>5234.04</v>
      </c>
      <c r="BR48" s="110">
        <v>1875.7</v>
      </c>
      <c r="BS48" s="73">
        <f t="shared" si="222"/>
        <v>8234.0400000000009</v>
      </c>
      <c r="BT48" s="110">
        <v>2727.64</v>
      </c>
      <c r="BU48" s="110">
        <v>4777.7</v>
      </c>
      <c r="BV48" s="110">
        <v>3465.76</v>
      </c>
      <c r="BW48" s="73">
        <f t="shared" si="223"/>
        <v>10971.1</v>
      </c>
      <c r="BX48" s="274"/>
      <c r="BY48" s="110"/>
      <c r="BZ48" s="110"/>
      <c r="CA48" s="73">
        <f t="shared" si="224"/>
        <v>0</v>
      </c>
      <c r="CB48" s="73">
        <f t="shared" si="225"/>
        <v>24462.02</v>
      </c>
      <c r="CC48" s="106"/>
      <c r="CD48" s="73">
        <f t="shared" si="226"/>
        <v>15037.98</v>
      </c>
      <c r="CE48" s="38" t="s">
        <v>393</v>
      </c>
    </row>
    <row r="49" spans="1:83" ht="15.95" thickBot="1">
      <c r="A49" s="195" t="s">
        <v>394</v>
      </c>
      <c r="B49" s="69">
        <v>40300</v>
      </c>
      <c r="C49" s="70">
        <v>0</v>
      </c>
      <c r="D49" s="72"/>
      <c r="E49" s="72"/>
      <c r="F49" s="72"/>
      <c r="G49" s="73"/>
      <c r="I49" s="72"/>
      <c r="J49" s="72"/>
      <c r="K49" s="73"/>
      <c r="L49" s="72"/>
      <c r="M49" s="72"/>
      <c r="N49" s="72"/>
      <c r="O49" s="73"/>
      <c r="P49" s="72"/>
      <c r="Q49" s="72"/>
      <c r="R49" s="72"/>
      <c r="S49" s="73"/>
      <c r="T49" s="73"/>
      <c r="U49" s="74"/>
      <c r="V49" s="75"/>
      <c r="W49" s="70">
        <v>0</v>
      </c>
      <c r="X49" s="72"/>
      <c r="Y49" s="72"/>
      <c r="Z49" s="72"/>
      <c r="AA49" s="73"/>
      <c r="AC49" s="72"/>
      <c r="AD49" s="72"/>
      <c r="AE49" s="73"/>
      <c r="AF49" s="72"/>
      <c r="AG49" s="72"/>
      <c r="AH49" s="72"/>
      <c r="AI49" s="73"/>
      <c r="AJ49" s="72"/>
      <c r="AK49" s="72"/>
      <c r="AL49" s="72"/>
      <c r="AM49" s="73"/>
      <c r="AN49" s="73"/>
      <c r="AO49" s="74"/>
      <c r="AP49" s="75"/>
      <c r="AQ49" s="48">
        <f>'budget anual'!E103</f>
        <v>5596.47</v>
      </c>
      <c r="AR49" s="72"/>
      <c r="AS49" s="72"/>
      <c r="AT49" s="72"/>
      <c r="AU49" s="73"/>
      <c r="AW49" s="72"/>
      <c r="AX49" s="72"/>
      <c r="AY49" s="73"/>
      <c r="AZ49" s="72"/>
      <c r="BB49" s="72"/>
      <c r="BC49" s="73"/>
      <c r="BD49" s="72">
        <v>1193.5</v>
      </c>
      <c r="BE49" s="72">
        <v>3199.99</v>
      </c>
      <c r="BF49" s="72">
        <v>1202.98</v>
      </c>
      <c r="BG49" s="73">
        <f t="shared" si="217"/>
        <v>5596.4699999999993</v>
      </c>
      <c r="BH49" s="73">
        <f t="shared" ref="BH49" si="246">AU49+AY49+BC49+BG49</f>
        <v>5596.4699999999993</v>
      </c>
      <c r="BI49" s="106"/>
      <c r="BJ49" s="73">
        <f t="shared" ref="BJ49" si="247">(AP49+AQ49)-BH49</f>
        <v>0</v>
      </c>
      <c r="BK49" s="227">
        <f t="shared" si="220"/>
        <v>34703.53</v>
      </c>
      <c r="BL49" s="110">
        <v>4128.54</v>
      </c>
      <c r="BM49" s="110">
        <v>1813.26</v>
      </c>
      <c r="BN49" s="110">
        <v>1890.29</v>
      </c>
      <c r="BO49" s="73">
        <f t="shared" si="221"/>
        <v>7832.09</v>
      </c>
      <c r="BP49" s="110">
        <v>1202.47</v>
      </c>
      <c r="BQ49" s="110">
        <v>1730</v>
      </c>
      <c r="BR49" s="110">
        <v>470.96</v>
      </c>
      <c r="BS49" s="73">
        <f t="shared" si="222"/>
        <v>3403.4300000000003</v>
      </c>
      <c r="BT49" s="110">
        <f>2927.5+557.04</f>
        <v>3484.54</v>
      </c>
      <c r="BU49" s="110">
        <f>4136.16+250+20</f>
        <v>4406.16</v>
      </c>
      <c r="BV49" s="110">
        <v>3005.92</v>
      </c>
      <c r="BW49" s="73">
        <f t="shared" si="223"/>
        <v>10896.619999999999</v>
      </c>
      <c r="BX49" s="274">
        <v>250</v>
      </c>
      <c r="BY49" s="110">
        <v>354.92</v>
      </c>
      <c r="BZ49" s="110">
        <v>-195</v>
      </c>
      <c r="CA49" s="73">
        <f t="shared" si="224"/>
        <v>409.92000000000007</v>
      </c>
      <c r="CB49" s="73">
        <f t="shared" si="225"/>
        <v>22542.059999999998</v>
      </c>
      <c r="CC49" s="106"/>
      <c r="CD49" s="73">
        <f t="shared" si="226"/>
        <v>12161.470000000001</v>
      </c>
      <c r="CE49" s="195" t="s">
        <v>394</v>
      </c>
    </row>
    <row r="50" spans="1:83" ht="15.95" thickBot="1">
      <c r="A50" s="42"/>
      <c r="B50" s="77">
        <f>SUM(B45:B49)</f>
        <v>251825</v>
      </c>
      <c r="C50" s="77" t="e">
        <f t="shared" ref="C50:AN50" si="248">SUM(C45:C46)</f>
        <v>#REF!</v>
      </c>
      <c r="D50" s="78">
        <f t="shared" si="248"/>
        <v>0</v>
      </c>
      <c r="E50" s="78">
        <f t="shared" si="248"/>
        <v>0</v>
      </c>
      <c r="F50" s="78">
        <f t="shared" si="248"/>
        <v>0</v>
      </c>
      <c r="G50" s="80">
        <f t="shared" si="248"/>
        <v>0</v>
      </c>
      <c r="H50" s="78">
        <f t="shared" si="248"/>
        <v>0</v>
      </c>
      <c r="I50" s="78">
        <f t="shared" si="248"/>
        <v>0</v>
      </c>
      <c r="J50" s="78">
        <f t="shared" si="248"/>
        <v>0</v>
      </c>
      <c r="K50" s="80">
        <f t="shared" si="248"/>
        <v>0</v>
      </c>
      <c r="L50" s="78">
        <f t="shared" si="248"/>
        <v>0</v>
      </c>
      <c r="M50" s="78">
        <f t="shared" si="248"/>
        <v>0</v>
      </c>
      <c r="N50" s="78">
        <f t="shared" si="248"/>
        <v>0</v>
      </c>
      <c r="O50" s="80">
        <f t="shared" si="248"/>
        <v>0</v>
      </c>
      <c r="P50" s="78">
        <f t="shared" si="248"/>
        <v>0</v>
      </c>
      <c r="Q50" s="78">
        <f t="shared" si="248"/>
        <v>0</v>
      </c>
      <c r="R50" s="78">
        <f t="shared" si="248"/>
        <v>0</v>
      </c>
      <c r="S50" s="80">
        <f t="shared" si="248"/>
        <v>0</v>
      </c>
      <c r="T50" s="81">
        <f t="shared" si="248"/>
        <v>0</v>
      </c>
      <c r="U50" s="82" t="e">
        <f t="shared" si="248"/>
        <v>#DIV/0!</v>
      </c>
      <c r="V50" s="83">
        <f t="shared" si="248"/>
        <v>0</v>
      </c>
      <c r="W50" s="77" t="e">
        <f t="shared" si="248"/>
        <v>#REF!</v>
      </c>
      <c r="X50" s="109">
        <f t="shared" si="248"/>
        <v>19850</v>
      </c>
      <c r="Y50" s="78">
        <f t="shared" si="248"/>
        <v>1048.77</v>
      </c>
      <c r="Z50" s="78">
        <f t="shared" si="248"/>
        <v>2240.0100000000002</v>
      </c>
      <c r="AA50" s="80">
        <f t="shared" si="248"/>
        <v>23138.78</v>
      </c>
      <c r="AB50" s="78">
        <f t="shared" si="248"/>
        <v>0</v>
      </c>
      <c r="AC50" s="78">
        <f t="shared" si="248"/>
        <v>0</v>
      </c>
      <c r="AD50" s="78">
        <f t="shared" si="248"/>
        <v>58000</v>
      </c>
      <c r="AE50" s="80">
        <f t="shared" si="248"/>
        <v>58000</v>
      </c>
      <c r="AF50" s="78">
        <f t="shared" si="248"/>
        <v>0</v>
      </c>
      <c r="AG50" s="78">
        <f t="shared" si="248"/>
        <v>0</v>
      </c>
      <c r="AH50" s="78">
        <f t="shared" si="248"/>
        <v>0</v>
      </c>
      <c r="AI50" s="80">
        <f t="shared" si="248"/>
        <v>0</v>
      </c>
      <c r="AJ50" s="78">
        <f t="shared" si="248"/>
        <v>0</v>
      </c>
      <c r="AK50" s="78">
        <f t="shared" si="248"/>
        <v>0</v>
      </c>
      <c r="AL50" s="78">
        <f t="shared" si="248"/>
        <v>0</v>
      </c>
      <c r="AM50" s="80">
        <f t="shared" si="248"/>
        <v>0</v>
      </c>
      <c r="AN50" s="81">
        <f t="shared" si="248"/>
        <v>81138.78</v>
      </c>
      <c r="AO50" s="82" t="e">
        <f t="shared" si="239"/>
        <v>#REF!</v>
      </c>
      <c r="AP50" s="83" t="e">
        <f>SUM(AP45:AP49)</f>
        <v>#REF!</v>
      </c>
      <c r="AQ50" s="174">
        <f>SUM(AQ44:AQ49)</f>
        <v>18767.689999999999</v>
      </c>
      <c r="AR50" s="109">
        <f>SUM(AR44:AR49)</f>
        <v>0</v>
      </c>
      <c r="AS50" s="109">
        <f t="shared" ref="AS50:AU50" si="249">SUM(AS44:AS49)</f>
        <v>0</v>
      </c>
      <c r="AT50" s="109">
        <f t="shared" si="249"/>
        <v>0</v>
      </c>
      <c r="AU50" s="80">
        <f t="shared" si="249"/>
        <v>0</v>
      </c>
      <c r="AV50" s="109">
        <f>SUM(AV44:AV49)</f>
        <v>0</v>
      </c>
      <c r="AW50" s="109">
        <f t="shared" ref="AW50" si="250">SUM(AW44:AW49)</f>
        <v>0</v>
      </c>
      <c r="AX50" s="109">
        <f t="shared" ref="AX50" si="251">SUM(AX44:AX49)</f>
        <v>2163.75</v>
      </c>
      <c r="AY50" s="80">
        <f t="shared" ref="AY50" si="252">SUM(AY44:AY49)</f>
        <v>2163.75</v>
      </c>
      <c r="AZ50" s="109">
        <f>SUM(AZ44:AZ49)</f>
        <v>5197.6000000000004</v>
      </c>
      <c r="BA50" s="192">
        <f t="shared" ref="BA50" si="253">SUM(BA44:BA49)</f>
        <v>1029.9000000000001</v>
      </c>
      <c r="BB50" s="109">
        <f t="shared" ref="BB50" si="254">SUM(BB44:BB49)</f>
        <v>412.55</v>
      </c>
      <c r="BC50" s="80">
        <f t="shared" ref="BC50" si="255">SUM(BC44:BC49)</f>
        <v>6640.05</v>
      </c>
      <c r="BD50" s="109">
        <f>SUM(BD44:BD49)</f>
        <v>1805.3400000000001</v>
      </c>
      <c r="BE50" s="109">
        <f t="shared" ref="BE50" si="256">SUM(BE44:BE49)</f>
        <v>3199.99</v>
      </c>
      <c r="BF50" s="109">
        <f t="shared" ref="BF50" si="257">SUM(BF44:BF49)</f>
        <v>30021.81</v>
      </c>
      <c r="BG50" s="80">
        <f t="shared" ref="BG50" si="258">SUM(BG44:BG49)</f>
        <v>35027.14</v>
      </c>
      <c r="BH50" s="81">
        <f>SUM(BH45:BH49)</f>
        <v>43830.94</v>
      </c>
      <c r="BI50" s="121">
        <f t="shared" si="241"/>
        <v>2.3354467172038755</v>
      </c>
      <c r="BJ50" s="123" t="e">
        <f>SUM(BJ45:BJ49)</f>
        <v>#REF!</v>
      </c>
      <c r="BK50" s="77">
        <f>SUM(BK44:BK49)</f>
        <v>126855.28</v>
      </c>
      <c r="BL50" s="78">
        <f t="shared" ref="BL50:BM50" si="259">SUM(BL44:BL49)</f>
        <v>6156.88</v>
      </c>
      <c r="BM50" s="78">
        <f t="shared" si="259"/>
        <v>4295.26</v>
      </c>
      <c r="BN50" s="78">
        <f t="shared" ref="BN50:BQ50" si="260">SUM(BN44:BN49)</f>
        <v>2564.44</v>
      </c>
      <c r="BO50" s="80">
        <f t="shared" si="260"/>
        <v>13016.579999999998</v>
      </c>
      <c r="BP50" s="78">
        <f t="shared" si="260"/>
        <v>33760.979999999996</v>
      </c>
      <c r="BQ50" s="78">
        <f t="shared" si="260"/>
        <v>7264.04</v>
      </c>
      <c r="BR50" s="78">
        <f t="shared" ref="BR50" si="261">SUM(BR44:BR49)</f>
        <v>2762.87</v>
      </c>
      <c r="BS50" s="80">
        <f t="shared" ref="BS50:BV50" si="262">SUM(BS44:BS49)</f>
        <v>43787.89</v>
      </c>
      <c r="BT50" s="78">
        <f t="shared" si="262"/>
        <v>6772.18</v>
      </c>
      <c r="BU50" s="78">
        <f t="shared" si="262"/>
        <v>10453.65</v>
      </c>
      <c r="BV50" s="78">
        <f t="shared" si="262"/>
        <v>9021.68</v>
      </c>
      <c r="BW50" s="80">
        <f t="shared" ref="BW50:BZ50" si="263">SUM(BW44:BW49)</f>
        <v>26247.51</v>
      </c>
      <c r="BX50" s="275">
        <f t="shared" si="263"/>
        <v>-200</v>
      </c>
      <c r="BY50" s="78">
        <f t="shared" si="263"/>
        <v>57.740000000000009</v>
      </c>
      <c r="BZ50" s="78">
        <f t="shared" si="263"/>
        <v>-195</v>
      </c>
      <c r="CA50" s="80">
        <f t="shared" ref="CA50" si="264">SUM(CA44:CA49)</f>
        <v>-337.26</v>
      </c>
      <c r="CB50" s="81">
        <f>SUM(CB45:CB49)</f>
        <v>82714.720000000001</v>
      </c>
      <c r="CC50" s="121">
        <f t="shared" ref="CC50" si="265">CB50/BK50</f>
        <v>0.65204002545262607</v>
      </c>
      <c r="CD50" s="123">
        <f>SUM(CD45:CD49)</f>
        <v>44140.56</v>
      </c>
      <c r="CE50" s="42"/>
    </row>
    <row r="51" spans="1:83" ht="15.95" thickBot="1">
      <c r="A51" s="41" t="s">
        <v>395</v>
      </c>
      <c r="B51" s="84"/>
      <c r="C51" s="85"/>
      <c r="D51" s="65"/>
      <c r="E51" s="65"/>
      <c r="F51" s="65"/>
      <c r="G51" s="73"/>
      <c r="I51" s="72"/>
      <c r="J51" s="72"/>
      <c r="K51" s="73"/>
      <c r="L51" s="72"/>
      <c r="M51" s="72"/>
      <c r="N51" s="72"/>
      <c r="O51" s="73"/>
      <c r="P51" s="72"/>
      <c r="Q51" s="72"/>
      <c r="R51" s="72"/>
      <c r="S51" s="73"/>
      <c r="T51" s="73"/>
      <c r="U51" s="74"/>
      <c r="V51" s="75"/>
      <c r="W51" s="90"/>
      <c r="X51" s="65"/>
      <c r="Y51" s="65"/>
      <c r="Z51" s="65"/>
      <c r="AA51" s="73"/>
      <c r="AB51" s="65"/>
      <c r="AC51" s="65"/>
      <c r="AD51" s="65"/>
      <c r="AE51" s="73"/>
      <c r="AF51" s="65"/>
      <c r="AG51" s="65"/>
      <c r="AH51" s="65"/>
      <c r="AI51" s="73"/>
      <c r="AJ51" s="65"/>
      <c r="AK51" s="65"/>
      <c r="AL51" s="65"/>
      <c r="AM51" s="73"/>
      <c r="AN51" s="73"/>
      <c r="AO51" s="74"/>
      <c r="AP51" s="75"/>
      <c r="AQ51" s="90"/>
      <c r="AR51" s="65"/>
      <c r="AS51" s="65"/>
      <c r="AT51" s="65"/>
      <c r="AU51" s="73"/>
      <c r="AV51" s="65"/>
      <c r="AW51" s="65"/>
      <c r="AX51" s="65"/>
      <c r="AY51" s="73"/>
      <c r="AZ51" s="65"/>
      <c r="BA51" s="190"/>
      <c r="BB51" s="65"/>
      <c r="BC51" s="73"/>
      <c r="BD51" s="65"/>
      <c r="BE51" s="65"/>
      <c r="BF51" s="65"/>
      <c r="BG51" s="73"/>
      <c r="BH51" s="73"/>
      <c r="BI51" s="106"/>
      <c r="BJ51" s="73"/>
      <c r="BK51" s="64"/>
      <c r="BL51" s="90"/>
      <c r="BM51" s="90"/>
      <c r="BN51" s="90"/>
      <c r="BO51" s="73"/>
      <c r="BP51" s="90"/>
      <c r="BQ51" s="90"/>
      <c r="BR51" s="90"/>
      <c r="BS51" s="73"/>
      <c r="BT51" s="90"/>
      <c r="BU51" s="90"/>
      <c r="BV51" s="90"/>
      <c r="BW51" s="73"/>
      <c r="BX51" s="273"/>
      <c r="BY51" s="90"/>
      <c r="BZ51" s="90"/>
      <c r="CA51" s="73"/>
      <c r="CB51" s="73"/>
      <c r="CC51" s="106"/>
      <c r="CD51" s="73"/>
      <c r="CE51" s="41" t="s">
        <v>395</v>
      </c>
    </row>
    <row r="52" spans="1:83">
      <c r="A52" s="135" t="s">
        <v>396</v>
      </c>
      <c r="B52" s="69">
        <v>23200</v>
      </c>
      <c r="C52" s="70">
        <v>0</v>
      </c>
      <c r="D52" s="72"/>
      <c r="E52" s="72"/>
      <c r="F52" s="72"/>
      <c r="G52" s="73"/>
      <c r="I52" s="72"/>
      <c r="J52" s="72"/>
      <c r="K52" s="73"/>
      <c r="L52" s="72"/>
      <c r="M52" s="72"/>
      <c r="N52" s="72"/>
      <c r="O52" s="73"/>
      <c r="P52" s="72"/>
      <c r="Q52" s="72"/>
      <c r="R52" s="72"/>
      <c r="S52" s="73"/>
      <c r="T52" s="73"/>
      <c r="U52" s="74"/>
      <c r="V52" s="75"/>
      <c r="W52" s="70">
        <v>0</v>
      </c>
      <c r="X52" s="72"/>
      <c r="Y52" s="72"/>
      <c r="Z52" s="72"/>
      <c r="AA52" s="73"/>
      <c r="AC52" s="72"/>
      <c r="AD52" s="72"/>
      <c r="AE52" s="73"/>
      <c r="AF52" s="72"/>
      <c r="AG52" s="72"/>
      <c r="AH52" s="72"/>
      <c r="AI52" s="73"/>
      <c r="AJ52" s="72"/>
      <c r="AK52" s="72"/>
      <c r="AL52" s="72"/>
      <c r="AM52" s="73"/>
      <c r="AN52" s="73"/>
      <c r="AO52" s="74"/>
      <c r="AP52" s="73"/>
      <c r="AQ52" s="70">
        <v>0</v>
      </c>
      <c r="AR52" s="72"/>
      <c r="AS52" s="72"/>
      <c r="AT52" s="72"/>
      <c r="AU52" s="73"/>
      <c r="AW52" s="72"/>
      <c r="AX52" s="72"/>
      <c r="AY52" s="73"/>
      <c r="AZ52" s="72"/>
      <c r="BB52" s="72"/>
      <c r="BC52" s="73"/>
      <c r="BD52" s="72"/>
      <c r="BE52" s="72">
        <v>4763.01</v>
      </c>
      <c r="BF52" s="72">
        <v>320.97000000000003</v>
      </c>
      <c r="BG52" s="73">
        <f t="shared" ref="BG52:BG53" si="266">SUM(BD52:BF52)</f>
        <v>5083.9800000000005</v>
      </c>
      <c r="BH52" s="73">
        <f t="shared" ref="BH52:BH53" si="267">AU52+AY52+BC52+BG52</f>
        <v>5083.9800000000005</v>
      </c>
      <c r="BI52" s="106"/>
      <c r="BJ52" s="73">
        <f t="shared" ref="BJ52:BJ53" si="268">(AP52+AQ52)-BH52</f>
        <v>-5083.9800000000005</v>
      </c>
      <c r="BK52" s="227">
        <f t="shared" ref="BK52:BK53" si="269">B52-T52-AN52-BH52</f>
        <v>18116.02</v>
      </c>
      <c r="BL52" s="110">
        <v>2498.13</v>
      </c>
      <c r="BM52" s="110">
        <v>975</v>
      </c>
      <c r="BN52" s="110">
        <v>381.81</v>
      </c>
      <c r="BO52" s="73">
        <f t="shared" ref="BO52:BO53" si="270">SUM(BL52:BN52)</f>
        <v>3854.94</v>
      </c>
      <c r="BP52" s="110"/>
      <c r="BQ52" s="110">
        <v>6170</v>
      </c>
      <c r="BR52" s="110">
        <v>-2284.4499999999998</v>
      </c>
      <c r="BS52" s="73">
        <f t="shared" ref="BS52:BS53" si="271">SUM(BP52:BR52)</f>
        <v>3885.55</v>
      </c>
      <c r="BT52" s="110">
        <v>7769.05</v>
      </c>
      <c r="BU52" s="110">
        <v>3049.95</v>
      </c>
      <c r="BV52" s="110">
        <v>-522.45000000000005</v>
      </c>
      <c r="BW52" s="73">
        <f t="shared" ref="BW52:BW53" si="272">SUM(BT52:BV52)</f>
        <v>10296.549999999999</v>
      </c>
      <c r="BX52" s="274"/>
      <c r="BY52" s="110"/>
      <c r="BZ52" s="110"/>
      <c r="CA52" s="73">
        <f t="shared" ref="CA52:CA53" si="273">SUM(BX52:BZ52)</f>
        <v>0</v>
      </c>
      <c r="CB52" s="73">
        <f t="shared" ref="CB52:CB53" si="274">BO52+BS52+BW52+CA52</f>
        <v>18037.04</v>
      </c>
      <c r="CC52" s="106"/>
      <c r="CD52" s="73">
        <f t="shared" ref="CD52:CD53" si="275">BK52-CB52</f>
        <v>78.979999999999563</v>
      </c>
      <c r="CE52" s="135" t="s">
        <v>396</v>
      </c>
    </row>
    <row r="53" spans="1:83" ht="15.95" thickBot="1">
      <c r="A53" s="135" t="s">
        <v>397</v>
      </c>
      <c r="B53" s="69" t="e">
        <f>#REF!</f>
        <v>#REF!</v>
      </c>
      <c r="C53" s="70">
        <v>0</v>
      </c>
      <c r="D53" s="72"/>
      <c r="E53" s="72"/>
      <c r="F53" s="72"/>
      <c r="G53" s="73"/>
      <c r="I53" s="72"/>
      <c r="J53" s="72"/>
      <c r="K53" s="73"/>
      <c r="L53" s="72"/>
      <c r="M53" s="72"/>
      <c r="N53" s="72"/>
      <c r="O53" s="73"/>
      <c r="P53" s="72"/>
      <c r="Q53" s="72"/>
      <c r="R53" s="72"/>
      <c r="S53" s="73"/>
      <c r="T53" s="73"/>
      <c r="U53" s="74"/>
      <c r="V53" s="75"/>
      <c r="W53" s="70">
        <v>0</v>
      </c>
      <c r="X53" s="72"/>
      <c r="Y53" s="72"/>
      <c r="Z53" s="72"/>
      <c r="AA53" s="73"/>
      <c r="AC53" s="72"/>
      <c r="AD53" s="117"/>
      <c r="AE53" s="73"/>
      <c r="AF53" s="72"/>
      <c r="AG53" s="72"/>
      <c r="AH53" s="72"/>
      <c r="AI53" s="73"/>
      <c r="AJ53" s="72"/>
      <c r="AK53" s="72"/>
      <c r="AL53" s="72"/>
      <c r="AM53" s="73"/>
      <c r="AN53" s="73"/>
      <c r="AO53" s="74"/>
      <c r="AP53" s="73"/>
      <c r="AQ53" s="70">
        <v>0</v>
      </c>
      <c r="AR53" s="72"/>
      <c r="AS53" s="72"/>
      <c r="AT53" s="72"/>
      <c r="AU53" s="73"/>
      <c r="AW53" s="72"/>
      <c r="AX53" s="72"/>
      <c r="AY53" s="73"/>
      <c r="AZ53" s="72"/>
      <c r="BB53" s="72"/>
      <c r="BC53" s="73"/>
      <c r="BD53" s="72"/>
      <c r="BE53" s="72"/>
      <c r="BF53" s="72"/>
      <c r="BG53" s="73">
        <f t="shared" si="266"/>
        <v>0</v>
      </c>
      <c r="BH53" s="73">
        <f t="shared" si="267"/>
        <v>0</v>
      </c>
      <c r="BI53" s="106"/>
      <c r="BJ53" s="73">
        <f t="shared" si="268"/>
        <v>0</v>
      </c>
      <c r="BK53" s="227" t="e">
        <f t="shared" si="269"/>
        <v>#REF!</v>
      </c>
      <c r="BL53" s="110"/>
      <c r="BM53" s="110"/>
      <c r="BN53" s="110"/>
      <c r="BO53" s="73">
        <f t="shared" si="270"/>
        <v>0</v>
      </c>
      <c r="BP53" s="110"/>
      <c r="BQ53" s="110"/>
      <c r="BR53" s="110"/>
      <c r="BS53" s="73">
        <f t="shared" si="271"/>
        <v>0</v>
      </c>
      <c r="BT53" s="110"/>
      <c r="BU53" s="110"/>
      <c r="BV53" s="110"/>
      <c r="BW53" s="73">
        <f t="shared" si="272"/>
        <v>0</v>
      </c>
      <c r="BX53" s="274"/>
      <c r="BY53" s="110"/>
      <c r="BZ53" s="110"/>
      <c r="CA53" s="73">
        <f t="shared" si="273"/>
        <v>0</v>
      </c>
      <c r="CB53" s="73">
        <f t="shared" si="274"/>
        <v>0</v>
      </c>
      <c r="CC53" s="106"/>
      <c r="CD53" s="73" t="e">
        <f t="shared" si="275"/>
        <v>#REF!</v>
      </c>
      <c r="CE53" s="135" t="s">
        <v>397</v>
      </c>
    </row>
    <row r="54" spans="1:83" ht="15.95" thickBot="1">
      <c r="A54" s="37"/>
      <c r="B54" s="77" t="e">
        <f>SUM(B52:B53)</f>
        <v>#REF!</v>
      </c>
      <c r="C54" s="77">
        <f>SUM(C52:C53)</f>
        <v>0</v>
      </c>
      <c r="D54" s="78">
        <f t="shared" ref="D54:T54" si="276">SUM(D52:D53)</f>
        <v>0</v>
      </c>
      <c r="E54" s="78">
        <f t="shared" si="276"/>
        <v>0</v>
      </c>
      <c r="F54" s="78">
        <f t="shared" si="276"/>
        <v>0</v>
      </c>
      <c r="G54" s="80">
        <f t="shared" si="276"/>
        <v>0</v>
      </c>
      <c r="H54" s="78">
        <f t="shared" si="276"/>
        <v>0</v>
      </c>
      <c r="I54" s="78">
        <f t="shared" si="276"/>
        <v>0</v>
      </c>
      <c r="J54" s="78">
        <f t="shared" si="276"/>
        <v>0</v>
      </c>
      <c r="K54" s="80">
        <f t="shared" si="276"/>
        <v>0</v>
      </c>
      <c r="L54" s="78">
        <f t="shared" si="276"/>
        <v>0</v>
      </c>
      <c r="M54" s="78">
        <f t="shared" si="276"/>
        <v>0</v>
      </c>
      <c r="N54" s="78">
        <f t="shared" si="276"/>
        <v>0</v>
      </c>
      <c r="O54" s="80">
        <f t="shared" si="276"/>
        <v>0</v>
      </c>
      <c r="P54" s="78">
        <f t="shared" si="276"/>
        <v>0</v>
      </c>
      <c r="Q54" s="78">
        <f t="shared" si="276"/>
        <v>0</v>
      </c>
      <c r="R54" s="78">
        <f t="shared" si="276"/>
        <v>0</v>
      </c>
      <c r="S54" s="80">
        <f t="shared" si="276"/>
        <v>0</v>
      </c>
      <c r="T54" s="81">
        <f t="shared" si="276"/>
        <v>0</v>
      </c>
      <c r="U54" s="82" t="e">
        <f t="shared" ref="U54" si="277">T54/C54</f>
        <v>#DIV/0!</v>
      </c>
      <c r="V54" s="83">
        <f t="shared" ref="V54" si="278">SUM(V52:V53)</f>
        <v>0</v>
      </c>
      <c r="W54" s="77">
        <f>SUM(W52:W53)</f>
        <v>0</v>
      </c>
      <c r="X54" s="109">
        <f t="shared" ref="X54:AN54" si="279">SUM(X52:X53)</f>
        <v>0</v>
      </c>
      <c r="Y54" s="78">
        <f t="shared" si="279"/>
        <v>0</v>
      </c>
      <c r="Z54" s="78">
        <f t="shared" si="279"/>
        <v>0</v>
      </c>
      <c r="AA54" s="80">
        <f t="shared" si="279"/>
        <v>0</v>
      </c>
      <c r="AB54" s="78">
        <f t="shared" si="279"/>
        <v>0</v>
      </c>
      <c r="AC54" s="78">
        <f t="shared" si="279"/>
        <v>0</v>
      </c>
      <c r="AD54" s="78">
        <f t="shared" si="279"/>
        <v>0</v>
      </c>
      <c r="AE54" s="80">
        <f t="shared" si="279"/>
        <v>0</v>
      </c>
      <c r="AF54" s="78">
        <f t="shared" si="279"/>
        <v>0</v>
      </c>
      <c r="AG54" s="78">
        <f t="shared" si="279"/>
        <v>0</v>
      </c>
      <c r="AH54" s="78">
        <f t="shared" si="279"/>
        <v>0</v>
      </c>
      <c r="AI54" s="80">
        <f t="shared" si="279"/>
        <v>0</v>
      </c>
      <c r="AJ54" s="78">
        <f t="shared" si="279"/>
        <v>0</v>
      </c>
      <c r="AK54" s="78">
        <f t="shared" si="279"/>
        <v>0</v>
      </c>
      <c r="AL54" s="78">
        <f t="shared" si="279"/>
        <v>0</v>
      </c>
      <c r="AM54" s="80">
        <f t="shared" si="279"/>
        <v>0</v>
      </c>
      <c r="AN54" s="81">
        <f t="shared" si="279"/>
        <v>0</v>
      </c>
      <c r="AO54" s="82" t="e">
        <f t="shared" ref="AO54" si="280">AN54/W54</f>
        <v>#DIV/0!</v>
      </c>
      <c r="AP54" s="83">
        <f t="shared" ref="AP54" si="281">SUM(AP52:AP53)</f>
        <v>0</v>
      </c>
      <c r="AQ54" s="77">
        <f>SUM(AQ52:AQ53)</f>
        <v>0</v>
      </c>
      <c r="AR54" s="109">
        <f t="shared" ref="AR54:BH54" si="282">SUM(AR52:AR53)</f>
        <v>0</v>
      </c>
      <c r="AS54" s="78">
        <f t="shared" si="282"/>
        <v>0</v>
      </c>
      <c r="AT54" s="78">
        <f t="shared" si="282"/>
        <v>0</v>
      </c>
      <c r="AU54" s="80">
        <f t="shared" si="282"/>
        <v>0</v>
      </c>
      <c r="AV54" s="109">
        <f t="shared" si="282"/>
        <v>0</v>
      </c>
      <c r="AW54" s="78">
        <f t="shared" si="282"/>
        <v>0</v>
      </c>
      <c r="AX54" s="78">
        <f t="shared" si="282"/>
        <v>0</v>
      </c>
      <c r="AY54" s="80">
        <f t="shared" si="282"/>
        <v>0</v>
      </c>
      <c r="AZ54" s="109">
        <f t="shared" si="282"/>
        <v>0</v>
      </c>
      <c r="BA54" s="191">
        <f t="shared" si="282"/>
        <v>0</v>
      </c>
      <c r="BB54" s="78">
        <f t="shared" si="282"/>
        <v>0</v>
      </c>
      <c r="BC54" s="80">
        <f t="shared" si="282"/>
        <v>0</v>
      </c>
      <c r="BD54" s="109">
        <f t="shared" si="282"/>
        <v>0</v>
      </c>
      <c r="BE54" s="78">
        <f t="shared" si="282"/>
        <v>4763.01</v>
      </c>
      <c r="BF54" s="78">
        <f t="shared" si="282"/>
        <v>320.97000000000003</v>
      </c>
      <c r="BG54" s="80">
        <f t="shared" si="282"/>
        <v>5083.9800000000005</v>
      </c>
      <c r="BH54" s="81">
        <f t="shared" si="282"/>
        <v>5083.9800000000005</v>
      </c>
      <c r="BI54" s="121" t="e">
        <f t="shared" ref="BI54" si="283">BH54/AQ54</f>
        <v>#DIV/0!</v>
      </c>
      <c r="BJ54" s="123">
        <f t="shared" ref="BJ54" si="284">SUM(BJ52:BJ53)</f>
        <v>-5083.9800000000005</v>
      </c>
      <c r="BK54" s="228" t="e">
        <f>SUM(BK52:BK53)</f>
        <v>#REF!</v>
      </c>
      <c r="BL54" s="78">
        <f t="shared" ref="BL54:BM54" si="285">SUM(BL52:BL53)</f>
        <v>2498.13</v>
      </c>
      <c r="BM54" s="78">
        <f t="shared" si="285"/>
        <v>975</v>
      </c>
      <c r="BN54" s="78">
        <f t="shared" ref="BN54:BQ54" si="286">SUM(BN52:BN53)</f>
        <v>381.81</v>
      </c>
      <c r="BO54" s="80">
        <f t="shared" si="286"/>
        <v>3854.94</v>
      </c>
      <c r="BP54" s="78">
        <f t="shared" si="286"/>
        <v>0</v>
      </c>
      <c r="BQ54" s="78">
        <f t="shared" si="286"/>
        <v>6170</v>
      </c>
      <c r="BR54" s="78">
        <f t="shared" ref="BR54" si="287">SUM(BR52:BR53)</f>
        <v>-2284.4499999999998</v>
      </c>
      <c r="BS54" s="80">
        <f t="shared" ref="BS54:BV54" si="288">SUM(BS52:BS53)</f>
        <v>3885.55</v>
      </c>
      <c r="BT54" s="78">
        <f t="shared" si="288"/>
        <v>7769.05</v>
      </c>
      <c r="BU54" s="78">
        <f t="shared" si="288"/>
        <v>3049.95</v>
      </c>
      <c r="BV54" s="78">
        <f t="shared" si="288"/>
        <v>-522.45000000000005</v>
      </c>
      <c r="BW54" s="80">
        <f t="shared" ref="BW54:BZ54" si="289">SUM(BW52:BW53)</f>
        <v>10296.549999999999</v>
      </c>
      <c r="BX54" s="275">
        <f t="shared" si="289"/>
        <v>0</v>
      </c>
      <c r="BY54" s="78">
        <f t="shared" si="289"/>
        <v>0</v>
      </c>
      <c r="BZ54" s="78">
        <f t="shared" si="289"/>
        <v>0</v>
      </c>
      <c r="CA54" s="80">
        <f t="shared" ref="CA54:CB54" si="290">SUM(CA52:CA53)</f>
        <v>0</v>
      </c>
      <c r="CB54" s="81">
        <f t="shared" si="290"/>
        <v>18037.04</v>
      </c>
      <c r="CC54" s="121" t="e">
        <f t="shared" ref="CC54" si="291">CB54/BK54</f>
        <v>#REF!</v>
      </c>
      <c r="CD54" s="123" t="e">
        <f t="shared" ref="CD54" si="292">SUM(CD52:CD53)</f>
        <v>#REF!</v>
      </c>
      <c r="CE54" s="37"/>
    </row>
    <row r="55" spans="1:83" ht="22.5" thickBot="1">
      <c r="A55" s="39" t="s">
        <v>398</v>
      </c>
      <c r="B55" s="84"/>
      <c r="C55" s="85"/>
      <c r="D55" s="65"/>
      <c r="E55" s="65"/>
      <c r="F55" s="65"/>
      <c r="G55" s="73"/>
      <c r="I55" s="72"/>
      <c r="J55" s="72"/>
      <c r="K55" s="73"/>
      <c r="L55" s="72"/>
      <c r="M55" s="72"/>
      <c r="N55" s="72"/>
      <c r="O55" s="73"/>
      <c r="P55" s="72"/>
      <c r="Q55" s="72"/>
      <c r="R55" s="72"/>
      <c r="S55" s="73"/>
      <c r="T55" s="73"/>
      <c r="U55" s="74"/>
      <c r="V55" s="75"/>
      <c r="W55" s="90"/>
      <c r="X55" s="65"/>
      <c r="Y55" s="65"/>
      <c r="Z55" s="65"/>
      <c r="AA55" s="73"/>
      <c r="AB55" s="65"/>
      <c r="AC55" s="65"/>
      <c r="AD55" s="65"/>
      <c r="AE55" s="73"/>
      <c r="AF55" s="65"/>
      <c r="AG55" s="65"/>
      <c r="AH55" s="65"/>
      <c r="AI55" s="73"/>
      <c r="AJ55" s="65"/>
      <c r="AK55" s="65"/>
      <c r="AL55" s="65"/>
      <c r="AM55" s="73"/>
      <c r="AN55" s="73"/>
      <c r="AO55" s="74"/>
      <c r="AP55" s="75"/>
      <c r="AQ55" s="90"/>
      <c r="AR55" s="65"/>
      <c r="AS55" s="65"/>
      <c r="AT55" s="65"/>
      <c r="AU55" s="73"/>
      <c r="AV55" s="65"/>
      <c r="AW55" s="65"/>
      <c r="AX55" s="65"/>
      <c r="AY55" s="73"/>
      <c r="AZ55" s="65"/>
      <c r="BA55" s="190"/>
      <c r="BB55" s="65"/>
      <c r="BC55" s="73"/>
      <c r="BD55" s="65"/>
      <c r="BE55" s="65"/>
      <c r="BF55" s="65"/>
      <c r="BG55" s="73"/>
      <c r="BH55" s="73"/>
      <c r="BI55" s="106"/>
      <c r="BJ55" s="73"/>
      <c r="BK55" s="64"/>
      <c r="BL55" s="90"/>
      <c r="BM55" s="90"/>
      <c r="BN55" s="90"/>
      <c r="BO55" s="73"/>
      <c r="BP55" s="90"/>
      <c r="BQ55" s="90"/>
      <c r="BR55" s="90"/>
      <c r="BS55" s="73"/>
      <c r="BT55" s="90"/>
      <c r="BU55" s="90"/>
      <c r="BV55" s="90"/>
      <c r="BW55" s="73"/>
      <c r="BX55" s="273"/>
      <c r="BY55" s="90"/>
      <c r="BZ55" s="90"/>
      <c r="CA55" s="73"/>
      <c r="CB55" s="73"/>
      <c r="CC55" s="106"/>
      <c r="CD55" s="73"/>
      <c r="CE55" s="39" t="s">
        <v>398</v>
      </c>
    </row>
    <row r="56" spans="1:83">
      <c r="A56" s="37" t="s">
        <v>399</v>
      </c>
      <c r="B56" s="69">
        <v>3250</v>
      </c>
      <c r="C56" s="70">
        <f>'budget anual'!C118</f>
        <v>1391.39</v>
      </c>
      <c r="D56" s="72"/>
      <c r="E56" s="72"/>
      <c r="F56" s="72">
        <v>52</v>
      </c>
      <c r="G56" s="73">
        <f t="shared" ref="G56:G57" si="293">SUM(D56:F56)</f>
        <v>52</v>
      </c>
      <c r="H56" s="72">
        <v>305</v>
      </c>
      <c r="I56" s="72">
        <f>254.27+15.1</f>
        <v>269.37</v>
      </c>
      <c r="J56" s="72">
        <v>574.70000000000005</v>
      </c>
      <c r="K56" s="73">
        <f t="shared" ref="K56:K57" si="294">SUM(H56:J56)</f>
        <v>1149.0700000000002</v>
      </c>
      <c r="L56" s="72">
        <v>140.86000000000001</v>
      </c>
      <c r="M56" s="72">
        <v>23.49</v>
      </c>
      <c r="N56" s="72"/>
      <c r="O56" s="73">
        <f t="shared" ref="O56:O57" si="295">SUM(L56:N56)</f>
        <v>164.35000000000002</v>
      </c>
      <c r="P56" s="72">
        <v>25.97</v>
      </c>
      <c r="Q56" s="72"/>
      <c r="R56" s="72"/>
      <c r="S56" s="73">
        <f t="shared" ref="S56:S57" si="296">SUM(P56:R56)</f>
        <v>25.97</v>
      </c>
      <c r="T56" s="73">
        <f t="shared" ref="T56:T57" si="297">G56+K56+O56+S56</f>
        <v>1391.39</v>
      </c>
      <c r="U56" s="74">
        <f t="shared" ref="U56:U58" si="298">T56/C56</f>
        <v>1</v>
      </c>
      <c r="V56" s="75">
        <f t="shared" ref="V56:V57" si="299">C56-T56</f>
        <v>0</v>
      </c>
      <c r="W56" s="70">
        <f>'budget anual'!D118</f>
        <v>352.07</v>
      </c>
      <c r="X56" s="72"/>
      <c r="Y56" s="72">
        <v>212.82</v>
      </c>
      <c r="Z56" s="72"/>
      <c r="AA56" s="73">
        <f t="shared" ref="AA56:AA57" si="300">SUM(X56:Z56)</f>
        <v>212.82</v>
      </c>
      <c r="AC56" s="72">
        <v>116.25</v>
      </c>
      <c r="AD56" s="72"/>
      <c r="AE56" s="73">
        <f t="shared" ref="AE56:AE57" si="301">SUM(AB56:AD56)</f>
        <v>116.25</v>
      </c>
      <c r="AF56" s="72">
        <v>23</v>
      </c>
      <c r="AG56" s="72"/>
      <c r="AH56" s="72"/>
      <c r="AI56" s="73">
        <f t="shared" ref="AI56:AI57" si="302">SUM(AF56:AH56)</f>
        <v>23</v>
      </c>
      <c r="AJ56" s="72"/>
      <c r="AK56" s="72"/>
      <c r="AL56" s="72"/>
      <c r="AM56" s="73">
        <f t="shared" ref="AM56:AM57" si="303">SUM(AJ56:AL56)</f>
        <v>0</v>
      </c>
      <c r="AN56" s="73">
        <f t="shared" ref="AN56:AN57" si="304">AA56+AE56+AI56+AM56</f>
        <v>352.07</v>
      </c>
      <c r="AO56" s="74"/>
      <c r="AP56" s="73">
        <f t="shared" ref="AP56:AP57" si="305">(V56+W56)-AN56</f>
        <v>0</v>
      </c>
      <c r="AQ56" s="70">
        <f>'budget anual'!E118</f>
        <v>631.54</v>
      </c>
      <c r="AR56" s="72"/>
      <c r="AS56" s="72"/>
      <c r="AT56" s="72"/>
      <c r="AU56" s="73">
        <f t="shared" ref="AU56:AU57" si="306">SUM(AR56:AT56)</f>
        <v>0</v>
      </c>
      <c r="AV56" s="72">
        <v>35.99</v>
      </c>
      <c r="AW56" s="72">
        <v>1.1000000000000001</v>
      </c>
      <c r="AX56" s="72"/>
      <c r="AY56" s="73">
        <f t="shared" ref="AY56:AY57" si="307">SUM(AV56:AX56)</f>
        <v>37.090000000000003</v>
      </c>
      <c r="AZ56" s="72"/>
      <c r="BB56" s="72">
        <v>704.94</v>
      </c>
      <c r="BC56" s="73">
        <f t="shared" ref="BC56:BC57" si="308">SUM(AZ56:BB56)</f>
        <v>704.94</v>
      </c>
      <c r="BD56" s="72"/>
      <c r="BE56" s="72"/>
      <c r="BF56" s="72"/>
      <c r="BG56" s="73">
        <f t="shared" ref="BG56:BG57" si="309">SUM(BD56:BF56)</f>
        <v>0</v>
      </c>
      <c r="BH56" s="73">
        <f t="shared" ref="BH56:BH57" si="310">AU56+AY56+BC56+BG56</f>
        <v>742.03000000000009</v>
      </c>
      <c r="BI56" s="106"/>
      <c r="BJ56" s="73">
        <f t="shared" ref="BJ56:BJ57" si="311">(AP56+AQ56)-BH56</f>
        <v>-110.49000000000012</v>
      </c>
      <c r="BK56" s="227">
        <f t="shared" ref="BK56:BK57" si="312">B56-T56-AN56-BH56</f>
        <v>764.50999999999988</v>
      </c>
      <c r="BL56" s="110">
        <f>29.53+367.95</f>
        <v>397.48</v>
      </c>
      <c r="BM56" s="110">
        <v>103.76</v>
      </c>
      <c r="BN56" s="110">
        <v>871</v>
      </c>
      <c r="BO56" s="73">
        <f t="shared" ref="BO56:BO57" si="313">SUM(BL56:BN56)</f>
        <v>1372.24</v>
      </c>
      <c r="BP56" s="110">
        <v>81.099999999999994</v>
      </c>
      <c r="BQ56" s="110"/>
      <c r="BR56" s="110"/>
      <c r="BS56" s="73">
        <f t="shared" ref="BS56:BS57" si="314">SUM(BP56:BR56)</f>
        <v>81.099999999999994</v>
      </c>
      <c r="BT56" s="110">
        <v>98.21</v>
      </c>
      <c r="BU56" s="110"/>
      <c r="BV56" s="110">
        <v>395.15</v>
      </c>
      <c r="BW56" s="73">
        <f t="shared" ref="BW56:BW57" si="315">SUM(BT56:BV56)</f>
        <v>493.35999999999996</v>
      </c>
      <c r="BX56" s="274"/>
      <c r="BY56" s="110">
        <v>103.13</v>
      </c>
      <c r="BZ56" s="110">
        <v>4.75</v>
      </c>
      <c r="CA56" s="73">
        <f t="shared" ref="CA56:CA57" si="316">SUM(BX56:BZ56)</f>
        <v>107.88</v>
      </c>
      <c r="CB56" s="73">
        <f t="shared" ref="CB56:CB57" si="317">BO56+BS56+BW56+CA56</f>
        <v>2054.58</v>
      </c>
      <c r="CC56" s="106"/>
      <c r="CD56" s="73">
        <f t="shared" ref="CD56:CD57" si="318">BK56-CB56</f>
        <v>-1290.0700000000002</v>
      </c>
      <c r="CE56" s="37" t="s">
        <v>399</v>
      </c>
    </row>
    <row r="57" spans="1:83" ht="15.95" thickBot="1">
      <c r="A57" s="37" t="s">
        <v>400</v>
      </c>
      <c r="B57" s="69">
        <v>239.84</v>
      </c>
      <c r="C57" s="70">
        <f>'budget anual'!C119</f>
        <v>0</v>
      </c>
      <c r="D57" s="72"/>
      <c r="E57" s="72"/>
      <c r="F57" s="72"/>
      <c r="G57" s="73">
        <f t="shared" si="293"/>
        <v>0</v>
      </c>
      <c r="I57" s="72"/>
      <c r="J57" s="72"/>
      <c r="K57" s="73">
        <f t="shared" si="294"/>
        <v>0</v>
      </c>
      <c r="L57" s="72"/>
      <c r="M57" s="72"/>
      <c r="N57" s="72"/>
      <c r="O57" s="73">
        <f t="shared" si="295"/>
        <v>0</v>
      </c>
      <c r="P57" s="72"/>
      <c r="Q57" s="72"/>
      <c r="R57" s="72"/>
      <c r="S57" s="73">
        <f t="shared" si="296"/>
        <v>0</v>
      </c>
      <c r="T57" s="73">
        <f t="shared" si="297"/>
        <v>0</v>
      </c>
      <c r="U57" s="74" t="e">
        <f t="shared" si="298"/>
        <v>#DIV/0!</v>
      </c>
      <c r="V57" s="75">
        <f t="shared" si="299"/>
        <v>0</v>
      </c>
      <c r="W57" s="70">
        <f>'budget anual'!D119</f>
        <v>240</v>
      </c>
      <c r="X57" s="72"/>
      <c r="Y57" s="72"/>
      <c r="Z57" s="72"/>
      <c r="AA57" s="73">
        <f t="shared" si="300"/>
        <v>0</v>
      </c>
      <c r="AC57" s="72"/>
      <c r="AD57" s="117">
        <v>195.7</v>
      </c>
      <c r="AE57" s="73">
        <f t="shared" si="301"/>
        <v>195.7</v>
      </c>
      <c r="AF57" s="72">
        <v>279.14</v>
      </c>
      <c r="AG57" s="72">
        <v>5</v>
      </c>
      <c r="AH57" s="72"/>
      <c r="AI57" s="73">
        <f t="shared" si="302"/>
        <v>284.14</v>
      </c>
      <c r="AJ57" s="72"/>
      <c r="AK57" s="72"/>
      <c r="AL57" s="72"/>
      <c r="AM57" s="73">
        <f t="shared" si="303"/>
        <v>0</v>
      </c>
      <c r="AN57" s="73">
        <f t="shared" si="304"/>
        <v>479.84</v>
      </c>
      <c r="AO57" s="74">
        <f t="shared" ref="AO57:AO58" si="319">AN57/W57</f>
        <v>1.9993333333333332</v>
      </c>
      <c r="AP57" s="73">
        <f t="shared" si="305"/>
        <v>-239.83999999999997</v>
      </c>
      <c r="AQ57" s="70">
        <f>'budget anual'!E119</f>
        <v>0</v>
      </c>
      <c r="AR57" s="72"/>
      <c r="AS57" s="72"/>
      <c r="AT57" s="72"/>
      <c r="AU57" s="73">
        <f t="shared" si="306"/>
        <v>0</v>
      </c>
      <c r="AW57" s="72"/>
      <c r="AX57" s="72"/>
      <c r="AY57" s="73">
        <f t="shared" si="307"/>
        <v>0</v>
      </c>
      <c r="AZ57" s="72"/>
      <c r="BB57" s="72"/>
      <c r="BC57" s="73">
        <f t="shared" si="308"/>
        <v>0</v>
      </c>
      <c r="BD57" s="72"/>
      <c r="BE57" s="72"/>
      <c r="BF57" s="72"/>
      <c r="BG57" s="73">
        <f t="shared" si="309"/>
        <v>0</v>
      </c>
      <c r="BH57" s="73">
        <f t="shared" si="310"/>
        <v>0</v>
      </c>
      <c r="BI57" s="106" t="e">
        <f t="shared" ref="BI57:BI58" si="320">BH57/AQ57</f>
        <v>#DIV/0!</v>
      </c>
      <c r="BJ57" s="73">
        <f t="shared" si="311"/>
        <v>-239.83999999999997</v>
      </c>
      <c r="BK57" s="227">
        <f t="shared" si="312"/>
        <v>-239.99999999999997</v>
      </c>
      <c r="BL57" s="110"/>
      <c r="BM57" s="110"/>
      <c r="BN57" s="110"/>
      <c r="BO57" s="73">
        <f t="shared" si="313"/>
        <v>0</v>
      </c>
      <c r="BP57" s="110"/>
      <c r="BQ57" s="110"/>
      <c r="BR57" s="110"/>
      <c r="BS57" s="73">
        <f t="shared" si="314"/>
        <v>0</v>
      </c>
      <c r="BT57" s="110"/>
      <c r="BU57" s="110"/>
      <c r="BV57" s="110"/>
      <c r="BW57" s="73">
        <f t="shared" si="315"/>
        <v>0</v>
      </c>
      <c r="BX57" s="274"/>
      <c r="BY57" s="110"/>
      <c r="BZ57" s="110"/>
      <c r="CA57" s="73">
        <f t="shared" si="316"/>
        <v>0</v>
      </c>
      <c r="CB57" s="73">
        <f t="shared" si="317"/>
        <v>0</v>
      </c>
      <c r="CC57" s="106">
        <f t="shared" ref="CC57:CC58" si="321">CB57/BK57</f>
        <v>0</v>
      </c>
      <c r="CD57" s="73">
        <f t="shared" si="318"/>
        <v>-239.99999999999997</v>
      </c>
      <c r="CE57" s="37" t="s">
        <v>400</v>
      </c>
    </row>
    <row r="58" spans="1:83" ht="15.95" thickBot="1">
      <c r="A58" s="37"/>
      <c r="B58" s="77">
        <f>SUM(B56:B57)</f>
        <v>3489.84</v>
      </c>
      <c r="C58" s="77">
        <f>SUM(C56:C57)</f>
        <v>1391.39</v>
      </c>
      <c r="D58" s="78">
        <f t="shared" ref="D58:V58" si="322">SUM(D56:D57)</f>
        <v>0</v>
      </c>
      <c r="E58" s="78">
        <f t="shared" si="322"/>
        <v>0</v>
      </c>
      <c r="F58" s="78">
        <f t="shared" si="322"/>
        <v>52</v>
      </c>
      <c r="G58" s="80">
        <f t="shared" si="322"/>
        <v>52</v>
      </c>
      <c r="H58" s="78">
        <f t="shared" si="322"/>
        <v>305</v>
      </c>
      <c r="I58" s="78">
        <f t="shared" si="322"/>
        <v>269.37</v>
      </c>
      <c r="J58" s="78">
        <f t="shared" si="322"/>
        <v>574.70000000000005</v>
      </c>
      <c r="K58" s="80">
        <f t="shared" si="322"/>
        <v>1149.0700000000002</v>
      </c>
      <c r="L58" s="78">
        <f t="shared" si="322"/>
        <v>140.86000000000001</v>
      </c>
      <c r="M58" s="78">
        <f t="shared" si="322"/>
        <v>23.49</v>
      </c>
      <c r="N58" s="78">
        <f t="shared" si="322"/>
        <v>0</v>
      </c>
      <c r="O58" s="80">
        <f t="shared" si="322"/>
        <v>164.35000000000002</v>
      </c>
      <c r="P58" s="78">
        <f t="shared" si="322"/>
        <v>25.97</v>
      </c>
      <c r="Q58" s="78">
        <f t="shared" si="322"/>
        <v>0</v>
      </c>
      <c r="R58" s="78">
        <f t="shared" si="322"/>
        <v>0</v>
      </c>
      <c r="S58" s="80">
        <f t="shared" si="322"/>
        <v>25.97</v>
      </c>
      <c r="T58" s="81">
        <f t="shared" si="322"/>
        <v>1391.39</v>
      </c>
      <c r="U58" s="82">
        <f t="shared" si="298"/>
        <v>1</v>
      </c>
      <c r="V58" s="83">
        <f t="shared" si="322"/>
        <v>0</v>
      </c>
      <c r="W58" s="77">
        <f>SUM(W56:W57)</f>
        <v>592.06999999999994</v>
      </c>
      <c r="X58" s="109">
        <f t="shared" ref="X58:AN58" si="323">SUM(X56:X57)</f>
        <v>0</v>
      </c>
      <c r="Y58" s="78">
        <f t="shared" si="323"/>
        <v>212.82</v>
      </c>
      <c r="Z58" s="78">
        <f t="shared" si="323"/>
        <v>0</v>
      </c>
      <c r="AA58" s="80">
        <f t="shared" si="323"/>
        <v>212.82</v>
      </c>
      <c r="AB58" s="78">
        <f t="shared" si="323"/>
        <v>0</v>
      </c>
      <c r="AC58" s="78">
        <f t="shared" si="323"/>
        <v>116.25</v>
      </c>
      <c r="AD58" s="78">
        <f t="shared" si="323"/>
        <v>195.7</v>
      </c>
      <c r="AE58" s="80">
        <f t="shared" si="323"/>
        <v>311.95</v>
      </c>
      <c r="AF58" s="78">
        <f t="shared" si="323"/>
        <v>302.14</v>
      </c>
      <c r="AG58" s="78">
        <f t="shared" si="323"/>
        <v>5</v>
      </c>
      <c r="AH58" s="78">
        <f t="shared" si="323"/>
        <v>0</v>
      </c>
      <c r="AI58" s="80">
        <f t="shared" si="323"/>
        <v>307.14</v>
      </c>
      <c r="AJ58" s="78">
        <f t="shared" si="323"/>
        <v>0</v>
      </c>
      <c r="AK58" s="78">
        <f t="shared" si="323"/>
        <v>0</v>
      </c>
      <c r="AL58" s="78">
        <f t="shared" si="323"/>
        <v>0</v>
      </c>
      <c r="AM58" s="80">
        <f t="shared" si="323"/>
        <v>0</v>
      </c>
      <c r="AN58" s="81">
        <f t="shared" si="323"/>
        <v>831.91</v>
      </c>
      <c r="AO58" s="82">
        <f t="shared" si="319"/>
        <v>1.4050872363065179</v>
      </c>
      <c r="AP58" s="83">
        <f t="shared" ref="AP58" si="324">SUM(AP56:AP57)</f>
        <v>-239.83999999999997</v>
      </c>
      <c r="AQ58" s="77">
        <f>SUM(AQ56:AQ57)</f>
        <v>631.54</v>
      </c>
      <c r="AR58" s="109">
        <f t="shared" ref="AR58:BH58" si="325">SUM(AR56:AR57)</f>
        <v>0</v>
      </c>
      <c r="AS58" s="78">
        <f t="shared" si="325"/>
        <v>0</v>
      </c>
      <c r="AT58" s="78">
        <f t="shared" si="325"/>
        <v>0</v>
      </c>
      <c r="AU58" s="80">
        <f t="shared" si="325"/>
        <v>0</v>
      </c>
      <c r="AV58" s="109">
        <f t="shared" ref="AV58:AX58" si="326">SUM(AV56:AV57)</f>
        <v>35.99</v>
      </c>
      <c r="AW58" s="78">
        <f t="shared" si="326"/>
        <v>1.1000000000000001</v>
      </c>
      <c r="AX58" s="78">
        <f t="shared" si="326"/>
        <v>0</v>
      </c>
      <c r="AY58" s="80">
        <f t="shared" si="325"/>
        <v>37.090000000000003</v>
      </c>
      <c r="AZ58" s="109">
        <f t="shared" ref="AZ58:BB58" si="327">SUM(AZ56:AZ57)</f>
        <v>0</v>
      </c>
      <c r="BA58" s="191">
        <f t="shared" si="327"/>
        <v>0</v>
      </c>
      <c r="BB58" s="78">
        <f t="shared" si="327"/>
        <v>704.94</v>
      </c>
      <c r="BC58" s="80">
        <f t="shared" si="325"/>
        <v>704.94</v>
      </c>
      <c r="BD58" s="109">
        <f t="shared" ref="BD58:BF58" si="328">SUM(BD56:BD57)</f>
        <v>0</v>
      </c>
      <c r="BE58" s="78">
        <f t="shared" si="328"/>
        <v>0</v>
      </c>
      <c r="BF58" s="78">
        <f t="shared" si="328"/>
        <v>0</v>
      </c>
      <c r="BG58" s="80">
        <f t="shared" si="325"/>
        <v>0</v>
      </c>
      <c r="BH58" s="81">
        <f t="shared" si="325"/>
        <v>742.03000000000009</v>
      </c>
      <c r="BI58" s="121">
        <f t="shared" si="320"/>
        <v>1.174953288786142</v>
      </c>
      <c r="BJ58" s="123">
        <f t="shared" ref="BJ58" si="329">SUM(BJ56:BJ57)</f>
        <v>-350.3300000000001</v>
      </c>
      <c r="BK58" s="228">
        <f>SUM(BK56:BK57)</f>
        <v>524.50999999999988</v>
      </c>
      <c r="BL58" s="78">
        <f t="shared" ref="BL58:BM58" si="330">SUM(BL56:BL57)</f>
        <v>397.48</v>
      </c>
      <c r="BM58" s="78">
        <f t="shared" si="330"/>
        <v>103.76</v>
      </c>
      <c r="BN58" s="78">
        <f t="shared" ref="BN58:BQ58" si="331">SUM(BN56:BN57)</f>
        <v>871</v>
      </c>
      <c r="BO58" s="80">
        <f t="shared" si="331"/>
        <v>1372.24</v>
      </c>
      <c r="BP58" s="78">
        <f t="shared" si="331"/>
        <v>81.099999999999994</v>
      </c>
      <c r="BQ58" s="78">
        <f t="shared" si="331"/>
        <v>0</v>
      </c>
      <c r="BR58" s="78">
        <f t="shared" ref="BR58" si="332">SUM(BR56:BR57)</f>
        <v>0</v>
      </c>
      <c r="BS58" s="80">
        <f t="shared" ref="BS58:BV58" si="333">SUM(BS56:BS57)</f>
        <v>81.099999999999994</v>
      </c>
      <c r="BT58" s="78">
        <f t="shared" si="333"/>
        <v>98.21</v>
      </c>
      <c r="BU58" s="78">
        <f t="shared" si="333"/>
        <v>0</v>
      </c>
      <c r="BV58" s="78">
        <f t="shared" si="333"/>
        <v>395.15</v>
      </c>
      <c r="BW58" s="80">
        <f t="shared" ref="BW58:BZ58" si="334">SUM(BW56:BW57)</f>
        <v>493.35999999999996</v>
      </c>
      <c r="BX58" s="275">
        <f t="shared" si="334"/>
        <v>0</v>
      </c>
      <c r="BY58" s="78">
        <f t="shared" si="334"/>
        <v>103.13</v>
      </c>
      <c r="BZ58" s="78">
        <f t="shared" si="334"/>
        <v>4.75</v>
      </c>
      <c r="CA58" s="80">
        <f t="shared" ref="CA58:CB58" si="335">SUM(CA56:CA57)</f>
        <v>107.88</v>
      </c>
      <c r="CB58" s="81">
        <f t="shared" si="335"/>
        <v>2054.58</v>
      </c>
      <c r="CC58" s="121">
        <f t="shared" si="321"/>
        <v>3.9171417132180517</v>
      </c>
      <c r="CD58" s="123">
        <f t="shared" ref="CD58" si="336">SUM(CD56:CD57)</f>
        <v>-1530.0700000000002</v>
      </c>
      <c r="CE58" s="37"/>
    </row>
    <row r="59" spans="1:83" ht="15.95" thickBot="1">
      <c r="A59" s="39" t="s">
        <v>401</v>
      </c>
      <c r="B59" s="84"/>
      <c r="C59" s="85"/>
      <c r="D59" s="65"/>
      <c r="E59" s="65"/>
      <c r="F59" s="65"/>
      <c r="G59" s="73"/>
      <c r="I59" s="72"/>
      <c r="J59" s="72"/>
      <c r="K59" s="73"/>
      <c r="L59" s="72"/>
      <c r="M59" s="72"/>
      <c r="N59" s="72"/>
      <c r="O59" s="73"/>
      <c r="P59" s="72"/>
      <c r="Q59" s="72"/>
      <c r="R59" s="72"/>
      <c r="S59" s="73"/>
      <c r="T59" s="73"/>
      <c r="U59" s="74"/>
      <c r="V59" s="75"/>
      <c r="W59" s="110"/>
      <c r="X59" s="65"/>
      <c r="Y59" s="65"/>
      <c r="Z59" s="65"/>
      <c r="AA59" s="73"/>
      <c r="AC59" s="72"/>
      <c r="AD59" s="72"/>
      <c r="AE59" s="73"/>
      <c r="AF59" s="72"/>
      <c r="AG59" s="72"/>
      <c r="AH59" s="72"/>
      <c r="AI59" s="73"/>
      <c r="AJ59" s="72"/>
      <c r="AK59" s="72"/>
      <c r="AL59" s="72"/>
      <c r="AM59" s="73"/>
      <c r="AN59" s="73"/>
      <c r="AO59" s="74"/>
      <c r="AP59" s="75"/>
      <c r="AQ59" s="110"/>
      <c r="AR59" s="65"/>
      <c r="AS59" s="65"/>
      <c r="AT59" s="65"/>
      <c r="AU59" s="73"/>
      <c r="AV59" s="65"/>
      <c r="AW59" s="65"/>
      <c r="AX59" s="65"/>
      <c r="AY59" s="73"/>
      <c r="AZ59" s="65"/>
      <c r="BA59" s="190"/>
      <c r="BB59" s="65"/>
      <c r="BC59" s="73"/>
      <c r="BD59" s="65"/>
      <c r="BE59" s="65"/>
      <c r="BF59" s="65"/>
      <c r="BG59" s="73"/>
      <c r="BH59" s="73"/>
      <c r="BI59" s="106"/>
      <c r="BJ59" s="73"/>
      <c r="BK59" s="71"/>
      <c r="BL59" s="90"/>
      <c r="BM59" s="90"/>
      <c r="BN59" s="90"/>
      <c r="BO59" s="73"/>
      <c r="BP59" s="90"/>
      <c r="BQ59" s="90"/>
      <c r="BR59" s="90"/>
      <c r="BS59" s="73"/>
      <c r="BT59" s="90"/>
      <c r="BU59" s="90"/>
      <c r="BV59" s="90"/>
      <c r="BW59" s="73"/>
      <c r="BX59" s="273"/>
      <c r="BY59" s="90"/>
      <c r="BZ59" s="90"/>
      <c r="CA59" s="73"/>
      <c r="CB59" s="73"/>
      <c r="CC59" s="106"/>
      <c r="CD59" s="73"/>
      <c r="CE59" s="39" t="s">
        <v>401</v>
      </c>
    </row>
    <row r="60" spans="1:83">
      <c r="A60" s="37" t="s">
        <v>402</v>
      </c>
      <c r="B60" s="69">
        <v>3250</v>
      </c>
      <c r="C60" s="47">
        <f>'budget anual'!C134</f>
        <v>0</v>
      </c>
      <c r="D60" s="72"/>
      <c r="E60" s="72"/>
      <c r="F60" s="72"/>
      <c r="G60" s="73">
        <f t="shared" ref="G60:G64" si="337">SUM(D60:F60)</f>
        <v>0</v>
      </c>
      <c r="I60" s="72"/>
      <c r="J60" s="72"/>
      <c r="K60" s="73">
        <f t="shared" ref="K60:K64" si="338">SUM(H60:J60)</f>
        <v>0</v>
      </c>
      <c r="L60" s="72"/>
      <c r="M60" s="72"/>
      <c r="N60" s="72"/>
      <c r="O60" s="73">
        <f t="shared" ref="O60:O64" si="339">SUM(L60:N60)</f>
        <v>0</v>
      </c>
      <c r="P60" s="72"/>
      <c r="Q60" s="72"/>
      <c r="R60" s="72"/>
      <c r="S60" s="73">
        <f t="shared" ref="S60:S64" si="340">SUM(P60:R60)</f>
        <v>0</v>
      </c>
      <c r="T60" s="73">
        <f t="shared" ref="T60:T64" si="341">G60+K60+O60+S60</f>
        <v>0</v>
      </c>
      <c r="U60" s="74" t="e">
        <f t="shared" ref="U60:U65" si="342">T60/C60</f>
        <v>#DIV/0!</v>
      </c>
      <c r="V60" s="75">
        <f t="shared" ref="V60:V64" si="343">C60-T60</f>
        <v>0</v>
      </c>
      <c r="W60" s="47" t="e">
        <f>'budget anual'!D134</f>
        <v>#REF!</v>
      </c>
      <c r="X60" s="72"/>
      <c r="Y60" s="72"/>
      <c r="Z60" s="72"/>
      <c r="AA60" s="73">
        <f t="shared" ref="AA60:AA64" si="344">SUM(X60:Z60)</f>
        <v>0</v>
      </c>
      <c r="AC60" s="72"/>
      <c r="AD60" s="72"/>
      <c r="AE60" s="73">
        <f t="shared" ref="AE60:AE64" si="345">SUM(AB60:AD60)</f>
        <v>0</v>
      </c>
      <c r="AF60" s="72"/>
      <c r="AG60" s="72"/>
      <c r="AH60" s="72"/>
      <c r="AI60" s="73">
        <f t="shared" ref="AI60:AI64" si="346">SUM(AF60:AH60)</f>
        <v>0</v>
      </c>
      <c r="AJ60" s="72"/>
      <c r="AK60" s="72">
        <v>3133.75</v>
      </c>
      <c r="AL60" s="72"/>
      <c r="AM60" s="73">
        <f t="shared" ref="AM60:AM64" si="347">SUM(AJ60:AL60)</f>
        <v>3133.75</v>
      </c>
      <c r="AN60" s="73">
        <f t="shared" ref="AN60:AN64" si="348">AA60+AE60+AI60+AM60</f>
        <v>3133.75</v>
      </c>
      <c r="AO60" s="74" t="e">
        <f t="shared" ref="AO60:AO65" si="349">AN60/W60</f>
        <v>#REF!</v>
      </c>
      <c r="AP60" s="73" t="e">
        <f t="shared" ref="AP60:AP64" si="350">(V60+W60)-AN60</f>
        <v>#REF!</v>
      </c>
      <c r="AQ60" s="47" t="e">
        <f>'budget anual'!E134</f>
        <v>#REF!</v>
      </c>
      <c r="AR60" s="72"/>
      <c r="AS60" s="72"/>
      <c r="AT60" s="72">
        <v>14.81</v>
      </c>
      <c r="AU60" s="73">
        <f t="shared" ref="AU60:AU64" si="351">SUM(AR60:AT60)</f>
        <v>14.81</v>
      </c>
      <c r="AW60" s="72"/>
      <c r="AX60" s="72"/>
      <c r="AY60" s="73">
        <f t="shared" ref="AY60:AY64" si="352">SUM(AV60:AX60)</f>
        <v>0</v>
      </c>
      <c r="AZ60" s="72"/>
      <c r="BB60" s="72"/>
      <c r="BC60" s="73">
        <f t="shared" ref="BC60:BC64" si="353">SUM(AZ60:BB60)</f>
        <v>0</v>
      </c>
      <c r="BD60" s="72"/>
      <c r="BE60" s="72"/>
      <c r="BF60" s="72"/>
      <c r="BG60" s="73">
        <f t="shared" ref="BG60:BG64" si="354">SUM(BD60:BF60)</f>
        <v>0</v>
      </c>
      <c r="BH60" s="73">
        <f t="shared" ref="BH60:BH64" si="355">AU60+AY60+BC60+BG60</f>
        <v>14.81</v>
      </c>
      <c r="BI60" s="106" t="e">
        <f t="shared" ref="BI60:BI65" si="356">BH60/AQ60</f>
        <v>#REF!</v>
      </c>
      <c r="BJ60" s="73" t="e">
        <f t="shared" ref="BJ60:BJ64" si="357">(AP60+AQ60)-BH60</f>
        <v>#REF!</v>
      </c>
      <c r="BK60" s="227">
        <f t="shared" ref="BK60:BK64" si="358">B60-T60-AN60-BH60</f>
        <v>101.44</v>
      </c>
      <c r="BL60" s="110"/>
      <c r="BM60" s="110"/>
      <c r="BN60" s="110"/>
      <c r="BO60" s="73">
        <f t="shared" ref="BO60:BO64" si="359">SUM(BL60:BN60)</f>
        <v>0</v>
      </c>
      <c r="BP60" s="110"/>
      <c r="BQ60" s="110"/>
      <c r="BR60" s="110">
        <v>180</v>
      </c>
      <c r="BS60" s="73">
        <f t="shared" ref="BS60:BS64" si="360">SUM(BP60:BR60)</f>
        <v>180</v>
      </c>
      <c r="BT60" s="110"/>
      <c r="BU60" s="110"/>
      <c r="BV60" s="110"/>
      <c r="BW60" s="73">
        <f t="shared" ref="BW60:BW64" si="361">SUM(BT60:BV60)</f>
        <v>0</v>
      </c>
      <c r="BX60" s="274"/>
      <c r="BY60" s="110"/>
      <c r="BZ60" s="110"/>
      <c r="CA60" s="73">
        <f t="shared" ref="CA60:CA64" si="362">SUM(BX60:BZ60)</f>
        <v>0</v>
      </c>
      <c r="CB60" s="73">
        <f t="shared" ref="CB60:CB64" si="363">BO60+BS60+BW60+CA60</f>
        <v>180</v>
      </c>
      <c r="CC60" s="106">
        <f t="shared" ref="CC60:CC65" si="364">CB60/BK60</f>
        <v>1.774447949526814</v>
      </c>
      <c r="CD60" s="73">
        <f t="shared" ref="CD60:CD64" si="365">BK60-CB60</f>
        <v>-78.56</v>
      </c>
      <c r="CE60" s="37" t="s">
        <v>402</v>
      </c>
    </row>
    <row r="61" spans="1:83">
      <c r="A61" s="43" t="s">
        <v>403</v>
      </c>
      <c r="B61" s="69">
        <v>1800</v>
      </c>
      <c r="C61" s="47">
        <f>'budget anual'!C135</f>
        <v>0</v>
      </c>
      <c r="D61" s="72"/>
      <c r="E61" s="72"/>
      <c r="F61" s="72"/>
      <c r="G61" s="73">
        <f t="shared" ref="G61:G63" si="366">SUM(D61:F61)</f>
        <v>0</v>
      </c>
      <c r="I61" s="72"/>
      <c r="J61" s="72"/>
      <c r="K61" s="73">
        <f t="shared" ref="K61:K63" si="367">SUM(H61:J61)</f>
        <v>0</v>
      </c>
      <c r="L61" s="72"/>
      <c r="M61" s="72"/>
      <c r="N61" s="72"/>
      <c r="O61" s="73">
        <f t="shared" ref="O61:O63" si="368">SUM(L61:N61)</f>
        <v>0</v>
      </c>
      <c r="P61" s="72"/>
      <c r="Q61" s="72"/>
      <c r="R61" s="72"/>
      <c r="S61" s="73">
        <f t="shared" ref="S61:S63" si="369">SUM(P61:R61)</f>
        <v>0</v>
      </c>
      <c r="T61" s="73">
        <f t="shared" ref="T61:T63" si="370">G61+K61+O61+S61</f>
        <v>0</v>
      </c>
      <c r="U61" s="74" t="e">
        <f t="shared" ref="U61:U63" si="371">T61/C61</f>
        <v>#DIV/0!</v>
      </c>
      <c r="V61" s="75">
        <f t="shared" ref="V61:V63" si="372">C61-T61</f>
        <v>0</v>
      </c>
      <c r="W61" s="47" t="e">
        <f>'budget anual'!D135</f>
        <v>#REF!</v>
      </c>
      <c r="X61" s="72"/>
      <c r="Y61" s="72"/>
      <c r="Z61" s="72"/>
      <c r="AA61" s="73">
        <f t="shared" si="344"/>
        <v>0</v>
      </c>
      <c r="AC61" s="72"/>
      <c r="AD61" s="72"/>
      <c r="AE61" s="73">
        <f t="shared" si="345"/>
        <v>0</v>
      </c>
      <c r="AF61" s="72"/>
      <c r="AG61" s="72"/>
      <c r="AH61" s="72"/>
      <c r="AI61" s="73">
        <f t="shared" si="346"/>
        <v>0</v>
      </c>
      <c r="AJ61" s="72"/>
      <c r="AK61" s="72"/>
      <c r="AL61" s="72"/>
      <c r="AM61" s="73">
        <f t="shared" si="347"/>
        <v>0</v>
      </c>
      <c r="AN61" s="73">
        <f t="shared" si="348"/>
        <v>0</v>
      </c>
      <c r="AO61" s="74" t="e">
        <f t="shared" si="349"/>
        <v>#REF!</v>
      </c>
      <c r="AP61" s="73" t="e">
        <f t="shared" si="350"/>
        <v>#REF!</v>
      </c>
      <c r="AQ61" s="47" t="e">
        <f>'budget anual'!E135</f>
        <v>#REF!</v>
      </c>
      <c r="AR61" s="72">
        <v>1008.37</v>
      </c>
      <c r="AS61" s="72">
        <v>-210.4</v>
      </c>
      <c r="AT61" s="72"/>
      <c r="AU61" s="73">
        <f t="shared" si="351"/>
        <v>797.97</v>
      </c>
      <c r="AW61" s="72"/>
      <c r="AX61" s="72">
        <v>119.3</v>
      </c>
      <c r="AY61" s="73">
        <f t="shared" si="352"/>
        <v>119.3</v>
      </c>
      <c r="AZ61" s="72"/>
      <c r="BA61" s="127">
        <v>192.14</v>
      </c>
      <c r="BB61" s="72">
        <v>130</v>
      </c>
      <c r="BC61" s="73">
        <f t="shared" si="353"/>
        <v>322.14</v>
      </c>
      <c r="BD61" s="72"/>
      <c r="BE61" s="72"/>
      <c r="BF61" s="72"/>
      <c r="BG61" s="73">
        <f t="shared" si="354"/>
        <v>0</v>
      </c>
      <c r="BH61" s="73">
        <f t="shared" si="355"/>
        <v>1239.4099999999999</v>
      </c>
      <c r="BI61" s="106" t="e">
        <f t="shared" si="356"/>
        <v>#REF!</v>
      </c>
      <c r="BJ61" s="73" t="e">
        <f t="shared" si="357"/>
        <v>#REF!</v>
      </c>
      <c r="BK61" s="227">
        <f t="shared" si="358"/>
        <v>560.59000000000015</v>
      </c>
      <c r="BL61" s="110">
        <v>-5.44</v>
      </c>
      <c r="BM61" s="110"/>
      <c r="BN61" s="110"/>
      <c r="BO61" s="73">
        <f t="shared" si="359"/>
        <v>-5.44</v>
      </c>
      <c r="BP61" s="110"/>
      <c r="BQ61" s="110"/>
      <c r="BR61" s="110">
        <v>272.81</v>
      </c>
      <c r="BS61" s="73">
        <f t="shared" si="360"/>
        <v>272.81</v>
      </c>
      <c r="BT61" s="110"/>
      <c r="BU61" s="110"/>
      <c r="BV61" s="110"/>
      <c r="BW61" s="73">
        <f t="shared" si="361"/>
        <v>0</v>
      </c>
      <c r="BX61" s="274"/>
      <c r="BY61" s="110"/>
      <c r="BZ61" s="110"/>
      <c r="CA61" s="73">
        <f t="shared" si="362"/>
        <v>0</v>
      </c>
      <c r="CB61" s="73">
        <f t="shared" si="363"/>
        <v>267.37</v>
      </c>
      <c r="CC61" s="106">
        <f t="shared" si="364"/>
        <v>0.47694393406946239</v>
      </c>
      <c r="CD61" s="73">
        <f t="shared" si="365"/>
        <v>293.22000000000014</v>
      </c>
      <c r="CE61" s="43" t="s">
        <v>403</v>
      </c>
    </row>
    <row r="62" spans="1:83">
      <c r="A62" s="43" t="s">
        <v>404</v>
      </c>
      <c r="B62" s="69">
        <v>2800</v>
      </c>
      <c r="C62" s="47">
        <f>'budget anual'!C136</f>
        <v>0</v>
      </c>
      <c r="D62" s="72"/>
      <c r="E62" s="72"/>
      <c r="F62" s="72"/>
      <c r="G62" s="73">
        <f t="shared" si="366"/>
        <v>0</v>
      </c>
      <c r="I62" s="72"/>
      <c r="J62" s="72"/>
      <c r="K62" s="73">
        <f t="shared" si="367"/>
        <v>0</v>
      </c>
      <c r="L62" s="72"/>
      <c r="M62" s="72"/>
      <c r="N62" s="72"/>
      <c r="O62" s="73">
        <f t="shared" si="368"/>
        <v>0</v>
      </c>
      <c r="P62" s="72"/>
      <c r="Q62" s="72"/>
      <c r="R62" s="72"/>
      <c r="S62" s="73">
        <f t="shared" si="369"/>
        <v>0</v>
      </c>
      <c r="T62" s="73">
        <f t="shared" si="370"/>
        <v>0</v>
      </c>
      <c r="U62" s="74" t="e">
        <f t="shared" si="371"/>
        <v>#DIV/0!</v>
      </c>
      <c r="V62" s="75">
        <f t="shared" si="372"/>
        <v>0</v>
      </c>
      <c r="W62" s="47" t="e">
        <f>'budget anual'!D136</f>
        <v>#REF!</v>
      </c>
      <c r="X62" s="72"/>
      <c r="Y62" s="72"/>
      <c r="Z62" s="72"/>
      <c r="AA62" s="73">
        <f t="shared" si="344"/>
        <v>0</v>
      </c>
      <c r="AC62" s="72"/>
      <c r="AD62" s="72"/>
      <c r="AE62" s="73">
        <f t="shared" si="345"/>
        <v>0</v>
      </c>
      <c r="AF62" s="72"/>
      <c r="AG62" s="72"/>
      <c r="AH62" s="72"/>
      <c r="AI62" s="73">
        <f t="shared" si="346"/>
        <v>0</v>
      </c>
      <c r="AJ62" s="72"/>
      <c r="AK62" s="72"/>
      <c r="AL62" s="72"/>
      <c r="AM62" s="73">
        <f t="shared" si="347"/>
        <v>0</v>
      </c>
      <c r="AN62" s="73">
        <f t="shared" si="348"/>
        <v>0</v>
      </c>
      <c r="AO62" s="74" t="e">
        <f t="shared" si="349"/>
        <v>#REF!</v>
      </c>
      <c r="AP62" s="73" t="e">
        <f t="shared" si="350"/>
        <v>#REF!</v>
      </c>
      <c r="AQ62" s="47" t="e">
        <f>'budget anual'!E136</f>
        <v>#REF!</v>
      </c>
      <c r="AR62" s="72"/>
      <c r="AS62" s="72"/>
      <c r="AT62" s="72"/>
      <c r="AU62" s="73">
        <f t="shared" si="351"/>
        <v>0</v>
      </c>
      <c r="AW62" s="72"/>
      <c r="AX62" s="72">
        <v>2758.75</v>
      </c>
      <c r="AY62" s="73">
        <f t="shared" si="352"/>
        <v>2758.75</v>
      </c>
      <c r="AZ62" s="72"/>
      <c r="BB62" s="72"/>
      <c r="BC62" s="73">
        <f t="shared" si="353"/>
        <v>0</v>
      </c>
      <c r="BD62" s="72"/>
      <c r="BE62" s="72"/>
      <c r="BF62" s="72"/>
      <c r="BG62" s="73">
        <f t="shared" si="354"/>
        <v>0</v>
      </c>
      <c r="BH62" s="73">
        <f t="shared" si="355"/>
        <v>2758.75</v>
      </c>
      <c r="BI62" s="106" t="e">
        <f t="shared" si="356"/>
        <v>#REF!</v>
      </c>
      <c r="BJ62" s="73" t="e">
        <f t="shared" si="357"/>
        <v>#REF!</v>
      </c>
      <c r="BK62" s="227">
        <f t="shared" si="358"/>
        <v>41.25</v>
      </c>
      <c r="BL62" s="110"/>
      <c r="BM62" s="110"/>
      <c r="BN62" s="110"/>
      <c r="BO62" s="73">
        <f t="shared" si="359"/>
        <v>0</v>
      </c>
      <c r="BP62" s="110"/>
      <c r="BQ62" s="110"/>
      <c r="BR62" s="110"/>
      <c r="BS62" s="73">
        <f t="shared" si="360"/>
        <v>0</v>
      </c>
      <c r="BT62" s="110"/>
      <c r="BU62" s="110"/>
      <c r="BV62" s="110"/>
      <c r="BW62" s="73">
        <f t="shared" si="361"/>
        <v>0</v>
      </c>
      <c r="BX62" s="274"/>
      <c r="BY62" s="110"/>
      <c r="BZ62" s="110"/>
      <c r="CA62" s="73">
        <f t="shared" si="362"/>
        <v>0</v>
      </c>
      <c r="CB62" s="73">
        <f t="shared" si="363"/>
        <v>0</v>
      </c>
      <c r="CC62" s="106">
        <f t="shared" si="364"/>
        <v>0</v>
      </c>
      <c r="CD62" s="73">
        <f t="shared" si="365"/>
        <v>41.25</v>
      </c>
      <c r="CE62" s="43" t="s">
        <v>404</v>
      </c>
    </row>
    <row r="63" spans="1:83">
      <c r="A63" s="43" t="s">
        <v>405</v>
      </c>
      <c r="B63" s="69">
        <v>1100</v>
      </c>
      <c r="C63" s="47">
        <f>'budget anual'!C137</f>
        <v>0</v>
      </c>
      <c r="D63" s="72"/>
      <c r="E63" s="72"/>
      <c r="F63" s="72"/>
      <c r="G63" s="73">
        <f t="shared" si="366"/>
        <v>0</v>
      </c>
      <c r="I63" s="72"/>
      <c r="J63" s="72"/>
      <c r="K63" s="73">
        <f t="shared" si="367"/>
        <v>0</v>
      </c>
      <c r="L63" s="72"/>
      <c r="M63" s="72"/>
      <c r="N63" s="72"/>
      <c r="O63" s="73">
        <f t="shared" si="368"/>
        <v>0</v>
      </c>
      <c r="P63" s="72"/>
      <c r="Q63" s="72"/>
      <c r="R63" s="72"/>
      <c r="S63" s="73">
        <f t="shared" si="369"/>
        <v>0</v>
      </c>
      <c r="T63" s="73">
        <f t="shared" si="370"/>
        <v>0</v>
      </c>
      <c r="U63" s="74" t="e">
        <f t="shared" si="371"/>
        <v>#DIV/0!</v>
      </c>
      <c r="V63" s="75">
        <f t="shared" si="372"/>
        <v>0</v>
      </c>
      <c r="W63" s="47" t="e">
        <f>'budget anual'!D137</f>
        <v>#REF!</v>
      </c>
      <c r="X63" s="72"/>
      <c r="Y63" s="72"/>
      <c r="Z63" s="72"/>
      <c r="AA63" s="73">
        <f t="shared" si="344"/>
        <v>0</v>
      </c>
      <c r="AC63" s="72"/>
      <c r="AD63" s="72"/>
      <c r="AE63" s="73">
        <f t="shared" si="345"/>
        <v>0</v>
      </c>
      <c r="AF63" s="72"/>
      <c r="AG63" s="72"/>
      <c r="AH63" s="72"/>
      <c r="AI63" s="73">
        <f t="shared" si="346"/>
        <v>0</v>
      </c>
      <c r="AJ63" s="72">
        <v>820</v>
      </c>
      <c r="AK63" s="72"/>
      <c r="AL63" s="72">
        <v>24.82</v>
      </c>
      <c r="AM63" s="73">
        <f t="shared" si="347"/>
        <v>844.82</v>
      </c>
      <c r="AN63" s="73">
        <f t="shared" si="348"/>
        <v>844.82</v>
      </c>
      <c r="AO63" s="74" t="e">
        <f t="shared" si="349"/>
        <v>#REF!</v>
      </c>
      <c r="AP63" s="73" t="e">
        <f t="shared" si="350"/>
        <v>#REF!</v>
      </c>
      <c r="AQ63" s="47" t="e">
        <f>'budget anual'!E137</f>
        <v>#REF!</v>
      </c>
      <c r="AR63" s="72"/>
      <c r="AS63" s="72"/>
      <c r="AT63" s="72"/>
      <c r="AU63" s="73">
        <f t="shared" si="351"/>
        <v>0</v>
      </c>
      <c r="AW63" s="72"/>
      <c r="AX63" s="72"/>
      <c r="AY63" s="73">
        <f t="shared" si="352"/>
        <v>0</v>
      </c>
      <c r="AZ63" s="72"/>
      <c r="BA63" s="127">
        <v>200</v>
      </c>
      <c r="BB63" s="72"/>
      <c r="BC63" s="73">
        <f t="shared" si="353"/>
        <v>200</v>
      </c>
      <c r="BD63" s="72"/>
      <c r="BE63" s="72"/>
      <c r="BF63" s="72"/>
      <c r="BG63" s="73">
        <f t="shared" si="354"/>
        <v>0</v>
      </c>
      <c r="BH63" s="73">
        <f t="shared" si="355"/>
        <v>200</v>
      </c>
      <c r="BI63" s="106" t="e">
        <f t="shared" si="356"/>
        <v>#REF!</v>
      </c>
      <c r="BJ63" s="73" t="e">
        <f t="shared" si="357"/>
        <v>#REF!</v>
      </c>
      <c r="BK63" s="227">
        <f t="shared" si="358"/>
        <v>55.17999999999995</v>
      </c>
      <c r="BL63" s="110"/>
      <c r="BM63" s="110"/>
      <c r="BN63" s="110"/>
      <c r="BO63" s="73">
        <f t="shared" si="359"/>
        <v>0</v>
      </c>
      <c r="BP63" s="110"/>
      <c r="BQ63" s="110"/>
      <c r="BR63" s="110"/>
      <c r="BS63" s="73">
        <f t="shared" si="360"/>
        <v>0</v>
      </c>
      <c r="BT63" s="110"/>
      <c r="BU63" s="110"/>
      <c r="BV63" s="110"/>
      <c r="BW63" s="73">
        <f t="shared" si="361"/>
        <v>0</v>
      </c>
      <c r="BX63" s="274"/>
      <c r="BY63" s="110"/>
      <c r="BZ63" s="110"/>
      <c r="CA63" s="73">
        <f t="shared" si="362"/>
        <v>0</v>
      </c>
      <c r="CB63" s="73">
        <f t="shared" si="363"/>
        <v>0</v>
      </c>
      <c r="CC63" s="106">
        <f t="shared" si="364"/>
        <v>0</v>
      </c>
      <c r="CD63" s="73">
        <f t="shared" si="365"/>
        <v>55.17999999999995</v>
      </c>
      <c r="CE63" s="43" t="s">
        <v>405</v>
      </c>
    </row>
    <row r="64" spans="1:83" ht="15.95" thickBot="1">
      <c r="A64" s="43" t="s">
        <v>406</v>
      </c>
      <c r="B64" s="69" t="e">
        <f>#REF!</f>
        <v>#REF!</v>
      </c>
      <c r="C64" s="47">
        <v>0</v>
      </c>
      <c r="D64" s="72"/>
      <c r="E64" s="72"/>
      <c r="F64" s="72"/>
      <c r="G64" s="73">
        <f t="shared" si="337"/>
        <v>0</v>
      </c>
      <c r="I64" s="72"/>
      <c r="J64" s="72"/>
      <c r="K64" s="73">
        <f t="shared" si="338"/>
        <v>0</v>
      </c>
      <c r="L64" s="72"/>
      <c r="M64" s="72"/>
      <c r="N64" s="72"/>
      <c r="O64" s="73">
        <f t="shared" si="339"/>
        <v>0</v>
      </c>
      <c r="P64" s="72"/>
      <c r="Q64" s="72"/>
      <c r="R64" s="72"/>
      <c r="S64" s="73">
        <f t="shared" si="340"/>
        <v>0</v>
      </c>
      <c r="T64" s="73">
        <f t="shared" si="341"/>
        <v>0</v>
      </c>
      <c r="U64" s="74" t="e">
        <f t="shared" si="342"/>
        <v>#DIV/0!</v>
      </c>
      <c r="V64" s="75">
        <f t="shared" si="343"/>
        <v>0</v>
      </c>
      <c r="W64" s="47">
        <v>0</v>
      </c>
      <c r="X64" s="72"/>
      <c r="Y64" s="72"/>
      <c r="Z64" s="72"/>
      <c r="AA64" s="73">
        <f t="shared" si="344"/>
        <v>0</v>
      </c>
      <c r="AC64" s="72"/>
      <c r="AD64" s="72"/>
      <c r="AE64" s="73">
        <f t="shared" si="345"/>
        <v>0</v>
      </c>
      <c r="AF64" s="72"/>
      <c r="AG64" s="72"/>
      <c r="AH64" s="72"/>
      <c r="AI64" s="73">
        <f t="shared" si="346"/>
        <v>0</v>
      </c>
      <c r="AJ64" s="72"/>
      <c r="AK64" s="72"/>
      <c r="AL64" s="72"/>
      <c r="AM64" s="73">
        <f t="shared" si="347"/>
        <v>0</v>
      </c>
      <c r="AN64" s="73">
        <f t="shared" si="348"/>
        <v>0</v>
      </c>
      <c r="AO64" s="74" t="e">
        <f t="shared" si="349"/>
        <v>#DIV/0!</v>
      </c>
      <c r="AP64" s="73">
        <f t="shared" si="350"/>
        <v>0</v>
      </c>
      <c r="AQ64" s="47">
        <v>0</v>
      </c>
      <c r="AR64" s="72"/>
      <c r="AS64" s="72"/>
      <c r="AT64" s="72"/>
      <c r="AU64" s="73">
        <f t="shared" si="351"/>
        <v>0</v>
      </c>
      <c r="AW64" s="72"/>
      <c r="AX64" s="72"/>
      <c r="AY64" s="73">
        <f t="shared" si="352"/>
        <v>0</v>
      </c>
      <c r="AZ64" s="72"/>
      <c r="BB64" s="72"/>
      <c r="BC64" s="73">
        <f t="shared" si="353"/>
        <v>0</v>
      </c>
      <c r="BD64" s="72"/>
      <c r="BE64" s="72"/>
      <c r="BF64" s="72"/>
      <c r="BG64" s="73">
        <f t="shared" si="354"/>
        <v>0</v>
      </c>
      <c r="BH64" s="73">
        <f t="shared" si="355"/>
        <v>0</v>
      </c>
      <c r="BI64" s="106" t="e">
        <f t="shared" si="356"/>
        <v>#DIV/0!</v>
      </c>
      <c r="BJ64" s="73">
        <f t="shared" si="357"/>
        <v>0</v>
      </c>
      <c r="BK64" s="227" t="e">
        <f t="shared" si="358"/>
        <v>#REF!</v>
      </c>
      <c r="BL64" s="110"/>
      <c r="BM64" s="110"/>
      <c r="BN64" s="110"/>
      <c r="BO64" s="73">
        <f t="shared" si="359"/>
        <v>0</v>
      </c>
      <c r="BP64" s="110"/>
      <c r="BQ64" s="110"/>
      <c r="BR64" s="110"/>
      <c r="BS64" s="73">
        <f t="shared" si="360"/>
        <v>0</v>
      </c>
      <c r="BT64" s="110"/>
      <c r="BU64" s="110"/>
      <c r="BV64" s="110"/>
      <c r="BW64" s="73">
        <f t="shared" si="361"/>
        <v>0</v>
      </c>
      <c r="BX64" s="274"/>
      <c r="BY64" s="110"/>
      <c r="BZ64" s="110"/>
      <c r="CA64" s="73">
        <f t="shared" si="362"/>
        <v>0</v>
      </c>
      <c r="CB64" s="73">
        <f t="shared" si="363"/>
        <v>0</v>
      </c>
      <c r="CC64" s="106" t="e">
        <f t="shared" si="364"/>
        <v>#REF!</v>
      </c>
      <c r="CD64" s="73" t="e">
        <f t="shared" si="365"/>
        <v>#REF!</v>
      </c>
      <c r="CE64" s="43" t="s">
        <v>406</v>
      </c>
    </row>
    <row r="65" spans="1:83" ht="15.95" thickBot="1">
      <c r="A65" s="43"/>
      <c r="B65" s="77" t="e">
        <f t="shared" ref="B65:T65" si="373">SUM(B60:B64)</f>
        <v>#REF!</v>
      </c>
      <c r="C65" s="77">
        <f t="shared" si="373"/>
        <v>0</v>
      </c>
      <c r="D65" s="78">
        <f t="shared" si="373"/>
        <v>0</v>
      </c>
      <c r="E65" s="78">
        <f t="shared" si="373"/>
        <v>0</v>
      </c>
      <c r="F65" s="78">
        <f t="shared" si="373"/>
        <v>0</v>
      </c>
      <c r="G65" s="80">
        <f t="shared" si="373"/>
        <v>0</v>
      </c>
      <c r="H65" s="78">
        <f t="shared" si="373"/>
        <v>0</v>
      </c>
      <c r="I65" s="78">
        <f t="shared" si="373"/>
        <v>0</v>
      </c>
      <c r="J65" s="78">
        <f t="shared" si="373"/>
        <v>0</v>
      </c>
      <c r="K65" s="80">
        <f t="shared" si="373"/>
        <v>0</v>
      </c>
      <c r="L65" s="78">
        <f t="shared" si="373"/>
        <v>0</v>
      </c>
      <c r="M65" s="78">
        <f t="shared" si="373"/>
        <v>0</v>
      </c>
      <c r="N65" s="78">
        <f t="shared" si="373"/>
        <v>0</v>
      </c>
      <c r="O65" s="80">
        <f t="shared" si="373"/>
        <v>0</v>
      </c>
      <c r="P65" s="78">
        <f t="shared" si="373"/>
        <v>0</v>
      </c>
      <c r="Q65" s="78">
        <f t="shared" si="373"/>
        <v>0</v>
      </c>
      <c r="R65" s="78">
        <f t="shared" si="373"/>
        <v>0</v>
      </c>
      <c r="S65" s="80">
        <f t="shared" si="373"/>
        <v>0</v>
      </c>
      <c r="T65" s="81">
        <f t="shared" si="373"/>
        <v>0</v>
      </c>
      <c r="U65" s="82" t="e">
        <f t="shared" si="342"/>
        <v>#DIV/0!</v>
      </c>
      <c r="V65" s="83">
        <f>SUM(V60:V64)</f>
        <v>0</v>
      </c>
      <c r="W65" s="77" t="e">
        <f t="shared" ref="W65:AN65" si="374">SUM(W60:W64)</f>
        <v>#REF!</v>
      </c>
      <c r="X65" s="109">
        <f t="shared" si="374"/>
        <v>0</v>
      </c>
      <c r="Y65" s="78">
        <f t="shared" si="374"/>
        <v>0</v>
      </c>
      <c r="Z65" s="78">
        <f t="shared" si="374"/>
        <v>0</v>
      </c>
      <c r="AA65" s="80">
        <f t="shared" si="374"/>
        <v>0</v>
      </c>
      <c r="AB65" s="78">
        <f t="shared" si="374"/>
        <v>0</v>
      </c>
      <c r="AC65" s="78">
        <f t="shared" si="374"/>
        <v>0</v>
      </c>
      <c r="AD65" s="78">
        <f t="shared" si="374"/>
        <v>0</v>
      </c>
      <c r="AE65" s="80">
        <f t="shared" si="374"/>
        <v>0</v>
      </c>
      <c r="AF65" s="78">
        <f t="shared" si="374"/>
        <v>0</v>
      </c>
      <c r="AG65" s="78">
        <f t="shared" si="374"/>
        <v>0</v>
      </c>
      <c r="AH65" s="78">
        <f t="shared" si="374"/>
        <v>0</v>
      </c>
      <c r="AI65" s="80">
        <f t="shared" si="374"/>
        <v>0</v>
      </c>
      <c r="AJ65" s="78">
        <f t="shared" si="374"/>
        <v>820</v>
      </c>
      <c r="AK65" s="78">
        <f t="shared" si="374"/>
        <v>3133.75</v>
      </c>
      <c r="AL65" s="78">
        <f t="shared" si="374"/>
        <v>24.82</v>
      </c>
      <c r="AM65" s="80">
        <f t="shared" si="374"/>
        <v>3978.57</v>
      </c>
      <c r="AN65" s="81">
        <f t="shared" si="374"/>
        <v>3978.57</v>
      </c>
      <c r="AO65" s="82" t="e">
        <f t="shared" si="349"/>
        <v>#REF!</v>
      </c>
      <c r="AP65" s="83" t="e">
        <f>SUM(AP60:AP64)</f>
        <v>#REF!</v>
      </c>
      <c r="AQ65" s="77" t="e">
        <f t="shared" ref="AQ65:BH65" si="375">SUM(AQ60:AQ64)</f>
        <v>#REF!</v>
      </c>
      <c r="AR65" s="109">
        <f t="shared" si="375"/>
        <v>1008.37</v>
      </c>
      <c r="AS65" s="78">
        <f t="shared" si="375"/>
        <v>-210.4</v>
      </c>
      <c r="AT65" s="78">
        <f t="shared" si="375"/>
        <v>14.81</v>
      </c>
      <c r="AU65" s="80">
        <f t="shared" si="375"/>
        <v>812.78</v>
      </c>
      <c r="AV65" s="109">
        <f t="shared" ref="AV65:AX65" si="376">SUM(AV60:AV64)</f>
        <v>0</v>
      </c>
      <c r="AW65" s="78">
        <f t="shared" si="376"/>
        <v>0</v>
      </c>
      <c r="AX65" s="78">
        <f t="shared" si="376"/>
        <v>2878.05</v>
      </c>
      <c r="AY65" s="80">
        <f t="shared" si="375"/>
        <v>2878.05</v>
      </c>
      <c r="AZ65" s="109">
        <f t="shared" ref="AZ65:BB65" si="377">SUM(AZ60:AZ64)</f>
        <v>0</v>
      </c>
      <c r="BA65" s="191">
        <f t="shared" si="377"/>
        <v>392.14</v>
      </c>
      <c r="BB65" s="78">
        <f t="shared" si="377"/>
        <v>130</v>
      </c>
      <c r="BC65" s="80">
        <f t="shared" si="375"/>
        <v>522.14</v>
      </c>
      <c r="BD65" s="109">
        <f t="shared" ref="BD65:BF65" si="378">SUM(BD60:BD64)</f>
        <v>0</v>
      </c>
      <c r="BE65" s="78">
        <f t="shared" si="378"/>
        <v>0</v>
      </c>
      <c r="BF65" s="78">
        <f t="shared" si="378"/>
        <v>0</v>
      </c>
      <c r="BG65" s="80">
        <f t="shared" si="375"/>
        <v>0</v>
      </c>
      <c r="BH65" s="81">
        <f t="shared" si="375"/>
        <v>4212.9699999999993</v>
      </c>
      <c r="BI65" s="121" t="e">
        <f t="shared" si="356"/>
        <v>#REF!</v>
      </c>
      <c r="BJ65" s="123" t="e">
        <f>SUM(BJ60:BJ64)</f>
        <v>#REF!</v>
      </c>
      <c r="BK65" s="228" t="e">
        <f t="shared" ref="BK65:BL65" si="379">SUM(BK60:BK64)</f>
        <v>#REF!</v>
      </c>
      <c r="BL65" s="78">
        <f t="shared" si="379"/>
        <v>-5.44</v>
      </c>
      <c r="BM65" s="78">
        <f t="shared" ref="BM65:BP65" si="380">SUM(BM60:BM64)</f>
        <v>0</v>
      </c>
      <c r="BN65" s="78">
        <f t="shared" si="380"/>
        <v>0</v>
      </c>
      <c r="BO65" s="80">
        <f t="shared" si="380"/>
        <v>-5.44</v>
      </c>
      <c r="BP65" s="78">
        <f t="shared" si="380"/>
        <v>0</v>
      </c>
      <c r="BQ65" s="78">
        <f t="shared" ref="BQ65:BR65" si="381">SUM(BQ60:BQ64)</f>
        <v>0</v>
      </c>
      <c r="BR65" s="78">
        <f t="shared" si="381"/>
        <v>452.81</v>
      </c>
      <c r="BS65" s="80">
        <f t="shared" ref="BS65:BV65" si="382">SUM(BS60:BS64)</f>
        <v>452.81</v>
      </c>
      <c r="BT65" s="78">
        <f t="shared" si="382"/>
        <v>0</v>
      </c>
      <c r="BU65" s="78">
        <f t="shared" si="382"/>
        <v>0</v>
      </c>
      <c r="BV65" s="78">
        <f t="shared" si="382"/>
        <v>0</v>
      </c>
      <c r="BW65" s="80">
        <f t="shared" ref="BW65:BZ65" si="383">SUM(BW60:BW64)</f>
        <v>0</v>
      </c>
      <c r="BX65" s="275">
        <f t="shared" si="383"/>
        <v>0</v>
      </c>
      <c r="BY65" s="78">
        <f t="shared" si="383"/>
        <v>0</v>
      </c>
      <c r="BZ65" s="78">
        <f t="shared" si="383"/>
        <v>0</v>
      </c>
      <c r="CA65" s="80">
        <f t="shared" ref="CA65:CB65" si="384">SUM(CA60:CA64)</f>
        <v>0</v>
      </c>
      <c r="CB65" s="81">
        <f t="shared" si="384"/>
        <v>447.37</v>
      </c>
      <c r="CC65" s="121" t="e">
        <f t="shared" si="364"/>
        <v>#REF!</v>
      </c>
      <c r="CD65" s="123" t="e">
        <f>SUM(CD60:CD64)</f>
        <v>#REF!</v>
      </c>
      <c r="CE65" s="43"/>
    </row>
    <row r="66" spans="1:83" ht="22.5" thickBot="1">
      <c r="A66" s="91" t="s">
        <v>407</v>
      </c>
      <c r="B66" s="84"/>
      <c r="C66" s="85"/>
      <c r="D66" s="65"/>
      <c r="E66" s="65"/>
      <c r="F66" s="65"/>
      <c r="G66" s="73"/>
      <c r="I66" s="72"/>
      <c r="J66" s="72"/>
      <c r="K66" s="73"/>
      <c r="L66" s="72"/>
      <c r="M66" s="72"/>
      <c r="N66" s="72"/>
      <c r="O66" s="73"/>
      <c r="P66" s="72"/>
      <c r="Q66" s="72"/>
      <c r="R66" s="72"/>
      <c r="S66" s="73"/>
      <c r="T66" s="73"/>
      <c r="U66" s="74"/>
      <c r="V66" s="75"/>
      <c r="W66" s="110"/>
      <c r="X66" s="65"/>
      <c r="Y66" s="65"/>
      <c r="Z66" s="65"/>
      <c r="AA66" s="73"/>
      <c r="AC66" s="72"/>
      <c r="AD66" s="72"/>
      <c r="AE66" s="73"/>
      <c r="AF66" s="72"/>
      <c r="AG66" s="72"/>
      <c r="AH66" s="72"/>
      <c r="AI66" s="73"/>
      <c r="AJ66" s="65"/>
      <c r="AK66" s="65"/>
      <c r="AL66" s="65"/>
      <c r="AM66" s="73"/>
      <c r="AN66" s="73"/>
      <c r="AO66" s="74"/>
      <c r="AP66" s="75"/>
      <c r="AQ66" s="110"/>
      <c r="AR66" s="65"/>
      <c r="AS66" s="65"/>
      <c r="AT66" s="65"/>
      <c r="AU66" s="73"/>
      <c r="AV66" s="65"/>
      <c r="AW66" s="65"/>
      <c r="AX66" s="65"/>
      <c r="AY66" s="73"/>
      <c r="AZ66" s="65"/>
      <c r="BA66" s="190"/>
      <c r="BB66" s="65"/>
      <c r="BC66" s="73"/>
      <c r="BD66" s="65"/>
      <c r="BE66" s="65"/>
      <c r="BF66" s="65"/>
      <c r="BG66" s="73"/>
      <c r="BH66" s="73"/>
      <c r="BI66" s="106"/>
      <c r="BJ66" s="73"/>
      <c r="BK66" s="71"/>
      <c r="BL66" s="90"/>
      <c r="BM66" s="90"/>
      <c r="BN66" s="90"/>
      <c r="BO66" s="73"/>
      <c r="BP66" s="90"/>
      <c r="BQ66" s="90"/>
      <c r="BR66" s="90"/>
      <c r="BS66" s="73"/>
      <c r="BT66" s="90"/>
      <c r="BU66" s="90"/>
      <c r="BV66" s="90"/>
      <c r="BW66" s="73"/>
      <c r="BX66" s="273"/>
      <c r="BY66" s="90"/>
      <c r="BZ66" s="90"/>
      <c r="CA66" s="73"/>
      <c r="CB66" s="73"/>
      <c r="CC66" s="106"/>
      <c r="CD66" s="73"/>
      <c r="CE66" s="91" t="s">
        <v>407</v>
      </c>
    </row>
    <row r="67" spans="1:83" ht="21.6">
      <c r="A67" s="37" t="s">
        <v>408</v>
      </c>
      <c r="B67" s="69">
        <v>1000</v>
      </c>
      <c r="C67" s="70">
        <f>'budget anual'!B144</f>
        <v>1000</v>
      </c>
      <c r="D67" s="72"/>
      <c r="E67" s="72"/>
      <c r="F67" s="72"/>
      <c r="G67" s="73">
        <f t="shared" ref="G67:G69" si="385">SUM(D67:F67)</f>
        <v>0</v>
      </c>
      <c r="I67" s="72"/>
      <c r="J67" s="72"/>
      <c r="K67" s="73">
        <f t="shared" ref="K67:K69" si="386">SUM(H67:J67)</f>
        <v>0</v>
      </c>
      <c r="L67" s="72"/>
      <c r="M67" s="72"/>
      <c r="N67" s="72"/>
      <c r="O67" s="73">
        <f t="shared" ref="O67:O69" si="387">SUM(L67:N67)</f>
        <v>0</v>
      </c>
      <c r="P67" s="72">
        <v>1016.33</v>
      </c>
      <c r="Q67" s="72"/>
      <c r="R67" s="72"/>
      <c r="S67" s="73">
        <f t="shared" ref="S67:S69" si="388">SUM(P67:R67)</f>
        <v>1016.33</v>
      </c>
      <c r="T67" s="73">
        <f t="shared" ref="T67:T69" si="389">G67+K67+O67+S67</f>
        <v>1016.33</v>
      </c>
      <c r="U67" s="74"/>
      <c r="V67" s="75">
        <f t="shared" ref="V67:V69" si="390">C67-T67</f>
        <v>-16.330000000000041</v>
      </c>
      <c r="W67" s="70">
        <v>0</v>
      </c>
      <c r="X67" s="72"/>
      <c r="Y67" s="72"/>
      <c r="Z67" s="72"/>
      <c r="AA67" s="73">
        <f t="shared" ref="AA67:AA68" si="391">SUM(X67:Z67)</f>
        <v>0</v>
      </c>
      <c r="AC67" s="72"/>
      <c r="AD67" s="72"/>
      <c r="AE67" s="73">
        <f t="shared" ref="AE67:AE68" si="392">SUM(AB67:AD67)</f>
        <v>0</v>
      </c>
      <c r="AF67" s="72"/>
      <c r="AG67" s="72"/>
      <c r="AH67" s="72"/>
      <c r="AI67" s="73">
        <f t="shared" ref="AI67:AI68" si="393">SUM(AF67:AH67)</f>
        <v>0</v>
      </c>
      <c r="AJ67" s="72"/>
      <c r="AK67" s="72"/>
      <c r="AL67" s="72"/>
      <c r="AM67" s="73">
        <f t="shared" ref="AM67:AM68" si="394">SUM(AJ67:AL67)</f>
        <v>0</v>
      </c>
      <c r="AN67" s="73">
        <f t="shared" ref="AN67:AN68" si="395">AA67+AE67+AI67+AM67</f>
        <v>0</v>
      </c>
      <c r="AO67" s="74"/>
      <c r="AP67" s="73">
        <f t="shared" ref="AP67:AP69" si="396">(V67+W67)-AN67</f>
        <v>-16.330000000000041</v>
      </c>
      <c r="AQ67" s="70">
        <v>0</v>
      </c>
      <c r="AR67" s="72"/>
      <c r="AS67" s="72"/>
      <c r="AT67" s="72"/>
      <c r="AU67" s="73">
        <f t="shared" ref="AU67:AU69" si="397">SUM(AR67:AT67)</f>
        <v>0</v>
      </c>
      <c r="AW67" s="72"/>
      <c r="AX67" s="72"/>
      <c r="AY67" s="73">
        <f t="shared" ref="AY67:AY69" si="398">SUM(AV67:AX67)</f>
        <v>0</v>
      </c>
      <c r="AZ67" s="72"/>
      <c r="BB67" s="72"/>
      <c r="BC67" s="73">
        <f t="shared" ref="BC67:BC69" si="399">SUM(AZ67:BB67)</f>
        <v>0</v>
      </c>
      <c r="BD67" s="72"/>
      <c r="BE67" s="72"/>
      <c r="BF67" s="72"/>
      <c r="BG67" s="73">
        <f t="shared" ref="BG67:BG69" si="400">SUM(BD67:BF67)</f>
        <v>0</v>
      </c>
      <c r="BH67" s="73">
        <f t="shared" ref="BH67:BH69" si="401">AU67+AY67+BC67+BG67</f>
        <v>0</v>
      </c>
      <c r="BI67" s="106"/>
      <c r="BJ67" s="73">
        <f t="shared" ref="BJ67:BJ69" si="402">(AP67+AQ67)-BH67</f>
        <v>-16.330000000000041</v>
      </c>
      <c r="BK67" s="227">
        <f t="shared" ref="BK67:BK69" si="403">B67-T67-AN67-BH67</f>
        <v>-16.330000000000041</v>
      </c>
      <c r="BL67" s="110"/>
      <c r="BM67" s="110"/>
      <c r="BN67" s="110"/>
      <c r="BO67" s="73">
        <f t="shared" ref="BO67:BO69" si="404">SUM(BL67:BN67)</f>
        <v>0</v>
      </c>
      <c r="BP67" s="110"/>
      <c r="BQ67" s="110"/>
      <c r="BR67" s="110"/>
      <c r="BS67" s="73">
        <f t="shared" ref="BS67:BS69" si="405">SUM(BP67:BR67)</f>
        <v>0</v>
      </c>
      <c r="BT67" s="110"/>
      <c r="BU67" s="110"/>
      <c r="BV67" s="110"/>
      <c r="BW67" s="73">
        <f t="shared" ref="BW67:BW69" si="406">SUM(BT67:BV67)</f>
        <v>0</v>
      </c>
      <c r="BX67" s="274"/>
      <c r="BY67" s="110"/>
      <c r="BZ67" s="110"/>
      <c r="CA67" s="73">
        <f t="shared" ref="CA67:CA69" si="407">SUM(BX67:BZ67)</f>
        <v>0</v>
      </c>
      <c r="CB67" s="73">
        <f t="shared" ref="CB67:CB69" si="408">BO67+BS67+BW67+CA67</f>
        <v>0</v>
      </c>
      <c r="CC67" s="106"/>
      <c r="CD67" s="73">
        <f t="shared" ref="CD67:CD69" si="409">BK67-CB67</f>
        <v>-16.330000000000041</v>
      </c>
      <c r="CE67" s="37" t="s">
        <v>408</v>
      </c>
    </row>
    <row r="68" spans="1:83">
      <c r="A68" s="37" t="s">
        <v>409</v>
      </c>
      <c r="B68" s="69">
        <f>1080+650</f>
        <v>1730</v>
      </c>
      <c r="C68" s="70">
        <f>'budget anual'!B146</f>
        <v>1080</v>
      </c>
      <c r="D68" s="72"/>
      <c r="E68" s="72"/>
      <c r="F68" s="72"/>
      <c r="G68" s="73">
        <f t="shared" si="385"/>
        <v>0</v>
      </c>
      <c r="I68" s="72"/>
      <c r="J68" s="72"/>
      <c r="K68" s="73">
        <f t="shared" si="386"/>
        <v>0</v>
      </c>
      <c r="L68" s="72"/>
      <c r="M68" s="72"/>
      <c r="N68" s="72"/>
      <c r="O68" s="73">
        <f t="shared" si="387"/>
        <v>0</v>
      </c>
      <c r="P68" s="72"/>
      <c r="Q68" s="72">
        <v>1080</v>
      </c>
      <c r="R68" s="72"/>
      <c r="S68" s="73">
        <f t="shared" si="388"/>
        <v>1080</v>
      </c>
      <c r="T68" s="73">
        <f t="shared" si="389"/>
        <v>1080</v>
      </c>
      <c r="U68" s="74"/>
      <c r="V68" s="75">
        <f t="shared" si="390"/>
        <v>0</v>
      </c>
      <c r="W68" s="70">
        <v>0</v>
      </c>
      <c r="X68" s="72"/>
      <c r="Y68" s="72"/>
      <c r="Z68" s="72"/>
      <c r="AA68" s="73">
        <f t="shared" si="391"/>
        <v>0</v>
      </c>
      <c r="AC68" s="72"/>
      <c r="AD68" s="72"/>
      <c r="AE68" s="73">
        <f t="shared" si="392"/>
        <v>0</v>
      </c>
      <c r="AF68" s="72"/>
      <c r="AG68" s="72"/>
      <c r="AH68" s="72"/>
      <c r="AI68" s="73">
        <f t="shared" si="393"/>
        <v>0</v>
      </c>
      <c r="AJ68" s="72"/>
      <c r="AK68" s="72"/>
      <c r="AL68" s="72"/>
      <c r="AM68" s="73">
        <f t="shared" si="394"/>
        <v>0</v>
      </c>
      <c r="AN68" s="73">
        <f t="shared" si="395"/>
        <v>0</v>
      </c>
      <c r="AO68" s="74"/>
      <c r="AP68" s="73">
        <f t="shared" si="396"/>
        <v>0</v>
      </c>
      <c r="AQ68" s="70">
        <v>0</v>
      </c>
      <c r="AR68" s="72"/>
      <c r="AS68" s="72"/>
      <c r="AT68" s="72"/>
      <c r="AU68" s="73">
        <f t="shared" si="397"/>
        <v>0</v>
      </c>
      <c r="AW68" s="72"/>
      <c r="AX68" s="72"/>
      <c r="AY68" s="73">
        <f t="shared" si="398"/>
        <v>0</v>
      </c>
      <c r="AZ68" s="72"/>
      <c r="BB68" s="72"/>
      <c r="BC68" s="73">
        <f t="shared" si="399"/>
        <v>0</v>
      </c>
      <c r="BD68" s="72"/>
      <c r="BE68" s="72"/>
      <c r="BF68" s="72"/>
      <c r="BG68" s="73">
        <f t="shared" si="400"/>
        <v>0</v>
      </c>
      <c r="BH68" s="73">
        <f t="shared" si="401"/>
        <v>0</v>
      </c>
      <c r="BI68" s="106"/>
      <c r="BJ68" s="73">
        <f t="shared" si="402"/>
        <v>0</v>
      </c>
      <c r="BK68" s="227">
        <f t="shared" si="403"/>
        <v>650</v>
      </c>
      <c r="BL68" s="110"/>
      <c r="BM68" s="110"/>
      <c r="BN68" s="110"/>
      <c r="BO68" s="73">
        <f t="shared" si="404"/>
        <v>0</v>
      </c>
      <c r="BP68" s="110"/>
      <c r="BQ68" s="110">
        <v>456.5</v>
      </c>
      <c r="BR68" s="110">
        <v>210</v>
      </c>
      <c r="BS68" s="73">
        <f t="shared" si="405"/>
        <v>666.5</v>
      </c>
      <c r="BT68" s="110"/>
      <c r="BU68" s="110"/>
      <c r="BV68" s="110"/>
      <c r="BW68" s="73">
        <f t="shared" si="406"/>
        <v>0</v>
      </c>
      <c r="BX68" s="274">
        <v>300</v>
      </c>
      <c r="BY68" s="110">
        <v>-190.23</v>
      </c>
      <c r="BZ68" s="110"/>
      <c r="CA68" s="73">
        <f t="shared" si="407"/>
        <v>109.77000000000001</v>
      </c>
      <c r="CB68" s="73">
        <f t="shared" si="408"/>
        <v>776.27</v>
      </c>
      <c r="CC68" s="106"/>
      <c r="CD68" s="73">
        <f t="shared" si="409"/>
        <v>-126.26999999999998</v>
      </c>
      <c r="CE68" s="37" t="s">
        <v>409</v>
      </c>
    </row>
    <row r="69" spans="1:83" ht="15.95" thickBot="1">
      <c r="A69" s="37" t="s">
        <v>77</v>
      </c>
      <c r="B69" s="69" t="e">
        <f>#REF!</f>
        <v>#REF!</v>
      </c>
      <c r="C69" s="70">
        <v>0</v>
      </c>
      <c r="D69" s="72"/>
      <c r="E69" s="72"/>
      <c r="F69" s="72"/>
      <c r="G69" s="73">
        <f t="shared" si="385"/>
        <v>0</v>
      </c>
      <c r="I69" s="72"/>
      <c r="J69" s="72"/>
      <c r="K69" s="73">
        <f t="shared" si="386"/>
        <v>0</v>
      </c>
      <c r="L69" s="72"/>
      <c r="M69" s="72"/>
      <c r="N69" s="72"/>
      <c r="O69" s="73">
        <f t="shared" si="387"/>
        <v>0</v>
      </c>
      <c r="P69" s="72"/>
      <c r="Q69" s="72"/>
      <c r="R69" s="72"/>
      <c r="S69" s="73">
        <f t="shared" si="388"/>
        <v>0</v>
      </c>
      <c r="T69" s="73">
        <f t="shared" si="389"/>
        <v>0</v>
      </c>
      <c r="U69" s="74" t="e">
        <f t="shared" ref="U69:U70" si="410">T69/C69</f>
        <v>#DIV/0!</v>
      </c>
      <c r="V69" s="75">
        <f t="shared" si="390"/>
        <v>0</v>
      </c>
      <c r="W69" s="47">
        <v>0</v>
      </c>
      <c r="X69" s="72"/>
      <c r="Y69" s="72"/>
      <c r="Z69" s="72"/>
      <c r="AA69" s="73">
        <f t="shared" ref="AA69" si="411">SUM(X69:Z69)</f>
        <v>0</v>
      </c>
      <c r="AC69" s="72"/>
      <c r="AD69" s="72"/>
      <c r="AE69" s="73">
        <f t="shared" ref="AE69" si="412">SUM(AB69:AD69)</f>
        <v>0</v>
      </c>
      <c r="AF69" s="72"/>
      <c r="AG69" s="72"/>
      <c r="AH69" s="72"/>
      <c r="AI69" s="73">
        <f t="shared" ref="AI69" si="413">SUM(AF69:AH69)</f>
        <v>0</v>
      </c>
      <c r="AJ69" s="72"/>
      <c r="AK69" s="72"/>
      <c r="AL69" s="72"/>
      <c r="AM69" s="73">
        <f t="shared" ref="AM69" si="414">SUM(AJ69:AL69)</f>
        <v>0</v>
      </c>
      <c r="AN69" s="73">
        <f t="shared" ref="AN69" si="415">AA69+AE69+AI69+AM69</f>
        <v>0</v>
      </c>
      <c r="AO69" s="74" t="e">
        <f t="shared" ref="AO69:AO70" si="416">AN69/W69</f>
        <v>#DIV/0!</v>
      </c>
      <c r="AP69" s="73">
        <f t="shared" si="396"/>
        <v>0</v>
      </c>
      <c r="AQ69" s="47">
        <v>0</v>
      </c>
      <c r="AR69" s="72"/>
      <c r="AS69" s="72"/>
      <c r="AT69" s="72"/>
      <c r="AU69" s="73">
        <f t="shared" si="397"/>
        <v>0</v>
      </c>
      <c r="AW69" s="72"/>
      <c r="AX69" s="72"/>
      <c r="AY69" s="73">
        <f t="shared" si="398"/>
        <v>0</v>
      </c>
      <c r="AZ69" s="72"/>
      <c r="BB69" s="72"/>
      <c r="BC69" s="73">
        <f t="shared" si="399"/>
        <v>0</v>
      </c>
      <c r="BD69" s="72"/>
      <c r="BE69" s="72"/>
      <c r="BF69" s="72"/>
      <c r="BG69" s="73">
        <f t="shared" si="400"/>
        <v>0</v>
      </c>
      <c r="BH69" s="73">
        <f t="shared" si="401"/>
        <v>0</v>
      </c>
      <c r="BI69" s="106" t="e">
        <f t="shared" ref="BI69:BI70" si="417">BH69/AQ69</f>
        <v>#DIV/0!</v>
      </c>
      <c r="BJ69" s="73">
        <f t="shared" si="402"/>
        <v>0</v>
      </c>
      <c r="BK69" s="227" t="e">
        <f t="shared" si="403"/>
        <v>#REF!</v>
      </c>
      <c r="BL69" s="110"/>
      <c r="BM69" s="110"/>
      <c r="BN69" s="110"/>
      <c r="BO69" s="73">
        <f t="shared" si="404"/>
        <v>0</v>
      </c>
      <c r="BP69" s="110"/>
      <c r="BQ69" s="110"/>
      <c r="BR69" s="110"/>
      <c r="BS69" s="73">
        <f t="shared" si="405"/>
        <v>0</v>
      </c>
      <c r="BT69" s="110"/>
      <c r="BU69" s="110"/>
      <c r="BV69" s="110"/>
      <c r="BW69" s="73">
        <f t="shared" si="406"/>
        <v>0</v>
      </c>
      <c r="BX69" s="274"/>
      <c r="BY69" s="110"/>
      <c r="BZ69" s="110"/>
      <c r="CA69" s="73">
        <f t="shared" si="407"/>
        <v>0</v>
      </c>
      <c r="CB69" s="73">
        <f t="shared" si="408"/>
        <v>0</v>
      </c>
      <c r="CC69" s="106" t="e">
        <f t="shared" ref="CC69:CC70" si="418">CB69/BK69</f>
        <v>#REF!</v>
      </c>
      <c r="CD69" s="73" t="e">
        <f t="shared" si="409"/>
        <v>#REF!</v>
      </c>
      <c r="CE69" s="37" t="s">
        <v>77</v>
      </c>
    </row>
    <row r="70" spans="1:83" ht="15.95" thickBot="1">
      <c r="A70" s="37"/>
      <c r="B70" s="77" t="e">
        <f t="shared" ref="B70:T70" si="419">SUM(B67:B69)</f>
        <v>#REF!</v>
      </c>
      <c r="C70" s="77">
        <f t="shared" si="419"/>
        <v>2080</v>
      </c>
      <c r="D70" s="78">
        <f t="shared" si="419"/>
        <v>0</v>
      </c>
      <c r="E70" s="78">
        <f t="shared" si="419"/>
        <v>0</v>
      </c>
      <c r="F70" s="78">
        <f t="shared" si="419"/>
        <v>0</v>
      </c>
      <c r="G70" s="80">
        <f t="shared" si="419"/>
        <v>0</v>
      </c>
      <c r="H70" s="78">
        <f t="shared" si="419"/>
        <v>0</v>
      </c>
      <c r="I70" s="78">
        <f t="shared" si="419"/>
        <v>0</v>
      </c>
      <c r="J70" s="78">
        <f t="shared" si="419"/>
        <v>0</v>
      </c>
      <c r="K70" s="80">
        <f t="shared" si="419"/>
        <v>0</v>
      </c>
      <c r="L70" s="78">
        <f t="shared" si="419"/>
        <v>0</v>
      </c>
      <c r="M70" s="78">
        <f t="shared" si="419"/>
        <v>0</v>
      </c>
      <c r="N70" s="78">
        <f t="shared" si="419"/>
        <v>0</v>
      </c>
      <c r="O70" s="80">
        <f t="shared" si="419"/>
        <v>0</v>
      </c>
      <c r="P70" s="78">
        <f t="shared" si="419"/>
        <v>1016.33</v>
      </c>
      <c r="Q70" s="78">
        <f t="shared" si="419"/>
        <v>1080</v>
      </c>
      <c r="R70" s="78">
        <f t="shared" si="419"/>
        <v>0</v>
      </c>
      <c r="S70" s="80">
        <f t="shared" si="419"/>
        <v>2096.33</v>
      </c>
      <c r="T70" s="81">
        <f t="shared" si="419"/>
        <v>2096.33</v>
      </c>
      <c r="U70" s="82">
        <f t="shared" si="410"/>
        <v>1.0078509615384614</v>
      </c>
      <c r="V70" s="83">
        <f t="shared" ref="V70:AN70" si="420">SUM(V67:V69)</f>
        <v>-16.330000000000041</v>
      </c>
      <c r="W70" s="77">
        <f t="shared" si="420"/>
        <v>0</v>
      </c>
      <c r="X70" s="109">
        <f t="shared" si="420"/>
        <v>0</v>
      </c>
      <c r="Y70" s="78">
        <f t="shared" si="420"/>
        <v>0</v>
      </c>
      <c r="Z70" s="78">
        <f t="shared" si="420"/>
        <v>0</v>
      </c>
      <c r="AA70" s="80">
        <f t="shared" si="420"/>
        <v>0</v>
      </c>
      <c r="AB70" s="78">
        <f t="shared" si="420"/>
        <v>0</v>
      </c>
      <c r="AC70" s="78">
        <f t="shared" si="420"/>
        <v>0</v>
      </c>
      <c r="AD70" s="78">
        <f t="shared" si="420"/>
        <v>0</v>
      </c>
      <c r="AE70" s="80">
        <f t="shared" si="420"/>
        <v>0</v>
      </c>
      <c r="AF70" s="78">
        <f t="shared" si="420"/>
        <v>0</v>
      </c>
      <c r="AG70" s="78">
        <f t="shared" si="420"/>
        <v>0</v>
      </c>
      <c r="AH70" s="78">
        <f t="shared" si="420"/>
        <v>0</v>
      </c>
      <c r="AI70" s="80">
        <f t="shared" si="420"/>
        <v>0</v>
      </c>
      <c r="AJ70" s="78">
        <f t="shared" si="420"/>
        <v>0</v>
      </c>
      <c r="AK70" s="78">
        <f t="shared" si="420"/>
        <v>0</v>
      </c>
      <c r="AL70" s="78">
        <f t="shared" si="420"/>
        <v>0</v>
      </c>
      <c r="AM70" s="80">
        <f t="shared" si="420"/>
        <v>0</v>
      </c>
      <c r="AN70" s="81">
        <f t="shared" si="420"/>
        <v>0</v>
      </c>
      <c r="AO70" s="82" t="e">
        <f t="shared" si="416"/>
        <v>#DIV/0!</v>
      </c>
      <c r="AP70" s="83">
        <f>SUM(AP67:AP69)</f>
        <v>-16.330000000000041</v>
      </c>
      <c r="AQ70" s="77">
        <f t="shared" ref="AQ70:BH70" si="421">SUM(AQ67:AQ69)</f>
        <v>0</v>
      </c>
      <c r="AR70" s="109">
        <f t="shared" si="421"/>
        <v>0</v>
      </c>
      <c r="AS70" s="78">
        <f t="shared" si="421"/>
        <v>0</v>
      </c>
      <c r="AT70" s="78">
        <f t="shared" si="421"/>
        <v>0</v>
      </c>
      <c r="AU70" s="80">
        <f t="shared" si="421"/>
        <v>0</v>
      </c>
      <c r="AV70" s="109">
        <f t="shared" ref="AV70:AX70" si="422">SUM(AV67:AV69)</f>
        <v>0</v>
      </c>
      <c r="AW70" s="78">
        <f t="shared" si="422"/>
        <v>0</v>
      </c>
      <c r="AX70" s="78">
        <f t="shared" si="422"/>
        <v>0</v>
      </c>
      <c r="AY70" s="80">
        <f t="shared" si="421"/>
        <v>0</v>
      </c>
      <c r="AZ70" s="109">
        <f t="shared" ref="AZ70:BB70" si="423">SUM(AZ67:AZ69)</f>
        <v>0</v>
      </c>
      <c r="BA70" s="191">
        <f t="shared" si="423"/>
        <v>0</v>
      </c>
      <c r="BB70" s="78">
        <f t="shared" si="423"/>
        <v>0</v>
      </c>
      <c r="BC70" s="80">
        <f t="shared" si="421"/>
        <v>0</v>
      </c>
      <c r="BD70" s="109">
        <f t="shared" ref="BD70:BF70" si="424">SUM(BD67:BD69)</f>
        <v>0</v>
      </c>
      <c r="BE70" s="78">
        <f t="shared" si="424"/>
        <v>0</v>
      </c>
      <c r="BF70" s="78">
        <f t="shared" si="424"/>
        <v>0</v>
      </c>
      <c r="BG70" s="80">
        <f t="shared" si="421"/>
        <v>0</v>
      </c>
      <c r="BH70" s="81">
        <f t="shared" si="421"/>
        <v>0</v>
      </c>
      <c r="BI70" s="121" t="e">
        <f t="shared" si="417"/>
        <v>#DIV/0!</v>
      </c>
      <c r="BJ70" s="123">
        <f>SUM(BJ67:BJ69)</f>
        <v>-16.330000000000041</v>
      </c>
      <c r="BK70" s="228" t="e">
        <f t="shared" ref="BK70:BL70" si="425">SUM(BK67:BK69)</f>
        <v>#REF!</v>
      </c>
      <c r="BL70" s="78">
        <f t="shared" si="425"/>
        <v>0</v>
      </c>
      <c r="BM70" s="78">
        <f t="shared" ref="BM70:BP70" si="426">SUM(BM67:BM69)</f>
        <v>0</v>
      </c>
      <c r="BN70" s="78">
        <f t="shared" si="426"/>
        <v>0</v>
      </c>
      <c r="BO70" s="80">
        <f t="shared" si="426"/>
        <v>0</v>
      </c>
      <c r="BP70" s="78">
        <f t="shared" si="426"/>
        <v>0</v>
      </c>
      <c r="BQ70" s="78">
        <f t="shared" ref="BQ70:BR70" si="427">SUM(BQ67:BQ69)</f>
        <v>456.5</v>
      </c>
      <c r="BR70" s="78">
        <f t="shared" si="427"/>
        <v>210</v>
      </c>
      <c r="BS70" s="80">
        <f t="shared" ref="BS70:BV70" si="428">SUM(BS67:BS69)</f>
        <v>666.5</v>
      </c>
      <c r="BT70" s="78">
        <f t="shared" si="428"/>
        <v>0</v>
      </c>
      <c r="BU70" s="78">
        <f t="shared" si="428"/>
        <v>0</v>
      </c>
      <c r="BV70" s="78">
        <f t="shared" si="428"/>
        <v>0</v>
      </c>
      <c r="BW70" s="80">
        <f t="shared" ref="BW70:BZ70" si="429">SUM(BW67:BW69)</f>
        <v>0</v>
      </c>
      <c r="BX70" s="275">
        <f t="shared" si="429"/>
        <v>300</v>
      </c>
      <c r="BY70" s="78">
        <f t="shared" si="429"/>
        <v>-190.23</v>
      </c>
      <c r="BZ70" s="78">
        <f t="shared" si="429"/>
        <v>0</v>
      </c>
      <c r="CA70" s="80">
        <f t="shared" ref="CA70:CB70" si="430">SUM(CA67:CA69)</f>
        <v>109.77000000000001</v>
      </c>
      <c r="CB70" s="81">
        <f t="shared" si="430"/>
        <v>776.27</v>
      </c>
      <c r="CC70" s="121" t="e">
        <f t="shared" si="418"/>
        <v>#REF!</v>
      </c>
      <c r="CD70" s="123" t="e">
        <f>SUM(CD67:CD69)</f>
        <v>#REF!</v>
      </c>
      <c r="CE70" s="37"/>
    </row>
    <row r="71" spans="1:83" ht="15.95" thickBot="1">
      <c r="A71" s="41" t="s">
        <v>410</v>
      </c>
      <c r="B71" s="84"/>
      <c r="C71" s="85"/>
      <c r="D71" s="65"/>
      <c r="E71" s="65"/>
      <c r="F71" s="65"/>
      <c r="G71" s="73"/>
      <c r="H71" s="65"/>
      <c r="I71" s="65"/>
      <c r="J71" s="65"/>
      <c r="K71" s="73"/>
      <c r="L71" s="72"/>
      <c r="M71" s="72"/>
      <c r="N71" s="72"/>
      <c r="O71" s="73"/>
      <c r="P71" s="72"/>
      <c r="Q71" s="72"/>
      <c r="R71" s="72"/>
      <c r="S71" s="73"/>
      <c r="T71" s="73"/>
      <c r="U71" s="74"/>
      <c r="V71" s="75"/>
      <c r="W71" s="110"/>
      <c r="X71" s="65"/>
      <c r="Y71" s="65"/>
      <c r="Z71" s="65"/>
      <c r="AA71" s="73"/>
      <c r="AB71" s="65"/>
      <c r="AC71" s="65"/>
      <c r="AD71" s="65"/>
      <c r="AE71" s="73"/>
      <c r="AF71" s="65"/>
      <c r="AG71" s="65"/>
      <c r="AH71" s="65"/>
      <c r="AI71" s="73"/>
      <c r="AJ71" s="65"/>
      <c r="AK71" s="65"/>
      <c r="AL71" s="65"/>
      <c r="AM71" s="73"/>
      <c r="AN71" s="73"/>
      <c r="AO71" s="74"/>
      <c r="AP71" s="75"/>
      <c r="AQ71" s="110"/>
      <c r="AR71" s="65"/>
      <c r="AS71" s="65"/>
      <c r="AT71" s="65"/>
      <c r="AU71" s="73"/>
      <c r="AV71" s="65"/>
      <c r="AW71" s="65"/>
      <c r="AX71" s="65"/>
      <c r="AY71" s="73"/>
      <c r="AZ71" s="65"/>
      <c r="BA71" s="190"/>
      <c r="BB71" s="65"/>
      <c r="BC71" s="73"/>
      <c r="BD71" s="65"/>
      <c r="BE71" s="65"/>
      <c r="BF71" s="65"/>
      <c r="BG71" s="73"/>
      <c r="BH71" s="73"/>
      <c r="BI71" s="106"/>
      <c r="BJ71" s="73"/>
      <c r="BK71" s="71"/>
      <c r="BL71" s="90"/>
      <c r="BM71" s="90"/>
      <c r="BN71" s="90"/>
      <c r="BO71" s="73"/>
      <c r="BP71" s="90"/>
      <c r="BQ71" s="90"/>
      <c r="BR71" s="90"/>
      <c r="BS71" s="73"/>
      <c r="BT71" s="90"/>
      <c r="BU71" s="90"/>
      <c r="BV71" s="90"/>
      <c r="BW71" s="73"/>
      <c r="BX71" s="273"/>
      <c r="BY71" s="90"/>
      <c r="BZ71" s="90"/>
      <c r="CA71" s="73"/>
      <c r="CB71" s="73"/>
      <c r="CC71" s="106"/>
      <c r="CD71" s="73"/>
      <c r="CE71" s="41" t="s">
        <v>410</v>
      </c>
    </row>
    <row r="72" spans="1:83">
      <c r="A72" s="37" t="s">
        <v>411</v>
      </c>
      <c r="B72" s="69">
        <v>36743</v>
      </c>
      <c r="C72" s="70" t="e">
        <f>'budget anual'!C153</f>
        <v>#REF!</v>
      </c>
      <c r="D72" s="72"/>
      <c r="E72" s="72"/>
      <c r="F72" s="72">
        <v>1056</v>
      </c>
      <c r="G72" s="73">
        <f t="shared" ref="G72:G80" si="431">SUM(D72:F72)</f>
        <v>1056</v>
      </c>
      <c r="H72" s="72">
        <f>-231.15</f>
        <v>-231.15</v>
      </c>
      <c r="I72" s="72">
        <v>1864.13</v>
      </c>
      <c r="J72" s="72">
        <v>-691.75</v>
      </c>
      <c r="K72" s="73">
        <f t="shared" ref="K72" si="432">SUM(H72:J72)</f>
        <v>941.23</v>
      </c>
      <c r="L72" s="72">
        <v>12604.4</v>
      </c>
      <c r="M72" s="72">
        <f>12709.47+147</f>
        <v>12856.47</v>
      </c>
      <c r="N72" s="72">
        <v>178.95</v>
      </c>
      <c r="O72" s="73">
        <f t="shared" ref="O72:O80" si="433">SUM(L72:N72)</f>
        <v>25639.82</v>
      </c>
      <c r="P72" s="72">
        <v>1060.8900000000001</v>
      </c>
      <c r="Q72" s="72">
        <v>1679.79</v>
      </c>
      <c r="R72" s="72">
        <v>-54.35</v>
      </c>
      <c r="S72" s="73">
        <f t="shared" ref="S72:S82" si="434">SUM(P72:R72)</f>
        <v>2686.3300000000004</v>
      </c>
      <c r="T72" s="73">
        <f t="shared" ref="T72:T82" si="435">G72+K72+O72+S72</f>
        <v>30323.38</v>
      </c>
      <c r="U72" s="74"/>
      <c r="V72" s="75" t="e">
        <f t="shared" ref="V72:V82" si="436">C72-T72</f>
        <v>#REF!</v>
      </c>
      <c r="W72" s="70" t="e">
        <f>'budget anual'!D153</f>
        <v>#REF!</v>
      </c>
      <c r="X72" s="72">
        <v>2116</v>
      </c>
      <c r="Y72" s="72">
        <v>1324.53</v>
      </c>
      <c r="Z72" s="72">
        <v>879.95</v>
      </c>
      <c r="AA72" s="73">
        <f t="shared" ref="AA72:AA73" si="437">SUM(X72:Z72)</f>
        <v>4320.4799999999996</v>
      </c>
      <c r="AB72" s="72">
        <v>-665</v>
      </c>
      <c r="AC72" s="72">
        <v>-60.22</v>
      </c>
      <c r="AD72" s="72"/>
      <c r="AE72" s="73">
        <f t="shared" ref="AE72:AE75" si="438">SUM(AB72:AD72)</f>
        <v>-725.22</v>
      </c>
      <c r="AF72" s="72"/>
      <c r="AG72" s="72"/>
      <c r="AH72" s="72"/>
      <c r="AI72" s="73">
        <f t="shared" ref="AI72:AI81" si="439">SUM(AF72:AH72)</f>
        <v>0</v>
      </c>
      <c r="AJ72" s="72"/>
      <c r="AK72" s="72">
        <v>2859</v>
      </c>
      <c r="AL72" s="72">
        <v>-288</v>
      </c>
      <c r="AM72" s="73">
        <f t="shared" ref="AM72:AM81" si="440">SUM(AJ72:AL72)</f>
        <v>2571</v>
      </c>
      <c r="AN72" s="73">
        <f t="shared" ref="AN72:AN89" si="441">AA72+AE72+AI72+AM72</f>
        <v>6166.2599999999993</v>
      </c>
      <c r="AO72" s="74" t="e">
        <f>AN72/(W72+V72)</f>
        <v>#REF!</v>
      </c>
      <c r="AP72" s="73" t="e">
        <f t="shared" ref="AP72:AP89" si="442">(V72+W72)-AN72</f>
        <v>#REF!</v>
      </c>
      <c r="AQ72" s="70">
        <f>'budget anual'!E153</f>
        <v>253.36</v>
      </c>
      <c r="AR72" s="72"/>
      <c r="AS72" s="72"/>
      <c r="AT72" s="72">
        <v>420</v>
      </c>
      <c r="AU72" s="73">
        <f t="shared" ref="AU72:AU73" si="443">SUM(AR72:AT72)</f>
        <v>420</v>
      </c>
      <c r="AV72" s="72">
        <v>24.8</v>
      </c>
      <c r="AW72" s="72"/>
      <c r="AX72" s="72"/>
      <c r="AY72" s="73">
        <f t="shared" ref="AY72:AY75" si="444">SUM(AV72:AX72)</f>
        <v>24.8</v>
      </c>
      <c r="AZ72" s="72"/>
      <c r="BB72" s="72"/>
      <c r="BC72" s="73">
        <f t="shared" ref="BC72:BC81" si="445">SUM(AZ72:BB72)</f>
        <v>0</v>
      </c>
      <c r="BD72" s="72"/>
      <c r="BE72" s="72"/>
      <c r="BF72" s="72"/>
      <c r="BG72" s="73">
        <f t="shared" ref="BG72:BG81" si="446">SUM(BD72:BF72)</f>
        <v>0</v>
      </c>
      <c r="BH72" s="73">
        <f t="shared" ref="BH72:BH80" si="447">AU72+AY72+BC72+BG72</f>
        <v>444.8</v>
      </c>
      <c r="BI72" s="106" t="e">
        <f>BH72/(AQ72+AP72)</f>
        <v>#REF!</v>
      </c>
      <c r="BJ72" s="73" t="e">
        <f t="shared" ref="BJ72:BJ89" si="448">(AP72+AQ72)-BH72</f>
        <v>#REF!</v>
      </c>
      <c r="BK72" s="227">
        <f t="shared" ref="BK72:BK89" si="449">B72-T72-AN72-BH72</f>
        <v>-191.44000000000034</v>
      </c>
      <c r="BL72" s="110"/>
      <c r="BM72" s="110"/>
      <c r="BN72" s="110"/>
      <c r="BO72" s="73">
        <f t="shared" ref="BO72:BO81" si="450">SUM(BL72:BN72)</f>
        <v>0</v>
      </c>
      <c r="BP72" s="110"/>
      <c r="BQ72" s="110"/>
      <c r="BR72" s="110"/>
      <c r="BS72" s="73">
        <f t="shared" ref="BS72:BS81" si="451">SUM(BP72:BR72)</f>
        <v>0</v>
      </c>
      <c r="BT72" s="110"/>
      <c r="BU72" s="110"/>
      <c r="BV72" s="110"/>
      <c r="BW72" s="73">
        <f t="shared" ref="BW72:BW81" si="452">SUM(BT72:BV72)</f>
        <v>0</v>
      </c>
      <c r="BX72" s="274"/>
      <c r="BY72" s="110"/>
      <c r="BZ72" s="110"/>
      <c r="CA72" s="73">
        <f t="shared" ref="CA72:CA81" si="453">SUM(BX72:BZ72)</f>
        <v>0</v>
      </c>
      <c r="CB72" s="73">
        <f t="shared" ref="CB72:CB80" si="454">BO72+BS72+BW72+CA72</f>
        <v>0</v>
      </c>
      <c r="CC72" s="106" t="e">
        <f>CB72/(BK72+BJ72)</f>
        <v>#REF!</v>
      </c>
      <c r="CD72" s="73">
        <f t="shared" ref="CD72:CD89" si="455">BK72-CB72</f>
        <v>-191.44000000000034</v>
      </c>
      <c r="CE72" s="37" t="s">
        <v>411</v>
      </c>
    </row>
    <row r="73" spans="1:83">
      <c r="A73" s="37" t="s">
        <v>412</v>
      </c>
      <c r="B73" s="69">
        <v>34500</v>
      </c>
      <c r="C73" s="70">
        <f>'budget anual'!C154</f>
        <v>0</v>
      </c>
      <c r="D73" s="72"/>
      <c r="E73" s="72"/>
      <c r="F73" s="72"/>
      <c r="G73" s="73">
        <f t="shared" si="431"/>
        <v>0</v>
      </c>
      <c r="I73" s="72"/>
      <c r="J73" s="72"/>
      <c r="K73" s="73">
        <f t="shared" ref="K73:K80" si="456">SUM(H73:J73)</f>
        <v>0</v>
      </c>
      <c r="L73" s="72"/>
      <c r="M73" s="72"/>
      <c r="N73" s="72"/>
      <c r="O73" s="73">
        <f t="shared" si="433"/>
        <v>0</v>
      </c>
      <c r="P73" s="72"/>
      <c r="Q73" s="72"/>
      <c r="R73" s="72"/>
      <c r="S73" s="73">
        <f t="shared" si="434"/>
        <v>0</v>
      </c>
      <c r="T73" s="73">
        <f t="shared" si="435"/>
        <v>0</v>
      </c>
      <c r="U73" s="74"/>
      <c r="V73" s="75">
        <f t="shared" si="436"/>
        <v>0</v>
      </c>
      <c r="W73" s="70">
        <f>'budget anual'!D154</f>
        <v>0</v>
      </c>
      <c r="X73" s="72"/>
      <c r="Y73" s="72"/>
      <c r="Z73" s="72"/>
      <c r="AA73" s="73">
        <f t="shared" si="437"/>
        <v>0</v>
      </c>
      <c r="AC73" s="72"/>
      <c r="AD73" s="72"/>
      <c r="AE73" s="73">
        <f t="shared" si="438"/>
        <v>0</v>
      </c>
      <c r="AF73" s="72"/>
      <c r="AG73" s="72"/>
      <c r="AH73" s="72"/>
      <c r="AI73" s="73">
        <f t="shared" si="439"/>
        <v>0</v>
      </c>
      <c r="AJ73" s="72"/>
      <c r="AK73" s="72"/>
      <c r="AL73" s="72"/>
      <c r="AM73" s="73">
        <f t="shared" si="440"/>
        <v>0</v>
      </c>
      <c r="AN73" s="73">
        <f t="shared" si="441"/>
        <v>0</v>
      </c>
      <c r="AO73" s="74"/>
      <c r="AP73" s="73">
        <f t="shared" si="442"/>
        <v>0</v>
      </c>
      <c r="AQ73" s="70">
        <f>'budget anual'!E154</f>
        <v>0</v>
      </c>
      <c r="AR73" s="72"/>
      <c r="AS73" s="72"/>
      <c r="AT73" s="72"/>
      <c r="AU73" s="73">
        <f t="shared" si="443"/>
        <v>0</v>
      </c>
      <c r="AW73" s="72"/>
      <c r="AX73" s="72"/>
      <c r="AY73" s="73">
        <f t="shared" si="444"/>
        <v>0</v>
      </c>
      <c r="AZ73" s="72"/>
      <c r="BB73" s="72"/>
      <c r="BC73" s="73">
        <f t="shared" si="445"/>
        <v>0</v>
      </c>
      <c r="BD73" s="72"/>
      <c r="BE73" s="72"/>
      <c r="BF73" s="72"/>
      <c r="BG73" s="73">
        <f t="shared" si="446"/>
        <v>0</v>
      </c>
      <c r="BH73" s="73">
        <f t="shared" si="447"/>
        <v>0</v>
      </c>
      <c r="BI73" s="106"/>
      <c r="BJ73" s="73">
        <f t="shared" si="448"/>
        <v>0</v>
      </c>
      <c r="BK73" s="227">
        <f t="shared" si="449"/>
        <v>34500</v>
      </c>
      <c r="BL73" s="110"/>
      <c r="BM73" s="110">
        <v>200</v>
      </c>
      <c r="BN73" s="110">
        <v>550</v>
      </c>
      <c r="BO73" s="73">
        <f t="shared" si="450"/>
        <v>750</v>
      </c>
      <c r="BP73" s="110">
        <v>550</v>
      </c>
      <c r="BQ73" s="110"/>
      <c r="BR73" s="110">
        <v>675</v>
      </c>
      <c r="BS73" s="73">
        <f t="shared" si="451"/>
        <v>1225</v>
      </c>
      <c r="BT73" s="110">
        <v>1350</v>
      </c>
      <c r="BU73" s="110">
        <f>2000.03-600-500-250</f>
        <v>650.03</v>
      </c>
      <c r="BV73" s="110"/>
      <c r="BW73" s="73">
        <f t="shared" si="452"/>
        <v>2000.03</v>
      </c>
      <c r="BX73" s="274"/>
      <c r="BY73" s="110"/>
      <c r="BZ73" s="110">
        <v>1306.47</v>
      </c>
      <c r="CA73" s="73">
        <f t="shared" si="453"/>
        <v>1306.47</v>
      </c>
      <c r="CB73" s="73">
        <f t="shared" si="454"/>
        <v>5281.5</v>
      </c>
      <c r="CC73" s="106"/>
      <c r="CD73" s="73">
        <f t="shared" si="455"/>
        <v>29218.5</v>
      </c>
      <c r="CE73" s="37" t="s">
        <v>412</v>
      </c>
    </row>
    <row r="74" spans="1:83">
      <c r="A74" s="37" t="s">
        <v>413</v>
      </c>
      <c r="B74" s="69">
        <v>5000</v>
      </c>
      <c r="C74" s="70">
        <f>'budget anual'!C157</f>
        <v>0</v>
      </c>
      <c r="D74" s="72"/>
      <c r="E74" s="72"/>
      <c r="F74" s="72"/>
      <c r="G74" s="73"/>
      <c r="I74" s="72"/>
      <c r="J74" s="72"/>
      <c r="K74" s="73"/>
      <c r="L74" s="72"/>
      <c r="M74" s="72"/>
      <c r="N74" s="72"/>
      <c r="O74" s="73"/>
      <c r="P74" s="72"/>
      <c r="Q74" s="72"/>
      <c r="R74" s="72"/>
      <c r="S74" s="73"/>
      <c r="T74" s="73"/>
      <c r="U74" s="74"/>
      <c r="V74" s="75"/>
      <c r="W74" s="70">
        <f>'budget anual'!D157</f>
        <v>0</v>
      </c>
      <c r="X74" s="72"/>
      <c r="Y74" s="72"/>
      <c r="Z74" s="72"/>
      <c r="AA74" s="73"/>
      <c r="AC74" s="72"/>
      <c r="AD74" s="72"/>
      <c r="AE74" s="73"/>
      <c r="AF74" s="72"/>
      <c r="AG74" s="72"/>
      <c r="AH74" s="72"/>
      <c r="AI74" s="73"/>
      <c r="AJ74" s="72"/>
      <c r="AK74" s="72"/>
      <c r="AL74" s="72"/>
      <c r="AM74" s="73"/>
      <c r="AN74" s="73"/>
      <c r="AO74" s="74"/>
      <c r="AP74" s="73"/>
      <c r="AQ74" s="70">
        <v>0</v>
      </c>
      <c r="AR74" s="72"/>
      <c r="AS74" s="72"/>
      <c r="AT74" s="72"/>
      <c r="AU74" s="73"/>
      <c r="AW74" s="72"/>
      <c r="AX74" s="72"/>
      <c r="AY74" s="73"/>
      <c r="AZ74" s="72"/>
      <c r="BB74" s="72"/>
      <c r="BC74" s="73"/>
      <c r="BD74" s="72"/>
      <c r="BE74" s="72"/>
      <c r="BF74" s="72"/>
      <c r="BG74" s="73"/>
      <c r="BH74" s="73">
        <f t="shared" ref="BH74" si="457">AU74+AY74+BC74+BG74</f>
        <v>0</v>
      </c>
      <c r="BI74" s="106"/>
      <c r="BJ74" s="73">
        <f t="shared" ref="BJ74" si="458">(AP74+AQ74)-BH74</f>
        <v>0</v>
      </c>
      <c r="BK74" s="227">
        <f t="shared" si="449"/>
        <v>5000</v>
      </c>
      <c r="BL74" s="110"/>
      <c r="BM74" s="110"/>
      <c r="BN74" s="110"/>
      <c r="BO74" s="73">
        <f t="shared" si="450"/>
        <v>0</v>
      </c>
      <c r="BP74" s="110"/>
      <c r="BQ74" s="110"/>
      <c r="BR74" s="110"/>
      <c r="BS74" s="73"/>
      <c r="BT74" s="110"/>
      <c r="BU74" s="110"/>
      <c r="BV74" s="110">
        <v>2500</v>
      </c>
      <c r="BW74" s="73">
        <f t="shared" si="452"/>
        <v>2500</v>
      </c>
      <c r="BX74" s="274">
        <v>160</v>
      </c>
      <c r="BY74" s="110">
        <v>2500</v>
      </c>
      <c r="BZ74" s="110"/>
      <c r="CA74" s="73">
        <f t="shared" si="453"/>
        <v>2660</v>
      </c>
      <c r="CB74" s="73">
        <f t="shared" si="454"/>
        <v>5160</v>
      </c>
      <c r="CC74" s="106"/>
      <c r="CD74" s="73">
        <f t="shared" si="455"/>
        <v>-160</v>
      </c>
      <c r="CE74" s="37" t="s">
        <v>413</v>
      </c>
    </row>
    <row r="75" spans="1:83">
      <c r="A75" s="37" t="s">
        <v>414</v>
      </c>
      <c r="B75" s="69">
        <v>3638.24</v>
      </c>
      <c r="C75" s="70">
        <f>'budget anual'!C158</f>
        <v>3638.24</v>
      </c>
      <c r="D75" s="72"/>
      <c r="E75" s="72"/>
      <c r="F75" s="72"/>
      <c r="G75" s="73"/>
      <c r="H75" s="72">
        <f>1185.84+465.68+172.11-5.22</f>
        <v>1818.41</v>
      </c>
      <c r="I75" s="72">
        <v>14.83</v>
      </c>
      <c r="J75" s="72"/>
      <c r="K75" s="73">
        <f t="shared" si="456"/>
        <v>1833.24</v>
      </c>
      <c r="L75" s="72">
        <v>952</v>
      </c>
      <c r="M75" s="72">
        <v>-147</v>
      </c>
      <c r="N75" s="72"/>
      <c r="O75" s="73">
        <f t="shared" si="433"/>
        <v>805</v>
      </c>
      <c r="P75" s="72"/>
      <c r="Q75" s="72"/>
      <c r="R75" s="72">
        <v>1000</v>
      </c>
      <c r="S75" s="73">
        <f t="shared" si="434"/>
        <v>1000</v>
      </c>
      <c r="T75" s="73">
        <f t="shared" si="435"/>
        <v>3638.24</v>
      </c>
      <c r="U75" s="74"/>
      <c r="V75" s="75">
        <f t="shared" si="436"/>
        <v>0</v>
      </c>
      <c r="W75" s="70">
        <f>'budget anual'!D158</f>
        <v>0</v>
      </c>
      <c r="X75" s="72"/>
      <c r="Y75" s="72"/>
      <c r="Z75" s="72"/>
      <c r="AA75" s="73"/>
      <c r="AC75" s="72"/>
      <c r="AD75" s="72"/>
      <c r="AE75" s="73">
        <f t="shared" si="438"/>
        <v>0</v>
      </c>
      <c r="AF75" s="72"/>
      <c r="AG75" s="72"/>
      <c r="AH75" s="72"/>
      <c r="AI75" s="73">
        <f t="shared" si="439"/>
        <v>0</v>
      </c>
      <c r="AJ75" s="72"/>
      <c r="AK75" s="72"/>
      <c r="AL75" s="72"/>
      <c r="AM75" s="73">
        <f t="shared" si="440"/>
        <v>0</v>
      </c>
      <c r="AN75" s="73">
        <f t="shared" si="441"/>
        <v>0</v>
      </c>
      <c r="AO75" s="74"/>
      <c r="AP75" s="73">
        <f t="shared" si="442"/>
        <v>0</v>
      </c>
      <c r="AQ75" s="70">
        <v>0</v>
      </c>
      <c r="AR75" s="72"/>
      <c r="AS75" s="72"/>
      <c r="AT75" s="72"/>
      <c r="AU75" s="73"/>
      <c r="AW75" s="72"/>
      <c r="AX75" s="72"/>
      <c r="AY75" s="73">
        <f t="shared" si="444"/>
        <v>0</v>
      </c>
      <c r="AZ75" s="72"/>
      <c r="BB75" s="72"/>
      <c r="BC75" s="73">
        <f t="shared" si="445"/>
        <v>0</v>
      </c>
      <c r="BD75" s="72"/>
      <c r="BE75" s="72"/>
      <c r="BF75" s="72"/>
      <c r="BG75" s="73">
        <f t="shared" si="446"/>
        <v>0</v>
      </c>
      <c r="BH75" s="73">
        <f t="shared" si="447"/>
        <v>0</v>
      </c>
      <c r="BI75" s="106"/>
      <c r="BJ75" s="73">
        <f t="shared" si="448"/>
        <v>0</v>
      </c>
      <c r="BK75" s="227">
        <f t="shared" si="449"/>
        <v>0</v>
      </c>
      <c r="BL75" s="110"/>
      <c r="BM75" s="110"/>
      <c r="BN75" s="110"/>
      <c r="BO75" s="73">
        <f t="shared" si="450"/>
        <v>0</v>
      </c>
      <c r="BP75" s="110"/>
      <c r="BQ75" s="110"/>
      <c r="BR75" s="110"/>
      <c r="BS75" s="73">
        <f t="shared" si="451"/>
        <v>0</v>
      </c>
      <c r="BT75" s="110"/>
      <c r="BU75" s="110"/>
      <c r="BV75" s="110"/>
      <c r="BW75" s="73">
        <f t="shared" si="452"/>
        <v>0</v>
      </c>
      <c r="BX75" s="274"/>
      <c r="BY75" s="110"/>
      <c r="BZ75" s="110"/>
      <c r="CA75" s="73">
        <f t="shared" si="453"/>
        <v>0</v>
      </c>
      <c r="CB75" s="73">
        <f t="shared" si="454"/>
        <v>0</v>
      </c>
      <c r="CC75" s="106"/>
      <c r="CD75" s="73">
        <f t="shared" si="455"/>
        <v>0</v>
      </c>
      <c r="CE75" s="37" t="s">
        <v>414</v>
      </c>
    </row>
    <row r="76" spans="1:83" ht="21.95">
      <c r="A76" s="37" t="s">
        <v>415</v>
      </c>
      <c r="B76" s="69">
        <v>2200</v>
      </c>
      <c r="C76" s="70">
        <f>'budget anual'!C161</f>
        <v>490</v>
      </c>
      <c r="D76" s="72"/>
      <c r="E76" s="72"/>
      <c r="F76" s="72"/>
      <c r="G76" s="73"/>
      <c r="I76" s="72"/>
      <c r="J76" s="72"/>
      <c r="K76" s="73"/>
      <c r="L76" s="72">
        <v>637</v>
      </c>
      <c r="M76" s="72">
        <v>-147</v>
      </c>
      <c r="N76" s="72"/>
      <c r="O76" s="73">
        <f t="shared" si="433"/>
        <v>490</v>
      </c>
      <c r="P76" s="72"/>
      <c r="Q76" s="72"/>
      <c r="R76" s="72"/>
      <c r="S76" s="73">
        <f t="shared" si="434"/>
        <v>0</v>
      </c>
      <c r="T76" s="73">
        <f t="shared" si="435"/>
        <v>490</v>
      </c>
      <c r="U76" s="74"/>
      <c r="V76" s="75">
        <f t="shared" si="436"/>
        <v>0</v>
      </c>
      <c r="W76" s="70">
        <f>'budget anual'!D161</f>
        <v>0</v>
      </c>
      <c r="X76" s="72"/>
      <c r="Y76" s="72"/>
      <c r="Z76" s="72"/>
      <c r="AA76" s="73"/>
      <c r="AC76" s="72"/>
      <c r="AD76" s="72"/>
      <c r="AE76" s="73"/>
      <c r="AF76" s="72"/>
      <c r="AG76" s="72"/>
      <c r="AH76" s="72"/>
      <c r="AI76" s="73">
        <f t="shared" si="439"/>
        <v>0</v>
      </c>
      <c r="AJ76" s="72"/>
      <c r="AK76" s="72"/>
      <c r="AL76" s="72"/>
      <c r="AM76" s="73">
        <f t="shared" si="440"/>
        <v>0</v>
      </c>
      <c r="AN76" s="73">
        <f t="shared" si="441"/>
        <v>0</v>
      </c>
      <c r="AO76" s="74"/>
      <c r="AP76" s="73">
        <f t="shared" si="442"/>
        <v>0</v>
      </c>
      <c r="AQ76" s="70">
        <f>'budget anual'!E161</f>
        <v>0</v>
      </c>
      <c r="AR76" s="72"/>
      <c r="AS76" s="72"/>
      <c r="AT76" s="72"/>
      <c r="AU76" s="73"/>
      <c r="AW76" s="72"/>
      <c r="AX76" s="72"/>
      <c r="AY76" s="73"/>
      <c r="AZ76" s="72"/>
      <c r="BB76" s="72"/>
      <c r="BC76" s="73">
        <f t="shared" si="445"/>
        <v>0</v>
      </c>
      <c r="BD76" s="72"/>
      <c r="BE76" s="72"/>
      <c r="BF76" s="72"/>
      <c r="BG76" s="73">
        <f t="shared" si="446"/>
        <v>0</v>
      </c>
      <c r="BH76" s="73">
        <f t="shared" si="447"/>
        <v>0</v>
      </c>
      <c r="BI76" s="106"/>
      <c r="BJ76" s="73">
        <f t="shared" si="448"/>
        <v>0</v>
      </c>
      <c r="BK76" s="227">
        <f t="shared" si="449"/>
        <v>1710</v>
      </c>
      <c r="BL76" s="110"/>
      <c r="BM76" s="110"/>
      <c r="BN76" s="110"/>
      <c r="BO76" s="73">
        <f t="shared" si="450"/>
        <v>0</v>
      </c>
      <c r="BP76" s="110"/>
      <c r="BQ76" s="110"/>
      <c r="BR76" s="110"/>
      <c r="BS76" s="73">
        <f t="shared" si="451"/>
        <v>0</v>
      </c>
      <c r="BT76" s="110"/>
      <c r="BU76" s="110"/>
      <c r="BV76" s="110"/>
      <c r="BW76" s="73">
        <f t="shared" si="452"/>
        <v>0</v>
      </c>
      <c r="BX76" s="274"/>
      <c r="BY76" s="110"/>
      <c r="BZ76" s="110"/>
      <c r="CA76" s="73">
        <f t="shared" si="453"/>
        <v>0</v>
      </c>
      <c r="CB76" s="73">
        <f t="shared" si="454"/>
        <v>0</v>
      </c>
      <c r="CC76" s="106"/>
      <c r="CD76" s="73">
        <f t="shared" si="455"/>
        <v>1710</v>
      </c>
      <c r="CE76" s="37" t="s">
        <v>415</v>
      </c>
    </row>
    <row r="77" spans="1:83" ht="21.95">
      <c r="A77" s="37" t="s">
        <v>416</v>
      </c>
      <c r="B77" s="69">
        <v>6600</v>
      </c>
      <c r="C77" s="70" t="e">
        <f>'budget anual'!C162</f>
        <v>#REF!</v>
      </c>
      <c r="D77" s="72"/>
      <c r="E77" s="72"/>
      <c r="F77" s="72"/>
      <c r="G77" s="73">
        <f t="shared" si="431"/>
        <v>0</v>
      </c>
      <c r="H77" s="72">
        <f>330.51-305</f>
        <v>25.509999999999991</v>
      </c>
      <c r="I77" s="72">
        <v>35.6</v>
      </c>
      <c r="J77" s="72"/>
      <c r="K77" s="73">
        <f t="shared" si="456"/>
        <v>61.109999999999992</v>
      </c>
      <c r="L77" s="72">
        <v>420</v>
      </c>
      <c r="M77" s="72"/>
      <c r="N77" s="72"/>
      <c r="O77" s="73">
        <f t="shared" si="433"/>
        <v>420</v>
      </c>
      <c r="P77" s="72"/>
      <c r="Q77" s="72"/>
      <c r="R77" s="72"/>
      <c r="S77" s="73">
        <f t="shared" si="434"/>
        <v>0</v>
      </c>
      <c r="T77" s="73">
        <f t="shared" si="435"/>
        <v>481.11</v>
      </c>
      <c r="U77" s="74"/>
      <c r="V77" s="75" t="e">
        <f t="shared" si="436"/>
        <v>#REF!</v>
      </c>
      <c r="W77" s="70">
        <f>'budget anual'!D162</f>
        <v>2500</v>
      </c>
      <c r="X77" s="72"/>
      <c r="Y77" s="72"/>
      <c r="Z77" s="72"/>
      <c r="AA77" s="73">
        <f t="shared" ref="AA77:AA80" si="459">SUM(X77:Z77)</f>
        <v>0</v>
      </c>
      <c r="AB77" s="72">
        <v>2418</v>
      </c>
      <c r="AC77" s="72">
        <v>-512.91</v>
      </c>
      <c r="AD77" s="72">
        <v>-954.17</v>
      </c>
      <c r="AE77" s="73">
        <f t="shared" ref="AE77:AE81" si="460">SUM(AB77:AD77)</f>
        <v>950.92000000000019</v>
      </c>
      <c r="AF77" s="72">
        <v>40</v>
      </c>
      <c r="AG77" s="72"/>
      <c r="AH77" s="72"/>
      <c r="AI77" s="73">
        <f t="shared" si="439"/>
        <v>40</v>
      </c>
      <c r="AJ77" s="72">
        <v>693.11</v>
      </c>
      <c r="AK77" s="72">
        <v>266.02</v>
      </c>
      <c r="AL77" s="72">
        <v>111.84</v>
      </c>
      <c r="AM77" s="73">
        <f t="shared" si="440"/>
        <v>1070.97</v>
      </c>
      <c r="AN77" s="73">
        <f t="shared" si="441"/>
        <v>2061.8900000000003</v>
      </c>
      <c r="AO77" s="74">
        <f t="shared" ref="AO77:AO80" si="461">AN77/W77</f>
        <v>0.82475600000000016</v>
      </c>
      <c r="AP77" s="73" t="e">
        <f t="shared" si="442"/>
        <v>#REF!</v>
      </c>
      <c r="AQ77" s="70">
        <f>'budget anual'!E162</f>
        <v>2618.89</v>
      </c>
      <c r="AR77" s="72"/>
      <c r="AS77" s="72"/>
      <c r="AT77" s="72"/>
      <c r="AU77" s="73">
        <f t="shared" ref="AU77:AU80" si="462">SUM(AR77:AT77)</f>
        <v>0</v>
      </c>
      <c r="AW77" s="72"/>
      <c r="AX77" s="72">
        <v>576</v>
      </c>
      <c r="AY77" s="73">
        <f t="shared" ref="AY77:AY82" si="463">SUM(AV77:AX77)</f>
        <v>576</v>
      </c>
      <c r="AZ77" s="72">
        <v>1421.66</v>
      </c>
      <c r="BA77" s="127">
        <v>-414.33</v>
      </c>
      <c r="BB77" s="127">
        <v>-194.45</v>
      </c>
      <c r="BC77" s="73">
        <f t="shared" si="445"/>
        <v>812.88000000000011</v>
      </c>
      <c r="BD77" s="72">
        <v>926.05</v>
      </c>
      <c r="BE77" s="72">
        <v>440</v>
      </c>
      <c r="BF77" s="72">
        <v>-791.72</v>
      </c>
      <c r="BG77" s="73">
        <f t="shared" si="446"/>
        <v>574.32999999999993</v>
      </c>
      <c r="BH77" s="73">
        <f t="shared" si="447"/>
        <v>1963.21</v>
      </c>
      <c r="BI77" s="106">
        <f t="shared" ref="BI77:BI80" si="464">BH77/AQ77</f>
        <v>0.74963438708765928</v>
      </c>
      <c r="BJ77" s="73" t="e">
        <f t="shared" si="448"/>
        <v>#REF!</v>
      </c>
      <c r="BK77" s="227">
        <f t="shared" si="449"/>
        <v>2093.79</v>
      </c>
      <c r="BL77" s="110"/>
      <c r="BM77" s="110"/>
      <c r="BN77" s="110"/>
      <c r="BO77" s="73">
        <f t="shared" si="450"/>
        <v>0</v>
      </c>
      <c r="BP77" s="110">
        <v>801.51</v>
      </c>
      <c r="BQ77" s="110"/>
      <c r="BR77" s="110">
        <v>338.3</v>
      </c>
      <c r="BS77" s="73">
        <f t="shared" si="451"/>
        <v>1139.81</v>
      </c>
      <c r="BT77" s="110"/>
      <c r="BU77" s="110">
        <v>261.68</v>
      </c>
      <c r="BV77" s="110"/>
      <c r="BW77" s="73">
        <f t="shared" si="452"/>
        <v>261.68</v>
      </c>
      <c r="BX77" s="274">
        <f>425.07-300</f>
        <v>125.07</v>
      </c>
      <c r="BY77" s="110"/>
      <c r="BZ77" s="110"/>
      <c r="CA77" s="73">
        <f t="shared" si="453"/>
        <v>125.07</v>
      </c>
      <c r="CB77" s="73">
        <f t="shared" si="454"/>
        <v>1526.56</v>
      </c>
      <c r="CC77" s="106">
        <f t="shared" ref="CC77:CC80" si="465">CB77/BK77</f>
        <v>0.72908935471083536</v>
      </c>
      <c r="CD77" s="73">
        <f t="shared" si="455"/>
        <v>567.23</v>
      </c>
      <c r="CE77" s="37" t="s">
        <v>416</v>
      </c>
    </row>
    <row r="78" spans="1:83">
      <c r="A78" s="37" t="s">
        <v>417</v>
      </c>
      <c r="B78" s="69">
        <v>1500</v>
      </c>
      <c r="C78" s="70">
        <f>'budget anual'!C163</f>
        <v>0</v>
      </c>
      <c r="D78" s="72"/>
      <c r="E78" s="72"/>
      <c r="F78" s="72"/>
      <c r="G78" s="73">
        <f t="shared" si="431"/>
        <v>0</v>
      </c>
      <c r="I78" s="72"/>
      <c r="J78" s="72"/>
      <c r="K78" s="73">
        <f t="shared" si="456"/>
        <v>0</v>
      </c>
      <c r="L78" s="72"/>
      <c r="M78" s="72"/>
      <c r="N78" s="72"/>
      <c r="O78" s="73">
        <f t="shared" si="433"/>
        <v>0</v>
      </c>
      <c r="P78" s="72"/>
      <c r="Q78" s="72"/>
      <c r="R78" s="72"/>
      <c r="S78" s="73">
        <f t="shared" si="434"/>
        <v>0</v>
      </c>
      <c r="T78" s="73">
        <f t="shared" si="435"/>
        <v>0</v>
      </c>
      <c r="U78" s="74"/>
      <c r="V78" s="75">
        <f t="shared" si="436"/>
        <v>0</v>
      </c>
      <c r="W78" s="70" t="e">
        <f>'budget anual'!D163</f>
        <v>#REF!</v>
      </c>
      <c r="X78" s="72"/>
      <c r="Y78" s="72"/>
      <c r="Z78" s="72"/>
      <c r="AA78" s="73">
        <f t="shared" si="459"/>
        <v>0</v>
      </c>
      <c r="AC78" s="72"/>
      <c r="AD78" s="72"/>
      <c r="AE78" s="73">
        <f t="shared" si="460"/>
        <v>0</v>
      </c>
      <c r="AF78" s="72">
        <v>276.72000000000003</v>
      </c>
      <c r="AG78" s="72"/>
      <c r="AH78" s="72">
        <v>274.58</v>
      </c>
      <c r="AI78" s="73">
        <f t="shared" si="439"/>
        <v>551.29999999999995</v>
      </c>
      <c r="AJ78" s="72"/>
      <c r="AK78" s="72"/>
      <c r="AL78" s="72">
        <v>-249.1</v>
      </c>
      <c r="AM78" s="73">
        <f t="shared" si="440"/>
        <v>-249.1</v>
      </c>
      <c r="AN78" s="73">
        <f t="shared" si="441"/>
        <v>302.19999999999993</v>
      </c>
      <c r="AO78" s="74" t="e">
        <f t="shared" si="461"/>
        <v>#REF!</v>
      </c>
      <c r="AP78" s="73" t="e">
        <f t="shared" si="442"/>
        <v>#REF!</v>
      </c>
      <c r="AQ78" s="70" t="e">
        <f>'budget anual'!E163</f>
        <v>#REF!</v>
      </c>
      <c r="AR78" s="72">
        <v>252.1</v>
      </c>
      <c r="AS78" s="72"/>
      <c r="AT78" s="72"/>
      <c r="AU78" s="73">
        <f t="shared" si="462"/>
        <v>252.1</v>
      </c>
      <c r="AW78" s="72"/>
      <c r="AX78" s="72"/>
      <c r="AY78" s="73">
        <f t="shared" si="463"/>
        <v>0</v>
      </c>
      <c r="AZ78" s="72"/>
      <c r="BB78" s="72"/>
      <c r="BC78" s="73">
        <f t="shared" si="445"/>
        <v>0</v>
      </c>
      <c r="BD78" s="72"/>
      <c r="BE78" s="72"/>
      <c r="BF78" s="72"/>
      <c r="BG78" s="73">
        <f t="shared" si="446"/>
        <v>0</v>
      </c>
      <c r="BH78" s="73">
        <f t="shared" si="447"/>
        <v>252.1</v>
      </c>
      <c r="BI78" s="106" t="e">
        <f t="shared" si="464"/>
        <v>#REF!</v>
      </c>
      <c r="BJ78" s="73" t="e">
        <f t="shared" si="448"/>
        <v>#REF!</v>
      </c>
      <c r="BK78" s="227">
        <f t="shared" si="449"/>
        <v>945.70000000000016</v>
      </c>
      <c r="BL78" s="110"/>
      <c r="BM78" s="110"/>
      <c r="BN78" s="110"/>
      <c r="BO78" s="73">
        <f t="shared" si="450"/>
        <v>0</v>
      </c>
      <c r="BP78" s="110"/>
      <c r="BQ78" s="110"/>
      <c r="BR78" s="110"/>
      <c r="BS78" s="73">
        <f t="shared" si="451"/>
        <v>0</v>
      </c>
      <c r="BT78" s="110"/>
      <c r="BU78" s="110"/>
      <c r="BV78" s="110"/>
      <c r="BW78" s="73">
        <f t="shared" si="452"/>
        <v>0</v>
      </c>
      <c r="BX78" s="274">
        <v>241.4</v>
      </c>
      <c r="BY78" s="110"/>
      <c r="BZ78" s="110"/>
      <c r="CA78" s="73">
        <f t="shared" si="453"/>
        <v>241.4</v>
      </c>
      <c r="CB78" s="73">
        <f t="shared" si="454"/>
        <v>241.4</v>
      </c>
      <c r="CC78" s="106">
        <f t="shared" si="465"/>
        <v>0.25526065348419158</v>
      </c>
      <c r="CD78" s="73">
        <f t="shared" si="455"/>
        <v>704.30000000000018</v>
      </c>
      <c r="CE78" s="37" t="s">
        <v>417</v>
      </c>
    </row>
    <row r="79" spans="1:83">
      <c r="A79" s="37" t="s">
        <v>418</v>
      </c>
      <c r="B79" s="69">
        <v>7000</v>
      </c>
      <c r="C79" s="70" t="e">
        <f>'budget anual'!C164</f>
        <v>#REF!</v>
      </c>
      <c r="D79" s="72"/>
      <c r="E79" s="72"/>
      <c r="F79" s="72"/>
      <c r="G79" s="73">
        <f t="shared" si="431"/>
        <v>0</v>
      </c>
      <c r="I79" s="72"/>
      <c r="J79" s="72"/>
      <c r="K79" s="73">
        <f t="shared" si="456"/>
        <v>0</v>
      </c>
      <c r="L79" s="72"/>
      <c r="M79" s="72"/>
      <c r="N79" s="72"/>
      <c r="O79" s="73">
        <f t="shared" si="433"/>
        <v>0</v>
      </c>
      <c r="P79" s="72">
        <v>1460.3</v>
      </c>
      <c r="Q79" s="72"/>
      <c r="R79" s="72"/>
      <c r="S79" s="73">
        <f t="shared" si="434"/>
        <v>1460.3</v>
      </c>
      <c r="T79" s="73">
        <f t="shared" si="435"/>
        <v>1460.3</v>
      </c>
      <c r="U79" s="74"/>
      <c r="V79" s="75" t="e">
        <f t="shared" si="436"/>
        <v>#REF!</v>
      </c>
      <c r="W79" s="70" t="e">
        <f>'budget anual'!D164</f>
        <v>#REF!</v>
      </c>
      <c r="X79" s="72"/>
      <c r="Y79" s="72"/>
      <c r="Z79" s="72">
        <v>2184</v>
      </c>
      <c r="AA79" s="73">
        <f t="shared" si="459"/>
        <v>2184</v>
      </c>
      <c r="AC79" s="72">
        <f>650-946.17</f>
        <v>-296.16999999999996</v>
      </c>
      <c r="AD79" s="72">
        <v>485</v>
      </c>
      <c r="AE79" s="73">
        <f t="shared" si="460"/>
        <v>188.83000000000004</v>
      </c>
      <c r="AF79" s="72">
        <v>1290</v>
      </c>
      <c r="AG79" s="72">
        <f>-35.6+375.3</f>
        <v>339.7</v>
      </c>
      <c r="AH79" s="72">
        <v>-369.34</v>
      </c>
      <c r="AI79" s="73">
        <f t="shared" si="439"/>
        <v>1260.3600000000001</v>
      </c>
      <c r="AJ79" s="72"/>
      <c r="AK79" s="72"/>
      <c r="AL79" s="72"/>
      <c r="AM79" s="73">
        <f t="shared" si="440"/>
        <v>0</v>
      </c>
      <c r="AN79" s="73">
        <f t="shared" si="441"/>
        <v>3633.19</v>
      </c>
      <c r="AO79" s="74" t="e">
        <f t="shared" si="461"/>
        <v>#REF!</v>
      </c>
      <c r="AP79" s="73" t="e">
        <f t="shared" si="442"/>
        <v>#REF!</v>
      </c>
      <c r="AQ79" s="70" t="e">
        <f>'budget anual'!E164</f>
        <v>#REF!</v>
      </c>
      <c r="AR79" s="72"/>
      <c r="AS79" s="72"/>
      <c r="AT79" s="72"/>
      <c r="AU79" s="73">
        <f t="shared" si="462"/>
        <v>0</v>
      </c>
      <c r="AW79" s="72"/>
      <c r="AX79" s="72"/>
      <c r="AY79" s="73">
        <f t="shared" si="463"/>
        <v>0</v>
      </c>
      <c r="AZ79" s="72"/>
      <c r="BB79" s="72"/>
      <c r="BC79" s="73">
        <f t="shared" si="445"/>
        <v>0</v>
      </c>
      <c r="BD79" s="72">
        <v>800</v>
      </c>
      <c r="BE79" s="72"/>
      <c r="BF79" s="72"/>
      <c r="BG79" s="73">
        <f t="shared" si="446"/>
        <v>800</v>
      </c>
      <c r="BH79" s="73">
        <f t="shared" si="447"/>
        <v>800</v>
      </c>
      <c r="BI79" s="106" t="e">
        <f t="shared" si="464"/>
        <v>#REF!</v>
      </c>
      <c r="BJ79" s="73" t="e">
        <f t="shared" si="448"/>
        <v>#REF!</v>
      </c>
      <c r="BK79" s="227">
        <f t="shared" si="449"/>
        <v>1106.5099999999998</v>
      </c>
      <c r="BL79" s="110"/>
      <c r="BM79" s="110">
        <v>575</v>
      </c>
      <c r="BN79" s="110">
        <v>150</v>
      </c>
      <c r="BO79" s="73">
        <f t="shared" si="450"/>
        <v>725</v>
      </c>
      <c r="BP79" s="110">
        <f>1093.7-126.21</f>
        <v>967.49</v>
      </c>
      <c r="BQ79" s="110">
        <v>931.71</v>
      </c>
      <c r="BR79" s="110">
        <v>1379.49</v>
      </c>
      <c r="BS79" s="73">
        <f t="shared" si="451"/>
        <v>3278.69</v>
      </c>
      <c r="BT79" s="110"/>
      <c r="BU79" s="110"/>
      <c r="BV79" s="110"/>
      <c r="BW79" s="73">
        <f t="shared" si="452"/>
        <v>0</v>
      </c>
      <c r="BX79" s="274"/>
      <c r="BY79" s="110">
        <v>-659.82</v>
      </c>
      <c r="BZ79" s="110"/>
      <c r="CA79" s="73">
        <f t="shared" si="453"/>
        <v>-659.82</v>
      </c>
      <c r="CB79" s="73">
        <f t="shared" si="454"/>
        <v>3343.87</v>
      </c>
      <c r="CC79" s="106">
        <f t="shared" si="465"/>
        <v>3.0219970899494815</v>
      </c>
      <c r="CD79" s="73">
        <f t="shared" si="455"/>
        <v>-2237.36</v>
      </c>
      <c r="CE79" s="37" t="s">
        <v>418</v>
      </c>
    </row>
    <row r="80" spans="1:83">
      <c r="A80" s="37" t="s">
        <v>419</v>
      </c>
      <c r="B80" s="69">
        <v>14000</v>
      </c>
      <c r="C80" s="70" t="e">
        <f>'budget anual'!C165</f>
        <v>#REF!</v>
      </c>
      <c r="D80" s="72"/>
      <c r="E80" s="72"/>
      <c r="F80" s="72"/>
      <c r="G80" s="73">
        <f t="shared" si="431"/>
        <v>0</v>
      </c>
      <c r="I80" s="72"/>
      <c r="J80" s="72"/>
      <c r="K80" s="73">
        <f t="shared" si="456"/>
        <v>0</v>
      </c>
      <c r="L80" s="72"/>
      <c r="M80" s="72"/>
      <c r="N80" s="72"/>
      <c r="O80" s="73">
        <f t="shared" si="433"/>
        <v>0</v>
      </c>
      <c r="P80" s="72"/>
      <c r="Q80" s="72"/>
      <c r="R80" s="72"/>
      <c r="S80" s="73">
        <f t="shared" si="434"/>
        <v>0</v>
      </c>
      <c r="T80" s="73">
        <f t="shared" si="435"/>
        <v>0</v>
      </c>
      <c r="U80" s="74"/>
      <c r="V80" s="75" t="e">
        <f t="shared" si="436"/>
        <v>#REF!</v>
      </c>
      <c r="W80" s="70" t="e">
        <f>'budget anual'!D165</f>
        <v>#REF!</v>
      </c>
      <c r="X80" s="72"/>
      <c r="Y80" s="72"/>
      <c r="Z80" s="72"/>
      <c r="AA80" s="73">
        <f t="shared" si="459"/>
        <v>0</v>
      </c>
      <c r="AC80" s="72">
        <v>100</v>
      </c>
      <c r="AD80" s="72">
        <v>340</v>
      </c>
      <c r="AE80" s="73">
        <f t="shared" si="460"/>
        <v>440</v>
      </c>
      <c r="AF80" s="72">
        <v>641.38</v>
      </c>
      <c r="AG80" s="72"/>
      <c r="AH80" s="72">
        <v>871.12</v>
      </c>
      <c r="AI80" s="73">
        <f t="shared" si="439"/>
        <v>1512.5</v>
      </c>
      <c r="AJ80" s="72">
        <v>2313.48</v>
      </c>
      <c r="AK80" s="72">
        <v>569.16</v>
      </c>
      <c r="AL80" s="72">
        <v>-656.45</v>
      </c>
      <c r="AM80" s="73">
        <f t="shared" si="440"/>
        <v>2226.1899999999996</v>
      </c>
      <c r="AN80" s="73">
        <f t="shared" si="441"/>
        <v>4178.6899999999996</v>
      </c>
      <c r="AO80" s="74" t="e">
        <f t="shared" si="461"/>
        <v>#REF!</v>
      </c>
      <c r="AP80" s="73" t="e">
        <f t="shared" si="442"/>
        <v>#REF!</v>
      </c>
      <c r="AQ80" s="70" t="e">
        <f>'budget anual'!E165</f>
        <v>#REF!</v>
      </c>
      <c r="AR80" s="72">
        <v>300</v>
      </c>
      <c r="AS80" s="72">
        <v>933.8</v>
      </c>
      <c r="AT80" s="72">
        <f>-71.81+86.89</f>
        <v>15.079999999999998</v>
      </c>
      <c r="AU80" s="73">
        <f t="shared" si="462"/>
        <v>1248.8799999999999</v>
      </c>
      <c r="AW80" s="72">
        <v>1950.3</v>
      </c>
      <c r="AX80" s="72">
        <v>151.26</v>
      </c>
      <c r="AY80" s="73">
        <f t="shared" si="463"/>
        <v>2101.56</v>
      </c>
      <c r="AZ80" s="72">
        <v>1885</v>
      </c>
      <c r="BA80" s="127">
        <v>-148.9</v>
      </c>
      <c r="BB80" s="72">
        <v>1726.47</v>
      </c>
      <c r="BC80" s="73">
        <f t="shared" si="445"/>
        <v>3462.5699999999997</v>
      </c>
      <c r="BD80" s="72">
        <f>1044.8-800</f>
        <v>244.79999999999995</v>
      </c>
      <c r="BE80" s="72">
        <v>1598.2</v>
      </c>
      <c r="BF80" s="72">
        <v>-129.16</v>
      </c>
      <c r="BG80" s="73">
        <f t="shared" si="446"/>
        <v>1713.84</v>
      </c>
      <c r="BH80" s="73">
        <f t="shared" si="447"/>
        <v>8526.8499999999985</v>
      </c>
      <c r="BI80" s="106" t="e">
        <f t="shared" si="464"/>
        <v>#REF!</v>
      </c>
      <c r="BJ80" s="73" t="e">
        <f t="shared" si="448"/>
        <v>#REF!</v>
      </c>
      <c r="BK80" s="227">
        <f t="shared" si="449"/>
        <v>1294.4600000000028</v>
      </c>
      <c r="BL80" s="110">
        <v>-184.7</v>
      </c>
      <c r="BM80" s="110">
        <v>575</v>
      </c>
      <c r="BN80" s="110">
        <f>469.22-150</f>
        <v>319.22000000000003</v>
      </c>
      <c r="BO80" s="73">
        <f t="shared" si="450"/>
        <v>709.52</v>
      </c>
      <c r="BP80" s="110"/>
      <c r="BQ80" s="110"/>
      <c r="BR80" s="110"/>
      <c r="BS80" s="73">
        <f t="shared" si="451"/>
        <v>0</v>
      </c>
      <c r="BT80" s="110">
        <v>500</v>
      </c>
      <c r="BU80" s="110"/>
      <c r="BV80" s="110">
        <v>1487.42</v>
      </c>
      <c r="BW80" s="73">
        <f t="shared" si="452"/>
        <v>1987.42</v>
      </c>
      <c r="BX80" s="274">
        <v>145.46</v>
      </c>
      <c r="BY80" s="110"/>
      <c r="BZ80" s="110"/>
      <c r="CA80" s="73">
        <f t="shared" si="453"/>
        <v>145.46</v>
      </c>
      <c r="CB80" s="73">
        <f t="shared" si="454"/>
        <v>2842.4</v>
      </c>
      <c r="CC80" s="106">
        <f t="shared" si="465"/>
        <v>2.1958191060364896</v>
      </c>
      <c r="CD80" s="73">
        <f t="shared" si="455"/>
        <v>-1547.9399999999973</v>
      </c>
      <c r="CE80" s="37" t="s">
        <v>419</v>
      </c>
    </row>
    <row r="81" spans="1:84" ht="21.95">
      <c r="A81" s="37" t="s">
        <v>420</v>
      </c>
      <c r="B81" s="69">
        <v>500</v>
      </c>
      <c r="C81" s="70" t="e">
        <f>'budget anual'!C166</f>
        <v>#REF!</v>
      </c>
      <c r="D81" s="72"/>
      <c r="E81" s="72"/>
      <c r="F81" s="72"/>
      <c r="G81" s="73"/>
      <c r="I81" s="72"/>
      <c r="J81" s="72"/>
      <c r="K81" s="73"/>
      <c r="L81" s="72"/>
      <c r="M81" s="72"/>
      <c r="N81" s="72"/>
      <c r="O81" s="73"/>
      <c r="P81" s="72"/>
      <c r="Q81" s="72"/>
      <c r="R81" s="72"/>
      <c r="S81" s="73">
        <f t="shared" si="434"/>
        <v>0</v>
      </c>
      <c r="T81" s="73">
        <f t="shared" si="435"/>
        <v>0</v>
      </c>
      <c r="U81" s="74"/>
      <c r="V81" s="75" t="e">
        <f t="shared" si="436"/>
        <v>#REF!</v>
      </c>
      <c r="W81" s="70" t="e">
        <f>'budget anual'!D166</f>
        <v>#REF!</v>
      </c>
      <c r="X81" s="92"/>
      <c r="Y81" s="53">
        <v>335</v>
      </c>
      <c r="Z81" s="53">
        <v>26.75</v>
      </c>
      <c r="AA81" s="73">
        <f t="shared" ref="AA81" si="466">SUM(X81:Z81)</f>
        <v>361.75</v>
      </c>
      <c r="AB81" s="92"/>
      <c r="AE81" s="73">
        <f t="shared" si="460"/>
        <v>0</v>
      </c>
      <c r="AF81" s="72">
        <v>85</v>
      </c>
      <c r="AI81" s="73">
        <f t="shared" si="439"/>
        <v>85</v>
      </c>
      <c r="AJ81" s="92"/>
      <c r="AM81" s="73">
        <f t="shared" si="440"/>
        <v>0</v>
      </c>
      <c r="AN81" s="73">
        <f>AA81+AE81+AI81+AM81</f>
        <v>446.75</v>
      </c>
      <c r="AO81" s="93"/>
      <c r="AP81" s="73" t="e">
        <f t="shared" si="442"/>
        <v>#REF!</v>
      </c>
      <c r="AQ81" s="70">
        <f>'budget anual'!E166</f>
        <v>53.25</v>
      </c>
      <c r="AR81" s="92"/>
      <c r="AU81" s="73">
        <f t="shared" ref="AU81" si="467">SUM(AR81:AT81)</f>
        <v>0</v>
      </c>
      <c r="AV81" s="72">
        <v>335</v>
      </c>
      <c r="AY81" s="73">
        <f t="shared" si="463"/>
        <v>335</v>
      </c>
      <c r="AZ81" s="92"/>
      <c r="BC81" s="73">
        <f t="shared" si="445"/>
        <v>0</v>
      </c>
      <c r="BD81" s="92"/>
      <c r="BG81" s="73">
        <f t="shared" si="446"/>
        <v>0</v>
      </c>
      <c r="BH81" s="73">
        <f>AU81+AY81+BC81+BG81</f>
        <v>335</v>
      </c>
      <c r="BI81" s="92"/>
      <c r="BJ81" s="73" t="e">
        <f t="shared" si="448"/>
        <v>#REF!</v>
      </c>
      <c r="BK81" s="227">
        <f t="shared" si="449"/>
        <v>-281.75</v>
      </c>
      <c r="BL81" s="93"/>
      <c r="BM81" s="93"/>
      <c r="BN81" s="93"/>
      <c r="BO81" s="73">
        <f t="shared" si="450"/>
        <v>0</v>
      </c>
      <c r="BP81" s="93"/>
      <c r="BQ81" s="93"/>
      <c r="BR81" s="93"/>
      <c r="BS81" s="73">
        <f t="shared" si="451"/>
        <v>0</v>
      </c>
      <c r="BT81" s="93"/>
      <c r="BU81" s="93"/>
      <c r="BV81" s="93"/>
      <c r="BW81" s="73">
        <f t="shared" si="452"/>
        <v>0</v>
      </c>
      <c r="BX81" s="276"/>
      <c r="BY81" s="93"/>
      <c r="BZ81" s="93"/>
      <c r="CA81" s="73">
        <f t="shared" si="453"/>
        <v>0</v>
      </c>
      <c r="CB81" s="73">
        <f>BO81+BS81+BW81+CA81</f>
        <v>0</v>
      </c>
      <c r="CC81" s="92"/>
      <c r="CD81" s="73">
        <f t="shared" si="455"/>
        <v>-281.75</v>
      </c>
      <c r="CE81" s="37" t="s">
        <v>420</v>
      </c>
    </row>
    <row r="82" spans="1:84">
      <c r="A82" s="37" t="s">
        <v>421</v>
      </c>
      <c r="B82" s="69">
        <v>3000</v>
      </c>
      <c r="C82" s="70" t="e">
        <f>'budget anual'!C169</f>
        <v>#REF!</v>
      </c>
      <c r="D82" s="92"/>
      <c r="G82" s="73">
        <f t="shared" ref="G82" si="468">SUM(D82:F82)</f>
        <v>0</v>
      </c>
      <c r="H82" s="71">
        <f>200.67+123.36</f>
        <v>324.02999999999997</v>
      </c>
      <c r="K82" s="73">
        <f t="shared" ref="K82" si="469">SUM(H82:J82)</f>
        <v>324.02999999999997</v>
      </c>
      <c r="L82" s="72">
        <v>962</v>
      </c>
      <c r="M82" s="53">
        <v>-91.07</v>
      </c>
      <c r="O82" s="73">
        <f t="shared" ref="O82" si="470">SUM(L82:N82)</f>
        <v>870.93000000000006</v>
      </c>
      <c r="P82" s="92"/>
      <c r="S82" s="73">
        <f t="shared" si="434"/>
        <v>0</v>
      </c>
      <c r="T82" s="73">
        <f t="shared" si="435"/>
        <v>1194.96</v>
      </c>
      <c r="U82" s="74"/>
      <c r="V82" s="75" t="e">
        <f t="shared" si="436"/>
        <v>#REF!</v>
      </c>
      <c r="W82" s="70" t="e">
        <f>'budget anual'!D169</f>
        <v>#REF!</v>
      </c>
      <c r="Y82" s="53">
        <v>82.6</v>
      </c>
      <c r="AA82" s="73">
        <f t="shared" ref="AA82" si="471">SUM(X82:Z82)</f>
        <v>82.6</v>
      </c>
      <c r="AB82" s="92"/>
      <c r="AE82" s="73">
        <f t="shared" ref="AE82" si="472">SUM(AB82:AD82)</f>
        <v>0</v>
      </c>
      <c r="AF82" s="92"/>
      <c r="AI82" s="73">
        <f t="shared" ref="AI82" si="473">SUM(AF82:AH82)</f>
        <v>0</v>
      </c>
      <c r="AJ82" s="92"/>
      <c r="AM82" s="73">
        <f t="shared" ref="AM82" si="474">SUM(AJ82:AL82)</f>
        <v>0</v>
      </c>
      <c r="AN82" s="73">
        <f t="shared" si="441"/>
        <v>82.6</v>
      </c>
      <c r="AO82" s="93"/>
      <c r="AP82" s="73" t="e">
        <f t="shared" si="442"/>
        <v>#REF!</v>
      </c>
      <c r="AQ82" s="70">
        <f>'budget anual'!E169</f>
        <v>1500</v>
      </c>
      <c r="AU82" s="73">
        <f t="shared" ref="AU82" si="475">SUM(AR82:AT82)</f>
        <v>0</v>
      </c>
      <c r="AV82" s="72">
        <v>350</v>
      </c>
      <c r="AY82" s="73">
        <f t="shared" si="463"/>
        <v>350</v>
      </c>
      <c r="BC82" s="73">
        <f t="shared" ref="BC82" si="476">SUM(AZ82:BB82)</f>
        <v>0</v>
      </c>
      <c r="BG82" s="73">
        <f t="shared" ref="BG82" si="477">SUM(BD82:BF82)</f>
        <v>0</v>
      </c>
      <c r="BH82" s="73">
        <f t="shared" ref="BH82:BH89" si="478">AU82+AY82+BC82+BG82</f>
        <v>350</v>
      </c>
      <c r="BI82" s="92"/>
      <c r="BJ82" s="73" t="e">
        <f t="shared" si="448"/>
        <v>#REF!</v>
      </c>
      <c r="BK82" s="227">
        <f t="shared" si="449"/>
        <v>1372.44</v>
      </c>
      <c r="BL82" s="93"/>
      <c r="BM82" s="93">
        <v>1100</v>
      </c>
      <c r="BN82" s="110">
        <v>-750.35</v>
      </c>
      <c r="BO82" s="73">
        <f t="shared" ref="BO82" si="479">SUM(BL82:BN82)</f>
        <v>349.65</v>
      </c>
      <c r="BP82" s="93"/>
      <c r="BQ82" s="93"/>
      <c r="BR82" s="93"/>
      <c r="BS82" s="73">
        <f t="shared" ref="BS82" si="480">SUM(BP82:BR82)</f>
        <v>0</v>
      </c>
      <c r="BT82" s="93"/>
      <c r="BU82" s="93"/>
      <c r="BV82" s="93"/>
      <c r="BW82" s="73">
        <f t="shared" ref="BW82" si="481">SUM(BT82:BV82)</f>
        <v>0</v>
      </c>
      <c r="BX82" s="276"/>
      <c r="BY82" s="93"/>
      <c r="BZ82" s="93"/>
      <c r="CA82" s="73">
        <f t="shared" ref="CA82" si="482">SUM(BX82:BZ82)</f>
        <v>0</v>
      </c>
      <c r="CB82" s="73">
        <f t="shared" ref="CB82:CB89" si="483">BO82+BS82+BW82+CA82</f>
        <v>349.65</v>
      </c>
      <c r="CC82" s="92"/>
      <c r="CD82" s="73">
        <f t="shared" si="455"/>
        <v>1022.7900000000001</v>
      </c>
      <c r="CE82" s="37" t="s">
        <v>421</v>
      </c>
    </row>
    <row r="83" spans="1:84">
      <c r="A83" s="37" t="s">
        <v>422</v>
      </c>
      <c r="B83" s="69">
        <v>17500</v>
      </c>
      <c r="C83" s="70" t="e">
        <f>'budget anual'!C171</f>
        <v>#REF!</v>
      </c>
      <c r="D83" s="72"/>
      <c r="E83" s="72"/>
      <c r="F83" s="72"/>
      <c r="G83" s="73">
        <f t="shared" ref="G83:G84" si="484">SUM(D83:F83)</f>
        <v>0</v>
      </c>
      <c r="I83" s="72"/>
      <c r="J83" s="72"/>
      <c r="K83" s="73">
        <f t="shared" ref="K83:K84" si="485">SUM(H83:J83)</f>
        <v>0</v>
      </c>
      <c r="L83" s="72"/>
      <c r="M83" s="72"/>
      <c r="N83" s="72"/>
      <c r="O83" s="73">
        <f t="shared" ref="O83:O84" si="486">SUM(L83:N83)</f>
        <v>0</v>
      </c>
      <c r="P83" s="72"/>
      <c r="Q83" s="72"/>
      <c r="R83" s="72"/>
      <c r="S83" s="73">
        <f t="shared" ref="S83:S84" si="487">SUM(P83:R83)</f>
        <v>0</v>
      </c>
      <c r="T83" s="73">
        <f t="shared" ref="T83:T89" si="488">G83+K83+O83+S83</f>
        <v>0</v>
      </c>
      <c r="U83" s="74"/>
      <c r="V83" s="75" t="e">
        <f t="shared" ref="V83:V89" si="489">C83-T83</f>
        <v>#REF!</v>
      </c>
      <c r="W83" s="70" t="e">
        <f>'budget anual'!D171</f>
        <v>#REF!</v>
      </c>
      <c r="X83" s="72"/>
      <c r="Y83" s="72"/>
      <c r="Z83" s="72"/>
      <c r="AA83" s="73">
        <f t="shared" ref="AA83:AA89" si="490">SUM(X83:Z83)</f>
        <v>0</v>
      </c>
      <c r="AC83" s="72"/>
      <c r="AD83" s="72"/>
      <c r="AE83" s="73">
        <f t="shared" ref="AE83:AE84" si="491">SUM(AB83:AD83)</f>
        <v>0</v>
      </c>
      <c r="AF83" s="72"/>
      <c r="AG83" s="72"/>
      <c r="AH83" s="72"/>
      <c r="AI83" s="73">
        <f t="shared" ref="AI83:AI84" si="492">SUM(AF83:AH83)</f>
        <v>0</v>
      </c>
      <c r="AJ83" s="72"/>
      <c r="AK83" s="72"/>
      <c r="AL83" s="72"/>
      <c r="AM83" s="73">
        <f t="shared" ref="AM83:AM84" si="493">SUM(AJ83:AL83)</f>
        <v>0</v>
      </c>
      <c r="AN83" s="73">
        <f t="shared" si="441"/>
        <v>0</v>
      </c>
      <c r="AO83" s="74"/>
      <c r="AP83" s="73" t="e">
        <f t="shared" si="442"/>
        <v>#REF!</v>
      </c>
      <c r="AQ83" s="70">
        <f>'budget anual'!E171</f>
        <v>17500</v>
      </c>
      <c r="AR83" s="72"/>
      <c r="AS83" s="72"/>
      <c r="AT83" s="72">
        <v>790.85</v>
      </c>
      <c r="AU83" s="73">
        <f t="shared" ref="AU83:AU84" si="494">SUM(AR83:AT83)</f>
        <v>790.85</v>
      </c>
      <c r="AV83" s="72">
        <v>8954.24</v>
      </c>
      <c r="AW83" s="72">
        <v>-1569.63</v>
      </c>
      <c r="AX83" s="72"/>
      <c r="AY83" s="73">
        <f t="shared" ref="AY83:AY84" si="495">SUM(AV83:AX83)</f>
        <v>7384.61</v>
      </c>
      <c r="AZ83" s="72"/>
      <c r="BB83" s="72"/>
      <c r="BC83" s="73">
        <f t="shared" ref="BC83:BC84" si="496">SUM(AZ83:BB83)</f>
        <v>0</v>
      </c>
      <c r="BD83" s="72"/>
      <c r="BE83" s="72"/>
      <c r="BF83" s="72"/>
      <c r="BG83" s="73">
        <f t="shared" ref="BG83:BG84" si="497">SUM(BD83:BF83)</f>
        <v>0</v>
      </c>
      <c r="BH83" s="73">
        <f t="shared" si="478"/>
        <v>8175.46</v>
      </c>
      <c r="BI83" s="106"/>
      <c r="BJ83" s="73" t="e">
        <f t="shared" si="448"/>
        <v>#REF!</v>
      </c>
      <c r="BK83" s="227">
        <f t="shared" si="449"/>
        <v>9324.5400000000009</v>
      </c>
      <c r="BL83" s="110"/>
      <c r="BM83" s="110"/>
      <c r="BN83" s="110"/>
      <c r="BO83" s="73">
        <f t="shared" ref="BO83:BO84" si="498">SUM(BL83:BN83)</f>
        <v>0</v>
      </c>
      <c r="BP83" s="110"/>
      <c r="BQ83" s="110"/>
      <c r="BR83" s="110"/>
      <c r="BS83" s="73">
        <f t="shared" ref="BS83:BS84" si="499">SUM(BP83:BR83)</f>
        <v>0</v>
      </c>
      <c r="BT83" s="110"/>
      <c r="BU83" s="110"/>
      <c r="BV83" s="110"/>
      <c r="BW83" s="73">
        <f t="shared" ref="BW83:BW84" si="500">SUM(BT83:BV83)</f>
        <v>0</v>
      </c>
      <c r="BX83" s="274"/>
      <c r="BY83" s="110"/>
      <c r="BZ83" s="110"/>
      <c r="CA83" s="73">
        <f t="shared" ref="CA83:CA84" si="501">SUM(BX83:BZ83)</f>
        <v>0</v>
      </c>
      <c r="CB83" s="73">
        <f t="shared" si="483"/>
        <v>0</v>
      </c>
      <c r="CC83" s="106"/>
      <c r="CD83" s="73">
        <f t="shared" si="455"/>
        <v>9324.5400000000009</v>
      </c>
      <c r="CE83" s="37" t="s">
        <v>422</v>
      </c>
    </row>
    <row r="84" spans="1:84">
      <c r="A84" s="37" t="s">
        <v>423</v>
      </c>
      <c r="B84" s="69">
        <v>17500</v>
      </c>
      <c r="C84" s="70">
        <f>'budget anual'!C172</f>
        <v>0</v>
      </c>
      <c r="D84" s="72"/>
      <c r="E84" s="72"/>
      <c r="F84" s="72"/>
      <c r="G84" s="73">
        <f t="shared" si="484"/>
        <v>0</v>
      </c>
      <c r="I84" s="72"/>
      <c r="J84" s="72"/>
      <c r="K84" s="73">
        <f t="shared" si="485"/>
        <v>0</v>
      </c>
      <c r="L84" s="72"/>
      <c r="M84" s="72"/>
      <c r="N84" s="72"/>
      <c r="O84" s="73">
        <f t="shared" si="486"/>
        <v>0</v>
      </c>
      <c r="P84" s="72"/>
      <c r="Q84" s="72"/>
      <c r="R84" s="72"/>
      <c r="S84" s="73">
        <f t="shared" si="487"/>
        <v>0</v>
      </c>
      <c r="T84" s="73">
        <f t="shared" si="488"/>
        <v>0</v>
      </c>
      <c r="U84" s="74"/>
      <c r="V84" s="75">
        <f t="shared" si="489"/>
        <v>0</v>
      </c>
      <c r="W84" s="70">
        <f>'budget anual'!D172</f>
        <v>0</v>
      </c>
      <c r="X84" s="72"/>
      <c r="Y84" s="72"/>
      <c r="Z84" s="72"/>
      <c r="AA84" s="73">
        <f t="shared" si="490"/>
        <v>0</v>
      </c>
      <c r="AC84" s="72"/>
      <c r="AD84" s="72"/>
      <c r="AE84" s="73">
        <f t="shared" si="491"/>
        <v>0</v>
      </c>
      <c r="AF84" s="72"/>
      <c r="AG84" s="72"/>
      <c r="AH84" s="72"/>
      <c r="AI84" s="73">
        <f t="shared" si="492"/>
        <v>0</v>
      </c>
      <c r="AJ84" s="72"/>
      <c r="AK84" s="72"/>
      <c r="AL84" s="72"/>
      <c r="AM84" s="73">
        <f t="shared" si="493"/>
        <v>0</v>
      </c>
      <c r="AN84" s="73">
        <f t="shared" si="441"/>
        <v>0</v>
      </c>
      <c r="AO84" s="74"/>
      <c r="AP84" s="73">
        <f t="shared" si="442"/>
        <v>0</v>
      </c>
      <c r="AQ84" s="70">
        <f>'budget anual'!E172</f>
        <v>0</v>
      </c>
      <c r="AR84" s="72"/>
      <c r="AS84" s="72"/>
      <c r="AT84" s="72"/>
      <c r="AU84" s="73">
        <f t="shared" si="494"/>
        <v>0</v>
      </c>
      <c r="AW84" s="72"/>
      <c r="AX84" s="72"/>
      <c r="AY84" s="73">
        <f t="shared" si="495"/>
        <v>0</v>
      </c>
      <c r="AZ84" s="72"/>
      <c r="BB84" s="72"/>
      <c r="BC84" s="73">
        <f t="shared" si="496"/>
        <v>0</v>
      </c>
      <c r="BD84" s="72"/>
      <c r="BE84" s="72"/>
      <c r="BF84" s="72"/>
      <c r="BG84" s="73">
        <f t="shared" si="497"/>
        <v>0</v>
      </c>
      <c r="BH84" s="73">
        <f t="shared" si="478"/>
        <v>0</v>
      </c>
      <c r="BI84" s="106"/>
      <c r="BJ84" s="73">
        <f t="shared" si="448"/>
        <v>0</v>
      </c>
      <c r="BK84" s="227">
        <f t="shared" si="449"/>
        <v>17500</v>
      </c>
      <c r="BL84" s="110"/>
      <c r="BM84" s="110"/>
      <c r="BN84" s="110"/>
      <c r="BO84" s="73">
        <f t="shared" si="498"/>
        <v>0</v>
      </c>
      <c r="BP84" s="110"/>
      <c r="BQ84" s="110"/>
      <c r="BR84" s="110"/>
      <c r="BS84" s="73">
        <f t="shared" si="499"/>
        <v>0</v>
      </c>
      <c r="BT84" s="110">
        <v>2686.49</v>
      </c>
      <c r="BU84" s="110">
        <v>4103.3500000000004</v>
      </c>
      <c r="BV84" s="110">
        <v>-77.78</v>
      </c>
      <c r="BW84" s="73">
        <f t="shared" si="500"/>
        <v>6712.06</v>
      </c>
      <c r="BX84" s="274">
        <v>-782.44</v>
      </c>
      <c r="BY84" s="110"/>
      <c r="BZ84" s="110"/>
      <c r="CA84" s="73">
        <f t="shared" si="501"/>
        <v>-782.44</v>
      </c>
      <c r="CB84" s="73">
        <f t="shared" si="483"/>
        <v>5929.6200000000008</v>
      </c>
      <c r="CC84" s="106"/>
      <c r="CD84" s="73">
        <f t="shared" si="455"/>
        <v>11570.38</v>
      </c>
      <c r="CE84" s="37" t="s">
        <v>423</v>
      </c>
    </row>
    <row r="85" spans="1:84">
      <c r="A85" s="46" t="s">
        <v>424</v>
      </c>
      <c r="B85" s="69"/>
      <c r="C85" s="70"/>
      <c r="D85" s="72"/>
      <c r="E85" s="72"/>
      <c r="F85" s="72"/>
      <c r="G85" s="73"/>
      <c r="I85" s="72"/>
      <c r="J85" s="72"/>
      <c r="K85" s="73"/>
      <c r="L85" s="72"/>
      <c r="M85" s="72"/>
      <c r="N85" s="72"/>
      <c r="O85" s="73"/>
      <c r="P85" s="72"/>
      <c r="Q85" s="72"/>
      <c r="R85" s="72"/>
      <c r="S85" s="73"/>
      <c r="T85" s="73"/>
      <c r="U85" s="74"/>
      <c r="V85" s="75"/>
      <c r="W85" s="70"/>
      <c r="X85" s="72"/>
      <c r="Y85" s="72"/>
      <c r="Z85" s="72"/>
      <c r="AA85" s="73"/>
      <c r="AC85" s="72"/>
      <c r="AD85" s="72"/>
      <c r="AE85" s="73"/>
      <c r="AF85" s="72"/>
      <c r="AG85" s="72"/>
      <c r="AH85" s="72"/>
      <c r="AI85" s="73"/>
      <c r="AJ85" s="72"/>
      <c r="AK85" s="72"/>
      <c r="AL85" s="72"/>
      <c r="AM85" s="73"/>
      <c r="AN85" s="73"/>
      <c r="AO85" s="74"/>
      <c r="AP85" s="73"/>
      <c r="AQ85" s="70"/>
      <c r="AR85" s="72"/>
      <c r="AS85" s="72"/>
      <c r="AT85" s="72"/>
      <c r="AU85" s="73"/>
      <c r="AW85" s="72"/>
      <c r="AX85" s="72"/>
      <c r="AY85" s="73"/>
      <c r="AZ85" s="72"/>
      <c r="BB85" s="72"/>
      <c r="BC85" s="73"/>
      <c r="BD85" s="72"/>
      <c r="BE85" s="72"/>
      <c r="BF85" s="72"/>
      <c r="BG85" s="73"/>
      <c r="BH85" s="73"/>
      <c r="BI85" s="106"/>
      <c r="BJ85" s="73"/>
      <c r="BK85" s="227"/>
      <c r="BL85" s="110"/>
      <c r="BM85" s="110"/>
      <c r="BN85" s="110"/>
      <c r="BO85" s="73"/>
      <c r="BP85" s="110"/>
      <c r="BQ85" s="110"/>
      <c r="BR85" s="110"/>
      <c r="BS85" s="73"/>
      <c r="BT85" s="110"/>
      <c r="BU85" s="110"/>
      <c r="BV85" s="110"/>
      <c r="BW85" s="73"/>
      <c r="BX85" s="274"/>
      <c r="BY85" s="110"/>
      <c r="BZ85" s="110"/>
      <c r="CA85" s="73"/>
      <c r="CB85" s="73">
        <f t="shared" si="483"/>
        <v>0</v>
      </c>
      <c r="CC85" s="106"/>
      <c r="CD85" s="73">
        <f t="shared" si="455"/>
        <v>0</v>
      </c>
      <c r="CE85" s="46" t="s">
        <v>424</v>
      </c>
    </row>
    <row r="86" spans="1:84">
      <c r="A86" s="37" t="s">
        <v>425</v>
      </c>
      <c r="B86" s="69">
        <v>82188</v>
      </c>
      <c r="C86" s="70" t="e">
        <f>'budget anual'!C174</f>
        <v>#REF!</v>
      </c>
      <c r="D86" s="72"/>
      <c r="E86" s="72"/>
      <c r="F86" s="72"/>
      <c r="G86" s="73">
        <f t="shared" ref="G86:G88" si="502">SUM(D86:F86)</f>
        <v>0</v>
      </c>
      <c r="I86" s="72"/>
      <c r="J86" s="72"/>
      <c r="K86" s="73">
        <f t="shared" ref="K86:K88" si="503">SUM(H86:J86)</f>
        <v>0</v>
      </c>
      <c r="L86" s="72"/>
      <c r="M86" s="72"/>
      <c r="N86" s="72"/>
      <c r="O86" s="73">
        <f t="shared" ref="O86:O88" si="504">SUM(L86:N86)</f>
        <v>0</v>
      </c>
      <c r="P86" s="72"/>
      <c r="Q86" s="72"/>
      <c r="R86" s="72"/>
      <c r="S86" s="73">
        <f t="shared" ref="S86:S88" si="505">SUM(P86:R86)</f>
        <v>0</v>
      </c>
      <c r="T86" s="73">
        <f t="shared" ref="T86:T88" si="506">G86+K86+O86+S86</f>
        <v>0</v>
      </c>
      <c r="U86" s="74"/>
      <c r="V86" s="75" t="e">
        <f t="shared" ref="V86:V88" si="507">C86-T86</f>
        <v>#REF!</v>
      </c>
      <c r="W86" s="70" t="e">
        <f>'budget anual'!D174</f>
        <v>#REF!</v>
      </c>
      <c r="X86" s="72"/>
      <c r="Y86" s="72"/>
      <c r="Z86" s="72"/>
      <c r="AA86" s="73">
        <f t="shared" si="490"/>
        <v>0</v>
      </c>
      <c r="AC86" s="72"/>
      <c r="AD86" s="72"/>
      <c r="AE86" s="73">
        <f t="shared" ref="AE86:AE89" si="508">SUM(AB86:AD86)</f>
        <v>0</v>
      </c>
      <c r="AF86" s="72"/>
      <c r="AG86" s="72"/>
      <c r="AH86" s="72"/>
      <c r="AI86" s="73">
        <f t="shared" ref="AI86:AI89" si="509">SUM(AF86:AH86)</f>
        <v>0</v>
      </c>
      <c r="AJ86" s="72"/>
      <c r="AK86" s="72"/>
      <c r="AL86" s="72"/>
      <c r="AM86" s="73">
        <f t="shared" ref="AM86:AM89" si="510">SUM(AJ86:AL86)</f>
        <v>0</v>
      </c>
      <c r="AN86" s="73">
        <f t="shared" si="441"/>
        <v>0</v>
      </c>
      <c r="AO86" s="74"/>
      <c r="AP86" s="73" t="e">
        <f t="shared" si="442"/>
        <v>#REF!</v>
      </c>
      <c r="AQ86" s="70" t="e">
        <f>'budget anual'!E174</f>
        <v>#REF!</v>
      </c>
      <c r="AR86" s="72"/>
      <c r="AS86" s="72"/>
      <c r="AT86" s="72"/>
      <c r="AU86" s="73">
        <f t="shared" ref="AU86:AU89" si="511">SUM(AR86:AT86)</f>
        <v>0</v>
      </c>
      <c r="AW86" s="72"/>
      <c r="AX86" s="72"/>
      <c r="AY86" s="73">
        <f t="shared" ref="AY86:AY89" si="512">SUM(AV86:AX86)</f>
        <v>0</v>
      </c>
      <c r="AZ86" s="72"/>
      <c r="BA86" s="127">
        <v>20000</v>
      </c>
      <c r="BB86" s="72"/>
      <c r="BC86" s="73">
        <f t="shared" ref="BC86:BC89" si="513">SUM(AZ86:BB86)</f>
        <v>20000</v>
      </c>
      <c r="BD86" s="72"/>
      <c r="BE86" s="72"/>
      <c r="BF86" s="72"/>
      <c r="BG86" s="73">
        <f t="shared" ref="BG86:BG89" si="514">SUM(BD86:BF86)</f>
        <v>0</v>
      </c>
      <c r="BH86" s="73">
        <f t="shared" si="478"/>
        <v>20000</v>
      </c>
      <c r="BI86" s="106"/>
      <c r="BJ86" s="73" t="e">
        <f t="shared" si="448"/>
        <v>#REF!</v>
      </c>
      <c r="BK86" s="227">
        <f t="shared" si="449"/>
        <v>62188</v>
      </c>
      <c r="BL86" s="110"/>
      <c r="BM86" s="110"/>
      <c r="BN86" s="110"/>
      <c r="BO86" s="73">
        <f t="shared" ref="BO86:BO89" si="515">SUM(BL86:BN86)</f>
        <v>0</v>
      </c>
      <c r="BP86" s="110"/>
      <c r="BQ86" s="110">
        <v>5000</v>
      </c>
      <c r="BR86" s="110">
        <v>4188.3999999999996</v>
      </c>
      <c r="BS86" s="73">
        <f t="shared" ref="BS86:BS89" si="516">SUM(BP86:BR86)</f>
        <v>9188.4</v>
      </c>
      <c r="BT86" s="110"/>
      <c r="BU86" s="110"/>
      <c r="BV86" s="110"/>
      <c r="BW86" s="73">
        <f t="shared" ref="BW86:BW89" si="517">SUM(BT86:BV86)</f>
        <v>0</v>
      </c>
      <c r="BX86" s="274"/>
      <c r="BY86" s="110"/>
      <c r="BZ86" s="110"/>
      <c r="CA86" s="73">
        <f t="shared" ref="CA86:CA89" si="518">SUM(BX86:BZ86)</f>
        <v>0</v>
      </c>
      <c r="CB86" s="73">
        <f t="shared" si="483"/>
        <v>9188.4</v>
      </c>
      <c r="CC86" s="106"/>
      <c r="CD86" s="73">
        <f t="shared" si="455"/>
        <v>52999.6</v>
      </c>
      <c r="CE86" s="37" t="s">
        <v>425</v>
      </c>
    </row>
    <row r="87" spans="1:84">
      <c r="A87" s="37" t="s">
        <v>426</v>
      </c>
      <c r="B87" s="69">
        <v>12485</v>
      </c>
      <c r="C87" s="70" t="e">
        <f>'budget anual'!C175</f>
        <v>#REF!</v>
      </c>
      <c r="D87" s="72"/>
      <c r="E87" s="72"/>
      <c r="F87" s="72"/>
      <c r="G87" s="73">
        <f t="shared" si="502"/>
        <v>0</v>
      </c>
      <c r="I87" s="72"/>
      <c r="J87" s="72"/>
      <c r="K87" s="73">
        <f t="shared" si="503"/>
        <v>0</v>
      </c>
      <c r="L87" s="72"/>
      <c r="M87" s="72"/>
      <c r="N87" s="72"/>
      <c r="O87" s="73">
        <f t="shared" si="504"/>
        <v>0</v>
      </c>
      <c r="P87" s="72"/>
      <c r="Q87" s="72"/>
      <c r="R87" s="72"/>
      <c r="S87" s="73">
        <f t="shared" si="505"/>
        <v>0</v>
      </c>
      <c r="T87" s="73">
        <f t="shared" si="506"/>
        <v>0</v>
      </c>
      <c r="U87" s="74"/>
      <c r="V87" s="75" t="e">
        <f t="shared" si="507"/>
        <v>#REF!</v>
      </c>
      <c r="W87" s="70" t="e">
        <f>'budget anual'!D175</f>
        <v>#REF!</v>
      </c>
      <c r="X87" s="72"/>
      <c r="Y87" s="72"/>
      <c r="Z87" s="72"/>
      <c r="AA87" s="73">
        <f t="shared" si="490"/>
        <v>0</v>
      </c>
      <c r="AC87" s="72"/>
      <c r="AD87" s="72"/>
      <c r="AE87" s="73">
        <f t="shared" si="508"/>
        <v>0</v>
      </c>
      <c r="AF87" s="72"/>
      <c r="AG87" s="72">
        <v>7000</v>
      </c>
      <c r="AH87" s="72"/>
      <c r="AI87" s="73">
        <f t="shared" si="509"/>
        <v>7000</v>
      </c>
      <c r="AJ87" s="72"/>
      <c r="AK87" s="72"/>
      <c r="AL87" s="72"/>
      <c r="AM87" s="73">
        <f t="shared" si="510"/>
        <v>0</v>
      </c>
      <c r="AN87" s="73">
        <f t="shared" si="441"/>
        <v>7000</v>
      </c>
      <c r="AO87" s="74"/>
      <c r="AP87" s="73" t="e">
        <f t="shared" si="442"/>
        <v>#REF!</v>
      </c>
      <c r="AQ87" s="70">
        <f>'budget anual'!E175</f>
        <v>5485</v>
      </c>
      <c r="AR87" s="72"/>
      <c r="AS87" s="72">
        <v>4404.2299999999996</v>
      </c>
      <c r="AT87" s="72"/>
      <c r="AU87" s="73">
        <f t="shared" si="511"/>
        <v>4404.2299999999996</v>
      </c>
      <c r="AV87" s="72">
        <v>1080.8399999999999</v>
      </c>
      <c r="AW87" s="72"/>
      <c r="AX87" s="72"/>
      <c r="AY87" s="73">
        <f t="shared" si="512"/>
        <v>1080.8399999999999</v>
      </c>
      <c r="AZ87" s="72"/>
      <c r="BB87" s="72"/>
      <c r="BC87" s="73">
        <f t="shared" si="513"/>
        <v>0</v>
      </c>
      <c r="BD87" s="72"/>
      <c r="BE87" s="72"/>
      <c r="BF87" s="72"/>
      <c r="BG87" s="73">
        <f t="shared" si="514"/>
        <v>0</v>
      </c>
      <c r="BH87" s="73">
        <f t="shared" si="478"/>
        <v>5485.07</v>
      </c>
      <c r="BI87" s="106"/>
      <c r="BJ87" s="73" t="e">
        <f t="shared" si="448"/>
        <v>#REF!</v>
      </c>
      <c r="BK87" s="227">
        <f t="shared" si="449"/>
        <v>-6.9999999999708962E-2</v>
      </c>
      <c r="BL87" s="110"/>
      <c r="BM87" s="110"/>
      <c r="BN87" s="110"/>
      <c r="BO87" s="73">
        <f t="shared" si="515"/>
        <v>0</v>
      </c>
      <c r="BP87" s="110"/>
      <c r="BQ87" s="110"/>
      <c r="BR87" s="110"/>
      <c r="BS87" s="73">
        <f t="shared" si="516"/>
        <v>0</v>
      </c>
      <c r="BT87" s="110"/>
      <c r="BU87" s="110"/>
      <c r="BV87" s="110"/>
      <c r="BW87" s="73">
        <f t="shared" si="517"/>
        <v>0</v>
      </c>
      <c r="BX87" s="274"/>
      <c r="BY87" s="110"/>
      <c r="BZ87" s="110"/>
      <c r="CA87" s="73">
        <f t="shared" si="518"/>
        <v>0</v>
      </c>
      <c r="CB87" s="73">
        <f t="shared" si="483"/>
        <v>0</v>
      </c>
      <c r="CC87" s="106"/>
      <c r="CD87" s="73">
        <f t="shared" si="455"/>
        <v>-6.9999999999708962E-2</v>
      </c>
      <c r="CE87" s="37" t="s">
        <v>426</v>
      </c>
    </row>
    <row r="88" spans="1:84">
      <c r="A88" s="37" t="s">
        <v>427</v>
      </c>
      <c r="B88" s="69">
        <v>39296</v>
      </c>
      <c r="C88" s="70" t="e">
        <f>'budget anual'!C176</f>
        <v>#REF!</v>
      </c>
      <c r="D88" s="72"/>
      <c r="E88" s="72"/>
      <c r="F88" s="72"/>
      <c r="G88" s="73">
        <f t="shared" si="502"/>
        <v>0</v>
      </c>
      <c r="I88" s="72"/>
      <c r="J88" s="72"/>
      <c r="K88" s="73">
        <f t="shared" si="503"/>
        <v>0</v>
      </c>
      <c r="L88" s="72"/>
      <c r="M88" s="72"/>
      <c r="N88" s="72"/>
      <c r="O88" s="73">
        <f t="shared" si="504"/>
        <v>0</v>
      </c>
      <c r="P88" s="72"/>
      <c r="Q88" s="72"/>
      <c r="R88" s="72"/>
      <c r="S88" s="73">
        <f t="shared" si="505"/>
        <v>0</v>
      </c>
      <c r="T88" s="73">
        <f t="shared" si="506"/>
        <v>0</v>
      </c>
      <c r="U88" s="74"/>
      <c r="V88" s="75" t="e">
        <f t="shared" si="507"/>
        <v>#REF!</v>
      </c>
      <c r="W88" s="70" t="e">
        <f>'budget anual'!D176</f>
        <v>#REF!</v>
      </c>
      <c r="X88" s="72"/>
      <c r="Y88" s="72"/>
      <c r="Z88" s="72"/>
      <c r="AA88" s="73">
        <f t="shared" si="490"/>
        <v>0</v>
      </c>
      <c r="AC88" s="72"/>
      <c r="AD88" s="72"/>
      <c r="AE88" s="73">
        <f t="shared" si="508"/>
        <v>0</v>
      </c>
      <c r="AF88" s="72">
        <v>10000</v>
      </c>
      <c r="AG88" s="72"/>
      <c r="AH88" s="72"/>
      <c r="AI88" s="73">
        <f t="shared" si="509"/>
        <v>10000</v>
      </c>
      <c r="AJ88" s="72"/>
      <c r="AK88" s="72"/>
      <c r="AL88" s="72"/>
      <c r="AM88" s="73">
        <f t="shared" si="510"/>
        <v>0</v>
      </c>
      <c r="AN88" s="73">
        <f t="shared" si="441"/>
        <v>10000</v>
      </c>
      <c r="AO88" s="74"/>
      <c r="AP88" s="73" t="e">
        <f t="shared" si="442"/>
        <v>#REF!</v>
      </c>
      <c r="AQ88" s="70" t="e">
        <f>'budget anual'!E176</f>
        <v>#REF!</v>
      </c>
      <c r="AR88" s="72"/>
      <c r="AS88" s="72"/>
      <c r="AT88" s="72"/>
      <c r="AU88" s="73">
        <f t="shared" si="511"/>
        <v>0</v>
      </c>
      <c r="AW88" s="72"/>
      <c r="AX88" s="72">
        <v>5000</v>
      </c>
      <c r="AY88" s="73">
        <f t="shared" si="512"/>
        <v>5000</v>
      </c>
      <c r="AZ88" s="72"/>
      <c r="BB88" s="72"/>
      <c r="BC88" s="73">
        <f t="shared" si="513"/>
        <v>0</v>
      </c>
      <c r="BD88" s="72"/>
      <c r="BE88" s="72"/>
      <c r="BF88" s="72"/>
      <c r="BG88" s="73">
        <f t="shared" si="514"/>
        <v>0</v>
      </c>
      <c r="BH88" s="73">
        <f t="shared" si="478"/>
        <v>5000</v>
      </c>
      <c r="BI88" s="106"/>
      <c r="BJ88" s="73" t="e">
        <f t="shared" si="448"/>
        <v>#REF!</v>
      </c>
      <c r="BK88" s="227">
        <f t="shared" si="449"/>
        <v>24296</v>
      </c>
      <c r="BL88" s="110"/>
      <c r="BM88" s="110">
        <v>12500</v>
      </c>
      <c r="BN88" s="110"/>
      <c r="BO88" s="73">
        <f t="shared" si="515"/>
        <v>12500</v>
      </c>
      <c r="BP88" s="110"/>
      <c r="BQ88" s="110">
        <v>539.79999999999995</v>
      </c>
      <c r="BR88" s="110">
        <v>771.9</v>
      </c>
      <c r="BS88" s="73">
        <f t="shared" si="516"/>
        <v>1311.6999999999998</v>
      </c>
      <c r="BT88" s="110">
        <v>1156.9000000000001</v>
      </c>
      <c r="BU88" s="110">
        <f>600+1112.68</f>
        <v>1712.68</v>
      </c>
      <c r="BV88" s="110">
        <f>917.99+125</f>
        <v>1042.99</v>
      </c>
      <c r="BW88" s="73">
        <f t="shared" si="517"/>
        <v>3912.5699999999997</v>
      </c>
      <c r="BX88" s="274">
        <v>-7006.22</v>
      </c>
      <c r="BY88" s="110"/>
      <c r="BZ88" s="110"/>
      <c r="CA88" s="73">
        <f t="shared" si="518"/>
        <v>-7006.22</v>
      </c>
      <c r="CB88" s="73">
        <f t="shared" si="483"/>
        <v>10718.05</v>
      </c>
      <c r="CC88" s="106"/>
      <c r="CD88" s="73">
        <f t="shared" si="455"/>
        <v>13577.95</v>
      </c>
      <c r="CE88" s="37" t="s">
        <v>427</v>
      </c>
    </row>
    <row r="89" spans="1:84" ht="15.95" thickBot="1">
      <c r="A89" s="37" t="s">
        <v>428</v>
      </c>
      <c r="B89" s="69">
        <v>1000</v>
      </c>
      <c r="C89" s="70">
        <v>0</v>
      </c>
      <c r="D89" s="72"/>
      <c r="E89" s="72"/>
      <c r="F89" s="72"/>
      <c r="G89" s="73"/>
      <c r="I89" s="72"/>
      <c r="J89" s="72"/>
      <c r="K89" s="73"/>
      <c r="L89" s="72"/>
      <c r="M89" s="72"/>
      <c r="N89" s="72"/>
      <c r="O89" s="73"/>
      <c r="P89" s="72"/>
      <c r="Q89" s="72"/>
      <c r="R89" s="72"/>
      <c r="S89" s="73"/>
      <c r="T89" s="73">
        <f t="shared" si="488"/>
        <v>0</v>
      </c>
      <c r="U89" s="74"/>
      <c r="V89" s="75">
        <f t="shared" si="489"/>
        <v>0</v>
      </c>
      <c r="W89" s="70" t="e">
        <f>'budget anual'!D181</f>
        <v>#REF!</v>
      </c>
      <c r="X89" s="72"/>
      <c r="Y89" s="72">
        <v>588.92999999999995</v>
      </c>
      <c r="Z89" s="72"/>
      <c r="AA89" s="73">
        <f t="shared" si="490"/>
        <v>588.92999999999995</v>
      </c>
      <c r="AC89" s="72"/>
      <c r="AD89" s="72"/>
      <c r="AE89" s="73">
        <f t="shared" si="508"/>
        <v>0</v>
      </c>
      <c r="AF89" s="72"/>
      <c r="AG89" s="72"/>
      <c r="AH89" s="72"/>
      <c r="AI89" s="73">
        <f t="shared" si="509"/>
        <v>0</v>
      </c>
      <c r="AJ89" s="72"/>
      <c r="AK89" s="72"/>
      <c r="AL89" s="72"/>
      <c r="AM89" s="73">
        <f t="shared" si="510"/>
        <v>0</v>
      </c>
      <c r="AN89" s="73">
        <f t="shared" si="441"/>
        <v>588.92999999999995</v>
      </c>
      <c r="AO89" s="74"/>
      <c r="AP89" s="73" t="e">
        <f t="shared" si="442"/>
        <v>#REF!</v>
      </c>
      <c r="AQ89" s="70">
        <f>'budget anual'!E181</f>
        <v>411.07</v>
      </c>
      <c r="AR89" s="72"/>
      <c r="AS89" s="72"/>
      <c r="AT89" s="72">
        <v>490.53</v>
      </c>
      <c r="AU89" s="73">
        <f t="shared" si="511"/>
        <v>490.53</v>
      </c>
      <c r="AW89" s="72"/>
      <c r="AX89" s="72"/>
      <c r="AY89" s="73">
        <f t="shared" si="512"/>
        <v>0</v>
      </c>
      <c r="AZ89" s="72"/>
      <c r="BB89" s="72"/>
      <c r="BC89" s="73">
        <f t="shared" si="513"/>
        <v>0</v>
      </c>
      <c r="BD89" s="72"/>
      <c r="BE89" s="72"/>
      <c r="BF89" s="72"/>
      <c r="BG89" s="73">
        <f t="shared" si="514"/>
        <v>0</v>
      </c>
      <c r="BH89" s="73">
        <f t="shared" si="478"/>
        <v>490.53</v>
      </c>
      <c r="BI89" s="106"/>
      <c r="BJ89" s="73" t="e">
        <f t="shared" si="448"/>
        <v>#REF!</v>
      </c>
      <c r="BK89" s="227">
        <f t="shared" si="449"/>
        <v>-79.459999999999923</v>
      </c>
      <c r="BL89" s="110"/>
      <c r="BM89" s="110"/>
      <c r="BN89" s="110"/>
      <c r="BO89" s="73">
        <f t="shared" si="515"/>
        <v>0</v>
      </c>
      <c r="BP89" s="110"/>
      <c r="BQ89" s="110"/>
      <c r="BR89" s="110"/>
      <c r="BS89" s="73">
        <f t="shared" si="516"/>
        <v>0</v>
      </c>
      <c r="BT89" s="110"/>
      <c r="BU89" s="110"/>
      <c r="BV89" s="110"/>
      <c r="BW89" s="73">
        <f t="shared" si="517"/>
        <v>0</v>
      </c>
      <c r="BX89" s="274"/>
      <c r="BY89" s="110"/>
      <c r="BZ89" s="110"/>
      <c r="CA89" s="73">
        <f t="shared" si="518"/>
        <v>0</v>
      </c>
      <c r="CB89" s="73">
        <f t="shared" si="483"/>
        <v>0</v>
      </c>
      <c r="CC89" s="106"/>
      <c r="CD89" s="73">
        <f t="shared" si="455"/>
        <v>-79.459999999999923</v>
      </c>
      <c r="CE89" s="37" t="s">
        <v>428</v>
      </c>
    </row>
    <row r="90" spans="1:84" ht="15.95" thickBot="1">
      <c r="A90" s="37"/>
      <c r="B90" s="94">
        <f>SUM(B71:B89)</f>
        <v>284650.23999999999</v>
      </c>
      <c r="C90" s="94" t="e">
        <f t="shared" ref="C90:T90" si="519">SUM(C72:C89)</f>
        <v>#REF!</v>
      </c>
      <c r="D90" s="78">
        <f t="shared" si="519"/>
        <v>0</v>
      </c>
      <c r="E90" s="78">
        <f t="shared" si="519"/>
        <v>0</v>
      </c>
      <c r="F90" s="78">
        <f t="shared" si="519"/>
        <v>1056</v>
      </c>
      <c r="G90" s="80">
        <f t="shared" si="519"/>
        <v>1056</v>
      </c>
      <c r="H90" s="78">
        <f t="shared" si="519"/>
        <v>1936.8</v>
      </c>
      <c r="I90" s="78">
        <f t="shared" si="519"/>
        <v>1914.56</v>
      </c>
      <c r="J90" s="78">
        <f t="shared" si="519"/>
        <v>-691.75</v>
      </c>
      <c r="K90" s="80">
        <f t="shared" si="519"/>
        <v>3159.6100000000006</v>
      </c>
      <c r="L90" s="78">
        <f t="shared" si="519"/>
        <v>15575.4</v>
      </c>
      <c r="M90" s="78">
        <f t="shared" si="519"/>
        <v>12471.4</v>
      </c>
      <c r="N90" s="78">
        <f t="shared" si="519"/>
        <v>178.95</v>
      </c>
      <c r="O90" s="80">
        <f t="shared" si="519"/>
        <v>28225.75</v>
      </c>
      <c r="P90" s="78">
        <f t="shared" si="519"/>
        <v>2521.19</v>
      </c>
      <c r="Q90" s="78">
        <f t="shared" si="519"/>
        <v>1679.79</v>
      </c>
      <c r="R90" s="78">
        <f t="shared" si="519"/>
        <v>945.65</v>
      </c>
      <c r="S90" s="80">
        <f t="shared" si="519"/>
        <v>5146.63</v>
      </c>
      <c r="T90" s="81">
        <f t="shared" si="519"/>
        <v>37587.990000000005</v>
      </c>
      <c r="U90" s="82" t="e">
        <f>T90/C90</f>
        <v>#REF!</v>
      </c>
      <c r="V90" s="83" t="e">
        <f t="shared" ref="V90:AN90" si="520">SUM(V72:V89)</f>
        <v>#REF!</v>
      </c>
      <c r="W90" s="94" t="e">
        <f t="shared" si="520"/>
        <v>#REF!</v>
      </c>
      <c r="X90" s="109">
        <f t="shared" si="520"/>
        <v>2116</v>
      </c>
      <c r="Y90" s="78">
        <f t="shared" si="520"/>
        <v>2331.06</v>
      </c>
      <c r="Z90" s="78">
        <f t="shared" si="520"/>
        <v>3090.7</v>
      </c>
      <c r="AA90" s="80">
        <f t="shared" si="520"/>
        <v>7537.76</v>
      </c>
      <c r="AB90" s="78">
        <f t="shared" si="520"/>
        <v>1753</v>
      </c>
      <c r="AC90" s="78">
        <f t="shared" si="520"/>
        <v>-769.3</v>
      </c>
      <c r="AD90" s="78">
        <f t="shared" si="520"/>
        <v>-129.16999999999996</v>
      </c>
      <c r="AE90" s="80">
        <f t="shared" si="520"/>
        <v>854.5300000000002</v>
      </c>
      <c r="AF90" s="78">
        <f t="shared" si="520"/>
        <v>12333.1</v>
      </c>
      <c r="AG90" s="78">
        <f t="shared" si="520"/>
        <v>7339.7</v>
      </c>
      <c r="AH90" s="78">
        <f t="shared" si="520"/>
        <v>776.36</v>
      </c>
      <c r="AI90" s="80">
        <f t="shared" si="520"/>
        <v>20449.16</v>
      </c>
      <c r="AJ90" s="78">
        <f t="shared" si="520"/>
        <v>3006.59</v>
      </c>
      <c r="AK90" s="78">
        <f t="shared" si="520"/>
        <v>3694.18</v>
      </c>
      <c r="AL90" s="78">
        <f t="shared" si="520"/>
        <v>-1081.71</v>
      </c>
      <c r="AM90" s="80">
        <f t="shared" si="520"/>
        <v>5619.0599999999995</v>
      </c>
      <c r="AN90" s="81">
        <f t="shared" si="520"/>
        <v>34460.51</v>
      </c>
      <c r="AO90" s="82" t="e">
        <f>AN90/W90</f>
        <v>#REF!</v>
      </c>
      <c r="AP90" s="83" t="e">
        <f t="shared" ref="AP90:BH90" si="521">SUM(AP72:AP89)</f>
        <v>#REF!</v>
      </c>
      <c r="AQ90" s="94" t="e">
        <f t="shared" si="521"/>
        <v>#REF!</v>
      </c>
      <c r="AR90" s="109">
        <f t="shared" si="521"/>
        <v>552.1</v>
      </c>
      <c r="AS90" s="78">
        <f t="shared" si="521"/>
        <v>5338.03</v>
      </c>
      <c r="AT90" s="78">
        <f t="shared" si="521"/>
        <v>1716.46</v>
      </c>
      <c r="AU90" s="80">
        <f t="shared" si="521"/>
        <v>7606.5899999999992</v>
      </c>
      <c r="AV90" s="109">
        <f t="shared" si="521"/>
        <v>10744.88</v>
      </c>
      <c r="AW90" s="78">
        <f t="shared" si="521"/>
        <v>380.66999999999985</v>
      </c>
      <c r="AX90" s="78">
        <f t="shared" si="521"/>
        <v>5727.26</v>
      </c>
      <c r="AY90" s="80">
        <f t="shared" si="521"/>
        <v>16852.809999999998</v>
      </c>
      <c r="AZ90" s="109">
        <f t="shared" si="521"/>
        <v>3306.66</v>
      </c>
      <c r="BA90" s="191">
        <f t="shared" si="521"/>
        <v>19436.77</v>
      </c>
      <c r="BB90" s="78">
        <f t="shared" si="521"/>
        <v>1532.02</v>
      </c>
      <c r="BC90" s="80">
        <f t="shared" si="521"/>
        <v>24275.45</v>
      </c>
      <c r="BD90" s="109">
        <f t="shared" si="521"/>
        <v>1970.85</v>
      </c>
      <c r="BE90" s="78">
        <f t="shared" si="521"/>
        <v>2038.2</v>
      </c>
      <c r="BF90" s="78">
        <f t="shared" si="521"/>
        <v>-920.88</v>
      </c>
      <c r="BG90" s="80">
        <f t="shared" si="521"/>
        <v>3088.17</v>
      </c>
      <c r="BH90" s="81">
        <f t="shared" si="521"/>
        <v>51823.02</v>
      </c>
      <c r="BI90" s="121" t="e">
        <f>BH90/AQ90</f>
        <v>#REF!</v>
      </c>
      <c r="BJ90" s="123" t="e">
        <f t="shared" ref="BJ90:CB90" si="522">SUM(BJ72:BJ89)</f>
        <v>#REF!</v>
      </c>
      <c r="BK90" s="229">
        <f t="shared" si="522"/>
        <v>160778.72</v>
      </c>
      <c r="BL90" s="78">
        <f t="shared" si="522"/>
        <v>-184.7</v>
      </c>
      <c r="BM90" s="78">
        <f t="shared" si="522"/>
        <v>14950</v>
      </c>
      <c r="BN90" s="78">
        <f t="shared" si="522"/>
        <v>268.87</v>
      </c>
      <c r="BO90" s="80">
        <f t="shared" si="522"/>
        <v>15034.17</v>
      </c>
      <c r="BP90" s="78">
        <f t="shared" si="522"/>
        <v>2319</v>
      </c>
      <c r="BQ90" s="78">
        <f t="shared" si="522"/>
        <v>6471.51</v>
      </c>
      <c r="BR90" s="78">
        <f t="shared" si="522"/>
        <v>7353.0899999999992</v>
      </c>
      <c r="BS90" s="80">
        <f t="shared" si="522"/>
        <v>16143.599999999999</v>
      </c>
      <c r="BT90" s="78">
        <f t="shared" si="522"/>
        <v>5693.3899999999994</v>
      </c>
      <c r="BU90" s="78">
        <f t="shared" si="522"/>
        <v>6727.7400000000007</v>
      </c>
      <c r="BV90" s="78">
        <f t="shared" si="522"/>
        <v>4952.63</v>
      </c>
      <c r="BW90" s="80">
        <f t="shared" si="522"/>
        <v>17373.760000000002</v>
      </c>
      <c r="BX90" s="275">
        <f t="shared" si="522"/>
        <v>-7116.7300000000005</v>
      </c>
      <c r="BY90" s="78">
        <f t="shared" si="522"/>
        <v>1840.1799999999998</v>
      </c>
      <c r="BZ90" s="78">
        <f t="shared" si="522"/>
        <v>1306.47</v>
      </c>
      <c r="CA90" s="80">
        <f t="shared" si="522"/>
        <v>-3970.08</v>
      </c>
      <c r="CB90" s="81">
        <f t="shared" si="522"/>
        <v>44581.45</v>
      </c>
      <c r="CC90" s="121">
        <f>CB90/BK90</f>
        <v>0.27728451874725707</v>
      </c>
      <c r="CD90" s="77">
        <f>SUM(CD72:CD89)</f>
        <v>116197.26999999999</v>
      </c>
      <c r="CE90" s="37"/>
      <c r="CF90" s="241"/>
    </row>
    <row r="91" spans="1:84" ht="15.95" thickBot="1">
      <c r="A91" s="39" t="s">
        <v>429</v>
      </c>
      <c r="B91" s="95"/>
      <c r="C91" s="90"/>
      <c r="D91" s="72"/>
      <c r="E91" s="72"/>
      <c r="F91" s="72"/>
      <c r="G91" s="73"/>
      <c r="I91" s="72"/>
      <c r="J91" s="72"/>
      <c r="K91" s="73"/>
      <c r="L91" s="72"/>
      <c r="M91" s="72"/>
      <c r="N91" s="72"/>
      <c r="O91" s="73"/>
      <c r="P91" s="72"/>
      <c r="Q91" s="72"/>
      <c r="R91" s="72"/>
      <c r="S91" s="73"/>
      <c r="T91" s="73"/>
      <c r="U91" s="74"/>
      <c r="V91" s="75"/>
      <c r="W91" s="90"/>
      <c r="X91" s="72"/>
      <c r="Y91" s="72"/>
      <c r="Z91" s="72"/>
      <c r="AA91" s="73"/>
      <c r="AC91" s="72"/>
      <c r="AD91" s="72"/>
      <c r="AE91" s="73"/>
      <c r="AF91" s="72"/>
      <c r="AG91" s="72"/>
      <c r="AH91" s="72"/>
      <c r="AI91" s="73"/>
      <c r="AJ91" s="72"/>
      <c r="AK91" s="72"/>
      <c r="AL91" s="72"/>
      <c r="AM91" s="73"/>
      <c r="AN91" s="73"/>
      <c r="AO91" s="74"/>
      <c r="AP91" s="75"/>
      <c r="AQ91" s="90"/>
      <c r="AR91" s="72"/>
      <c r="AS91" s="72"/>
      <c r="AT91" s="72"/>
      <c r="AU91" s="73"/>
      <c r="AW91" s="72"/>
      <c r="AX91" s="72"/>
      <c r="AY91" s="73"/>
      <c r="AZ91" s="72"/>
      <c r="BB91" s="72"/>
      <c r="BC91" s="73"/>
      <c r="BD91" s="72"/>
      <c r="BE91" s="72"/>
      <c r="BF91" s="72"/>
      <c r="BG91" s="73"/>
      <c r="BH91" s="73"/>
      <c r="BI91" s="106"/>
      <c r="BJ91" s="73"/>
      <c r="BK91" s="64"/>
      <c r="BL91" s="110"/>
      <c r="BM91" s="110"/>
      <c r="BN91" s="110"/>
      <c r="BO91" s="73"/>
      <c r="BP91" s="110"/>
      <c r="BQ91" s="110"/>
      <c r="BR91" s="110"/>
      <c r="BS91" s="73"/>
      <c r="BT91" s="110"/>
      <c r="BU91" s="110"/>
      <c r="BV91" s="110"/>
      <c r="BW91" s="73"/>
      <c r="BX91" s="274"/>
      <c r="BY91" s="110"/>
      <c r="BZ91" s="110"/>
      <c r="CA91" s="73"/>
      <c r="CB91" s="73"/>
      <c r="CC91" s="106"/>
      <c r="CD91" s="73"/>
      <c r="CE91" s="39" t="s">
        <v>429</v>
      </c>
    </row>
    <row r="92" spans="1:84">
      <c r="A92" s="37" t="s">
        <v>88</v>
      </c>
      <c r="B92" s="69">
        <f>2350/2</f>
        <v>1175</v>
      </c>
      <c r="C92" s="70">
        <v>0</v>
      </c>
      <c r="D92" s="72"/>
      <c r="E92" s="72"/>
      <c r="F92" s="72"/>
      <c r="G92" s="73">
        <f t="shared" ref="G92:G93" si="523">SUM(D92:F92)</f>
        <v>0</v>
      </c>
      <c r="I92" s="72"/>
      <c r="J92" s="72"/>
      <c r="K92" s="73">
        <f t="shared" ref="K92:K93" si="524">SUM(H92:J92)</f>
        <v>0</v>
      </c>
      <c r="L92" s="72"/>
      <c r="M92" s="72"/>
      <c r="N92" s="72"/>
      <c r="O92" s="73">
        <f t="shared" ref="O92:O93" si="525">SUM(L92:N92)</f>
        <v>0</v>
      </c>
      <c r="P92" s="72"/>
      <c r="Q92" s="72"/>
      <c r="R92" s="72"/>
      <c r="S92" s="73">
        <f t="shared" ref="S92:S93" si="526">SUM(P92:R92)</f>
        <v>0</v>
      </c>
      <c r="T92" s="73">
        <f t="shared" ref="T92:T93" si="527">G92+K92+O92+S92</f>
        <v>0</v>
      </c>
      <c r="U92" s="74"/>
      <c r="V92" s="75">
        <f t="shared" ref="V92:V93" si="528">C92-T92</f>
        <v>0</v>
      </c>
      <c r="W92" s="70">
        <v>0</v>
      </c>
      <c r="X92" s="72"/>
      <c r="Y92" s="72"/>
      <c r="Z92" s="72"/>
      <c r="AA92" s="73">
        <f t="shared" ref="AA92:AA93" si="529">SUM(X92:Z92)</f>
        <v>0</v>
      </c>
      <c r="AC92" s="72"/>
      <c r="AD92" s="72"/>
      <c r="AE92" s="73">
        <f t="shared" ref="AE92:AE93" si="530">SUM(AB92:AD92)</f>
        <v>0</v>
      </c>
      <c r="AF92" s="72"/>
      <c r="AG92" s="72"/>
      <c r="AH92" s="72"/>
      <c r="AI92" s="73">
        <f t="shared" ref="AI92:AI93" si="531">SUM(AF92:AH92)</f>
        <v>0</v>
      </c>
      <c r="AJ92" s="72"/>
      <c r="AK92" s="72"/>
      <c r="AL92" s="72"/>
      <c r="AM92" s="73">
        <f t="shared" ref="AM92:AM93" si="532">SUM(AJ92:AL92)</f>
        <v>0</v>
      </c>
      <c r="AN92" s="73">
        <f t="shared" ref="AN92:AN93" si="533">AA92+AE92+AI92+AM92</f>
        <v>0</v>
      </c>
      <c r="AO92" s="74"/>
      <c r="AP92" s="73">
        <f t="shared" ref="AP92:AP93" si="534">(V92+W92)-AN92</f>
        <v>0</v>
      </c>
      <c r="AQ92" s="70">
        <v>0</v>
      </c>
      <c r="AR92" s="72"/>
      <c r="AS92" s="72"/>
      <c r="AT92" s="72"/>
      <c r="AU92" s="73">
        <f t="shared" ref="AU92:AU93" si="535">SUM(AR92:AT92)</f>
        <v>0</v>
      </c>
      <c r="AW92" s="72"/>
      <c r="AX92" s="72"/>
      <c r="AY92" s="73">
        <f t="shared" ref="AY92:AY93" si="536">SUM(AV92:AX92)</f>
        <v>0</v>
      </c>
      <c r="AZ92" s="72"/>
      <c r="BB92" s="72"/>
      <c r="BC92" s="73">
        <f t="shared" ref="BC92:BC93" si="537">SUM(AZ92:BB92)</f>
        <v>0</v>
      </c>
      <c r="BD92" s="72"/>
      <c r="BE92" s="72"/>
      <c r="BF92" s="72"/>
      <c r="BG92" s="73">
        <f t="shared" ref="BG92:BG93" si="538">SUM(BD92:BF92)</f>
        <v>0</v>
      </c>
      <c r="BH92" s="73">
        <f t="shared" ref="BH92:BH93" si="539">AU92+AY92+BC92+BG92</f>
        <v>0</v>
      </c>
      <c r="BI92" s="106"/>
      <c r="BJ92" s="73">
        <f t="shared" ref="BJ92:BJ93" si="540">(AP92+AQ92)-BH92</f>
        <v>0</v>
      </c>
      <c r="BK92" s="227">
        <f t="shared" ref="BK92:BK93" si="541">B92-T92-AN92-BH92</f>
        <v>1175</v>
      </c>
      <c r="BL92" s="110"/>
      <c r="BM92" s="110"/>
      <c r="BN92" s="110"/>
      <c r="BO92" s="73">
        <f t="shared" ref="BO92:BO93" si="542">SUM(BL92:BN92)</f>
        <v>0</v>
      </c>
      <c r="BP92" s="110"/>
      <c r="BQ92" s="110"/>
      <c r="BR92" s="110"/>
      <c r="BS92" s="73">
        <f t="shared" ref="BS92:BS93" si="543">SUM(BP92:BR92)</f>
        <v>0</v>
      </c>
      <c r="BT92" s="110"/>
      <c r="BU92" s="110"/>
      <c r="BV92" s="110"/>
      <c r="BW92" s="73">
        <f t="shared" ref="BW92:BW93" si="544">SUM(BT92:BV92)</f>
        <v>0</v>
      </c>
      <c r="BX92" s="274"/>
      <c r="BY92" s="110"/>
      <c r="BZ92" s="110"/>
      <c r="CA92" s="73">
        <f t="shared" ref="CA92:CA93" si="545">SUM(BX92:BZ92)</f>
        <v>0</v>
      </c>
      <c r="CB92" s="73">
        <f t="shared" ref="CB92:CB93" si="546">BO92+BS92+BW92+CA92</f>
        <v>0</v>
      </c>
      <c r="CC92" s="106"/>
      <c r="CD92" s="73">
        <f t="shared" ref="CD92:CD93" si="547">BK92-CB92</f>
        <v>1175</v>
      </c>
      <c r="CE92" s="37" t="s">
        <v>88</v>
      </c>
    </row>
    <row r="93" spans="1:84" ht="21.95" thickBot="1">
      <c r="A93" s="37" t="s">
        <v>90</v>
      </c>
      <c r="B93" s="69">
        <v>2250</v>
      </c>
      <c r="C93" s="70">
        <v>0</v>
      </c>
      <c r="D93" s="72"/>
      <c r="E93" s="72"/>
      <c r="F93" s="72"/>
      <c r="G93" s="73">
        <f t="shared" si="523"/>
        <v>0</v>
      </c>
      <c r="I93" s="72"/>
      <c r="J93" s="72"/>
      <c r="K93" s="73">
        <f t="shared" si="524"/>
        <v>0</v>
      </c>
      <c r="L93" s="72"/>
      <c r="M93" s="72"/>
      <c r="N93" s="72"/>
      <c r="O93" s="73">
        <f t="shared" si="525"/>
        <v>0</v>
      </c>
      <c r="P93" s="72"/>
      <c r="Q93" s="72"/>
      <c r="R93" s="72"/>
      <c r="S93" s="73">
        <f t="shared" si="526"/>
        <v>0</v>
      </c>
      <c r="T93" s="73">
        <f t="shared" si="527"/>
        <v>0</v>
      </c>
      <c r="U93" s="74"/>
      <c r="V93" s="75">
        <f t="shared" si="528"/>
        <v>0</v>
      </c>
      <c r="W93" s="70">
        <v>0</v>
      </c>
      <c r="X93" s="72"/>
      <c r="Y93" s="72"/>
      <c r="Z93" s="72"/>
      <c r="AA93" s="73">
        <f t="shared" si="529"/>
        <v>0</v>
      </c>
      <c r="AC93" s="72"/>
      <c r="AD93" s="72"/>
      <c r="AE93" s="73">
        <f t="shared" si="530"/>
        <v>0</v>
      </c>
      <c r="AF93" s="72"/>
      <c r="AG93" s="72"/>
      <c r="AH93" s="72"/>
      <c r="AI93" s="73">
        <f t="shared" si="531"/>
        <v>0</v>
      </c>
      <c r="AJ93" s="72"/>
      <c r="AK93" s="72"/>
      <c r="AL93" s="72"/>
      <c r="AM93" s="73">
        <f t="shared" si="532"/>
        <v>0</v>
      </c>
      <c r="AN93" s="73">
        <f t="shared" si="533"/>
        <v>0</v>
      </c>
      <c r="AO93" s="74"/>
      <c r="AP93" s="73">
        <f t="shared" si="534"/>
        <v>0</v>
      </c>
      <c r="AQ93" s="70">
        <v>0</v>
      </c>
      <c r="AR93" s="72"/>
      <c r="AS93" s="72"/>
      <c r="AT93" s="72"/>
      <c r="AU93" s="73">
        <f t="shared" si="535"/>
        <v>0</v>
      </c>
      <c r="AW93" s="72"/>
      <c r="AX93" s="72"/>
      <c r="AY93" s="73">
        <f t="shared" si="536"/>
        <v>0</v>
      </c>
      <c r="AZ93" s="72"/>
      <c r="BB93" s="72"/>
      <c r="BC93" s="73">
        <f t="shared" si="537"/>
        <v>0</v>
      </c>
      <c r="BD93" s="72"/>
      <c r="BE93" s="72"/>
      <c r="BF93" s="72"/>
      <c r="BG93" s="73">
        <f t="shared" si="538"/>
        <v>0</v>
      </c>
      <c r="BH93" s="73">
        <f t="shared" si="539"/>
        <v>0</v>
      </c>
      <c r="BI93" s="106"/>
      <c r="BJ93" s="73">
        <f t="shared" si="540"/>
        <v>0</v>
      </c>
      <c r="BK93" s="227">
        <f t="shared" si="541"/>
        <v>2250</v>
      </c>
      <c r="BL93" s="110"/>
      <c r="BM93" s="110"/>
      <c r="BN93" s="110"/>
      <c r="BO93" s="73">
        <f t="shared" si="542"/>
        <v>0</v>
      </c>
      <c r="BP93" s="110"/>
      <c r="BQ93" s="110"/>
      <c r="BR93" s="110"/>
      <c r="BS93" s="73">
        <f t="shared" si="543"/>
        <v>0</v>
      </c>
      <c r="BT93" s="110"/>
      <c r="BU93" s="110"/>
      <c r="BV93" s="110"/>
      <c r="BW93" s="73">
        <f t="shared" si="544"/>
        <v>0</v>
      </c>
      <c r="BX93" s="274"/>
      <c r="BY93" s="110"/>
      <c r="BZ93" s="110"/>
      <c r="CA93" s="73">
        <f t="shared" si="545"/>
        <v>0</v>
      </c>
      <c r="CB93" s="73">
        <f t="shared" si="546"/>
        <v>0</v>
      </c>
      <c r="CC93" s="106"/>
      <c r="CD93" s="73">
        <f t="shared" si="547"/>
        <v>2250</v>
      </c>
      <c r="CE93" s="37" t="s">
        <v>90</v>
      </c>
    </row>
    <row r="94" spans="1:84" ht="15.95" thickBot="1">
      <c r="A94" s="42"/>
      <c r="B94" s="77">
        <f>SUM(B92:B93)</f>
        <v>3425</v>
      </c>
      <c r="C94" s="77">
        <f>SUM(C92:C93)</f>
        <v>0</v>
      </c>
      <c r="D94" s="78">
        <f t="shared" ref="D94:V94" si="548">SUM(D92:D93)</f>
        <v>0</v>
      </c>
      <c r="E94" s="78">
        <f t="shared" si="548"/>
        <v>0</v>
      </c>
      <c r="F94" s="78">
        <f t="shared" si="548"/>
        <v>0</v>
      </c>
      <c r="G94" s="80">
        <f t="shared" si="548"/>
        <v>0</v>
      </c>
      <c r="H94" s="78">
        <f t="shared" si="548"/>
        <v>0</v>
      </c>
      <c r="I94" s="78">
        <f t="shared" si="548"/>
        <v>0</v>
      </c>
      <c r="J94" s="78">
        <f t="shared" si="548"/>
        <v>0</v>
      </c>
      <c r="K94" s="80">
        <f t="shared" si="548"/>
        <v>0</v>
      </c>
      <c r="L94" s="78">
        <f t="shared" si="548"/>
        <v>0</v>
      </c>
      <c r="M94" s="78">
        <f t="shared" si="548"/>
        <v>0</v>
      </c>
      <c r="N94" s="78">
        <f t="shared" si="548"/>
        <v>0</v>
      </c>
      <c r="O94" s="80">
        <f t="shared" si="548"/>
        <v>0</v>
      </c>
      <c r="P94" s="78">
        <f t="shared" si="548"/>
        <v>0</v>
      </c>
      <c r="Q94" s="78">
        <f t="shared" si="548"/>
        <v>0</v>
      </c>
      <c r="R94" s="78">
        <f t="shared" si="548"/>
        <v>0</v>
      </c>
      <c r="S94" s="80">
        <f t="shared" si="548"/>
        <v>0</v>
      </c>
      <c r="T94" s="81">
        <f t="shared" si="548"/>
        <v>0</v>
      </c>
      <c r="U94" s="82">
        <v>0</v>
      </c>
      <c r="V94" s="83">
        <f t="shared" si="548"/>
        <v>0</v>
      </c>
      <c r="W94" s="77">
        <f>SUM(W92:W93)</f>
        <v>0</v>
      </c>
      <c r="X94" s="109">
        <f t="shared" ref="X94:AN94" si="549">SUM(X92:X93)</f>
        <v>0</v>
      </c>
      <c r="Y94" s="78">
        <f t="shared" si="549"/>
        <v>0</v>
      </c>
      <c r="Z94" s="78">
        <f t="shared" si="549"/>
        <v>0</v>
      </c>
      <c r="AA94" s="80">
        <f t="shared" si="549"/>
        <v>0</v>
      </c>
      <c r="AB94" s="78">
        <f t="shared" si="549"/>
        <v>0</v>
      </c>
      <c r="AC94" s="78">
        <f t="shared" si="549"/>
        <v>0</v>
      </c>
      <c r="AD94" s="78">
        <f t="shared" si="549"/>
        <v>0</v>
      </c>
      <c r="AE94" s="80">
        <f t="shared" si="549"/>
        <v>0</v>
      </c>
      <c r="AF94" s="78">
        <f t="shared" si="549"/>
        <v>0</v>
      </c>
      <c r="AG94" s="78">
        <f t="shared" si="549"/>
        <v>0</v>
      </c>
      <c r="AH94" s="78">
        <f t="shared" si="549"/>
        <v>0</v>
      </c>
      <c r="AI94" s="80">
        <f t="shared" si="549"/>
        <v>0</v>
      </c>
      <c r="AJ94" s="78">
        <f t="shared" si="549"/>
        <v>0</v>
      </c>
      <c r="AK94" s="78">
        <f t="shared" si="549"/>
        <v>0</v>
      </c>
      <c r="AL94" s="78">
        <f t="shared" si="549"/>
        <v>0</v>
      </c>
      <c r="AM94" s="80">
        <f t="shared" si="549"/>
        <v>0</v>
      </c>
      <c r="AN94" s="81">
        <f t="shared" si="549"/>
        <v>0</v>
      </c>
      <c r="AO94" s="82">
        <v>0</v>
      </c>
      <c r="AP94" s="83">
        <f t="shared" ref="AP94" si="550">SUM(AP92:AP93)</f>
        <v>0</v>
      </c>
      <c r="AQ94" s="77">
        <f>SUM(AQ92:AQ93)</f>
        <v>0</v>
      </c>
      <c r="AR94" s="109">
        <f t="shared" ref="AR94:BH94" si="551">SUM(AR92:AR93)</f>
        <v>0</v>
      </c>
      <c r="AS94" s="78">
        <f t="shared" si="551"/>
        <v>0</v>
      </c>
      <c r="AT94" s="78">
        <f t="shared" si="551"/>
        <v>0</v>
      </c>
      <c r="AU94" s="80">
        <f t="shared" si="551"/>
        <v>0</v>
      </c>
      <c r="AV94" s="78">
        <f t="shared" si="551"/>
        <v>0</v>
      </c>
      <c r="AW94" s="78">
        <f t="shared" si="551"/>
        <v>0</v>
      </c>
      <c r="AX94" s="78">
        <f t="shared" si="551"/>
        <v>0</v>
      </c>
      <c r="AY94" s="80">
        <f t="shared" si="551"/>
        <v>0</v>
      </c>
      <c r="AZ94" s="78">
        <f t="shared" si="551"/>
        <v>0</v>
      </c>
      <c r="BA94" s="191">
        <f t="shared" si="551"/>
        <v>0</v>
      </c>
      <c r="BB94" s="78">
        <f t="shared" si="551"/>
        <v>0</v>
      </c>
      <c r="BC94" s="80">
        <f t="shared" si="551"/>
        <v>0</v>
      </c>
      <c r="BD94" s="78">
        <f t="shared" si="551"/>
        <v>0</v>
      </c>
      <c r="BE94" s="78">
        <f t="shared" si="551"/>
        <v>0</v>
      </c>
      <c r="BF94" s="78">
        <f t="shared" si="551"/>
        <v>0</v>
      </c>
      <c r="BG94" s="80">
        <f t="shared" si="551"/>
        <v>0</v>
      </c>
      <c r="BH94" s="81">
        <f t="shared" si="551"/>
        <v>0</v>
      </c>
      <c r="BI94" s="121">
        <v>0</v>
      </c>
      <c r="BJ94" s="123">
        <f t="shared" ref="BJ94" si="552">SUM(BJ92:BJ93)</f>
        <v>0</v>
      </c>
      <c r="BK94" s="228">
        <f>SUM(BK92:BK93)</f>
        <v>3425</v>
      </c>
      <c r="BL94" s="78">
        <f t="shared" ref="BL94:BM94" si="553">SUM(BL92:BL93)</f>
        <v>0</v>
      </c>
      <c r="BM94" s="78">
        <f t="shared" si="553"/>
        <v>0</v>
      </c>
      <c r="BN94" s="78">
        <f t="shared" ref="BN94:BQ94" si="554">SUM(BN92:BN93)</f>
        <v>0</v>
      </c>
      <c r="BO94" s="80">
        <f t="shared" si="554"/>
        <v>0</v>
      </c>
      <c r="BP94" s="78">
        <f t="shared" si="554"/>
        <v>0</v>
      </c>
      <c r="BQ94" s="78">
        <f t="shared" si="554"/>
        <v>0</v>
      </c>
      <c r="BR94" s="78">
        <f t="shared" ref="BR94" si="555">SUM(BR92:BR93)</f>
        <v>0</v>
      </c>
      <c r="BS94" s="80">
        <f t="shared" ref="BS94:BV94" si="556">SUM(BS92:BS93)</f>
        <v>0</v>
      </c>
      <c r="BT94" s="78">
        <f t="shared" si="556"/>
        <v>0</v>
      </c>
      <c r="BU94" s="78">
        <f t="shared" si="556"/>
        <v>0</v>
      </c>
      <c r="BV94" s="78">
        <f t="shared" si="556"/>
        <v>0</v>
      </c>
      <c r="BW94" s="80">
        <f t="shared" ref="BW94:BZ94" si="557">SUM(BW92:BW93)</f>
        <v>0</v>
      </c>
      <c r="BX94" s="275">
        <f t="shared" si="557"/>
        <v>0</v>
      </c>
      <c r="BY94" s="78">
        <f t="shared" si="557"/>
        <v>0</v>
      </c>
      <c r="BZ94" s="78">
        <f t="shared" si="557"/>
        <v>0</v>
      </c>
      <c r="CA94" s="80">
        <f t="shared" ref="CA94:CB94" si="558">SUM(CA92:CA93)</f>
        <v>0</v>
      </c>
      <c r="CB94" s="81">
        <f t="shared" si="558"/>
        <v>0</v>
      </c>
      <c r="CC94" s="121">
        <v>0</v>
      </c>
      <c r="CD94" s="77">
        <f>SUM(CD92:CD93)</f>
        <v>3425</v>
      </c>
      <c r="CE94" s="42"/>
    </row>
    <row r="95" spans="1:84" ht="15.95" thickBot="1">
      <c r="B95" s="53"/>
      <c r="BJ95" s="93"/>
      <c r="BK95" s="53"/>
      <c r="BL95" s="93"/>
      <c r="BM95" s="93"/>
      <c r="BN95" s="93"/>
      <c r="BO95" s="53"/>
      <c r="BP95" s="93"/>
      <c r="BQ95" s="93"/>
      <c r="BR95" s="93"/>
      <c r="BS95" s="53"/>
      <c r="BT95" s="93"/>
      <c r="BU95" s="93"/>
      <c r="BV95" s="93"/>
      <c r="BW95" s="53"/>
      <c r="BX95" s="276"/>
      <c r="BY95" s="93"/>
      <c r="BZ95" s="93"/>
      <c r="CA95" s="53"/>
      <c r="CB95" s="53"/>
      <c r="CC95" s="53"/>
      <c r="CD95" s="93"/>
    </row>
    <row r="96" spans="1:84" ht="26.45" thickBot="1">
      <c r="A96" s="103" t="s">
        <v>430</v>
      </c>
      <c r="B96" s="96" t="e">
        <f>B15+B26+B36+B43+B50+B54+B58+B65+B70+B90+B94</f>
        <v>#REF!</v>
      </c>
      <c r="C96" s="96" t="e">
        <f t="shared" ref="C96:T96" si="559">C15+C26+C36+C43+C50+C58+C65+C70+C90+C94</f>
        <v>#REF!</v>
      </c>
      <c r="D96" s="97">
        <f t="shared" si="559"/>
        <v>0</v>
      </c>
      <c r="E96" s="97">
        <f t="shared" si="559"/>
        <v>10983.64</v>
      </c>
      <c r="F96" s="97">
        <f t="shared" si="559"/>
        <v>15761.119999999999</v>
      </c>
      <c r="G96" s="98">
        <f t="shared" si="559"/>
        <v>26744.760000000002</v>
      </c>
      <c r="H96" s="97">
        <f t="shared" si="559"/>
        <v>34413.730000000003</v>
      </c>
      <c r="I96" s="97">
        <f t="shared" si="559"/>
        <v>23721.83</v>
      </c>
      <c r="J96" s="97">
        <f t="shared" si="559"/>
        <v>31989.689999999995</v>
      </c>
      <c r="K96" s="98">
        <f t="shared" si="559"/>
        <v>90125.250000000015</v>
      </c>
      <c r="L96" s="97">
        <f t="shared" si="559"/>
        <v>33790.32</v>
      </c>
      <c r="M96" s="97">
        <f t="shared" si="559"/>
        <v>35628.959999999999</v>
      </c>
      <c r="N96" s="97">
        <f t="shared" si="559"/>
        <v>19461.560000000001</v>
      </c>
      <c r="O96" s="98">
        <f t="shared" si="559"/>
        <v>88880.84</v>
      </c>
      <c r="P96" s="97">
        <f t="shared" si="559"/>
        <v>34366.920000000006</v>
      </c>
      <c r="Q96" s="97">
        <f t="shared" si="559"/>
        <v>117397.93</v>
      </c>
      <c r="R96" s="97">
        <f t="shared" si="559"/>
        <v>31053.41</v>
      </c>
      <c r="S96" s="98">
        <f t="shared" si="559"/>
        <v>182818.26</v>
      </c>
      <c r="T96" s="81">
        <f t="shared" si="559"/>
        <v>388569.11000000004</v>
      </c>
      <c r="U96" s="82" t="e">
        <f t="shared" ref="U96" si="560">T96/C96</f>
        <v>#REF!</v>
      </c>
      <c r="V96" s="99" t="e">
        <f t="shared" ref="V96:AN96" si="561">V15+V26+V36+V43+V50+V58+V65+V70+V90+V94</f>
        <v>#REF!</v>
      </c>
      <c r="W96" s="96" t="e">
        <f t="shared" si="561"/>
        <v>#REF!</v>
      </c>
      <c r="X96" s="97">
        <f t="shared" si="561"/>
        <v>86860.55</v>
      </c>
      <c r="Y96" s="97">
        <f t="shared" si="561"/>
        <v>22379.77</v>
      </c>
      <c r="Z96" s="97">
        <f t="shared" si="561"/>
        <v>24760.139999999996</v>
      </c>
      <c r="AA96" s="98">
        <f t="shared" si="561"/>
        <v>134000.46000000002</v>
      </c>
      <c r="AB96" s="97">
        <f t="shared" si="561"/>
        <v>26145.119999999999</v>
      </c>
      <c r="AC96" s="97">
        <f t="shared" si="561"/>
        <v>18336.939999999995</v>
      </c>
      <c r="AD96" s="97">
        <f t="shared" si="561"/>
        <v>88367.049999999988</v>
      </c>
      <c r="AE96" s="98">
        <f t="shared" si="561"/>
        <v>132849.11000000002</v>
      </c>
      <c r="AF96" s="97">
        <f t="shared" si="561"/>
        <v>49254.729999999989</v>
      </c>
      <c r="AG96" s="97">
        <f t="shared" si="561"/>
        <v>35847.109999999993</v>
      </c>
      <c r="AH96" s="97">
        <f t="shared" si="561"/>
        <v>45786.53</v>
      </c>
      <c r="AI96" s="98">
        <f t="shared" si="561"/>
        <v>130888.37000000001</v>
      </c>
      <c r="AJ96" s="97">
        <f t="shared" si="561"/>
        <v>33523.520000000004</v>
      </c>
      <c r="AK96" s="97">
        <f t="shared" si="561"/>
        <v>61855.999999999993</v>
      </c>
      <c r="AL96" s="97">
        <f t="shared" si="561"/>
        <v>39264.97</v>
      </c>
      <c r="AM96" s="98">
        <f t="shared" si="561"/>
        <v>134644.49000000002</v>
      </c>
      <c r="AN96" s="81">
        <f t="shared" si="561"/>
        <v>532382.43000000005</v>
      </c>
      <c r="AO96" s="82" t="e">
        <f t="shared" ref="AO96" si="562">AN96/W96</f>
        <v>#REF!</v>
      </c>
      <c r="AP96" s="99" t="e">
        <f t="shared" ref="AP96:BD96" si="563">AP15+AP26+AP36+AP43+AP50+AP58+AP65+AP70+AP90+AP94</f>
        <v>#REF!</v>
      </c>
      <c r="AQ96" s="96" t="e">
        <f t="shared" si="563"/>
        <v>#REF!</v>
      </c>
      <c r="AR96" s="97">
        <f t="shared" si="563"/>
        <v>46952.89</v>
      </c>
      <c r="AS96" s="97">
        <f t="shared" si="563"/>
        <v>40321.74</v>
      </c>
      <c r="AT96" s="97">
        <f t="shared" si="563"/>
        <v>43322.07</v>
      </c>
      <c r="AU96" s="98">
        <f t="shared" si="563"/>
        <v>130596.7</v>
      </c>
      <c r="AV96" s="97">
        <f t="shared" si="563"/>
        <v>32240.620000000003</v>
      </c>
      <c r="AW96" s="97">
        <f t="shared" si="563"/>
        <v>21179.659999999996</v>
      </c>
      <c r="AX96" s="97">
        <f t="shared" si="563"/>
        <v>34855.93</v>
      </c>
      <c r="AY96" s="98">
        <f t="shared" si="563"/>
        <v>88276.21</v>
      </c>
      <c r="AZ96" s="97">
        <f t="shared" si="563"/>
        <v>31332.469999999998</v>
      </c>
      <c r="BA96" s="193">
        <f t="shared" si="563"/>
        <v>84527.3</v>
      </c>
      <c r="BB96" s="97">
        <f t="shared" si="563"/>
        <v>24867.73</v>
      </c>
      <c r="BC96" s="98">
        <f t="shared" si="563"/>
        <v>140727.5</v>
      </c>
      <c r="BD96" s="97">
        <f t="shared" si="563"/>
        <v>35722.620000000003</v>
      </c>
      <c r="BE96" s="97">
        <f>BE15+BE26+BE36+BE43+BE50+BE58+BE65+BE70+BE90+BE94+BE54</f>
        <v>31160.149999999994</v>
      </c>
      <c r="BF96" s="97">
        <f>BF15+BF26+BF36+BF43+BF50+BF58+BF65+BF70+BF90+BF94+BF54</f>
        <v>83146.989999999991</v>
      </c>
      <c r="BG96" s="98">
        <f>BG15+BG26+BG36+BG43+BG50+BG58+BG65+BG70+BG90+BG94+BG54</f>
        <v>150029.76000000001</v>
      </c>
      <c r="BH96" s="81">
        <f>BH15+BH26+BH36+BH43+BH50+BH58+BH65+BH70+BH90+BH94+BH54</f>
        <v>509630.17</v>
      </c>
      <c r="BI96" s="121" t="e">
        <f t="shared" ref="BI96" si="564">BH96/AQ96</f>
        <v>#REF!</v>
      </c>
      <c r="BJ96" s="101" t="e">
        <f t="shared" ref="BJ96:CB96" si="565">BJ15+BJ26+BJ36+BJ43+BJ50+BJ58+BJ65+BJ70+BJ90+BJ94+BJ54</f>
        <v>#REF!</v>
      </c>
      <c r="BK96" s="96" t="e">
        <f t="shared" si="565"/>
        <v>#REF!</v>
      </c>
      <c r="BL96" s="97">
        <f t="shared" si="565"/>
        <v>29752.81</v>
      </c>
      <c r="BM96" s="97">
        <f t="shared" si="565"/>
        <v>63993.26</v>
      </c>
      <c r="BN96" s="97">
        <f t="shared" si="565"/>
        <v>25828.39</v>
      </c>
      <c r="BO96" s="98">
        <f t="shared" si="565"/>
        <v>119574.46</v>
      </c>
      <c r="BP96" s="97">
        <f t="shared" si="565"/>
        <v>61939.169999999991</v>
      </c>
      <c r="BQ96" s="97">
        <f t="shared" si="565"/>
        <v>53801.47</v>
      </c>
      <c r="BR96" s="97">
        <f t="shared" si="565"/>
        <v>82018.449999999983</v>
      </c>
      <c r="BS96" s="98">
        <f t="shared" si="565"/>
        <v>197759.09000000003</v>
      </c>
      <c r="BT96" s="97">
        <f t="shared" si="565"/>
        <v>47495.299999999996</v>
      </c>
      <c r="BU96" s="97">
        <f t="shared" si="565"/>
        <v>52097.35</v>
      </c>
      <c r="BV96" s="97">
        <f t="shared" si="565"/>
        <v>65282.280000000013</v>
      </c>
      <c r="BW96" s="98">
        <f t="shared" si="565"/>
        <v>164874.92999999996</v>
      </c>
      <c r="BX96" s="277">
        <f t="shared" si="565"/>
        <v>32228.190000000006</v>
      </c>
      <c r="BY96" s="97">
        <f t="shared" si="565"/>
        <v>22211.200000000004</v>
      </c>
      <c r="BZ96" s="97">
        <f t="shared" si="565"/>
        <v>38510.840000000004</v>
      </c>
      <c r="CA96" s="98">
        <f t="shared" si="565"/>
        <v>92950.230000000025</v>
      </c>
      <c r="CB96" s="81">
        <f t="shared" si="565"/>
        <v>575158.71000000008</v>
      </c>
      <c r="CC96" s="121" t="e">
        <f t="shared" ref="CC96" si="566">CB96/BK96</f>
        <v>#REF!</v>
      </c>
      <c r="CD96" s="101" t="e">
        <f>CD15+CD26+CD36+CD43+CD50+CD58+CD65+CD70+CD90+CD94+CD54</f>
        <v>#REF!</v>
      </c>
      <c r="CE96" s="103" t="s">
        <v>430</v>
      </c>
      <c r="CF96" s="241"/>
    </row>
    <row r="97" spans="1:83">
      <c r="B97" s="240"/>
      <c r="C97" s="115"/>
      <c r="E97" s="72"/>
      <c r="W97" s="115"/>
      <c r="Y97" s="72"/>
      <c r="AQ97" s="115"/>
      <c r="AS97" s="72"/>
      <c r="BJ97" s="93"/>
      <c r="BK97" s="241"/>
    </row>
    <row r="98" spans="1:83" ht="15.95" thickBot="1">
      <c r="BK98" s="232"/>
    </row>
    <row r="99" spans="1:83" ht="26.45" thickBot="1">
      <c r="A99" s="389" t="s">
        <v>431</v>
      </c>
      <c r="B99" s="390"/>
      <c r="C99" s="391"/>
      <c r="D99" s="126">
        <v>0</v>
      </c>
      <c r="E99" s="81">
        <v>10983.64</v>
      </c>
      <c r="F99" s="81">
        <v>15761.12</v>
      </c>
      <c r="H99" s="81">
        <v>34413.730000000003</v>
      </c>
      <c r="I99" s="81">
        <v>23721.83</v>
      </c>
      <c r="J99" s="81">
        <v>31989.69</v>
      </c>
      <c r="L99" s="81">
        <v>33790.32</v>
      </c>
      <c r="M99" s="81">
        <v>35628.959999999999</v>
      </c>
      <c r="N99" s="81">
        <v>19461.560000000001</v>
      </c>
      <c r="P99" s="81">
        <v>34366.92</v>
      </c>
      <c r="Q99" s="81">
        <v>117397.93</v>
      </c>
      <c r="R99" s="81">
        <v>31053.41</v>
      </c>
      <c r="T99" s="279">
        <f>SUM(D99:R99)</f>
        <v>388569.11</v>
      </c>
      <c r="W99" s="25"/>
      <c r="X99" s="81">
        <v>86860.548999999999</v>
      </c>
      <c r="Y99" s="81">
        <v>22379.77</v>
      </c>
      <c r="Z99" s="81">
        <v>24760.14</v>
      </c>
      <c r="AB99" s="81">
        <v>26145.119999999999</v>
      </c>
      <c r="AC99" s="81">
        <v>18336.939999999999</v>
      </c>
      <c r="AD99" s="81">
        <v>88367.05</v>
      </c>
      <c r="AF99" s="81">
        <v>49254.73</v>
      </c>
      <c r="AG99" s="81">
        <v>35847.11</v>
      </c>
      <c r="AH99" s="81">
        <v>45786.53</v>
      </c>
      <c r="AJ99" s="81">
        <v>33523.519999999997</v>
      </c>
      <c r="AK99" s="81">
        <v>61856</v>
      </c>
      <c r="AL99" s="81">
        <v>39264.97</v>
      </c>
      <c r="AN99" s="279">
        <f>SUM(X99:AL99)</f>
        <v>532382.429</v>
      </c>
      <c r="AQ99" s="25"/>
      <c r="AR99" s="81">
        <v>46952.89</v>
      </c>
      <c r="AS99" s="81">
        <v>40321.74</v>
      </c>
      <c r="AT99" s="81">
        <v>43322.07</v>
      </c>
      <c r="AV99" s="81">
        <v>32240.62</v>
      </c>
      <c r="AW99" s="81">
        <v>21179.66</v>
      </c>
      <c r="AX99" s="81">
        <v>34855.93</v>
      </c>
      <c r="AZ99" s="81">
        <v>31332.47</v>
      </c>
      <c r="BA99" s="194">
        <v>84527.3</v>
      </c>
      <c r="BB99" s="194">
        <v>24867.73</v>
      </c>
      <c r="BD99" s="194">
        <v>35722.620000000003</v>
      </c>
      <c r="BE99" s="194">
        <v>31160.15</v>
      </c>
      <c r="BF99" s="194">
        <v>83146.990000000005</v>
      </c>
      <c r="BH99" s="279">
        <f>SUM(AR99:BF99)</f>
        <v>509630.17</v>
      </c>
      <c r="BL99" s="266">
        <v>29752.81</v>
      </c>
      <c r="BM99" s="266">
        <v>63993.26</v>
      </c>
      <c r="BN99" s="266">
        <v>25828.39</v>
      </c>
      <c r="BP99" s="266">
        <v>61939.17</v>
      </c>
      <c r="BQ99" s="266">
        <v>53801.47</v>
      </c>
      <c r="BR99" s="266">
        <v>82018.45</v>
      </c>
      <c r="BT99" s="267">
        <v>47495.3</v>
      </c>
      <c r="BU99" s="267">
        <f>52602.35-505</f>
        <v>52097.35</v>
      </c>
      <c r="BV99" s="267">
        <v>65282.28</v>
      </c>
      <c r="BX99" s="278">
        <v>32228.19</v>
      </c>
      <c r="BY99" s="278">
        <v>22211.200000000001</v>
      </c>
      <c r="BZ99" s="278">
        <v>38510.839999999997</v>
      </c>
      <c r="CB99" s="279">
        <f>SUM(BL99:BZ99)</f>
        <v>575158.71</v>
      </c>
    </row>
    <row r="100" spans="1:83">
      <c r="D100" s="72">
        <f>D96-D99</f>
        <v>0</v>
      </c>
      <c r="E100" s="72">
        <f>E96-E99</f>
        <v>0</v>
      </c>
      <c r="F100" s="72">
        <f>F96-F99</f>
        <v>0</v>
      </c>
      <c r="H100" s="72">
        <f>H96-H99</f>
        <v>0</v>
      </c>
      <c r="I100" s="72">
        <f>I96-I99</f>
        <v>0</v>
      </c>
      <c r="J100" s="72">
        <f>J96-J99</f>
        <v>0</v>
      </c>
      <c r="L100" s="72">
        <f>L96-L99</f>
        <v>0</v>
      </c>
      <c r="M100" s="72">
        <f>M96-M99</f>
        <v>0</v>
      </c>
      <c r="N100" s="72">
        <f>N96-N99</f>
        <v>0</v>
      </c>
      <c r="P100" s="72">
        <f>P96-P99</f>
        <v>0</v>
      </c>
      <c r="Q100" s="72">
        <f>Q96-Q99</f>
        <v>0</v>
      </c>
      <c r="R100" s="72">
        <f>R96-R99</f>
        <v>0</v>
      </c>
      <c r="X100" s="72">
        <f t="shared" ref="X100:Z100" si="567">X96-X99</f>
        <v>1.0000000038417056E-3</v>
      </c>
      <c r="Y100" s="72">
        <f t="shared" si="567"/>
        <v>0</v>
      </c>
      <c r="Z100" s="72">
        <f t="shared" si="567"/>
        <v>0</v>
      </c>
      <c r="AB100" s="72">
        <f t="shared" ref="AB100:AD100" si="568">AB96-AB99</f>
        <v>0</v>
      </c>
      <c r="AC100" s="72">
        <f t="shared" si="568"/>
        <v>0</v>
      </c>
      <c r="AD100" s="72">
        <f t="shared" si="568"/>
        <v>0</v>
      </c>
      <c r="AF100" s="72">
        <f t="shared" ref="AF100:AH100" si="569">AF96-AF99</f>
        <v>0</v>
      </c>
      <c r="AG100" s="72">
        <f t="shared" si="569"/>
        <v>0</v>
      </c>
      <c r="AH100" s="72">
        <f t="shared" si="569"/>
        <v>0</v>
      </c>
      <c r="AJ100" s="72">
        <f t="shared" ref="AJ100:AL100" si="570">AJ96-AJ99</f>
        <v>0</v>
      </c>
      <c r="AK100" s="72">
        <f t="shared" si="570"/>
        <v>0</v>
      </c>
      <c r="AL100" s="72">
        <f t="shared" si="570"/>
        <v>0</v>
      </c>
      <c r="AR100" s="72">
        <f t="shared" ref="AR100" si="571">AR96-AR99</f>
        <v>0</v>
      </c>
      <c r="AS100" s="72">
        <f t="shared" ref="AS100" si="572">AS96-AS99</f>
        <v>0</v>
      </c>
      <c r="AT100" s="72">
        <f t="shared" ref="AT100" si="573">AT96-AT99</f>
        <v>0</v>
      </c>
      <c r="AV100" s="72">
        <f t="shared" ref="AV100" si="574">AV96-AV99</f>
        <v>0</v>
      </c>
      <c r="AW100" s="72">
        <f t="shared" ref="AW100" si="575">AW96-AW99</f>
        <v>0</v>
      </c>
      <c r="AX100" s="72">
        <f t="shared" ref="AX100" si="576">AX96-AX99</f>
        <v>0</v>
      </c>
      <c r="AZ100" s="72">
        <f t="shared" ref="AZ100:BB100" si="577">AZ96-AZ99</f>
        <v>0</v>
      </c>
      <c r="BA100" s="72">
        <f t="shared" si="577"/>
        <v>0</v>
      </c>
      <c r="BB100" s="72">
        <f t="shared" si="577"/>
        <v>0</v>
      </c>
      <c r="BD100" s="127">
        <f>BD96-BD99</f>
        <v>0</v>
      </c>
      <c r="BE100" s="127">
        <f>BE96-BE99</f>
        <v>0</v>
      </c>
      <c r="BF100" s="127">
        <f>BF96-BF99</f>
        <v>0</v>
      </c>
      <c r="BL100" s="268">
        <f t="shared" ref="BL100" si="578">BL96-BL99</f>
        <v>0</v>
      </c>
      <c r="BM100" s="268">
        <f t="shared" ref="BM100" si="579">BM96-BM99</f>
        <v>0</v>
      </c>
      <c r="BN100" s="268">
        <f t="shared" ref="BN100" si="580">BN96-BN99</f>
        <v>0</v>
      </c>
      <c r="BP100" s="268">
        <f t="shared" ref="BP100:BR100" si="581">BP96-BP99</f>
        <v>0</v>
      </c>
      <c r="BQ100" s="268">
        <f t="shared" si="581"/>
        <v>0</v>
      </c>
      <c r="BR100" s="268">
        <f t="shared" si="581"/>
        <v>0</v>
      </c>
      <c r="BT100" s="268">
        <f>BT96-BT99</f>
        <v>0</v>
      </c>
      <c r="BU100" s="268">
        <f>BU96-BU99</f>
        <v>0</v>
      </c>
      <c r="BV100" s="268">
        <f>BV96-BV99</f>
        <v>0</v>
      </c>
      <c r="BX100" s="268">
        <f>BX96-BX99</f>
        <v>0</v>
      </c>
      <c r="BY100" s="268">
        <f>BY96-BY99</f>
        <v>0</v>
      </c>
      <c r="BZ100" s="268">
        <f>BZ96-BZ99</f>
        <v>0</v>
      </c>
      <c r="CB100" s="232">
        <f>CB99+BH99+AN99+T99</f>
        <v>2005740.4189999998</v>
      </c>
    </row>
    <row r="101" spans="1:83">
      <c r="A101" s="53"/>
      <c r="B101" s="53"/>
      <c r="H101" s="53"/>
      <c r="AB101" s="53"/>
      <c r="AN101" s="72"/>
      <c r="AV101" s="53"/>
      <c r="BH101" s="72"/>
      <c r="CE101" s="53"/>
    </row>
    <row r="102" spans="1:83">
      <c r="I102" s="72"/>
      <c r="AC102" s="72"/>
      <c r="AW102" s="72"/>
      <c r="BB102" s="127"/>
      <c r="BP102" s="232"/>
      <c r="BU102" s="232"/>
    </row>
    <row r="103" spans="1:83">
      <c r="CB103" s="232"/>
    </row>
    <row r="104" spans="1:83" ht="23.45">
      <c r="A104" s="104" t="s">
        <v>432</v>
      </c>
      <c r="AT104" s="72"/>
      <c r="AW104" s="72"/>
      <c r="CE104" s="104" t="s">
        <v>432</v>
      </c>
    </row>
  </sheetData>
  <autoFilter ref="A1:CD94" xr:uid="{00000000-0009-0000-0000-000007000000}"/>
  <mergeCells count="26">
    <mergeCell ref="CB2:CC2"/>
    <mergeCell ref="BK2:BK3"/>
    <mergeCell ref="BL2:BO2"/>
    <mergeCell ref="BP2:BS2"/>
    <mergeCell ref="BT2:BW2"/>
    <mergeCell ref="BX2:CA2"/>
    <mergeCell ref="AN2:AO2"/>
    <mergeCell ref="W2:W3"/>
    <mergeCell ref="X2:AA2"/>
    <mergeCell ref="AB2:AE2"/>
    <mergeCell ref="AF2:AI2"/>
    <mergeCell ref="AJ2:AM2"/>
    <mergeCell ref="B2:B3"/>
    <mergeCell ref="A99:C99"/>
    <mergeCell ref="P2:S2"/>
    <mergeCell ref="T2:U2"/>
    <mergeCell ref="C2:C3"/>
    <mergeCell ref="D2:G2"/>
    <mergeCell ref="H2:K2"/>
    <mergeCell ref="L2:O2"/>
    <mergeCell ref="BH2:BI2"/>
    <mergeCell ref="AQ2:AQ3"/>
    <mergeCell ref="AR2:AU2"/>
    <mergeCell ref="AV2:AY2"/>
    <mergeCell ref="AZ2:BC2"/>
    <mergeCell ref="BD2:BG2"/>
  </mergeCells>
  <pageMargins left="0.70866141732283472" right="0.70866141732283472" top="0.74803149606299213" bottom="0.74803149606299213" header="0.31496062992125984" footer="0.31496062992125984"/>
  <pageSetup paperSize="5" scale="55" orientation="landscape" verticalDpi="300"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196"/>
  <sheetViews>
    <sheetView showGridLines="0" topLeftCell="A187" workbookViewId="0">
      <selection activeCell="F169" sqref="F169"/>
    </sheetView>
  </sheetViews>
  <sheetFormatPr defaultColWidth="11" defaultRowHeight="15.6"/>
  <cols>
    <col min="1" max="1" width="44" style="38" customWidth="1"/>
    <col min="2" max="2" width="12" style="224" customWidth="1"/>
    <col min="3" max="6" width="12" style="197" customWidth="1"/>
    <col min="7" max="7" width="15.5" style="202" bestFit="1" customWidth="1"/>
    <col min="8" max="8" width="10" style="222" customWidth="1"/>
    <col min="9" max="9" width="11" customWidth="1"/>
    <col min="228" max="228" width="49.375" bestFit="1" customWidth="1"/>
    <col min="229" max="232" width="15.5" customWidth="1"/>
    <col min="484" max="484" width="49.375" bestFit="1" customWidth="1"/>
    <col min="485" max="488" width="15.5" customWidth="1"/>
    <col min="740" max="740" width="49.375" bestFit="1" customWidth="1"/>
    <col min="741" max="744" width="15.5" customWidth="1"/>
    <col min="996" max="996" width="49.375" bestFit="1" customWidth="1"/>
    <col min="997" max="1000" width="15.5" customWidth="1"/>
    <col min="1252" max="1252" width="49.375" bestFit="1" customWidth="1"/>
    <col min="1253" max="1256" width="15.5" customWidth="1"/>
    <col min="1508" max="1508" width="49.375" bestFit="1" customWidth="1"/>
    <col min="1509" max="1512" width="15.5" customWidth="1"/>
    <col min="1764" max="1764" width="49.375" bestFit="1" customWidth="1"/>
    <col min="1765" max="1768" width="15.5" customWidth="1"/>
    <col min="2020" max="2020" width="49.375" bestFit="1" customWidth="1"/>
    <col min="2021" max="2024" width="15.5" customWidth="1"/>
    <col min="2276" max="2276" width="49.375" bestFit="1" customWidth="1"/>
    <col min="2277" max="2280" width="15.5" customWidth="1"/>
    <col min="2532" max="2532" width="49.375" bestFit="1" customWidth="1"/>
    <col min="2533" max="2536" width="15.5" customWidth="1"/>
    <col min="2788" max="2788" width="49.375" bestFit="1" customWidth="1"/>
    <col min="2789" max="2792" width="15.5" customWidth="1"/>
    <col min="3044" max="3044" width="49.375" bestFit="1" customWidth="1"/>
    <col min="3045" max="3048" width="15.5" customWidth="1"/>
    <col min="3300" max="3300" width="49.375" bestFit="1" customWidth="1"/>
    <col min="3301" max="3304" width="15.5" customWidth="1"/>
    <col min="3556" max="3556" width="49.375" bestFit="1" customWidth="1"/>
    <col min="3557" max="3560" width="15.5" customWidth="1"/>
    <col min="3812" max="3812" width="49.375" bestFit="1" customWidth="1"/>
    <col min="3813" max="3816" width="15.5" customWidth="1"/>
    <col min="4068" max="4068" width="49.375" bestFit="1" customWidth="1"/>
    <col min="4069" max="4072" width="15.5" customWidth="1"/>
    <col min="4324" max="4324" width="49.375" bestFit="1" customWidth="1"/>
    <col min="4325" max="4328" width="15.5" customWidth="1"/>
    <col min="4580" max="4580" width="49.375" bestFit="1" customWidth="1"/>
    <col min="4581" max="4584" width="15.5" customWidth="1"/>
    <col min="4836" max="4836" width="49.375" bestFit="1" customWidth="1"/>
    <col min="4837" max="4840" width="15.5" customWidth="1"/>
    <col min="5092" max="5092" width="49.375" bestFit="1" customWidth="1"/>
    <col min="5093" max="5096" width="15.5" customWidth="1"/>
    <col min="5348" max="5348" width="49.375" bestFit="1" customWidth="1"/>
    <col min="5349" max="5352" width="15.5" customWidth="1"/>
    <col min="5604" max="5604" width="49.375" bestFit="1" customWidth="1"/>
    <col min="5605" max="5608" width="15.5" customWidth="1"/>
    <col min="5860" max="5860" width="49.375" bestFit="1" customWidth="1"/>
    <col min="5861" max="5864" width="15.5" customWidth="1"/>
    <col min="6116" max="6116" width="49.375" bestFit="1" customWidth="1"/>
    <col min="6117" max="6120" width="15.5" customWidth="1"/>
    <col min="6372" max="6372" width="49.375" bestFit="1" customWidth="1"/>
    <col min="6373" max="6376" width="15.5" customWidth="1"/>
    <col min="6628" max="6628" width="49.375" bestFit="1" customWidth="1"/>
    <col min="6629" max="6632" width="15.5" customWidth="1"/>
    <col min="6884" max="6884" width="49.375" bestFit="1" customWidth="1"/>
    <col min="6885" max="6888" width="15.5" customWidth="1"/>
    <col min="7140" max="7140" width="49.375" bestFit="1" customWidth="1"/>
    <col min="7141" max="7144" width="15.5" customWidth="1"/>
    <col min="7396" max="7396" width="49.375" bestFit="1" customWidth="1"/>
    <col min="7397" max="7400" width="15.5" customWidth="1"/>
    <col min="7652" max="7652" width="49.375" bestFit="1" customWidth="1"/>
    <col min="7653" max="7656" width="15.5" customWidth="1"/>
    <col min="7908" max="7908" width="49.375" bestFit="1" customWidth="1"/>
    <col min="7909" max="7912" width="15.5" customWidth="1"/>
    <col min="8164" max="8164" width="49.375" bestFit="1" customWidth="1"/>
    <col min="8165" max="8168" width="15.5" customWidth="1"/>
    <col min="8420" max="8420" width="49.375" bestFit="1" customWidth="1"/>
    <col min="8421" max="8424" width="15.5" customWidth="1"/>
    <col min="8676" max="8676" width="49.375" bestFit="1" customWidth="1"/>
    <col min="8677" max="8680" width="15.5" customWidth="1"/>
    <col min="8932" max="8932" width="49.375" bestFit="1" customWidth="1"/>
    <col min="8933" max="8936" width="15.5" customWidth="1"/>
    <col min="9188" max="9188" width="49.375" bestFit="1" customWidth="1"/>
    <col min="9189" max="9192" width="15.5" customWidth="1"/>
    <col min="9444" max="9444" width="49.375" bestFit="1" customWidth="1"/>
    <col min="9445" max="9448" width="15.5" customWidth="1"/>
    <col min="9700" max="9700" width="49.375" bestFit="1" customWidth="1"/>
    <col min="9701" max="9704" width="15.5" customWidth="1"/>
    <col min="9956" max="9956" width="49.375" bestFit="1" customWidth="1"/>
    <col min="9957" max="9960" width="15.5" customWidth="1"/>
    <col min="10212" max="10212" width="49.375" bestFit="1" customWidth="1"/>
    <col min="10213" max="10216" width="15.5" customWidth="1"/>
    <col min="10468" max="10468" width="49.375" bestFit="1" customWidth="1"/>
    <col min="10469" max="10472" width="15.5" customWidth="1"/>
    <col min="10724" max="10724" width="49.375" bestFit="1" customWidth="1"/>
    <col min="10725" max="10728" width="15.5" customWidth="1"/>
    <col min="10980" max="10980" width="49.375" bestFit="1" customWidth="1"/>
    <col min="10981" max="10984" width="15.5" customWidth="1"/>
    <col min="11236" max="11236" width="49.375" bestFit="1" customWidth="1"/>
    <col min="11237" max="11240" width="15.5" customWidth="1"/>
    <col min="11492" max="11492" width="49.375" bestFit="1" customWidth="1"/>
    <col min="11493" max="11496" width="15.5" customWidth="1"/>
    <col min="11748" max="11748" width="49.375" bestFit="1" customWidth="1"/>
    <col min="11749" max="11752" width="15.5" customWidth="1"/>
    <col min="12004" max="12004" width="49.375" bestFit="1" customWidth="1"/>
    <col min="12005" max="12008" width="15.5" customWidth="1"/>
    <col min="12260" max="12260" width="49.375" bestFit="1" customWidth="1"/>
    <col min="12261" max="12264" width="15.5" customWidth="1"/>
    <col min="12516" max="12516" width="49.375" bestFit="1" customWidth="1"/>
    <col min="12517" max="12520" width="15.5" customWidth="1"/>
    <col min="12772" max="12772" width="49.375" bestFit="1" customWidth="1"/>
    <col min="12773" max="12776" width="15.5" customWidth="1"/>
    <col min="13028" max="13028" width="49.375" bestFit="1" customWidth="1"/>
    <col min="13029" max="13032" width="15.5" customWidth="1"/>
    <col min="13284" max="13284" width="49.375" bestFit="1" customWidth="1"/>
    <col min="13285" max="13288" width="15.5" customWidth="1"/>
    <col min="13540" max="13540" width="49.375" bestFit="1" customWidth="1"/>
    <col min="13541" max="13544" width="15.5" customWidth="1"/>
    <col min="13796" max="13796" width="49.375" bestFit="1" customWidth="1"/>
    <col min="13797" max="13800" width="15.5" customWidth="1"/>
    <col min="14052" max="14052" width="49.375" bestFit="1" customWidth="1"/>
    <col min="14053" max="14056" width="15.5" customWidth="1"/>
    <col min="14308" max="14308" width="49.375" bestFit="1" customWidth="1"/>
    <col min="14309" max="14312" width="15.5" customWidth="1"/>
    <col min="14564" max="14564" width="49.375" bestFit="1" customWidth="1"/>
    <col min="14565" max="14568" width="15.5" customWidth="1"/>
    <col min="14820" max="14820" width="49.375" bestFit="1" customWidth="1"/>
    <col min="14821" max="14824" width="15.5" customWidth="1"/>
    <col min="15076" max="15076" width="49.375" bestFit="1" customWidth="1"/>
    <col min="15077" max="15080" width="15.5" customWidth="1"/>
    <col min="15332" max="15332" width="49.375" bestFit="1" customWidth="1"/>
    <col min="15333" max="15336" width="15.5" customWidth="1"/>
    <col min="15588" max="15588" width="49.375" bestFit="1" customWidth="1"/>
    <col min="15589" max="15592" width="15.5" customWidth="1"/>
    <col min="15844" max="15844" width="49.375" bestFit="1" customWidth="1"/>
    <col min="15845" max="15848" width="15.5" customWidth="1"/>
    <col min="16100" max="16100" width="49.375" bestFit="1" customWidth="1"/>
    <col min="16101" max="16104" width="15.5" customWidth="1"/>
    <col min="16384" max="16384" width="11" customWidth="1"/>
  </cols>
  <sheetData>
    <row r="1" spans="1:9">
      <c r="A1" s="393" t="s">
        <v>433</v>
      </c>
      <c r="B1" s="393"/>
      <c r="C1" s="393"/>
      <c r="D1" s="393"/>
      <c r="E1" s="393"/>
      <c r="F1" s="393"/>
      <c r="G1" s="393"/>
    </row>
    <row r="2" spans="1:9">
      <c r="A2"/>
    </row>
    <row r="3" spans="1:9" ht="15.95" thickBot="1"/>
    <row r="4" spans="1:9" ht="15.95" thickBot="1">
      <c r="A4" s="203" t="s">
        <v>434</v>
      </c>
      <c r="B4" s="204" t="s">
        <v>259</v>
      </c>
      <c r="C4" s="220" t="s">
        <v>435</v>
      </c>
      <c r="D4" s="220" t="s">
        <v>436</v>
      </c>
      <c r="E4" s="220" t="s">
        <v>437</v>
      </c>
      <c r="F4" s="220" t="s">
        <v>438</v>
      </c>
      <c r="G4" s="205" t="s">
        <v>355</v>
      </c>
    </row>
    <row r="5" spans="1:9" ht="15.95" thickBot="1">
      <c r="B5" s="225"/>
      <c r="C5" s="200"/>
      <c r="D5" s="200"/>
      <c r="E5" s="200"/>
      <c r="F5" s="200"/>
      <c r="G5" s="207"/>
    </row>
    <row r="6" spans="1:9" ht="15.95" thickBot="1">
      <c r="A6" s="208" t="s">
        <v>439</v>
      </c>
      <c r="B6" s="209">
        <v>657695.30000000005</v>
      </c>
      <c r="C6" s="209" t="e">
        <f>#REF!</f>
        <v>#REF!</v>
      </c>
      <c r="D6" s="209" t="e">
        <f>#REF!</f>
        <v>#REF!</v>
      </c>
      <c r="E6" s="209">
        <v>131000</v>
      </c>
      <c r="F6" s="209">
        <v>190392.78</v>
      </c>
      <c r="G6" s="210" t="e">
        <f>SUM(C6:F6)</f>
        <v>#REF!</v>
      </c>
      <c r="H6" s="223"/>
    </row>
    <row r="7" spans="1:9">
      <c r="A7" s="38" t="s">
        <v>440</v>
      </c>
      <c r="B7" s="225"/>
      <c r="C7" s="200"/>
      <c r="D7" s="200"/>
      <c r="E7" s="200"/>
      <c r="F7" s="200"/>
      <c r="G7" s="207"/>
    </row>
    <row r="8" spans="1:9">
      <c r="A8" s="38" t="s">
        <v>441</v>
      </c>
      <c r="B8" s="225">
        <v>228456</v>
      </c>
      <c r="C8" s="200" t="e">
        <f>#REF!</f>
        <v>#REF!</v>
      </c>
      <c r="D8" s="200" t="e">
        <f>#REF!</f>
        <v>#REF!</v>
      </c>
      <c r="E8" s="200" t="e">
        <f>#REF!</f>
        <v>#REF!</v>
      </c>
      <c r="F8" s="200">
        <v>104843.87</v>
      </c>
      <c r="G8" s="207" t="e">
        <f>SUM(C8:F8)</f>
        <v>#REF!</v>
      </c>
      <c r="H8" s="223"/>
    </row>
    <row r="9" spans="1:9">
      <c r="A9" s="38" t="s">
        <v>442</v>
      </c>
      <c r="B9" s="225"/>
      <c r="C9" s="200"/>
      <c r="D9" s="200"/>
      <c r="E9" s="200"/>
      <c r="F9" s="200"/>
      <c r="G9" s="207"/>
    </row>
    <row r="10" spans="1:9" ht="15.95" thickBot="1">
      <c r="B10" s="225"/>
      <c r="C10" s="200"/>
      <c r="D10" s="200"/>
      <c r="E10" s="200"/>
      <c r="F10" s="200"/>
      <c r="G10" s="207"/>
    </row>
    <row r="11" spans="1:9" ht="15.95" thickBot="1">
      <c r="A11" s="211" t="s">
        <v>443</v>
      </c>
      <c r="B11" s="212">
        <f>SUM(B6:B10)</f>
        <v>886151.3</v>
      </c>
      <c r="C11" s="212" t="e">
        <f t="shared" ref="C11:F11" si="0">SUM(C6:C10)</f>
        <v>#REF!</v>
      </c>
      <c r="D11" s="212" t="e">
        <f t="shared" si="0"/>
        <v>#REF!</v>
      </c>
      <c r="E11" s="212" t="e">
        <f t="shared" si="0"/>
        <v>#REF!</v>
      </c>
      <c r="F11" s="212">
        <f t="shared" si="0"/>
        <v>295236.65000000002</v>
      </c>
      <c r="G11" s="213" t="e">
        <f>SUM(G6:G10)</f>
        <v>#REF!</v>
      </c>
    </row>
    <row r="12" spans="1:9" ht="15.95" thickBot="1">
      <c r="A12" s="214" t="s">
        <v>253</v>
      </c>
      <c r="B12" s="225"/>
      <c r="C12" s="200"/>
      <c r="D12" s="200"/>
      <c r="E12" s="200"/>
      <c r="F12" s="200"/>
      <c r="G12" s="207"/>
    </row>
    <row r="13" spans="1:9">
      <c r="A13" s="38" t="s">
        <v>444</v>
      </c>
      <c r="B13" s="225"/>
      <c r="C13" s="200"/>
      <c r="D13" s="200"/>
      <c r="E13" s="200"/>
      <c r="F13" s="200"/>
      <c r="G13" s="207">
        <f>SUM(C13:F13)</f>
        <v>0</v>
      </c>
    </row>
    <row r="14" spans="1:9" ht="15.95" thickBot="1">
      <c r="A14" s="206"/>
      <c r="B14" s="225"/>
      <c r="C14" s="200"/>
      <c r="D14" s="200"/>
      <c r="E14" s="200"/>
      <c r="F14" s="200"/>
      <c r="G14" s="207"/>
    </row>
    <row r="15" spans="1:9" ht="15.95" thickBot="1">
      <c r="A15" s="211" t="s">
        <v>445</v>
      </c>
      <c r="B15" s="212">
        <f>SUM(B13:B14)</f>
        <v>0</v>
      </c>
      <c r="C15" s="212">
        <f t="shared" ref="C15:F15" si="1">SUM(C13:C14)</f>
        <v>0</v>
      </c>
      <c r="D15" s="212">
        <f t="shared" si="1"/>
        <v>0</v>
      </c>
      <c r="E15" s="212">
        <f t="shared" si="1"/>
        <v>0</v>
      </c>
      <c r="F15" s="212">
        <f t="shared" si="1"/>
        <v>0</v>
      </c>
      <c r="G15" s="213">
        <f>SUM(G13:G14)</f>
        <v>0</v>
      </c>
      <c r="I15" s="113"/>
    </row>
    <row r="16" spans="1:9" ht="15.95" thickBot="1">
      <c r="A16" s="214" t="s">
        <v>36</v>
      </c>
      <c r="B16" s="225"/>
      <c r="C16" s="200"/>
      <c r="D16" s="200"/>
      <c r="E16" s="200"/>
      <c r="F16" s="200"/>
      <c r="G16" s="207"/>
    </row>
    <row r="17" spans="1:10" ht="15.95" thickBot="1">
      <c r="A17" s="211" t="s">
        <v>446</v>
      </c>
      <c r="B17" s="212">
        <v>11655</v>
      </c>
      <c r="C17" s="212">
        <v>11655</v>
      </c>
      <c r="D17" s="212">
        <v>0</v>
      </c>
      <c r="E17" s="212">
        <v>0</v>
      </c>
      <c r="F17" s="212">
        <v>0</v>
      </c>
      <c r="G17" s="213">
        <f>SUM(C17:F17)</f>
        <v>11655</v>
      </c>
      <c r="H17" s="223"/>
    </row>
    <row r="18" spans="1:10" ht="15.95" thickBot="1">
      <c r="A18" s="214" t="s">
        <v>447</v>
      </c>
      <c r="B18" s="225"/>
      <c r="C18" s="200"/>
      <c r="D18" s="200"/>
      <c r="E18" s="200"/>
      <c r="F18" s="200"/>
      <c r="G18" s="207"/>
    </row>
    <row r="19" spans="1:10">
      <c r="A19" s="38" t="s">
        <v>448</v>
      </c>
      <c r="B19" s="139">
        <v>1400</v>
      </c>
      <c r="C19" s="215">
        <v>350</v>
      </c>
      <c r="D19" s="215">
        <v>350</v>
      </c>
      <c r="E19" s="215">
        <v>350</v>
      </c>
      <c r="F19" s="215">
        <v>350</v>
      </c>
      <c r="G19" s="207">
        <f t="shared" ref="G19:G32" si="2">SUM(C19:F19)</f>
        <v>1400</v>
      </c>
    </row>
    <row r="20" spans="1:10">
      <c r="A20" s="38" t="s">
        <v>449</v>
      </c>
      <c r="B20" s="139">
        <v>1680</v>
      </c>
      <c r="C20" s="215">
        <v>420</v>
      </c>
      <c r="D20" s="215">
        <v>420</v>
      </c>
      <c r="E20" s="215">
        <v>420</v>
      </c>
      <c r="F20" s="215">
        <v>420</v>
      </c>
      <c r="G20" s="207">
        <f t="shared" si="2"/>
        <v>1680</v>
      </c>
    </row>
    <row r="21" spans="1:10">
      <c r="A21" s="38" t="s">
        <v>450</v>
      </c>
      <c r="B21" s="139">
        <v>3120</v>
      </c>
      <c r="C21" s="215">
        <v>780</v>
      </c>
      <c r="D21" s="215">
        <v>780</v>
      </c>
      <c r="E21" s="215">
        <v>780</v>
      </c>
      <c r="F21" s="215">
        <v>780</v>
      </c>
      <c r="G21" s="207">
        <f t="shared" si="2"/>
        <v>3120</v>
      </c>
    </row>
    <row r="22" spans="1:10">
      <c r="A22" s="38" t="s">
        <v>451</v>
      </c>
      <c r="B22" s="139">
        <v>1200</v>
      </c>
      <c r="C22" s="215">
        <v>300</v>
      </c>
      <c r="D22" s="215">
        <v>300</v>
      </c>
      <c r="E22" s="215">
        <v>300</v>
      </c>
      <c r="F22" s="215">
        <v>300</v>
      </c>
      <c r="G22" s="207">
        <f t="shared" si="2"/>
        <v>1200</v>
      </c>
    </row>
    <row r="23" spans="1:10">
      <c r="A23" s="38" t="s">
        <v>452</v>
      </c>
      <c r="B23" s="139">
        <v>2400</v>
      </c>
      <c r="C23" s="215">
        <v>600</v>
      </c>
      <c r="D23" s="215">
        <v>600</v>
      </c>
      <c r="E23" s="215">
        <v>600</v>
      </c>
      <c r="F23" s="215">
        <v>600</v>
      </c>
      <c r="G23" s="207">
        <f t="shared" si="2"/>
        <v>2400</v>
      </c>
    </row>
    <row r="24" spans="1:10">
      <c r="A24" s="38" t="s">
        <v>453</v>
      </c>
      <c r="B24" s="139">
        <v>0</v>
      </c>
      <c r="C24" s="215">
        <v>0</v>
      </c>
      <c r="D24" s="215">
        <v>0</v>
      </c>
      <c r="E24" s="215">
        <v>0</v>
      </c>
      <c r="F24" s="215">
        <v>0</v>
      </c>
      <c r="G24" s="207">
        <f t="shared" si="2"/>
        <v>0</v>
      </c>
    </row>
    <row r="25" spans="1:10">
      <c r="A25" s="38" t="s">
        <v>454</v>
      </c>
      <c r="B25" s="139">
        <v>62400</v>
      </c>
      <c r="C25" s="215">
        <v>15600</v>
      </c>
      <c r="D25" s="215">
        <v>15600</v>
      </c>
      <c r="E25" s="215">
        <v>15600</v>
      </c>
      <c r="F25" s="215">
        <v>15600</v>
      </c>
      <c r="G25" s="207">
        <f t="shared" si="2"/>
        <v>62400</v>
      </c>
    </row>
    <row r="26" spans="1:10">
      <c r="A26" s="38" t="s">
        <v>455</v>
      </c>
      <c r="B26" s="139">
        <v>4800</v>
      </c>
      <c r="C26" s="215">
        <v>1200</v>
      </c>
      <c r="D26" s="215">
        <v>1200</v>
      </c>
      <c r="E26" s="215">
        <v>1200</v>
      </c>
      <c r="F26" s="215">
        <v>1200</v>
      </c>
      <c r="G26" s="207">
        <f t="shared" si="2"/>
        <v>4800</v>
      </c>
    </row>
    <row r="27" spans="1:10">
      <c r="A27" s="38" t="s">
        <v>456</v>
      </c>
      <c r="B27" s="139">
        <v>6000</v>
      </c>
      <c r="C27" s="215">
        <v>1500</v>
      </c>
      <c r="D27" s="215">
        <v>1500</v>
      </c>
      <c r="E27" s="215">
        <v>1500</v>
      </c>
      <c r="F27" s="215">
        <v>1500</v>
      </c>
      <c r="G27" s="207">
        <f t="shared" si="2"/>
        <v>6000</v>
      </c>
    </row>
    <row r="28" spans="1:10">
      <c r="A28" s="38" t="s">
        <v>457</v>
      </c>
      <c r="B28" s="139">
        <f>9600/2</f>
        <v>4800</v>
      </c>
      <c r="C28" s="215">
        <v>1200</v>
      </c>
      <c r="D28" s="215">
        <v>1200</v>
      </c>
      <c r="E28" s="215">
        <v>1200</v>
      </c>
      <c r="F28" s="215">
        <v>1200</v>
      </c>
      <c r="G28" s="207">
        <f t="shared" si="2"/>
        <v>4800</v>
      </c>
    </row>
    <row r="29" spans="1:10">
      <c r="A29" s="38" t="s">
        <v>458</v>
      </c>
      <c r="B29" s="139">
        <v>1000</v>
      </c>
      <c r="C29" s="215">
        <v>250</v>
      </c>
      <c r="D29" s="215">
        <v>250</v>
      </c>
      <c r="E29" s="215">
        <v>250</v>
      </c>
      <c r="F29" s="215">
        <v>250</v>
      </c>
      <c r="G29" s="207">
        <f t="shared" si="2"/>
        <v>1000</v>
      </c>
    </row>
    <row r="30" spans="1:10">
      <c r="A30" s="38" t="s">
        <v>459</v>
      </c>
      <c r="B30" s="139">
        <v>20000</v>
      </c>
      <c r="C30" s="215">
        <v>5000</v>
      </c>
      <c r="D30" s="215">
        <v>5000</v>
      </c>
      <c r="E30" s="215">
        <v>5000</v>
      </c>
      <c r="F30" s="215">
        <v>5000</v>
      </c>
      <c r="G30" s="207">
        <f t="shared" si="2"/>
        <v>20000</v>
      </c>
      <c r="I30" s="120"/>
      <c r="J30" s="120"/>
    </row>
    <row r="31" spans="1:10">
      <c r="A31" s="38" t="s">
        <v>460</v>
      </c>
      <c r="B31" s="139">
        <v>4000</v>
      </c>
      <c r="C31" s="215">
        <v>1000</v>
      </c>
      <c r="D31" s="215">
        <v>1000</v>
      </c>
      <c r="E31" s="215">
        <v>1000</v>
      </c>
      <c r="F31" s="215">
        <v>1000</v>
      </c>
      <c r="G31" s="207">
        <f t="shared" si="2"/>
        <v>4000</v>
      </c>
    </row>
    <row r="32" spans="1:10">
      <c r="A32" s="38" t="s">
        <v>47</v>
      </c>
      <c r="B32" s="139">
        <v>1000</v>
      </c>
      <c r="C32" s="215">
        <v>0</v>
      </c>
      <c r="D32" s="215">
        <v>250</v>
      </c>
      <c r="E32" s="215">
        <v>500</v>
      </c>
      <c r="F32" s="215">
        <v>250</v>
      </c>
      <c r="G32" s="207">
        <f t="shared" si="2"/>
        <v>1000</v>
      </c>
    </row>
    <row r="33" spans="1:8" ht="15.95" thickBot="1">
      <c r="B33" s="225"/>
      <c r="C33" s="200"/>
      <c r="D33" s="200"/>
      <c r="E33" s="200"/>
      <c r="F33" s="200"/>
      <c r="G33" s="207"/>
    </row>
    <row r="34" spans="1:8" ht="15.95" thickBot="1">
      <c r="A34" s="211" t="s">
        <v>461</v>
      </c>
      <c r="B34" s="212">
        <f>SUM(B19:B33)</f>
        <v>113800</v>
      </c>
      <c r="C34" s="212">
        <f t="shared" ref="C34:F34" si="3">SUM(C19:C33)</f>
        <v>28200</v>
      </c>
      <c r="D34" s="212">
        <f t="shared" si="3"/>
        <v>28450</v>
      </c>
      <c r="E34" s="212">
        <f t="shared" si="3"/>
        <v>28700</v>
      </c>
      <c r="F34" s="212">
        <f t="shared" si="3"/>
        <v>28450</v>
      </c>
      <c r="G34" s="213">
        <f>SUM(G19:G33)</f>
        <v>113800</v>
      </c>
    </row>
    <row r="35" spans="1:8" ht="15.95" thickBot="1">
      <c r="A35" s="214" t="s">
        <v>372</v>
      </c>
      <c r="B35" s="225"/>
      <c r="C35" s="200"/>
      <c r="D35" s="200"/>
      <c r="E35" s="200"/>
      <c r="F35" s="200"/>
      <c r="G35" s="207"/>
    </row>
    <row r="36" spans="1:8">
      <c r="A36" s="172" t="s">
        <v>462</v>
      </c>
      <c r="B36" s="225"/>
      <c r="C36" s="200"/>
      <c r="D36" s="200"/>
      <c r="E36" s="200"/>
      <c r="F36" s="200"/>
      <c r="G36" s="207">
        <f t="shared" ref="G36:G69" si="4">SUM(C36:F36)</f>
        <v>0</v>
      </c>
    </row>
    <row r="37" spans="1:8">
      <c r="A37" s="172" t="s">
        <v>463</v>
      </c>
      <c r="B37" s="225"/>
      <c r="C37" s="200"/>
      <c r="D37" s="200"/>
      <c r="E37" s="200"/>
      <c r="F37" s="200"/>
      <c r="G37" s="207">
        <f t="shared" si="4"/>
        <v>0</v>
      </c>
    </row>
    <row r="38" spans="1:8">
      <c r="A38" s="172" t="s">
        <v>464</v>
      </c>
      <c r="B38" s="225"/>
      <c r="C38" s="200"/>
      <c r="D38" s="200"/>
      <c r="E38" s="200"/>
      <c r="F38" s="200"/>
      <c r="G38" s="207">
        <f t="shared" si="4"/>
        <v>0</v>
      </c>
    </row>
    <row r="39" spans="1:8">
      <c r="A39" s="172" t="s">
        <v>465</v>
      </c>
      <c r="B39" s="225"/>
      <c r="C39" s="200"/>
      <c r="D39" s="200"/>
      <c r="E39" s="200"/>
      <c r="F39" s="200"/>
      <c r="G39" s="207">
        <f t="shared" si="4"/>
        <v>0</v>
      </c>
    </row>
    <row r="40" spans="1:8">
      <c r="A40" s="172" t="s">
        <v>464</v>
      </c>
      <c r="B40" s="225"/>
      <c r="C40" s="200"/>
      <c r="D40" s="200"/>
      <c r="E40" s="200"/>
      <c r="F40" s="200"/>
      <c r="G40" s="207">
        <f t="shared" si="4"/>
        <v>0</v>
      </c>
    </row>
    <row r="41" spans="1:8">
      <c r="A41" s="38" t="s">
        <v>466</v>
      </c>
      <c r="B41" s="225"/>
      <c r="C41" s="200"/>
      <c r="D41" s="200"/>
      <c r="E41" s="200"/>
      <c r="F41" s="200"/>
      <c r="G41" s="207">
        <f t="shared" si="4"/>
        <v>0</v>
      </c>
    </row>
    <row r="42" spans="1:8">
      <c r="A42" s="38" t="s">
        <v>467</v>
      </c>
      <c r="B42" s="225"/>
      <c r="C42" s="200"/>
      <c r="D42" s="200"/>
      <c r="E42" s="200"/>
      <c r="F42" s="200"/>
      <c r="G42" s="207">
        <f t="shared" si="4"/>
        <v>0</v>
      </c>
    </row>
    <row r="43" spans="1:8">
      <c r="A43" s="38" t="s">
        <v>468</v>
      </c>
      <c r="B43" s="225"/>
      <c r="C43" s="200"/>
      <c r="D43" s="200"/>
      <c r="E43" s="200"/>
      <c r="F43" s="200"/>
      <c r="G43" s="207">
        <f t="shared" si="4"/>
        <v>0</v>
      </c>
    </row>
    <row r="44" spans="1:8">
      <c r="A44" s="38" t="s">
        <v>469</v>
      </c>
      <c r="B44" s="225"/>
      <c r="C44" s="200"/>
      <c r="D44" s="200"/>
      <c r="E44" s="200"/>
      <c r="F44" s="200"/>
      <c r="G44" s="207">
        <f t="shared" si="4"/>
        <v>0</v>
      </c>
    </row>
    <row r="45" spans="1:8">
      <c r="A45" s="38" t="s">
        <v>463</v>
      </c>
      <c r="B45" s="225"/>
      <c r="C45" s="200"/>
      <c r="D45" s="200"/>
      <c r="E45" s="200"/>
      <c r="F45" s="200"/>
      <c r="G45" s="207">
        <f t="shared" si="4"/>
        <v>0</v>
      </c>
    </row>
    <row r="46" spans="1:8">
      <c r="A46" s="38" t="s">
        <v>470</v>
      </c>
      <c r="B46" s="225"/>
      <c r="C46" s="200"/>
      <c r="D46" s="200"/>
      <c r="E46" s="200"/>
      <c r="F46" s="200"/>
      <c r="G46" s="207">
        <f t="shared" si="4"/>
        <v>0</v>
      </c>
    </row>
    <row r="47" spans="1:8">
      <c r="A47" s="38" t="s">
        <v>471</v>
      </c>
      <c r="B47" s="225"/>
      <c r="C47" s="200"/>
      <c r="D47" s="200"/>
      <c r="E47" s="200"/>
      <c r="F47" s="200"/>
      <c r="G47" s="207">
        <f t="shared" si="4"/>
        <v>0</v>
      </c>
    </row>
    <row r="48" spans="1:8">
      <c r="A48" s="38" t="s">
        <v>472</v>
      </c>
      <c r="B48" s="225">
        <v>57971.5</v>
      </c>
      <c r="C48" s="200" t="e">
        <f>#REF!</f>
        <v>#REF!</v>
      </c>
      <c r="D48" s="200" t="e">
        <f>#REF!</f>
        <v>#REF!</v>
      </c>
      <c r="E48" s="200">
        <v>19226.86</v>
      </c>
      <c r="F48" s="200"/>
      <c r="G48" s="207" t="e">
        <f>SUM(C48:F48)</f>
        <v>#REF!</v>
      </c>
      <c r="H48" s="223"/>
    </row>
    <row r="49" spans="1:8">
      <c r="A49" s="38" t="s">
        <v>473</v>
      </c>
      <c r="B49" s="225"/>
      <c r="C49" s="200"/>
      <c r="D49" s="200"/>
      <c r="E49" s="200"/>
      <c r="F49" s="200"/>
      <c r="G49" s="207">
        <f t="shared" si="4"/>
        <v>0</v>
      </c>
    </row>
    <row r="50" spans="1:8">
      <c r="A50" s="38" t="s">
        <v>463</v>
      </c>
      <c r="B50" s="225"/>
      <c r="C50" s="200"/>
      <c r="D50" s="200"/>
      <c r="E50" s="200"/>
      <c r="F50" s="200"/>
      <c r="G50" s="207">
        <f t="shared" si="4"/>
        <v>0</v>
      </c>
    </row>
    <row r="51" spans="1:8">
      <c r="A51" s="38" t="s">
        <v>464</v>
      </c>
      <c r="B51" s="225"/>
      <c r="C51" s="200"/>
      <c r="D51" s="200"/>
      <c r="E51" s="200"/>
      <c r="F51" s="200"/>
      <c r="G51" s="207">
        <f t="shared" si="4"/>
        <v>0</v>
      </c>
    </row>
    <row r="52" spans="1:8">
      <c r="A52" s="38" t="s">
        <v>375</v>
      </c>
      <c r="B52" s="225">
        <v>64000</v>
      </c>
      <c r="C52" s="200" t="e">
        <f>#REF!</f>
        <v>#REF!</v>
      </c>
      <c r="D52" s="200" t="e">
        <f>#REF!</f>
        <v>#REF!</v>
      </c>
      <c r="E52" s="200">
        <v>18244.38</v>
      </c>
      <c r="F52" s="200"/>
      <c r="G52" s="207" t="e">
        <f t="shared" si="4"/>
        <v>#REF!</v>
      </c>
      <c r="H52" s="223"/>
    </row>
    <row r="53" spans="1:8">
      <c r="A53" s="38" t="s">
        <v>376</v>
      </c>
      <c r="B53" s="225">
        <v>18200</v>
      </c>
      <c r="C53" s="200">
        <v>0</v>
      </c>
      <c r="D53" s="200">
        <v>15500</v>
      </c>
      <c r="E53" s="200">
        <v>2700</v>
      </c>
      <c r="F53" s="200"/>
      <c r="G53" s="207">
        <f t="shared" si="4"/>
        <v>18200</v>
      </c>
      <c r="H53" s="223"/>
    </row>
    <row r="54" spans="1:8" ht="15.95" thickBot="1">
      <c r="B54" s="225"/>
      <c r="C54" s="200"/>
      <c r="D54" s="200"/>
      <c r="E54" s="200"/>
      <c r="F54" s="200"/>
      <c r="G54" s="207">
        <f t="shared" si="4"/>
        <v>0</v>
      </c>
    </row>
    <row r="55" spans="1:8" ht="15.95" thickBot="1">
      <c r="A55" s="214" t="s">
        <v>377</v>
      </c>
      <c r="B55" s="225"/>
      <c r="C55" s="200"/>
      <c r="D55" s="200"/>
      <c r="E55" s="200"/>
      <c r="F55" s="200"/>
      <c r="G55" s="207">
        <f t="shared" si="4"/>
        <v>0</v>
      </c>
    </row>
    <row r="56" spans="1:8">
      <c r="A56" s="38" t="s">
        <v>474</v>
      </c>
      <c r="B56" s="225">
        <v>279900</v>
      </c>
      <c r="C56" s="200" t="e">
        <f>#REF!</f>
        <v>#REF!</v>
      </c>
      <c r="D56" s="200" t="e">
        <f>#REF!</f>
        <v>#REF!</v>
      </c>
      <c r="E56" s="200" t="e">
        <f>#REF!</f>
        <v>#REF!</v>
      </c>
      <c r="F56" s="200">
        <v>94101.89</v>
      </c>
      <c r="G56" s="207" t="e">
        <f t="shared" si="4"/>
        <v>#REF!</v>
      </c>
      <c r="H56" s="223"/>
    </row>
    <row r="57" spans="1:8">
      <c r="A57" s="38" t="s">
        <v>475</v>
      </c>
      <c r="B57" s="225">
        <v>21282.5</v>
      </c>
      <c r="C57" s="200">
        <v>0</v>
      </c>
      <c r="D57" s="200">
        <v>21282.5</v>
      </c>
      <c r="E57" s="200">
        <v>0</v>
      </c>
      <c r="F57" s="200">
        <v>0</v>
      </c>
      <c r="G57" s="207">
        <f t="shared" si="4"/>
        <v>21282.5</v>
      </c>
      <c r="H57" s="223"/>
    </row>
    <row r="58" spans="1:8">
      <c r="A58" s="38" t="s">
        <v>476</v>
      </c>
      <c r="B58" s="225">
        <v>84000</v>
      </c>
      <c r="C58" s="200" t="e">
        <f>#REF!</f>
        <v>#REF!</v>
      </c>
      <c r="D58" s="200" t="e">
        <f>#REF!</f>
        <v>#REF!</v>
      </c>
      <c r="E58" s="200" t="e">
        <f>#REF!</f>
        <v>#REF!</v>
      </c>
      <c r="F58" s="200">
        <v>7533</v>
      </c>
      <c r="G58" s="207" t="e">
        <f t="shared" si="4"/>
        <v>#REF!</v>
      </c>
      <c r="H58" s="223"/>
    </row>
    <row r="59" spans="1:8">
      <c r="A59" s="38" t="s">
        <v>477</v>
      </c>
      <c r="B59" s="225"/>
      <c r="C59" s="200"/>
      <c r="D59" s="200"/>
      <c r="E59" s="200"/>
      <c r="F59" s="200"/>
      <c r="G59" s="207">
        <f t="shared" si="4"/>
        <v>0</v>
      </c>
      <c r="H59" s="223"/>
    </row>
    <row r="60" spans="1:8">
      <c r="A60" s="38" t="s">
        <v>478</v>
      </c>
      <c r="B60" s="225"/>
      <c r="C60" s="200"/>
      <c r="D60" s="200"/>
      <c r="E60" s="200"/>
      <c r="F60" s="200"/>
      <c r="G60" s="207">
        <f t="shared" si="4"/>
        <v>0</v>
      </c>
      <c r="H60" s="223"/>
    </row>
    <row r="61" spans="1:8">
      <c r="A61" s="38" t="s">
        <v>479</v>
      </c>
      <c r="B61" s="225"/>
      <c r="C61" s="200"/>
      <c r="D61" s="200"/>
      <c r="E61" s="200"/>
      <c r="F61" s="200"/>
      <c r="G61" s="207">
        <f t="shared" si="4"/>
        <v>0</v>
      </c>
      <c r="H61" s="223"/>
    </row>
    <row r="62" spans="1:8">
      <c r="A62" s="38" t="s">
        <v>480</v>
      </c>
      <c r="B62" s="225">
        <v>50228</v>
      </c>
      <c r="C62" s="200">
        <v>0</v>
      </c>
      <c r="D62" s="200">
        <v>0</v>
      </c>
      <c r="E62" s="200">
        <v>28110.13</v>
      </c>
      <c r="F62" s="200">
        <v>22117.87</v>
      </c>
      <c r="G62" s="207">
        <f t="shared" si="4"/>
        <v>50228</v>
      </c>
      <c r="H62" s="223"/>
    </row>
    <row r="63" spans="1:8">
      <c r="A63" s="38" t="s">
        <v>481</v>
      </c>
      <c r="B63" s="225"/>
      <c r="C63" s="200"/>
      <c r="D63" s="200"/>
      <c r="E63" s="200"/>
      <c r="F63" s="200"/>
      <c r="G63" s="207">
        <f t="shared" si="4"/>
        <v>0</v>
      </c>
      <c r="H63" s="223"/>
    </row>
    <row r="64" spans="1:8">
      <c r="A64" s="38" t="s">
        <v>482</v>
      </c>
      <c r="B64" s="225"/>
      <c r="C64" s="200"/>
      <c r="D64" s="200"/>
      <c r="E64" s="200"/>
      <c r="F64" s="200"/>
      <c r="G64" s="207">
        <f t="shared" si="4"/>
        <v>0</v>
      </c>
      <c r="H64" s="223"/>
    </row>
    <row r="65" spans="1:8">
      <c r="A65" s="38" t="s">
        <v>483</v>
      </c>
      <c r="B65" s="225"/>
      <c r="C65" s="200"/>
      <c r="D65" s="200"/>
      <c r="E65" s="200"/>
      <c r="F65" s="200"/>
      <c r="G65" s="207">
        <f t="shared" si="4"/>
        <v>0</v>
      </c>
      <c r="H65" s="223"/>
    </row>
    <row r="66" spans="1:8">
      <c r="A66" s="38" t="s">
        <v>484</v>
      </c>
      <c r="B66" s="225"/>
      <c r="C66" s="200"/>
      <c r="D66" s="200"/>
      <c r="E66" s="200"/>
      <c r="F66" s="200"/>
      <c r="G66" s="207">
        <f t="shared" si="4"/>
        <v>0</v>
      </c>
      <c r="H66" s="223"/>
    </row>
    <row r="67" spans="1:8">
      <c r="A67" s="38" t="s">
        <v>485</v>
      </c>
      <c r="B67" s="225"/>
      <c r="C67" s="200"/>
      <c r="D67" s="200"/>
      <c r="E67" s="200"/>
      <c r="F67" s="200"/>
      <c r="G67" s="207">
        <f t="shared" si="4"/>
        <v>0</v>
      </c>
      <c r="H67" s="223"/>
    </row>
    <row r="68" spans="1:8">
      <c r="A68" s="38" t="s">
        <v>486</v>
      </c>
      <c r="B68" s="225"/>
      <c r="C68" s="200"/>
      <c r="D68" s="200"/>
      <c r="E68" s="200"/>
      <c r="F68" s="200"/>
      <c r="G68" s="207">
        <f t="shared" si="4"/>
        <v>0</v>
      </c>
      <c r="H68" s="223"/>
    </row>
    <row r="69" spans="1:8" ht="15.95" thickBot="1">
      <c r="B69" s="225"/>
      <c r="C69" s="200"/>
      <c r="D69" s="200"/>
      <c r="E69" s="200"/>
      <c r="F69" s="200"/>
      <c r="G69" s="207">
        <f t="shared" si="4"/>
        <v>0</v>
      </c>
      <c r="H69" s="223"/>
    </row>
    <row r="70" spans="1:8" ht="15.95" thickBot="1">
      <c r="A70" s="211" t="s">
        <v>487</v>
      </c>
      <c r="B70" s="212">
        <f t="shared" ref="B70:G70" si="5">SUM(B35:B69)</f>
        <v>575582</v>
      </c>
      <c r="C70" s="212" t="e">
        <f t="shared" si="5"/>
        <v>#REF!</v>
      </c>
      <c r="D70" s="212" t="e">
        <f t="shared" si="5"/>
        <v>#REF!</v>
      </c>
      <c r="E70" s="212" t="e">
        <f t="shared" si="5"/>
        <v>#REF!</v>
      </c>
      <c r="F70" s="212">
        <f t="shared" si="5"/>
        <v>123752.76</v>
      </c>
      <c r="G70" s="213" t="e">
        <f t="shared" si="5"/>
        <v>#REF!</v>
      </c>
    </row>
    <row r="71" spans="1:8" ht="15.95" thickBot="1">
      <c r="A71" s="214" t="s">
        <v>382</v>
      </c>
      <c r="B71" s="225"/>
      <c r="C71" s="200"/>
      <c r="D71" s="200"/>
      <c r="E71" s="200"/>
      <c r="F71" s="200"/>
      <c r="G71" s="207"/>
    </row>
    <row r="72" spans="1:8">
      <c r="A72" s="38" t="s">
        <v>57</v>
      </c>
      <c r="B72" s="225">
        <v>4000</v>
      </c>
      <c r="C72" s="200">
        <v>0</v>
      </c>
      <c r="D72" s="200">
        <v>0</v>
      </c>
      <c r="E72" s="200">
        <v>0</v>
      </c>
      <c r="F72" s="200">
        <v>4000</v>
      </c>
      <c r="G72" s="207">
        <f t="shared" ref="G72:G85" si="6">SUM(C72:F72)</f>
        <v>4000</v>
      </c>
      <c r="H72" s="223"/>
    </row>
    <row r="73" spans="1:8">
      <c r="A73" s="38" t="s">
        <v>59</v>
      </c>
      <c r="B73" s="225">
        <v>3525</v>
      </c>
      <c r="C73" s="200" t="e">
        <f>#REF!</f>
        <v>#REF!</v>
      </c>
      <c r="D73" s="200" t="e">
        <f>#REF!</f>
        <v>#REF!</v>
      </c>
      <c r="E73" s="200" t="e">
        <f>#REF!</f>
        <v>#REF!</v>
      </c>
      <c r="F73" s="200">
        <v>2951.71</v>
      </c>
      <c r="G73" s="207" t="e">
        <f t="shared" si="6"/>
        <v>#REF!</v>
      </c>
      <c r="H73" s="223"/>
    </row>
    <row r="74" spans="1:8">
      <c r="A74" s="38" t="s">
        <v>61</v>
      </c>
      <c r="B74" s="225">
        <v>7500</v>
      </c>
      <c r="C74" s="200" t="e">
        <f>#REF!</f>
        <v>#REF!</v>
      </c>
      <c r="D74" s="200" t="e">
        <f>#REF!</f>
        <v>#REF!</v>
      </c>
      <c r="E74" s="200" t="e">
        <f>#REF!</f>
        <v>#REF!</v>
      </c>
      <c r="F74" s="200">
        <v>2950</v>
      </c>
      <c r="G74" s="207" t="e">
        <f t="shared" si="6"/>
        <v>#REF!</v>
      </c>
      <c r="H74" s="223"/>
    </row>
    <row r="75" spans="1:8">
      <c r="A75" s="172" t="s">
        <v>488</v>
      </c>
      <c r="B75" s="225"/>
      <c r="C75" s="200"/>
      <c r="D75" s="200"/>
      <c r="E75" s="200"/>
      <c r="F75" s="200"/>
      <c r="G75" s="207">
        <f t="shared" si="6"/>
        <v>0</v>
      </c>
    </row>
    <row r="76" spans="1:8">
      <c r="A76" s="46" t="s">
        <v>489</v>
      </c>
      <c r="B76" s="225"/>
      <c r="C76" s="200"/>
      <c r="D76" s="200"/>
      <c r="E76" s="200"/>
      <c r="F76" s="200"/>
      <c r="G76" s="207">
        <f t="shared" si="6"/>
        <v>0</v>
      </c>
    </row>
    <row r="77" spans="1:8">
      <c r="A77" s="38" t="s">
        <v>170</v>
      </c>
      <c r="B77" s="225"/>
      <c r="C77" s="200"/>
      <c r="D77" s="200"/>
      <c r="E77" s="200"/>
      <c r="F77" s="200"/>
      <c r="G77" s="207">
        <f t="shared" si="6"/>
        <v>0</v>
      </c>
    </row>
    <row r="78" spans="1:8">
      <c r="A78" s="38" t="s">
        <v>490</v>
      </c>
      <c r="B78" s="225"/>
      <c r="C78" s="200"/>
      <c r="D78" s="200"/>
      <c r="E78" s="200"/>
      <c r="F78" s="200"/>
      <c r="G78" s="207">
        <f t="shared" si="6"/>
        <v>0</v>
      </c>
    </row>
    <row r="79" spans="1:8">
      <c r="A79" s="38" t="s">
        <v>491</v>
      </c>
      <c r="B79" s="225">
        <v>35000</v>
      </c>
      <c r="C79" s="200">
        <v>0</v>
      </c>
      <c r="D79" s="200">
        <v>0</v>
      </c>
      <c r="E79" s="200">
        <v>0</v>
      </c>
      <c r="F79" s="200">
        <v>35000</v>
      </c>
      <c r="G79" s="207">
        <f t="shared" si="6"/>
        <v>35000</v>
      </c>
    </row>
    <row r="80" spans="1:8">
      <c r="A80" s="38" t="s">
        <v>475</v>
      </c>
      <c r="B80" s="225"/>
      <c r="C80" s="200">
        <v>0</v>
      </c>
      <c r="D80" s="200">
        <v>0</v>
      </c>
      <c r="E80" s="200">
        <v>0</v>
      </c>
      <c r="F80" s="200">
        <v>0</v>
      </c>
      <c r="G80" s="207">
        <f t="shared" si="6"/>
        <v>0</v>
      </c>
    </row>
    <row r="81" spans="1:8">
      <c r="A81" s="38" t="s">
        <v>476</v>
      </c>
      <c r="B81" s="225">
        <v>14000</v>
      </c>
      <c r="C81" s="200">
        <v>0</v>
      </c>
      <c r="D81" s="200">
        <v>0</v>
      </c>
      <c r="E81" s="200">
        <v>1500</v>
      </c>
      <c r="F81" s="200">
        <v>12500</v>
      </c>
      <c r="G81" s="207">
        <f t="shared" si="6"/>
        <v>14000</v>
      </c>
      <c r="H81" s="223"/>
    </row>
    <row r="82" spans="1:8">
      <c r="A82" s="38" t="s">
        <v>477</v>
      </c>
      <c r="B82" s="225"/>
      <c r="C82" s="200"/>
      <c r="D82" s="200"/>
      <c r="E82" s="200"/>
      <c r="F82" s="200"/>
      <c r="G82" s="207">
        <f t="shared" si="6"/>
        <v>0</v>
      </c>
      <c r="H82" s="223"/>
    </row>
    <row r="83" spans="1:8">
      <c r="A83" s="38" t="s">
        <v>478</v>
      </c>
      <c r="B83" s="225"/>
      <c r="C83" s="200"/>
      <c r="D83" s="200"/>
      <c r="E83" s="200"/>
      <c r="F83" s="200"/>
      <c r="G83" s="207">
        <f t="shared" si="6"/>
        <v>0</v>
      </c>
      <c r="H83" s="223"/>
    </row>
    <row r="84" spans="1:8">
      <c r="A84" s="38" t="s">
        <v>479</v>
      </c>
      <c r="B84" s="225"/>
      <c r="C84" s="200"/>
      <c r="D84" s="200"/>
      <c r="E84" s="200"/>
      <c r="F84" s="200"/>
      <c r="G84" s="207">
        <f t="shared" si="6"/>
        <v>0</v>
      </c>
      <c r="H84" s="223"/>
    </row>
    <row r="85" spans="1:8" ht="15.95" thickBot="1">
      <c r="A85" s="38" t="s">
        <v>480</v>
      </c>
      <c r="B85" s="225">
        <v>30000</v>
      </c>
      <c r="C85" s="200">
        <v>0</v>
      </c>
      <c r="D85" s="200">
        <v>0</v>
      </c>
      <c r="E85" s="200">
        <v>40</v>
      </c>
      <c r="F85" s="200">
        <v>29960</v>
      </c>
      <c r="G85" s="207">
        <f t="shared" si="6"/>
        <v>30000</v>
      </c>
      <c r="H85" s="223"/>
    </row>
    <row r="86" spans="1:8" ht="15.95" thickBot="1">
      <c r="A86" s="211" t="s">
        <v>492</v>
      </c>
      <c r="B86" s="212">
        <f>SUM(B72:B85)</f>
        <v>94025</v>
      </c>
      <c r="C86" s="212" t="e">
        <f t="shared" ref="C86:F86" si="7">SUM(C72:C85)</f>
        <v>#REF!</v>
      </c>
      <c r="D86" s="212" t="e">
        <f t="shared" si="7"/>
        <v>#REF!</v>
      </c>
      <c r="E86" s="212" t="e">
        <f t="shared" si="7"/>
        <v>#REF!</v>
      </c>
      <c r="F86" s="212">
        <f t="shared" si="7"/>
        <v>87361.709999999992</v>
      </c>
      <c r="G86" s="213" t="e">
        <f>SUM(G72:G85)</f>
        <v>#REF!</v>
      </c>
    </row>
    <row r="87" spans="1:8" ht="15.95" thickBot="1">
      <c r="A87" s="214" t="s">
        <v>386</v>
      </c>
      <c r="B87" s="225"/>
      <c r="C87" s="200"/>
      <c r="D87" s="200"/>
      <c r="E87" s="200"/>
      <c r="F87" s="200"/>
      <c r="G87" s="207"/>
    </row>
    <row r="88" spans="1:8">
      <c r="A88" s="38" t="s">
        <v>63</v>
      </c>
      <c r="B88" s="225">
        <v>2500</v>
      </c>
      <c r="C88" s="200">
        <v>0</v>
      </c>
      <c r="D88" s="200">
        <v>0</v>
      </c>
      <c r="E88" s="200">
        <v>0</v>
      </c>
      <c r="F88" s="200">
        <v>2500</v>
      </c>
      <c r="G88" s="207">
        <f t="shared" ref="G88:G95" si="8">SUM(C88:F88)</f>
        <v>2500</v>
      </c>
      <c r="H88" s="223"/>
    </row>
    <row r="89" spans="1:8">
      <c r="A89" s="38" t="s">
        <v>491</v>
      </c>
      <c r="B89" s="225">
        <v>4687.5</v>
      </c>
      <c r="C89" s="200">
        <v>0</v>
      </c>
      <c r="D89" s="200">
        <v>0</v>
      </c>
      <c r="E89" s="200">
        <v>0</v>
      </c>
      <c r="F89" s="200">
        <v>4687.5</v>
      </c>
      <c r="G89" s="207">
        <f t="shared" si="8"/>
        <v>4687.5</v>
      </c>
      <c r="H89" s="223"/>
    </row>
    <row r="90" spans="1:8">
      <c r="A90" s="38" t="s">
        <v>475</v>
      </c>
      <c r="B90" s="225">
        <v>0</v>
      </c>
      <c r="C90" s="200">
        <v>0</v>
      </c>
      <c r="D90" s="200">
        <v>0</v>
      </c>
      <c r="E90" s="200">
        <v>0</v>
      </c>
      <c r="F90" s="200">
        <v>0</v>
      </c>
      <c r="G90" s="207">
        <f t="shared" si="8"/>
        <v>0</v>
      </c>
      <c r="H90" s="223"/>
    </row>
    <row r="91" spans="1:8">
      <c r="A91" s="38" t="s">
        <v>476</v>
      </c>
      <c r="B91" s="225">
        <v>1875</v>
      </c>
      <c r="C91" s="200">
        <v>0</v>
      </c>
      <c r="D91" s="200">
        <v>0</v>
      </c>
      <c r="E91" s="200">
        <v>0</v>
      </c>
      <c r="F91" s="200">
        <v>1875</v>
      </c>
      <c r="G91" s="207">
        <f t="shared" si="8"/>
        <v>1875</v>
      </c>
      <c r="H91" s="223"/>
    </row>
    <row r="92" spans="1:8">
      <c r="A92" s="38" t="s">
        <v>477</v>
      </c>
      <c r="B92" s="225"/>
      <c r="C92" s="200">
        <v>0</v>
      </c>
      <c r="D92" s="200">
        <v>0</v>
      </c>
      <c r="E92" s="200">
        <v>0</v>
      </c>
      <c r="F92" s="200">
        <v>0</v>
      </c>
      <c r="G92" s="207">
        <f t="shared" si="8"/>
        <v>0</v>
      </c>
      <c r="H92" s="223"/>
    </row>
    <row r="93" spans="1:8">
      <c r="A93" s="38" t="s">
        <v>478</v>
      </c>
      <c r="B93" s="225"/>
      <c r="C93" s="200">
        <v>0</v>
      </c>
      <c r="D93" s="200">
        <v>0</v>
      </c>
      <c r="E93" s="200">
        <v>0</v>
      </c>
      <c r="F93" s="200">
        <v>0</v>
      </c>
      <c r="G93" s="207">
        <f t="shared" si="8"/>
        <v>0</v>
      </c>
      <c r="H93" s="223"/>
    </row>
    <row r="94" spans="1:8">
      <c r="A94" s="38" t="s">
        <v>479</v>
      </c>
      <c r="B94" s="225"/>
      <c r="C94" s="200">
        <v>0</v>
      </c>
      <c r="D94" s="200">
        <v>0</v>
      </c>
      <c r="E94" s="200">
        <v>0</v>
      </c>
      <c r="F94" s="200">
        <v>0</v>
      </c>
      <c r="G94" s="207">
        <f t="shared" si="8"/>
        <v>0</v>
      </c>
      <c r="H94" s="223"/>
    </row>
    <row r="95" spans="1:8" ht="15.95" thickBot="1">
      <c r="A95" s="38" t="s">
        <v>480</v>
      </c>
      <c r="B95" s="225">
        <v>4500</v>
      </c>
      <c r="C95" s="200">
        <v>0</v>
      </c>
      <c r="D95" s="200">
        <v>0</v>
      </c>
      <c r="E95" s="200">
        <v>0</v>
      </c>
      <c r="F95" s="200">
        <v>4500</v>
      </c>
      <c r="G95" s="207">
        <f t="shared" si="8"/>
        <v>4500</v>
      </c>
      <c r="H95" s="223"/>
    </row>
    <row r="96" spans="1:8" ht="15.95" thickBot="1">
      <c r="A96" s="211" t="s">
        <v>493</v>
      </c>
      <c r="B96" s="212">
        <f>SUM(B88:B95)</f>
        <v>13562.5</v>
      </c>
      <c r="C96" s="212">
        <f t="shared" ref="C96:F96" si="9">SUM(C88:C95)</f>
        <v>0</v>
      </c>
      <c r="D96" s="212">
        <f t="shared" si="9"/>
        <v>0</v>
      </c>
      <c r="E96" s="212">
        <f t="shared" si="9"/>
        <v>0</v>
      </c>
      <c r="F96" s="212">
        <f t="shared" si="9"/>
        <v>13562.5</v>
      </c>
      <c r="G96" s="213">
        <f>SUM(G88:G95)</f>
        <v>13562.5</v>
      </c>
    </row>
    <row r="97" spans="1:8" ht="15.95" thickBot="1">
      <c r="A97" s="214" t="s">
        <v>389</v>
      </c>
      <c r="B97" s="225"/>
      <c r="C97" s="200"/>
      <c r="D97" s="200"/>
      <c r="E97" s="200"/>
      <c r="F97" s="200"/>
      <c r="G97" s="207"/>
    </row>
    <row r="98" spans="1:8">
      <c r="A98" s="172" t="s">
        <v>494</v>
      </c>
      <c r="B98" s="225">
        <v>15000</v>
      </c>
      <c r="C98" s="200" t="e">
        <f>#REF!</f>
        <v>#REF!</v>
      </c>
      <c r="D98" s="200" t="e">
        <f>#REF!</f>
        <v>#REF!</v>
      </c>
      <c r="E98" s="200">
        <v>10761.22</v>
      </c>
      <c r="F98" s="200"/>
      <c r="G98" s="207" t="e">
        <f t="shared" ref="G98:G107" si="10">SUM(C98:F98)</f>
        <v>#REF!</v>
      </c>
      <c r="H98" s="223"/>
    </row>
    <row r="99" spans="1:8">
      <c r="A99" s="38" t="s">
        <v>495</v>
      </c>
      <c r="B99" s="225"/>
      <c r="C99" s="200">
        <v>0</v>
      </c>
      <c r="D99" s="200"/>
      <c r="E99" s="200"/>
      <c r="F99" s="200"/>
      <c r="G99" s="207">
        <f t="shared" si="10"/>
        <v>0</v>
      </c>
    </row>
    <row r="100" spans="1:8">
      <c r="A100" s="46" t="s">
        <v>489</v>
      </c>
      <c r="B100" s="225"/>
      <c r="C100" s="200">
        <v>0</v>
      </c>
      <c r="D100" s="200"/>
      <c r="E100" s="200"/>
      <c r="F100" s="200"/>
      <c r="G100" s="207">
        <f t="shared" si="10"/>
        <v>0</v>
      </c>
    </row>
    <row r="101" spans="1:8">
      <c r="A101" s="38" t="s">
        <v>496</v>
      </c>
      <c r="B101" s="225">
        <v>165353</v>
      </c>
      <c r="C101" s="200">
        <v>0</v>
      </c>
      <c r="D101" s="200">
        <v>76000</v>
      </c>
      <c r="E101" s="200">
        <v>2410</v>
      </c>
      <c r="F101" s="200">
        <v>86943</v>
      </c>
      <c r="G101" s="207">
        <f t="shared" si="10"/>
        <v>165353</v>
      </c>
      <c r="H101" s="223"/>
    </row>
    <row r="102" spans="1:8">
      <c r="A102" s="38" t="s">
        <v>478</v>
      </c>
      <c r="B102" s="225"/>
      <c r="C102" s="200">
        <v>0</v>
      </c>
      <c r="D102" s="200"/>
      <c r="E102" s="200"/>
      <c r="F102" s="200"/>
      <c r="G102" s="207">
        <f t="shared" si="10"/>
        <v>0</v>
      </c>
      <c r="H102" s="223"/>
    </row>
    <row r="103" spans="1:8">
      <c r="A103" s="38" t="s">
        <v>497</v>
      </c>
      <c r="B103" s="225">
        <v>49500</v>
      </c>
      <c r="C103" s="200">
        <v>0</v>
      </c>
      <c r="D103" s="200">
        <v>0</v>
      </c>
      <c r="E103" s="200">
        <v>5596.47</v>
      </c>
      <c r="F103" s="200">
        <v>43903.53</v>
      </c>
      <c r="G103" s="207">
        <f t="shared" si="10"/>
        <v>49500</v>
      </c>
      <c r="H103" s="223"/>
    </row>
    <row r="104" spans="1:8">
      <c r="A104" s="38" t="s">
        <v>479</v>
      </c>
      <c r="B104" s="225"/>
      <c r="C104" s="200">
        <v>0</v>
      </c>
      <c r="D104" s="200"/>
      <c r="E104" s="200"/>
      <c r="F104" s="200"/>
      <c r="G104" s="207">
        <f t="shared" si="10"/>
        <v>0</v>
      </c>
      <c r="H104" s="223"/>
    </row>
    <row r="105" spans="1:8">
      <c r="A105" s="38" t="s">
        <v>477</v>
      </c>
      <c r="B105" s="225"/>
      <c r="C105" s="200">
        <v>0</v>
      </c>
      <c r="D105" s="200"/>
      <c r="E105" s="200"/>
      <c r="F105" s="200"/>
      <c r="G105" s="207">
        <f t="shared" si="10"/>
        <v>0</v>
      </c>
      <c r="H105" s="223"/>
    </row>
    <row r="106" spans="1:8">
      <c r="A106" s="38" t="s">
        <v>476</v>
      </c>
      <c r="B106" s="225">
        <v>27000</v>
      </c>
      <c r="C106" s="200">
        <v>0</v>
      </c>
      <c r="D106" s="200">
        <v>0</v>
      </c>
      <c r="E106" s="200">
        <v>0</v>
      </c>
      <c r="F106" s="200">
        <v>27000</v>
      </c>
      <c r="G106" s="207">
        <f t="shared" si="10"/>
        <v>27000</v>
      </c>
      <c r="H106" s="223"/>
    </row>
    <row r="107" spans="1:8" ht="15.95" thickBot="1">
      <c r="A107" s="38" t="s">
        <v>491</v>
      </c>
      <c r="B107" s="225">
        <v>49500</v>
      </c>
      <c r="C107" s="200">
        <v>0</v>
      </c>
      <c r="D107" s="200">
        <v>0</v>
      </c>
      <c r="E107" s="200">
        <v>0</v>
      </c>
      <c r="F107" s="200">
        <v>49500</v>
      </c>
      <c r="G107" s="207">
        <f t="shared" si="10"/>
        <v>49500</v>
      </c>
      <c r="H107" s="223"/>
    </row>
    <row r="108" spans="1:8" ht="15.95" thickBot="1">
      <c r="A108" s="211" t="s">
        <v>498</v>
      </c>
      <c r="B108" s="212">
        <f>SUM(B98:B107)</f>
        <v>306353</v>
      </c>
      <c r="C108" s="212" t="e">
        <f t="shared" ref="C108:F108" si="11">SUM(C98:C107)</f>
        <v>#REF!</v>
      </c>
      <c r="D108" s="212" t="e">
        <f t="shared" si="11"/>
        <v>#REF!</v>
      </c>
      <c r="E108" s="212">
        <f t="shared" si="11"/>
        <v>18767.689999999999</v>
      </c>
      <c r="F108" s="212">
        <f t="shared" si="11"/>
        <v>207346.53</v>
      </c>
      <c r="G108" s="213" t="e">
        <f>SUM(G98:G107)</f>
        <v>#REF!</v>
      </c>
    </row>
    <row r="109" spans="1:8" ht="15.95" thickBot="1">
      <c r="A109" s="214" t="s">
        <v>395</v>
      </c>
      <c r="B109" s="225"/>
      <c r="C109" s="200"/>
      <c r="D109" s="200"/>
      <c r="E109" s="200"/>
      <c r="F109" s="200"/>
      <c r="G109" s="207"/>
    </row>
    <row r="110" spans="1:8">
      <c r="A110" s="38" t="s">
        <v>396</v>
      </c>
      <c r="B110" s="225">
        <v>0</v>
      </c>
      <c r="C110" s="200"/>
      <c r="D110" s="200"/>
      <c r="E110" s="200"/>
      <c r="F110" s="200"/>
      <c r="G110" s="207">
        <f t="shared" ref="G110:G114" si="12">SUM(C110:F110)</f>
        <v>0</v>
      </c>
    </row>
    <row r="111" spans="1:8">
      <c r="A111" s="38" t="s">
        <v>397</v>
      </c>
      <c r="B111" s="225">
        <v>0</v>
      </c>
      <c r="C111" s="200"/>
      <c r="D111" s="200"/>
      <c r="E111" s="200"/>
      <c r="F111" s="200"/>
      <c r="G111" s="207">
        <f t="shared" si="12"/>
        <v>0</v>
      </c>
    </row>
    <row r="112" spans="1:8">
      <c r="A112" s="46" t="s">
        <v>499</v>
      </c>
      <c r="B112" s="225">
        <v>0</v>
      </c>
      <c r="C112" s="200"/>
      <c r="D112" s="200"/>
      <c r="E112" s="200"/>
      <c r="F112" s="200"/>
      <c r="G112" s="207">
        <f t="shared" si="12"/>
        <v>0</v>
      </c>
    </row>
    <row r="113" spans="1:8">
      <c r="A113" s="38" t="s">
        <v>500</v>
      </c>
      <c r="B113" s="225">
        <v>0</v>
      </c>
      <c r="C113" s="200"/>
      <c r="D113" s="200"/>
      <c r="E113" s="200"/>
      <c r="F113" s="200"/>
      <c r="G113" s="207">
        <f t="shared" si="12"/>
        <v>0</v>
      </c>
    </row>
    <row r="114" spans="1:8">
      <c r="A114" s="38" t="s">
        <v>501</v>
      </c>
      <c r="B114" s="225">
        <v>0</v>
      </c>
      <c r="C114" s="200"/>
      <c r="D114" s="200"/>
      <c r="E114" s="200"/>
      <c r="F114" s="200"/>
      <c r="G114" s="207">
        <f t="shared" si="12"/>
        <v>0</v>
      </c>
    </row>
    <row r="115" spans="1:8" ht="15.95" thickBot="1">
      <c r="B115" s="225"/>
      <c r="C115" s="200"/>
      <c r="D115" s="200"/>
      <c r="E115" s="200"/>
      <c r="F115" s="200"/>
      <c r="G115" s="207"/>
    </row>
    <row r="116" spans="1:8" ht="15.95" thickBot="1">
      <c r="A116" s="211" t="s">
        <v>502</v>
      </c>
      <c r="B116" s="212">
        <f>SUM(B110:B115)</f>
        <v>0</v>
      </c>
      <c r="C116" s="212">
        <f t="shared" ref="C116:F116" si="13">SUM(C110:C115)</f>
        <v>0</v>
      </c>
      <c r="D116" s="212">
        <f t="shared" si="13"/>
        <v>0</v>
      </c>
      <c r="E116" s="212">
        <f t="shared" si="13"/>
        <v>0</v>
      </c>
      <c r="F116" s="212">
        <f t="shared" si="13"/>
        <v>0</v>
      </c>
      <c r="G116" s="213">
        <f>SUM(G110:G115)</f>
        <v>0</v>
      </c>
    </row>
    <row r="117" spans="1:8" ht="24.6" thickBot="1">
      <c r="A117" s="214" t="s">
        <v>398</v>
      </c>
      <c r="B117" s="225"/>
      <c r="C117" s="200"/>
      <c r="D117" s="200"/>
      <c r="E117" s="200"/>
      <c r="F117" s="200"/>
      <c r="G117" s="207"/>
    </row>
    <row r="118" spans="1:8">
      <c r="A118" s="38" t="s">
        <v>65</v>
      </c>
      <c r="B118" s="225">
        <v>2375</v>
      </c>
      <c r="C118" s="200">
        <v>1391.39</v>
      </c>
      <c r="D118" s="200">
        <v>352.07</v>
      </c>
      <c r="E118" s="200">
        <v>631.54</v>
      </c>
      <c r="F118" s="200"/>
      <c r="G118" s="207">
        <f t="shared" ref="G118:G119" si="14">SUM(C118:F118)</f>
        <v>2375</v>
      </c>
      <c r="H118" s="223"/>
    </row>
    <row r="119" spans="1:8">
      <c r="A119" s="38" t="s">
        <v>67</v>
      </c>
      <c r="B119" s="225">
        <v>240</v>
      </c>
      <c r="C119" s="200"/>
      <c r="D119" s="200">
        <v>240</v>
      </c>
      <c r="E119" s="200"/>
      <c r="F119" s="200"/>
      <c r="G119" s="207">
        <f t="shared" si="14"/>
        <v>240</v>
      </c>
      <c r="H119" s="223"/>
    </row>
    <row r="120" spans="1:8" ht="15.95" thickBot="1">
      <c r="B120" s="225"/>
      <c r="C120" s="200"/>
      <c r="D120" s="200"/>
      <c r="E120" s="200"/>
      <c r="F120" s="200"/>
      <c r="G120" s="207"/>
    </row>
    <row r="121" spans="1:8" ht="15.95" thickBot="1">
      <c r="A121" s="211" t="s">
        <v>503</v>
      </c>
      <c r="B121" s="212">
        <f>SUM(B118:B120)</f>
        <v>2615</v>
      </c>
      <c r="C121" s="212">
        <f t="shared" ref="C121:F121" si="15">SUM(C118:C120)</f>
        <v>1391.39</v>
      </c>
      <c r="D121" s="212">
        <f t="shared" si="15"/>
        <v>592.06999999999994</v>
      </c>
      <c r="E121" s="212">
        <f t="shared" si="15"/>
        <v>631.54</v>
      </c>
      <c r="F121" s="212">
        <f t="shared" si="15"/>
        <v>0</v>
      </c>
      <c r="G121" s="213">
        <f>SUM(G118:G120)</f>
        <v>2615</v>
      </c>
    </row>
    <row r="122" spans="1:8" ht="15.95" thickBot="1">
      <c r="A122" s="214" t="s">
        <v>504</v>
      </c>
      <c r="B122" s="225"/>
      <c r="C122" s="200"/>
      <c r="D122" s="200"/>
      <c r="E122" s="200"/>
      <c r="F122" s="200"/>
      <c r="G122" s="207"/>
    </row>
    <row r="123" spans="1:8">
      <c r="A123" s="172" t="s">
        <v>505</v>
      </c>
      <c r="B123" s="225">
        <v>0</v>
      </c>
      <c r="C123" s="200"/>
      <c r="D123" s="200"/>
      <c r="E123" s="200"/>
      <c r="F123" s="200"/>
      <c r="G123" s="207">
        <f t="shared" ref="G123:G130" si="16">SUM(C123:F123)</f>
        <v>0</v>
      </c>
    </row>
    <row r="124" spans="1:8" ht="21.6">
      <c r="A124" s="38" t="s">
        <v>506</v>
      </c>
      <c r="B124" s="225">
        <v>0</v>
      </c>
      <c r="C124" s="200"/>
      <c r="D124" s="200"/>
      <c r="E124" s="200"/>
      <c r="F124" s="200"/>
      <c r="G124" s="207">
        <f t="shared" si="16"/>
        <v>0</v>
      </c>
    </row>
    <row r="125" spans="1:8">
      <c r="A125" s="38" t="s">
        <v>507</v>
      </c>
      <c r="B125" s="225">
        <v>0</v>
      </c>
      <c r="C125" s="200"/>
      <c r="D125" s="200"/>
      <c r="E125" s="200"/>
      <c r="F125" s="200"/>
      <c r="G125" s="207">
        <f t="shared" si="16"/>
        <v>0</v>
      </c>
    </row>
    <row r="126" spans="1:8">
      <c r="A126" s="46" t="s">
        <v>489</v>
      </c>
      <c r="B126" s="225">
        <v>0</v>
      </c>
      <c r="C126" s="200"/>
      <c r="D126" s="200"/>
      <c r="E126" s="200"/>
      <c r="F126" s="200"/>
      <c r="G126" s="207">
        <f t="shared" si="16"/>
        <v>0</v>
      </c>
    </row>
    <row r="127" spans="1:8">
      <c r="A127" s="38" t="s">
        <v>508</v>
      </c>
      <c r="B127" s="225">
        <v>0</v>
      </c>
      <c r="C127" s="200"/>
      <c r="D127" s="200"/>
      <c r="E127" s="200"/>
      <c r="F127" s="200"/>
      <c r="G127" s="207">
        <f t="shared" si="16"/>
        <v>0</v>
      </c>
    </row>
    <row r="128" spans="1:8">
      <c r="A128" s="38" t="s">
        <v>477</v>
      </c>
      <c r="B128" s="225">
        <v>0</v>
      </c>
      <c r="C128" s="200"/>
      <c r="D128" s="200"/>
      <c r="E128" s="200"/>
      <c r="F128" s="200"/>
      <c r="G128" s="207">
        <f t="shared" si="16"/>
        <v>0</v>
      </c>
    </row>
    <row r="129" spans="1:8">
      <c r="A129" s="38" t="s">
        <v>478</v>
      </c>
      <c r="B129" s="225">
        <v>0</v>
      </c>
      <c r="C129" s="200"/>
      <c r="D129" s="200"/>
      <c r="E129" s="200"/>
      <c r="F129" s="200"/>
      <c r="G129" s="207">
        <f t="shared" si="16"/>
        <v>0</v>
      </c>
    </row>
    <row r="130" spans="1:8">
      <c r="A130" s="38" t="s">
        <v>479</v>
      </c>
      <c r="B130" s="225">
        <v>0</v>
      </c>
      <c r="C130" s="200"/>
      <c r="D130" s="200"/>
      <c r="E130" s="200"/>
      <c r="F130" s="200"/>
      <c r="G130" s="207">
        <f t="shared" si="16"/>
        <v>0</v>
      </c>
    </row>
    <row r="131" spans="1:8" ht="15.95" thickBot="1">
      <c r="B131" s="225"/>
      <c r="C131" s="200"/>
      <c r="D131" s="200"/>
      <c r="E131" s="200"/>
      <c r="F131" s="200"/>
      <c r="G131" s="207"/>
    </row>
    <row r="132" spans="1:8" ht="15.95" thickBot="1">
      <c r="A132" s="211" t="s">
        <v>509</v>
      </c>
      <c r="B132" s="212">
        <f>SUM(B123:B131)</f>
        <v>0</v>
      </c>
      <c r="C132" s="212">
        <f t="shared" ref="C132:F132" si="17">SUM(C123:C131)</f>
        <v>0</v>
      </c>
      <c r="D132" s="212">
        <f t="shared" si="17"/>
        <v>0</v>
      </c>
      <c r="E132" s="212">
        <f t="shared" si="17"/>
        <v>0</v>
      </c>
      <c r="F132" s="212">
        <f t="shared" si="17"/>
        <v>0</v>
      </c>
      <c r="G132" s="213">
        <f>SUM(G123:G131)</f>
        <v>0</v>
      </c>
    </row>
    <row r="133" spans="1:8" ht="15.95" thickBot="1">
      <c r="A133" s="214" t="s">
        <v>401</v>
      </c>
      <c r="B133" s="225"/>
      <c r="C133" s="200"/>
      <c r="D133" s="200"/>
      <c r="E133" s="200"/>
      <c r="F133" s="200"/>
      <c r="G133" s="207"/>
    </row>
    <row r="134" spans="1:8">
      <c r="A134" s="38" t="s">
        <v>69</v>
      </c>
      <c r="B134" s="225">
        <v>3250</v>
      </c>
      <c r="C134" s="200">
        <v>0</v>
      </c>
      <c r="D134" s="200" t="e">
        <f>#REF!</f>
        <v>#REF!</v>
      </c>
      <c r="E134" s="200" t="e">
        <f>#REF!</f>
        <v>#REF!</v>
      </c>
      <c r="F134" s="200">
        <v>101.44</v>
      </c>
      <c r="G134" s="207" t="e">
        <f t="shared" ref="G134:G140" si="18">SUM(C134:F134)</f>
        <v>#REF!</v>
      </c>
      <c r="H134" s="223"/>
    </row>
    <row r="135" spans="1:8">
      <c r="A135" s="216" t="s">
        <v>71</v>
      </c>
      <c r="B135" s="225">
        <v>2500</v>
      </c>
      <c r="C135" s="200">
        <v>0</v>
      </c>
      <c r="D135" s="200" t="e">
        <f>#REF!</f>
        <v>#REF!</v>
      </c>
      <c r="E135" s="200" t="e">
        <f>#REF!</f>
        <v>#REF!</v>
      </c>
      <c r="F135" s="200">
        <v>1260.5899999999999</v>
      </c>
      <c r="G135" s="207" t="e">
        <f t="shared" si="18"/>
        <v>#REF!</v>
      </c>
      <c r="H135" s="223"/>
    </row>
    <row r="136" spans="1:8">
      <c r="A136" s="216" t="s">
        <v>73</v>
      </c>
      <c r="B136" s="225">
        <v>4000</v>
      </c>
      <c r="C136" s="200">
        <v>0</v>
      </c>
      <c r="D136" s="200" t="e">
        <f>#REF!</f>
        <v>#REF!</v>
      </c>
      <c r="E136" s="200" t="e">
        <f>#REF!</f>
        <v>#REF!</v>
      </c>
      <c r="F136" s="200">
        <v>1241.25</v>
      </c>
      <c r="G136" s="207" t="e">
        <f t="shared" si="18"/>
        <v>#REF!</v>
      </c>
      <c r="H136" s="223"/>
    </row>
    <row r="137" spans="1:8">
      <c r="A137" s="216" t="s">
        <v>75</v>
      </c>
      <c r="B137" s="225">
        <v>2500</v>
      </c>
      <c r="C137" s="200">
        <v>0</v>
      </c>
      <c r="D137" s="200" t="e">
        <f>#REF!</f>
        <v>#REF!</v>
      </c>
      <c r="E137" s="200" t="e">
        <f>#REF!</f>
        <v>#REF!</v>
      </c>
      <c r="F137" s="200">
        <v>1455.18</v>
      </c>
      <c r="G137" s="207" t="e">
        <f t="shared" si="18"/>
        <v>#REF!</v>
      </c>
      <c r="H137" s="223"/>
    </row>
    <row r="138" spans="1:8">
      <c r="A138" s="217" t="s">
        <v>489</v>
      </c>
      <c r="B138" s="225"/>
      <c r="C138" s="200"/>
      <c r="D138" s="200"/>
      <c r="E138" s="200"/>
      <c r="F138" s="200"/>
      <c r="G138" s="207">
        <f t="shared" si="18"/>
        <v>0</v>
      </c>
      <c r="H138" s="223"/>
    </row>
    <row r="139" spans="1:8">
      <c r="A139" s="216" t="s">
        <v>510</v>
      </c>
      <c r="B139" s="225"/>
      <c r="C139" s="200"/>
      <c r="D139" s="200"/>
      <c r="E139" s="200"/>
      <c r="F139" s="200"/>
      <c r="G139" s="207">
        <f t="shared" si="18"/>
        <v>0</v>
      </c>
    </row>
    <row r="140" spans="1:8">
      <c r="A140" s="216" t="s">
        <v>406</v>
      </c>
      <c r="B140" s="225"/>
      <c r="C140" s="200"/>
      <c r="D140" s="200"/>
      <c r="E140" s="200"/>
      <c r="F140" s="200"/>
      <c r="G140" s="207">
        <f t="shared" si="18"/>
        <v>0</v>
      </c>
    </row>
    <row r="141" spans="1:8" ht="15.95" thickBot="1">
      <c r="B141" s="225"/>
      <c r="C141" s="200"/>
      <c r="D141" s="200"/>
      <c r="E141" s="200"/>
      <c r="F141" s="200"/>
      <c r="G141" s="207"/>
    </row>
    <row r="142" spans="1:8" ht="15.95" thickBot="1">
      <c r="A142" s="211" t="s">
        <v>511</v>
      </c>
      <c r="B142" s="212">
        <f>SUM(B134:B141)</f>
        <v>12250</v>
      </c>
      <c r="C142" s="212">
        <f t="shared" ref="C142:F142" si="19">SUM(C134:C141)</f>
        <v>0</v>
      </c>
      <c r="D142" s="212" t="e">
        <f t="shared" si="19"/>
        <v>#REF!</v>
      </c>
      <c r="E142" s="212" t="e">
        <f t="shared" si="19"/>
        <v>#REF!</v>
      </c>
      <c r="F142" s="212">
        <f t="shared" si="19"/>
        <v>4058.46</v>
      </c>
      <c r="G142" s="213" t="e">
        <f>SUM(G134:G141)</f>
        <v>#REF!</v>
      </c>
    </row>
    <row r="143" spans="1:8" ht="15.95" thickBot="1">
      <c r="A143" s="214" t="s">
        <v>407</v>
      </c>
      <c r="B143" s="225"/>
      <c r="C143" s="200"/>
      <c r="D143" s="200"/>
      <c r="E143" s="200"/>
      <c r="F143" s="200"/>
      <c r="G143" s="207"/>
    </row>
    <row r="144" spans="1:8">
      <c r="A144" s="38" t="s">
        <v>512</v>
      </c>
      <c r="B144" s="225">
        <v>1000</v>
      </c>
      <c r="C144" s="200">
        <v>1000</v>
      </c>
      <c r="D144" s="200"/>
      <c r="E144" s="200"/>
      <c r="F144" s="200"/>
      <c r="G144" s="207">
        <f t="shared" ref="G144:G148" si="20">SUM(C144:F144)</f>
        <v>1000</v>
      </c>
      <c r="H144" s="223"/>
    </row>
    <row r="145" spans="1:8">
      <c r="A145" s="38" t="s">
        <v>513</v>
      </c>
      <c r="B145" s="225"/>
      <c r="C145" s="200"/>
      <c r="D145" s="200"/>
      <c r="E145" s="200"/>
      <c r="F145" s="200"/>
      <c r="G145" s="207">
        <f t="shared" si="20"/>
        <v>0</v>
      </c>
      <c r="H145" s="223"/>
    </row>
    <row r="146" spans="1:8">
      <c r="A146" s="38" t="s">
        <v>514</v>
      </c>
      <c r="B146" s="225">
        <v>1080</v>
      </c>
      <c r="C146" s="200">
        <v>1080</v>
      </c>
      <c r="D146" s="200"/>
      <c r="E146" s="200"/>
      <c r="F146" s="200"/>
      <c r="G146" s="207">
        <f t="shared" si="20"/>
        <v>1080</v>
      </c>
      <c r="H146" s="223"/>
    </row>
    <row r="147" spans="1:8">
      <c r="A147" s="38" t="s">
        <v>513</v>
      </c>
      <c r="B147" s="225"/>
      <c r="C147" s="200"/>
      <c r="D147" s="200"/>
      <c r="E147" s="200"/>
      <c r="F147" s="200"/>
      <c r="G147" s="207">
        <f t="shared" si="20"/>
        <v>0</v>
      </c>
    </row>
    <row r="148" spans="1:8">
      <c r="A148" s="38" t="s">
        <v>77</v>
      </c>
      <c r="B148" s="225"/>
      <c r="C148" s="200"/>
      <c r="D148" s="200"/>
      <c r="E148" s="200"/>
      <c r="F148" s="200"/>
      <c r="G148" s="207">
        <f t="shared" si="20"/>
        <v>0</v>
      </c>
    </row>
    <row r="149" spans="1:8" ht="15.95" thickBot="1">
      <c r="B149" s="225"/>
      <c r="C149" s="200"/>
      <c r="D149" s="200"/>
      <c r="E149" s="200"/>
      <c r="F149" s="200"/>
      <c r="G149" s="207"/>
    </row>
    <row r="150" spans="1:8" ht="15.95" thickBot="1">
      <c r="A150" s="211" t="s">
        <v>515</v>
      </c>
      <c r="B150" s="212">
        <f>SUM(B144:B149)</f>
        <v>2080</v>
      </c>
      <c r="C150" s="212">
        <f t="shared" ref="C150:F150" si="21">SUM(C144:C149)</f>
        <v>2080</v>
      </c>
      <c r="D150" s="212">
        <f t="shared" si="21"/>
        <v>0</v>
      </c>
      <c r="E150" s="212">
        <f t="shared" si="21"/>
        <v>0</v>
      </c>
      <c r="F150" s="212">
        <f t="shared" si="21"/>
        <v>0</v>
      </c>
      <c r="G150" s="213">
        <f>SUM(G144:G149)</f>
        <v>2080</v>
      </c>
    </row>
    <row r="151" spans="1:8" ht="15.95" thickBot="1">
      <c r="A151" s="214" t="s">
        <v>410</v>
      </c>
      <c r="B151" s="225"/>
      <c r="C151" s="200"/>
      <c r="D151" s="200"/>
      <c r="E151" s="200"/>
      <c r="F151" s="200"/>
      <c r="G151" s="207"/>
    </row>
    <row r="152" spans="1:8">
      <c r="A152" s="38" t="s">
        <v>516</v>
      </c>
      <c r="B152" s="225"/>
      <c r="C152" s="200"/>
      <c r="D152" s="200"/>
      <c r="E152" s="200"/>
      <c r="F152" s="200"/>
      <c r="G152" s="207">
        <f t="shared" ref="G152:G181" si="22">SUM(C152:F152)</f>
        <v>0</v>
      </c>
    </row>
    <row r="153" spans="1:8">
      <c r="A153" s="38" t="s">
        <v>517</v>
      </c>
      <c r="B153" s="225">
        <v>36743</v>
      </c>
      <c r="C153" s="200" t="e">
        <f>#REF!</f>
        <v>#REF!</v>
      </c>
      <c r="D153" s="200" t="e">
        <f>#REF!</f>
        <v>#REF!</v>
      </c>
      <c r="E153" s="200">
        <v>253.36</v>
      </c>
      <c r="F153" s="200"/>
      <c r="G153" s="207" t="e">
        <f t="shared" si="22"/>
        <v>#REF!</v>
      </c>
      <c r="H153" s="223"/>
    </row>
    <row r="154" spans="1:8">
      <c r="A154" s="38" t="s">
        <v>518</v>
      </c>
      <c r="B154" s="225">
        <v>34500</v>
      </c>
      <c r="C154" s="200"/>
      <c r="D154" s="200"/>
      <c r="E154" s="200"/>
      <c r="F154" s="200">
        <v>34500</v>
      </c>
      <c r="G154" s="207">
        <f t="shared" si="22"/>
        <v>34500</v>
      </c>
      <c r="H154" s="223"/>
    </row>
    <row r="155" spans="1:8">
      <c r="A155" s="38" t="s">
        <v>519</v>
      </c>
      <c r="B155" s="225"/>
      <c r="C155" s="200"/>
      <c r="D155" s="200"/>
      <c r="E155" s="200"/>
      <c r="F155" s="200"/>
      <c r="G155" s="207">
        <f t="shared" si="22"/>
        <v>0</v>
      </c>
    </row>
    <row r="156" spans="1:8">
      <c r="A156" s="201" t="s">
        <v>520</v>
      </c>
      <c r="B156" s="225"/>
      <c r="C156" s="200"/>
      <c r="D156" s="200"/>
      <c r="E156" s="200"/>
      <c r="F156" s="200"/>
      <c r="G156" s="207">
        <f t="shared" si="22"/>
        <v>0</v>
      </c>
    </row>
    <row r="157" spans="1:8">
      <c r="A157" s="201" t="s">
        <v>413</v>
      </c>
      <c r="B157" s="225">
        <v>10000</v>
      </c>
      <c r="C157" s="200"/>
      <c r="D157" s="200"/>
      <c r="E157" s="200"/>
      <c r="F157" s="200">
        <v>10000</v>
      </c>
      <c r="G157" s="207">
        <f t="shared" si="22"/>
        <v>10000</v>
      </c>
      <c r="H157" s="223"/>
    </row>
    <row r="158" spans="1:8">
      <c r="A158" s="201" t="s">
        <v>521</v>
      </c>
      <c r="B158" s="225">
        <v>3638.24</v>
      </c>
      <c r="C158" s="200">
        <v>3638.24</v>
      </c>
      <c r="D158" s="200"/>
      <c r="E158" s="200"/>
      <c r="F158" s="200"/>
      <c r="G158" s="207">
        <f t="shared" si="22"/>
        <v>3638.24</v>
      </c>
      <c r="H158" s="223"/>
    </row>
    <row r="159" spans="1:8">
      <c r="A159" s="46" t="s">
        <v>522</v>
      </c>
      <c r="B159" s="225"/>
      <c r="C159" s="200"/>
      <c r="D159" s="200"/>
      <c r="E159" s="200"/>
      <c r="F159" s="200"/>
      <c r="G159" s="207">
        <f t="shared" si="22"/>
        <v>0</v>
      </c>
    </row>
    <row r="160" spans="1:8">
      <c r="A160" s="38" t="s">
        <v>523</v>
      </c>
      <c r="B160" s="225"/>
      <c r="C160" s="200"/>
      <c r="D160" s="200"/>
      <c r="E160" s="200"/>
      <c r="F160" s="200"/>
      <c r="G160" s="207">
        <f t="shared" si="22"/>
        <v>0</v>
      </c>
    </row>
    <row r="161" spans="1:8">
      <c r="A161" s="38" t="s">
        <v>524</v>
      </c>
      <c r="B161" s="225">
        <v>2200</v>
      </c>
      <c r="C161" s="200">
        <v>490</v>
      </c>
      <c r="D161" s="200">
        <v>0</v>
      </c>
      <c r="E161" s="200">
        <v>0</v>
      </c>
      <c r="F161" s="200">
        <v>1710</v>
      </c>
      <c r="G161" s="207">
        <f t="shared" si="22"/>
        <v>2200</v>
      </c>
      <c r="H161" s="223"/>
    </row>
    <row r="162" spans="1:8">
      <c r="A162" s="38" t="s">
        <v>525</v>
      </c>
      <c r="B162" s="225">
        <v>6600</v>
      </c>
      <c r="C162" s="200" t="e">
        <f>#REF!</f>
        <v>#REF!</v>
      </c>
      <c r="D162" s="200">
        <v>2500</v>
      </c>
      <c r="E162" s="200">
        <v>2618.89</v>
      </c>
      <c r="F162" s="200">
        <v>1000</v>
      </c>
      <c r="G162" s="207" t="e">
        <f t="shared" si="22"/>
        <v>#REF!</v>
      </c>
      <c r="H162" s="223"/>
    </row>
    <row r="163" spans="1:8">
      <c r="A163" s="218" t="s">
        <v>526</v>
      </c>
      <c r="B163" s="225">
        <v>1500</v>
      </c>
      <c r="C163" s="200">
        <v>0</v>
      </c>
      <c r="D163" s="200" t="e">
        <f>#REF!</f>
        <v>#REF!</v>
      </c>
      <c r="E163" s="200" t="e">
        <f>#REF!</f>
        <v>#REF!</v>
      </c>
      <c r="F163" s="200">
        <v>945.7</v>
      </c>
      <c r="G163" s="207" t="e">
        <f t="shared" si="22"/>
        <v>#REF!</v>
      </c>
      <c r="H163" s="223"/>
    </row>
    <row r="164" spans="1:8">
      <c r="A164" s="218" t="s">
        <v>527</v>
      </c>
      <c r="B164" s="225">
        <v>7000</v>
      </c>
      <c r="C164" s="200" t="e">
        <f>#REF!</f>
        <v>#REF!</v>
      </c>
      <c r="D164" s="200" t="e">
        <f>#REF!</f>
        <v>#REF!</v>
      </c>
      <c r="E164" s="200" t="e">
        <f>#REF!</f>
        <v>#REF!</v>
      </c>
      <c r="F164" s="200">
        <v>1106.51</v>
      </c>
      <c r="G164" s="207" t="e">
        <f t="shared" si="22"/>
        <v>#REF!</v>
      </c>
      <c r="H164" s="223"/>
    </row>
    <row r="165" spans="1:8">
      <c r="A165" s="218" t="s">
        <v>528</v>
      </c>
      <c r="B165" s="225">
        <v>14000</v>
      </c>
      <c r="C165" s="200" t="e">
        <f>#REF!</f>
        <v>#REF!</v>
      </c>
      <c r="D165" s="200" t="e">
        <f>#REF!</f>
        <v>#REF!</v>
      </c>
      <c r="E165" s="200" t="e">
        <f>#REF!</f>
        <v>#REF!</v>
      </c>
      <c r="F165" s="200">
        <v>1294.46</v>
      </c>
      <c r="G165" s="207" t="e">
        <f t="shared" si="22"/>
        <v>#REF!</v>
      </c>
      <c r="H165" s="223"/>
    </row>
    <row r="166" spans="1:8">
      <c r="A166" s="38" t="s">
        <v>529</v>
      </c>
      <c r="B166" s="225">
        <v>500</v>
      </c>
      <c r="C166" s="200" t="e">
        <f>#REF!</f>
        <v>#REF!</v>
      </c>
      <c r="D166" s="200" t="e">
        <f>#REF!</f>
        <v>#REF!</v>
      </c>
      <c r="E166" s="200">
        <v>53.25</v>
      </c>
      <c r="F166" s="200"/>
      <c r="G166" s="207" t="e">
        <f t="shared" si="22"/>
        <v>#REF!</v>
      </c>
      <c r="H166" s="223"/>
    </row>
    <row r="167" spans="1:8">
      <c r="A167" s="46" t="s">
        <v>530</v>
      </c>
      <c r="B167" s="225"/>
      <c r="C167" s="200"/>
      <c r="D167" s="200"/>
      <c r="E167" s="200"/>
      <c r="F167" s="200"/>
      <c r="G167" s="207">
        <f t="shared" si="22"/>
        <v>0</v>
      </c>
      <c r="H167" s="223"/>
    </row>
    <row r="168" spans="1:8">
      <c r="A168" s="38" t="s">
        <v>531</v>
      </c>
      <c r="B168" s="225"/>
      <c r="C168" s="200"/>
      <c r="D168" s="200"/>
      <c r="E168" s="200"/>
      <c r="F168" s="200"/>
      <c r="G168" s="207">
        <f t="shared" si="22"/>
        <v>0</v>
      </c>
      <c r="H168" s="223"/>
    </row>
    <row r="169" spans="1:8">
      <c r="A169" s="38" t="s">
        <v>532</v>
      </c>
      <c r="B169" s="225">
        <v>3000</v>
      </c>
      <c r="C169" s="200" t="e">
        <f>#REF!</f>
        <v>#REF!</v>
      </c>
      <c r="D169" s="200" t="e">
        <f>#REF!</f>
        <v>#REF!</v>
      </c>
      <c r="E169" s="200">
        <v>1500</v>
      </c>
      <c r="F169" s="200">
        <v>222.44</v>
      </c>
      <c r="G169" s="207" t="e">
        <f t="shared" si="22"/>
        <v>#REF!</v>
      </c>
      <c r="H169" s="223"/>
    </row>
    <row r="170" spans="1:8">
      <c r="A170" s="46" t="s">
        <v>533</v>
      </c>
      <c r="B170" s="225"/>
      <c r="C170" s="200"/>
      <c r="D170" s="200"/>
      <c r="E170" s="200"/>
      <c r="F170" s="200"/>
      <c r="G170" s="207">
        <f t="shared" si="22"/>
        <v>0</v>
      </c>
      <c r="H170" s="223"/>
    </row>
    <row r="171" spans="1:8">
      <c r="A171" s="38" t="s">
        <v>534</v>
      </c>
      <c r="B171" s="225">
        <v>17500</v>
      </c>
      <c r="C171" s="200" t="e">
        <f>#REF!</f>
        <v>#REF!</v>
      </c>
      <c r="D171" s="200" t="e">
        <f>#REF!</f>
        <v>#REF!</v>
      </c>
      <c r="E171" s="200">
        <v>17500</v>
      </c>
      <c r="F171" s="200">
        <v>0</v>
      </c>
      <c r="G171" s="207" t="e">
        <f t="shared" si="22"/>
        <v>#REF!</v>
      </c>
      <c r="H171" s="223"/>
    </row>
    <row r="172" spans="1:8">
      <c r="A172" s="38" t="s">
        <v>205</v>
      </c>
      <c r="B172" s="225">
        <v>17500</v>
      </c>
      <c r="C172" s="200">
        <v>0</v>
      </c>
      <c r="D172" s="200">
        <v>0</v>
      </c>
      <c r="E172" s="200">
        <v>0</v>
      </c>
      <c r="F172" s="200">
        <v>17500</v>
      </c>
      <c r="G172" s="207">
        <f t="shared" si="22"/>
        <v>17500</v>
      </c>
    </row>
    <row r="173" spans="1:8">
      <c r="A173" s="46" t="s">
        <v>535</v>
      </c>
      <c r="B173" s="225"/>
      <c r="C173" s="200"/>
      <c r="D173" s="200"/>
      <c r="E173" s="200"/>
      <c r="F173" s="200"/>
      <c r="G173" s="207">
        <f t="shared" si="22"/>
        <v>0</v>
      </c>
    </row>
    <row r="174" spans="1:8">
      <c r="A174" s="38" t="s">
        <v>491</v>
      </c>
      <c r="B174" s="225">
        <v>29188.400000000001</v>
      </c>
      <c r="C174" s="200" t="e">
        <f>#REF!</f>
        <v>#REF!</v>
      </c>
      <c r="D174" s="200" t="e">
        <f>#REF!</f>
        <v>#REF!</v>
      </c>
      <c r="E174" s="200" t="e">
        <f>#REF!</f>
        <v>#REF!</v>
      </c>
      <c r="F174" s="200">
        <v>9188.4</v>
      </c>
      <c r="G174" s="207" t="e">
        <f t="shared" si="22"/>
        <v>#REF!</v>
      </c>
      <c r="H174" s="223"/>
    </row>
    <row r="175" spans="1:8">
      <c r="A175" s="38" t="s">
        <v>475</v>
      </c>
      <c r="B175" s="225">
        <v>12485</v>
      </c>
      <c r="C175" s="200" t="e">
        <f>#REF!</f>
        <v>#REF!</v>
      </c>
      <c r="D175" s="200" t="e">
        <f>#REF!</f>
        <v>#REF!</v>
      </c>
      <c r="E175" s="200">
        <v>5485</v>
      </c>
      <c r="F175" s="200">
        <v>0</v>
      </c>
      <c r="G175" s="207" t="e">
        <f t="shared" si="22"/>
        <v>#REF!</v>
      </c>
      <c r="H175" s="223"/>
    </row>
    <row r="176" spans="1:8">
      <c r="A176" s="38" t="s">
        <v>476</v>
      </c>
      <c r="B176" s="225">
        <v>39296</v>
      </c>
      <c r="C176" s="200" t="e">
        <f>#REF!</f>
        <v>#REF!</v>
      </c>
      <c r="D176" s="200" t="e">
        <f>#REF!</f>
        <v>#REF!</v>
      </c>
      <c r="E176" s="200" t="e">
        <f>#REF!</f>
        <v>#REF!</v>
      </c>
      <c r="F176" s="200">
        <v>24296</v>
      </c>
      <c r="G176" s="207" t="e">
        <f t="shared" si="22"/>
        <v>#REF!</v>
      </c>
      <c r="H176" s="223"/>
    </row>
    <row r="177" spans="1:8">
      <c r="A177" s="195" t="s">
        <v>536</v>
      </c>
      <c r="B177" s="225"/>
      <c r="C177" s="200"/>
      <c r="D177" s="200"/>
      <c r="E177" s="200"/>
      <c r="F177" s="200"/>
      <c r="G177" s="207">
        <f t="shared" si="22"/>
        <v>0</v>
      </c>
      <c r="H177" s="223"/>
    </row>
    <row r="178" spans="1:8">
      <c r="A178" s="38" t="s">
        <v>477</v>
      </c>
      <c r="B178" s="225"/>
      <c r="C178" s="200"/>
      <c r="D178" s="200"/>
      <c r="E178" s="200"/>
      <c r="F178" s="200"/>
      <c r="G178" s="207">
        <f t="shared" si="22"/>
        <v>0</v>
      </c>
      <c r="H178" s="223"/>
    </row>
    <row r="179" spans="1:8">
      <c r="A179" s="38" t="s">
        <v>478</v>
      </c>
      <c r="B179" s="225"/>
      <c r="C179" s="200"/>
      <c r="D179" s="200"/>
      <c r="E179" s="200"/>
      <c r="F179" s="200"/>
      <c r="G179" s="207">
        <f t="shared" si="22"/>
        <v>0</v>
      </c>
      <c r="H179" s="223"/>
    </row>
    <row r="180" spans="1:8">
      <c r="A180" s="38" t="s">
        <v>479</v>
      </c>
      <c r="B180" s="225"/>
      <c r="C180" s="200"/>
      <c r="D180" s="200"/>
      <c r="E180" s="200"/>
      <c r="F180" s="200"/>
      <c r="G180" s="207">
        <f t="shared" si="22"/>
        <v>0</v>
      </c>
    </row>
    <row r="181" spans="1:8">
      <c r="A181" s="38" t="s">
        <v>167</v>
      </c>
      <c r="B181" s="225">
        <v>1000</v>
      </c>
      <c r="C181" s="200">
        <v>0</v>
      </c>
      <c r="D181" s="200" t="e">
        <f>#REF!</f>
        <v>#REF!</v>
      </c>
      <c r="E181" s="200">
        <v>411.07</v>
      </c>
      <c r="F181" s="200">
        <v>0</v>
      </c>
      <c r="G181" s="207" t="e">
        <f t="shared" si="22"/>
        <v>#REF!</v>
      </c>
      <c r="H181" s="223"/>
    </row>
    <row r="182" spans="1:8" ht="15.95" thickBot="1">
      <c r="B182" s="225"/>
      <c r="C182" s="200"/>
      <c r="D182" s="200"/>
      <c r="E182" s="200"/>
      <c r="F182" s="200"/>
      <c r="G182" s="207"/>
    </row>
    <row r="183" spans="1:8" ht="15.95" thickBot="1">
      <c r="A183" s="211" t="s">
        <v>537</v>
      </c>
      <c r="B183" s="212">
        <f t="shared" ref="B183:G183" si="23">SUM(B152:B182)</f>
        <v>236650.63999999998</v>
      </c>
      <c r="C183" s="212" t="e">
        <f t="shared" si="23"/>
        <v>#REF!</v>
      </c>
      <c r="D183" s="212" t="e">
        <f t="shared" si="23"/>
        <v>#REF!</v>
      </c>
      <c r="E183" s="212" t="e">
        <f t="shared" si="23"/>
        <v>#REF!</v>
      </c>
      <c r="F183" s="212">
        <f t="shared" si="23"/>
        <v>101763.51</v>
      </c>
      <c r="G183" s="213" t="e">
        <f t="shared" si="23"/>
        <v>#REF!</v>
      </c>
    </row>
    <row r="184" spans="1:8" ht="15.95" thickBot="1">
      <c r="A184" s="214" t="s">
        <v>429</v>
      </c>
      <c r="B184" s="225"/>
      <c r="C184" s="200"/>
      <c r="D184" s="200"/>
      <c r="E184" s="200"/>
      <c r="F184" s="200"/>
      <c r="G184" s="207"/>
    </row>
    <row r="185" spans="1:8">
      <c r="A185" s="38" t="s">
        <v>88</v>
      </c>
      <c r="B185" s="148">
        <f>2350/2</f>
        <v>1175</v>
      </c>
      <c r="C185" s="148">
        <v>0</v>
      </c>
      <c r="D185" s="148">
        <v>0</v>
      </c>
      <c r="E185" s="148">
        <v>0</v>
      </c>
      <c r="F185" s="148">
        <v>1175</v>
      </c>
      <c r="G185" s="207">
        <f t="shared" ref="G185:G186" si="24">SUM(C185:F185)</f>
        <v>1175</v>
      </c>
    </row>
    <row r="186" spans="1:8">
      <c r="A186" s="38" t="s">
        <v>90</v>
      </c>
      <c r="B186" s="148">
        <v>2250</v>
      </c>
      <c r="C186" s="148">
        <v>0</v>
      </c>
      <c r="D186" s="148">
        <v>0</v>
      </c>
      <c r="E186" s="148">
        <v>0</v>
      </c>
      <c r="F186" s="148">
        <v>2250</v>
      </c>
      <c r="G186" s="207">
        <f t="shared" si="24"/>
        <v>2250</v>
      </c>
    </row>
    <row r="187" spans="1:8" ht="15.95" thickBot="1">
      <c r="B187" s="225"/>
      <c r="C187" s="200"/>
      <c r="D187" s="200"/>
      <c r="E187" s="200"/>
      <c r="F187" s="200"/>
      <c r="G187" s="207"/>
    </row>
    <row r="188" spans="1:8" ht="15.95" thickBot="1">
      <c r="A188" s="211" t="s">
        <v>538</v>
      </c>
      <c r="B188" s="212">
        <f>SUM(B185:B187)</f>
        <v>3425</v>
      </c>
      <c r="C188" s="212">
        <f t="shared" ref="C188:F188" si="25">SUM(C185:C187)</f>
        <v>0</v>
      </c>
      <c r="D188" s="212">
        <f t="shared" si="25"/>
        <v>0</v>
      </c>
      <c r="E188" s="212">
        <f t="shared" si="25"/>
        <v>0</v>
      </c>
      <c r="F188" s="212">
        <f t="shared" si="25"/>
        <v>3425</v>
      </c>
      <c r="G188" s="213">
        <f>SUM(G185:G187)</f>
        <v>3425</v>
      </c>
    </row>
    <row r="189" spans="1:8" ht="15.95" thickBot="1">
      <c r="A189" s="206"/>
      <c r="B189" s="148"/>
      <c r="C189" s="148"/>
      <c r="D189" s="148"/>
      <c r="E189" s="148"/>
      <c r="F189" s="148"/>
      <c r="G189" s="148"/>
    </row>
    <row r="190" spans="1:8" ht="15.95" thickBot="1">
      <c r="A190" s="211" t="s">
        <v>539</v>
      </c>
      <c r="B190" s="212">
        <f t="shared" ref="B190:G190" si="26">B188+B183+B150+B142+B132+B121+B116+B108+B96+B86+B70+B34+B17+B15+B11</f>
        <v>2258149.4400000004</v>
      </c>
      <c r="C190" s="212" t="e">
        <f t="shared" si="26"/>
        <v>#REF!</v>
      </c>
      <c r="D190" s="212" t="e">
        <f t="shared" si="26"/>
        <v>#REF!</v>
      </c>
      <c r="E190" s="212" t="e">
        <f t="shared" si="26"/>
        <v>#REF!</v>
      </c>
      <c r="F190" s="212">
        <f t="shared" si="26"/>
        <v>864957.12</v>
      </c>
      <c r="G190" s="213" t="e">
        <f t="shared" si="26"/>
        <v>#REF!</v>
      </c>
    </row>
    <row r="191" spans="1:8">
      <c r="A191" s="46" t="s">
        <v>540</v>
      </c>
      <c r="B191" s="225"/>
      <c r="C191" s="200"/>
      <c r="D191" s="200"/>
      <c r="E191" s="200"/>
      <c r="F191" s="200"/>
      <c r="G191" s="207">
        <f t="shared" ref="G191:G194" si="27">SUM(C191:F191)</f>
        <v>0</v>
      </c>
    </row>
    <row r="192" spans="1:8">
      <c r="A192" s="46"/>
      <c r="B192" s="225"/>
      <c r="C192" s="200"/>
      <c r="D192" s="200"/>
      <c r="E192" s="200"/>
      <c r="F192" s="200"/>
      <c r="G192" s="207">
        <f t="shared" si="27"/>
        <v>0</v>
      </c>
    </row>
    <row r="193" spans="1:7">
      <c r="A193" s="46" t="s">
        <v>234</v>
      </c>
      <c r="B193" s="225"/>
      <c r="C193" s="200"/>
      <c r="D193" s="200"/>
      <c r="E193" s="200"/>
      <c r="F193" s="200"/>
      <c r="G193" s="207">
        <f t="shared" si="27"/>
        <v>0</v>
      </c>
    </row>
    <row r="194" spans="1:7">
      <c r="A194" s="38" t="s">
        <v>541</v>
      </c>
      <c r="B194" s="225"/>
      <c r="C194" s="200"/>
      <c r="D194" s="200"/>
      <c r="E194" s="200"/>
      <c r="F194" s="200"/>
      <c r="G194" s="207">
        <f t="shared" si="27"/>
        <v>0</v>
      </c>
    </row>
    <row r="195" spans="1:7" ht="15.95" thickBot="1">
      <c r="A195" s="206"/>
      <c r="B195" s="225"/>
      <c r="C195" s="200"/>
      <c r="D195" s="200"/>
      <c r="E195" s="200"/>
      <c r="F195" s="200"/>
      <c r="G195" s="207"/>
    </row>
    <row r="196" spans="1:7" ht="18.600000000000001" thickBot="1">
      <c r="A196" s="211" t="s">
        <v>542</v>
      </c>
      <c r="B196" s="212">
        <f>SUM(B190:B194)</f>
        <v>2258149.4400000004</v>
      </c>
      <c r="C196" s="221" t="e">
        <f t="shared" ref="C196:F196" si="28">SUM(C190:C194)</f>
        <v>#REF!</v>
      </c>
      <c r="D196" s="221" t="e">
        <f t="shared" si="28"/>
        <v>#REF!</v>
      </c>
      <c r="E196" s="221" t="e">
        <f t="shared" si="28"/>
        <v>#REF!</v>
      </c>
      <c r="F196" s="221">
        <f t="shared" si="28"/>
        <v>864957.12</v>
      </c>
      <c r="G196" s="219" t="e">
        <f>SUM(G190:G194)</f>
        <v>#REF!</v>
      </c>
    </row>
  </sheetData>
  <mergeCells count="1">
    <mergeCell ref="A1:G1"/>
  </mergeCells>
  <pageMargins left="0.7" right="0.7" top="0.75" bottom="0.75" header="0.3" footer="0.3"/>
  <pageSetup paperSize="9" orientation="portrait" horizontalDpi="0" verticalDpi="0"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62"/>
  <sheetViews>
    <sheetView showGridLines="0" workbookViewId="0">
      <selection activeCell="E132" sqref="E132"/>
    </sheetView>
  </sheetViews>
  <sheetFormatPr defaultColWidth="8" defaultRowHeight="15.6"/>
  <cols>
    <col min="1" max="1" width="43.125" customWidth="1"/>
    <col min="2" max="2" width="45.125" bestFit="1" customWidth="1"/>
    <col min="3" max="3" width="13" customWidth="1"/>
    <col min="4" max="4" width="10.125" style="128" bestFit="1" customWidth="1"/>
    <col min="255" max="255" width="43.125" customWidth="1"/>
    <col min="256" max="256" width="13" customWidth="1"/>
    <col min="257" max="257" width="12.375" bestFit="1" customWidth="1"/>
    <col min="258" max="258" width="10.125" bestFit="1" customWidth="1"/>
    <col min="259" max="259" width="13.625" customWidth="1"/>
    <col min="260" max="260" width="14.625" customWidth="1"/>
    <col min="511" max="511" width="43.125" customWidth="1"/>
    <col min="512" max="512" width="13" customWidth="1"/>
    <col min="513" max="513" width="12.375" bestFit="1" customWidth="1"/>
    <col min="514" max="514" width="10.125" bestFit="1" customWidth="1"/>
    <col min="515" max="515" width="13.625" customWidth="1"/>
    <col min="516" max="516" width="14.625" customWidth="1"/>
    <col min="767" max="767" width="43.125" customWidth="1"/>
    <col min="768" max="768" width="13" customWidth="1"/>
    <col min="769" max="769" width="12.375" bestFit="1" customWidth="1"/>
    <col min="770" max="770" width="10.125" bestFit="1" customWidth="1"/>
    <col min="771" max="771" width="13.625" customWidth="1"/>
    <col min="772" max="772" width="14.625" customWidth="1"/>
    <col min="1023" max="1023" width="43.125" customWidth="1"/>
    <col min="1024" max="1024" width="13" customWidth="1"/>
    <col min="1025" max="1025" width="12.375" bestFit="1" customWidth="1"/>
    <col min="1026" max="1026" width="10.125" bestFit="1" customWidth="1"/>
    <col min="1027" max="1027" width="13.625" customWidth="1"/>
    <col min="1028" max="1028" width="14.625" customWidth="1"/>
    <col min="1279" max="1279" width="43.125" customWidth="1"/>
    <col min="1280" max="1280" width="13" customWidth="1"/>
    <col min="1281" max="1281" width="12.375" bestFit="1" customWidth="1"/>
    <col min="1282" max="1282" width="10.125" bestFit="1" customWidth="1"/>
    <col min="1283" max="1283" width="13.625" customWidth="1"/>
    <col min="1284" max="1284" width="14.625" customWidth="1"/>
    <col min="1535" max="1535" width="43.125" customWidth="1"/>
    <col min="1536" max="1536" width="13" customWidth="1"/>
    <col min="1537" max="1537" width="12.375" bestFit="1" customWidth="1"/>
    <col min="1538" max="1538" width="10.125" bestFit="1" customWidth="1"/>
    <col min="1539" max="1539" width="13.625" customWidth="1"/>
    <col min="1540" max="1540" width="14.625" customWidth="1"/>
    <col min="1791" max="1791" width="43.125" customWidth="1"/>
    <col min="1792" max="1792" width="13" customWidth="1"/>
    <col min="1793" max="1793" width="12.375" bestFit="1" customWidth="1"/>
    <col min="1794" max="1794" width="10.125" bestFit="1" customWidth="1"/>
    <col min="1795" max="1795" width="13.625" customWidth="1"/>
    <col min="1796" max="1796" width="14.625" customWidth="1"/>
    <col min="2047" max="2047" width="43.125" customWidth="1"/>
    <col min="2048" max="2048" width="13" customWidth="1"/>
    <col min="2049" max="2049" width="12.375" bestFit="1" customWidth="1"/>
    <col min="2050" max="2050" width="10.125" bestFit="1" customWidth="1"/>
    <col min="2051" max="2051" width="13.625" customWidth="1"/>
    <col min="2052" max="2052" width="14.625" customWidth="1"/>
    <col min="2303" max="2303" width="43.125" customWidth="1"/>
    <col min="2304" max="2304" width="13" customWidth="1"/>
    <col min="2305" max="2305" width="12.375" bestFit="1" customWidth="1"/>
    <col min="2306" max="2306" width="10.125" bestFit="1" customWidth="1"/>
    <col min="2307" max="2307" width="13.625" customWidth="1"/>
    <col min="2308" max="2308" width="14.625" customWidth="1"/>
    <col min="2559" max="2559" width="43.125" customWidth="1"/>
    <col min="2560" max="2560" width="13" customWidth="1"/>
    <col min="2561" max="2561" width="12.375" bestFit="1" customWidth="1"/>
    <col min="2562" max="2562" width="10.125" bestFit="1" customWidth="1"/>
    <col min="2563" max="2563" width="13.625" customWidth="1"/>
    <col min="2564" max="2564" width="14.625" customWidth="1"/>
    <col min="2815" max="2815" width="43.125" customWidth="1"/>
    <col min="2816" max="2816" width="13" customWidth="1"/>
    <col min="2817" max="2817" width="12.375" bestFit="1" customWidth="1"/>
    <col min="2818" max="2818" width="10.125" bestFit="1" customWidth="1"/>
    <col min="2819" max="2819" width="13.625" customWidth="1"/>
    <col min="2820" max="2820" width="14.625" customWidth="1"/>
    <col min="3071" max="3071" width="43.125" customWidth="1"/>
    <col min="3072" max="3072" width="13" customWidth="1"/>
    <col min="3073" max="3073" width="12.375" bestFit="1" customWidth="1"/>
    <col min="3074" max="3074" width="10.125" bestFit="1" customWidth="1"/>
    <col min="3075" max="3075" width="13.625" customWidth="1"/>
    <col min="3076" max="3076" width="14.625" customWidth="1"/>
    <col min="3327" max="3327" width="43.125" customWidth="1"/>
    <col min="3328" max="3328" width="13" customWidth="1"/>
    <col min="3329" max="3329" width="12.375" bestFit="1" customWidth="1"/>
    <col min="3330" max="3330" width="10.125" bestFit="1" customWidth="1"/>
    <col min="3331" max="3331" width="13.625" customWidth="1"/>
    <col min="3332" max="3332" width="14.625" customWidth="1"/>
    <col min="3583" max="3583" width="43.125" customWidth="1"/>
    <col min="3584" max="3584" width="13" customWidth="1"/>
    <col min="3585" max="3585" width="12.375" bestFit="1" customWidth="1"/>
    <col min="3586" max="3586" width="10.125" bestFit="1" customWidth="1"/>
    <col min="3587" max="3587" width="13.625" customWidth="1"/>
    <col min="3588" max="3588" width="14.625" customWidth="1"/>
    <col min="3839" max="3839" width="43.125" customWidth="1"/>
    <col min="3840" max="3840" width="13" customWidth="1"/>
    <col min="3841" max="3841" width="12.375" bestFit="1" customWidth="1"/>
    <col min="3842" max="3842" width="10.125" bestFit="1" customWidth="1"/>
    <col min="3843" max="3843" width="13.625" customWidth="1"/>
    <col min="3844" max="3844" width="14.625" customWidth="1"/>
    <col min="4095" max="4095" width="43.125" customWidth="1"/>
    <col min="4096" max="4096" width="13" customWidth="1"/>
    <col min="4097" max="4097" width="12.375" bestFit="1" customWidth="1"/>
    <col min="4098" max="4098" width="10.125" bestFit="1" customWidth="1"/>
    <col min="4099" max="4099" width="13.625" customWidth="1"/>
    <col min="4100" max="4100" width="14.625" customWidth="1"/>
    <col min="4351" max="4351" width="43.125" customWidth="1"/>
    <col min="4352" max="4352" width="13" customWidth="1"/>
    <col min="4353" max="4353" width="12.375" bestFit="1" customWidth="1"/>
    <col min="4354" max="4354" width="10.125" bestFit="1" customWidth="1"/>
    <col min="4355" max="4355" width="13.625" customWidth="1"/>
    <col min="4356" max="4356" width="14.625" customWidth="1"/>
    <col min="4607" max="4607" width="43.125" customWidth="1"/>
    <col min="4608" max="4608" width="13" customWidth="1"/>
    <col min="4609" max="4609" width="12.375" bestFit="1" customWidth="1"/>
    <col min="4610" max="4610" width="10.125" bestFit="1" customWidth="1"/>
    <col min="4611" max="4611" width="13.625" customWidth="1"/>
    <col min="4612" max="4612" width="14.625" customWidth="1"/>
    <col min="4863" max="4863" width="43.125" customWidth="1"/>
    <col min="4864" max="4864" width="13" customWidth="1"/>
    <col min="4865" max="4865" width="12.375" bestFit="1" customWidth="1"/>
    <col min="4866" max="4866" width="10.125" bestFit="1" customWidth="1"/>
    <col min="4867" max="4867" width="13.625" customWidth="1"/>
    <col min="4868" max="4868" width="14.625" customWidth="1"/>
    <col min="5119" max="5119" width="43.125" customWidth="1"/>
    <col min="5120" max="5120" width="13" customWidth="1"/>
    <col min="5121" max="5121" width="12.375" bestFit="1" customWidth="1"/>
    <col min="5122" max="5122" width="10.125" bestFit="1" customWidth="1"/>
    <col min="5123" max="5123" width="13.625" customWidth="1"/>
    <col min="5124" max="5124" width="14.625" customWidth="1"/>
    <col min="5375" max="5375" width="43.125" customWidth="1"/>
    <col min="5376" max="5376" width="13" customWidth="1"/>
    <col min="5377" max="5377" width="12.375" bestFit="1" customWidth="1"/>
    <col min="5378" max="5378" width="10.125" bestFit="1" customWidth="1"/>
    <col min="5379" max="5379" width="13.625" customWidth="1"/>
    <col min="5380" max="5380" width="14.625" customWidth="1"/>
    <col min="5631" max="5631" width="43.125" customWidth="1"/>
    <col min="5632" max="5632" width="13" customWidth="1"/>
    <col min="5633" max="5633" width="12.375" bestFit="1" customWidth="1"/>
    <col min="5634" max="5634" width="10.125" bestFit="1" customWidth="1"/>
    <col min="5635" max="5635" width="13.625" customWidth="1"/>
    <col min="5636" max="5636" width="14.625" customWidth="1"/>
    <col min="5887" max="5887" width="43.125" customWidth="1"/>
    <col min="5888" max="5888" width="13" customWidth="1"/>
    <col min="5889" max="5889" width="12.375" bestFit="1" customWidth="1"/>
    <col min="5890" max="5890" width="10.125" bestFit="1" customWidth="1"/>
    <col min="5891" max="5891" width="13.625" customWidth="1"/>
    <col min="5892" max="5892" width="14.625" customWidth="1"/>
    <col min="6143" max="6143" width="43.125" customWidth="1"/>
    <col min="6144" max="6144" width="13" customWidth="1"/>
    <col min="6145" max="6145" width="12.375" bestFit="1" customWidth="1"/>
    <col min="6146" max="6146" width="10.125" bestFit="1" customWidth="1"/>
    <col min="6147" max="6147" width="13.625" customWidth="1"/>
    <col min="6148" max="6148" width="14.625" customWidth="1"/>
    <col min="6399" max="6399" width="43.125" customWidth="1"/>
    <col min="6400" max="6400" width="13" customWidth="1"/>
    <col min="6401" max="6401" width="12.375" bestFit="1" customWidth="1"/>
    <col min="6402" max="6402" width="10.125" bestFit="1" customWidth="1"/>
    <col min="6403" max="6403" width="13.625" customWidth="1"/>
    <col min="6404" max="6404" width="14.625" customWidth="1"/>
    <col min="6655" max="6655" width="43.125" customWidth="1"/>
    <col min="6656" max="6656" width="13" customWidth="1"/>
    <col min="6657" max="6657" width="12.375" bestFit="1" customWidth="1"/>
    <col min="6658" max="6658" width="10.125" bestFit="1" customWidth="1"/>
    <col min="6659" max="6659" width="13.625" customWidth="1"/>
    <col min="6660" max="6660" width="14.625" customWidth="1"/>
    <col min="6911" max="6911" width="43.125" customWidth="1"/>
    <col min="6912" max="6912" width="13" customWidth="1"/>
    <col min="6913" max="6913" width="12.375" bestFit="1" customWidth="1"/>
    <col min="6914" max="6914" width="10.125" bestFit="1" customWidth="1"/>
    <col min="6915" max="6915" width="13.625" customWidth="1"/>
    <col min="6916" max="6916" width="14.625" customWidth="1"/>
    <col min="7167" max="7167" width="43.125" customWidth="1"/>
    <col min="7168" max="7168" width="13" customWidth="1"/>
    <col min="7169" max="7169" width="12.375" bestFit="1" customWidth="1"/>
    <col min="7170" max="7170" width="10.125" bestFit="1" customWidth="1"/>
    <col min="7171" max="7171" width="13.625" customWidth="1"/>
    <col min="7172" max="7172" width="14.625" customWidth="1"/>
    <col min="7423" max="7423" width="43.125" customWidth="1"/>
    <col min="7424" max="7424" width="13" customWidth="1"/>
    <col min="7425" max="7425" width="12.375" bestFit="1" customWidth="1"/>
    <col min="7426" max="7426" width="10.125" bestFit="1" customWidth="1"/>
    <col min="7427" max="7427" width="13.625" customWidth="1"/>
    <col min="7428" max="7428" width="14.625" customWidth="1"/>
    <col min="7679" max="7679" width="43.125" customWidth="1"/>
    <col min="7680" max="7680" width="13" customWidth="1"/>
    <col min="7681" max="7681" width="12.375" bestFit="1" customWidth="1"/>
    <col min="7682" max="7682" width="10.125" bestFit="1" customWidth="1"/>
    <col min="7683" max="7683" width="13.625" customWidth="1"/>
    <col min="7684" max="7684" width="14.625" customWidth="1"/>
    <col min="7935" max="7935" width="43.125" customWidth="1"/>
    <col min="7936" max="7936" width="13" customWidth="1"/>
    <col min="7937" max="7937" width="12.375" bestFit="1" customWidth="1"/>
    <col min="7938" max="7938" width="10.125" bestFit="1" customWidth="1"/>
    <col min="7939" max="7939" width="13.625" customWidth="1"/>
    <col min="7940" max="7940" width="14.625" customWidth="1"/>
    <col min="8191" max="8191" width="43.125" customWidth="1"/>
    <col min="8192" max="8192" width="13" customWidth="1"/>
    <col min="8193" max="8193" width="12.375" bestFit="1" customWidth="1"/>
    <col min="8194" max="8194" width="10.125" bestFit="1" customWidth="1"/>
    <col min="8195" max="8195" width="13.625" customWidth="1"/>
    <col min="8196" max="8196" width="14.625" customWidth="1"/>
    <col min="8447" max="8447" width="43.125" customWidth="1"/>
    <col min="8448" max="8448" width="13" customWidth="1"/>
    <col min="8449" max="8449" width="12.375" bestFit="1" customWidth="1"/>
    <col min="8450" max="8450" width="10.125" bestFit="1" customWidth="1"/>
    <col min="8451" max="8451" width="13.625" customWidth="1"/>
    <col min="8452" max="8452" width="14.625" customWidth="1"/>
    <col min="8703" max="8703" width="43.125" customWidth="1"/>
    <col min="8704" max="8704" width="13" customWidth="1"/>
    <col min="8705" max="8705" width="12.375" bestFit="1" customWidth="1"/>
    <col min="8706" max="8706" width="10.125" bestFit="1" customWidth="1"/>
    <col min="8707" max="8707" width="13.625" customWidth="1"/>
    <col min="8708" max="8708" width="14.625" customWidth="1"/>
    <col min="8959" max="8959" width="43.125" customWidth="1"/>
    <col min="8960" max="8960" width="13" customWidth="1"/>
    <col min="8961" max="8961" width="12.375" bestFit="1" customWidth="1"/>
    <col min="8962" max="8962" width="10.125" bestFit="1" customWidth="1"/>
    <col min="8963" max="8963" width="13.625" customWidth="1"/>
    <col min="8964" max="8964" width="14.625" customWidth="1"/>
    <col min="9215" max="9215" width="43.125" customWidth="1"/>
    <col min="9216" max="9216" width="13" customWidth="1"/>
    <col min="9217" max="9217" width="12.375" bestFit="1" customWidth="1"/>
    <col min="9218" max="9218" width="10.125" bestFit="1" customWidth="1"/>
    <col min="9219" max="9219" width="13.625" customWidth="1"/>
    <col min="9220" max="9220" width="14.625" customWidth="1"/>
    <col min="9471" max="9471" width="43.125" customWidth="1"/>
    <col min="9472" max="9472" width="13" customWidth="1"/>
    <col min="9473" max="9473" width="12.375" bestFit="1" customWidth="1"/>
    <col min="9474" max="9474" width="10.125" bestFit="1" customWidth="1"/>
    <col min="9475" max="9475" width="13.625" customWidth="1"/>
    <col min="9476" max="9476" width="14.625" customWidth="1"/>
    <col min="9727" max="9727" width="43.125" customWidth="1"/>
    <col min="9728" max="9728" width="13" customWidth="1"/>
    <col min="9729" max="9729" width="12.375" bestFit="1" customWidth="1"/>
    <col min="9730" max="9730" width="10.125" bestFit="1" customWidth="1"/>
    <col min="9731" max="9731" width="13.625" customWidth="1"/>
    <col min="9732" max="9732" width="14.625" customWidth="1"/>
    <col min="9983" max="9983" width="43.125" customWidth="1"/>
    <col min="9984" max="9984" width="13" customWidth="1"/>
    <col min="9985" max="9985" width="12.375" bestFit="1" customWidth="1"/>
    <col min="9986" max="9986" width="10.125" bestFit="1" customWidth="1"/>
    <col min="9987" max="9987" width="13.625" customWidth="1"/>
    <col min="9988" max="9988" width="14.625" customWidth="1"/>
    <col min="10239" max="10239" width="43.125" customWidth="1"/>
    <col min="10240" max="10240" width="13" customWidth="1"/>
    <col min="10241" max="10241" width="12.375" bestFit="1" customWidth="1"/>
    <col min="10242" max="10242" width="10.125" bestFit="1" customWidth="1"/>
    <col min="10243" max="10243" width="13.625" customWidth="1"/>
    <col min="10244" max="10244" width="14.625" customWidth="1"/>
    <col min="10495" max="10495" width="43.125" customWidth="1"/>
    <col min="10496" max="10496" width="13" customWidth="1"/>
    <col min="10497" max="10497" width="12.375" bestFit="1" customWidth="1"/>
    <col min="10498" max="10498" width="10.125" bestFit="1" customWidth="1"/>
    <col min="10499" max="10499" width="13.625" customWidth="1"/>
    <col min="10500" max="10500" width="14.625" customWidth="1"/>
    <col min="10751" max="10751" width="43.125" customWidth="1"/>
    <col min="10752" max="10752" width="13" customWidth="1"/>
    <col min="10753" max="10753" width="12.375" bestFit="1" customWidth="1"/>
    <col min="10754" max="10754" width="10.125" bestFit="1" customWidth="1"/>
    <col min="10755" max="10755" width="13.625" customWidth="1"/>
    <col min="10756" max="10756" width="14.625" customWidth="1"/>
    <col min="11007" max="11007" width="43.125" customWidth="1"/>
    <col min="11008" max="11008" width="13" customWidth="1"/>
    <col min="11009" max="11009" width="12.375" bestFit="1" customWidth="1"/>
    <col min="11010" max="11010" width="10.125" bestFit="1" customWidth="1"/>
    <col min="11011" max="11011" width="13.625" customWidth="1"/>
    <col min="11012" max="11012" width="14.625" customWidth="1"/>
    <col min="11263" max="11263" width="43.125" customWidth="1"/>
    <col min="11264" max="11264" width="13" customWidth="1"/>
    <col min="11265" max="11265" width="12.375" bestFit="1" customWidth="1"/>
    <col min="11266" max="11266" width="10.125" bestFit="1" customWidth="1"/>
    <col min="11267" max="11267" width="13.625" customWidth="1"/>
    <col min="11268" max="11268" width="14.625" customWidth="1"/>
    <col min="11519" max="11519" width="43.125" customWidth="1"/>
    <col min="11520" max="11520" width="13" customWidth="1"/>
    <col min="11521" max="11521" width="12.375" bestFit="1" customWidth="1"/>
    <col min="11522" max="11522" width="10.125" bestFit="1" customWidth="1"/>
    <col min="11523" max="11523" width="13.625" customWidth="1"/>
    <col min="11524" max="11524" width="14.625" customWidth="1"/>
    <col min="11775" max="11775" width="43.125" customWidth="1"/>
    <col min="11776" max="11776" width="13" customWidth="1"/>
    <col min="11777" max="11777" width="12.375" bestFit="1" customWidth="1"/>
    <col min="11778" max="11778" width="10.125" bestFit="1" customWidth="1"/>
    <col min="11779" max="11779" width="13.625" customWidth="1"/>
    <col min="11780" max="11780" width="14.625" customWidth="1"/>
    <col min="12031" max="12031" width="43.125" customWidth="1"/>
    <col min="12032" max="12032" width="13" customWidth="1"/>
    <col min="12033" max="12033" width="12.375" bestFit="1" customWidth="1"/>
    <col min="12034" max="12034" width="10.125" bestFit="1" customWidth="1"/>
    <col min="12035" max="12035" width="13.625" customWidth="1"/>
    <col min="12036" max="12036" width="14.625" customWidth="1"/>
    <col min="12287" max="12287" width="43.125" customWidth="1"/>
    <col min="12288" max="12288" width="13" customWidth="1"/>
    <col min="12289" max="12289" width="12.375" bestFit="1" customWidth="1"/>
    <col min="12290" max="12290" width="10.125" bestFit="1" customWidth="1"/>
    <col min="12291" max="12291" width="13.625" customWidth="1"/>
    <col min="12292" max="12292" width="14.625" customWidth="1"/>
    <col min="12543" max="12543" width="43.125" customWidth="1"/>
    <col min="12544" max="12544" width="13" customWidth="1"/>
    <col min="12545" max="12545" width="12.375" bestFit="1" customWidth="1"/>
    <col min="12546" max="12546" width="10.125" bestFit="1" customWidth="1"/>
    <col min="12547" max="12547" width="13.625" customWidth="1"/>
    <col min="12548" max="12548" width="14.625" customWidth="1"/>
    <col min="12799" max="12799" width="43.125" customWidth="1"/>
    <col min="12800" max="12800" width="13" customWidth="1"/>
    <col min="12801" max="12801" width="12.375" bestFit="1" customWidth="1"/>
    <col min="12802" max="12802" width="10.125" bestFit="1" customWidth="1"/>
    <col min="12803" max="12803" width="13.625" customWidth="1"/>
    <col min="12804" max="12804" width="14.625" customWidth="1"/>
    <col min="13055" max="13055" width="43.125" customWidth="1"/>
    <col min="13056" max="13056" width="13" customWidth="1"/>
    <col min="13057" max="13057" width="12.375" bestFit="1" customWidth="1"/>
    <col min="13058" max="13058" width="10.125" bestFit="1" customWidth="1"/>
    <col min="13059" max="13059" width="13.625" customWidth="1"/>
    <col min="13060" max="13060" width="14.625" customWidth="1"/>
    <col min="13311" max="13311" width="43.125" customWidth="1"/>
    <col min="13312" max="13312" width="13" customWidth="1"/>
    <col min="13313" max="13313" width="12.375" bestFit="1" customWidth="1"/>
    <col min="13314" max="13314" width="10.125" bestFit="1" customWidth="1"/>
    <col min="13315" max="13315" width="13.625" customWidth="1"/>
    <col min="13316" max="13316" width="14.625" customWidth="1"/>
    <col min="13567" max="13567" width="43.125" customWidth="1"/>
    <col min="13568" max="13568" width="13" customWidth="1"/>
    <col min="13569" max="13569" width="12.375" bestFit="1" customWidth="1"/>
    <col min="13570" max="13570" width="10.125" bestFit="1" customWidth="1"/>
    <col min="13571" max="13571" width="13.625" customWidth="1"/>
    <col min="13572" max="13572" width="14.625" customWidth="1"/>
    <col min="13823" max="13823" width="43.125" customWidth="1"/>
    <col min="13824" max="13824" width="13" customWidth="1"/>
    <col min="13825" max="13825" width="12.375" bestFit="1" customWidth="1"/>
    <col min="13826" max="13826" width="10.125" bestFit="1" customWidth="1"/>
    <col min="13827" max="13827" width="13.625" customWidth="1"/>
    <col min="13828" max="13828" width="14.625" customWidth="1"/>
    <col min="14079" max="14079" width="43.125" customWidth="1"/>
    <col min="14080" max="14080" width="13" customWidth="1"/>
    <col min="14081" max="14081" width="12.375" bestFit="1" customWidth="1"/>
    <col min="14082" max="14082" width="10.125" bestFit="1" customWidth="1"/>
    <col min="14083" max="14083" width="13.625" customWidth="1"/>
    <col min="14084" max="14084" width="14.625" customWidth="1"/>
    <col min="14335" max="14335" width="43.125" customWidth="1"/>
    <col min="14336" max="14336" width="13" customWidth="1"/>
    <col min="14337" max="14337" width="12.375" bestFit="1" customWidth="1"/>
    <col min="14338" max="14338" width="10.125" bestFit="1" customWidth="1"/>
    <col min="14339" max="14339" width="13.625" customWidth="1"/>
    <col min="14340" max="14340" width="14.625" customWidth="1"/>
    <col min="14591" max="14591" width="43.125" customWidth="1"/>
    <col min="14592" max="14592" width="13" customWidth="1"/>
    <col min="14593" max="14593" width="12.375" bestFit="1" customWidth="1"/>
    <col min="14594" max="14594" width="10.125" bestFit="1" customWidth="1"/>
    <col min="14595" max="14595" width="13.625" customWidth="1"/>
    <col min="14596" max="14596" width="14.625" customWidth="1"/>
    <col min="14847" max="14847" width="43.125" customWidth="1"/>
    <col min="14848" max="14848" width="13" customWidth="1"/>
    <col min="14849" max="14849" width="12.375" bestFit="1" customWidth="1"/>
    <col min="14850" max="14850" width="10.125" bestFit="1" customWidth="1"/>
    <col min="14851" max="14851" width="13.625" customWidth="1"/>
    <col min="14852" max="14852" width="14.625" customWidth="1"/>
    <col min="15103" max="15103" width="43.125" customWidth="1"/>
    <col min="15104" max="15104" width="13" customWidth="1"/>
    <col min="15105" max="15105" width="12.375" bestFit="1" customWidth="1"/>
    <col min="15106" max="15106" width="10.125" bestFit="1" customWidth="1"/>
    <col min="15107" max="15107" width="13.625" customWidth="1"/>
    <col min="15108" max="15108" width="14.625" customWidth="1"/>
    <col min="15359" max="15359" width="43.125" customWidth="1"/>
    <col min="15360" max="15360" width="13" customWidth="1"/>
    <col min="15361" max="15361" width="12.375" bestFit="1" customWidth="1"/>
    <col min="15362" max="15362" width="10.125" bestFit="1" customWidth="1"/>
    <col min="15363" max="15363" width="13.625" customWidth="1"/>
    <col min="15364" max="15364" width="14.625" customWidth="1"/>
    <col min="15615" max="15615" width="43.125" customWidth="1"/>
    <col min="15616" max="15616" width="13" customWidth="1"/>
    <col min="15617" max="15617" width="12.375" bestFit="1" customWidth="1"/>
    <col min="15618" max="15618" width="10.125" bestFit="1" customWidth="1"/>
    <col min="15619" max="15619" width="13.625" customWidth="1"/>
    <col min="15620" max="15620" width="14.625" customWidth="1"/>
    <col min="15871" max="15871" width="43.125" customWidth="1"/>
    <col min="15872" max="15872" width="13" customWidth="1"/>
    <col min="15873" max="15873" width="12.375" bestFit="1" customWidth="1"/>
    <col min="15874" max="15874" width="10.125" bestFit="1" customWidth="1"/>
    <col min="15875" max="15875" width="13.625" customWidth="1"/>
    <col min="15876" max="15876" width="14.625" customWidth="1"/>
    <col min="16127" max="16127" width="43.125" customWidth="1"/>
    <col min="16128" max="16128" width="13" customWidth="1"/>
    <col min="16129" max="16129" width="12.375" bestFit="1" customWidth="1"/>
    <col min="16130" max="16130" width="10.125" bestFit="1" customWidth="1"/>
    <col min="16131" max="16131" width="13.625" customWidth="1"/>
    <col min="16132" max="16132" width="14.625" customWidth="1"/>
  </cols>
  <sheetData>
    <row r="1" spans="1:4" ht="26.25" customHeight="1">
      <c r="A1" s="394" t="s">
        <v>543</v>
      </c>
      <c r="B1" s="394"/>
      <c r="C1" s="394"/>
      <c r="D1" s="394"/>
    </row>
    <row r="2" spans="1:4">
      <c r="A2" s="395" t="s">
        <v>544</v>
      </c>
      <c r="B2" s="395"/>
      <c r="C2" s="395"/>
      <c r="D2" s="395"/>
    </row>
    <row r="4" spans="1:4" ht="24" thickBot="1">
      <c r="A4" s="111" t="s">
        <v>545</v>
      </c>
      <c r="B4" s="111"/>
      <c r="C4" s="111"/>
    </row>
    <row r="5" spans="1:4" ht="15.95" thickBot="1">
      <c r="A5" s="129" t="s">
        <v>434</v>
      </c>
      <c r="B5" s="129"/>
      <c r="C5" s="170"/>
      <c r="D5" s="130" t="s">
        <v>259</v>
      </c>
    </row>
    <row r="6" spans="1:4" ht="15.95" thickBot="1">
      <c r="A6" s="41" t="s">
        <v>546</v>
      </c>
      <c r="B6" s="131"/>
      <c r="C6" s="131"/>
      <c r="D6" s="133"/>
    </row>
    <row r="7" spans="1:4" hidden="1">
      <c r="A7" s="134" t="s">
        <v>547</v>
      </c>
      <c r="B7" s="134"/>
      <c r="C7" s="134"/>
      <c r="D7" s="132"/>
    </row>
    <row r="8" spans="1:4" hidden="1">
      <c r="A8" s="135" t="s">
        <v>548</v>
      </c>
      <c r="B8" s="135"/>
      <c r="C8" s="135"/>
      <c r="D8" s="136">
        <v>338923.16</v>
      </c>
    </row>
    <row r="9" spans="1:4" hidden="1">
      <c r="A9" s="135" t="s">
        <v>549</v>
      </c>
      <c r="B9" s="135"/>
      <c r="C9" s="135"/>
      <c r="D9" s="136"/>
    </row>
    <row r="10" spans="1:4" hidden="1">
      <c r="A10" s="135" t="s">
        <v>550</v>
      </c>
      <c r="B10" s="135"/>
      <c r="C10" s="135"/>
      <c r="D10" s="136"/>
    </row>
    <row r="11" spans="1:4" hidden="1">
      <c r="A11" s="135" t="s">
        <v>551</v>
      </c>
      <c r="B11" s="135"/>
      <c r="C11" s="135"/>
      <c r="D11" s="136">
        <v>147272.51999999999</v>
      </c>
    </row>
    <row r="12" spans="1:4" hidden="1">
      <c r="A12" s="135" t="s">
        <v>552</v>
      </c>
      <c r="B12" s="135"/>
      <c r="C12" s="135"/>
      <c r="D12" s="136">
        <v>138285.34</v>
      </c>
    </row>
    <row r="13" spans="1:4" hidden="1">
      <c r="A13" s="134" t="s">
        <v>553</v>
      </c>
      <c r="B13" s="134"/>
      <c r="C13" s="134"/>
      <c r="D13" s="132"/>
    </row>
    <row r="14" spans="1:4" hidden="1">
      <c r="A14" s="135" t="s">
        <v>554</v>
      </c>
      <c r="B14" s="135"/>
      <c r="C14" s="135"/>
      <c r="D14" s="136">
        <f>7000</f>
        <v>7000</v>
      </c>
    </row>
    <row r="15" spans="1:4" hidden="1">
      <c r="A15" s="135" t="s">
        <v>555</v>
      </c>
      <c r="B15" s="135"/>
      <c r="C15" s="135"/>
      <c r="D15" s="136">
        <v>61290.84</v>
      </c>
    </row>
    <row r="16" spans="1:4" hidden="1">
      <c r="A16" s="135" t="s">
        <v>556</v>
      </c>
      <c r="B16" s="135"/>
      <c r="C16" s="135"/>
      <c r="D16" s="136"/>
    </row>
    <row r="17" spans="1:6" hidden="1">
      <c r="A17" s="135" t="s">
        <v>557</v>
      </c>
      <c r="B17" s="135"/>
      <c r="C17" s="135"/>
      <c r="D17" s="136"/>
    </row>
    <row r="18" spans="1:6" hidden="1">
      <c r="A18" s="135" t="s">
        <v>558</v>
      </c>
      <c r="B18" s="135"/>
      <c r="C18" s="135"/>
      <c r="D18" s="136"/>
    </row>
    <row r="19" spans="1:6" hidden="1">
      <c r="A19" s="135" t="s">
        <v>559</v>
      </c>
      <c r="B19" s="135"/>
      <c r="C19" s="135"/>
      <c r="D19" s="136">
        <v>9600</v>
      </c>
    </row>
    <row r="20" spans="1:6" ht="16.5" hidden="1" customHeight="1">
      <c r="A20" s="134" t="s">
        <v>560</v>
      </c>
      <c r="B20" s="134"/>
      <c r="C20" s="134"/>
      <c r="D20" s="138"/>
    </row>
    <row r="21" spans="1:6" hidden="1">
      <c r="A21" s="135" t="s">
        <v>561</v>
      </c>
      <c r="B21" s="135"/>
      <c r="C21" s="135"/>
      <c r="D21" s="139"/>
    </row>
    <row r="22" spans="1:6" ht="15.95" hidden="1" thickBot="1">
      <c r="A22" s="135"/>
      <c r="B22" s="135"/>
      <c r="C22" s="135"/>
      <c r="D22" s="132"/>
    </row>
    <row r="23" spans="1:6" ht="15.95" thickBot="1">
      <c r="A23" s="134" t="s">
        <v>439</v>
      </c>
      <c r="B23" s="124" t="s">
        <v>32</v>
      </c>
      <c r="C23" s="1" t="s">
        <v>131</v>
      </c>
      <c r="D23" s="140">
        <f>SUM(D6:D22)</f>
        <v>702371.85999999987</v>
      </c>
    </row>
    <row r="24" spans="1:6" hidden="1">
      <c r="A24" s="135" t="s">
        <v>562</v>
      </c>
      <c r="B24" s="124"/>
      <c r="C24" s="1"/>
      <c r="D24" s="136"/>
    </row>
    <row r="25" spans="1:6">
      <c r="A25" s="135" t="s">
        <v>563</v>
      </c>
      <c r="B25" s="124" t="s">
        <v>132</v>
      </c>
      <c r="C25" s="1" t="s">
        <v>133</v>
      </c>
      <c r="D25" s="136">
        <f>184917.88+2266.48+686.31+7000+1</f>
        <v>194871.67</v>
      </c>
    </row>
    <row r="26" spans="1:6" ht="10.5" customHeight="1" thickBot="1">
      <c r="A26" s="135" t="s">
        <v>564</v>
      </c>
      <c r="B26" s="124"/>
      <c r="C26" s="1"/>
      <c r="D26" s="136"/>
    </row>
    <row r="27" spans="1:6" ht="15.95" hidden="1" thickBot="1">
      <c r="A27" s="135"/>
      <c r="B27" s="124"/>
      <c r="C27" s="1"/>
      <c r="D27" s="132"/>
    </row>
    <row r="28" spans="1:6" ht="15.95" hidden="1" thickBot="1">
      <c r="A28" s="141" t="s">
        <v>443</v>
      </c>
      <c r="B28" s="124"/>
      <c r="C28" s="1"/>
      <c r="D28" s="114">
        <f>SUM(D23:D27)</f>
        <v>897243.52999999991</v>
      </c>
    </row>
    <row r="29" spans="1:6" ht="15.95" hidden="1" thickBot="1">
      <c r="A29" s="41" t="s">
        <v>253</v>
      </c>
      <c r="B29" s="124"/>
      <c r="C29" s="1"/>
      <c r="D29" s="132"/>
    </row>
    <row r="30" spans="1:6" ht="15.95" hidden="1" thickBot="1">
      <c r="A30" s="135" t="s">
        <v>444</v>
      </c>
      <c r="B30" s="124"/>
      <c r="C30" s="1"/>
      <c r="D30" s="132"/>
    </row>
    <row r="31" spans="1:6" ht="15.95" hidden="1" thickBot="1">
      <c r="A31" s="141" t="s">
        <v>445</v>
      </c>
      <c r="B31" s="124"/>
      <c r="C31" s="1"/>
      <c r="D31" s="114">
        <f>SUM(D29:D30)</f>
        <v>0</v>
      </c>
    </row>
    <row r="32" spans="1:6" ht="15.95" thickBot="1">
      <c r="A32" s="41" t="s">
        <v>36</v>
      </c>
      <c r="B32" s="124" t="s">
        <v>36</v>
      </c>
      <c r="C32" s="1" t="s">
        <v>134</v>
      </c>
      <c r="D32" s="137">
        <f>12250-595</f>
        <v>11655</v>
      </c>
      <c r="F32" s="128"/>
    </row>
    <row r="33" spans="1:5" ht="15.95" thickBot="1">
      <c r="A33" s="135"/>
      <c r="B33" s="124"/>
      <c r="C33" s="1"/>
      <c r="D33" s="132"/>
    </row>
    <row r="34" spans="1:5" ht="15.95" thickBot="1">
      <c r="A34" s="141" t="s">
        <v>446</v>
      </c>
      <c r="B34" s="124"/>
      <c r="C34" s="1"/>
      <c r="D34" s="114">
        <f>SUM(D32:D33)</f>
        <v>11655</v>
      </c>
    </row>
    <row r="35" spans="1:5" ht="15.95" thickBot="1">
      <c r="A35" s="142" t="s">
        <v>447</v>
      </c>
      <c r="B35" s="124"/>
      <c r="C35" s="1"/>
      <c r="D35" s="132"/>
    </row>
    <row r="36" spans="1:5">
      <c r="A36" s="143" t="s">
        <v>448</v>
      </c>
      <c r="B36" s="124" t="s">
        <v>43</v>
      </c>
      <c r="C36" s="1" t="s">
        <v>137</v>
      </c>
      <c r="D36" s="144">
        <f>1400+440</f>
        <v>1840</v>
      </c>
      <c r="E36" s="32"/>
    </row>
    <row r="37" spans="1:5">
      <c r="A37" s="135" t="s">
        <v>449</v>
      </c>
      <c r="B37" s="124" t="s">
        <v>43</v>
      </c>
      <c r="C37" s="1" t="s">
        <v>137</v>
      </c>
      <c r="D37" s="139">
        <v>1680</v>
      </c>
      <c r="E37" s="33"/>
    </row>
    <row r="38" spans="1:5" ht="15.95" thickBot="1">
      <c r="A38" s="145" t="s">
        <v>450</v>
      </c>
      <c r="B38" s="124" t="s">
        <v>43</v>
      </c>
      <c r="C38" s="1" t="s">
        <v>137</v>
      </c>
      <c r="D38" s="146">
        <v>3120</v>
      </c>
      <c r="E38" s="147">
        <f>SUM(D36:D38)</f>
        <v>6640</v>
      </c>
    </row>
    <row r="39" spans="1:5">
      <c r="A39" s="135" t="s">
        <v>451</v>
      </c>
      <c r="B39" s="124" t="s">
        <v>50</v>
      </c>
      <c r="C39" s="1" t="s">
        <v>142</v>
      </c>
      <c r="D39" s="139">
        <v>1200</v>
      </c>
    </row>
    <row r="40" spans="1:5">
      <c r="A40" s="135" t="s">
        <v>452</v>
      </c>
      <c r="B40" s="124" t="s">
        <v>50</v>
      </c>
      <c r="C40" s="1" t="s">
        <v>142</v>
      </c>
      <c r="D40" s="139">
        <v>2400</v>
      </c>
    </row>
    <row r="41" spans="1:5">
      <c r="A41" s="135" t="s">
        <v>453</v>
      </c>
      <c r="B41" s="124"/>
      <c r="C41" s="1"/>
      <c r="D41" s="139">
        <v>0</v>
      </c>
    </row>
    <row r="42" spans="1:5">
      <c r="A42" s="135" t="s">
        <v>454</v>
      </c>
      <c r="B42" s="124" t="s">
        <v>51</v>
      </c>
      <c r="C42" s="1" t="s">
        <v>143</v>
      </c>
      <c r="D42" s="139">
        <v>62400</v>
      </c>
    </row>
    <row r="43" spans="1:5">
      <c r="A43" s="135" t="s">
        <v>455</v>
      </c>
      <c r="B43" s="124" t="s">
        <v>51</v>
      </c>
      <c r="C43" s="1" t="s">
        <v>143</v>
      </c>
      <c r="D43" s="139">
        <v>4800</v>
      </c>
    </row>
    <row r="44" spans="1:5">
      <c r="A44" s="135" t="s">
        <v>456</v>
      </c>
      <c r="B44" s="124" t="s">
        <v>138</v>
      </c>
      <c r="C44" s="1" t="s">
        <v>139</v>
      </c>
      <c r="D44" s="139">
        <v>6000</v>
      </c>
    </row>
    <row r="45" spans="1:5">
      <c r="A45" s="135" t="s">
        <v>457</v>
      </c>
      <c r="B45" s="124" t="s">
        <v>40</v>
      </c>
      <c r="C45" s="1" t="s">
        <v>136</v>
      </c>
      <c r="D45" s="139">
        <f>9600/2</f>
        <v>4800</v>
      </c>
    </row>
    <row r="46" spans="1:5">
      <c r="A46" s="135" t="s">
        <v>458</v>
      </c>
      <c r="B46" s="124" t="s">
        <v>138</v>
      </c>
      <c r="C46" s="1" t="s">
        <v>139</v>
      </c>
      <c r="D46" s="139">
        <v>1000</v>
      </c>
    </row>
    <row r="47" spans="1:5">
      <c r="A47" s="135" t="s">
        <v>459</v>
      </c>
      <c r="B47" s="124" t="s">
        <v>39</v>
      </c>
      <c r="C47" s="1" t="s">
        <v>135</v>
      </c>
      <c r="D47" s="139">
        <v>20000</v>
      </c>
    </row>
    <row r="48" spans="1:5">
      <c r="A48" s="135" t="s">
        <v>460</v>
      </c>
      <c r="B48" s="124" t="s">
        <v>46</v>
      </c>
      <c r="C48" s="1" t="s">
        <v>140</v>
      </c>
      <c r="D48" s="139">
        <v>4000</v>
      </c>
    </row>
    <row r="49" spans="1:4">
      <c r="A49" s="135" t="s">
        <v>47</v>
      </c>
      <c r="B49" s="124" t="s">
        <v>47</v>
      </c>
      <c r="C49" s="1" t="s">
        <v>141</v>
      </c>
      <c r="D49" s="139">
        <v>1000</v>
      </c>
    </row>
    <row r="50" spans="1:4" ht="15.95" thickBot="1">
      <c r="A50" s="135"/>
      <c r="B50" s="124"/>
      <c r="C50" s="1"/>
      <c r="D50" s="132"/>
    </row>
    <row r="51" spans="1:4" ht="15.95" thickBot="1">
      <c r="A51" s="141" t="s">
        <v>461</v>
      </c>
      <c r="B51" s="124"/>
      <c r="C51" s="1"/>
      <c r="D51" s="114">
        <f>SUM(D35:D50)</f>
        <v>114240</v>
      </c>
    </row>
    <row r="52" spans="1:4">
      <c r="A52" s="142" t="s">
        <v>372</v>
      </c>
      <c r="B52" s="124"/>
      <c r="C52" s="1"/>
      <c r="D52" s="132"/>
    </row>
    <row r="53" spans="1:4">
      <c r="A53" s="135" t="s">
        <v>471</v>
      </c>
      <c r="B53" s="124" t="s">
        <v>144</v>
      </c>
      <c r="C53" s="1" t="s">
        <v>145</v>
      </c>
      <c r="D53" s="148">
        <v>5000</v>
      </c>
    </row>
    <row r="54" spans="1:4">
      <c r="A54" s="135" t="s">
        <v>472</v>
      </c>
      <c r="B54" s="124" t="s">
        <v>144</v>
      </c>
      <c r="C54" s="1" t="s">
        <v>145</v>
      </c>
      <c r="D54" s="148">
        <f>14500/2</f>
        <v>7250</v>
      </c>
    </row>
    <row r="55" spans="1:4">
      <c r="A55" s="135" t="s">
        <v>375</v>
      </c>
      <c r="B55" s="124" t="s">
        <v>172</v>
      </c>
      <c r="C55" s="1" t="s">
        <v>173</v>
      </c>
      <c r="D55" s="148">
        <v>46000</v>
      </c>
    </row>
    <row r="56" spans="1:4">
      <c r="A56" s="135" t="s">
        <v>376</v>
      </c>
      <c r="B56" s="124" t="s">
        <v>174</v>
      </c>
      <c r="C56" s="1" t="s">
        <v>56</v>
      </c>
      <c r="D56" s="148">
        <v>9000</v>
      </c>
    </row>
    <row r="57" spans="1:4">
      <c r="A57" s="149" t="s">
        <v>377</v>
      </c>
      <c r="B57" s="124"/>
      <c r="C57" s="1"/>
      <c r="D57" s="132"/>
    </row>
    <row r="58" spans="1:4">
      <c r="A58" s="135" t="s">
        <v>474</v>
      </c>
      <c r="B58" s="124" t="s">
        <v>260</v>
      </c>
      <c r="C58" s="1" t="s">
        <v>261</v>
      </c>
      <c r="D58" s="148">
        <f>207900+72000</f>
        <v>279900</v>
      </c>
    </row>
    <row r="59" spans="1:4">
      <c r="A59" s="135" t="s">
        <v>475</v>
      </c>
      <c r="B59" s="124" t="s">
        <v>262</v>
      </c>
      <c r="C59" s="1" t="s">
        <v>263</v>
      </c>
      <c r="D59" s="148">
        <f>52500+42000</f>
        <v>94500</v>
      </c>
    </row>
    <row r="60" spans="1:4" ht="15.95" thickBot="1">
      <c r="A60" s="135" t="s">
        <v>565</v>
      </c>
      <c r="B60" s="124" t="s">
        <v>264</v>
      </c>
      <c r="C60" s="1" t="s">
        <v>265</v>
      </c>
      <c r="D60" s="148">
        <v>84000</v>
      </c>
    </row>
    <row r="61" spans="1:4" ht="15.95" thickBot="1">
      <c r="A61" s="141" t="s">
        <v>487</v>
      </c>
      <c r="B61" s="141"/>
      <c r="C61" s="141"/>
      <c r="D61" s="114">
        <f>SUM(D52:D60)</f>
        <v>525650</v>
      </c>
    </row>
    <row r="62" spans="1:4" ht="15.95" thickBot="1">
      <c r="A62" s="41" t="s">
        <v>382</v>
      </c>
      <c r="B62" s="131"/>
      <c r="C62" s="131"/>
      <c r="D62" s="132"/>
    </row>
    <row r="63" spans="1:4">
      <c r="A63" s="135" t="s">
        <v>57</v>
      </c>
      <c r="B63" s="124" t="s">
        <v>146</v>
      </c>
      <c r="C63" s="1" t="s">
        <v>58</v>
      </c>
      <c r="D63" s="45">
        <v>4000</v>
      </c>
    </row>
    <row r="64" spans="1:4">
      <c r="A64" s="135" t="s">
        <v>59</v>
      </c>
      <c r="B64" s="124" t="s">
        <v>147</v>
      </c>
      <c r="C64" s="1" t="s">
        <v>60</v>
      </c>
      <c r="D64" s="45">
        <v>3525</v>
      </c>
    </row>
    <row r="65" spans="1:8">
      <c r="A65" s="135" t="s">
        <v>61</v>
      </c>
      <c r="B65" s="124" t="s">
        <v>148</v>
      </c>
      <c r="C65" s="1" t="s">
        <v>62</v>
      </c>
      <c r="D65" s="151">
        <v>16500</v>
      </c>
    </row>
    <row r="66" spans="1:8">
      <c r="A66" s="149" t="s">
        <v>489</v>
      </c>
      <c r="B66" s="149"/>
      <c r="C66" s="149"/>
      <c r="D66" s="132"/>
      <c r="H66" s="153"/>
    </row>
    <row r="67" spans="1:8">
      <c r="A67" s="135" t="s">
        <v>566</v>
      </c>
      <c r="B67" s="124" t="s">
        <v>567</v>
      </c>
      <c r="C67" s="1" t="s">
        <v>276</v>
      </c>
      <c r="D67" s="154">
        <f>14000+21000</f>
        <v>35000</v>
      </c>
    </row>
    <row r="68" spans="1:8">
      <c r="A68" s="135" t="s">
        <v>475</v>
      </c>
      <c r="B68" s="124" t="s">
        <v>277</v>
      </c>
      <c r="C68" s="1" t="s">
        <v>278</v>
      </c>
      <c r="D68" s="154">
        <f>14000+21000</f>
        <v>35000</v>
      </c>
    </row>
    <row r="69" spans="1:8">
      <c r="A69" s="135" t="s">
        <v>565</v>
      </c>
      <c r="B69" s="124" t="s">
        <v>279</v>
      </c>
      <c r="C69" s="1" t="s">
        <v>280</v>
      </c>
      <c r="D69" s="154">
        <f>14000</f>
        <v>14000</v>
      </c>
    </row>
    <row r="70" spans="1:8" ht="15.95" thickBot="1">
      <c r="A70" s="155"/>
      <c r="B70" s="155"/>
      <c r="C70" s="155"/>
      <c r="D70" s="132"/>
    </row>
    <row r="71" spans="1:8" ht="15.95" thickBot="1">
      <c r="A71" s="141" t="s">
        <v>492</v>
      </c>
      <c r="B71" s="141"/>
      <c r="C71" s="141"/>
      <c r="D71" s="114">
        <f>SUM(D62:D70)</f>
        <v>108025</v>
      </c>
    </row>
    <row r="72" spans="1:8" ht="15.95" thickBot="1">
      <c r="A72" s="41" t="s">
        <v>386</v>
      </c>
      <c r="B72" s="131"/>
      <c r="C72" s="131"/>
      <c r="D72" s="132"/>
    </row>
    <row r="73" spans="1:8">
      <c r="A73" s="135" t="s">
        <v>63</v>
      </c>
      <c r="B73" s="124" t="s">
        <v>219</v>
      </c>
      <c r="C73" s="1" t="s">
        <v>64</v>
      </c>
      <c r="D73" s="154">
        <v>2500</v>
      </c>
      <c r="E73" s="156" t="s">
        <v>568</v>
      </c>
    </row>
    <row r="74" spans="1:8">
      <c r="A74" s="149" t="s">
        <v>489</v>
      </c>
      <c r="B74" s="124"/>
      <c r="C74" s="1"/>
      <c r="D74" s="132"/>
    </row>
    <row r="75" spans="1:8">
      <c r="A75" s="135" t="s">
        <v>566</v>
      </c>
      <c r="B75" s="124" t="s">
        <v>281</v>
      </c>
      <c r="C75" s="1" t="s">
        <v>282</v>
      </c>
      <c r="D75" s="154">
        <f>1875+2812.5</f>
        <v>4687.5</v>
      </c>
    </row>
    <row r="76" spans="1:8">
      <c r="A76" s="135" t="s">
        <v>475</v>
      </c>
      <c r="B76" s="124" t="s">
        <v>283</v>
      </c>
      <c r="C76" s="1" t="s">
        <v>284</v>
      </c>
      <c r="D76" s="154">
        <f>1875+2812.5</f>
        <v>4687.5</v>
      </c>
    </row>
    <row r="77" spans="1:8" ht="15.95" thickBot="1">
      <c r="A77" s="135" t="s">
        <v>565</v>
      </c>
      <c r="B77" s="124" t="s">
        <v>285</v>
      </c>
      <c r="C77" s="1" t="s">
        <v>286</v>
      </c>
      <c r="D77" s="154">
        <v>1875</v>
      </c>
    </row>
    <row r="78" spans="1:8" ht="15.95" thickBot="1">
      <c r="A78" s="141" t="s">
        <v>493</v>
      </c>
      <c r="B78" s="141"/>
      <c r="C78" s="141"/>
      <c r="D78" s="114">
        <f>SUM(D72:D77)</f>
        <v>13750</v>
      </c>
    </row>
    <row r="79" spans="1:8" ht="15.95" thickBot="1">
      <c r="A79" s="41" t="s">
        <v>389</v>
      </c>
      <c r="B79" s="131"/>
      <c r="C79" s="131"/>
      <c r="D79" s="132"/>
    </row>
    <row r="80" spans="1:8">
      <c r="A80" s="152" t="s">
        <v>494</v>
      </c>
      <c r="B80" s="124" t="s">
        <v>191</v>
      </c>
      <c r="C80" s="1" t="s">
        <v>192</v>
      </c>
      <c r="D80" s="45">
        <v>5000</v>
      </c>
    </row>
    <row r="81" spans="1:4">
      <c r="A81" s="149" t="s">
        <v>489</v>
      </c>
      <c r="B81" s="124"/>
      <c r="C81" s="1"/>
      <c r="D81" s="132"/>
    </row>
    <row r="82" spans="1:4" ht="15.95" thickBot="1">
      <c r="A82" s="135" t="s">
        <v>496</v>
      </c>
      <c r="B82" s="124" t="s">
        <v>287</v>
      </c>
      <c r="C82" s="1" t="s">
        <v>101</v>
      </c>
      <c r="D82" s="45">
        <v>189000</v>
      </c>
    </row>
    <row r="83" spans="1:4" ht="15.95" thickBot="1">
      <c r="A83" s="141" t="s">
        <v>498</v>
      </c>
      <c r="B83" s="141"/>
      <c r="C83" s="141"/>
      <c r="D83" s="114">
        <f>SUM(D79:D82)</f>
        <v>194000</v>
      </c>
    </row>
    <row r="84" spans="1:4" ht="15.95" thickBot="1">
      <c r="A84" s="41" t="s">
        <v>395</v>
      </c>
      <c r="B84" s="131"/>
      <c r="C84" s="131"/>
      <c r="D84" s="132"/>
    </row>
    <row r="85" spans="1:4">
      <c r="A85" s="135" t="s">
        <v>396</v>
      </c>
      <c r="B85" s="135"/>
      <c r="C85" s="135"/>
      <c r="D85" s="132"/>
    </row>
    <row r="86" spans="1:4">
      <c r="A86" s="135" t="s">
        <v>397</v>
      </c>
      <c r="B86" s="135"/>
      <c r="C86" s="135"/>
      <c r="D86" s="132"/>
    </row>
    <row r="87" spans="1:4">
      <c r="A87" s="149" t="s">
        <v>499</v>
      </c>
      <c r="B87" s="149"/>
      <c r="C87" s="149"/>
      <c r="D87" s="132"/>
    </row>
    <row r="88" spans="1:4">
      <c r="A88" s="135" t="s">
        <v>500</v>
      </c>
      <c r="B88" s="135"/>
      <c r="C88" s="135"/>
      <c r="D88" s="132"/>
    </row>
    <row r="89" spans="1:4">
      <c r="A89" s="135" t="s">
        <v>501</v>
      </c>
      <c r="B89" s="135"/>
      <c r="C89" s="135"/>
      <c r="D89" s="132"/>
    </row>
    <row r="90" spans="1:4" ht="15.95" thickBot="1">
      <c r="A90" s="135"/>
      <c r="B90" s="135"/>
      <c r="C90" s="135"/>
      <c r="D90" s="132"/>
    </row>
    <row r="91" spans="1:4" ht="15.95" thickBot="1">
      <c r="A91" s="141" t="s">
        <v>502</v>
      </c>
      <c r="B91" s="141"/>
      <c r="C91" s="141"/>
      <c r="D91" s="114">
        <f>SUM(D84:D90)</f>
        <v>0</v>
      </c>
    </row>
    <row r="92" spans="1:4" ht="15.95" thickBot="1">
      <c r="A92" s="141"/>
      <c r="B92" s="157"/>
      <c r="C92" s="157"/>
      <c r="D92" s="158"/>
    </row>
    <row r="93" spans="1:4" ht="22.5" thickBot="1">
      <c r="A93" s="41" t="s">
        <v>398</v>
      </c>
      <c r="B93" s="131"/>
      <c r="C93" s="131"/>
      <c r="D93" s="132"/>
    </row>
    <row r="94" spans="1:4">
      <c r="A94" s="135" t="s">
        <v>65</v>
      </c>
      <c r="B94" s="124" t="s">
        <v>151</v>
      </c>
      <c r="C94" s="1" t="s">
        <v>66</v>
      </c>
      <c r="D94" s="139">
        <v>2375</v>
      </c>
    </row>
    <row r="95" spans="1:4">
      <c r="A95" s="135" t="s">
        <v>67</v>
      </c>
      <c r="B95" s="124" t="s">
        <v>152</v>
      </c>
      <c r="C95" s="1" t="s">
        <v>68</v>
      </c>
      <c r="D95" s="139">
        <v>2750</v>
      </c>
    </row>
    <row r="96" spans="1:4" ht="15.95" thickBot="1">
      <c r="A96" s="135"/>
      <c r="B96" s="135"/>
      <c r="C96" s="135"/>
      <c r="D96" s="132"/>
    </row>
    <row r="97" spans="1:4" ht="15.95" thickBot="1">
      <c r="A97" s="141" t="s">
        <v>503</v>
      </c>
      <c r="B97" s="141"/>
      <c r="C97" s="141"/>
      <c r="D97" s="114">
        <f>SUM(D93:D96)</f>
        <v>5125</v>
      </c>
    </row>
    <row r="98" spans="1:4" ht="15.95" thickBot="1">
      <c r="A98" s="41" t="s">
        <v>504</v>
      </c>
      <c r="B98" s="131"/>
      <c r="C98" s="131"/>
      <c r="D98" s="132"/>
    </row>
    <row r="99" spans="1:4">
      <c r="A99" s="152" t="s">
        <v>505</v>
      </c>
      <c r="B99" s="152"/>
      <c r="C99" s="152"/>
      <c r="D99" s="132"/>
    </row>
    <row r="100" spans="1:4" ht="21.6">
      <c r="A100" s="135" t="s">
        <v>569</v>
      </c>
      <c r="B100" s="135"/>
      <c r="C100" s="135"/>
      <c r="D100" s="132"/>
    </row>
    <row r="101" spans="1:4">
      <c r="A101" s="135" t="s">
        <v>507</v>
      </c>
      <c r="B101" s="135"/>
      <c r="C101" s="135"/>
      <c r="D101" s="132"/>
    </row>
    <row r="102" spans="1:4">
      <c r="A102" s="149" t="s">
        <v>489</v>
      </c>
      <c r="B102" s="149"/>
      <c r="C102" s="149"/>
      <c r="D102" s="132"/>
    </row>
    <row r="103" spans="1:4">
      <c r="A103" s="135" t="s">
        <v>508</v>
      </c>
      <c r="B103" s="135"/>
      <c r="C103" s="135"/>
      <c r="D103" s="132"/>
    </row>
    <row r="104" spans="1:4">
      <c r="A104" s="38" t="s">
        <v>570</v>
      </c>
      <c r="B104" s="38"/>
      <c r="C104" s="38"/>
      <c r="D104" s="132"/>
    </row>
    <row r="105" spans="1:4">
      <c r="A105" s="38" t="s">
        <v>571</v>
      </c>
      <c r="B105" s="38"/>
      <c r="C105" s="38"/>
      <c r="D105" s="132"/>
    </row>
    <row r="106" spans="1:4" ht="15.95" thickBot="1">
      <c r="A106" s="38" t="s">
        <v>572</v>
      </c>
      <c r="B106" s="38"/>
      <c r="C106" s="38"/>
      <c r="D106" s="132"/>
    </row>
    <row r="107" spans="1:4" ht="15.95" thickBot="1">
      <c r="A107" s="141" t="s">
        <v>509</v>
      </c>
      <c r="B107" s="141"/>
      <c r="C107" s="141"/>
      <c r="D107" s="114">
        <f>SUM(D98:D106)</f>
        <v>0</v>
      </c>
    </row>
    <row r="108" spans="1:4" ht="15.95" thickBot="1">
      <c r="A108" s="41" t="s">
        <v>401</v>
      </c>
      <c r="B108" s="131"/>
      <c r="C108" s="131"/>
      <c r="D108" s="132"/>
    </row>
    <row r="109" spans="1:4">
      <c r="A109" s="135" t="s">
        <v>69</v>
      </c>
      <c r="B109" s="124" t="s">
        <v>159</v>
      </c>
      <c r="C109" s="1" t="s">
        <v>70</v>
      </c>
      <c r="D109" s="139">
        <v>3250</v>
      </c>
    </row>
    <row r="110" spans="1:4">
      <c r="A110" s="159" t="s">
        <v>71</v>
      </c>
      <c r="B110" s="124" t="s">
        <v>160</v>
      </c>
      <c r="C110" s="1" t="s">
        <v>72</v>
      </c>
      <c r="D110" s="139">
        <v>6750</v>
      </c>
    </row>
    <row r="111" spans="1:4">
      <c r="A111" s="159" t="s">
        <v>73</v>
      </c>
      <c r="B111" s="124" t="s">
        <v>161</v>
      </c>
      <c r="C111" s="1" t="s">
        <v>162</v>
      </c>
      <c r="D111" s="139">
        <v>9500</v>
      </c>
    </row>
    <row r="112" spans="1:4">
      <c r="A112" s="159" t="s">
        <v>75</v>
      </c>
      <c r="B112" s="124" t="s">
        <v>163</v>
      </c>
      <c r="C112" s="1" t="s">
        <v>74</v>
      </c>
      <c r="D112" s="139">
        <v>3500</v>
      </c>
    </row>
    <row r="113" spans="1:4">
      <c r="A113" s="160" t="s">
        <v>489</v>
      </c>
      <c r="B113" s="160"/>
      <c r="C113" s="160"/>
      <c r="D113" s="139"/>
    </row>
    <row r="114" spans="1:4">
      <c r="A114" s="159" t="s">
        <v>510</v>
      </c>
      <c r="B114" s="159"/>
      <c r="C114" s="159"/>
      <c r="D114" s="139">
        <v>0</v>
      </c>
    </row>
    <row r="115" spans="1:4" ht="15.95" thickBot="1">
      <c r="A115" s="159" t="s">
        <v>406</v>
      </c>
      <c r="B115" s="159"/>
      <c r="C115" s="159"/>
      <c r="D115" s="139">
        <v>12000</v>
      </c>
    </row>
    <row r="116" spans="1:4" ht="15.95" thickBot="1">
      <c r="A116" s="141" t="s">
        <v>511</v>
      </c>
      <c r="B116" s="141"/>
      <c r="C116" s="141"/>
      <c r="D116" s="114">
        <f>SUM(D108:D115)</f>
        <v>35000</v>
      </c>
    </row>
    <row r="117" spans="1:4" ht="15.95" thickBot="1">
      <c r="A117" s="41" t="s">
        <v>407</v>
      </c>
      <c r="B117" s="131"/>
      <c r="C117" s="131"/>
      <c r="D117" s="132"/>
    </row>
    <row r="118" spans="1:4">
      <c r="A118" s="135" t="s">
        <v>512</v>
      </c>
      <c r="B118" s="135"/>
      <c r="C118" s="135"/>
      <c r="D118" s="139"/>
    </row>
    <row r="119" spans="1:4">
      <c r="A119" s="135" t="s">
        <v>513</v>
      </c>
      <c r="B119" s="124" t="s">
        <v>242</v>
      </c>
      <c r="C119" s="1" t="s">
        <v>243</v>
      </c>
      <c r="D119" s="148">
        <v>1000</v>
      </c>
    </row>
    <row r="120" spans="1:4">
      <c r="A120" s="135" t="s">
        <v>514</v>
      </c>
      <c r="B120" s="124" t="s">
        <v>244</v>
      </c>
      <c r="C120" s="1" t="s">
        <v>245</v>
      </c>
      <c r="D120" s="139">
        <v>1080</v>
      </c>
    </row>
    <row r="121" spans="1:4">
      <c r="A121" s="135" t="s">
        <v>513</v>
      </c>
      <c r="B121" s="135"/>
      <c r="C121" s="135"/>
      <c r="D121" s="139"/>
    </row>
    <row r="122" spans="1:4" ht="15.95" thickBot="1">
      <c r="A122" s="135" t="s">
        <v>77</v>
      </c>
      <c r="B122" s="135"/>
      <c r="C122" s="135"/>
      <c r="D122" s="139">
        <v>5000</v>
      </c>
    </row>
    <row r="123" spans="1:4" ht="15.95" thickBot="1">
      <c r="A123" s="141" t="s">
        <v>515</v>
      </c>
      <c r="B123" s="141"/>
      <c r="C123" s="141"/>
      <c r="D123" s="114">
        <f>SUM(D117:D122)</f>
        <v>7080</v>
      </c>
    </row>
    <row r="124" spans="1:4" ht="15.95" thickBot="1">
      <c r="A124" s="41" t="s">
        <v>410</v>
      </c>
      <c r="B124" s="131"/>
      <c r="C124" s="131"/>
      <c r="D124" s="132"/>
    </row>
    <row r="125" spans="1:4">
      <c r="A125" s="135" t="s">
        <v>573</v>
      </c>
      <c r="B125" s="135"/>
      <c r="C125" s="135"/>
      <c r="D125" s="132"/>
    </row>
    <row r="126" spans="1:4">
      <c r="A126" s="135" t="s">
        <v>517</v>
      </c>
      <c r="B126" s="124" t="s">
        <v>199</v>
      </c>
      <c r="C126" s="1" t="s">
        <v>200</v>
      </c>
      <c r="D126" s="148">
        <v>34000</v>
      </c>
    </row>
    <row r="127" spans="1:4">
      <c r="A127" s="135" t="s">
        <v>518</v>
      </c>
      <c r="B127" s="124" t="s">
        <v>201</v>
      </c>
      <c r="C127" s="1" t="s">
        <v>202</v>
      </c>
      <c r="D127" s="148">
        <v>34000</v>
      </c>
    </row>
    <row r="128" spans="1:4">
      <c r="A128" s="161" t="s">
        <v>521</v>
      </c>
      <c r="B128" s="124" t="s">
        <v>203</v>
      </c>
      <c r="C128" s="1" t="s">
        <v>204</v>
      </c>
      <c r="D128" s="148">
        <v>4000</v>
      </c>
    </row>
    <row r="129" spans="1:6">
      <c r="A129" s="162" t="s">
        <v>574</v>
      </c>
      <c r="B129" s="124" t="s">
        <v>248</v>
      </c>
      <c r="C129" s="1" t="s">
        <v>249</v>
      </c>
      <c r="D129" s="148">
        <v>2200</v>
      </c>
      <c r="F129" s="128"/>
    </row>
    <row r="130" spans="1:6" ht="15.95" thickBot="1">
      <c r="A130" s="163" t="s">
        <v>525</v>
      </c>
      <c r="B130" s="124" t="s">
        <v>250</v>
      </c>
      <c r="C130" s="1" t="s">
        <v>251</v>
      </c>
      <c r="D130" s="148">
        <f>13200/2</f>
        <v>6600</v>
      </c>
      <c r="F130" s="128"/>
    </row>
    <row r="131" spans="1:6">
      <c r="A131" s="162" t="s">
        <v>526</v>
      </c>
      <c r="B131" s="124" t="s">
        <v>575</v>
      </c>
      <c r="C131" s="1" t="s">
        <v>166</v>
      </c>
      <c r="D131" s="148">
        <v>3650</v>
      </c>
      <c r="F131" s="128"/>
    </row>
    <row r="132" spans="1:6">
      <c r="A132" s="162" t="s">
        <v>527</v>
      </c>
      <c r="B132" s="124" t="s">
        <v>575</v>
      </c>
      <c r="C132" s="1" t="s">
        <v>166</v>
      </c>
      <c r="D132" s="148">
        <v>7500</v>
      </c>
      <c r="E132" s="128"/>
    </row>
    <row r="133" spans="1:6">
      <c r="A133" s="135" t="s">
        <v>528</v>
      </c>
      <c r="B133" s="124" t="s">
        <v>575</v>
      </c>
      <c r="C133" s="1" t="s">
        <v>166</v>
      </c>
      <c r="D133" s="148">
        <v>14000</v>
      </c>
      <c r="F133" s="128"/>
    </row>
    <row r="134" spans="1:6" ht="15.95" thickBot="1">
      <c r="A134" s="145" t="s">
        <v>529</v>
      </c>
      <c r="B134" s="124" t="s">
        <v>207</v>
      </c>
      <c r="C134" s="1" t="s">
        <v>208</v>
      </c>
      <c r="D134" s="148">
        <v>500</v>
      </c>
    </row>
    <row r="135" spans="1:6">
      <c r="A135" s="164" t="s">
        <v>576</v>
      </c>
      <c r="B135" s="164"/>
      <c r="C135" s="164"/>
      <c r="D135" s="132"/>
    </row>
    <row r="136" spans="1:6">
      <c r="A136" s="135" t="s">
        <v>531</v>
      </c>
      <c r="B136" s="135"/>
      <c r="C136" s="135"/>
      <c r="D136" s="148"/>
    </row>
    <row r="137" spans="1:6">
      <c r="A137" s="135" t="s">
        <v>532</v>
      </c>
      <c r="B137" s="124" t="s">
        <v>252</v>
      </c>
      <c r="C137" s="1" t="s">
        <v>81</v>
      </c>
      <c r="D137" s="148">
        <v>3000</v>
      </c>
    </row>
    <row r="138" spans="1:6">
      <c r="A138" s="164" t="s">
        <v>577</v>
      </c>
      <c r="B138" s="124"/>
      <c r="C138" s="1"/>
      <c r="D138" s="132"/>
    </row>
    <row r="139" spans="1:6">
      <c r="A139" s="135" t="s">
        <v>534</v>
      </c>
      <c r="B139" s="124" t="s">
        <v>210</v>
      </c>
      <c r="C139" s="1" t="s">
        <v>83</v>
      </c>
      <c r="D139" s="148">
        <f>35000/2</f>
        <v>17500</v>
      </c>
    </row>
    <row r="140" spans="1:6">
      <c r="A140" s="135" t="s">
        <v>205</v>
      </c>
      <c r="B140" s="124" t="s">
        <v>205</v>
      </c>
      <c r="C140" s="124" t="s">
        <v>206</v>
      </c>
      <c r="D140" s="148">
        <f>35000/2</f>
        <v>17500</v>
      </c>
    </row>
    <row r="141" spans="1:6">
      <c r="A141" s="164" t="s">
        <v>578</v>
      </c>
      <c r="B141" s="124"/>
      <c r="C141" s="124"/>
      <c r="D141" s="132"/>
    </row>
    <row r="142" spans="1:6">
      <c r="A142" s="161" t="s">
        <v>579</v>
      </c>
      <c r="B142" s="124" t="s">
        <v>266</v>
      </c>
      <c r="C142" s="124" t="s">
        <v>267</v>
      </c>
      <c r="D142" s="45">
        <f>11094*2+3500*2</f>
        <v>29188</v>
      </c>
    </row>
    <row r="143" spans="1:6">
      <c r="A143" s="161" t="s">
        <v>580</v>
      </c>
      <c r="B143" s="124" t="s">
        <v>268</v>
      </c>
      <c r="C143" s="124" t="s">
        <v>269</v>
      </c>
      <c r="D143" s="45">
        <f>6339.47*2+3500*2+0.06</f>
        <v>19679.000000000004</v>
      </c>
    </row>
    <row r="144" spans="1:6">
      <c r="A144" s="161" t="s">
        <v>565</v>
      </c>
      <c r="B144" s="124" t="s">
        <v>270</v>
      </c>
      <c r="C144" s="124" t="s">
        <v>271</v>
      </c>
      <c r="D144" s="45">
        <f>11094.07+3500-0.07</f>
        <v>14594</v>
      </c>
    </row>
    <row r="145" spans="1:4">
      <c r="A145" s="155" t="s">
        <v>570</v>
      </c>
      <c r="B145" s="124"/>
      <c r="C145" s="124"/>
      <c r="D145" s="45"/>
    </row>
    <row r="146" spans="1:4">
      <c r="A146" s="155" t="s">
        <v>571</v>
      </c>
      <c r="B146" s="124"/>
      <c r="C146" s="124"/>
      <c r="D146" s="45"/>
    </row>
    <row r="147" spans="1:4">
      <c r="A147" s="155" t="s">
        <v>572</v>
      </c>
      <c r="B147" s="124"/>
      <c r="C147" s="124"/>
      <c r="D147" s="45"/>
    </row>
    <row r="148" spans="1:4" ht="15.95" thickBot="1">
      <c r="A148" s="161" t="s">
        <v>581</v>
      </c>
      <c r="B148" s="124" t="s">
        <v>167</v>
      </c>
      <c r="C148" s="124" t="s">
        <v>85</v>
      </c>
      <c r="D148" s="45">
        <v>1000</v>
      </c>
    </row>
    <row r="149" spans="1:4" ht="15.95" thickBot="1">
      <c r="A149" s="141" t="s">
        <v>537</v>
      </c>
      <c r="B149" s="124"/>
      <c r="C149" s="124"/>
      <c r="D149" s="150">
        <f>SUM(D124:D148)</f>
        <v>208911</v>
      </c>
    </row>
    <row r="150" spans="1:4" ht="15.95" thickBot="1">
      <c r="A150" s="41" t="s">
        <v>429</v>
      </c>
      <c r="B150" s="124"/>
      <c r="C150" s="124"/>
      <c r="D150" s="132"/>
    </row>
    <row r="151" spans="1:4">
      <c r="A151" s="135" t="s">
        <v>88</v>
      </c>
      <c r="B151" s="124" t="s">
        <v>168</v>
      </c>
      <c r="C151" s="124" t="s">
        <v>89</v>
      </c>
      <c r="D151" s="148">
        <f>2350/2</f>
        <v>1175</v>
      </c>
    </row>
    <row r="152" spans="1:4">
      <c r="A152" s="135" t="s">
        <v>90</v>
      </c>
      <c r="B152" s="124" t="s">
        <v>169</v>
      </c>
      <c r="C152" s="124" t="s">
        <v>91</v>
      </c>
      <c r="D152" s="148">
        <v>2250</v>
      </c>
    </row>
    <row r="153" spans="1:4" ht="15.95" thickBot="1">
      <c r="A153" s="135"/>
      <c r="B153" s="135"/>
      <c r="C153" s="135"/>
      <c r="D153" s="132"/>
    </row>
    <row r="154" spans="1:4" ht="15.95" thickBot="1">
      <c r="A154" s="141" t="s">
        <v>538</v>
      </c>
      <c r="B154" s="141"/>
      <c r="C154" s="141"/>
      <c r="D154" s="114">
        <f>SUM(D150:D153)</f>
        <v>3425</v>
      </c>
    </row>
    <row r="155" spans="1:4" ht="15.95" thickBot="1">
      <c r="A155" s="134"/>
      <c r="B155" s="134"/>
      <c r="C155" s="134"/>
      <c r="D155" s="132"/>
    </row>
    <row r="156" spans="1:4" ht="15.95" thickBot="1">
      <c r="A156" s="165" t="s">
        <v>539</v>
      </c>
      <c r="B156" s="165"/>
      <c r="C156" s="165"/>
      <c r="D156" s="166">
        <f>D28+D31+D34+D51+D61+D71+D78+D83+D91+D97+D107+D116+D123+D149+D154</f>
        <v>2124104.5299999998</v>
      </c>
    </row>
    <row r="157" spans="1:4">
      <c r="A157" s="149" t="s">
        <v>540</v>
      </c>
      <c r="B157" s="149"/>
      <c r="C157" s="149"/>
      <c r="D157" s="167"/>
    </row>
    <row r="158" spans="1:4">
      <c r="A158" s="149"/>
      <c r="B158" s="149"/>
      <c r="C158" s="149"/>
      <c r="D158" s="132"/>
    </row>
    <row r="159" spans="1:4">
      <c r="A159" s="149" t="s">
        <v>234</v>
      </c>
      <c r="B159" s="149"/>
      <c r="C159" s="149"/>
      <c r="D159" s="132"/>
    </row>
    <row r="160" spans="1:4">
      <c r="A160" s="135" t="s">
        <v>541</v>
      </c>
      <c r="B160" s="135"/>
      <c r="C160" s="135"/>
      <c r="D160" s="132"/>
    </row>
    <row r="161" spans="1:4" ht="15.95" thickBot="1">
      <c r="A161" s="134"/>
      <c r="B161" s="134"/>
      <c r="C161" s="134"/>
      <c r="D161" s="132"/>
    </row>
    <row r="162" spans="1:4" ht="15.95" thickBot="1">
      <c r="A162" s="168" t="s">
        <v>542</v>
      </c>
      <c r="B162" s="168"/>
      <c r="C162" s="168"/>
      <c r="D162" s="169">
        <f>SUM(D156:D161)</f>
        <v>2124104.5299999998</v>
      </c>
    </row>
  </sheetData>
  <mergeCells count="2">
    <mergeCell ref="A1:D1"/>
    <mergeCell ref="A2:D2"/>
  </mergeCells>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206C8355D678A459F2EF8957171B231" ma:contentTypeVersion="18" ma:contentTypeDescription="Create a new document." ma:contentTypeScope="" ma:versionID="efd9b4af885478ed0a3e84c6362c6fb3">
  <xsd:schema xmlns:xsd="http://www.w3.org/2001/XMLSchema" xmlns:xs="http://www.w3.org/2001/XMLSchema" xmlns:p="http://schemas.microsoft.com/office/2006/metadata/properties" xmlns:ns2="f2466082-b6bf-4153-98c3-3c41e85fda18" xmlns:ns3="dc808d36-874f-4b27-aec2-2fd649817929" targetNamespace="http://schemas.microsoft.com/office/2006/metadata/properties" ma:root="true" ma:fieldsID="3b6abc503e38a49174dd9e5072c65339" ns2:_="" ns3:_="">
    <xsd:import namespace="f2466082-b6bf-4153-98c3-3c41e85fda18"/>
    <xsd:import namespace="dc808d36-874f-4b27-aec2-2fd64981792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466082-b6bf-4153-98c3-3c41e85fda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21e634b9-0c0d-402e-b683-49cec2011975"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08d36-874f-4b27-aec2-2fd649817929"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4796171e-60a5-48ad-9b94-11b7e9399efd}" ma:internalName="TaxCatchAll" ma:showField="CatchAllData" ma:web="dc808d36-874f-4b27-aec2-2fd64981792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dc808d36-874f-4b27-aec2-2fd649817929" xsi:nil="true"/>
    <lcf76f155ced4ddcb4097134ff3c332f xmlns="f2466082-b6bf-4153-98c3-3c41e85fda18">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140DA48-8564-430E-AE9C-6D1127ADE761}"/>
</file>

<file path=customXml/itemProps2.xml><?xml version="1.0" encoding="utf-8"?>
<ds:datastoreItem xmlns:ds="http://schemas.openxmlformats.org/officeDocument/2006/customXml" ds:itemID="{25B8569A-0479-44AD-BEC1-BB4259C8E3F0}"/>
</file>

<file path=customXml/itemProps3.xml><?xml version="1.0" encoding="utf-8"?>
<ds:datastoreItem xmlns:ds="http://schemas.openxmlformats.org/officeDocument/2006/customXml" ds:itemID="{C3B139F0-8CD4-4293-A2B6-CFCEEA66A6F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Dennis Francis</dc:creator>
  <cp:keywords/>
  <dc:description/>
  <cp:lastModifiedBy>Juan Carlos Mendoza</cp:lastModifiedBy>
  <cp:revision/>
  <dcterms:created xsi:type="dcterms:W3CDTF">2013-06-26T03:59:21Z</dcterms:created>
  <dcterms:modified xsi:type="dcterms:W3CDTF">2023-08-31T19:25:54Z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ContentTypeId">
    <vt:lpwstr>0x0101003206C8355D678A459F2EF8957171B231</vt:lpwstr>
  </property>
  <property fmtid="{D5CDD505-2E9C-101B-9397-08002B2CF9AE}" pid="4" name="Order">
    <vt:r8>7975200</vt:r8>
  </property>
  <property fmtid="{D5CDD505-2E9C-101B-9397-08002B2CF9AE}" pid="5" name="MediaServiceImageTags">
    <vt:lpwstr/>
  </property>
</Properties>
</file>